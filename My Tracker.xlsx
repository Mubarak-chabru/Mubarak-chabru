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chabru\Downloads\"/>
    </mc:Choice>
  </mc:AlternateContent>
  <xr:revisionPtr revIDLastSave="0" documentId="13_ncr:1_{12FADD73-0687-4CC2-9265-CCF0953C320B}" xr6:coauthVersionLast="36" xr6:coauthVersionMax="36" xr10:uidLastSave="{00000000-0000-0000-0000-000000000000}"/>
  <bookViews>
    <workbookView xWindow="0" yWindow="0" windowWidth="19200" windowHeight="6640" tabRatio="867" firstSheet="4" activeTab="14" xr2:uid="{00000000-000D-0000-FFFF-FFFF00000000}"/>
  </bookViews>
  <sheets>
    <sheet name="June 25" sheetId="1" r:id="rId1"/>
    <sheet name="May 25" sheetId="2" r:id="rId2"/>
    <sheet name="April 25" sheetId="3" state="hidden" r:id="rId3"/>
    <sheet name="March 25" sheetId="5" state="hidden" r:id="rId4"/>
    <sheet name="Feb 25" sheetId="6" r:id="rId5"/>
    <sheet name="Jan 25" sheetId="7" state="hidden" r:id="rId6"/>
    <sheet name="Dec 24" sheetId="8" state="hidden" r:id="rId7"/>
    <sheet name="Nov 24" sheetId="9" state="hidden" r:id="rId8"/>
    <sheet name="Oct 24" sheetId="10" state="hidden" r:id="rId9"/>
    <sheet name="2024" sheetId="11" r:id="rId10"/>
    <sheet name="7" sheetId="14" r:id="rId11"/>
    <sheet name="Task" sheetId="16" r:id="rId12"/>
    <sheet name="2025" sheetId="4" r:id="rId13"/>
    <sheet name="Pivot" sheetId="24" r:id="rId14"/>
    <sheet name="Sheet1" sheetId="23" r:id="rId15"/>
    <sheet name="Copy of Tracker" sheetId="17" state="hidden" r:id="rId16"/>
  </sheets>
  <definedNames>
    <definedName name="_xlnm._FilterDatabase" localSheetId="9" hidden="1">'2024'!$A$1:$U$1036</definedName>
    <definedName name="_xlnm._FilterDatabase" localSheetId="12" hidden="1">'2025'!$A$1:$X$439</definedName>
    <definedName name="_xlnm._FilterDatabase" localSheetId="2" hidden="1">'April 25'!$A$1:$U$101</definedName>
    <definedName name="_xlnm._FilterDatabase" localSheetId="6" hidden="1">'Dec 24'!$A$1:$U$101</definedName>
    <definedName name="_xlnm._FilterDatabase" localSheetId="4" hidden="1">'Feb 25'!$A$1:$U$101</definedName>
    <definedName name="_xlnm._FilterDatabase" localSheetId="5" hidden="1">'Jan 25'!$A$1:$U$109</definedName>
    <definedName name="_xlnm._FilterDatabase" localSheetId="0" hidden="1">'June 25'!$A$1:$U$101</definedName>
    <definedName name="_xlnm._FilterDatabase" localSheetId="3" hidden="1">'March 25'!$A$1:$U$101</definedName>
    <definedName name="_xlnm._FilterDatabase" localSheetId="1" hidden="1">'May 25'!$A$1:$U$101</definedName>
    <definedName name="_xlnm._FilterDatabase" localSheetId="7" hidden="1">'Nov 24'!$A$1:$U$119</definedName>
    <definedName name="_xlnm._FilterDatabase" localSheetId="8" hidden="1">'Oct 24'!$A$1:$U$86</definedName>
    <definedName name="_xlnm._FilterDatabase" localSheetId="14" hidden="1">Sheet1!$A$2:$G$88</definedName>
  </definedNames>
  <calcPr calcId="191029"/>
  <pivotCaches>
    <pivotCache cacheId="3" r:id="rId17"/>
  </pivotCaches>
</workbook>
</file>

<file path=xl/calcChain.xml><?xml version="1.0" encoding="utf-8"?>
<calcChain xmlns="http://schemas.openxmlformats.org/spreadsheetml/2006/main">
  <c r="K19" i="23" l="1"/>
  <c r="L19" i="23"/>
  <c r="M19" i="23"/>
  <c r="N19" i="23"/>
  <c r="J19" i="23"/>
  <c r="N18" i="23"/>
  <c r="M18" i="23"/>
  <c r="L18" i="23"/>
  <c r="K18" i="23"/>
  <c r="J18" i="23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B3" i="4"/>
  <c r="B2" i="4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9" i="23"/>
  <c r="C80" i="23"/>
  <c r="C81" i="23"/>
  <c r="C82" i="23"/>
  <c r="C83" i="23"/>
  <c r="C85" i="23"/>
  <c r="C86" i="23"/>
  <c r="C87" i="23"/>
  <c r="C88" i="23"/>
  <c r="C3" i="23"/>
  <c r="P109" i="4"/>
  <c r="J3" i="4"/>
  <c r="P3" i="4" s="1"/>
  <c r="K3" i="4"/>
  <c r="J4" i="4"/>
  <c r="P4" i="4" s="1"/>
  <c r="K4" i="4"/>
  <c r="J5" i="4"/>
  <c r="P5" i="4" s="1"/>
  <c r="K5" i="4"/>
  <c r="J6" i="4"/>
  <c r="K6" i="4"/>
  <c r="J7" i="4"/>
  <c r="P7" i="4" s="1"/>
  <c r="K7" i="4"/>
  <c r="J8" i="4"/>
  <c r="P8" i="4" s="1"/>
  <c r="K8" i="4"/>
  <c r="J9" i="4"/>
  <c r="K9" i="4"/>
  <c r="J10" i="4"/>
  <c r="P10" i="4" s="1"/>
  <c r="K10" i="4"/>
  <c r="J11" i="4"/>
  <c r="P11" i="4" s="1"/>
  <c r="K11" i="4"/>
  <c r="J12" i="4"/>
  <c r="P12" i="4" s="1"/>
  <c r="K12" i="4"/>
  <c r="J13" i="4"/>
  <c r="P13" i="4" s="1"/>
  <c r="K13" i="4"/>
  <c r="J14" i="4"/>
  <c r="P14" i="4" s="1"/>
  <c r="K14" i="4"/>
  <c r="J15" i="4"/>
  <c r="K15" i="4"/>
  <c r="J16" i="4"/>
  <c r="P16" i="4" s="1"/>
  <c r="K16" i="4"/>
  <c r="J17" i="4"/>
  <c r="P17" i="4" s="1"/>
  <c r="K17" i="4"/>
  <c r="J18" i="4"/>
  <c r="P18" i="4" s="1"/>
  <c r="K18" i="4"/>
  <c r="J19" i="4"/>
  <c r="P19" i="4" s="1"/>
  <c r="K19" i="4"/>
  <c r="J20" i="4"/>
  <c r="P20" i="4" s="1"/>
  <c r="K20" i="4"/>
  <c r="J21" i="4"/>
  <c r="P21" i="4" s="1"/>
  <c r="K21" i="4"/>
  <c r="J22" i="4"/>
  <c r="P22" i="4" s="1"/>
  <c r="K22" i="4"/>
  <c r="J23" i="4"/>
  <c r="P23" i="4" s="1"/>
  <c r="K23" i="4"/>
  <c r="J24" i="4"/>
  <c r="K24" i="4"/>
  <c r="J25" i="4"/>
  <c r="P25" i="4" s="1"/>
  <c r="K25" i="4"/>
  <c r="J26" i="4"/>
  <c r="P26" i="4" s="1"/>
  <c r="K26" i="4"/>
  <c r="J27" i="4"/>
  <c r="P27" i="4" s="1"/>
  <c r="K27" i="4"/>
  <c r="J28" i="4"/>
  <c r="P28" i="4" s="1"/>
  <c r="K28" i="4"/>
  <c r="J29" i="4"/>
  <c r="P29" i="4" s="1"/>
  <c r="G9" i="23" s="1"/>
  <c r="K29" i="4"/>
  <c r="J30" i="4"/>
  <c r="P30" i="4" s="1"/>
  <c r="K30" i="4"/>
  <c r="J31" i="4"/>
  <c r="P31" i="4" s="1"/>
  <c r="K31" i="4"/>
  <c r="J32" i="4"/>
  <c r="P32" i="4" s="1"/>
  <c r="K32" i="4"/>
  <c r="J33" i="4"/>
  <c r="P33" i="4" s="1"/>
  <c r="K33" i="4"/>
  <c r="J34" i="4"/>
  <c r="P34" i="4" s="1"/>
  <c r="K34" i="4"/>
  <c r="J35" i="4"/>
  <c r="P35" i="4" s="1"/>
  <c r="K35" i="4"/>
  <c r="J36" i="4"/>
  <c r="P36" i="4" s="1"/>
  <c r="K36" i="4"/>
  <c r="J37" i="4"/>
  <c r="P37" i="4" s="1"/>
  <c r="K37" i="4"/>
  <c r="J38" i="4"/>
  <c r="P38" i="4" s="1"/>
  <c r="K38" i="4"/>
  <c r="J39" i="4"/>
  <c r="P39" i="4" s="1"/>
  <c r="K39" i="4"/>
  <c r="J40" i="4"/>
  <c r="P40" i="4" s="1"/>
  <c r="K40" i="4"/>
  <c r="J41" i="4"/>
  <c r="P41" i="4" s="1"/>
  <c r="K41" i="4"/>
  <c r="J42" i="4"/>
  <c r="P42" i="4" s="1"/>
  <c r="K42" i="4"/>
  <c r="J43" i="4"/>
  <c r="P43" i="4" s="1"/>
  <c r="K43" i="4"/>
  <c r="J44" i="4"/>
  <c r="P44" i="4" s="1"/>
  <c r="K44" i="4"/>
  <c r="J45" i="4"/>
  <c r="P45" i="4" s="1"/>
  <c r="K45" i="4"/>
  <c r="J46" i="4"/>
  <c r="P46" i="4" s="1"/>
  <c r="K46" i="4"/>
  <c r="J47" i="4"/>
  <c r="P47" i="4" s="1"/>
  <c r="K47" i="4"/>
  <c r="J48" i="4"/>
  <c r="P48" i="4" s="1"/>
  <c r="K48" i="4"/>
  <c r="J49" i="4"/>
  <c r="P49" i="4" s="1"/>
  <c r="K49" i="4"/>
  <c r="J50" i="4"/>
  <c r="P50" i="4" s="1"/>
  <c r="K50" i="4"/>
  <c r="J51" i="4"/>
  <c r="P51" i="4" s="1"/>
  <c r="K51" i="4"/>
  <c r="J52" i="4"/>
  <c r="P52" i="4" s="1"/>
  <c r="K52" i="4"/>
  <c r="J53" i="4"/>
  <c r="K53" i="4"/>
  <c r="J54" i="4"/>
  <c r="P54" i="4" s="1"/>
  <c r="K54" i="4"/>
  <c r="J55" i="4"/>
  <c r="P55" i="4" s="1"/>
  <c r="K55" i="4"/>
  <c r="J56" i="4"/>
  <c r="P56" i="4" s="1"/>
  <c r="K56" i="4"/>
  <c r="J57" i="4"/>
  <c r="P57" i="4" s="1"/>
  <c r="K57" i="4"/>
  <c r="J58" i="4"/>
  <c r="P58" i="4" s="1"/>
  <c r="K58" i="4"/>
  <c r="J59" i="4"/>
  <c r="P59" i="4" s="1"/>
  <c r="K59" i="4"/>
  <c r="J60" i="4"/>
  <c r="P60" i="4" s="1"/>
  <c r="K60" i="4"/>
  <c r="J61" i="4"/>
  <c r="P61" i="4" s="1"/>
  <c r="K61" i="4"/>
  <c r="J62" i="4"/>
  <c r="P62" i="4" s="1"/>
  <c r="K62" i="4"/>
  <c r="J63" i="4"/>
  <c r="K63" i="4"/>
  <c r="J64" i="4"/>
  <c r="P64" i="4" s="1"/>
  <c r="K64" i="4"/>
  <c r="J65" i="4"/>
  <c r="P65" i="4" s="1"/>
  <c r="K65" i="4"/>
  <c r="J66" i="4"/>
  <c r="P66" i="4" s="1"/>
  <c r="K66" i="4"/>
  <c r="J67" i="4"/>
  <c r="P67" i="4" s="1"/>
  <c r="K67" i="4"/>
  <c r="J68" i="4"/>
  <c r="P68" i="4" s="1"/>
  <c r="K68" i="4"/>
  <c r="J69" i="4"/>
  <c r="P69" i="4" s="1"/>
  <c r="K69" i="4"/>
  <c r="J70" i="4"/>
  <c r="P70" i="4" s="1"/>
  <c r="K70" i="4"/>
  <c r="J71" i="4"/>
  <c r="P71" i="4" s="1"/>
  <c r="K71" i="4"/>
  <c r="J72" i="4"/>
  <c r="K72" i="4"/>
  <c r="J73" i="4"/>
  <c r="P73" i="4" s="1"/>
  <c r="K73" i="4"/>
  <c r="J74" i="4"/>
  <c r="P74" i="4" s="1"/>
  <c r="K74" i="4"/>
  <c r="J75" i="4"/>
  <c r="P75" i="4" s="1"/>
  <c r="K75" i="4"/>
  <c r="J76" i="4"/>
  <c r="P76" i="4" s="1"/>
  <c r="K76" i="4"/>
  <c r="J77" i="4"/>
  <c r="P77" i="4" s="1"/>
  <c r="K77" i="4"/>
  <c r="J78" i="4"/>
  <c r="P78" i="4" s="1"/>
  <c r="K78" i="4"/>
  <c r="J79" i="4"/>
  <c r="K79" i="4"/>
  <c r="J80" i="4"/>
  <c r="P80" i="4" s="1"/>
  <c r="K80" i="4"/>
  <c r="J81" i="4"/>
  <c r="P81" i="4" s="1"/>
  <c r="K81" i="4"/>
  <c r="J82" i="4"/>
  <c r="P82" i="4" s="1"/>
  <c r="K82" i="4"/>
  <c r="J83" i="4"/>
  <c r="P83" i="4" s="1"/>
  <c r="K83" i="4"/>
  <c r="J84" i="4"/>
  <c r="P84" i="4" s="1"/>
  <c r="K84" i="4"/>
  <c r="J85" i="4"/>
  <c r="P85" i="4" s="1"/>
  <c r="K85" i="4"/>
  <c r="J86" i="4"/>
  <c r="K86" i="4"/>
  <c r="J87" i="4"/>
  <c r="P87" i="4" s="1"/>
  <c r="K87" i="4"/>
  <c r="J88" i="4"/>
  <c r="P88" i="4" s="1"/>
  <c r="K88" i="4"/>
  <c r="J89" i="4"/>
  <c r="P89" i="4" s="1"/>
  <c r="K89" i="4"/>
  <c r="J90" i="4"/>
  <c r="P90" i="4" s="1"/>
  <c r="K90" i="4"/>
  <c r="J91" i="4"/>
  <c r="P91" i="4" s="1"/>
  <c r="K91" i="4"/>
  <c r="J92" i="4"/>
  <c r="P92" i="4" s="1"/>
  <c r="K92" i="4"/>
  <c r="J93" i="4"/>
  <c r="P93" i="4" s="1"/>
  <c r="K93" i="4"/>
  <c r="J94" i="4"/>
  <c r="P94" i="4" s="1"/>
  <c r="K94" i="4"/>
  <c r="J95" i="4"/>
  <c r="P95" i="4" s="1"/>
  <c r="K95" i="4"/>
  <c r="J96" i="4"/>
  <c r="K96" i="4"/>
  <c r="J97" i="4"/>
  <c r="P97" i="4" s="1"/>
  <c r="K97" i="4"/>
  <c r="J98" i="4"/>
  <c r="P98" i="4" s="1"/>
  <c r="K98" i="4"/>
  <c r="J99" i="4"/>
  <c r="P99" i="4" s="1"/>
  <c r="K99" i="4"/>
  <c r="J100" i="4"/>
  <c r="P100" i="4" s="1"/>
  <c r="K100" i="4"/>
  <c r="J101" i="4"/>
  <c r="P101" i="4" s="1"/>
  <c r="K101" i="4"/>
  <c r="J102" i="4"/>
  <c r="K102" i="4"/>
  <c r="J103" i="4"/>
  <c r="P103" i="4" s="1"/>
  <c r="K103" i="4"/>
  <c r="J104" i="4"/>
  <c r="P104" i="4" s="1"/>
  <c r="K104" i="4"/>
  <c r="J105" i="4"/>
  <c r="P105" i="4" s="1"/>
  <c r="K105" i="4"/>
  <c r="J106" i="4"/>
  <c r="P106" i="4" s="1"/>
  <c r="K106" i="4"/>
  <c r="J107" i="4"/>
  <c r="P107" i="4" s="1"/>
  <c r="K107" i="4"/>
  <c r="J108" i="4"/>
  <c r="P108" i="4" s="1"/>
  <c r="K108" i="4"/>
  <c r="J109" i="4"/>
  <c r="K109" i="4"/>
  <c r="J110" i="4"/>
  <c r="K110" i="4"/>
  <c r="J111" i="4"/>
  <c r="P111" i="4" s="1"/>
  <c r="K111" i="4"/>
  <c r="J112" i="4"/>
  <c r="P112" i="4" s="1"/>
  <c r="K112" i="4"/>
  <c r="J113" i="4"/>
  <c r="P113" i="4" s="1"/>
  <c r="K113" i="4"/>
  <c r="J114" i="4"/>
  <c r="P114" i="4" s="1"/>
  <c r="K114" i="4"/>
  <c r="J115" i="4"/>
  <c r="P115" i="4" s="1"/>
  <c r="K115" i="4"/>
  <c r="J116" i="4"/>
  <c r="P116" i="4" s="1"/>
  <c r="K116" i="4"/>
  <c r="J117" i="4"/>
  <c r="P117" i="4" s="1"/>
  <c r="K117" i="4"/>
  <c r="J118" i="4"/>
  <c r="P118" i="4" s="1"/>
  <c r="K118" i="4"/>
  <c r="J119" i="4"/>
  <c r="P119" i="4" s="1"/>
  <c r="K119" i="4"/>
  <c r="J120" i="4"/>
  <c r="K120" i="4"/>
  <c r="J121" i="4"/>
  <c r="P121" i="4" s="1"/>
  <c r="K121" i="4"/>
  <c r="J122" i="4"/>
  <c r="P122" i="4" s="1"/>
  <c r="K122" i="4"/>
  <c r="J123" i="4"/>
  <c r="P123" i="4" s="1"/>
  <c r="K123" i="4"/>
  <c r="J124" i="4"/>
  <c r="P124" i="4" s="1"/>
  <c r="K124" i="4"/>
  <c r="J125" i="4"/>
  <c r="P125" i="4" s="1"/>
  <c r="K125" i="4"/>
  <c r="J126" i="4"/>
  <c r="K126" i="4"/>
  <c r="J127" i="4"/>
  <c r="P127" i="4" s="1"/>
  <c r="K127" i="4"/>
  <c r="J128" i="4"/>
  <c r="P128" i="4" s="1"/>
  <c r="K128" i="4"/>
  <c r="J129" i="4"/>
  <c r="P129" i="4" s="1"/>
  <c r="K129" i="4"/>
  <c r="J130" i="4"/>
  <c r="P130" i="4" s="1"/>
  <c r="K130" i="4"/>
  <c r="J131" i="4"/>
  <c r="P131" i="4" s="1"/>
  <c r="K131" i="4"/>
  <c r="J132" i="4"/>
  <c r="P132" i="4" s="1"/>
  <c r="K132" i="4"/>
  <c r="J133" i="4"/>
  <c r="P133" i="4" s="1"/>
  <c r="K133" i="4"/>
  <c r="J134" i="4"/>
  <c r="P134" i="4" s="1"/>
  <c r="K134" i="4"/>
  <c r="J135" i="4"/>
  <c r="P135" i="4" s="1"/>
  <c r="K135" i="4"/>
  <c r="J136" i="4"/>
  <c r="K136" i="4"/>
  <c r="J137" i="4"/>
  <c r="P137" i="4" s="1"/>
  <c r="K137" i="4"/>
  <c r="J138" i="4"/>
  <c r="P138" i="4" s="1"/>
  <c r="K138" i="4"/>
  <c r="J139" i="4"/>
  <c r="P139" i="4" s="1"/>
  <c r="K139" i="4"/>
  <c r="J140" i="4"/>
  <c r="P140" i="4" s="1"/>
  <c r="K140" i="4"/>
  <c r="J141" i="4"/>
  <c r="P141" i="4" s="1"/>
  <c r="K141" i="4"/>
  <c r="J142" i="4"/>
  <c r="K142" i="4"/>
  <c r="J143" i="4"/>
  <c r="P143" i="4" s="1"/>
  <c r="K143" i="4"/>
  <c r="J144" i="4"/>
  <c r="P144" i="4" s="1"/>
  <c r="K144" i="4"/>
  <c r="J145" i="4"/>
  <c r="P145" i="4" s="1"/>
  <c r="K145" i="4"/>
  <c r="J146" i="4"/>
  <c r="P146" i="4" s="1"/>
  <c r="K146" i="4"/>
  <c r="J147" i="4"/>
  <c r="P147" i="4" s="1"/>
  <c r="K147" i="4"/>
  <c r="J148" i="4"/>
  <c r="P148" i="4" s="1"/>
  <c r="K148" i="4"/>
  <c r="J149" i="4"/>
  <c r="P149" i="4" s="1"/>
  <c r="K149" i="4"/>
  <c r="J150" i="4"/>
  <c r="K150" i="4"/>
  <c r="J151" i="4"/>
  <c r="P151" i="4" s="1"/>
  <c r="K151" i="4"/>
  <c r="J152" i="4"/>
  <c r="P152" i="4" s="1"/>
  <c r="K152" i="4"/>
  <c r="J153" i="4"/>
  <c r="P153" i="4" s="1"/>
  <c r="K153" i="4"/>
  <c r="J154" i="4"/>
  <c r="P154" i="4" s="1"/>
  <c r="K154" i="4"/>
  <c r="J155" i="4"/>
  <c r="P155" i="4" s="1"/>
  <c r="K155" i="4"/>
  <c r="J156" i="4"/>
  <c r="P156" i="4" s="1"/>
  <c r="K156" i="4"/>
  <c r="J157" i="4"/>
  <c r="P157" i="4" s="1"/>
  <c r="K157" i="4"/>
  <c r="J158" i="4"/>
  <c r="P158" i="4" s="1"/>
  <c r="K158" i="4"/>
  <c r="J159" i="4"/>
  <c r="P159" i="4" s="1"/>
  <c r="K159" i="4"/>
  <c r="J160" i="4"/>
  <c r="K160" i="4"/>
  <c r="J161" i="4"/>
  <c r="P161" i="4" s="1"/>
  <c r="K161" i="4"/>
  <c r="J162" i="4"/>
  <c r="P162" i="4" s="1"/>
  <c r="K162" i="4"/>
  <c r="J163" i="4"/>
  <c r="P163" i="4" s="1"/>
  <c r="K163" i="4"/>
  <c r="J164" i="4"/>
  <c r="P164" i="4" s="1"/>
  <c r="K164" i="4"/>
  <c r="J165" i="4"/>
  <c r="P165" i="4" s="1"/>
  <c r="K165" i="4"/>
  <c r="J166" i="4"/>
  <c r="P166" i="4" s="1"/>
  <c r="K166" i="4"/>
  <c r="J167" i="4"/>
  <c r="P167" i="4" s="1"/>
  <c r="K167" i="4"/>
  <c r="J168" i="4"/>
  <c r="P168" i="4" s="1"/>
  <c r="K168" i="4"/>
  <c r="J169" i="4"/>
  <c r="P169" i="4" s="1"/>
  <c r="K169" i="4"/>
  <c r="J170" i="4"/>
  <c r="P170" i="4" s="1"/>
  <c r="K170" i="4"/>
  <c r="J171" i="4"/>
  <c r="P171" i="4" s="1"/>
  <c r="K171" i="4"/>
  <c r="J172" i="4"/>
  <c r="P172" i="4" s="1"/>
  <c r="K172" i="4"/>
  <c r="J173" i="4"/>
  <c r="P173" i="4" s="1"/>
  <c r="K173" i="4"/>
  <c r="J174" i="4"/>
  <c r="P174" i="4" s="1"/>
  <c r="K174" i="4"/>
  <c r="J175" i="4"/>
  <c r="P175" i="4" s="1"/>
  <c r="K175" i="4"/>
  <c r="J176" i="4"/>
  <c r="P176" i="4" s="1"/>
  <c r="K176" i="4"/>
  <c r="J177" i="4"/>
  <c r="P177" i="4" s="1"/>
  <c r="K177" i="4"/>
  <c r="J178" i="4"/>
  <c r="P178" i="4" s="1"/>
  <c r="K178" i="4"/>
  <c r="J179" i="4"/>
  <c r="P179" i="4" s="1"/>
  <c r="K179" i="4"/>
  <c r="J180" i="4"/>
  <c r="P180" i="4" s="1"/>
  <c r="K180" i="4"/>
  <c r="J181" i="4"/>
  <c r="P181" i="4" s="1"/>
  <c r="K181" i="4"/>
  <c r="J182" i="4"/>
  <c r="P182" i="4" s="1"/>
  <c r="K182" i="4"/>
  <c r="J183" i="4"/>
  <c r="K183" i="4"/>
  <c r="J184" i="4"/>
  <c r="P184" i="4" s="1"/>
  <c r="K184" i="4"/>
  <c r="J185" i="4"/>
  <c r="P185" i="4" s="1"/>
  <c r="K185" i="4"/>
  <c r="J186" i="4"/>
  <c r="P186" i="4" s="1"/>
  <c r="K186" i="4"/>
  <c r="J187" i="4"/>
  <c r="P187" i="4" s="1"/>
  <c r="K187" i="4"/>
  <c r="J188" i="4"/>
  <c r="P188" i="4" s="1"/>
  <c r="K188" i="4"/>
  <c r="J189" i="4"/>
  <c r="P189" i="4" s="1"/>
  <c r="K189" i="4"/>
  <c r="J190" i="4"/>
  <c r="P190" i="4" s="1"/>
  <c r="K190" i="4"/>
  <c r="J191" i="4"/>
  <c r="P191" i="4" s="1"/>
  <c r="K191" i="4"/>
  <c r="J192" i="4"/>
  <c r="P192" i="4" s="1"/>
  <c r="K192" i="4"/>
  <c r="J193" i="4"/>
  <c r="P193" i="4" s="1"/>
  <c r="K193" i="4"/>
  <c r="J194" i="4"/>
  <c r="P194" i="4" s="1"/>
  <c r="K194" i="4"/>
  <c r="J195" i="4"/>
  <c r="P195" i="4" s="1"/>
  <c r="K195" i="4"/>
  <c r="J196" i="4"/>
  <c r="P196" i="4" s="1"/>
  <c r="K196" i="4"/>
  <c r="J197" i="4"/>
  <c r="P197" i="4" s="1"/>
  <c r="K197" i="4"/>
  <c r="J198" i="4"/>
  <c r="K198" i="4"/>
  <c r="J199" i="4"/>
  <c r="P199" i="4" s="1"/>
  <c r="K199" i="4"/>
  <c r="J200" i="4"/>
  <c r="P200" i="4" s="1"/>
  <c r="K200" i="4"/>
  <c r="J201" i="4"/>
  <c r="P201" i="4" s="1"/>
  <c r="K201" i="4"/>
  <c r="J202" i="4"/>
  <c r="P202" i="4" s="1"/>
  <c r="K202" i="4"/>
  <c r="J203" i="4"/>
  <c r="P203" i="4" s="1"/>
  <c r="K203" i="4"/>
  <c r="J204" i="4"/>
  <c r="P204" i="4" s="1"/>
  <c r="K204" i="4"/>
  <c r="J205" i="4"/>
  <c r="P205" i="4" s="1"/>
  <c r="K205" i="4"/>
  <c r="J206" i="4"/>
  <c r="P206" i="4" s="1"/>
  <c r="G39" i="23" s="1"/>
  <c r="K206" i="4"/>
  <c r="J207" i="4"/>
  <c r="K207" i="4"/>
  <c r="J208" i="4"/>
  <c r="P208" i="4" s="1"/>
  <c r="K208" i="4"/>
  <c r="J209" i="4"/>
  <c r="P209" i="4" s="1"/>
  <c r="K209" i="4"/>
  <c r="J210" i="4"/>
  <c r="P210" i="4" s="1"/>
  <c r="K210" i="4"/>
  <c r="J211" i="4"/>
  <c r="P211" i="4" s="1"/>
  <c r="K211" i="4"/>
  <c r="J212" i="4"/>
  <c r="P212" i="4" s="1"/>
  <c r="K212" i="4"/>
  <c r="J213" i="4"/>
  <c r="P213" i="4" s="1"/>
  <c r="K213" i="4"/>
  <c r="J214" i="4"/>
  <c r="P214" i="4" s="1"/>
  <c r="K214" i="4"/>
  <c r="J215" i="4"/>
  <c r="P215" i="4" s="1"/>
  <c r="K215" i="4"/>
  <c r="J216" i="4"/>
  <c r="P216" i="4" s="1"/>
  <c r="K216" i="4"/>
  <c r="J217" i="4"/>
  <c r="P217" i="4" s="1"/>
  <c r="K217" i="4"/>
  <c r="J218" i="4"/>
  <c r="P218" i="4" s="1"/>
  <c r="K218" i="4"/>
  <c r="J219" i="4"/>
  <c r="P219" i="4" s="1"/>
  <c r="K219" i="4"/>
  <c r="J220" i="4"/>
  <c r="P220" i="4" s="1"/>
  <c r="K220" i="4"/>
  <c r="J221" i="4"/>
  <c r="P221" i="4" s="1"/>
  <c r="K221" i="4"/>
  <c r="J222" i="4"/>
  <c r="K222" i="4"/>
  <c r="J223" i="4"/>
  <c r="P223" i="4" s="1"/>
  <c r="K223" i="4"/>
  <c r="J224" i="4"/>
  <c r="P224" i="4" s="1"/>
  <c r="K224" i="4"/>
  <c r="J225" i="4"/>
  <c r="P225" i="4" s="1"/>
  <c r="K225" i="4"/>
  <c r="J226" i="4"/>
  <c r="P226" i="4" s="1"/>
  <c r="K226" i="4"/>
  <c r="J227" i="4"/>
  <c r="P227" i="4" s="1"/>
  <c r="K227" i="4"/>
  <c r="J228" i="4"/>
  <c r="P228" i="4" s="1"/>
  <c r="K228" i="4"/>
  <c r="J229" i="4"/>
  <c r="P229" i="4" s="1"/>
  <c r="K229" i="4"/>
  <c r="J230" i="4"/>
  <c r="P230" i="4" s="1"/>
  <c r="K230" i="4"/>
  <c r="J231" i="4"/>
  <c r="P231" i="4" s="1"/>
  <c r="K231" i="4"/>
  <c r="J232" i="4"/>
  <c r="P232" i="4" s="1"/>
  <c r="K232" i="4"/>
  <c r="J233" i="4"/>
  <c r="P233" i="4" s="1"/>
  <c r="K233" i="4"/>
  <c r="J234" i="4"/>
  <c r="P234" i="4" s="1"/>
  <c r="K234" i="4"/>
  <c r="J235" i="4"/>
  <c r="P235" i="4" s="1"/>
  <c r="K235" i="4"/>
  <c r="J236" i="4"/>
  <c r="P236" i="4" s="1"/>
  <c r="K236" i="4"/>
  <c r="J237" i="4"/>
  <c r="P237" i="4" s="1"/>
  <c r="K237" i="4"/>
  <c r="J238" i="4"/>
  <c r="K238" i="4"/>
  <c r="J239" i="4"/>
  <c r="P239" i="4" s="1"/>
  <c r="K239" i="4"/>
  <c r="J240" i="4"/>
  <c r="P240" i="4" s="1"/>
  <c r="K240" i="4"/>
  <c r="J241" i="4"/>
  <c r="P241" i="4" s="1"/>
  <c r="K241" i="4"/>
  <c r="J242" i="4"/>
  <c r="P242" i="4" s="1"/>
  <c r="K242" i="4"/>
  <c r="J243" i="4"/>
  <c r="P243" i="4" s="1"/>
  <c r="K243" i="4"/>
  <c r="J244" i="4"/>
  <c r="P244" i="4" s="1"/>
  <c r="K244" i="4"/>
  <c r="J245" i="4"/>
  <c r="K245" i="4"/>
  <c r="J246" i="4"/>
  <c r="P246" i="4" s="1"/>
  <c r="K246" i="4"/>
  <c r="J247" i="4"/>
  <c r="P247" i="4" s="1"/>
  <c r="K247" i="4"/>
  <c r="J248" i="4"/>
  <c r="P248" i="4" s="1"/>
  <c r="K248" i="4"/>
  <c r="J249" i="4"/>
  <c r="P249" i="4" s="1"/>
  <c r="K249" i="4"/>
  <c r="J250" i="4"/>
  <c r="P250" i="4" s="1"/>
  <c r="K250" i="4"/>
  <c r="J251" i="4"/>
  <c r="P251" i="4" s="1"/>
  <c r="K251" i="4"/>
  <c r="J252" i="4"/>
  <c r="P252" i="4" s="1"/>
  <c r="K252" i="4"/>
  <c r="J253" i="4"/>
  <c r="P253" i="4" s="1"/>
  <c r="K253" i="4"/>
  <c r="J254" i="4"/>
  <c r="K254" i="4"/>
  <c r="J255" i="4"/>
  <c r="P255" i="4" s="1"/>
  <c r="K255" i="4"/>
  <c r="J256" i="4"/>
  <c r="P256" i="4" s="1"/>
  <c r="K256" i="4"/>
  <c r="J257" i="4"/>
  <c r="P257" i="4" s="1"/>
  <c r="K257" i="4"/>
  <c r="J258" i="4"/>
  <c r="P258" i="4" s="1"/>
  <c r="K258" i="4"/>
  <c r="J259" i="4"/>
  <c r="P259" i="4" s="1"/>
  <c r="K259" i="4"/>
  <c r="J260" i="4"/>
  <c r="P260" i="4" s="1"/>
  <c r="K260" i="4"/>
  <c r="J261" i="4"/>
  <c r="P261" i="4" s="1"/>
  <c r="K261" i="4"/>
  <c r="J262" i="4"/>
  <c r="P262" i="4" s="1"/>
  <c r="K262" i="4"/>
  <c r="J263" i="4"/>
  <c r="P263" i="4" s="1"/>
  <c r="K263" i="4"/>
  <c r="J264" i="4"/>
  <c r="P264" i="4" s="1"/>
  <c r="K264" i="4"/>
  <c r="J265" i="4"/>
  <c r="P265" i="4" s="1"/>
  <c r="K265" i="4"/>
  <c r="J266" i="4"/>
  <c r="P266" i="4" s="1"/>
  <c r="K266" i="4"/>
  <c r="J267" i="4"/>
  <c r="P267" i="4" s="1"/>
  <c r="K267" i="4"/>
  <c r="J268" i="4"/>
  <c r="P268" i="4" s="1"/>
  <c r="K268" i="4"/>
  <c r="J269" i="4"/>
  <c r="K269" i="4"/>
  <c r="J270" i="4"/>
  <c r="P270" i="4" s="1"/>
  <c r="K270" i="4"/>
  <c r="J271" i="4"/>
  <c r="P271" i="4" s="1"/>
  <c r="K271" i="4"/>
  <c r="J272" i="4"/>
  <c r="K272" i="4"/>
  <c r="J273" i="4"/>
  <c r="P273" i="4" s="1"/>
  <c r="K273" i="4"/>
  <c r="J274" i="4"/>
  <c r="P274" i="4" s="1"/>
  <c r="K274" i="4"/>
  <c r="J275" i="4"/>
  <c r="P275" i="4" s="1"/>
  <c r="K275" i="4"/>
  <c r="J276" i="4"/>
  <c r="P276" i="4" s="1"/>
  <c r="K276" i="4"/>
  <c r="J277" i="4"/>
  <c r="P277" i="4" s="1"/>
  <c r="K277" i="4"/>
  <c r="J278" i="4"/>
  <c r="K278" i="4"/>
  <c r="J279" i="4"/>
  <c r="P279" i="4" s="1"/>
  <c r="K279" i="4"/>
  <c r="J280" i="4"/>
  <c r="P280" i="4" s="1"/>
  <c r="K280" i="4"/>
  <c r="J281" i="4"/>
  <c r="P281" i="4" s="1"/>
  <c r="K281" i="4"/>
  <c r="J282" i="4"/>
  <c r="P282" i="4" s="1"/>
  <c r="K282" i="4"/>
  <c r="J283" i="4"/>
  <c r="P283" i="4" s="1"/>
  <c r="K283" i="4"/>
  <c r="J284" i="4"/>
  <c r="P284" i="4" s="1"/>
  <c r="K284" i="4"/>
  <c r="J285" i="4"/>
  <c r="P285" i="4" s="1"/>
  <c r="K285" i="4"/>
  <c r="J286" i="4"/>
  <c r="P286" i="4" s="1"/>
  <c r="K286" i="4"/>
  <c r="J287" i="4"/>
  <c r="P287" i="4" s="1"/>
  <c r="K287" i="4"/>
  <c r="J288" i="4"/>
  <c r="P288" i="4" s="1"/>
  <c r="K288" i="4"/>
  <c r="J289" i="4"/>
  <c r="P289" i="4" s="1"/>
  <c r="K289" i="4"/>
  <c r="J290" i="4"/>
  <c r="P290" i="4" s="1"/>
  <c r="K290" i="4"/>
  <c r="J291" i="4"/>
  <c r="P291" i="4" s="1"/>
  <c r="K291" i="4"/>
  <c r="J292" i="4"/>
  <c r="P292" i="4" s="1"/>
  <c r="K292" i="4"/>
  <c r="J293" i="4"/>
  <c r="K293" i="4"/>
  <c r="J294" i="4"/>
  <c r="P294" i="4" s="1"/>
  <c r="K294" i="4"/>
  <c r="J295" i="4"/>
  <c r="P295" i="4" s="1"/>
  <c r="K295" i="4"/>
  <c r="J296" i="4"/>
  <c r="P296" i="4" s="1"/>
  <c r="K296" i="4"/>
  <c r="J297" i="4"/>
  <c r="P297" i="4" s="1"/>
  <c r="K297" i="4"/>
  <c r="J298" i="4"/>
  <c r="P298" i="4" s="1"/>
  <c r="K298" i="4"/>
  <c r="J299" i="4"/>
  <c r="P299" i="4" s="1"/>
  <c r="K299" i="4"/>
  <c r="J300" i="4"/>
  <c r="P300" i="4" s="1"/>
  <c r="K300" i="4"/>
  <c r="J301" i="4"/>
  <c r="P301" i="4" s="1"/>
  <c r="K301" i="4"/>
  <c r="J302" i="4"/>
  <c r="P302" i="4" s="1"/>
  <c r="K302" i="4"/>
  <c r="J303" i="4"/>
  <c r="K303" i="4"/>
  <c r="J304" i="4"/>
  <c r="P304" i="4" s="1"/>
  <c r="K304" i="4"/>
  <c r="J305" i="4"/>
  <c r="P305" i="4" s="1"/>
  <c r="K305" i="4"/>
  <c r="J306" i="4"/>
  <c r="P306" i="4" s="1"/>
  <c r="K306" i="4"/>
  <c r="J307" i="4"/>
  <c r="P307" i="4" s="1"/>
  <c r="K307" i="4"/>
  <c r="J308" i="4"/>
  <c r="P308" i="4" s="1"/>
  <c r="K308" i="4"/>
  <c r="J309" i="4"/>
  <c r="P309" i="4" s="1"/>
  <c r="K309" i="4"/>
  <c r="J310" i="4"/>
  <c r="K310" i="4"/>
  <c r="J311" i="4"/>
  <c r="P311" i="4" s="1"/>
  <c r="K311" i="4"/>
  <c r="J312" i="4"/>
  <c r="P312" i="4" s="1"/>
  <c r="K312" i="4"/>
  <c r="J313" i="4"/>
  <c r="P313" i="4" s="1"/>
  <c r="K313" i="4"/>
  <c r="J314" i="4"/>
  <c r="P314" i="4" s="1"/>
  <c r="K314" i="4"/>
  <c r="J315" i="4"/>
  <c r="P315" i="4" s="1"/>
  <c r="K315" i="4"/>
  <c r="J316" i="4"/>
  <c r="P316" i="4" s="1"/>
  <c r="K316" i="4"/>
  <c r="J317" i="4"/>
  <c r="P317" i="4" s="1"/>
  <c r="K317" i="4"/>
  <c r="J318" i="4"/>
  <c r="P318" i="4" s="1"/>
  <c r="K318" i="4"/>
  <c r="J319" i="4"/>
  <c r="K319" i="4"/>
  <c r="J320" i="4"/>
  <c r="P320" i="4" s="1"/>
  <c r="K320" i="4"/>
  <c r="J321" i="4"/>
  <c r="P321" i="4" s="1"/>
  <c r="K321" i="4"/>
  <c r="J322" i="4"/>
  <c r="P322" i="4" s="1"/>
  <c r="K322" i="4"/>
  <c r="J323" i="4"/>
  <c r="P323" i="4" s="1"/>
  <c r="K323" i="4"/>
  <c r="J324" i="4"/>
  <c r="K324" i="4"/>
  <c r="J325" i="4"/>
  <c r="P325" i="4" s="1"/>
  <c r="K325" i="4"/>
  <c r="J326" i="4"/>
  <c r="P326" i="4" s="1"/>
  <c r="K326" i="4"/>
  <c r="J327" i="4"/>
  <c r="P327" i="4" s="1"/>
  <c r="K327" i="4"/>
  <c r="J328" i="4"/>
  <c r="P328" i="4" s="1"/>
  <c r="K328" i="4"/>
  <c r="J329" i="4"/>
  <c r="P329" i="4" s="1"/>
  <c r="K329" i="4"/>
  <c r="J330" i="4"/>
  <c r="P330" i="4" s="1"/>
  <c r="K330" i="4"/>
  <c r="J331" i="4"/>
  <c r="P331" i="4" s="1"/>
  <c r="K331" i="4"/>
  <c r="J332" i="4"/>
  <c r="P332" i="4" s="1"/>
  <c r="K332" i="4"/>
  <c r="J333" i="4"/>
  <c r="P333" i="4" s="1"/>
  <c r="K333" i="4"/>
  <c r="J334" i="4"/>
  <c r="P334" i="4" s="1"/>
  <c r="K334" i="4"/>
  <c r="J335" i="4"/>
  <c r="K335" i="4"/>
  <c r="J336" i="4"/>
  <c r="P336" i="4" s="1"/>
  <c r="K336" i="4"/>
  <c r="J337" i="4"/>
  <c r="P337" i="4" s="1"/>
  <c r="K337" i="4"/>
  <c r="J338" i="4"/>
  <c r="P338" i="4" s="1"/>
  <c r="K338" i="4"/>
  <c r="J339" i="4"/>
  <c r="P339" i="4" s="1"/>
  <c r="K339" i="4"/>
  <c r="J340" i="4"/>
  <c r="P340" i="4" s="1"/>
  <c r="K340" i="4"/>
  <c r="J341" i="4"/>
  <c r="K341" i="4"/>
  <c r="J342" i="4"/>
  <c r="P342" i="4" s="1"/>
  <c r="K342" i="4"/>
  <c r="J343" i="4"/>
  <c r="P343" i="4" s="1"/>
  <c r="K343" i="4"/>
  <c r="J344" i="4"/>
  <c r="K344" i="4"/>
  <c r="J345" i="4"/>
  <c r="P345" i="4" s="1"/>
  <c r="K345" i="4"/>
  <c r="J346" i="4"/>
  <c r="P346" i="4" s="1"/>
  <c r="K346" i="4"/>
  <c r="J347" i="4"/>
  <c r="P347" i="4" s="1"/>
  <c r="K347" i="4"/>
  <c r="J348" i="4"/>
  <c r="P348" i="4" s="1"/>
  <c r="K348" i="4"/>
  <c r="J349" i="4"/>
  <c r="P349" i="4" s="1"/>
  <c r="K349" i="4"/>
  <c r="J350" i="4"/>
  <c r="P350" i="4" s="1"/>
  <c r="K350" i="4"/>
  <c r="J351" i="4"/>
  <c r="P351" i="4" s="1"/>
  <c r="K351" i="4"/>
  <c r="J352" i="4"/>
  <c r="K352" i="4"/>
  <c r="J353" i="4"/>
  <c r="P353" i="4" s="1"/>
  <c r="K353" i="4"/>
  <c r="J354" i="4"/>
  <c r="P354" i="4" s="1"/>
  <c r="K354" i="4"/>
  <c r="J355" i="4"/>
  <c r="P355" i="4" s="1"/>
  <c r="K355" i="4"/>
  <c r="J356" i="4"/>
  <c r="P356" i="4" s="1"/>
  <c r="K356" i="4"/>
  <c r="J357" i="4"/>
  <c r="P357" i="4" s="1"/>
  <c r="K357" i="4"/>
  <c r="J358" i="4"/>
  <c r="P358" i="4" s="1"/>
  <c r="K358" i="4"/>
  <c r="J359" i="4"/>
  <c r="P359" i="4" s="1"/>
  <c r="K359" i="4"/>
  <c r="J360" i="4"/>
  <c r="K360" i="4"/>
  <c r="J361" i="4"/>
  <c r="P361" i="4" s="1"/>
  <c r="K361" i="4"/>
  <c r="J362" i="4"/>
  <c r="P362" i="4" s="1"/>
  <c r="K362" i="4"/>
  <c r="J363" i="4"/>
  <c r="P363" i="4" s="1"/>
  <c r="K363" i="4"/>
  <c r="J364" i="4"/>
  <c r="P364" i="4" s="1"/>
  <c r="K364" i="4"/>
  <c r="J365" i="4"/>
  <c r="P365" i="4" s="1"/>
  <c r="K365" i="4"/>
  <c r="J366" i="4"/>
  <c r="P366" i="4" s="1"/>
  <c r="K366" i="4"/>
  <c r="J367" i="4"/>
  <c r="P367" i="4" s="1"/>
  <c r="K367" i="4"/>
  <c r="J368" i="4"/>
  <c r="K368" i="4"/>
  <c r="J369" i="4"/>
  <c r="P369" i="4" s="1"/>
  <c r="K369" i="4"/>
  <c r="J370" i="4"/>
  <c r="P370" i="4" s="1"/>
  <c r="K370" i="4"/>
  <c r="J371" i="4"/>
  <c r="P371" i="4" s="1"/>
  <c r="K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K2" i="4"/>
  <c r="J2" i="4"/>
  <c r="F373" i="4"/>
  <c r="G373" i="4" s="1"/>
  <c r="F374" i="4"/>
  <c r="G374" i="4" s="1"/>
  <c r="K374" i="4" s="1"/>
  <c r="F375" i="4"/>
  <c r="G375" i="4" s="1"/>
  <c r="F376" i="4"/>
  <c r="G376" i="4" s="1"/>
  <c r="K376" i="4" s="1"/>
  <c r="F377" i="4"/>
  <c r="G377" i="4" s="1"/>
  <c r="F378" i="4"/>
  <c r="F379" i="4"/>
  <c r="G379" i="4" s="1"/>
  <c r="F380" i="4"/>
  <c r="G380" i="4" s="1"/>
  <c r="F381" i="4"/>
  <c r="G381" i="4" s="1"/>
  <c r="F382" i="4"/>
  <c r="G382" i="4" s="1"/>
  <c r="K382" i="4" s="1"/>
  <c r="F383" i="4"/>
  <c r="G383" i="4" s="1"/>
  <c r="F384" i="4"/>
  <c r="G384" i="4" s="1"/>
  <c r="K384" i="4" s="1"/>
  <c r="F385" i="4"/>
  <c r="G385" i="4" s="1"/>
  <c r="P385" i="4" s="1"/>
  <c r="F386" i="4"/>
  <c r="G386" i="4" s="1"/>
  <c r="P386" i="4" s="1"/>
  <c r="F387" i="4"/>
  <c r="G387" i="4" s="1"/>
  <c r="F388" i="4"/>
  <c r="G388" i="4" s="1"/>
  <c r="F389" i="4"/>
  <c r="G389" i="4" s="1"/>
  <c r="F390" i="4"/>
  <c r="G390" i="4" s="1"/>
  <c r="K390" i="4" s="1"/>
  <c r="F391" i="4"/>
  <c r="G391" i="4" s="1"/>
  <c r="F392" i="4"/>
  <c r="G392" i="4" s="1"/>
  <c r="P392" i="4" s="1"/>
  <c r="F393" i="4"/>
  <c r="G393" i="4" s="1"/>
  <c r="F394" i="4"/>
  <c r="G394" i="4" s="1"/>
  <c r="P394" i="4" s="1"/>
  <c r="F395" i="4"/>
  <c r="G395" i="4" s="1"/>
  <c r="F396" i="4"/>
  <c r="G396" i="4" s="1"/>
  <c r="F397" i="4"/>
  <c r="G397" i="4" s="1"/>
  <c r="K397" i="4" s="1"/>
  <c r="F398" i="4"/>
  <c r="G398" i="4" s="1"/>
  <c r="F399" i="4"/>
  <c r="G399" i="4" s="1"/>
  <c r="F400" i="4"/>
  <c r="G400" i="4" s="1"/>
  <c r="K400" i="4" s="1"/>
  <c r="F401" i="4"/>
  <c r="G401" i="4" s="1"/>
  <c r="P401" i="4" s="1"/>
  <c r="F402" i="4"/>
  <c r="G402" i="4" s="1"/>
  <c r="F403" i="4"/>
  <c r="G403" i="4" s="1"/>
  <c r="F404" i="4"/>
  <c r="G404" i="4" s="1"/>
  <c r="F405" i="4"/>
  <c r="G405" i="4" s="1"/>
  <c r="F406" i="4"/>
  <c r="G406" i="4" s="1"/>
  <c r="K406" i="4" s="1"/>
  <c r="F407" i="4"/>
  <c r="G407" i="4" s="1"/>
  <c r="F408" i="4"/>
  <c r="G408" i="4" s="1"/>
  <c r="K408" i="4" s="1"/>
  <c r="F409" i="4"/>
  <c r="G409" i="4" s="1"/>
  <c r="K409" i="4" s="1"/>
  <c r="F410" i="4"/>
  <c r="G410" i="4" s="1"/>
  <c r="F411" i="4"/>
  <c r="G411" i="4" s="1"/>
  <c r="F412" i="4"/>
  <c r="G412" i="4" s="1"/>
  <c r="F413" i="4"/>
  <c r="G413" i="4" s="1"/>
  <c r="P413" i="4" s="1"/>
  <c r="F414" i="4"/>
  <c r="F415" i="4"/>
  <c r="G415" i="4" s="1"/>
  <c r="F416" i="4"/>
  <c r="G416" i="4" s="1"/>
  <c r="P416" i="4" s="1"/>
  <c r="F417" i="4"/>
  <c r="G417" i="4" s="1"/>
  <c r="P417" i="4" s="1"/>
  <c r="F418" i="4"/>
  <c r="G418" i="4" s="1"/>
  <c r="K418" i="4" s="1"/>
  <c r="F419" i="4"/>
  <c r="G419" i="4" s="1"/>
  <c r="F420" i="4"/>
  <c r="G420" i="4" s="1"/>
  <c r="F421" i="4"/>
  <c r="G421" i="4" s="1"/>
  <c r="F422" i="4"/>
  <c r="G422" i="4" s="1"/>
  <c r="K422" i="4" s="1"/>
  <c r="F423" i="4"/>
  <c r="G423" i="4" s="1"/>
  <c r="F424" i="4"/>
  <c r="G424" i="4" s="1"/>
  <c r="K424" i="4" s="1"/>
  <c r="F425" i="4"/>
  <c r="G425" i="4" s="1"/>
  <c r="F426" i="4"/>
  <c r="G426" i="4" s="1"/>
  <c r="K426" i="4" s="1"/>
  <c r="F427" i="4"/>
  <c r="G427" i="4" s="1"/>
  <c r="F428" i="4"/>
  <c r="G428" i="4" s="1"/>
  <c r="F429" i="4"/>
  <c r="G429" i="4" s="1"/>
  <c r="P429" i="4" s="1"/>
  <c r="F430" i="4"/>
  <c r="G430" i="4" s="1"/>
  <c r="F431" i="4"/>
  <c r="G431" i="4" s="1"/>
  <c r="F432" i="4"/>
  <c r="G432" i="4" s="1"/>
  <c r="K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K438" i="4" s="1"/>
  <c r="F439" i="4"/>
  <c r="G439" i="4"/>
  <c r="F372" i="4"/>
  <c r="G372" i="4" s="1"/>
  <c r="E414" i="4"/>
  <c r="C84" i="23" s="1"/>
  <c r="E410" i="4"/>
  <c r="E378" i="4"/>
  <c r="C78" i="23" s="1"/>
  <c r="L101" i="17"/>
  <c r="I101" i="17" s="1"/>
  <c r="D101" i="17"/>
  <c r="E101" i="17" s="1"/>
  <c r="L100" i="17"/>
  <c r="D100" i="17"/>
  <c r="E100" i="17" s="1"/>
  <c r="L99" i="17"/>
  <c r="I99" i="17" s="1"/>
  <c r="D99" i="17"/>
  <c r="E99" i="17" s="1"/>
  <c r="L98" i="17"/>
  <c r="I98" i="17" s="1"/>
  <c r="H98" i="17"/>
  <c r="D98" i="17"/>
  <c r="E98" i="17" s="1"/>
  <c r="L97" i="17"/>
  <c r="H97" i="17"/>
  <c r="D97" i="17"/>
  <c r="E97" i="17" s="1"/>
  <c r="N97" i="17" s="1"/>
  <c r="L96" i="17"/>
  <c r="D96" i="17"/>
  <c r="E96" i="17" s="1"/>
  <c r="L95" i="17"/>
  <c r="D95" i="17"/>
  <c r="E95" i="17" s="1"/>
  <c r="L94" i="17"/>
  <c r="H94" i="17"/>
  <c r="D94" i="17"/>
  <c r="E94" i="17" s="1"/>
  <c r="N94" i="17" s="1"/>
  <c r="L93" i="17"/>
  <c r="H93" i="17"/>
  <c r="D93" i="17"/>
  <c r="E93" i="17" s="1"/>
  <c r="N93" i="17" s="1"/>
  <c r="L92" i="17"/>
  <c r="D92" i="17"/>
  <c r="E92" i="17" s="1"/>
  <c r="L91" i="17"/>
  <c r="H91" i="17"/>
  <c r="D91" i="17"/>
  <c r="E91" i="17" s="1"/>
  <c r="N91" i="17" s="1"/>
  <c r="L90" i="17"/>
  <c r="H90" i="17"/>
  <c r="D90" i="17"/>
  <c r="E90" i="17" s="1"/>
  <c r="N90" i="17" s="1"/>
  <c r="L89" i="17"/>
  <c r="I89" i="17" s="1"/>
  <c r="H89" i="17"/>
  <c r="D89" i="17"/>
  <c r="E89" i="17" s="1"/>
  <c r="N89" i="17" s="1"/>
  <c r="L88" i="17"/>
  <c r="D88" i="17"/>
  <c r="E88" i="17" s="1"/>
  <c r="L87" i="17"/>
  <c r="H87" i="17"/>
  <c r="D87" i="17"/>
  <c r="E87" i="17" s="1"/>
  <c r="N87" i="17" s="1"/>
  <c r="L86" i="17"/>
  <c r="I86" i="17" s="1"/>
  <c r="H86" i="17"/>
  <c r="D86" i="17"/>
  <c r="E86" i="17" s="1"/>
  <c r="N86" i="17" s="1"/>
  <c r="L85" i="17"/>
  <c r="H85" i="17"/>
  <c r="D85" i="17"/>
  <c r="E85" i="17" s="1"/>
  <c r="N85" i="17" s="1"/>
  <c r="L84" i="17"/>
  <c r="D84" i="17"/>
  <c r="E84" i="17" s="1"/>
  <c r="L83" i="17"/>
  <c r="I83" i="17" s="1"/>
  <c r="D83" i="17"/>
  <c r="E83" i="17" s="1"/>
  <c r="L82" i="17"/>
  <c r="H82" i="17"/>
  <c r="D82" i="17"/>
  <c r="E82" i="17" s="1"/>
  <c r="L81" i="17"/>
  <c r="I81" i="17" s="1"/>
  <c r="H81" i="17"/>
  <c r="D81" i="17"/>
  <c r="E81" i="17" s="1"/>
  <c r="N81" i="17" s="1"/>
  <c r="L80" i="17"/>
  <c r="D80" i="17"/>
  <c r="E80" i="17" s="1"/>
  <c r="L79" i="17"/>
  <c r="H79" i="17"/>
  <c r="D79" i="17"/>
  <c r="E79" i="17" s="1"/>
  <c r="L78" i="17"/>
  <c r="I78" i="17" s="1"/>
  <c r="H78" i="17"/>
  <c r="D78" i="17"/>
  <c r="E78" i="17" s="1"/>
  <c r="L77" i="17"/>
  <c r="H77" i="17"/>
  <c r="D77" i="17"/>
  <c r="E77" i="17" s="1"/>
  <c r="N77" i="17" s="1"/>
  <c r="L76" i="17"/>
  <c r="D76" i="17"/>
  <c r="E76" i="17" s="1"/>
  <c r="L75" i="17"/>
  <c r="I75" i="17" s="1"/>
  <c r="D75" i="17"/>
  <c r="E75" i="17" s="1"/>
  <c r="L74" i="17"/>
  <c r="H74" i="17"/>
  <c r="D74" i="17"/>
  <c r="E74" i="17" s="1"/>
  <c r="N74" i="17" s="1"/>
  <c r="L73" i="17"/>
  <c r="H73" i="17"/>
  <c r="D73" i="17"/>
  <c r="E73" i="17" s="1"/>
  <c r="N73" i="17" s="1"/>
  <c r="L72" i="17"/>
  <c r="D72" i="17"/>
  <c r="E72" i="17" s="1"/>
  <c r="L71" i="17"/>
  <c r="H71" i="17"/>
  <c r="D71" i="17"/>
  <c r="E71" i="17" s="1"/>
  <c r="N71" i="17" s="1"/>
  <c r="L70" i="17"/>
  <c r="H70" i="17" s="1"/>
  <c r="D70" i="17"/>
  <c r="E70" i="17" s="1"/>
  <c r="N70" i="17" s="1"/>
  <c r="L69" i="17"/>
  <c r="I69" i="17" s="1"/>
  <c r="H69" i="17"/>
  <c r="D69" i="17"/>
  <c r="E69" i="17" s="1"/>
  <c r="L68" i="17"/>
  <c r="D68" i="17"/>
  <c r="E68" i="17" s="1"/>
  <c r="L67" i="17"/>
  <c r="H67" i="17" s="1"/>
  <c r="D67" i="17"/>
  <c r="E67" i="17" s="1"/>
  <c r="N67" i="17" s="1"/>
  <c r="L66" i="17"/>
  <c r="D66" i="17"/>
  <c r="E66" i="17" s="1"/>
  <c r="L65" i="17"/>
  <c r="H65" i="17"/>
  <c r="D65" i="17"/>
  <c r="E65" i="17" s="1"/>
  <c r="N65" i="17" s="1"/>
  <c r="L64" i="17"/>
  <c r="D64" i="17"/>
  <c r="E64" i="17" s="1"/>
  <c r="L63" i="17"/>
  <c r="D63" i="17"/>
  <c r="E63" i="17" s="1"/>
  <c r="L62" i="17"/>
  <c r="H62" i="17"/>
  <c r="D62" i="17"/>
  <c r="E62" i="17" s="1"/>
  <c r="N62" i="17" s="1"/>
  <c r="L61" i="17"/>
  <c r="H61" i="17"/>
  <c r="D61" i="17"/>
  <c r="E61" i="17" s="1"/>
  <c r="L60" i="17"/>
  <c r="D60" i="17"/>
  <c r="E60" i="17" s="1"/>
  <c r="L59" i="17"/>
  <c r="H59" i="17"/>
  <c r="D59" i="17"/>
  <c r="E59" i="17" s="1"/>
  <c r="N59" i="17" s="1"/>
  <c r="L58" i="17"/>
  <c r="H58" i="17"/>
  <c r="D58" i="17"/>
  <c r="E58" i="17" s="1"/>
  <c r="L57" i="17"/>
  <c r="I57" i="17" s="1"/>
  <c r="H57" i="17"/>
  <c r="D57" i="17"/>
  <c r="E57" i="17" s="1"/>
  <c r="N57" i="17" s="1"/>
  <c r="L56" i="17"/>
  <c r="D56" i="17"/>
  <c r="E56" i="17" s="1"/>
  <c r="L55" i="17"/>
  <c r="H55" i="17"/>
  <c r="D55" i="17"/>
  <c r="E55" i="17" s="1"/>
  <c r="L54" i="17"/>
  <c r="I54" i="17" s="1"/>
  <c r="D54" i="17"/>
  <c r="E54" i="17" s="1"/>
  <c r="L53" i="17"/>
  <c r="H53" i="17"/>
  <c r="D53" i="17"/>
  <c r="E53" i="17" s="1"/>
  <c r="L52" i="17"/>
  <c r="D52" i="17"/>
  <c r="E52" i="17" s="1"/>
  <c r="L51" i="17"/>
  <c r="I51" i="17" s="1"/>
  <c r="D51" i="17"/>
  <c r="E51" i="17" s="1"/>
  <c r="L50" i="17"/>
  <c r="H50" i="17"/>
  <c r="D50" i="17"/>
  <c r="E50" i="17" s="1"/>
  <c r="L49" i="17"/>
  <c r="I49" i="17" s="1"/>
  <c r="H49" i="17"/>
  <c r="D49" i="17"/>
  <c r="E49" i="17" s="1"/>
  <c r="L48" i="17"/>
  <c r="H48" i="17"/>
  <c r="D48" i="17"/>
  <c r="E48" i="17" s="1"/>
  <c r="N48" i="17" s="1"/>
  <c r="L47" i="17"/>
  <c r="H47" i="17" s="1"/>
  <c r="D47" i="17"/>
  <c r="E47" i="17" s="1"/>
  <c r="L46" i="17"/>
  <c r="D46" i="17"/>
  <c r="E46" i="17" s="1"/>
  <c r="L45" i="17"/>
  <c r="H45" i="17"/>
  <c r="D45" i="17"/>
  <c r="E45" i="17" s="1"/>
  <c r="N45" i="17" s="1"/>
  <c r="L44" i="17"/>
  <c r="H44" i="17"/>
  <c r="D44" i="17"/>
  <c r="E44" i="17" s="1"/>
  <c r="L43" i="17"/>
  <c r="I43" i="17" s="1"/>
  <c r="D43" i="17"/>
  <c r="E43" i="17" s="1"/>
  <c r="L42" i="17"/>
  <c r="H42" i="17"/>
  <c r="D42" i="17"/>
  <c r="E42" i="17" s="1"/>
  <c r="L41" i="17"/>
  <c r="I41" i="17" s="1"/>
  <c r="H41" i="17"/>
  <c r="D41" i="17"/>
  <c r="E41" i="17" s="1"/>
  <c r="L40" i="17"/>
  <c r="H40" i="17"/>
  <c r="D40" i="17"/>
  <c r="E40" i="17" s="1"/>
  <c r="N40" i="17" s="1"/>
  <c r="L39" i="17"/>
  <c r="H39" i="17" s="1"/>
  <c r="D39" i="17"/>
  <c r="E39" i="17" s="1"/>
  <c r="N39" i="17" s="1"/>
  <c r="L38" i="17"/>
  <c r="D38" i="17"/>
  <c r="E38" i="17" s="1"/>
  <c r="L37" i="17"/>
  <c r="H37" i="17"/>
  <c r="D37" i="17"/>
  <c r="E37" i="17" s="1"/>
  <c r="N37" i="17" s="1"/>
  <c r="L36" i="17"/>
  <c r="H36" i="17"/>
  <c r="D36" i="17"/>
  <c r="E36" i="17" s="1"/>
  <c r="N36" i="17" s="1"/>
  <c r="L35" i="17"/>
  <c r="I35" i="17" s="1"/>
  <c r="D35" i="17"/>
  <c r="E35" i="17" s="1"/>
  <c r="L34" i="17"/>
  <c r="H34" i="17"/>
  <c r="D34" i="17"/>
  <c r="E34" i="17" s="1"/>
  <c r="L33" i="17"/>
  <c r="D33" i="17"/>
  <c r="E33" i="17" s="1"/>
  <c r="L32" i="17"/>
  <c r="H32" i="17"/>
  <c r="D32" i="17"/>
  <c r="E32" i="17" s="1"/>
  <c r="N32" i="17" s="1"/>
  <c r="L31" i="17"/>
  <c r="H31" i="17" s="1"/>
  <c r="D31" i="17"/>
  <c r="E31" i="17" s="1"/>
  <c r="N31" i="17" s="1"/>
  <c r="L30" i="17"/>
  <c r="D30" i="17"/>
  <c r="E30" i="17" s="1"/>
  <c r="L29" i="17"/>
  <c r="H29" i="17"/>
  <c r="D29" i="17"/>
  <c r="E29" i="17" s="1"/>
  <c r="N29" i="17" s="1"/>
  <c r="L28" i="17"/>
  <c r="H28" i="17"/>
  <c r="D28" i="17"/>
  <c r="E28" i="17" s="1"/>
  <c r="N28" i="17" s="1"/>
  <c r="L27" i="17"/>
  <c r="I27" i="17" s="1"/>
  <c r="D27" i="17"/>
  <c r="E27" i="17" s="1"/>
  <c r="L26" i="17"/>
  <c r="H26" i="17"/>
  <c r="D26" i="17"/>
  <c r="E26" i="17" s="1"/>
  <c r="L25" i="17"/>
  <c r="I25" i="17" s="1"/>
  <c r="H25" i="17"/>
  <c r="D25" i="17"/>
  <c r="E25" i="17" s="1"/>
  <c r="L24" i="17"/>
  <c r="H24" i="17"/>
  <c r="D24" i="17"/>
  <c r="E24" i="17" s="1"/>
  <c r="N24" i="17" s="1"/>
  <c r="L23" i="17"/>
  <c r="D23" i="17"/>
  <c r="E23" i="17" s="1"/>
  <c r="L22" i="17"/>
  <c r="D22" i="17"/>
  <c r="E22" i="17" s="1"/>
  <c r="L21" i="17"/>
  <c r="H21" i="17"/>
  <c r="D21" i="17"/>
  <c r="E21" i="17" s="1"/>
  <c r="N21" i="17" s="1"/>
  <c r="L20" i="17"/>
  <c r="H20" i="17"/>
  <c r="D20" i="17"/>
  <c r="E20" i="17" s="1"/>
  <c r="N20" i="17" s="1"/>
  <c r="L19" i="17"/>
  <c r="I19" i="17" s="1"/>
  <c r="D19" i="17"/>
  <c r="E19" i="17" s="1"/>
  <c r="L18" i="17"/>
  <c r="I18" i="17" s="1"/>
  <c r="H18" i="17"/>
  <c r="D18" i="17"/>
  <c r="E18" i="17" s="1"/>
  <c r="L17" i="17"/>
  <c r="I17" i="17" s="1"/>
  <c r="D17" i="17"/>
  <c r="E17" i="17" s="1"/>
  <c r="L16" i="17"/>
  <c r="H16" i="17"/>
  <c r="D16" i="17"/>
  <c r="E16" i="17" s="1"/>
  <c r="N16" i="17" s="1"/>
  <c r="L15" i="17"/>
  <c r="D15" i="17"/>
  <c r="E15" i="17" s="1"/>
  <c r="L14" i="17"/>
  <c r="D14" i="17"/>
  <c r="E14" i="17" s="1"/>
  <c r="L13" i="17"/>
  <c r="H13" i="17"/>
  <c r="D13" i="17"/>
  <c r="E13" i="17" s="1"/>
  <c r="N13" i="17" s="1"/>
  <c r="L12" i="17"/>
  <c r="H12" i="17"/>
  <c r="D12" i="17"/>
  <c r="E12" i="17" s="1"/>
  <c r="L11" i="17"/>
  <c r="I11" i="17" s="1"/>
  <c r="D11" i="17"/>
  <c r="E11" i="17" s="1"/>
  <c r="L10" i="17"/>
  <c r="I10" i="17" s="1"/>
  <c r="H10" i="17"/>
  <c r="D10" i="17"/>
  <c r="E10" i="17" s="1"/>
  <c r="L9" i="17"/>
  <c r="I9" i="17" s="1"/>
  <c r="H9" i="17"/>
  <c r="D9" i="17"/>
  <c r="E9" i="17" s="1"/>
  <c r="L8" i="17"/>
  <c r="H8" i="17"/>
  <c r="D8" i="17"/>
  <c r="E8" i="17" s="1"/>
  <c r="N8" i="17" s="1"/>
  <c r="S7" i="17"/>
  <c r="L7" i="17"/>
  <c r="H7" i="17" s="1"/>
  <c r="I7" i="17"/>
  <c r="E7" i="17"/>
  <c r="N7" i="17" s="1"/>
  <c r="D7" i="17"/>
  <c r="S6" i="17"/>
  <c r="L6" i="17"/>
  <c r="I6" i="17" s="1"/>
  <c r="H6" i="17"/>
  <c r="D6" i="17"/>
  <c r="E6" i="17" s="1"/>
  <c r="S5" i="17"/>
  <c r="N5" i="17"/>
  <c r="L5" i="17"/>
  <c r="H5" i="17"/>
  <c r="E5" i="17"/>
  <c r="I5" i="17" s="1"/>
  <c r="D5" i="17"/>
  <c r="P4" i="17"/>
  <c r="L4" i="17"/>
  <c r="I4" i="17" s="1"/>
  <c r="D4" i="17"/>
  <c r="E4" i="17" s="1"/>
  <c r="P3" i="17"/>
  <c r="Q3" i="17" s="1"/>
  <c r="N3" i="17"/>
  <c r="L3" i="17"/>
  <c r="H3" i="17" s="1"/>
  <c r="I3" i="17"/>
  <c r="E3" i="17"/>
  <c r="D3" i="17"/>
  <c r="P2" i="17"/>
  <c r="Q2" i="17" s="1"/>
  <c r="L2" i="17"/>
  <c r="I2" i="17" s="1"/>
  <c r="D2" i="17"/>
  <c r="E2" i="17" s="1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1" i="16"/>
  <c r="H10" i="16"/>
  <c r="H9" i="16"/>
  <c r="H8" i="16"/>
  <c r="L7" i="16"/>
  <c r="H7" i="16"/>
  <c r="H6" i="16"/>
  <c r="H5" i="16"/>
  <c r="L4" i="16"/>
  <c r="M4" i="16" s="1"/>
  <c r="N4" i="16" s="1"/>
  <c r="H4" i="16"/>
  <c r="M3" i="16"/>
  <c r="N3" i="16" s="1"/>
  <c r="L3" i="16"/>
  <c r="H3" i="16"/>
  <c r="L2" i="16"/>
  <c r="M2" i="16" s="1"/>
  <c r="N2" i="16" s="1"/>
  <c r="H2" i="16"/>
  <c r="D9" i="14"/>
  <c r="C9" i="14"/>
  <c r="E9" i="14" s="1"/>
  <c r="B4" i="14"/>
  <c r="B9" i="14" s="1"/>
  <c r="C3" i="14"/>
  <c r="C1" i="14"/>
  <c r="F1036" i="11"/>
  <c r="I1036" i="11" s="1"/>
  <c r="E1036" i="11"/>
  <c r="D1036" i="11"/>
  <c r="N1035" i="11"/>
  <c r="I1035" i="11"/>
  <c r="H1035" i="11"/>
  <c r="E1035" i="11"/>
  <c r="D1035" i="11"/>
  <c r="H1034" i="11"/>
  <c r="D1034" i="11"/>
  <c r="E1034" i="11" s="1"/>
  <c r="F1033" i="11"/>
  <c r="I1033" i="11" s="1"/>
  <c r="E1033" i="11"/>
  <c r="D1033" i="11"/>
  <c r="H1032" i="11"/>
  <c r="D1032" i="11"/>
  <c r="E1032" i="11" s="1"/>
  <c r="H1031" i="11"/>
  <c r="L1030" i="11" s="1"/>
  <c r="D1031" i="11"/>
  <c r="E1031" i="11" s="1"/>
  <c r="F1030" i="11"/>
  <c r="D1030" i="11"/>
  <c r="E1030" i="11" s="1"/>
  <c r="F1029" i="11"/>
  <c r="I1029" i="11" s="1"/>
  <c r="E1029" i="11"/>
  <c r="D1029" i="11"/>
  <c r="H1028" i="11"/>
  <c r="D1028" i="11"/>
  <c r="E1028" i="11" s="1"/>
  <c r="H1027" i="11"/>
  <c r="F1027" i="11"/>
  <c r="E1027" i="11"/>
  <c r="N1027" i="11" s="1"/>
  <c r="D1027" i="11"/>
  <c r="F1026" i="11"/>
  <c r="I1026" i="11" s="1"/>
  <c r="E1026" i="11"/>
  <c r="D1026" i="11"/>
  <c r="N1025" i="11"/>
  <c r="I1025" i="11"/>
  <c r="H1025" i="11"/>
  <c r="E1025" i="11"/>
  <c r="D1025" i="11"/>
  <c r="F1024" i="11"/>
  <c r="I1024" i="11" s="1"/>
  <c r="E1024" i="11"/>
  <c r="D1024" i="11"/>
  <c r="H1023" i="11"/>
  <c r="E1023" i="11"/>
  <c r="N1023" i="11" s="1"/>
  <c r="D1023" i="11"/>
  <c r="N1022" i="11"/>
  <c r="I1022" i="11"/>
  <c r="H1022" i="11"/>
  <c r="E1022" i="11"/>
  <c r="D1022" i="11"/>
  <c r="H1021" i="11"/>
  <c r="E1021" i="11"/>
  <c r="N1021" i="11" s="1"/>
  <c r="D1021" i="11"/>
  <c r="F1020" i="11"/>
  <c r="I1020" i="11" s="1"/>
  <c r="E1020" i="11"/>
  <c r="D1020" i="11"/>
  <c r="F1019" i="11"/>
  <c r="H1019" i="11" s="1"/>
  <c r="D1019" i="11"/>
  <c r="E1019" i="11" s="1"/>
  <c r="H1018" i="11"/>
  <c r="E1018" i="11"/>
  <c r="N1018" i="11" s="1"/>
  <c r="D1018" i="11"/>
  <c r="H1017" i="11"/>
  <c r="F1017" i="11"/>
  <c r="D1017" i="11"/>
  <c r="E1017" i="11" s="1"/>
  <c r="N1017" i="11" s="1"/>
  <c r="N1016" i="11"/>
  <c r="H1016" i="11"/>
  <c r="F1016" i="11"/>
  <c r="I1016" i="11" s="1"/>
  <c r="E1016" i="11"/>
  <c r="D1016" i="11"/>
  <c r="H1015" i="11"/>
  <c r="D1015" i="11"/>
  <c r="E1015" i="11" s="1"/>
  <c r="H1014" i="11"/>
  <c r="D1014" i="11"/>
  <c r="E1014" i="11" s="1"/>
  <c r="H1013" i="11"/>
  <c r="D1013" i="11"/>
  <c r="E1013" i="11" s="1"/>
  <c r="H1012" i="11"/>
  <c r="E1012" i="11"/>
  <c r="N1012" i="11" s="1"/>
  <c r="D1012" i="11"/>
  <c r="H1011" i="11"/>
  <c r="F1011" i="11"/>
  <c r="D1011" i="11"/>
  <c r="E1011" i="11" s="1"/>
  <c r="N1011" i="11" s="1"/>
  <c r="N1010" i="11"/>
  <c r="H1010" i="11"/>
  <c r="F1010" i="11"/>
  <c r="I1010" i="11" s="1"/>
  <c r="E1010" i="11"/>
  <c r="D1010" i="11"/>
  <c r="I1009" i="11"/>
  <c r="H1009" i="11"/>
  <c r="F1009" i="11"/>
  <c r="E1009" i="11"/>
  <c r="N1009" i="11" s="1"/>
  <c r="D1009" i="11"/>
  <c r="H1008" i="11"/>
  <c r="E1008" i="11"/>
  <c r="N1008" i="11" s="1"/>
  <c r="D1008" i="11"/>
  <c r="H1007" i="11"/>
  <c r="E1007" i="11"/>
  <c r="N1007" i="11" s="1"/>
  <c r="D1007" i="11"/>
  <c r="I1006" i="11"/>
  <c r="H1006" i="11"/>
  <c r="F1006" i="11"/>
  <c r="E1006" i="11"/>
  <c r="N1006" i="11" s="1"/>
  <c r="D1006" i="11"/>
  <c r="H1005" i="11"/>
  <c r="E1005" i="11"/>
  <c r="N1005" i="11" s="1"/>
  <c r="D1005" i="11"/>
  <c r="F1004" i="11"/>
  <c r="I1004" i="11" s="1"/>
  <c r="E1004" i="11"/>
  <c r="D1004" i="11"/>
  <c r="F1003" i="11"/>
  <c r="H1003" i="11" s="1"/>
  <c r="D1003" i="11"/>
  <c r="E1003" i="11" s="1"/>
  <c r="H1002" i="11"/>
  <c r="E1002" i="11"/>
  <c r="N1002" i="11" s="1"/>
  <c r="D1002" i="11"/>
  <c r="H1001" i="11"/>
  <c r="F1001" i="11"/>
  <c r="D1001" i="11"/>
  <c r="E1001" i="11" s="1"/>
  <c r="N1001" i="11" s="1"/>
  <c r="N1000" i="11"/>
  <c r="H1000" i="11"/>
  <c r="F1000" i="11"/>
  <c r="I1000" i="11" s="1"/>
  <c r="E1000" i="11"/>
  <c r="D1000" i="11"/>
  <c r="I999" i="11"/>
  <c r="H999" i="11"/>
  <c r="F999" i="11"/>
  <c r="E999" i="11"/>
  <c r="N999" i="11" s="1"/>
  <c r="D999" i="11"/>
  <c r="F998" i="11"/>
  <c r="I998" i="11" s="1"/>
  <c r="E998" i="11"/>
  <c r="D998" i="11"/>
  <c r="H997" i="11"/>
  <c r="E997" i="11"/>
  <c r="N997" i="11" s="1"/>
  <c r="D997" i="11"/>
  <c r="N996" i="11"/>
  <c r="I996" i="11"/>
  <c r="H996" i="11"/>
  <c r="E996" i="11"/>
  <c r="D996" i="11"/>
  <c r="F995" i="11"/>
  <c r="I995" i="11" s="1"/>
  <c r="E995" i="11"/>
  <c r="D995" i="11"/>
  <c r="H994" i="11"/>
  <c r="F994" i="11"/>
  <c r="I994" i="11" s="1"/>
  <c r="D994" i="11"/>
  <c r="E994" i="11" s="1"/>
  <c r="N994" i="11" s="1"/>
  <c r="N993" i="11"/>
  <c r="H993" i="11"/>
  <c r="F993" i="11"/>
  <c r="I993" i="11" s="1"/>
  <c r="E993" i="11"/>
  <c r="D993" i="11"/>
  <c r="H992" i="11"/>
  <c r="D992" i="11"/>
  <c r="E992" i="11" s="1"/>
  <c r="H991" i="11"/>
  <c r="F991" i="11"/>
  <c r="E991" i="11"/>
  <c r="N991" i="11" s="1"/>
  <c r="D991" i="11"/>
  <c r="F990" i="11"/>
  <c r="I990" i="11" s="1"/>
  <c r="E990" i="11"/>
  <c r="D990" i="11"/>
  <c r="F989" i="11"/>
  <c r="H989" i="11" s="1"/>
  <c r="D989" i="11"/>
  <c r="E989" i="11" s="1"/>
  <c r="H988" i="11"/>
  <c r="E988" i="11"/>
  <c r="N988" i="11" s="1"/>
  <c r="D988" i="11"/>
  <c r="H987" i="11"/>
  <c r="F987" i="11"/>
  <c r="I987" i="11" s="1"/>
  <c r="D987" i="11"/>
  <c r="E987" i="11" s="1"/>
  <c r="N987" i="11" s="1"/>
  <c r="N986" i="11"/>
  <c r="H986" i="11"/>
  <c r="F986" i="11"/>
  <c r="I986" i="11" s="1"/>
  <c r="E986" i="11"/>
  <c r="D986" i="11"/>
  <c r="H985" i="11"/>
  <c r="D985" i="11"/>
  <c r="E985" i="11" s="1"/>
  <c r="H984" i="11"/>
  <c r="F984" i="11"/>
  <c r="E984" i="11"/>
  <c r="N984" i="11" s="1"/>
  <c r="D984" i="11"/>
  <c r="F983" i="11"/>
  <c r="I983" i="11" s="1"/>
  <c r="E983" i="11"/>
  <c r="H982" i="11"/>
  <c r="D982" i="11"/>
  <c r="E982" i="11" s="1"/>
  <c r="H981" i="11"/>
  <c r="F981" i="11"/>
  <c r="E981" i="11"/>
  <c r="N981" i="11" s="1"/>
  <c r="D981" i="11"/>
  <c r="F980" i="11"/>
  <c r="I980" i="11" s="1"/>
  <c r="E980" i="11"/>
  <c r="D980" i="11"/>
  <c r="F979" i="11"/>
  <c r="H979" i="11" s="1"/>
  <c r="D979" i="11"/>
  <c r="E979" i="11" s="1"/>
  <c r="H978" i="11"/>
  <c r="F978" i="11"/>
  <c r="D978" i="11"/>
  <c r="E978" i="11" s="1"/>
  <c r="N978" i="11" s="1"/>
  <c r="H977" i="11"/>
  <c r="D977" i="11"/>
  <c r="E977" i="11" s="1"/>
  <c r="H976" i="11"/>
  <c r="D976" i="11"/>
  <c r="E976" i="11" s="1"/>
  <c r="H975" i="11"/>
  <c r="L974" i="11" s="1"/>
  <c r="E975" i="11"/>
  <c r="N975" i="11" s="1"/>
  <c r="F974" i="11"/>
  <c r="D974" i="11"/>
  <c r="E974" i="11" s="1"/>
  <c r="H973" i="11"/>
  <c r="D973" i="11"/>
  <c r="E973" i="11" s="1"/>
  <c r="H972" i="11"/>
  <c r="F972" i="11"/>
  <c r="I972" i="11" s="1"/>
  <c r="D972" i="11"/>
  <c r="E972" i="11" s="1"/>
  <c r="N972" i="11" s="1"/>
  <c r="H971" i="11"/>
  <c r="F971" i="11"/>
  <c r="E971" i="11"/>
  <c r="N971" i="11" s="1"/>
  <c r="D971" i="11"/>
  <c r="F970" i="11"/>
  <c r="I970" i="11" s="1"/>
  <c r="E970" i="11"/>
  <c r="D970" i="11"/>
  <c r="F969" i="11"/>
  <c r="H969" i="11" s="1"/>
  <c r="D969" i="11"/>
  <c r="E969" i="11" s="1"/>
  <c r="H968" i="11"/>
  <c r="E968" i="11"/>
  <c r="N968" i="11" s="1"/>
  <c r="D968" i="11"/>
  <c r="H967" i="11"/>
  <c r="F967" i="11"/>
  <c r="D967" i="11"/>
  <c r="E967" i="11" s="1"/>
  <c r="N967" i="11" s="1"/>
  <c r="N966" i="11"/>
  <c r="H966" i="11"/>
  <c r="F966" i="11"/>
  <c r="I966" i="11" s="1"/>
  <c r="E966" i="11"/>
  <c r="D966" i="11"/>
  <c r="H965" i="11"/>
  <c r="D965" i="11"/>
  <c r="E965" i="11" s="1"/>
  <c r="H964" i="11"/>
  <c r="F964" i="11"/>
  <c r="E964" i="11"/>
  <c r="N964" i="11" s="1"/>
  <c r="D964" i="11"/>
  <c r="F963" i="11"/>
  <c r="I963" i="11" s="1"/>
  <c r="E963" i="11"/>
  <c r="D963" i="11"/>
  <c r="F962" i="11"/>
  <c r="H962" i="11" s="1"/>
  <c r="D962" i="11"/>
  <c r="E962" i="11" s="1"/>
  <c r="H961" i="11"/>
  <c r="F961" i="11"/>
  <c r="I961" i="11" s="1"/>
  <c r="D961" i="11"/>
  <c r="E961" i="11" s="1"/>
  <c r="N961" i="11" s="1"/>
  <c r="H960" i="11"/>
  <c r="F960" i="11"/>
  <c r="E960" i="11"/>
  <c r="N960" i="11" s="1"/>
  <c r="D960" i="11"/>
  <c r="H959" i="11"/>
  <c r="E959" i="11"/>
  <c r="N959" i="11" s="1"/>
  <c r="D959" i="11"/>
  <c r="I958" i="11"/>
  <c r="H958" i="11"/>
  <c r="F958" i="11"/>
  <c r="E958" i="11"/>
  <c r="N958" i="11" s="1"/>
  <c r="D958" i="11"/>
  <c r="F957" i="11"/>
  <c r="I957" i="11" s="1"/>
  <c r="E957" i="11"/>
  <c r="D957" i="11"/>
  <c r="H956" i="11"/>
  <c r="F956" i="11"/>
  <c r="D956" i="11"/>
  <c r="E956" i="11" s="1"/>
  <c r="N956" i="11" s="1"/>
  <c r="N955" i="11"/>
  <c r="H955" i="11"/>
  <c r="F955" i="11"/>
  <c r="I955" i="11" s="1"/>
  <c r="E955" i="11"/>
  <c r="D955" i="11"/>
  <c r="I954" i="11"/>
  <c r="H954" i="11"/>
  <c r="F954" i="11"/>
  <c r="E954" i="11"/>
  <c r="N954" i="11" s="1"/>
  <c r="D954" i="11"/>
  <c r="F953" i="11"/>
  <c r="I953" i="11" s="1"/>
  <c r="E953" i="11"/>
  <c r="D953" i="11"/>
  <c r="H952" i="11"/>
  <c r="F952" i="11"/>
  <c r="D952" i="11"/>
  <c r="E952" i="11" s="1"/>
  <c r="N952" i="11" s="1"/>
  <c r="N951" i="11"/>
  <c r="H951" i="11"/>
  <c r="F951" i="11"/>
  <c r="I951" i="11" s="1"/>
  <c r="E951" i="11"/>
  <c r="D951" i="11"/>
  <c r="I950" i="11"/>
  <c r="H950" i="11"/>
  <c r="F950" i="11"/>
  <c r="E950" i="11"/>
  <c r="N950" i="11" s="1"/>
  <c r="D950" i="11"/>
  <c r="H949" i="11"/>
  <c r="E949" i="11"/>
  <c r="N949" i="11" s="1"/>
  <c r="D949" i="11"/>
  <c r="F833" i="11"/>
  <c r="I833" i="11" s="1"/>
  <c r="E833" i="11"/>
  <c r="I832" i="11"/>
  <c r="H832" i="11"/>
  <c r="F832" i="11"/>
  <c r="E832" i="11"/>
  <c r="N832" i="11" s="1"/>
  <c r="C832" i="11"/>
  <c r="F831" i="11"/>
  <c r="I831" i="11" s="1"/>
  <c r="E831" i="11"/>
  <c r="L830" i="11"/>
  <c r="I830" i="11" s="1"/>
  <c r="F830" i="11"/>
  <c r="H830" i="11" s="1"/>
  <c r="E830" i="11"/>
  <c r="N830" i="11" s="1"/>
  <c r="N829" i="11"/>
  <c r="I829" i="11"/>
  <c r="H829" i="11"/>
  <c r="E829" i="11"/>
  <c r="H828" i="11"/>
  <c r="F828" i="11"/>
  <c r="E828" i="11"/>
  <c r="N828" i="11" s="1"/>
  <c r="N827" i="11"/>
  <c r="H827" i="11"/>
  <c r="E827" i="11"/>
  <c r="I827" i="11" s="1"/>
  <c r="L826" i="11"/>
  <c r="I826" i="11" s="1"/>
  <c r="H826" i="11"/>
  <c r="N826" i="11" s="1"/>
  <c r="F826" i="11"/>
  <c r="E826" i="11"/>
  <c r="F825" i="11"/>
  <c r="I825" i="11" s="1"/>
  <c r="E825" i="11"/>
  <c r="I824" i="11"/>
  <c r="F824" i="11"/>
  <c r="H824" i="11" s="1"/>
  <c r="N824" i="11" s="1"/>
  <c r="E824" i="11"/>
  <c r="F823" i="11"/>
  <c r="I823" i="11" s="1"/>
  <c r="E823" i="11"/>
  <c r="L822" i="11"/>
  <c r="I822" i="11" s="1"/>
  <c r="F822" i="11"/>
  <c r="H822" i="11" s="1"/>
  <c r="E822" i="11"/>
  <c r="N822" i="11" s="1"/>
  <c r="L821" i="11"/>
  <c r="I821" i="11" s="1"/>
  <c r="E821" i="11"/>
  <c r="L820" i="11"/>
  <c r="I820" i="11" s="1"/>
  <c r="H820" i="11"/>
  <c r="N820" i="11" s="1"/>
  <c r="F820" i="11"/>
  <c r="E820" i="11"/>
  <c r="F819" i="11"/>
  <c r="I819" i="11" s="1"/>
  <c r="E819" i="11"/>
  <c r="N818" i="11"/>
  <c r="I818" i="11"/>
  <c r="H818" i="11"/>
  <c r="E818" i="11"/>
  <c r="I817" i="11"/>
  <c r="H817" i="11"/>
  <c r="E817" i="11"/>
  <c r="N817" i="11" s="1"/>
  <c r="N816" i="11"/>
  <c r="I816" i="11"/>
  <c r="H816" i="11"/>
  <c r="E816" i="11"/>
  <c r="L815" i="11"/>
  <c r="H815" i="11" s="1"/>
  <c r="F815" i="11"/>
  <c r="I815" i="11" s="1"/>
  <c r="E815" i="11"/>
  <c r="L814" i="11"/>
  <c r="I814" i="11" s="1"/>
  <c r="F814" i="11"/>
  <c r="H814" i="11" s="1"/>
  <c r="E814" i="11"/>
  <c r="N814" i="11" s="1"/>
  <c r="L813" i="11"/>
  <c r="I813" i="11" s="1"/>
  <c r="E813" i="11"/>
  <c r="F812" i="11"/>
  <c r="I812" i="11" s="1"/>
  <c r="E812" i="11"/>
  <c r="F811" i="11"/>
  <c r="I811" i="11" s="1"/>
  <c r="E811" i="11"/>
  <c r="I810" i="11"/>
  <c r="H810" i="11"/>
  <c r="N810" i="11" s="1"/>
  <c r="E810" i="11"/>
  <c r="L809" i="11"/>
  <c r="H809" i="11"/>
  <c r="F809" i="11"/>
  <c r="E809" i="11"/>
  <c r="N809" i="11" s="1"/>
  <c r="N808" i="11"/>
  <c r="H808" i="11"/>
  <c r="F808" i="11"/>
  <c r="I808" i="11" s="1"/>
  <c r="E808" i="11"/>
  <c r="H807" i="11"/>
  <c r="E807" i="11"/>
  <c r="N807" i="11" s="1"/>
  <c r="F806" i="11"/>
  <c r="I806" i="11" s="1"/>
  <c r="E806" i="11"/>
  <c r="I805" i="11"/>
  <c r="H805" i="11"/>
  <c r="F805" i="11"/>
  <c r="E805" i="11"/>
  <c r="N805" i="11" s="1"/>
  <c r="H804" i="11"/>
  <c r="F804" i="11"/>
  <c r="E804" i="11"/>
  <c r="N804" i="11" s="1"/>
  <c r="N803" i="11"/>
  <c r="H803" i="11"/>
  <c r="F803" i="11"/>
  <c r="I803" i="11" s="1"/>
  <c r="E803" i="11"/>
  <c r="L802" i="11"/>
  <c r="I802" i="11"/>
  <c r="H802" i="11"/>
  <c r="N802" i="11" s="1"/>
  <c r="F802" i="11"/>
  <c r="E802" i="11"/>
  <c r="L801" i="11"/>
  <c r="H801" i="11" s="1"/>
  <c r="E801" i="11"/>
  <c r="N801" i="11" s="1"/>
  <c r="N800" i="11"/>
  <c r="H800" i="11"/>
  <c r="F800" i="11"/>
  <c r="I800" i="11" s="1"/>
  <c r="E800" i="11"/>
  <c r="H799" i="11"/>
  <c r="N799" i="11" s="1"/>
  <c r="F799" i="11"/>
  <c r="I799" i="11" s="1"/>
  <c r="E799" i="11"/>
  <c r="H798" i="11"/>
  <c r="E798" i="11"/>
  <c r="N798" i="11" s="1"/>
  <c r="L797" i="11"/>
  <c r="I797" i="11" s="1"/>
  <c r="E797" i="11"/>
  <c r="L796" i="11"/>
  <c r="H796" i="11" s="1"/>
  <c r="E796" i="11"/>
  <c r="N795" i="11"/>
  <c r="L795" i="11"/>
  <c r="H795" i="11"/>
  <c r="E795" i="11"/>
  <c r="I795" i="11" s="1"/>
  <c r="H794" i="11"/>
  <c r="E794" i="11"/>
  <c r="N794" i="11" s="1"/>
  <c r="L793" i="11"/>
  <c r="I793" i="11" s="1"/>
  <c r="F793" i="11"/>
  <c r="H793" i="11" s="1"/>
  <c r="E793" i="11"/>
  <c r="N793" i="11" s="1"/>
  <c r="I792" i="11"/>
  <c r="F792" i="11"/>
  <c r="H792" i="11" s="1"/>
  <c r="N792" i="11" s="1"/>
  <c r="E792" i="11"/>
  <c r="L791" i="11"/>
  <c r="I791" i="11" s="1"/>
  <c r="H791" i="11"/>
  <c r="N791" i="11" s="1"/>
  <c r="F791" i="11"/>
  <c r="E791" i="11"/>
  <c r="L790" i="11"/>
  <c r="I790" i="11"/>
  <c r="H790" i="11"/>
  <c r="N790" i="11" s="1"/>
  <c r="E790" i="11"/>
  <c r="L789" i="11"/>
  <c r="I789" i="11" s="1"/>
  <c r="F789" i="11"/>
  <c r="E789" i="11"/>
  <c r="L788" i="11"/>
  <c r="I788" i="11"/>
  <c r="H788" i="11"/>
  <c r="N788" i="11" s="1"/>
  <c r="F788" i="11"/>
  <c r="E788" i="11"/>
  <c r="L787" i="11"/>
  <c r="H787" i="11" s="1"/>
  <c r="F787" i="11"/>
  <c r="I787" i="11" s="1"/>
  <c r="E787" i="11"/>
  <c r="L786" i="11"/>
  <c r="I786" i="11" s="1"/>
  <c r="F786" i="11"/>
  <c r="H786" i="11" s="1"/>
  <c r="E786" i="11"/>
  <c r="N786" i="11" s="1"/>
  <c r="I785" i="11"/>
  <c r="F785" i="11"/>
  <c r="H785" i="11" s="1"/>
  <c r="N785" i="11" s="1"/>
  <c r="E785" i="11"/>
  <c r="F784" i="11"/>
  <c r="I784" i="11" s="1"/>
  <c r="E784" i="11"/>
  <c r="L783" i="11"/>
  <c r="I783" i="11" s="1"/>
  <c r="H783" i="11"/>
  <c r="E783" i="11"/>
  <c r="N783" i="11" s="1"/>
  <c r="I782" i="11"/>
  <c r="H782" i="11"/>
  <c r="N782" i="11" s="1"/>
  <c r="E782" i="11"/>
  <c r="L781" i="11"/>
  <c r="I781" i="11"/>
  <c r="H781" i="11"/>
  <c r="N781" i="11" s="1"/>
  <c r="E781" i="11"/>
  <c r="I780" i="11"/>
  <c r="F780" i="11"/>
  <c r="H780" i="11" s="1"/>
  <c r="N780" i="11" s="1"/>
  <c r="E780" i="11"/>
  <c r="H779" i="11"/>
  <c r="E779" i="11"/>
  <c r="N779" i="11" s="1"/>
  <c r="N778" i="11"/>
  <c r="L778" i="11"/>
  <c r="H778" i="11"/>
  <c r="E778" i="11"/>
  <c r="I778" i="11" s="1"/>
  <c r="L777" i="11"/>
  <c r="I777" i="11"/>
  <c r="H777" i="11"/>
  <c r="N777" i="11" s="1"/>
  <c r="F777" i="11"/>
  <c r="E777" i="11"/>
  <c r="L776" i="11"/>
  <c r="H776" i="11" s="1"/>
  <c r="E776" i="11"/>
  <c r="N776" i="11" s="1"/>
  <c r="N775" i="11"/>
  <c r="L775" i="11"/>
  <c r="H775" i="11"/>
  <c r="E775" i="11"/>
  <c r="I775" i="11" s="1"/>
  <c r="H774" i="11"/>
  <c r="N774" i="11" s="1"/>
  <c r="F774" i="11"/>
  <c r="I774" i="11" s="1"/>
  <c r="E774" i="11"/>
  <c r="F773" i="11"/>
  <c r="I773" i="11" s="1"/>
  <c r="E773" i="11"/>
  <c r="I772" i="11"/>
  <c r="F772" i="11"/>
  <c r="H772" i="11" s="1"/>
  <c r="N772" i="11" s="1"/>
  <c r="E772" i="11"/>
  <c r="L771" i="11"/>
  <c r="I771" i="11" s="1"/>
  <c r="H771" i="11"/>
  <c r="N771" i="11" s="1"/>
  <c r="F771" i="11"/>
  <c r="E771" i="11"/>
  <c r="L770" i="11"/>
  <c r="H770" i="11"/>
  <c r="F770" i="11"/>
  <c r="E770" i="11"/>
  <c r="N770" i="11" s="1"/>
  <c r="L769" i="11"/>
  <c r="F769" i="11"/>
  <c r="I769" i="11" s="1"/>
  <c r="E769" i="11"/>
  <c r="L768" i="11"/>
  <c r="I768" i="11" s="1"/>
  <c r="F768" i="11"/>
  <c r="E768" i="11"/>
  <c r="L767" i="11"/>
  <c r="I767" i="11" s="1"/>
  <c r="H767" i="11"/>
  <c r="E767" i="11"/>
  <c r="N767" i="11" s="1"/>
  <c r="L766" i="11"/>
  <c r="I766" i="11" s="1"/>
  <c r="F766" i="11"/>
  <c r="H766" i="11" s="1"/>
  <c r="N766" i="11" s="1"/>
  <c r="E766" i="11"/>
  <c r="L765" i="11"/>
  <c r="I765" i="11" s="1"/>
  <c r="F765" i="11"/>
  <c r="E765" i="11"/>
  <c r="L764" i="11"/>
  <c r="I764" i="11"/>
  <c r="H764" i="11"/>
  <c r="N764" i="11" s="1"/>
  <c r="F764" i="11"/>
  <c r="E764" i="11"/>
  <c r="L763" i="11"/>
  <c r="H763" i="11" s="1"/>
  <c r="E763" i="11"/>
  <c r="N763" i="11" s="1"/>
  <c r="N762" i="11"/>
  <c r="H762" i="11"/>
  <c r="F762" i="11"/>
  <c r="I762" i="11" s="1"/>
  <c r="E762" i="11"/>
  <c r="H761" i="11"/>
  <c r="E761" i="11"/>
  <c r="N761" i="11" s="1"/>
  <c r="L760" i="11"/>
  <c r="I760" i="11" s="1"/>
  <c r="F760" i="11"/>
  <c r="H760" i="11" s="1"/>
  <c r="E760" i="11"/>
  <c r="N760" i="11" s="1"/>
  <c r="L759" i="11"/>
  <c r="I759" i="11" s="1"/>
  <c r="F759" i="11"/>
  <c r="E759" i="11"/>
  <c r="L758" i="11"/>
  <c r="I758" i="11"/>
  <c r="H758" i="11"/>
  <c r="N758" i="11" s="1"/>
  <c r="F758" i="11"/>
  <c r="E758" i="11"/>
  <c r="L757" i="11"/>
  <c r="H757" i="11" s="1"/>
  <c r="F757" i="11"/>
  <c r="I757" i="11" s="1"/>
  <c r="E757" i="11"/>
  <c r="F756" i="11"/>
  <c r="I756" i="11" s="1"/>
  <c r="E756" i="11"/>
  <c r="L755" i="11"/>
  <c r="I755" i="11" s="1"/>
  <c r="F755" i="11"/>
  <c r="E755" i="11"/>
  <c r="L754" i="11"/>
  <c r="I754" i="11" s="1"/>
  <c r="H754" i="11"/>
  <c r="N754" i="11" s="1"/>
  <c r="F754" i="11"/>
  <c r="E754" i="11"/>
  <c r="H753" i="11"/>
  <c r="E753" i="11"/>
  <c r="N753" i="11" s="1"/>
  <c r="I752" i="11"/>
  <c r="H752" i="11"/>
  <c r="E752" i="11"/>
  <c r="N752" i="11" s="1"/>
  <c r="L751" i="11"/>
  <c r="H751" i="11"/>
  <c r="F751" i="11"/>
  <c r="E751" i="11"/>
  <c r="N751" i="11" s="1"/>
  <c r="N750" i="11"/>
  <c r="H750" i="11"/>
  <c r="E750" i="11"/>
  <c r="I750" i="11" s="1"/>
  <c r="F749" i="11"/>
  <c r="I749" i="11" s="1"/>
  <c r="E749" i="11"/>
  <c r="H748" i="11"/>
  <c r="E748" i="11"/>
  <c r="N748" i="11" s="1"/>
  <c r="H747" i="11"/>
  <c r="E747" i="11"/>
  <c r="N747" i="11" s="1"/>
  <c r="H746" i="11"/>
  <c r="E746" i="11"/>
  <c r="N746" i="11" s="1"/>
  <c r="L745" i="11"/>
  <c r="I745" i="11"/>
  <c r="H745" i="11"/>
  <c r="N745" i="11" s="1"/>
  <c r="E745" i="11"/>
  <c r="L744" i="11"/>
  <c r="H744" i="11"/>
  <c r="F744" i="11"/>
  <c r="E744" i="11"/>
  <c r="N744" i="11" s="1"/>
  <c r="N743" i="11"/>
  <c r="L743" i="11"/>
  <c r="H743" i="11"/>
  <c r="E743" i="11"/>
  <c r="I743" i="11" s="1"/>
  <c r="H742" i="11"/>
  <c r="N742" i="11" s="1"/>
  <c r="F742" i="11"/>
  <c r="I742" i="11" s="1"/>
  <c r="E742" i="11"/>
  <c r="H741" i="11"/>
  <c r="E741" i="11"/>
  <c r="N741" i="11" s="1"/>
  <c r="L740" i="11"/>
  <c r="I740" i="11" s="1"/>
  <c r="F740" i="11"/>
  <c r="E740" i="11"/>
  <c r="F739" i="11"/>
  <c r="I739" i="11" s="1"/>
  <c r="E739" i="11"/>
  <c r="F738" i="11"/>
  <c r="I738" i="11" s="1"/>
  <c r="E738" i="11"/>
  <c r="L737" i="11"/>
  <c r="I737" i="11" s="1"/>
  <c r="F737" i="11"/>
  <c r="E737" i="11"/>
  <c r="L736" i="11"/>
  <c r="I736" i="11" s="1"/>
  <c r="H736" i="11"/>
  <c r="E736" i="11"/>
  <c r="N736" i="11" s="1"/>
  <c r="L735" i="11"/>
  <c r="I735" i="11" s="1"/>
  <c r="F735" i="11"/>
  <c r="H735" i="11" s="1"/>
  <c r="E735" i="11"/>
  <c r="N735" i="11" s="1"/>
  <c r="L734" i="11"/>
  <c r="I734" i="11" s="1"/>
  <c r="F734" i="11"/>
  <c r="E734" i="11"/>
  <c r="L733" i="11"/>
  <c r="I733" i="11"/>
  <c r="H733" i="11"/>
  <c r="N733" i="11" s="1"/>
  <c r="F733" i="11"/>
  <c r="E733" i="11"/>
  <c r="L732" i="11"/>
  <c r="H732" i="11" s="1"/>
  <c r="F732" i="11"/>
  <c r="I732" i="11" s="1"/>
  <c r="E732" i="11"/>
  <c r="L731" i="11"/>
  <c r="I731" i="11" s="1"/>
  <c r="F731" i="11"/>
  <c r="H731" i="11" s="1"/>
  <c r="E731" i="11"/>
  <c r="N731" i="11" s="1"/>
  <c r="I730" i="11"/>
  <c r="F730" i="11"/>
  <c r="H730" i="11" s="1"/>
  <c r="N730" i="11" s="1"/>
  <c r="E730" i="11"/>
  <c r="F729" i="11"/>
  <c r="I729" i="11" s="1"/>
  <c r="E729" i="11"/>
  <c r="L728" i="11"/>
  <c r="I728" i="11" s="1"/>
  <c r="F728" i="11"/>
  <c r="H728" i="11" s="1"/>
  <c r="E728" i="11"/>
  <c r="N728" i="11" s="1"/>
  <c r="N727" i="11"/>
  <c r="I727" i="11"/>
  <c r="H727" i="11"/>
  <c r="E727" i="11"/>
  <c r="H726" i="11"/>
  <c r="F726" i="11"/>
  <c r="E726" i="11"/>
  <c r="N726" i="11" s="1"/>
  <c r="L725" i="11"/>
  <c r="F725" i="11"/>
  <c r="I725" i="11" s="1"/>
  <c r="E725" i="11"/>
  <c r="L724" i="11"/>
  <c r="I724" i="11" s="1"/>
  <c r="F724" i="11"/>
  <c r="E724" i="11"/>
  <c r="L723" i="11"/>
  <c r="I723" i="11" s="1"/>
  <c r="H723" i="11"/>
  <c r="N723" i="11" s="1"/>
  <c r="F723" i="11"/>
  <c r="E723" i="11"/>
  <c r="L722" i="11"/>
  <c r="H722" i="11"/>
  <c r="F722" i="11"/>
  <c r="E722" i="11"/>
  <c r="N722" i="11" s="1"/>
  <c r="N721" i="11"/>
  <c r="H721" i="11"/>
  <c r="F721" i="11"/>
  <c r="I721" i="11" s="1"/>
  <c r="E721" i="11"/>
  <c r="H720" i="11"/>
  <c r="N720" i="11" s="1"/>
  <c r="F720" i="11"/>
  <c r="I720" i="11" s="1"/>
  <c r="E720" i="11"/>
  <c r="L719" i="11"/>
  <c r="H719" i="11"/>
  <c r="F719" i="11"/>
  <c r="E719" i="11"/>
  <c r="N719" i="11" s="1"/>
  <c r="N718" i="11"/>
  <c r="L718" i="11"/>
  <c r="H718" i="11"/>
  <c r="E718" i="11"/>
  <c r="I718" i="11" s="1"/>
  <c r="L717" i="11"/>
  <c r="I717" i="11"/>
  <c r="H717" i="11"/>
  <c r="N717" i="11" s="1"/>
  <c r="F717" i="11"/>
  <c r="E717" i="11"/>
  <c r="L716" i="11"/>
  <c r="H716" i="11" s="1"/>
  <c r="F716" i="11"/>
  <c r="I716" i="11" s="1"/>
  <c r="E716" i="11"/>
  <c r="L715" i="11"/>
  <c r="I715" i="11" s="1"/>
  <c r="F715" i="11"/>
  <c r="H715" i="11" s="1"/>
  <c r="E715" i="11"/>
  <c r="N715" i="11" s="1"/>
  <c r="L714" i="11"/>
  <c r="I714" i="11" s="1"/>
  <c r="F714" i="11"/>
  <c r="E714" i="11"/>
  <c r="L713" i="11"/>
  <c r="I713" i="11"/>
  <c r="H713" i="11"/>
  <c r="N713" i="11" s="1"/>
  <c r="E713" i="11"/>
  <c r="F712" i="11"/>
  <c r="I712" i="11" s="1"/>
  <c r="E712" i="11"/>
  <c r="L711" i="11"/>
  <c r="I711" i="11" s="1"/>
  <c r="F711" i="11"/>
  <c r="E711" i="11"/>
  <c r="H710" i="11"/>
  <c r="N710" i="11" s="1"/>
  <c r="F710" i="11"/>
  <c r="I710" i="11" s="1"/>
  <c r="E710" i="11"/>
  <c r="L709" i="11"/>
  <c r="H709" i="11"/>
  <c r="F709" i="11"/>
  <c r="E709" i="11"/>
  <c r="N709" i="11" s="1"/>
  <c r="N708" i="11"/>
  <c r="L708" i="11"/>
  <c r="H708" i="11"/>
  <c r="E708" i="11"/>
  <c r="I708" i="11" s="1"/>
  <c r="H707" i="11"/>
  <c r="E707" i="11"/>
  <c r="N707" i="11" s="1"/>
  <c r="F706" i="11"/>
  <c r="I706" i="11" s="1"/>
  <c r="E706" i="11"/>
  <c r="L705" i="11"/>
  <c r="I705" i="11" s="1"/>
  <c r="F705" i="11"/>
  <c r="E705" i="11"/>
  <c r="F704" i="11"/>
  <c r="I704" i="11" s="1"/>
  <c r="E704" i="11"/>
  <c r="H703" i="11"/>
  <c r="E703" i="11"/>
  <c r="N703" i="11" s="1"/>
  <c r="L702" i="11"/>
  <c r="I702" i="11"/>
  <c r="H702" i="11"/>
  <c r="N702" i="11" s="1"/>
  <c r="F702" i="11"/>
  <c r="E702" i="11"/>
  <c r="L701" i="11"/>
  <c r="H701" i="11" s="1"/>
  <c r="F701" i="11"/>
  <c r="I701" i="11" s="1"/>
  <c r="E701" i="11"/>
  <c r="N701" i="11" s="1"/>
  <c r="L700" i="11"/>
  <c r="I700" i="11" s="1"/>
  <c r="F700" i="11"/>
  <c r="H700" i="11" s="1"/>
  <c r="E700" i="11"/>
  <c r="L699" i="11"/>
  <c r="I699" i="11" s="1"/>
  <c r="F699" i="11"/>
  <c r="E699" i="11"/>
  <c r="L698" i="11"/>
  <c r="I698" i="11"/>
  <c r="H698" i="11"/>
  <c r="N698" i="11" s="1"/>
  <c r="F698" i="11"/>
  <c r="E698" i="11"/>
  <c r="H697" i="11"/>
  <c r="F697" i="11"/>
  <c r="E697" i="11"/>
  <c r="N697" i="11" s="1"/>
  <c r="N696" i="11"/>
  <c r="H696" i="11"/>
  <c r="F696" i="11"/>
  <c r="I696" i="11" s="1"/>
  <c r="E696" i="11"/>
  <c r="H695" i="11"/>
  <c r="N695" i="11" s="1"/>
  <c r="F695" i="11"/>
  <c r="I695" i="11" s="1"/>
  <c r="E695" i="11"/>
  <c r="L694" i="11"/>
  <c r="H694" i="11"/>
  <c r="F694" i="11"/>
  <c r="E694" i="11"/>
  <c r="N694" i="11" s="1"/>
  <c r="L693" i="11"/>
  <c r="H693" i="11" s="1"/>
  <c r="N693" i="11" s="1"/>
  <c r="E693" i="11"/>
  <c r="I693" i="11" s="1"/>
  <c r="L692" i="11"/>
  <c r="I692" i="11"/>
  <c r="H692" i="11"/>
  <c r="N692" i="11" s="1"/>
  <c r="E692" i="11"/>
  <c r="H691" i="11"/>
  <c r="E691" i="11"/>
  <c r="N691" i="11" s="1"/>
  <c r="L690" i="11"/>
  <c r="I690" i="11" s="1"/>
  <c r="E690" i="11"/>
  <c r="I689" i="11"/>
  <c r="H689" i="11"/>
  <c r="E689" i="11"/>
  <c r="N689" i="11" s="1"/>
  <c r="L688" i="11"/>
  <c r="I688" i="11" s="1"/>
  <c r="E688" i="11"/>
  <c r="L687" i="11"/>
  <c r="I687" i="11" s="1"/>
  <c r="H687" i="11"/>
  <c r="N687" i="11" s="1"/>
  <c r="F687" i="11"/>
  <c r="E687" i="11"/>
  <c r="L686" i="11"/>
  <c r="H686" i="11"/>
  <c r="F686" i="11"/>
  <c r="E686" i="11"/>
  <c r="N686" i="11" s="1"/>
  <c r="F685" i="11"/>
  <c r="I685" i="11" s="1"/>
  <c r="E685" i="11"/>
  <c r="L684" i="11"/>
  <c r="I684" i="11"/>
  <c r="H684" i="11"/>
  <c r="N684" i="11" s="1"/>
  <c r="E684" i="11"/>
  <c r="H683" i="11"/>
  <c r="E683" i="11"/>
  <c r="N683" i="11" s="1"/>
  <c r="I682" i="11"/>
  <c r="H682" i="11"/>
  <c r="E682" i="11"/>
  <c r="N682" i="11" s="1"/>
  <c r="F681" i="11"/>
  <c r="I681" i="11" s="1"/>
  <c r="E681" i="11"/>
  <c r="L680" i="11"/>
  <c r="I680" i="11" s="1"/>
  <c r="E680" i="11"/>
  <c r="L679" i="11"/>
  <c r="I679" i="11" s="1"/>
  <c r="H679" i="11"/>
  <c r="E679" i="11"/>
  <c r="N679" i="11" s="1"/>
  <c r="L678" i="11"/>
  <c r="I678" i="11" s="1"/>
  <c r="H678" i="11"/>
  <c r="E678" i="11"/>
  <c r="N678" i="11" s="1"/>
  <c r="I677" i="11"/>
  <c r="H677" i="11"/>
  <c r="E677" i="11"/>
  <c r="N677" i="11" s="1"/>
  <c r="H676" i="11"/>
  <c r="E676" i="11"/>
  <c r="N676" i="11" s="1"/>
  <c r="I675" i="11"/>
  <c r="H675" i="11"/>
  <c r="E675" i="11"/>
  <c r="N675" i="11" s="1"/>
  <c r="H674" i="11"/>
  <c r="E674" i="11"/>
  <c r="N674" i="11" s="1"/>
  <c r="I673" i="11"/>
  <c r="H673" i="11"/>
  <c r="E673" i="11"/>
  <c r="N673" i="11" s="1"/>
  <c r="H672" i="11"/>
  <c r="E672" i="11"/>
  <c r="N672" i="11" s="1"/>
  <c r="I671" i="11"/>
  <c r="H671" i="11"/>
  <c r="F671" i="11"/>
  <c r="E671" i="11"/>
  <c r="N671" i="11" s="1"/>
  <c r="H670" i="11"/>
  <c r="F670" i="11"/>
  <c r="E670" i="11"/>
  <c r="N670" i="11" s="1"/>
  <c r="F669" i="11"/>
  <c r="H669" i="11" s="1"/>
  <c r="N669" i="11" s="1"/>
  <c r="E669" i="11"/>
  <c r="I669" i="11" s="1"/>
  <c r="H668" i="11"/>
  <c r="E668" i="11"/>
  <c r="N668" i="11" s="1"/>
  <c r="H667" i="11"/>
  <c r="E667" i="11"/>
  <c r="N667" i="11" s="1"/>
  <c r="H666" i="11"/>
  <c r="N666" i="11" s="1"/>
  <c r="F666" i="11"/>
  <c r="I666" i="11" s="1"/>
  <c r="E666" i="11"/>
  <c r="F665" i="11"/>
  <c r="I665" i="11" s="1"/>
  <c r="E665" i="11"/>
  <c r="N664" i="11"/>
  <c r="I664" i="11"/>
  <c r="H664" i="11"/>
  <c r="F664" i="11"/>
  <c r="E664" i="11"/>
  <c r="H663" i="11"/>
  <c r="E663" i="11"/>
  <c r="N663" i="11" s="1"/>
  <c r="F662" i="11"/>
  <c r="H662" i="11" s="1"/>
  <c r="N662" i="11" s="1"/>
  <c r="E662" i="11"/>
  <c r="I662" i="11" s="1"/>
  <c r="H661" i="11"/>
  <c r="E661" i="11"/>
  <c r="N661" i="11" s="1"/>
  <c r="F660" i="11"/>
  <c r="I660" i="11" s="1"/>
  <c r="E660" i="11"/>
  <c r="I659" i="11"/>
  <c r="H659" i="11"/>
  <c r="F659" i="11"/>
  <c r="E659" i="11"/>
  <c r="N659" i="11" s="1"/>
  <c r="H658" i="11"/>
  <c r="F658" i="11"/>
  <c r="E658" i="11"/>
  <c r="N658" i="11" s="1"/>
  <c r="N657" i="11"/>
  <c r="I657" i="11"/>
  <c r="H657" i="11"/>
  <c r="E657" i="11"/>
  <c r="H656" i="11"/>
  <c r="E656" i="11"/>
  <c r="N656" i="11" s="1"/>
  <c r="N655" i="11"/>
  <c r="I655" i="11"/>
  <c r="H655" i="11"/>
  <c r="E655" i="11"/>
  <c r="L654" i="11"/>
  <c r="I654" i="11" s="1"/>
  <c r="H654" i="11"/>
  <c r="E654" i="11"/>
  <c r="N654" i="11" s="1"/>
  <c r="H653" i="11"/>
  <c r="E653" i="11"/>
  <c r="N653" i="11" s="1"/>
  <c r="H652" i="11"/>
  <c r="E652" i="11"/>
  <c r="N652" i="11" s="1"/>
  <c r="F651" i="11"/>
  <c r="I651" i="11" s="1"/>
  <c r="E651" i="11"/>
  <c r="I650" i="11"/>
  <c r="H650" i="11"/>
  <c r="F650" i="11"/>
  <c r="E650" i="11"/>
  <c r="N650" i="11" s="1"/>
  <c r="H649" i="11"/>
  <c r="F649" i="11"/>
  <c r="E649" i="11"/>
  <c r="N649" i="11" s="1"/>
  <c r="N648" i="11"/>
  <c r="H648" i="11"/>
  <c r="E648" i="11"/>
  <c r="I648" i="11" s="1"/>
  <c r="F647" i="11"/>
  <c r="I647" i="11" s="1"/>
  <c r="E647" i="11"/>
  <c r="F646" i="11"/>
  <c r="I646" i="11" s="1"/>
  <c r="E646" i="11"/>
  <c r="I645" i="11"/>
  <c r="H645" i="11"/>
  <c r="E645" i="11"/>
  <c r="N645" i="11" s="1"/>
  <c r="H644" i="11"/>
  <c r="E644" i="11"/>
  <c r="N644" i="11" s="1"/>
  <c r="L643" i="11"/>
  <c r="I643" i="11" s="1"/>
  <c r="E643" i="11"/>
  <c r="L642" i="11"/>
  <c r="H642" i="11" s="1"/>
  <c r="E642" i="11"/>
  <c r="N641" i="11"/>
  <c r="H641" i="11"/>
  <c r="E641" i="11"/>
  <c r="I641" i="11" s="1"/>
  <c r="H640" i="11"/>
  <c r="E640" i="11"/>
  <c r="N640" i="11" s="1"/>
  <c r="N639" i="11"/>
  <c r="H639" i="11"/>
  <c r="F639" i="11"/>
  <c r="I639" i="11" s="1"/>
  <c r="E639" i="11"/>
  <c r="H638" i="11"/>
  <c r="N638" i="11" s="1"/>
  <c r="F638" i="11"/>
  <c r="I638" i="11" s="1"/>
  <c r="E638" i="11"/>
  <c r="H637" i="11"/>
  <c r="E637" i="11"/>
  <c r="N637" i="11" s="1"/>
  <c r="I636" i="11"/>
  <c r="H636" i="11"/>
  <c r="E636" i="11"/>
  <c r="N636" i="11" s="1"/>
  <c r="F635" i="11"/>
  <c r="I635" i="11" s="1"/>
  <c r="E635" i="11"/>
  <c r="I634" i="11"/>
  <c r="F634" i="11"/>
  <c r="H634" i="11" s="1"/>
  <c r="N634" i="11" s="1"/>
  <c r="E634" i="11"/>
  <c r="H633" i="11"/>
  <c r="E633" i="11"/>
  <c r="N633" i="11" s="1"/>
  <c r="N632" i="11"/>
  <c r="H632" i="11"/>
  <c r="F632" i="11"/>
  <c r="I632" i="11" s="1"/>
  <c r="E632" i="11"/>
  <c r="H631" i="11"/>
  <c r="N631" i="11" s="1"/>
  <c r="F631" i="11"/>
  <c r="I631" i="11" s="1"/>
  <c r="E631" i="11"/>
  <c r="F630" i="11"/>
  <c r="I630" i="11" s="1"/>
  <c r="E630" i="11"/>
  <c r="N629" i="11"/>
  <c r="I629" i="11"/>
  <c r="H629" i="11"/>
  <c r="E629" i="11"/>
  <c r="H628" i="11"/>
  <c r="F628" i="11"/>
  <c r="E628" i="11"/>
  <c r="N628" i="11" s="1"/>
  <c r="N627" i="11"/>
  <c r="H627" i="11"/>
  <c r="E627" i="11"/>
  <c r="I627" i="11" s="1"/>
  <c r="F626" i="11"/>
  <c r="I626" i="11" s="1"/>
  <c r="E626" i="11"/>
  <c r="F625" i="11"/>
  <c r="I625" i="11" s="1"/>
  <c r="E625" i="11"/>
  <c r="I624" i="11"/>
  <c r="H624" i="11"/>
  <c r="E624" i="11"/>
  <c r="N624" i="11" s="1"/>
  <c r="H623" i="11"/>
  <c r="E623" i="11"/>
  <c r="N623" i="11" s="1"/>
  <c r="I622" i="11"/>
  <c r="H622" i="11"/>
  <c r="E622" i="11"/>
  <c r="N622" i="11" s="1"/>
  <c r="H621" i="11"/>
  <c r="E621" i="11"/>
  <c r="N621" i="11" s="1"/>
  <c r="I620" i="11"/>
  <c r="H620" i="11"/>
  <c r="F620" i="11"/>
  <c r="E620" i="11"/>
  <c r="N620" i="11" s="1"/>
  <c r="H619" i="11"/>
  <c r="F619" i="11"/>
  <c r="E619" i="11"/>
  <c r="N619" i="11" s="1"/>
  <c r="N618" i="11"/>
  <c r="H618" i="11"/>
  <c r="E618" i="11"/>
  <c r="I618" i="11" s="1"/>
  <c r="H617" i="11"/>
  <c r="E617" i="11"/>
  <c r="N617" i="11" s="1"/>
  <c r="F616" i="11"/>
  <c r="I616" i="11" s="1"/>
  <c r="E616" i="11"/>
  <c r="H615" i="11"/>
  <c r="E615" i="11"/>
  <c r="N615" i="11" s="1"/>
  <c r="H614" i="11"/>
  <c r="E614" i="11"/>
  <c r="N614" i="11" s="1"/>
  <c r="H613" i="11"/>
  <c r="N613" i="11" s="1"/>
  <c r="F613" i="11"/>
  <c r="I613" i="11" s="1"/>
  <c r="E613" i="11"/>
  <c r="F612" i="11"/>
  <c r="I612" i="11" s="1"/>
  <c r="E612" i="11"/>
  <c r="I611" i="11"/>
  <c r="F611" i="11"/>
  <c r="H611" i="11" s="1"/>
  <c r="E611" i="11"/>
  <c r="H610" i="11"/>
  <c r="E610" i="11"/>
  <c r="N610" i="11" s="1"/>
  <c r="E609" i="11"/>
  <c r="H608" i="11"/>
  <c r="N608" i="11" s="1"/>
  <c r="F608" i="11"/>
  <c r="I608" i="11" s="1"/>
  <c r="E608" i="11"/>
  <c r="F607" i="11"/>
  <c r="I607" i="11" s="1"/>
  <c r="E607" i="11"/>
  <c r="N606" i="11"/>
  <c r="I606" i="11"/>
  <c r="H606" i="11"/>
  <c r="E606" i="11"/>
  <c r="H605" i="11"/>
  <c r="F605" i="11"/>
  <c r="E605" i="11"/>
  <c r="N605" i="11" s="1"/>
  <c r="F604" i="11"/>
  <c r="I604" i="11" s="1"/>
  <c r="E604" i="11"/>
  <c r="H603" i="11"/>
  <c r="N603" i="11" s="1"/>
  <c r="F603" i="11"/>
  <c r="I603" i="11" s="1"/>
  <c r="E603" i="11"/>
  <c r="F602" i="11"/>
  <c r="I602" i="11" s="1"/>
  <c r="E602" i="11"/>
  <c r="I601" i="11"/>
  <c r="F601" i="11"/>
  <c r="H601" i="11" s="1"/>
  <c r="N601" i="11" s="1"/>
  <c r="E601" i="11"/>
  <c r="F600" i="11"/>
  <c r="I600" i="11" s="1"/>
  <c r="E600" i="11"/>
  <c r="F599" i="11"/>
  <c r="I599" i="11" s="1"/>
  <c r="E599" i="11"/>
  <c r="I598" i="11"/>
  <c r="H598" i="11"/>
  <c r="E598" i="11"/>
  <c r="N598" i="11" s="1"/>
  <c r="F597" i="11"/>
  <c r="I597" i="11" s="1"/>
  <c r="E597" i="11"/>
  <c r="I596" i="11"/>
  <c r="F596" i="11"/>
  <c r="H596" i="11" s="1"/>
  <c r="N596" i="11" s="1"/>
  <c r="E596" i="11"/>
  <c r="F595" i="11"/>
  <c r="I595" i="11" s="1"/>
  <c r="E595" i="11"/>
  <c r="F594" i="11"/>
  <c r="I594" i="11" s="1"/>
  <c r="E594" i="11"/>
  <c r="I593" i="11"/>
  <c r="H593" i="11"/>
  <c r="E593" i="11"/>
  <c r="N593" i="11" s="1"/>
  <c r="F592" i="11"/>
  <c r="I592" i="11" s="1"/>
  <c r="E592" i="11"/>
  <c r="I591" i="11"/>
  <c r="F591" i="11"/>
  <c r="H591" i="11" s="1"/>
  <c r="N591" i="11" s="1"/>
  <c r="E591" i="11"/>
  <c r="F590" i="11"/>
  <c r="I590" i="11" s="1"/>
  <c r="E590" i="11"/>
  <c r="F589" i="11"/>
  <c r="I589" i="11" s="1"/>
  <c r="E589" i="11"/>
  <c r="I588" i="11"/>
  <c r="H588" i="11"/>
  <c r="E588" i="11"/>
  <c r="N588" i="11" s="1"/>
  <c r="F587" i="11"/>
  <c r="I587" i="11" s="1"/>
  <c r="E587" i="11"/>
  <c r="I586" i="11"/>
  <c r="F586" i="11"/>
  <c r="H586" i="11" s="1"/>
  <c r="N586" i="11" s="1"/>
  <c r="E586" i="11"/>
  <c r="H585" i="11"/>
  <c r="E585" i="11"/>
  <c r="N585" i="11" s="1"/>
  <c r="F584" i="11"/>
  <c r="I584" i="11" s="1"/>
  <c r="E584" i="11"/>
  <c r="H583" i="11"/>
  <c r="N583" i="11" s="1"/>
  <c r="F583" i="11"/>
  <c r="I583" i="11" s="1"/>
  <c r="E583" i="11"/>
  <c r="F582" i="11"/>
  <c r="I582" i="11" s="1"/>
  <c r="E582" i="11"/>
  <c r="I581" i="11"/>
  <c r="F581" i="11"/>
  <c r="H581" i="11" s="1"/>
  <c r="N581" i="11" s="1"/>
  <c r="E581" i="11"/>
  <c r="H580" i="11"/>
  <c r="E580" i="11"/>
  <c r="N580" i="11" s="1"/>
  <c r="F579" i="11"/>
  <c r="I579" i="11" s="1"/>
  <c r="E579" i="11"/>
  <c r="H578" i="11"/>
  <c r="N578" i="11" s="1"/>
  <c r="F578" i="11"/>
  <c r="I578" i="11" s="1"/>
  <c r="E578" i="11"/>
  <c r="H577" i="11"/>
  <c r="E577" i="11"/>
  <c r="N577" i="11" s="1"/>
  <c r="I576" i="11"/>
  <c r="H576" i="11"/>
  <c r="F576" i="11"/>
  <c r="E576" i="11"/>
  <c r="N576" i="11" s="1"/>
  <c r="L575" i="11"/>
  <c r="H575" i="11" s="1"/>
  <c r="F575" i="11"/>
  <c r="I575" i="11" s="1"/>
  <c r="E575" i="11"/>
  <c r="N575" i="11" s="1"/>
  <c r="L574" i="11"/>
  <c r="I574" i="11" s="1"/>
  <c r="F574" i="11"/>
  <c r="H574" i="11" s="1"/>
  <c r="N574" i="11" s="1"/>
  <c r="E574" i="11"/>
  <c r="I573" i="11"/>
  <c r="F573" i="11"/>
  <c r="H573" i="11" s="1"/>
  <c r="N573" i="11" s="1"/>
  <c r="E573" i="11"/>
  <c r="L572" i="11"/>
  <c r="I572" i="11" s="1"/>
  <c r="H572" i="11"/>
  <c r="N572" i="11" s="1"/>
  <c r="F572" i="11"/>
  <c r="E572" i="11"/>
  <c r="L571" i="11"/>
  <c r="I571" i="11"/>
  <c r="H571" i="11"/>
  <c r="N571" i="11" s="1"/>
  <c r="E571" i="11"/>
  <c r="L570" i="11"/>
  <c r="I570" i="11" s="1"/>
  <c r="F570" i="11"/>
  <c r="E570" i="11"/>
  <c r="H569" i="11"/>
  <c r="N569" i="11" s="1"/>
  <c r="F569" i="11"/>
  <c r="I569" i="11" s="1"/>
  <c r="E569" i="11"/>
  <c r="L568" i="11"/>
  <c r="H568" i="11"/>
  <c r="F568" i="11"/>
  <c r="E568" i="11"/>
  <c r="N568" i="11" s="1"/>
  <c r="N567" i="11"/>
  <c r="L567" i="11"/>
  <c r="I567" i="11" s="1"/>
  <c r="H567" i="11"/>
  <c r="E567" i="11"/>
  <c r="H566" i="11"/>
  <c r="N566" i="11" s="1"/>
  <c r="F566" i="11"/>
  <c r="I566" i="11" s="1"/>
  <c r="E566" i="11"/>
  <c r="L565" i="11"/>
  <c r="H565" i="11"/>
  <c r="F565" i="11"/>
  <c r="E565" i="11"/>
  <c r="N565" i="11" s="1"/>
  <c r="N564" i="11"/>
  <c r="L564" i="11"/>
  <c r="I564" i="11" s="1"/>
  <c r="H564" i="11"/>
  <c r="E564" i="11"/>
  <c r="L563" i="11"/>
  <c r="I563" i="11"/>
  <c r="H563" i="11"/>
  <c r="N563" i="11" s="1"/>
  <c r="F563" i="11"/>
  <c r="E563" i="11"/>
  <c r="L562" i="11"/>
  <c r="H562" i="11" s="1"/>
  <c r="F562" i="11"/>
  <c r="I562" i="11" s="1"/>
  <c r="E562" i="11"/>
  <c r="N562" i="11" s="1"/>
  <c r="L561" i="11"/>
  <c r="F561" i="11"/>
  <c r="I561" i="11" s="1"/>
  <c r="E561" i="11"/>
  <c r="L560" i="11"/>
  <c r="I560" i="11" s="1"/>
  <c r="E560" i="11"/>
  <c r="L559" i="11"/>
  <c r="I559" i="11" s="1"/>
  <c r="H559" i="11"/>
  <c r="N559" i="11" s="1"/>
  <c r="F559" i="11"/>
  <c r="E559" i="11"/>
  <c r="F558" i="11"/>
  <c r="I558" i="11" s="1"/>
  <c r="E558" i="11"/>
  <c r="N557" i="11"/>
  <c r="I557" i="11"/>
  <c r="H557" i="11"/>
  <c r="E557" i="11"/>
  <c r="I556" i="11"/>
  <c r="H556" i="11"/>
  <c r="N556" i="11" s="1"/>
  <c r="E556" i="11"/>
  <c r="L555" i="11"/>
  <c r="I555" i="11" s="1"/>
  <c r="E555" i="11"/>
  <c r="L554" i="11"/>
  <c r="I554" i="11" s="1"/>
  <c r="H554" i="11"/>
  <c r="E554" i="11"/>
  <c r="N554" i="11" s="1"/>
  <c r="L553" i="11"/>
  <c r="H553" i="11"/>
  <c r="E553" i="11"/>
  <c r="N553" i="11" s="1"/>
  <c r="I552" i="11"/>
  <c r="H552" i="11"/>
  <c r="E552" i="11"/>
  <c r="N552" i="11" s="1"/>
  <c r="L551" i="11"/>
  <c r="I551" i="11"/>
  <c r="H551" i="11"/>
  <c r="N551" i="11" s="1"/>
  <c r="E551" i="11"/>
  <c r="L550" i="11"/>
  <c r="I550" i="11" s="1"/>
  <c r="E550" i="11"/>
  <c r="H549" i="11"/>
  <c r="E549" i="11"/>
  <c r="N549" i="11" s="1"/>
  <c r="N548" i="11"/>
  <c r="H548" i="11"/>
  <c r="E548" i="11"/>
  <c r="I548" i="11" s="1"/>
  <c r="L547" i="11"/>
  <c r="I547" i="11" s="1"/>
  <c r="H547" i="11"/>
  <c r="E547" i="11"/>
  <c r="N547" i="11" s="1"/>
  <c r="H546" i="11"/>
  <c r="E546" i="11"/>
  <c r="N546" i="11" s="1"/>
  <c r="H545" i="11"/>
  <c r="E545" i="11"/>
  <c r="N545" i="11" s="1"/>
  <c r="L544" i="11"/>
  <c r="F544" i="11"/>
  <c r="I544" i="11" s="1"/>
  <c r="E544" i="11"/>
  <c r="N543" i="11"/>
  <c r="I543" i="11"/>
  <c r="H543" i="11"/>
  <c r="E543" i="11"/>
  <c r="I542" i="11"/>
  <c r="H542" i="11"/>
  <c r="N542" i="11" s="1"/>
  <c r="E542" i="11"/>
  <c r="L541" i="11"/>
  <c r="I541" i="11" s="1"/>
  <c r="E541" i="11"/>
  <c r="H540" i="11"/>
  <c r="E540" i="11"/>
  <c r="N540" i="11" s="1"/>
  <c r="N539" i="11"/>
  <c r="L539" i="11"/>
  <c r="I539" i="11" s="1"/>
  <c r="H539" i="11"/>
  <c r="E539" i="11"/>
  <c r="L538" i="11"/>
  <c r="I538" i="11"/>
  <c r="H538" i="11"/>
  <c r="N538" i="11" s="1"/>
  <c r="E538" i="11"/>
  <c r="L537" i="11"/>
  <c r="I537" i="11"/>
  <c r="H537" i="11"/>
  <c r="N537" i="11" s="1"/>
  <c r="E537" i="11"/>
  <c r="L536" i="11"/>
  <c r="I536" i="11" s="1"/>
  <c r="E536" i="11"/>
  <c r="L535" i="11"/>
  <c r="I535" i="11" s="1"/>
  <c r="H535" i="11"/>
  <c r="N535" i="11" s="1"/>
  <c r="F535" i="11"/>
  <c r="E535" i="11"/>
  <c r="F534" i="11"/>
  <c r="I534" i="11" s="1"/>
  <c r="E534" i="11"/>
  <c r="N533" i="11"/>
  <c r="I533" i="11"/>
  <c r="H533" i="11"/>
  <c r="E533" i="11"/>
  <c r="I532" i="11"/>
  <c r="H532" i="11"/>
  <c r="N532" i="11" s="1"/>
  <c r="E532" i="11"/>
  <c r="N531" i="11"/>
  <c r="I531" i="11"/>
  <c r="H531" i="11"/>
  <c r="F531" i="11"/>
  <c r="E531" i="11"/>
  <c r="H530" i="11"/>
  <c r="E530" i="11"/>
  <c r="N530" i="11" s="1"/>
  <c r="L529" i="11"/>
  <c r="I529" i="11" s="1"/>
  <c r="E529" i="11"/>
  <c r="L528" i="11"/>
  <c r="I528" i="11"/>
  <c r="H528" i="11"/>
  <c r="N528" i="11" s="1"/>
  <c r="E528" i="11"/>
  <c r="H527" i="11"/>
  <c r="E527" i="11"/>
  <c r="N527" i="11" s="1"/>
  <c r="I526" i="11"/>
  <c r="H526" i="11"/>
  <c r="E526" i="11"/>
  <c r="N526" i="11" s="1"/>
  <c r="H525" i="11"/>
  <c r="E525" i="11"/>
  <c r="N525" i="11" s="1"/>
  <c r="L524" i="11"/>
  <c r="I524" i="11" s="1"/>
  <c r="E524" i="11"/>
  <c r="L523" i="11"/>
  <c r="H523" i="11" s="1"/>
  <c r="E523" i="11"/>
  <c r="N523" i="11" s="1"/>
  <c r="N522" i="11"/>
  <c r="H522" i="11"/>
  <c r="E522" i="11"/>
  <c r="I522" i="11" s="1"/>
  <c r="H521" i="11"/>
  <c r="E521" i="11"/>
  <c r="N521" i="11" s="1"/>
  <c r="L520" i="11"/>
  <c r="I520" i="11" s="1"/>
  <c r="E520" i="11"/>
  <c r="L519" i="11"/>
  <c r="I519" i="11"/>
  <c r="H519" i="11"/>
  <c r="N519" i="11" s="1"/>
  <c r="F519" i="11"/>
  <c r="E519" i="11"/>
  <c r="H518" i="11"/>
  <c r="F518" i="11"/>
  <c r="E518" i="11"/>
  <c r="N518" i="11" s="1"/>
  <c r="N517" i="11"/>
  <c r="I517" i="11"/>
  <c r="H517" i="11"/>
  <c r="E517" i="11"/>
  <c r="H516" i="11"/>
  <c r="E516" i="11"/>
  <c r="N516" i="11" s="1"/>
  <c r="L515" i="11"/>
  <c r="I515" i="11" s="1"/>
  <c r="E515" i="11"/>
  <c r="L514" i="11"/>
  <c r="I514" i="11"/>
  <c r="H514" i="11"/>
  <c r="N514" i="11" s="1"/>
  <c r="E514" i="11"/>
  <c r="F513" i="11"/>
  <c r="I513" i="11" s="1"/>
  <c r="E513" i="11"/>
  <c r="N512" i="11"/>
  <c r="I512" i="11"/>
  <c r="H512" i="11"/>
  <c r="E512" i="11"/>
  <c r="I511" i="11"/>
  <c r="H511" i="11"/>
  <c r="N511" i="11" s="1"/>
  <c r="E511" i="11"/>
  <c r="N510" i="11"/>
  <c r="I510" i="11"/>
  <c r="H510" i="11"/>
  <c r="E510" i="11"/>
  <c r="L509" i="11"/>
  <c r="H509" i="11" s="1"/>
  <c r="F509" i="11"/>
  <c r="I509" i="11" s="1"/>
  <c r="E509" i="11"/>
  <c r="N509" i="11" s="1"/>
  <c r="F508" i="11"/>
  <c r="I508" i="11" s="1"/>
  <c r="E508" i="11"/>
  <c r="L507" i="11"/>
  <c r="I507" i="11" s="1"/>
  <c r="E507" i="11"/>
  <c r="H506" i="11"/>
  <c r="F506" i="11"/>
  <c r="E506" i="11"/>
  <c r="N506" i="11" s="1"/>
  <c r="L505" i="11"/>
  <c r="I505" i="11" s="1"/>
  <c r="F505" i="11"/>
  <c r="E505" i="11"/>
  <c r="L504" i="11"/>
  <c r="I504" i="11" s="1"/>
  <c r="F504" i="11"/>
  <c r="E504" i="11"/>
  <c r="L503" i="11"/>
  <c r="I503" i="11" s="1"/>
  <c r="H503" i="11"/>
  <c r="N503" i="11" s="1"/>
  <c r="F503" i="11"/>
  <c r="E503" i="11"/>
  <c r="L502" i="11"/>
  <c r="H502" i="11"/>
  <c r="F502" i="11"/>
  <c r="E502" i="11"/>
  <c r="N502" i="11" s="1"/>
  <c r="N501" i="11"/>
  <c r="I501" i="11"/>
  <c r="H501" i="11"/>
  <c r="E501" i="11"/>
  <c r="L500" i="11"/>
  <c r="I500" i="11" s="1"/>
  <c r="H500" i="11"/>
  <c r="E500" i="11"/>
  <c r="N500" i="11" s="1"/>
  <c r="L499" i="11"/>
  <c r="H499" i="11"/>
  <c r="E499" i="11"/>
  <c r="N499" i="11" s="1"/>
  <c r="L498" i="11"/>
  <c r="I498" i="11" s="1"/>
  <c r="F498" i="11"/>
  <c r="E498" i="11"/>
  <c r="L497" i="11"/>
  <c r="I497" i="11" s="1"/>
  <c r="H497" i="11"/>
  <c r="N497" i="11" s="1"/>
  <c r="F497" i="11"/>
  <c r="E497" i="11"/>
  <c r="L496" i="11"/>
  <c r="H496" i="11"/>
  <c r="F496" i="11"/>
  <c r="E496" i="11"/>
  <c r="N496" i="11" s="1"/>
  <c r="L495" i="11"/>
  <c r="I495" i="11" s="1"/>
  <c r="F495" i="11"/>
  <c r="E495" i="11"/>
  <c r="L494" i="11"/>
  <c r="I494" i="11" s="1"/>
  <c r="F494" i="11"/>
  <c r="E494" i="11"/>
  <c r="L493" i="11"/>
  <c r="I493" i="11" s="1"/>
  <c r="H493" i="11"/>
  <c r="E493" i="11"/>
  <c r="N493" i="11" s="1"/>
  <c r="L492" i="11"/>
  <c r="F492" i="11"/>
  <c r="I492" i="11" s="1"/>
  <c r="E492" i="11"/>
  <c r="L491" i="11"/>
  <c r="I491" i="11" s="1"/>
  <c r="E491" i="11"/>
  <c r="L490" i="11"/>
  <c r="I490" i="11" s="1"/>
  <c r="H490" i="11"/>
  <c r="E490" i="11"/>
  <c r="N490" i="11" s="1"/>
  <c r="L489" i="11"/>
  <c r="H489" i="11"/>
  <c r="E489" i="11"/>
  <c r="N489" i="11" s="1"/>
  <c r="I488" i="11"/>
  <c r="H488" i="11"/>
  <c r="E488" i="11"/>
  <c r="N488" i="11" s="1"/>
  <c r="L487" i="11"/>
  <c r="I487" i="11"/>
  <c r="H487" i="11"/>
  <c r="N487" i="11" s="1"/>
  <c r="E487" i="11"/>
  <c r="N486" i="11"/>
  <c r="I486" i="11"/>
  <c r="H486" i="11"/>
  <c r="E486" i="11"/>
  <c r="L485" i="11"/>
  <c r="H485" i="11" s="1"/>
  <c r="F485" i="11"/>
  <c r="I485" i="11" s="1"/>
  <c r="E485" i="11"/>
  <c r="N485" i="11" s="1"/>
  <c r="L484" i="11"/>
  <c r="H484" i="11"/>
  <c r="E484" i="11"/>
  <c r="N484" i="11" s="1"/>
  <c r="I483" i="11"/>
  <c r="H483" i="11"/>
  <c r="E483" i="11"/>
  <c r="N483" i="11" s="1"/>
  <c r="L482" i="11"/>
  <c r="I482" i="11"/>
  <c r="H482" i="11"/>
  <c r="N482" i="11" s="1"/>
  <c r="E482" i="11"/>
  <c r="L481" i="11"/>
  <c r="I481" i="11" s="1"/>
  <c r="E481" i="11"/>
  <c r="H480" i="11"/>
  <c r="E480" i="11"/>
  <c r="N480" i="11" s="1"/>
  <c r="N479" i="11"/>
  <c r="L479" i="11"/>
  <c r="I479" i="11" s="1"/>
  <c r="H479" i="11"/>
  <c r="E479" i="11"/>
  <c r="E478" i="11"/>
  <c r="L477" i="11"/>
  <c r="I477" i="11"/>
  <c r="H477" i="11"/>
  <c r="N477" i="11" s="1"/>
  <c r="E477" i="11"/>
  <c r="L476" i="11"/>
  <c r="I476" i="11" s="1"/>
  <c r="E476" i="11"/>
  <c r="H475" i="11"/>
  <c r="E475" i="11"/>
  <c r="N475" i="11" s="1"/>
  <c r="N474" i="11"/>
  <c r="H474" i="11"/>
  <c r="E474" i="11"/>
  <c r="I474" i="11" s="1"/>
  <c r="L473" i="11"/>
  <c r="I473" i="11" s="1"/>
  <c r="H473" i="11"/>
  <c r="E473" i="11"/>
  <c r="N473" i="11" s="1"/>
  <c r="L472" i="11"/>
  <c r="H472" i="11"/>
  <c r="E472" i="11"/>
  <c r="N472" i="11" s="1"/>
  <c r="L471" i="11"/>
  <c r="I471" i="11" s="1"/>
  <c r="E471" i="11"/>
  <c r="I470" i="11"/>
  <c r="H470" i="11"/>
  <c r="N470" i="11" s="1"/>
  <c r="E470" i="11"/>
  <c r="N469" i="11"/>
  <c r="I469" i="11"/>
  <c r="H469" i="11"/>
  <c r="E469" i="11"/>
  <c r="I468" i="11"/>
  <c r="H468" i="11"/>
  <c r="N468" i="11" s="1"/>
  <c r="E468" i="11"/>
  <c r="N467" i="11"/>
  <c r="I467" i="11"/>
  <c r="H467" i="11"/>
  <c r="E467" i="11"/>
  <c r="I466" i="11"/>
  <c r="H466" i="11"/>
  <c r="N466" i="11" s="1"/>
  <c r="E466" i="11"/>
  <c r="L465" i="11"/>
  <c r="I465" i="11" s="1"/>
  <c r="E465" i="11"/>
  <c r="L464" i="11"/>
  <c r="I464" i="11" s="1"/>
  <c r="H464" i="11"/>
  <c r="N464" i="11" s="1"/>
  <c r="F464" i="11"/>
  <c r="E464" i="11"/>
  <c r="L463" i="11"/>
  <c r="I463" i="11"/>
  <c r="H463" i="11"/>
  <c r="N463" i="11" s="1"/>
  <c r="E463" i="11"/>
  <c r="L462" i="11"/>
  <c r="I462" i="11" s="1"/>
  <c r="E462" i="11"/>
  <c r="H461" i="11"/>
  <c r="E461" i="11"/>
  <c r="N461" i="11" s="1"/>
  <c r="N460" i="11"/>
  <c r="H460" i="11"/>
  <c r="E460" i="11"/>
  <c r="I460" i="11" s="1"/>
  <c r="L459" i="11"/>
  <c r="I459" i="11" s="1"/>
  <c r="H459" i="11"/>
  <c r="E459" i="11"/>
  <c r="N459" i="11" s="1"/>
  <c r="L458" i="11"/>
  <c r="F458" i="11"/>
  <c r="I458" i="11" s="1"/>
  <c r="E458" i="11"/>
  <c r="L457" i="11"/>
  <c r="I457" i="11" s="1"/>
  <c r="F457" i="11"/>
  <c r="E457" i="11"/>
  <c r="N456" i="11"/>
  <c r="L456" i="11"/>
  <c r="I456" i="11"/>
  <c r="H456" i="11"/>
  <c r="E456" i="11"/>
  <c r="H455" i="11"/>
  <c r="E455" i="11"/>
  <c r="N455" i="11" s="1"/>
  <c r="I454" i="11"/>
  <c r="H454" i="11"/>
  <c r="E454" i="11"/>
  <c r="N454" i="11" s="1"/>
  <c r="H453" i="11"/>
  <c r="E453" i="11"/>
  <c r="N453" i="11" s="1"/>
  <c r="L452" i="11"/>
  <c r="I452" i="11" s="1"/>
  <c r="E452" i="11"/>
  <c r="L451" i="11"/>
  <c r="H451" i="11" s="1"/>
  <c r="E451" i="11"/>
  <c r="N451" i="11" s="1"/>
  <c r="N450" i="11"/>
  <c r="L450" i="11"/>
  <c r="I450" i="11" s="1"/>
  <c r="H450" i="11"/>
  <c r="E450" i="11"/>
  <c r="N449" i="11"/>
  <c r="L449" i="11"/>
  <c r="I449" i="11"/>
  <c r="H449" i="11"/>
  <c r="E449" i="11"/>
  <c r="L448" i="11"/>
  <c r="I448" i="11"/>
  <c r="H448" i="11"/>
  <c r="N448" i="11" s="1"/>
  <c r="E448" i="11"/>
  <c r="N447" i="11"/>
  <c r="I447" i="11"/>
  <c r="H447" i="11"/>
  <c r="E447" i="11"/>
  <c r="L446" i="11"/>
  <c r="H446" i="11" s="1"/>
  <c r="E446" i="11"/>
  <c r="N445" i="11"/>
  <c r="H445" i="11"/>
  <c r="E445" i="11"/>
  <c r="I445" i="11" s="1"/>
  <c r="L444" i="11"/>
  <c r="I444" i="11" s="1"/>
  <c r="H444" i="11"/>
  <c r="E444" i="11"/>
  <c r="N444" i="11" s="1"/>
  <c r="H443" i="11"/>
  <c r="E443" i="11"/>
  <c r="N443" i="11" s="1"/>
  <c r="H442" i="11"/>
  <c r="N442" i="11" s="1"/>
  <c r="E442" i="11"/>
  <c r="I442" i="11" s="1"/>
  <c r="H441" i="11"/>
  <c r="E441" i="11"/>
  <c r="N441" i="11" s="1"/>
  <c r="H440" i="11"/>
  <c r="N440" i="11" s="1"/>
  <c r="E440" i="11"/>
  <c r="I440" i="11" s="1"/>
  <c r="L439" i="11"/>
  <c r="H439" i="11"/>
  <c r="E439" i="11"/>
  <c r="N439" i="11" s="1"/>
  <c r="L438" i="11"/>
  <c r="I438" i="11" s="1"/>
  <c r="E438" i="11"/>
  <c r="I437" i="11"/>
  <c r="H437" i="11"/>
  <c r="N437" i="11" s="1"/>
  <c r="E437" i="11"/>
  <c r="L436" i="11"/>
  <c r="I436" i="11" s="1"/>
  <c r="F436" i="11"/>
  <c r="E436" i="11"/>
  <c r="N435" i="11"/>
  <c r="L435" i="11"/>
  <c r="I435" i="11"/>
  <c r="H435" i="11"/>
  <c r="F435" i="11"/>
  <c r="E435" i="11"/>
  <c r="L434" i="11"/>
  <c r="H434" i="11" s="1"/>
  <c r="E434" i="11"/>
  <c r="N433" i="11"/>
  <c r="H433" i="11"/>
  <c r="E433" i="11"/>
  <c r="I433" i="11" s="1"/>
  <c r="L432" i="11"/>
  <c r="I432" i="11" s="1"/>
  <c r="H432" i="11"/>
  <c r="E432" i="11"/>
  <c r="N432" i="11" s="1"/>
  <c r="H431" i="11"/>
  <c r="E431" i="11"/>
  <c r="N431" i="11" s="1"/>
  <c r="H430" i="11"/>
  <c r="N430" i="11" s="1"/>
  <c r="E430" i="11"/>
  <c r="I430" i="11" s="1"/>
  <c r="L429" i="11"/>
  <c r="I429" i="11" s="1"/>
  <c r="H429" i="11"/>
  <c r="E429" i="11"/>
  <c r="N429" i="11" s="1"/>
  <c r="L428" i="11"/>
  <c r="I428" i="11" s="1"/>
  <c r="E428" i="11"/>
  <c r="L427" i="11"/>
  <c r="H427" i="11" s="1"/>
  <c r="E427" i="11"/>
  <c r="N426" i="11"/>
  <c r="H426" i="11"/>
  <c r="E426" i="11"/>
  <c r="I426" i="11" s="1"/>
  <c r="L425" i="11"/>
  <c r="I425" i="11" s="1"/>
  <c r="H425" i="11"/>
  <c r="E425" i="11"/>
  <c r="N425" i="11" s="1"/>
  <c r="L424" i="11"/>
  <c r="I424" i="11" s="1"/>
  <c r="H424" i="11"/>
  <c r="E424" i="11"/>
  <c r="N424" i="11" s="1"/>
  <c r="I423" i="11"/>
  <c r="H423" i="11"/>
  <c r="E423" i="11"/>
  <c r="N423" i="11" s="1"/>
  <c r="H422" i="11"/>
  <c r="E422" i="11"/>
  <c r="N422" i="11" s="1"/>
  <c r="L421" i="11"/>
  <c r="I421" i="11" s="1"/>
  <c r="E421" i="11"/>
  <c r="L420" i="11"/>
  <c r="H420" i="11" s="1"/>
  <c r="E420" i="11"/>
  <c r="N420" i="11" s="1"/>
  <c r="N419" i="11"/>
  <c r="H419" i="11"/>
  <c r="E419" i="11"/>
  <c r="I419" i="11" s="1"/>
  <c r="L418" i="11"/>
  <c r="I418" i="11" s="1"/>
  <c r="H418" i="11"/>
  <c r="E418" i="11"/>
  <c r="N418" i="11" s="1"/>
  <c r="L417" i="11"/>
  <c r="I417" i="11" s="1"/>
  <c r="H417" i="11"/>
  <c r="E417" i="11"/>
  <c r="N417" i="11" s="1"/>
  <c r="L416" i="11"/>
  <c r="I416" i="11" s="1"/>
  <c r="E416" i="11"/>
  <c r="I415" i="11"/>
  <c r="H415" i="11"/>
  <c r="N415" i="11" s="1"/>
  <c r="E415" i="11"/>
  <c r="L414" i="11"/>
  <c r="I414" i="11" s="1"/>
  <c r="E414" i="11"/>
  <c r="L413" i="11"/>
  <c r="I413" i="11" s="1"/>
  <c r="H413" i="11"/>
  <c r="E413" i="11"/>
  <c r="N413" i="11" s="1"/>
  <c r="L412" i="11"/>
  <c r="I412" i="11" s="1"/>
  <c r="H412" i="11"/>
  <c r="E412" i="11"/>
  <c r="N412" i="11" s="1"/>
  <c r="L411" i="11"/>
  <c r="I411" i="11" s="1"/>
  <c r="E411" i="11"/>
  <c r="L410" i="11"/>
  <c r="H410" i="11" s="1"/>
  <c r="E410" i="11"/>
  <c r="N410" i="11" s="1"/>
  <c r="N409" i="11"/>
  <c r="I409" i="11"/>
  <c r="H409" i="11"/>
  <c r="E409" i="11"/>
  <c r="L408" i="11"/>
  <c r="I408" i="11" s="1"/>
  <c r="H408" i="11"/>
  <c r="L407" i="11" s="1"/>
  <c r="E408" i="11"/>
  <c r="N408" i="11" s="1"/>
  <c r="E407" i="11"/>
  <c r="L406" i="11"/>
  <c r="I406" i="11" s="1"/>
  <c r="E406" i="11"/>
  <c r="L405" i="11"/>
  <c r="H405" i="11" s="1"/>
  <c r="F405" i="11"/>
  <c r="I405" i="11" s="1"/>
  <c r="E405" i="11"/>
  <c r="L404" i="11"/>
  <c r="I404" i="11" s="1"/>
  <c r="F404" i="11"/>
  <c r="H404" i="11" s="1"/>
  <c r="N404" i="11" s="1"/>
  <c r="E404" i="11"/>
  <c r="L403" i="11"/>
  <c r="I403" i="11" s="1"/>
  <c r="F403" i="11"/>
  <c r="E403" i="11"/>
  <c r="N402" i="11"/>
  <c r="L402" i="11"/>
  <c r="I402" i="11"/>
  <c r="H402" i="11"/>
  <c r="F402" i="11"/>
  <c r="E402" i="11"/>
  <c r="L401" i="11"/>
  <c r="H401" i="11" s="1"/>
  <c r="F401" i="11"/>
  <c r="I401" i="11" s="1"/>
  <c r="E401" i="11"/>
  <c r="L400" i="11"/>
  <c r="I400" i="11" s="1"/>
  <c r="H400" i="11"/>
  <c r="E400" i="11"/>
  <c r="N400" i="11" s="1"/>
  <c r="I399" i="11"/>
  <c r="H399" i="11"/>
  <c r="E399" i="11"/>
  <c r="N399" i="11" s="1"/>
  <c r="H398" i="11"/>
  <c r="E398" i="11"/>
  <c r="N398" i="11" s="1"/>
  <c r="L397" i="11"/>
  <c r="I397" i="11" s="1"/>
  <c r="E397" i="11"/>
  <c r="L396" i="11"/>
  <c r="H396" i="11" s="1"/>
  <c r="E396" i="11"/>
  <c r="N396" i="11" s="1"/>
  <c r="N395" i="11"/>
  <c r="I395" i="11"/>
  <c r="H395" i="11"/>
  <c r="E395" i="11"/>
  <c r="L394" i="11"/>
  <c r="I394" i="11" s="1"/>
  <c r="H394" i="11"/>
  <c r="E394" i="11"/>
  <c r="N394" i="11" s="1"/>
  <c r="L393" i="11"/>
  <c r="I393" i="11" s="1"/>
  <c r="H393" i="11"/>
  <c r="E393" i="11"/>
  <c r="N393" i="11" s="1"/>
  <c r="L392" i="11"/>
  <c r="I392" i="11" s="1"/>
  <c r="E392" i="11"/>
  <c r="L391" i="11"/>
  <c r="H391" i="11" s="1"/>
  <c r="F391" i="11"/>
  <c r="I391" i="11" s="1"/>
  <c r="E391" i="11"/>
  <c r="N391" i="11" s="1"/>
  <c r="L390" i="11"/>
  <c r="I390" i="11" s="1"/>
  <c r="F390" i="11"/>
  <c r="H390" i="11" s="1"/>
  <c r="N390" i="11" s="1"/>
  <c r="E390" i="11"/>
  <c r="L389" i="11"/>
  <c r="I389" i="11" s="1"/>
  <c r="F389" i="11"/>
  <c r="E389" i="11"/>
  <c r="N388" i="11"/>
  <c r="L388" i="11"/>
  <c r="I388" i="11"/>
  <c r="H388" i="11"/>
  <c r="E388" i="11"/>
  <c r="H387" i="11"/>
  <c r="E387" i="11"/>
  <c r="N387" i="11" s="1"/>
  <c r="I386" i="11"/>
  <c r="H386" i="11"/>
  <c r="F386" i="11"/>
  <c r="E386" i="11"/>
  <c r="N386" i="11" s="1"/>
  <c r="L385" i="11"/>
  <c r="H385" i="11" s="1"/>
  <c r="E385" i="11"/>
  <c r="N384" i="11"/>
  <c r="I384" i="11"/>
  <c r="H384" i="11"/>
  <c r="E384" i="11"/>
  <c r="L383" i="11"/>
  <c r="I383" i="11" s="1"/>
  <c r="H383" i="11"/>
  <c r="N383" i="11" s="1"/>
  <c r="F383" i="11"/>
  <c r="E383" i="11"/>
  <c r="L382" i="11"/>
  <c r="I382" i="11"/>
  <c r="H382" i="11"/>
  <c r="N382" i="11" s="1"/>
  <c r="E382" i="11"/>
  <c r="I381" i="11"/>
  <c r="F381" i="11"/>
  <c r="H381" i="11" s="1"/>
  <c r="N381" i="11" s="1"/>
  <c r="E381" i="11"/>
  <c r="L380" i="11"/>
  <c r="I380" i="11" s="1"/>
  <c r="H380" i="11"/>
  <c r="N380" i="11" s="1"/>
  <c r="F380" i="11"/>
  <c r="E380" i="11"/>
  <c r="L379" i="11"/>
  <c r="H379" i="11"/>
  <c r="F379" i="11"/>
  <c r="E379" i="11"/>
  <c r="N379" i="11" s="1"/>
  <c r="N378" i="11"/>
  <c r="L378" i="11"/>
  <c r="H378" i="11"/>
  <c r="E378" i="11"/>
  <c r="I378" i="11" s="1"/>
  <c r="N377" i="11"/>
  <c r="L377" i="11"/>
  <c r="I377" i="11"/>
  <c r="H377" i="11"/>
  <c r="E377" i="11"/>
  <c r="L376" i="11"/>
  <c r="I376" i="11"/>
  <c r="H376" i="11"/>
  <c r="N376" i="11" s="1"/>
  <c r="E376" i="11"/>
  <c r="N375" i="11"/>
  <c r="I375" i="11"/>
  <c r="H375" i="11"/>
  <c r="E375" i="11"/>
  <c r="L374" i="11"/>
  <c r="H374" i="11" s="1"/>
  <c r="E374" i="11"/>
  <c r="N373" i="11"/>
  <c r="L373" i="11"/>
  <c r="H373" i="11"/>
  <c r="E373" i="11"/>
  <c r="I373" i="11" s="1"/>
  <c r="N372" i="11"/>
  <c r="L372" i="11"/>
  <c r="I372" i="11"/>
  <c r="H372" i="11"/>
  <c r="E372" i="11"/>
  <c r="H371" i="11"/>
  <c r="E371" i="11"/>
  <c r="N371" i="11" s="1"/>
  <c r="L370" i="11"/>
  <c r="I370" i="11" s="1"/>
  <c r="E370" i="11"/>
  <c r="L369" i="11"/>
  <c r="H369" i="11" s="1"/>
  <c r="E369" i="11"/>
  <c r="N368" i="11"/>
  <c r="L368" i="11"/>
  <c r="H368" i="11"/>
  <c r="E368" i="11"/>
  <c r="I368" i="11" s="1"/>
  <c r="N367" i="11"/>
  <c r="L367" i="11"/>
  <c r="I367" i="11"/>
  <c r="H367" i="11"/>
  <c r="E367" i="11"/>
  <c r="L366" i="11"/>
  <c r="I366" i="11"/>
  <c r="H366" i="11"/>
  <c r="N366" i="11" s="1"/>
  <c r="E366" i="11"/>
  <c r="N365" i="11"/>
  <c r="I365" i="11"/>
  <c r="H365" i="11"/>
  <c r="E365" i="11"/>
  <c r="L364" i="11"/>
  <c r="H364" i="11" s="1"/>
  <c r="E364" i="11"/>
  <c r="N364" i="11" s="1"/>
  <c r="N363" i="11"/>
  <c r="L363" i="11"/>
  <c r="I363" i="11" s="1"/>
  <c r="H363" i="11"/>
  <c r="E363" i="11"/>
  <c r="N362" i="11"/>
  <c r="L362" i="11"/>
  <c r="I362" i="11"/>
  <c r="H362" i="11"/>
  <c r="F362" i="11"/>
  <c r="E362" i="11"/>
  <c r="L361" i="11"/>
  <c r="H361" i="11" s="1"/>
  <c r="F361" i="11"/>
  <c r="I361" i="11" s="1"/>
  <c r="E361" i="11"/>
  <c r="H360" i="11"/>
  <c r="E360" i="11"/>
  <c r="N360" i="11" s="1"/>
  <c r="H359" i="11"/>
  <c r="N359" i="11" s="1"/>
  <c r="E359" i="11"/>
  <c r="I359" i="11" s="1"/>
  <c r="H358" i="11"/>
  <c r="E358" i="11"/>
  <c r="N358" i="11" s="1"/>
  <c r="N357" i="11"/>
  <c r="L357" i="11"/>
  <c r="I357" i="11"/>
  <c r="H357" i="11"/>
  <c r="E357" i="11"/>
  <c r="H356" i="11"/>
  <c r="E356" i="11"/>
  <c r="N356" i="11" s="1"/>
  <c r="L355" i="11"/>
  <c r="I355" i="11" s="1"/>
  <c r="E355" i="11"/>
  <c r="I354" i="11"/>
  <c r="H354" i="11"/>
  <c r="N354" i="11" s="1"/>
  <c r="E354" i="11"/>
  <c r="L353" i="11"/>
  <c r="I353" i="11" s="1"/>
  <c r="E353" i="11"/>
  <c r="H352" i="11"/>
  <c r="E352" i="11"/>
  <c r="N352" i="11" s="1"/>
  <c r="N351" i="11"/>
  <c r="L351" i="11"/>
  <c r="I351" i="11" s="1"/>
  <c r="H351" i="11"/>
  <c r="E351" i="11"/>
  <c r="N350" i="11"/>
  <c r="L350" i="11"/>
  <c r="I350" i="11"/>
  <c r="H350" i="11"/>
  <c r="E350" i="11"/>
  <c r="L349" i="11"/>
  <c r="I349" i="11"/>
  <c r="H349" i="11"/>
  <c r="N349" i="11" s="1"/>
  <c r="E349" i="11"/>
  <c r="L348" i="11"/>
  <c r="I348" i="11" s="1"/>
  <c r="E348" i="11"/>
  <c r="L347" i="11"/>
  <c r="I347" i="11" s="1"/>
  <c r="H347" i="11"/>
  <c r="E347" i="11"/>
  <c r="N347" i="11" s="1"/>
  <c r="F346" i="11"/>
  <c r="I346" i="11" s="1"/>
  <c r="E346" i="11"/>
  <c r="L345" i="11"/>
  <c r="I345" i="11" s="1"/>
  <c r="F345" i="11"/>
  <c r="E345" i="11"/>
  <c r="L344" i="11"/>
  <c r="I344" i="11" s="1"/>
  <c r="H344" i="11"/>
  <c r="E344" i="11"/>
  <c r="N344" i="11" s="1"/>
  <c r="H343" i="11"/>
  <c r="E343" i="11"/>
  <c r="N343" i="11" s="1"/>
  <c r="N342" i="11"/>
  <c r="L342" i="11"/>
  <c r="I342" i="11"/>
  <c r="H342" i="11"/>
  <c r="E342" i="11"/>
  <c r="H341" i="11"/>
  <c r="E341" i="11"/>
  <c r="N341" i="11" s="1"/>
  <c r="L340" i="11"/>
  <c r="I340" i="11" s="1"/>
  <c r="E340" i="11"/>
  <c r="L339" i="11"/>
  <c r="H339" i="11" s="1"/>
  <c r="E339" i="11"/>
  <c r="N339" i="11" s="1"/>
  <c r="N338" i="11"/>
  <c r="L338" i="11"/>
  <c r="I338" i="11" s="1"/>
  <c r="H338" i="11"/>
  <c r="E338" i="11"/>
  <c r="N337" i="11"/>
  <c r="L337" i="11"/>
  <c r="I337" i="11"/>
  <c r="H337" i="11"/>
  <c r="E337" i="11"/>
  <c r="H336" i="11"/>
  <c r="E336" i="11"/>
  <c r="N336" i="11" s="1"/>
  <c r="L335" i="11"/>
  <c r="I335" i="11" s="1"/>
  <c r="E335" i="11"/>
  <c r="L334" i="11"/>
  <c r="H334" i="11" s="1"/>
  <c r="E334" i="11"/>
  <c r="N334" i="11" s="1"/>
  <c r="N333" i="11"/>
  <c r="H333" i="11"/>
  <c r="E333" i="11"/>
  <c r="I333" i="11" s="1"/>
  <c r="H332" i="11"/>
  <c r="E332" i="11"/>
  <c r="N332" i="11" s="1"/>
  <c r="N331" i="11"/>
  <c r="H331" i="11"/>
  <c r="E331" i="11"/>
  <c r="I331" i="11" s="1"/>
  <c r="L330" i="11"/>
  <c r="I330" i="11" s="1"/>
  <c r="H330" i="11"/>
  <c r="E330" i="11"/>
  <c r="N330" i="11" s="1"/>
  <c r="H329" i="11"/>
  <c r="E329" i="11"/>
  <c r="N329" i="11" s="1"/>
  <c r="N328" i="11"/>
  <c r="L328" i="11"/>
  <c r="I328" i="11"/>
  <c r="H328" i="11"/>
  <c r="E328" i="11"/>
  <c r="L327" i="11"/>
  <c r="I327" i="11"/>
  <c r="H327" i="11"/>
  <c r="N327" i="11" s="1"/>
  <c r="E327" i="11"/>
  <c r="N326" i="11"/>
  <c r="I326" i="11"/>
  <c r="H326" i="11"/>
  <c r="E326" i="11"/>
  <c r="L325" i="11"/>
  <c r="H325" i="11" s="1"/>
  <c r="E325" i="11"/>
  <c r="N324" i="11"/>
  <c r="L324" i="11"/>
  <c r="I324" i="11" s="1"/>
  <c r="H324" i="11"/>
  <c r="E324" i="11"/>
  <c r="N323" i="11"/>
  <c r="L323" i="11"/>
  <c r="I323" i="11"/>
  <c r="H323" i="11"/>
  <c r="E323" i="11"/>
  <c r="L322" i="11"/>
  <c r="I322" i="11"/>
  <c r="H322" i="11"/>
  <c r="N322" i="11" s="1"/>
  <c r="E322" i="11"/>
  <c r="L321" i="11"/>
  <c r="I321" i="11" s="1"/>
  <c r="E321" i="11"/>
  <c r="L320" i="11"/>
  <c r="I320" i="11" s="1"/>
  <c r="H320" i="11"/>
  <c r="E320" i="11"/>
  <c r="N320" i="11" s="1"/>
  <c r="H319" i="11"/>
  <c r="E319" i="11"/>
  <c r="N319" i="11" s="1"/>
  <c r="N318" i="11"/>
  <c r="L318" i="11"/>
  <c r="I318" i="11"/>
  <c r="H318" i="11"/>
  <c r="E318" i="11"/>
  <c r="L317" i="11"/>
  <c r="I317" i="11"/>
  <c r="H317" i="11"/>
  <c r="N317" i="11" s="1"/>
  <c r="E317" i="11"/>
  <c r="L316" i="11"/>
  <c r="I316" i="11" s="1"/>
  <c r="E316" i="11"/>
  <c r="L315" i="11"/>
  <c r="I315" i="11" s="1"/>
  <c r="H315" i="11"/>
  <c r="E315" i="11"/>
  <c r="N315" i="11" s="1"/>
  <c r="L314" i="11"/>
  <c r="H314" i="11"/>
  <c r="E314" i="11"/>
  <c r="N314" i="11" s="1"/>
  <c r="L313" i="11"/>
  <c r="I313" i="11" s="1"/>
  <c r="E313" i="11"/>
  <c r="I312" i="11"/>
  <c r="H312" i="11"/>
  <c r="N312" i="11" s="1"/>
  <c r="E312" i="11"/>
  <c r="L311" i="11"/>
  <c r="I311" i="11" s="1"/>
  <c r="E311" i="11"/>
  <c r="L310" i="11"/>
  <c r="I310" i="11" s="1"/>
  <c r="H310" i="11"/>
  <c r="E310" i="11"/>
  <c r="N310" i="11" s="1"/>
  <c r="L309" i="11"/>
  <c r="H309" i="11"/>
  <c r="E309" i="11"/>
  <c r="N309" i="11" s="1"/>
  <c r="I308" i="11"/>
  <c r="H308" i="11"/>
  <c r="E308" i="11"/>
  <c r="N308" i="11" s="1"/>
  <c r="L307" i="11"/>
  <c r="I307" i="11"/>
  <c r="H307" i="11"/>
  <c r="N307" i="11" s="1"/>
  <c r="E307" i="11"/>
  <c r="L306" i="11"/>
  <c r="I306" i="11" s="1"/>
  <c r="E306" i="11"/>
  <c r="L305" i="11"/>
  <c r="I305" i="11" s="1"/>
  <c r="H305" i="11"/>
  <c r="E305" i="11"/>
  <c r="N305" i="11" s="1"/>
  <c r="L304" i="11"/>
  <c r="H304" i="11"/>
  <c r="E304" i="11"/>
  <c r="N304" i="11" s="1"/>
  <c r="L303" i="11"/>
  <c r="I303" i="11" s="1"/>
  <c r="E303" i="11"/>
  <c r="L302" i="11"/>
  <c r="H302" i="11" s="1"/>
  <c r="E302" i="11"/>
  <c r="N302" i="11" s="1"/>
  <c r="N301" i="11"/>
  <c r="L301" i="11"/>
  <c r="H301" i="11"/>
  <c r="E301" i="11"/>
  <c r="I301" i="11" s="1"/>
  <c r="N300" i="11"/>
  <c r="L300" i="11"/>
  <c r="I300" i="11"/>
  <c r="H300" i="11"/>
  <c r="E300" i="11"/>
  <c r="L299" i="11"/>
  <c r="I299" i="11"/>
  <c r="H299" i="11"/>
  <c r="N299" i="11" s="1"/>
  <c r="E299" i="11"/>
  <c r="N298" i="11"/>
  <c r="I298" i="11"/>
  <c r="H298" i="11"/>
  <c r="E298" i="11"/>
  <c r="L297" i="11"/>
  <c r="H297" i="11" s="1"/>
  <c r="E297" i="11"/>
  <c r="N296" i="11"/>
  <c r="L296" i="11"/>
  <c r="I296" i="11" s="1"/>
  <c r="H296" i="11"/>
  <c r="E296" i="11"/>
  <c r="N295" i="11"/>
  <c r="L295" i="11"/>
  <c r="I295" i="11"/>
  <c r="H295" i="11"/>
  <c r="E295" i="11"/>
  <c r="L294" i="11"/>
  <c r="I294" i="11"/>
  <c r="H294" i="11"/>
  <c r="N294" i="11" s="1"/>
  <c r="E294" i="11"/>
  <c r="L293" i="11"/>
  <c r="I293" i="11" s="1"/>
  <c r="E293" i="11"/>
  <c r="H292" i="11"/>
  <c r="E292" i="11"/>
  <c r="N292" i="11" s="1"/>
  <c r="N291" i="11"/>
  <c r="L291" i="11"/>
  <c r="I291" i="11" s="1"/>
  <c r="H291" i="11"/>
  <c r="E291" i="11"/>
  <c r="H290" i="11"/>
  <c r="N290" i="11" s="1"/>
  <c r="E290" i="11"/>
  <c r="I290" i="11" s="1"/>
  <c r="L289" i="11"/>
  <c r="H289" i="11"/>
  <c r="E289" i="11"/>
  <c r="N289" i="11" s="1"/>
  <c r="L288" i="11"/>
  <c r="I288" i="11" s="1"/>
  <c r="E288" i="11"/>
  <c r="I287" i="11"/>
  <c r="H287" i="11"/>
  <c r="N287" i="11" s="1"/>
  <c r="E287" i="11"/>
  <c r="L286" i="11"/>
  <c r="I286" i="11" s="1"/>
  <c r="E286" i="11"/>
  <c r="L285" i="11"/>
  <c r="I285" i="11" s="1"/>
  <c r="H285" i="11"/>
  <c r="E285" i="11"/>
  <c r="N285" i="11" s="1"/>
  <c r="L284" i="11"/>
  <c r="H284" i="11"/>
  <c r="E284" i="11"/>
  <c r="N284" i="11" s="1"/>
  <c r="L283" i="11"/>
  <c r="I283" i="11" s="1"/>
  <c r="E283" i="11"/>
  <c r="L282" i="11"/>
  <c r="H282" i="11" s="1"/>
  <c r="E282" i="11"/>
  <c r="N282" i="11" s="1"/>
  <c r="N281" i="11"/>
  <c r="L281" i="11"/>
  <c r="I281" i="11" s="1"/>
  <c r="H281" i="11"/>
  <c r="E281" i="11"/>
  <c r="N280" i="11"/>
  <c r="L280" i="11"/>
  <c r="I280" i="11"/>
  <c r="H280" i="11"/>
  <c r="E280" i="11"/>
  <c r="L279" i="11"/>
  <c r="I279" i="11"/>
  <c r="H279" i="11"/>
  <c r="N279" i="11" s="1"/>
  <c r="E279" i="11"/>
  <c r="L278" i="11"/>
  <c r="I278" i="11" s="1"/>
  <c r="E278" i="11"/>
  <c r="L277" i="11"/>
  <c r="I277" i="11" s="1"/>
  <c r="H277" i="11"/>
  <c r="E277" i="11"/>
  <c r="N277" i="11" s="1"/>
  <c r="L276" i="11"/>
  <c r="H276" i="11"/>
  <c r="E276" i="11"/>
  <c r="N276" i="11" s="1"/>
  <c r="L275" i="11"/>
  <c r="I275" i="11" s="1"/>
  <c r="F275" i="11"/>
  <c r="E275" i="11"/>
  <c r="L274" i="11"/>
  <c r="I274" i="11" s="1"/>
  <c r="H274" i="11"/>
  <c r="N274" i="11" s="1"/>
  <c r="F274" i="11"/>
  <c r="E274" i="11"/>
  <c r="L273" i="11"/>
  <c r="I273" i="11"/>
  <c r="H273" i="11"/>
  <c r="N273" i="11" s="1"/>
  <c r="E273" i="11"/>
  <c r="L272" i="11"/>
  <c r="I272" i="11" s="1"/>
  <c r="E272" i="11"/>
  <c r="L271" i="11"/>
  <c r="I271" i="11" s="1"/>
  <c r="H271" i="11"/>
  <c r="E271" i="11"/>
  <c r="N271" i="11" s="1"/>
  <c r="L270" i="11"/>
  <c r="H270" i="11"/>
  <c r="E270" i="11"/>
  <c r="N270" i="11" s="1"/>
  <c r="L269" i="11"/>
  <c r="I269" i="11" s="1"/>
  <c r="E269" i="11"/>
  <c r="L268" i="11"/>
  <c r="H268" i="11" s="1"/>
  <c r="E268" i="11"/>
  <c r="N267" i="11"/>
  <c r="L267" i="11"/>
  <c r="I267" i="11" s="1"/>
  <c r="H267" i="11"/>
  <c r="E267" i="11"/>
  <c r="N266" i="11"/>
  <c r="L266" i="11"/>
  <c r="I266" i="11"/>
  <c r="H266" i="11"/>
  <c r="E266" i="11"/>
  <c r="H265" i="11"/>
  <c r="E265" i="11"/>
  <c r="N265" i="11" s="1"/>
  <c r="L264" i="11"/>
  <c r="I264" i="11" s="1"/>
  <c r="E264" i="11"/>
  <c r="L263" i="11"/>
  <c r="H263" i="11" s="1"/>
  <c r="E263" i="11"/>
  <c r="N263" i="11" s="1"/>
  <c r="N262" i="11"/>
  <c r="L262" i="11"/>
  <c r="I262" i="11" s="1"/>
  <c r="H262" i="11"/>
  <c r="E262" i="11"/>
  <c r="N261" i="11"/>
  <c r="L261" i="11"/>
  <c r="I261" i="11"/>
  <c r="H261" i="11"/>
  <c r="E261" i="11"/>
  <c r="L260" i="11"/>
  <c r="I260" i="11"/>
  <c r="H260" i="11"/>
  <c r="N260" i="11" s="1"/>
  <c r="E260" i="11"/>
  <c r="L259" i="11"/>
  <c r="I259" i="11" s="1"/>
  <c r="E259" i="11"/>
  <c r="H258" i="11"/>
  <c r="E258" i="11"/>
  <c r="N258" i="11" s="1"/>
  <c r="N257" i="11"/>
  <c r="L257" i="11"/>
  <c r="I257" i="11" s="1"/>
  <c r="H257" i="11"/>
  <c r="E257" i="11"/>
  <c r="N256" i="11"/>
  <c r="L256" i="11"/>
  <c r="I256" i="11"/>
  <c r="H256" i="11"/>
  <c r="E256" i="11"/>
  <c r="L255" i="11"/>
  <c r="I255" i="11"/>
  <c r="H255" i="11"/>
  <c r="N255" i="11" s="1"/>
  <c r="E255" i="11"/>
  <c r="N254" i="11"/>
  <c r="I254" i="11"/>
  <c r="H254" i="11"/>
  <c r="E254" i="11"/>
  <c r="L253" i="11"/>
  <c r="H253" i="11" s="1"/>
  <c r="E253" i="11"/>
  <c r="N253" i="11" s="1"/>
  <c r="N252" i="11"/>
  <c r="L252" i="11"/>
  <c r="I252" i="11" s="1"/>
  <c r="H252" i="11"/>
  <c r="E252" i="11"/>
  <c r="N251" i="11"/>
  <c r="L251" i="11"/>
  <c r="I251" i="11"/>
  <c r="H251" i="11"/>
  <c r="E251" i="11"/>
  <c r="L250" i="11"/>
  <c r="I250" i="11"/>
  <c r="H250" i="11"/>
  <c r="N250" i="11" s="1"/>
  <c r="E250" i="11"/>
  <c r="L249" i="11"/>
  <c r="I249" i="11" s="1"/>
  <c r="E249" i="11"/>
  <c r="L248" i="11"/>
  <c r="I248" i="11" s="1"/>
  <c r="H248" i="11"/>
  <c r="E248" i="11"/>
  <c r="N248" i="11" s="1"/>
  <c r="L247" i="11"/>
  <c r="H247" i="11"/>
  <c r="E247" i="11"/>
  <c r="N247" i="11" s="1"/>
  <c r="L246" i="11"/>
  <c r="I246" i="11" s="1"/>
  <c r="E246" i="11"/>
  <c r="L245" i="11"/>
  <c r="H245" i="11" s="1"/>
  <c r="E245" i="11"/>
  <c r="N245" i="11" s="1"/>
  <c r="N244" i="11"/>
  <c r="L244" i="11"/>
  <c r="I244" i="11" s="1"/>
  <c r="H244" i="11"/>
  <c r="E244" i="11"/>
  <c r="N243" i="11"/>
  <c r="L243" i="11"/>
  <c r="I243" i="11"/>
  <c r="H243" i="11"/>
  <c r="E243" i="11"/>
  <c r="H242" i="11"/>
  <c r="E242" i="11"/>
  <c r="N242" i="11" s="1"/>
  <c r="L241" i="11"/>
  <c r="I241" i="11" s="1"/>
  <c r="E241" i="11"/>
  <c r="L240" i="11"/>
  <c r="H240" i="11" s="1"/>
  <c r="E240" i="11"/>
  <c r="N240" i="11" s="1"/>
  <c r="N239" i="11"/>
  <c r="L239" i="11"/>
  <c r="I239" i="11" s="1"/>
  <c r="H239" i="11"/>
  <c r="E239" i="11"/>
  <c r="N238" i="11"/>
  <c r="L238" i="11"/>
  <c r="I238" i="11"/>
  <c r="H238" i="11"/>
  <c r="E238" i="11"/>
  <c r="L237" i="11"/>
  <c r="I237" i="11"/>
  <c r="H237" i="11"/>
  <c r="N237" i="11" s="1"/>
  <c r="E237" i="11"/>
  <c r="L236" i="11"/>
  <c r="I236" i="11" s="1"/>
  <c r="E236" i="11"/>
  <c r="L235" i="11"/>
  <c r="I235" i="11" s="1"/>
  <c r="H235" i="11"/>
  <c r="E235" i="11"/>
  <c r="N235" i="11" s="1"/>
  <c r="L234" i="11"/>
  <c r="H234" i="11"/>
  <c r="E234" i="11"/>
  <c r="N234" i="11" s="1"/>
  <c r="L233" i="11"/>
  <c r="I233" i="11" s="1"/>
  <c r="E233" i="11"/>
  <c r="L232" i="11"/>
  <c r="H232" i="11" s="1"/>
  <c r="E232" i="11"/>
  <c r="F231" i="11"/>
  <c r="I231" i="11" s="1"/>
  <c r="E231" i="11"/>
  <c r="H230" i="11"/>
  <c r="N230" i="11" s="1"/>
  <c r="E230" i="11"/>
  <c r="I230" i="11" s="1"/>
  <c r="F229" i="11"/>
  <c r="I229" i="11" s="1"/>
  <c r="E229" i="11"/>
  <c r="L228" i="11"/>
  <c r="I228" i="11" s="1"/>
  <c r="F228" i="11"/>
  <c r="E228" i="11"/>
  <c r="L227" i="11"/>
  <c r="I227" i="11" s="1"/>
  <c r="H227" i="11"/>
  <c r="E227" i="11"/>
  <c r="N227" i="11" s="1"/>
  <c r="L226" i="11"/>
  <c r="H226" i="11"/>
  <c r="E226" i="11"/>
  <c r="N226" i="11" s="1"/>
  <c r="I225" i="11"/>
  <c r="H225" i="11"/>
  <c r="F225" i="11"/>
  <c r="E225" i="11"/>
  <c r="N225" i="11" s="1"/>
  <c r="L224" i="11"/>
  <c r="H224" i="11" s="1"/>
  <c r="F224" i="11"/>
  <c r="I224" i="11" s="1"/>
  <c r="E224" i="11"/>
  <c r="L223" i="11"/>
  <c r="H223" i="11"/>
  <c r="E223" i="11"/>
  <c r="N223" i="11" s="1"/>
  <c r="L222" i="11"/>
  <c r="I222" i="11" s="1"/>
  <c r="F222" i="11"/>
  <c r="E222" i="11"/>
  <c r="H221" i="11"/>
  <c r="E221" i="11"/>
  <c r="N221" i="11" s="1"/>
  <c r="F220" i="11"/>
  <c r="I220" i="11" s="1"/>
  <c r="E220" i="11"/>
  <c r="N219" i="11"/>
  <c r="L219" i="11"/>
  <c r="I219" i="11"/>
  <c r="H219" i="11"/>
  <c r="F219" i="11"/>
  <c r="E219" i="11"/>
  <c r="L218" i="11"/>
  <c r="H218" i="11" s="1"/>
  <c r="F218" i="11"/>
  <c r="I218" i="11" s="1"/>
  <c r="E218" i="11"/>
  <c r="N218" i="11" s="1"/>
  <c r="L217" i="11"/>
  <c r="F217" i="11"/>
  <c r="I217" i="11" s="1"/>
  <c r="E217" i="11"/>
  <c r="L216" i="11"/>
  <c r="I216" i="11" s="1"/>
  <c r="E216" i="11"/>
  <c r="F215" i="11"/>
  <c r="I215" i="11" s="1"/>
  <c r="E215" i="11"/>
  <c r="F214" i="11"/>
  <c r="I214" i="11" s="1"/>
  <c r="E214" i="11"/>
  <c r="I213" i="11"/>
  <c r="H213" i="11"/>
  <c r="E213" i="11"/>
  <c r="N213" i="11" s="1"/>
  <c r="L212" i="11"/>
  <c r="I212" i="11"/>
  <c r="H212" i="11"/>
  <c r="N212" i="11" s="1"/>
  <c r="E212" i="11"/>
  <c r="I211" i="11"/>
  <c r="F211" i="11"/>
  <c r="H211" i="11" s="1"/>
  <c r="N211" i="11" s="1"/>
  <c r="E211" i="11"/>
  <c r="F210" i="11"/>
  <c r="I210" i="11" s="1"/>
  <c r="E210" i="11"/>
  <c r="F209" i="11"/>
  <c r="I209" i="11" s="1"/>
  <c r="E209" i="11"/>
  <c r="L208" i="11"/>
  <c r="I208" i="11" s="1"/>
  <c r="E208" i="11"/>
  <c r="L207" i="11"/>
  <c r="H207" i="11" s="1"/>
  <c r="E207" i="11"/>
  <c r="N206" i="11"/>
  <c r="H206" i="11"/>
  <c r="E206" i="11"/>
  <c r="I206" i="11" s="1"/>
  <c r="H205" i="11"/>
  <c r="E205" i="11"/>
  <c r="N205" i="11" s="1"/>
  <c r="L204" i="11"/>
  <c r="I204" i="11" s="1"/>
  <c r="F204" i="11"/>
  <c r="H204" i="11" s="1"/>
  <c r="E204" i="11"/>
  <c r="L203" i="11"/>
  <c r="I203" i="11" s="1"/>
  <c r="E203" i="11"/>
  <c r="L202" i="11"/>
  <c r="H202" i="11" s="1"/>
  <c r="E202" i="11"/>
  <c r="L201" i="11"/>
  <c r="I201" i="11" s="1"/>
  <c r="F201" i="11"/>
  <c r="H201" i="11" s="1"/>
  <c r="E201" i="11"/>
  <c r="N201" i="11" s="1"/>
  <c r="I200" i="11"/>
  <c r="H200" i="11"/>
  <c r="E200" i="11"/>
  <c r="N200" i="11" s="1"/>
  <c r="H199" i="11"/>
  <c r="E199" i="11"/>
  <c r="N199" i="11" s="1"/>
  <c r="L198" i="11"/>
  <c r="I198" i="11" s="1"/>
  <c r="F198" i="11"/>
  <c r="E198" i="11"/>
  <c r="L197" i="11"/>
  <c r="I197" i="11" s="1"/>
  <c r="H197" i="11"/>
  <c r="N197" i="11" s="1"/>
  <c r="F197" i="11"/>
  <c r="E197" i="11"/>
  <c r="H196" i="11"/>
  <c r="E196" i="11"/>
  <c r="N196" i="11" s="1"/>
  <c r="C196" i="11"/>
  <c r="N195" i="11"/>
  <c r="I195" i="11"/>
  <c r="H195" i="11"/>
  <c r="F195" i="11"/>
  <c r="E195" i="11"/>
  <c r="L194" i="11"/>
  <c r="I194" i="11" s="1"/>
  <c r="H194" i="11"/>
  <c r="N194" i="11" s="1"/>
  <c r="F194" i="11"/>
  <c r="E194" i="11"/>
  <c r="L193" i="11"/>
  <c r="I193" i="11"/>
  <c r="H193" i="11"/>
  <c r="N193" i="11" s="1"/>
  <c r="E193" i="11"/>
  <c r="N192" i="11"/>
  <c r="I192" i="11"/>
  <c r="H192" i="11"/>
  <c r="E192" i="11"/>
  <c r="L191" i="11"/>
  <c r="H191" i="11" s="1"/>
  <c r="F191" i="11"/>
  <c r="I191" i="11" s="1"/>
  <c r="E191" i="11"/>
  <c r="L190" i="11"/>
  <c r="F190" i="11"/>
  <c r="I190" i="11" s="1"/>
  <c r="E190" i="11"/>
  <c r="L189" i="11"/>
  <c r="I189" i="11" s="1"/>
  <c r="F189" i="11"/>
  <c r="E189" i="11"/>
  <c r="N188" i="11"/>
  <c r="L188" i="11"/>
  <c r="I188" i="11"/>
  <c r="H188" i="11"/>
  <c r="E188" i="11"/>
  <c r="L187" i="11"/>
  <c r="H187" i="11"/>
  <c r="F187" i="11"/>
  <c r="E187" i="11"/>
  <c r="N187" i="11" s="1"/>
  <c r="L186" i="11"/>
  <c r="I186" i="11" s="1"/>
  <c r="F186" i="11"/>
  <c r="H186" i="11" s="1"/>
  <c r="E186" i="11"/>
  <c r="L185" i="11"/>
  <c r="I185" i="11" s="1"/>
  <c r="F185" i="11"/>
  <c r="E185" i="11"/>
  <c r="L184" i="11"/>
  <c r="I184" i="11" s="1"/>
  <c r="H184" i="11"/>
  <c r="N184" i="11" s="1"/>
  <c r="F184" i="11"/>
  <c r="E184" i="11"/>
  <c r="L183" i="11"/>
  <c r="I183" i="11"/>
  <c r="H183" i="11"/>
  <c r="N183" i="11" s="1"/>
  <c r="E183" i="11"/>
  <c r="L182" i="11"/>
  <c r="I182" i="11" s="1"/>
  <c r="E182" i="11"/>
  <c r="F181" i="11"/>
  <c r="I181" i="11" s="1"/>
  <c r="E181" i="11"/>
  <c r="F180" i="11"/>
  <c r="I180" i="11" s="1"/>
  <c r="E180" i="11"/>
  <c r="L179" i="11"/>
  <c r="I179" i="11" s="1"/>
  <c r="F179" i="11"/>
  <c r="E179" i="11"/>
  <c r="L178" i="11"/>
  <c r="I178" i="11" s="1"/>
  <c r="H178" i="11"/>
  <c r="E178" i="11"/>
  <c r="N178" i="11" s="1"/>
  <c r="L177" i="11"/>
  <c r="F177" i="11"/>
  <c r="I177" i="11" s="1"/>
  <c r="E177" i="11"/>
  <c r="N176" i="11"/>
  <c r="I176" i="11"/>
  <c r="H176" i="11"/>
  <c r="F176" i="11"/>
  <c r="E176" i="11"/>
  <c r="P175" i="11"/>
  <c r="L175" i="11"/>
  <c r="F175" i="11"/>
  <c r="I175" i="11" s="1"/>
  <c r="E175" i="11"/>
  <c r="P174" i="11"/>
  <c r="L174" i="11"/>
  <c r="I174" i="11" s="1"/>
  <c r="H174" i="11"/>
  <c r="N174" i="11" s="1"/>
  <c r="F174" i="11"/>
  <c r="E174" i="11"/>
  <c r="P173" i="11"/>
  <c r="Q173" i="11" s="1"/>
  <c r="N173" i="11"/>
  <c r="L173" i="11"/>
  <c r="I173" i="11" s="1"/>
  <c r="H173" i="11"/>
  <c r="F173" i="11"/>
  <c r="E173" i="11"/>
  <c r="P172" i="11"/>
  <c r="L172" i="11"/>
  <c r="I172" i="11"/>
  <c r="H172" i="11"/>
  <c r="N172" i="11" s="1"/>
  <c r="E172" i="11"/>
  <c r="P171" i="11"/>
  <c r="R171" i="11" s="1"/>
  <c r="S171" i="11" s="1"/>
  <c r="L171" i="11"/>
  <c r="I171" i="11" s="1"/>
  <c r="E171" i="11"/>
  <c r="P170" i="11"/>
  <c r="L170" i="11"/>
  <c r="F170" i="11"/>
  <c r="E170" i="11"/>
  <c r="P169" i="11"/>
  <c r="T169" i="11" s="1"/>
  <c r="I169" i="11"/>
  <c r="H169" i="11"/>
  <c r="E169" i="11"/>
  <c r="N169" i="11" s="1"/>
  <c r="P168" i="11"/>
  <c r="T168" i="11" s="1"/>
  <c r="L168" i="11"/>
  <c r="H168" i="11"/>
  <c r="F168" i="11"/>
  <c r="E168" i="11"/>
  <c r="P167" i="11"/>
  <c r="Q167" i="11" s="1"/>
  <c r="N167" i="11"/>
  <c r="L167" i="11"/>
  <c r="I167" i="11"/>
  <c r="H167" i="11"/>
  <c r="F167" i="11"/>
  <c r="E167" i="11"/>
  <c r="P166" i="11"/>
  <c r="N166" i="11"/>
  <c r="L166" i="11"/>
  <c r="F166" i="11"/>
  <c r="H166" i="11" s="1"/>
  <c r="E166" i="11"/>
  <c r="I166" i="11" s="1"/>
  <c r="P165" i="11"/>
  <c r="Q165" i="11" s="1"/>
  <c r="L165" i="11"/>
  <c r="H165" i="11" s="1"/>
  <c r="I165" i="11"/>
  <c r="F165" i="11"/>
  <c r="E165" i="11"/>
  <c r="P164" i="11"/>
  <c r="L164" i="11"/>
  <c r="H164" i="11" s="1"/>
  <c r="F164" i="11"/>
  <c r="E164" i="11"/>
  <c r="N164" i="11" s="1"/>
  <c r="P163" i="11"/>
  <c r="Q163" i="11" s="1"/>
  <c r="L163" i="11"/>
  <c r="I163" i="11" s="1"/>
  <c r="F163" i="11"/>
  <c r="E163" i="11"/>
  <c r="P162" i="11"/>
  <c r="L162" i="11"/>
  <c r="I162" i="11" s="1"/>
  <c r="F162" i="11"/>
  <c r="E162" i="11"/>
  <c r="P161" i="11"/>
  <c r="Q161" i="11" s="1"/>
  <c r="L161" i="11"/>
  <c r="I161" i="11" s="1"/>
  <c r="F161" i="11"/>
  <c r="E161" i="11"/>
  <c r="P160" i="11"/>
  <c r="Q160" i="11" s="1"/>
  <c r="N160" i="11"/>
  <c r="L160" i="11"/>
  <c r="H160" i="11"/>
  <c r="F160" i="11"/>
  <c r="E160" i="11"/>
  <c r="I160" i="11" s="1"/>
  <c r="P159" i="11"/>
  <c r="Q159" i="11" s="1"/>
  <c r="N159" i="11"/>
  <c r="L159" i="11"/>
  <c r="I159" i="11"/>
  <c r="H159" i="11"/>
  <c r="E159" i="11"/>
  <c r="P158" i="11"/>
  <c r="R158" i="11" s="1"/>
  <c r="S158" i="11" s="1"/>
  <c r="L158" i="11"/>
  <c r="I158" i="11" s="1"/>
  <c r="E158" i="11"/>
  <c r="P157" i="11"/>
  <c r="Q157" i="11" s="1"/>
  <c r="L157" i="11"/>
  <c r="H157" i="11"/>
  <c r="E157" i="11"/>
  <c r="P156" i="11"/>
  <c r="L156" i="11"/>
  <c r="H156" i="11" s="1"/>
  <c r="E156" i="11"/>
  <c r="P155" i="11"/>
  <c r="Q155" i="11" s="1"/>
  <c r="N155" i="11"/>
  <c r="L155" i="11"/>
  <c r="I155" i="11"/>
  <c r="H155" i="11"/>
  <c r="E155" i="11"/>
  <c r="P154" i="11"/>
  <c r="R154" i="11" s="1"/>
  <c r="S154" i="11" s="1"/>
  <c r="N154" i="11"/>
  <c r="I154" i="11"/>
  <c r="H154" i="11"/>
  <c r="E154" i="11"/>
  <c r="P153" i="11"/>
  <c r="R153" i="11" s="1"/>
  <c r="S153" i="11" s="1"/>
  <c r="N153" i="11"/>
  <c r="H153" i="11"/>
  <c r="E153" i="11"/>
  <c r="I153" i="11" s="1"/>
  <c r="P152" i="11"/>
  <c r="R152" i="11" s="1"/>
  <c r="S152" i="11" s="1"/>
  <c r="L152" i="11"/>
  <c r="I152" i="11" s="1"/>
  <c r="H152" i="11"/>
  <c r="E152" i="11"/>
  <c r="P151" i="11"/>
  <c r="R151" i="11" s="1"/>
  <c r="S151" i="11" s="1"/>
  <c r="L151" i="11"/>
  <c r="H151" i="11" s="1"/>
  <c r="E151" i="11"/>
  <c r="P150" i="11"/>
  <c r="Q150" i="11" s="1"/>
  <c r="N150" i="11"/>
  <c r="L150" i="11"/>
  <c r="I150" i="11"/>
  <c r="H150" i="11"/>
  <c r="E150" i="11"/>
  <c r="P149" i="11"/>
  <c r="T149" i="11" s="1"/>
  <c r="I149" i="11"/>
  <c r="H149" i="11"/>
  <c r="E149" i="11"/>
  <c r="N149" i="11" s="1"/>
  <c r="P148" i="11"/>
  <c r="N148" i="11"/>
  <c r="H148" i="11"/>
  <c r="F148" i="11"/>
  <c r="I148" i="11" s="1"/>
  <c r="E148" i="11"/>
  <c r="P147" i="11"/>
  <c r="R147" i="11" s="1"/>
  <c r="S147" i="11" s="1"/>
  <c r="N147" i="11"/>
  <c r="L147" i="11"/>
  <c r="I147" i="11"/>
  <c r="H147" i="11"/>
  <c r="E147" i="11"/>
  <c r="P146" i="11"/>
  <c r="R146" i="11" s="1"/>
  <c r="S146" i="11" s="1"/>
  <c r="H146" i="11"/>
  <c r="E146" i="11"/>
  <c r="N146" i="11" s="1"/>
  <c r="P145" i="11"/>
  <c r="Q145" i="11" s="1"/>
  <c r="N145" i="11"/>
  <c r="L145" i="11"/>
  <c r="I145" i="11"/>
  <c r="H145" i="11"/>
  <c r="E145" i="11"/>
  <c r="P144" i="11"/>
  <c r="Q144" i="11" s="1"/>
  <c r="L144" i="11"/>
  <c r="I144" i="11" s="1"/>
  <c r="E144" i="11"/>
  <c r="P143" i="11"/>
  <c r="R143" i="11" s="1"/>
  <c r="S143" i="11" s="1"/>
  <c r="F143" i="11"/>
  <c r="H143" i="11" s="1"/>
  <c r="E143" i="11"/>
  <c r="P142" i="11"/>
  <c r="R142" i="11" s="1"/>
  <c r="S142" i="11" s="1"/>
  <c r="L142" i="11"/>
  <c r="H142" i="11" s="1"/>
  <c r="F142" i="11"/>
  <c r="E142" i="11"/>
  <c r="P141" i="11"/>
  <c r="I141" i="11"/>
  <c r="H141" i="11"/>
  <c r="E141" i="11"/>
  <c r="P140" i="11"/>
  <c r="T140" i="11" s="1"/>
  <c r="L140" i="11"/>
  <c r="I140" i="11" s="1"/>
  <c r="H140" i="11"/>
  <c r="N140" i="11" s="1"/>
  <c r="E140" i="11"/>
  <c r="P139" i="11"/>
  <c r="R139" i="11" s="1"/>
  <c r="S139" i="11" s="1"/>
  <c r="L139" i="11"/>
  <c r="H139" i="11" s="1"/>
  <c r="N139" i="11" s="1"/>
  <c r="F139" i="11"/>
  <c r="E139" i="11"/>
  <c r="P138" i="11"/>
  <c r="R138" i="11" s="1"/>
  <c r="S138" i="11" s="1"/>
  <c r="L138" i="11"/>
  <c r="I138" i="11" s="1"/>
  <c r="H138" i="11"/>
  <c r="N138" i="11" s="1"/>
  <c r="F138" i="11"/>
  <c r="E138" i="11"/>
  <c r="P137" i="11"/>
  <c r="Q137" i="11" s="1"/>
  <c r="L137" i="11"/>
  <c r="I137" i="11" s="1"/>
  <c r="E137" i="11"/>
  <c r="P136" i="11"/>
  <c r="R136" i="11" s="1"/>
  <c r="S136" i="11" s="1"/>
  <c r="F136" i="11"/>
  <c r="H136" i="11" s="1"/>
  <c r="E136" i="11"/>
  <c r="P135" i="11"/>
  <c r="L135" i="11"/>
  <c r="H135" i="11" s="1"/>
  <c r="F135" i="11"/>
  <c r="E135" i="11"/>
  <c r="N135" i="11" s="1"/>
  <c r="P134" i="11"/>
  <c r="I134" i="11"/>
  <c r="H134" i="11"/>
  <c r="E134" i="11"/>
  <c r="N134" i="11" s="1"/>
  <c r="P133" i="11"/>
  <c r="Q133" i="11" s="1"/>
  <c r="H133" i="11"/>
  <c r="E133" i="11"/>
  <c r="N133" i="11" s="1"/>
  <c r="P132" i="11"/>
  <c r="H132" i="11"/>
  <c r="N132" i="11" s="1"/>
  <c r="E132" i="11"/>
  <c r="I132" i="11" s="1"/>
  <c r="P131" i="11"/>
  <c r="L131" i="11"/>
  <c r="H131" i="11" s="1"/>
  <c r="E131" i="11"/>
  <c r="P130" i="11"/>
  <c r="I130" i="11"/>
  <c r="H130" i="11"/>
  <c r="N130" i="11" s="1"/>
  <c r="E130" i="11"/>
  <c r="P129" i="11"/>
  <c r="Q129" i="11" s="1"/>
  <c r="L129" i="11"/>
  <c r="H129" i="11"/>
  <c r="N129" i="11" s="1"/>
  <c r="E129" i="11"/>
  <c r="P128" i="11"/>
  <c r="Q128" i="11" s="1"/>
  <c r="L128" i="11"/>
  <c r="H128" i="11" s="1"/>
  <c r="I128" i="11"/>
  <c r="E128" i="11"/>
  <c r="P127" i="11"/>
  <c r="R127" i="11" s="1"/>
  <c r="S127" i="11" s="1"/>
  <c r="N127" i="11"/>
  <c r="L127" i="11"/>
  <c r="I127" i="11"/>
  <c r="H127" i="11"/>
  <c r="E127" i="11"/>
  <c r="P126" i="11"/>
  <c r="Q126" i="11" s="1"/>
  <c r="L126" i="11"/>
  <c r="I126" i="11"/>
  <c r="H126" i="11"/>
  <c r="N126" i="11" s="1"/>
  <c r="E126" i="11"/>
  <c r="P125" i="11"/>
  <c r="R125" i="11" s="1"/>
  <c r="S125" i="11" s="1"/>
  <c r="L125" i="11"/>
  <c r="H125" i="11" s="1"/>
  <c r="E125" i="11"/>
  <c r="P124" i="11"/>
  <c r="I124" i="11"/>
  <c r="H124" i="11"/>
  <c r="E124" i="11"/>
  <c r="N124" i="11" s="1"/>
  <c r="P123" i="11"/>
  <c r="Q123" i="11" s="1"/>
  <c r="N123" i="11"/>
  <c r="L123" i="11"/>
  <c r="I123" i="11" s="1"/>
  <c r="H123" i="11"/>
  <c r="E123" i="11"/>
  <c r="P122" i="11"/>
  <c r="Q122" i="11" s="1"/>
  <c r="I122" i="11"/>
  <c r="H122" i="11"/>
  <c r="E122" i="11"/>
  <c r="N122" i="11" s="1"/>
  <c r="P121" i="11"/>
  <c r="Q121" i="11" s="1"/>
  <c r="H121" i="11"/>
  <c r="E121" i="11"/>
  <c r="I121" i="11" s="1"/>
  <c r="P120" i="11"/>
  <c r="R120" i="11" s="1"/>
  <c r="S120" i="11" s="1"/>
  <c r="I120" i="11"/>
  <c r="H120" i="11"/>
  <c r="N120" i="11" s="1"/>
  <c r="E120" i="11"/>
  <c r="P119" i="11"/>
  <c r="Q119" i="11" s="1"/>
  <c r="N119" i="11"/>
  <c r="I119" i="11"/>
  <c r="H119" i="11"/>
  <c r="E119" i="11"/>
  <c r="P118" i="11"/>
  <c r="Q118" i="11" s="1"/>
  <c r="N118" i="11"/>
  <c r="L118" i="11"/>
  <c r="I118" i="11"/>
  <c r="H118" i="11"/>
  <c r="E118" i="11"/>
  <c r="P117" i="11"/>
  <c r="Q117" i="11" s="1"/>
  <c r="L117" i="11"/>
  <c r="I117" i="11" s="1"/>
  <c r="E117" i="11"/>
  <c r="P116" i="11"/>
  <c r="Q116" i="11" s="1"/>
  <c r="L116" i="11"/>
  <c r="H116" i="11"/>
  <c r="E116" i="11"/>
  <c r="P115" i="11"/>
  <c r="H115" i="11"/>
  <c r="F115" i="11"/>
  <c r="E115" i="11"/>
  <c r="N115" i="11" s="1"/>
  <c r="P114" i="11"/>
  <c r="Q114" i="11" s="1"/>
  <c r="L114" i="11"/>
  <c r="I114" i="11"/>
  <c r="H114" i="11"/>
  <c r="F114" i="11"/>
  <c r="E114" i="11"/>
  <c r="N114" i="11" s="1"/>
  <c r="P113" i="11"/>
  <c r="L113" i="11"/>
  <c r="F113" i="11"/>
  <c r="H113" i="11" s="1"/>
  <c r="N113" i="11" s="1"/>
  <c r="E113" i="11"/>
  <c r="P112" i="11"/>
  <c r="L112" i="11"/>
  <c r="H112" i="11" s="1"/>
  <c r="E112" i="11"/>
  <c r="P111" i="11"/>
  <c r="Q111" i="11" s="1"/>
  <c r="N111" i="11"/>
  <c r="H111" i="11"/>
  <c r="E111" i="11"/>
  <c r="I111" i="11" s="1"/>
  <c r="P110" i="11"/>
  <c r="L110" i="11"/>
  <c r="H110" i="11" s="1"/>
  <c r="E110" i="11"/>
  <c r="N110" i="11" s="1"/>
  <c r="P109" i="11"/>
  <c r="L109" i="11"/>
  <c r="H109" i="11"/>
  <c r="E109" i="11"/>
  <c r="N109" i="11" s="1"/>
  <c r="P108" i="11"/>
  <c r="Q108" i="11" s="1"/>
  <c r="N108" i="11"/>
  <c r="H108" i="11"/>
  <c r="E108" i="11"/>
  <c r="I108" i="11" s="1"/>
  <c r="P107" i="11"/>
  <c r="R107" i="11" s="1"/>
  <c r="S107" i="11" s="1"/>
  <c r="L107" i="11"/>
  <c r="H107" i="11" s="1"/>
  <c r="E107" i="11"/>
  <c r="N107" i="11" s="1"/>
  <c r="P106" i="11"/>
  <c r="Q106" i="11" s="1"/>
  <c r="H106" i="11"/>
  <c r="E106" i="11"/>
  <c r="I106" i="11" s="1"/>
  <c r="P105" i="11"/>
  <c r="Q105" i="11" s="1"/>
  <c r="I105" i="11"/>
  <c r="H105" i="11"/>
  <c r="E105" i="11"/>
  <c r="P104" i="11"/>
  <c r="Q104" i="11" s="1"/>
  <c r="L104" i="11"/>
  <c r="I104" i="11" s="1"/>
  <c r="H104" i="11"/>
  <c r="N104" i="11" s="1"/>
  <c r="E104" i="11"/>
  <c r="P103" i="11"/>
  <c r="L103" i="11"/>
  <c r="H103" i="11" s="1"/>
  <c r="E103" i="11"/>
  <c r="P102" i="11"/>
  <c r="I102" i="11"/>
  <c r="H102" i="11"/>
  <c r="N102" i="11" s="1"/>
  <c r="E102" i="11"/>
  <c r="P101" i="11"/>
  <c r="Q101" i="11" s="1"/>
  <c r="L101" i="11"/>
  <c r="H101" i="11"/>
  <c r="N101" i="11" s="1"/>
  <c r="E101" i="11"/>
  <c r="P100" i="11"/>
  <c r="Q100" i="11" s="1"/>
  <c r="L100" i="11"/>
  <c r="H100" i="11" s="1"/>
  <c r="E100" i="11"/>
  <c r="P99" i="11"/>
  <c r="N99" i="11"/>
  <c r="H99" i="11"/>
  <c r="E99" i="11"/>
  <c r="I99" i="11" s="1"/>
  <c r="P98" i="11"/>
  <c r="Q98" i="11" s="1"/>
  <c r="L98" i="11"/>
  <c r="H98" i="11"/>
  <c r="E98" i="11"/>
  <c r="P97" i="11"/>
  <c r="L97" i="11"/>
  <c r="E97" i="11"/>
  <c r="P96" i="11"/>
  <c r="Q96" i="11" s="1"/>
  <c r="N96" i="11"/>
  <c r="L96" i="11"/>
  <c r="I96" i="11"/>
  <c r="H96" i="11"/>
  <c r="E96" i="11"/>
  <c r="P95" i="11"/>
  <c r="Q95" i="11" s="1"/>
  <c r="N95" i="11"/>
  <c r="I95" i="11"/>
  <c r="H95" i="11"/>
  <c r="E95" i="11"/>
  <c r="P94" i="11"/>
  <c r="N94" i="11"/>
  <c r="L94" i="11"/>
  <c r="I94" i="11"/>
  <c r="H94" i="11"/>
  <c r="E94" i="11"/>
  <c r="P93" i="11"/>
  <c r="R93" i="11" s="1"/>
  <c r="S93" i="11" s="1"/>
  <c r="N93" i="11"/>
  <c r="L93" i="11"/>
  <c r="I93" i="11"/>
  <c r="H93" i="11"/>
  <c r="E93" i="11"/>
  <c r="P92" i="11"/>
  <c r="Q92" i="11" s="1"/>
  <c r="L92" i="11"/>
  <c r="H92" i="11" s="1"/>
  <c r="E92" i="11"/>
  <c r="N92" i="11" s="1"/>
  <c r="P91" i="11"/>
  <c r="Q91" i="11" s="1"/>
  <c r="L91" i="11"/>
  <c r="H91" i="11" s="1"/>
  <c r="I91" i="11"/>
  <c r="E91" i="11"/>
  <c r="N91" i="11" s="1"/>
  <c r="P90" i="11"/>
  <c r="N90" i="11"/>
  <c r="H90" i="11"/>
  <c r="E90" i="11"/>
  <c r="I90" i="11" s="1"/>
  <c r="P89" i="11"/>
  <c r="L89" i="11"/>
  <c r="H89" i="11"/>
  <c r="E89" i="11"/>
  <c r="P88" i="11"/>
  <c r="R88" i="11" s="1"/>
  <c r="S88" i="11" s="1"/>
  <c r="L88" i="11"/>
  <c r="H88" i="11" s="1"/>
  <c r="I88" i="11"/>
  <c r="E88" i="11"/>
  <c r="N88" i="11" s="1"/>
  <c r="P87" i="11"/>
  <c r="Q87" i="11" s="1"/>
  <c r="L87" i="11"/>
  <c r="I87" i="11"/>
  <c r="H87" i="11"/>
  <c r="N87" i="11" s="1"/>
  <c r="E87" i="11"/>
  <c r="P86" i="11"/>
  <c r="T86" i="11" s="1"/>
  <c r="L86" i="11"/>
  <c r="I86" i="11" s="1"/>
  <c r="H86" i="11"/>
  <c r="N86" i="11" s="1"/>
  <c r="E86" i="11"/>
  <c r="P85" i="11"/>
  <c r="L85" i="11"/>
  <c r="H85" i="11" s="1"/>
  <c r="E85" i="11"/>
  <c r="P84" i="11"/>
  <c r="L84" i="11"/>
  <c r="H84" i="11" s="1"/>
  <c r="I84" i="11"/>
  <c r="E84" i="11"/>
  <c r="N84" i="11" s="1"/>
  <c r="P83" i="11"/>
  <c r="Q83" i="11" s="1"/>
  <c r="N83" i="11"/>
  <c r="H83" i="11"/>
  <c r="E83" i="11"/>
  <c r="I83" i="11" s="1"/>
  <c r="P82" i="11"/>
  <c r="Q82" i="11" s="1"/>
  <c r="L82" i="11"/>
  <c r="E82" i="11"/>
  <c r="P81" i="11"/>
  <c r="L81" i="11"/>
  <c r="I81" i="11"/>
  <c r="H81" i="11"/>
  <c r="E81" i="11"/>
  <c r="N81" i="11" s="1"/>
  <c r="P80" i="11"/>
  <c r="Q80" i="11" s="1"/>
  <c r="H80" i="11"/>
  <c r="E80" i="11"/>
  <c r="I80" i="11" s="1"/>
  <c r="P79" i="11"/>
  <c r="I79" i="11"/>
  <c r="H79" i="11"/>
  <c r="N79" i="11" s="1"/>
  <c r="E79" i="11"/>
  <c r="P78" i="11"/>
  <c r="R78" i="11" s="1"/>
  <c r="S78" i="11" s="1"/>
  <c r="L78" i="11"/>
  <c r="E78" i="11"/>
  <c r="P77" i="11"/>
  <c r="L77" i="11"/>
  <c r="E77" i="11"/>
  <c r="P76" i="11"/>
  <c r="L76" i="11"/>
  <c r="H76" i="11"/>
  <c r="E76" i="11"/>
  <c r="N76" i="11" s="1"/>
  <c r="P75" i="11"/>
  <c r="Q75" i="11" s="1"/>
  <c r="N75" i="11"/>
  <c r="L75" i="11"/>
  <c r="I75" i="11"/>
  <c r="H75" i="11"/>
  <c r="E75" i="11"/>
  <c r="P74" i="11"/>
  <c r="Q74" i="11" s="1"/>
  <c r="N74" i="11"/>
  <c r="L74" i="11"/>
  <c r="H74" i="11"/>
  <c r="E74" i="11"/>
  <c r="P73" i="11"/>
  <c r="Q73" i="11" s="1"/>
  <c r="L73" i="11"/>
  <c r="H73" i="11" s="1"/>
  <c r="E73" i="11"/>
  <c r="P72" i="11"/>
  <c r="R72" i="11" s="1"/>
  <c r="S72" i="11" s="1"/>
  <c r="N72" i="11"/>
  <c r="L72" i="11"/>
  <c r="I72" i="11"/>
  <c r="H72" i="11"/>
  <c r="E72" i="11"/>
  <c r="P71" i="11"/>
  <c r="T71" i="11" s="1"/>
  <c r="N71" i="11"/>
  <c r="L71" i="11"/>
  <c r="I71" i="11"/>
  <c r="H71" i="11"/>
  <c r="E71" i="11"/>
  <c r="P70" i="11"/>
  <c r="Q70" i="11" s="1"/>
  <c r="L70" i="11"/>
  <c r="E70" i="11"/>
  <c r="P69" i="11"/>
  <c r="L69" i="11"/>
  <c r="H69" i="11" s="1"/>
  <c r="E69" i="11"/>
  <c r="N69" i="11" s="1"/>
  <c r="P68" i="11"/>
  <c r="L68" i="11"/>
  <c r="H68" i="11"/>
  <c r="E68" i="11"/>
  <c r="P67" i="11"/>
  <c r="Q67" i="11" s="1"/>
  <c r="L67" i="11"/>
  <c r="I67" i="11"/>
  <c r="H67" i="11"/>
  <c r="N67" i="11" s="1"/>
  <c r="E67" i="11"/>
  <c r="P66" i="11"/>
  <c r="Q66" i="11" s="1"/>
  <c r="N66" i="11"/>
  <c r="I66" i="11"/>
  <c r="H66" i="11"/>
  <c r="E66" i="11"/>
  <c r="P65" i="11"/>
  <c r="Q65" i="11" s="1"/>
  <c r="L65" i="11"/>
  <c r="I65" i="11"/>
  <c r="H65" i="11"/>
  <c r="N65" i="11" s="1"/>
  <c r="E65" i="11"/>
  <c r="P64" i="11"/>
  <c r="Q64" i="11" s="1"/>
  <c r="N64" i="11"/>
  <c r="I64" i="11"/>
  <c r="H64" i="11"/>
  <c r="E64" i="11"/>
  <c r="P63" i="11"/>
  <c r="N63" i="11"/>
  <c r="L63" i="11"/>
  <c r="I63" i="11"/>
  <c r="H63" i="11"/>
  <c r="E63" i="11"/>
  <c r="P62" i="11"/>
  <c r="R62" i="11" s="1"/>
  <c r="S62" i="11" s="1"/>
  <c r="H62" i="11"/>
  <c r="E62" i="11"/>
  <c r="P61" i="11"/>
  <c r="I61" i="11"/>
  <c r="H61" i="11"/>
  <c r="N61" i="11" s="1"/>
  <c r="E61" i="11"/>
  <c r="P60" i="11"/>
  <c r="R60" i="11" s="1"/>
  <c r="S60" i="11" s="1"/>
  <c r="N60" i="11"/>
  <c r="L60" i="11"/>
  <c r="H60" i="11"/>
  <c r="E60" i="11"/>
  <c r="P59" i="11"/>
  <c r="Q59" i="11" s="1"/>
  <c r="L59" i="11"/>
  <c r="H59" i="11" s="1"/>
  <c r="E59" i="11"/>
  <c r="P58" i="11"/>
  <c r="N58" i="11"/>
  <c r="H58" i="11"/>
  <c r="E58" i="11"/>
  <c r="I58" i="11" s="1"/>
  <c r="P57" i="11"/>
  <c r="Q57" i="11" s="1"/>
  <c r="L57" i="11"/>
  <c r="I57" i="11" s="1"/>
  <c r="E57" i="11"/>
  <c r="P56" i="11"/>
  <c r="R56" i="11" s="1"/>
  <c r="S56" i="11" s="1"/>
  <c r="L56" i="11"/>
  <c r="E56" i="11"/>
  <c r="P55" i="11"/>
  <c r="T55" i="11" s="1"/>
  <c r="N55" i="11"/>
  <c r="L55" i="11"/>
  <c r="I55" i="11"/>
  <c r="H55" i="11"/>
  <c r="E55" i="11"/>
  <c r="P54" i="11"/>
  <c r="R54" i="11" s="1"/>
  <c r="S54" i="11" s="1"/>
  <c r="L54" i="11"/>
  <c r="E54" i="11"/>
  <c r="P53" i="11"/>
  <c r="Q53" i="11" s="1"/>
  <c r="L53" i="11"/>
  <c r="H53" i="11"/>
  <c r="E53" i="11"/>
  <c r="P52" i="11"/>
  <c r="I52" i="11"/>
  <c r="H52" i="11"/>
  <c r="N52" i="11" s="1"/>
  <c r="E52" i="11"/>
  <c r="P51" i="11"/>
  <c r="Q51" i="11" s="1"/>
  <c r="L51" i="11"/>
  <c r="I51" i="11" s="1"/>
  <c r="H51" i="11"/>
  <c r="N51" i="11" s="1"/>
  <c r="E51" i="11"/>
  <c r="P50" i="11"/>
  <c r="L50" i="11"/>
  <c r="E50" i="11"/>
  <c r="P49" i="11"/>
  <c r="L49" i="11"/>
  <c r="I49" i="11"/>
  <c r="H49" i="11"/>
  <c r="E49" i="11"/>
  <c r="N49" i="11" s="1"/>
  <c r="P48" i="11"/>
  <c r="Q48" i="11" s="1"/>
  <c r="N48" i="11"/>
  <c r="L48" i="11"/>
  <c r="I48" i="11"/>
  <c r="H48" i="11"/>
  <c r="E48" i="11"/>
  <c r="P47" i="11"/>
  <c r="Q47" i="11" s="1"/>
  <c r="H47" i="11"/>
  <c r="E47" i="11"/>
  <c r="I47" i="11" s="1"/>
  <c r="P46" i="11"/>
  <c r="Q46" i="11" s="1"/>
  <c r="N46" i="11"/>
  <c r="L46" i="11"/>
  <c r="I46" i="11"/>
  <c r="H46" i="11"/>
  <c r="E46" i="11"/>
  <c r="P45" i="11"/>
  <c r="Q45" i="11" s="1"/>
  <c r="N45" i="11"/>
  <c r="L45" i="11"/>
  <c r="I45" i="11" s="1"/>
  <c r="H45" i="11"/>
  <c r="E45" i="11"/>
  <c r="P44" i="11"/>
  <c r="L44" i="11"/>
  <c r="E44" i="11"/>
  <c r="P43" i="11"/>
  <c r="L43" i="11"/>
  <c r="H43" i="11" s="1"/>
  <c r="E43" i="11"/>
  <c r="N43" i="11" s="1"/>
  <c r="P42" i="11"/>
  <c r="L42" i="11"/>
  <c r="I42" i="11"/>
  <c r="H42" i="11"/>
  <c r="N42" i="11" s="1"/>
  <c r="E42" i="11"/>
  <c r="P41" i="11"/>
  <c r="Q41" i="11" s="1"/>
  <c r="H41" i="11"/>
  <c r="E41" i="11"/>
  <c r="I41" i="11" s="1"/>
  <c r="P40" i="11"/>
  <c r="L40" i="11"/>
  <c r="H40" i="11"/>
  <c r="E40" i="11"/>
  <c r="P39" i="11"/>
  <c r="Q39" i="11" s="1"/>
  <c r="L39" i="11"/>
  <c r="I39" i="11"/>
  <c r="H39" i="11"/>
  <c r="N39" i="11" s="1"/>
  <c r="E39" i="11"/>
  <c r="P38" i="11"/>
  <c r="Q38" i="11" s="1"/>
  <c r="L38" i="11"/>
  <c r="I38" i="11" s="1"/>
  <c r="H38" i="11"/>
  <c r="N38" i="11" s="1"/>
  <c r="E38" i="11"/>
  <c r="P37" i="11"/>
  <c r="Q37" i="11" s="1"/>
  <c r="I37" i="11"/>
  <c r="H37" i="11"/>
  <c r="E37" i="11"/>
  <c r="N37" i="11" s="1"/>
  <c r="P36" i="11"/>
  <c r="Q36" i="11" s="1"/>
  <c r="H36" i="11"/>
  <c r="E36" i="11"/>
  <c r="N36" i="11" s="1"/>
  <c r="P35" i="11"/>
  <c r="L35" i="11"/>
  <c r="I35" i="11"/>
  <c r="H35" i="11"/>
  <c r="E35" i="11"/>
  <c r="N35" i="11" s="1"/>
  <c r="P34" i="11"/>
  <c r="Q34" i="11" s="1"/>
  <c r="L34" i="11"/>
  <c r="I34" i="11"/>
  <c r="H34" i="11"/>
  <c r="N34" i="11" s="1"/>
  <c r="E34" i="11"/>
  <c r="P33" i="11"/>
  <c r="Q33" i="11" s="1"/>
  <c r="L33" i="11"/>
  <c r="H33" i="11"/>
  <c r="E33" i="11"/>
  <c r="P32" i="11"/>
  <c r="I32" i="11"/>
  <c r="H32" i="11"/>
  <c r="E32" i="11"/>
  <c r="P31" i="11"/>
  <c r="Q31" i="11" s="1"/>
  <c r="N31" i="11"/>
  <c r="H31" i="11"/>
  <c r="E31" i="11"/>
  <c r="I31" i="11" s="1"/>
  <c r="P30" i="11"/>
  <c r="N30" i="11"/>
  <c r="L30" i="11"/>
  <c r="H30" i="11"/>
  <c r="E30" i="11"/>
  <c r="I30" i="11" s="1"/>
  <c r="P29" i="11"/>
  <c r="Q29" i="11" s="1"/>
  <c r="N29" i="11"/>
  <c r="H29" i="11"/>
  <c r="E29" i="11"/>
  <c r="I29" i="11" s="1"/>
  <c r="P28" i="11"/>
  <c r="L28" i="11"/>
  <c r="H28" i="11" s="1"/>
  <c r="E28" i="11"/>
  <c r="P27" i="11"/>
  <c r="Q27" i="11" s="1"/>
  <c r="N27" i="11"/>
  <c r="L27" i="11"/>
  <c r="I27" i="11"/>
  <c r="H27" i="11"/>
  <c r="E27" i="11"/>
  <c r="P26" i="11"/>
  <c r="Q26" i="11" s="1"/>
  <c r="N26" i="11"/>
  <c r="L26" i="11"/>
  <c r="I26" i="11" s="1"/>
  <c r="H26" i="11"/>
  <c r="E26" i="11"/>
  <c r="P25" i="11"/>
  <c r="Q25" i="11" s="1"/>
  <c r="H25" i="11"/>
  <c r="E25" i="11"/>
  <c r="N25" i="11" s="1"/>
  <c r="P24" i="11"/>
  <c r="Q24" i="11" s="1"/>
  <c r="N24" i="11"/>
  <c r="L24" i="11"/>
  <c r="I24" i="11"/>
  <c r="H24" i="11"/>
  <c r="E24" i="11"/>
  <c r="P23" i="11"/>
  <c r="R23" i="11" s="1"/>
  <c r="S23" i="11" s="1"/>
  <c r="N23" i="11"/>
  <c r="H23" i="11"/>
  <c r="E23" i="11"/>
  <c r="I23" i="11" s="1"/>
  <c r="P22" i="11"/>
  <c r="L22" i="11"/>
  <c r="I22" i="11"/>
  <c r="H22" i="11"/>
  <c r="N22" i="11" s="1"/>
  <c r="E22" i="11"/>
  <c r="P21" i="11"/>
  <c r="Q21" i="11" s="1"/>
  <c r="N21" i="11"/>
  <c r="H21" i="11"/>
  <c r="E21" i="11"/>
  <c r="I21" i="11" s="1"/>
  <c r="P20" i="11"/>
  <c r="R20" i="11" s="1"/>
  <c r="S20" i="11" s="1"/>
  <c r="L20" i="11"/>
  <c r="H20" i="11"/>
  <c r="E20" i="11"/>
  <c r="I20" i="11" s="1"/>
  <c r="P19" i="11"/>
  <c r="R19" i="11" s="1"/>
  <c r="S19" i="11" s="1"/>
  <c r="N19" i="11"/>
  <c r="H19" i="11"/>
  <c r="E19" i="11"/>
  <c r="I19" i="11" s="1"/>
  <c r="P18" i="11"/>
  <c r="L18" i="11"/>
  <c r="H18" i="11" s="1"/>
  <c r="E18" i="11"/>
  <c r="N18" i="11" s="1"/>
  <c r="P17" i="11"/>
  <c r="R17" i="11" s="1"/>
  <c r="S17" i="11" s="1"/>
  <c r="L17" i="11"/>
  <c r="I17" i="11"/>
  <c r="H17" i="11"/>
  <c r="N17" i="11" s="1"/>
  <c r="E17" i="11"/>
  <c r="P16" i="11"/>
  <c r="Q16" i="11" s="1"/>
  <c r="L16" i="11"/>
  <c r="I16" i="11" s="1"/>
  <c r="E16" i="11"/>
  <c r="P15" i="11"/>
  <c r="L15" i="11"/>
  <c r="I15" i="11" s="1"/>
  <c r="E15" i="11"/>
  <c r="P14" i="11"/>
  <c r="L14" i="11"/>
  <c r="E14" i="11"/>
  <c r="P13" i="11"/>
  <c r="Q13" i="11" s="1"/>
  <c r="N13" i="11"/>
  <c r="L13" i="11"/>
  <c r="I13" i="11"/>
  <c r="H13" i="11"/>
  <c r="E13" i="11"/>
  <c r="P12" i="11"/>
  <c r="Q12" i="11" s="1"/>
  <c r="L12" i="11"/>
  <c r="E12" i="11"/>
  <c r="P11" i="11"/>
  <c r="Q11" i="11" s="1"/>
  <c r="L11" i="11"/>
  <c r="I11" i="11" s="1"/>
  <c r="E11" i="11"/>
  <c r="P10" i="11"/>
  <c r="L10" i="11"/>
  <c r="E10" i="11"/>
  <c r="P9" i="11"/>
  <c r="N9" i="11"/>
  <c r="L9" i="11"/>
  <c r="I9" i="11"/>
  <c r="H9" i="11"/>
  <c r="E9" i="11"/>
  <c r="P8" i="11"/>
  <c r="L8" i="11"/>
  <c r="E8" i="11"/>
  <c r="P7" i="11"/>
  <c r="R7" i="11" s="1"/>
  <c r="S7" i="11" s="1"/>
  <c r="L7" i="11"/>
  <c r="I7" i="11" s="1"/>
  <c r="E7" i="11"/>
  <c r="P6" i="11"/>
  <c r="R6" i="11" s="1"/>
  <c r="S6" i="11" s="1"/>
  <c r="L6" i="11"/>
  <c r="E6" i="11"/>
  <c r="P5" i="11"/>
  <c r="L5" i="11"/>
  <c r="I5" i="11"/>
  <c r="H5" i="11"/>
  <c r="N5" i="11" s="1"/>
  <c r="E5" i="11"/>
  <c r="P4" i="11"/>
  <c r="L4" i="11"/>
  <c r="I4" i="11" s="1"/>
  <c r="H4" i="11"/>
  <c r="N4" i="11" s="1"/>
  <c r="E4" i="11"/>
  <c r="P3" i="11"/>
  <c r="Q3" i="11" s="1"/>
  <c r="O3" i="11"/>
  <c r="L3" i="11"/>
  <c r="I3" i="11"/>
  <c r="H3" i="11"/>
  <c r="N3" i="11" s="1"/>
  <c r="E3" i="11"/>
  <c r="P2" i="11"/>
  <c r="L2" i="11"/>
  <c r="I2" i="11" s="1"/>
  <c r="H2" i="11"/>
  <c r="N2" i="11" s="1"/>
  <c r="E2" i="11"/>
  <c r="L206" i="10"/>
  <c r="I206" i="10" s="1"/>
  <c r="H206" i="10"/>
  <c r="E206" i="10"/>
  <c r="L205" i="10"/>
  <c r="I205" i="10" s="1"/>
  <c r="H205" i="10"/>
  <c r="E205" i="10"/>
  <c r="N205" i="10" s="1"/>
  <c r="L204" i="10"/>
  <c r="I204" i="10"/>
  <c r="H204" i="10"/>
  <c r="E204" i="10"/>
  <c r="N204" i="10" s="1"/>
  <c r="N203" i="10"/>
  <c r="L203" i="10"/>
  <c r="I203" i="10"/>
  <c r="H203" i="10"/>
  <c r="E203" i="10"/>
  <c r="N202" i="10"/>
  <c r="L202" i="10"/>
  <c r="I202" i="10"/>
  <c r="H202" i="10"/>
  <c r="E202" i="10"/>
  <c r="L201" i="10"/>
  <c r="I201" i="10"/>
  <c r="H201" i="10"/>
  <c r="N201" i="10" s="1"/>
  <c r="E201" i="10"/>
  <c r="L200" i="10"/>
  <c r="I200" i="10" s="1"/>
  <c r="H200" i="10"/>
  <c r="N200" i="10" s="1"/>
  <c r="E200" i="10"/>
  <c r="L199" i="10"/>
  <c r="H199" i="10"/>
  <c r="E199" i="10"/>
  <c r="N199" i="10" s="1"/>
  <c r="L198" i="10"/>
  <c r="H198" i="10"/>
  <c r="E198" i="10"/>
  <c r="L197" i="10"/>
  <c r="H197" i="10"/>
  <c r="E197" i="10"/>
  <c r="L196" i="10"/>
  <c r="I196" i="10" s="1"/>
  <c r="H196" i="10"/>
  <c r="E196" i="10"/>
  <c r="N196" i="10" s="1"/>
  <c r="L195" i="10"/>
  <c r="H195" i="10"/>
  <c r="E195" i="10"/>
  <c r="I195" i="10" s="1"/>
  <c r="L194" i="10"/>
  <c r="I194" i="10"/>
  <c r="H194" i="10"/>
  <c r="N194" i="10" s="1"/>
  <c r="E194" i="10"/>
  <c r="N193" i="10"/>
  <c r="L193" i="10"/>
  <c r="I193" i="10"/>
  <c r="H193" i="10"/>
  <c r="E193" i="10"/>
  <c r="N192" i="10"/>
  <c r="L192" i="10"/>
  <c r="I192" i="10" s="1"/>
  <c r="H192" i="10"/>
  <c r="E192" i="10"/>
  <c r="L191" i="10"/>
  <c r="H191" i="10"/>
  <c r="E191" i="10"/>
  <c r="N191" i="10" s="1"/>
  <c r="L190" i="10"/>
  <c r="I190" i="10" s="1"/>
  <c r="H190" i="10"/>
  <c r="E190" i="10"/>
  <c r="L189" i="10"/>
  <c r="I189" i="10"/>
  <c r="H189" i="10"/>
  <c r="E189" i="10"/>
  <c r="N189" i="10" s="1"/>
  <c r="L188" i="10"/>
  <c r="I188" i="10"/>
  <c r="H188" i="10"/>
  <c r="E188" i="10"/>
  <c r="N188" i="10" s="1"/>
  <c r="L187" i="10"/>
  <c r="H187" i="10"/>
  <c r="E187" i="10"/>
  <c r="N187" i="10" s="1"/>
  <c r="N186" i="10"/>
  <c r="L186" i="10"/>
  <c r="I186" i="10"/>
  <c r="H186" i="10"/>
  <c r="E186" i="10"/>
  <c r="L185" i="10"/>
  <c r="I185" i="10"/>
  <c r="H185" i="10"/>
  <c r="N185" i="10" s="1"/>
  <c r="E185" i="10"/>
  <c r="N184" i="10"/>
  <c r="L184" i="10"/>
  <c r="I184" i="10" s="1"/>
  <c r="H184" i="10"/>
  <c r="E184" i="10"/>
  <c r="L183" i="10"/>
  <c r="H183" i="10"/>
  <c r="E183" i="10"/>
  <c r="N183" i="10" s="1"/>
  <c r="L182" i="10"/>
  <c r="I182" i="10" s="1"/>
  <c r="H182" i="10"/>
  <c r="E182" i="10"/>
  <c r="N182" i="10" s="1"/>
  <c r="L181" i="10"/>
  <c r="H181" i="10"/>
  <c r="E181" i="10"/>
  <c r="N181" i="10" s="1"/>
  <c r="L180" i="10"/>
  <c r="I180" i="10"/>
  <c r="H180" i="10"/>
  <c r="E180" i="10"/>
  <c r="N180" i="10" s="1"/>
  <c r="N179" i="10"/>
  <c r="L179" i="10"/>
  <c r="H179" i="10"/>
  <c r="E179" i="10"/>
  <c r="I179" i="10" s="1"/>
  <c r="N178" i="10"/>
  <c r="L178" i="10"/>
  <c r="I178" i="10"/>
  <c r="H178" i="10"/>
  <c r="E178" i="10"/>
  <c r="L177" i="10"/>
  <c r="I177" i="10"/>
  <c r="H177" i="10"/>
  <c r="N177" i="10" s="1"/>
  <c r="E177" i="10"/>
  <c r="N176" i="10"/>
  <c r="L176" i="10"/>
  <c r="I176" i="10" s="1"/>
  <c r="H176" i="10"/>
  <c r="E176" i="10"/>
  <c r="L175" i="10"/>
  <c r="I175" i="10" s="1"/>
  <c r="H175" i="10"/>
  <c r="N175" i="10" s="1"/>
  <c r="E175" i="10"/>
  <c r="L174" i="10"/>
  <c r="I174" i="10" s="1"/>
  <c r="H174" i="10"/>
  <c r="E174" i="10"/>
  <c r="L173" i="10"/>
  <c r="H173" i="10"/>
  <c r="E173" i="10"/>
  <c r="L172" i="10"/>
  <c r="I172" i="10"/>
  <c r="H172" i="10"/>
  <c r="E172" i="10"/>
  <c r="N172" i="10" s="1"/>
  <c r="N171" i="10"/>
  <c r="L171" i="10"/>
  <c r="I171" i="10"/>
  <c r="H171" i="10"/>
  <c r="E171" i="10"/>
  <c r="N170" i="10"/>
  <c r="L170" i="10"/>
  <c r="I170" i="10"/>
  <c r="H170" i="10"/>
  <c r="E170" i="10"/>
  <c r="L169" i="10"/>
  <c r="I169" i="10"/>
  <c r="H169" i="10"/>
  <c r="N169" i="10" s="1"/>
  <c r="E169" i="10"/>
  <c r="L168" i="10"/>
  <c r="I168" i="10" s="1"/>
  <c r="H168" i="10"/>
  <c r="N168" i="10" s="1"/>
  <c r="E168" i="10"/>
  <c r="L167" i="10"/>
  <c r="H167" i="10"/>
  <c r="E167" i="10"/>
  <c r="N167" i="10" s="1"/>
  <c r="L166" i="10"/>
  <c r="H166" i="10"/>
  <c r="E166" i="10"/>
  <c r="L165" i="10"/>
  <c r="H165" i="10"/>
  <c r="E165" i="10"/>
  <c r="L164" i="10"/>
  <c r="I164" i="10" s="1"/>
  <c r="H164" i="10"/>
  <c r="E164" i="10"/>
  <c r="N164" i="10" s="1"/>
  <c r="L163" i="10"/>
  <c r="H163" i="10"/>
  <c r="E163" i="10"/>
  <c r="L162" i="10"/>
  <c r="I162" i="10"/>
  <c r="H162" i="10"/>
  <c r="N162" i="10" s="1"/>
  <c r="E162" i="10"/>
  <c r="N161" i="10"/>
  <c r="L161" i="10"/>
  <c r="I161" i="10"/>
  <c r="H161" i="10"/>
  <c r="E161" i="10"/>
  <c r="N160" i="10"/>
  <c r="L160" i="10"/>
  <c r="I160" i="10" s="1"/>
  <c r="H160" i="10"/>
  <c r="E160" i="10"/>
  <c r="L159" i="10"/>
  <c r="H159" i="10"/>
  <c r="E159" i="10"/>
  <c r="N159" i="10" s="1"/>
  <c r="L158" i="10"/>
  <c r="I158" i="10" s="1"/>
  <c r="H158" i="10"/>
  <c r="E158" i="10"/>
  <c r="L157" i="10"/>
  <c r="I157" i="10"/>
  <c r="H157" i="10"/>
  <c r="E157" i="10"/>
  <c r="N157" i="10" s="1"/>
  <c r="L156" i="10"/>
  <c r="I156" i="10" s="1"/>
  <c r="H156" i="10"/>
  <c r="E156" i="10"/>
  <c r="N156" i="10" s="1"/>
  <c r="L155" i="10"/>
  <c r="H155" i="10"/>
  <c r="E155" i="10"/>
  <c r="N154" i="10"/>
  <c r="L154" i="10"/>
  <c r="I154" i="10"/>
  <c r="H154" i="10"/>
  <c r="E154" i="10"/>
  <c r="L153" i="10"/>
  <c r="I153" i="10"/>
  <c r="H153" i="10"/>
  <c r="N153" i="10" s="1"/>
  <c r="E153" i="10"/>
  <c r="N152" i="10"/>
  <c r="L152" i="10"/>
  <c r="I152" i="10" s="1"/>
  <c r="H152" i="10"/>
  <c r="E152" i="10"/>
  <c r="L151" i="10"/>
  <c r="H151" i="10"/>
  <c r="E151" i="10"/>
  <c r="L150" i="10"/>
  <c r="I150" i="10" s="1"/>
  <c r="H150" i="10"/>
  <c r="E150" i="10"/>
  <c r="N150" i="10" s="1"/>
  <c r="L149" i="10"/>
  <c r="H149" i="10"/>
  <c r="E149" i="10"/>
  <c r="N149" i="10" s="1"/>
  <c r="L148" i="10"/>
  <c r="I148" i="10" s="1"/>
  <c r="H148" i="10"/>
  <c r="E148" i="10"/>
  <c r="N148" i="10" s="1"/>
  <c r="L147" i="10"/>
  <c r="H147" i="10"/>
  <c r="E147" i="10"/>
  <c r="N146" i="10"/>
  <c r="L146" i="10"/>
  <c r="I146" i="10"/>
  <c r="H146" i="10"/>
  <c r="E146" i="10"/>
  <c r="L145" i="10"/>
  <c r="I145" i="10"/>
  <c r="H145" i="10"/>
  <c r="N145" i="10" s="1"/>
  <c r="E145" i="10"/>
  <c r="N144" i="10"/>
  <c r="L144" i="10"/>
  <c r="I144" i="10" s="1"/>
  <c r="H144" i="10"/>
  <c r="E144" i="10"/>
  <c r="L143" i="10"/>
  <c r="I143" i="10" s="1"/>
  <c r="H143" i="10"/>
  <c r="N143" i="10" s="1"/>
  <c r="E143" i="10"/>
  <c r="L142" i="10"/>
  <c r="I142" i="10" s="1"/>
  <c r="H142" i="10"/>
  <c r="E142" i="10"/>
  <c r="L141" i="10"/>
  <c r="H141" i="10"/>
  <c r="E141" i="10"/>
  <c r="L140" i="10"/>
  <c r="I140" i="10"/>
  <c r="H140" i="10"/>
  <c r="E140" i="10"/>
  <c r="N140" i="10" s="1"/>
  <c r="N139" i="10"/>
  <c r="L139" i="10"/>
  <c r="I139" i="10"/>
  <c r="H139" i="10"/>
  <c r="E139" i="10"/>
  <c r="N138" i="10"/>
  <c r="L138" i="10"/>
  <c r="I138" i="10"/>
  <c r="H138" i="10"/>
  <c r="E138" i="10"/>
  <c r="N137" i="10"/>
  <c r="L137" i="10"/>
  <c r="I137" i="10"/>
  <c r="H137" i="10"/>
  <c r="E137" i="10"/>
  <c r="L136" i="10"/>
  <c r="I136" i="10" s="1"/>
  <c r="H136" i="10"/>
  <c r="N136" i="10" s="1"/>
  <c r="E136" i="10"/>
  <c r="N135" i="10"/>
  <c r="L135" i="10"/>
  <c r="H135" i="10"/>
  <c r="E135" i="10"/>
  <c r="H134" i="10"/>
  <c r="E134" i="10"/>
  <c r="L133" i="10"/>
  <c r="I133" i="10"/>
  <c r="H133" i="10"/>
  <c r="N133" i="10" s="1"/>
  <c r="E133" i="10"/>
  <c r="H132" i="10"/>
  <c r="N132" i="10" s="1"/>
  <c r="F132" i="10"/>
  <c r="I132" i="10" s="1"/>
  <c r="E132" i="10"/>
  <c r="F131" i="10"/>
  <c r="C131" i="10"/>
  <c r="E131" i="10" s="1"/>
  <c r="O130" i="10"/>
  <c r="I130" i="10"/>
  <c r="H130" i="10"/>
  <c r="F130" i="10"/>
  <c r="E130" i="10"/>
  <c r="L129" i="10"/>
  <c r="F129" i="10"/>
  <c r="I129" i="10" s="1"/>
  <c r="E129" i="10"/>
  <c r="I128" i="10"/>
  <c r="H128" i="10"/>
  <c r="E128" i="10"/>
  <c r="N128" i="10" s="1"/>
  <c r="F127" i="10"/>
  <c r="E127" i="10"/>
  <c r="H126" i="10"/>
  <c r="E126" i="10"/>
  <c r="L125" i="10"/>
  <c r="H125" i="10" s="1"/>
  <c r="F125" i="10"/>
  <c r="E125" i="10"/>
  <c r="F124" i="10"/>
  <c r="E124" i="10"/>
  <c r="I123" i="10"/>
  <c r="F123" i="10"/>
  <c r="H123" i="10" s="1"/>
  <c r="E123" i="10"/>
  <c r="H122" i="10"/>
  <c r="F122" i="10"/>
  <c r="E122" i="10"/>
  <c r="L121" i="10"/>
  <c r="H121" i="10" s="1"/>
  <c r="F121" i="10"/>
  <c r="E121" i="10"/>
  <c r="L120" i="10"/>
  <c r="I120" i="10" s="1"/>
  <c r="E120" i="10"/>
  <c r="L119" i="10"/>
  <c r="I119" i="10"/>
  <c r="F119" i="10"/>
  <c r="E119" i="10"/>
  <c r="I118" i="10"/>
  <c r="F118" i="10"/>
  <c r="H118" i="10" s="1"/>
  <c r="E118" i="10"/>
  <c r="H117" i="10"/>
  <c r="E117" i="10"/>
  <c r="N116" i="10"/>
  <c r="H116" i="10"/>
  <c r="E116" i="10"/>
  <c r="I116" i="10" s="1"/>
  <c r="H115" i="10"/>
  <c r="E115" i="10"/>
  <c r="N115" i="10" s="1"/>
  <c r="N114" i="10"/>
  <c r="L114" i="10"/>
  <c r="I114" i="10"/>
  <c r="H114" i="10"/>
  <c r="F114" i="10"/>
  <c r="E114" i="10"/>
  <c r="L113" i="10"/>
  <c r="F113" i="10"/>
  <c r="E113" i="10"/>
  <c r="L112" i="10"/>
  <c r="E112" i="10"/>
  <c r="I111" i="10"/>
  <c r="H111" i="10"/>
  <c r="F111" i="10"/>
  <c r="E111" i="10"/>
  <c r="N111" i="10" s="1"/>
  <c r="H110" i="10"/>
  <c r="F110" i="10"/>
  <c r="E110" i="10"/>
  <c r="I110" i="10" s="1"/>
  <c r="N109" i="10"/>
  <c r="H109" i="10"/>
  <c r="E109" i="10"/>
  <c r="I109" i="10" s="1"/>
  <c r="L108" i="10"/>
  <c r="I108" i="10" s="1"/>
  <c r="H108" i="10"/>
  <c r="N108" i="10" s="1"/>
  <c r="F108" i="10"/>
  <c r="E108" i="10"/>
  <c r="F107" i="10"/>
  <c r="E107" i="10"/>
  <c r="H106" i="10"/>
  <c r="E106" i="10"/>
  <c r="I105" i="10"/>
  <c r="H105" i="10"/>
  <c r="F105" i="10"/>
  <c r="E105" i="10"/>
  <c r="N105" i="10" s="1"/>
  <c r="H104" i="10"/>
  <c r="F104" i="10"/>
  <c r="E104" i="10"/>
  <c r="N104" i="10" s="1"/>
  <c r="F103" i="10"/>
  <c r="E103" i="10"/>
  <c r="H102" i="10"/>
  <c r="N102" i="10" s="1"/>
  <c r="F102" i="10"/>
  <c r="I102" i="10" s="1"/>
  <c r="E102" i="10"/>
  <c r="N101" i="10"/>
  <c r="L101" i="10"/>
  <c r="H101" i="10"/>
  <c r="F101" i="10"/>
  <c r="E101" i="10"/>
  <c r="L100" i="10"/>
  <c r="I100" i="10"/>
  <c r="H100" i="10"/>
  <c r="N100" i="10" s="1"/>
  <c r="E100" i="10"/>
  <c r="N99" i="10"/>
  <c r="H99" i="10"/>
  <c r="F99" i="10"/>
  <c r="I99" i="10" s="1"/>
  <c r="E99" i="10"/>
  <c r="F98" i="10"/>
  <c r="E98" i="10"/>
  <c r="N97" i="10"/>
  <c r="I97" i="10"/>
  <c r="H97" i="10"/>
  <c r="E97" i="10"/>
  <c r="L96" i="10"/>
  <c r="H96" i="10"/>
  <c r="E96" i="10"/>
  <c r="N95" i="10"/>
  <c r="L95" i="10"/>
  <c r="I95" i="10"/>
  <c r="H95" i="10"/>
  <c r="E95" i="10"/>
  <c r="L94" i="10"/>
  <c r="I94" i="10"/>
  <c r="H94" i="10"/>
  <c r="N94" i="10" s="1"/>
  <c r="E94" i="10"/>
  <c r="H93" i="10"/>
  <c r="E93" i="10"/>
  <c r="I93" i="10" s="1"/>
  <c r="L92" i="10"/>
  <c r="I92" i="10"/>
  <c r="F92" i="10"/>
  <c r="E92" i="10"/>
  <c r="I91" i="10"/>
  <c r="F91" i="10"/>
  <c r="H91" i="10" s="1"/>
  <c r="E91" i="10"/>
  <c r="N91" i="10" s="1"/>
  <c r="L90" i="10"/>
  <c r="F90" i="10"/>
  <c r="E90" i="10"/>
  <c r="L89" i="10"/>
  <c r="E89" i="10"/>
  <c r="L88" i="10"/>
  <c r="F88" i="10"/>
  <c r="E88" i="10"/>
  <c r="L87" i="10"/>
  <c r="F87" i="10"/>
  <c r="E87" i="10"/>
  <c r="L86" i="10"/>
  <c r="I86" i="10"/>
  <c r="H86" i="10"/>
  <c r="F86" i="10"/>
  <c r="E86" i="10"/>
  <c r="N86" i="10" s="1"/>
  <c r="L85" i="10"/>
  <c r="H85" i="10" s="1"/>
  <c r="I85" i="10"/>
  <c r="F85" i="10"/>
  <c r="E85" i="10"/>
  <c r="F84" i="10"/>
  <c r="H84" i="10" s="1"/>
  <c r="E84" i="10"/>
  <c r="N84" i="10" s="1"/>
  <c r="I83" i="10"/>
  <c r="H83" i="10"/>
  <c r="F83" i="10"/>
  <c r="E83" i="10"/>
  <c r="L82" i="10"/>
  <c r="H82" i="10" s="1"/>
  <c r="E82" i="10"/>
  <c r="N81" i="10"/>
  <c r="H81" i="10"/>
  <c r="E81" i="10"/>
  <c r="I81" i="10" s="1"/>
  <c r="N80" i="10"/>
  <c r="L80" i="10"/>
  <c r="H80" i="10"/>
  <c r="E80" i="10"/>
  <c r="F79" i="10"/>
  <c r="H79" i="10" s="1"/>
  <c r="E79" i="10"/>
  <c r="I78" i="10"/>
  <c r="H78" i="10"/>
  <c r="E78" i="10"/>
  <c r="N77" i="10"/>
  <c r="L77" i="10"/>
  <c r="I77" i="10"/>
  <c r="H77" i="10"/>
  <c r="E77" i="10"/>
  <c r="L76" i="10"/>
  <c r="F76" i="10"/>
  <c r="E76" i="10"/>
  <c r="L75" i="10"/>
  <c r="I75" i="10"/>
  <c r="H75" i="10"/>
  <c r="N75" i="10" s="1"/>
  <c r="E75" i="10"/>
  <c r="L74" i="10"/>
  <c r="I74" i="10"/>
  <c r="H74" i="10"/>
  <c r="N74" i="10" s="1"/>
  <c r="E74" i="10"/>
  <c r="F73" i="10"/>
  <c r="H73" i="10" s="1"/>
  <c r="N73" i="10" s="1"/>
  <c r="E73" i="10"/>
  <c r="N72" i="10"/>
  <c r="I72" i="10"/>
  <c r="F72" i="10"/>
  <c r="H72" i="10" s="1"/>
  <c r="E72" i="10"/>
  <c r="F71" i="10"/>
  <c r="E71" i="10"/>
  <c r="L70" i="10"/>
  <c r="F70" i="10"/>
  <c r="I70" i="10" s="1"/>
  <c r="E70" i="10"/>
  <c r="N69" i="10"/>
  <c r="L69" i="10"/>
  <c r="H69" i="10"/>
  <c r="F69" i="10"/>
  <c r="E69" i="10"/>
  <c r="L68" i="10"/>
  <c r="I68" i="10"/>
  <c r="H68" i="10"/>
  <c r="N68" i="10" s="1"/>
  <c r="F68" i="10"/>
  <c r="E68" i="10"/>
  <c r="L67" i="10"/>
  <c r="F67" i="10"/>
  <c r="E67" i="10"/>
  <c r="L66" i="10"/>
  <c r="E66" i="10"/>
  <c r="L65" i="10"/>
  <c r="F65" i="10"/>
  <c r="E65" i="10"/>
  <c r="L64" i="10"/>
  <c r="I64" i="10" s="1"/>
  <c r="H64" i="10"/>
  <c r="N64" i="10" s="1"/>
  <c r="F64" i="10"/>
  <c r="E64" i="10"/>
  <c r="N63" i="10"/>
  <c r="L63" i="10"/>
  <c r="H63" i="10"/>
  <c r="F63" i="10"/>
  <c r="E63" i="10"/>
  <c r="N62" i="10"/>
  <c r="L62" i="10"/>
  <c r="I62" i="10"/>
  <c r="H62" i="10"/>
  <c r="E62" i="10"/>
  <c r="O61" i="10"/>
  <c r="I61" i="10"/>
  <c r="H61" i="10"/>
  <c r="F61" i="10"/>
  <c r="E61" i="10"/>
  <c r="N60" i="10"/>
  <c r="H60" i="10"/>
  <c r="E60" i="10"/>
  <c r="I60" i="10" s="1"/>
  <c r="L59" i="10"/>
  <c r="F59" i="10"/>
  <c r="H59" i="10" s="1"/>
  <c r="N59" i="10" s="1"/>
  <c r="E59" i="10"/>
  <c r="N58" i="10"/>
  <c r="L58" i="10"/>
  <c r="H58" i="10"/>
  <c r="F58" i="10"/>
  <c r="E58" i="10"/>
  <c r="I58" i="10" s="1"/>
  <c r="L57" i="10"/>
  <c r="I57" i="10"/>
  <c r="F57" i="10"/>
  <c r="H57" i="10" s="1"/>
  <c r="N57" i="10" s="1"/>
  <c r="E57" i="10"/>
  <c r="L56" i="10"/>
  <c r="I56" i="10" s="1"/>
  <c r="F56" i="10"/>
  <c r="E56" i="10"/>
  <c r="I55" i="10"/>
  <c r="F55" i="10"/>
  <c r="H55" i="10" s="1"/>
  <c r="N55" i="10" s="1"/>
  <c r="E55" i="10"/>
  <c r="L54" i="10"/>
  <c r="I54" i="10" s="1"/>
  <c r="F54" i="10"/>
  <c r="E54" i="10"/>
  <c r="L53" i="10"/>
  <c r="H53" i="10"/>
  <c r="F53" i="10"/>
  <c r="E53" i="10"/>
  <c r="N52" i="10"/>
  <c r="H52" i="10"/>
  <c r="E52" i="10"/>
  <c r="I52" i="10" s="1"/>
  <c r="H51" i="10"/>
  <c r="E51" i="10"/>
  <c r="L50" i="10"/>
  <c r="I50" i="10"/>
  <c r="H50" i="10"/>
  <c r="F50" i="10"/>
  <c r="E50" i="10"/>
  <c r="I49" i="10"/>
  <c r="H49" i="10"/>
  <c r="N49" i="10" s="1"/>
  <c r="E49" i="10"/>
  <c r="N48" i="10"/>
  <c r="I48" i="10"/>
  <c r="F48" i="10"/>
  <c r="H48" i="10" s="1"/>
  <c r="E48" i="10"/>
  <c r="N47" i="10"/>
  <c r="I47" i="10"/>
  <c r="H47" i="10"/>
  <c r="E47" i="10"/>
  <c r="N46" i="10"/>
  <c r="H46" i="10"/>
  <c r="E46" i="10"/>
  <c r="I46" i="10" s="1"/>
  <c r="N45" i="10"/>
  <c r="H45" i="10"/>
  <c r="E45" i="10"/>
  <c r="I45" i="10" s="1"/>
  <c r="L44" i="10"/>
  <c r="H44" i="10"/>
  <c r="E44" i="10"/>
  <c r="L43" i="10"/>
  <c r="I43" i="10"/>
  <c r="H43" i="10"/>
  <c r="F43" i="10"/>
  <c r="E43" i="10"/>
  <c r="N43" i="10" s="1"/>
  <c r="L42" i="10"/>
  <c r="H42" i="10" s="1"/>
  <c r="I42" i="10"/>
  <c r="E42" i="10"/>
  <c r="N41" i="10"/>
  <c r="H41" i="10"/>
  <c r="F41" i="10"/>
  <c r="E41" i="10"/>
  <c r="H40" i="10"/>
  <c r="E40" i="10"/>
  <c r="L39" i="10"/>
  <c r="H39" i="10"/>
  <c r="N39" i="10" s="1"/>
  <c r="F39" i="10"/>
  <c r="E39" i="10"/>
  <c r="F38" i="10"/>
  <c r="H38" i="10" s="1"/>
  <c r="N38" i="10" s="1"/>
  <c r="E38" i="10"/>
  <c r="I37" i="10"/>
  <c r="F37" i="10"/>
  <c r="H37" i="10" s="1"/>
  <c r="N37" i="10" s="1"/>
  <c r="E37" i="10"/>
  <c r="L36" i="10"/>
  <c r="H36" i="10" s="1"/>
  <c r="N36" i="10" s="1"/>
  <c r="F36" i="10"/>
  <c r="E36" i="10"/>
  <c r="L35" i="10"/>
  <c r="I35" i="10" s="1"/>
  <c r="E35" i="10"/>
  <c r="L34" i="10"/>
  <c r="H34" i="10" s="1"/>
  <c r="N34" i="10" s="1"/>
  <c r="F34" i="10"/>
  <c r="E34" i="10"/>
  <c r="N33" i="10"/>
  <c r="L33" i="10"/>
  <c r="H33" i="10"/>
  <c r="F33" i="10"/>
  <c r="E33" i="10"/>
  <c r="I33" i="10" s="1"/>
  <c r="L32" i="10"/>
  <c r="F32" i="10"/>
  <c r="E32" i="10"/>
  <c r="L31" i="10"/>
  <c r="H31" i="10" s="1"/>
  <c r="F31" i="10"/>
  <c r="E31" i="10"/>
  <c r="L30" i="10"/>
  <c r="I30" i="10" s="1"/>
  <c r="H30" i="10"/>
  <c r="N30" i="10" s="1"/>
  <c r="F30" i="10"/>
  <c r="E30" i="10"/>
  <c r="N29" i="10"/>
  <c r="H29" i="10"/>
  <c r="F29" i="10"/>
  <c r="I29" i="10" s="1"/>
  <c r="E29" i="10"/>
  <c r="N28" i="10"/>
  <c r="I28" i="10"/>
  <c r="F28" i="10"/>
  <c r="H28" i="10" s="1"/>
  <c r="E28" i="10"/>
  <c r="L27" i="10"/>
  <c r="I27" i="10" s="1"/>
  <c r="F27" i="10"/>
  <c r="E27" i="10"/>
  <c r="H26" i="10"/>
  <c r="E26" i="10"/>
  <c r="I25" i="10"/>
  <c r="H25" i="10"/>
  <c r="F25" i="10"/>
  <c r="E25" i="10"/>
  <c r="P24" i="10"/>
  <c r="L24" i="10"/>
  <c r="H24" i="10"/>
  <c r="N24" i="10" s="1"/>
  <c r="F24" i="10"/>
  <c r="E24" i="10"/>
  <c r="T23" i="10"/>
  <c r="R23" i="10"/>
  <c r="S23" i="10" s="1"/>
  <c r="Q23" i="10"/>
  <c r="L23" i="10"/>
  <c r="F23" i="10"/>
  <c r="E23" i="10"/>
  <c r="P22" i="10"/>
  <c r="L22" i="10"/>
  <c r="F22" i="10"/>
  <c r="E22" i="10"/>
  <c r="P21" i="10"/>
  <c r="L21" i="10"/>
  <c r="F21" i="10"/>
  <c r="H21" i="10" s="1"/>
  <c r="N21" i="10" s="1"/>
  <c r="E21" i="10"/>
  <c r="P20" i="10"/>
  <c r="Q20" i="10" s="1"/>
  <c r="I20" i="10"/>
  <c r="F20" i="10"/>
  <c r="H20" i="10" s="1"/>
  <c r="N20" i="10" s="1"/>
  <c r="E20" i="10"/>
  <c r="P19" i="10"/>
  <c r="F19" i="10"/>
  <c r="E19" i="10"/>
  <c r="P18" i="10"/>
  <c r="L18" i="10"/>
  <c r="H18" i="10" s="1"/>
  <c r="F18" i="10"/>
  <c r="E18" i="10"/>
  <c r="P17" i="10"/>
  <c r="L17" i="10"/>
  <c r="H17" i="10" s="1"/>
  <c r="E17" i="10"/>
  <c r="N17" i="10" s="1"/>
  <c r="P16" i="10"/>
  <c r="L16" i="10"/>
  <c r="F16" i="10"/>
  <c r="E16" i="10"/>
  <c r="P15" i="10"/>
  <c r="L15" i="10"/>
  <c r="H15" i="10" s="1"/>
  <c r="F15" i="10"/>
  <c r="E15" i="10"/>
  <c r="P14" i="10"/>
  <c r="L14" i="10"/>
  <c r="F14" i="10"/>
  <c r="I14" i="10" s="1"/>
  <c r="E14" i="10"/>
  <c r="P13" i="10"/>
  <c r="L13" i="10"/>
  <c r="F13" i="10"/>
  <c r="H13" i="10" s="1"/>
  <c r="N13" i="10" s="1"/>
  <c r="E13" i="10"/>
  <c r="P12" i="10"/>
  <c r="L12" i="10"/>
  <c r="I12" i="10" s="1"/>
  <c r="H12" i="10"/>
  <c r="N12" i="10" s="1"/>
  <c r="E12" i="10"/>
  <c r="P11" i="10"/>
  <c r="Q11" i="10" s="1"/>
  <c r="I11" i="10"/>
  <c r="H11" i="10"/>
  <c r="F11" i="10"/>
  <c r="E11" i="10"/>
  <c r="N11" i="10" s="1"/>
  <c r="P10" i="10"/>
  <c r="L10" i="10"/>
  <c r="I10" i="10"/>
  <c r="F10" i="10"/>
  <c r="H10" i="10" s="1"/>
  <c r="E10" i="10"/>
  <c r="P9" i="10"/>
  <c r="H9" i="10"/>
  <c r="F9" i="10"/>
  <c r="E9" i="10"/>
  <c r="P8" i="10"/>
  <c r="L8" i="10"/>
  <c r="H8" i="10"/>
  <c r="F8" i="10"/>
  <c r="E8" i="10"/>
  <c r="P7" i="10"/>
  <c r="R7" i="10" s="1"/>
  <c r="S7" i="10" s="1"/>
  <c r="L7" i="10"/>
  <c r="H7" i="10"/>
  <c r="E7" i="10"/>
  <c r="N7" i="10" s="1"/>
  <c r="P6" i="10"/>
  <c r="Q6" i="10" s="1"/>
  <c r="N6" i="10"/>
  <c r="H6" i="10"/>
  <c r="E6" i="10"/>
  <c r="I6" i="10" s="1"/>
  <c r="P5" i="10"/>
  <c r="I5" i="10"/>
  <c r="H5" i="10"/>
  <c r="F5" i="10"/>
  <c r="E5" i="10"/>
  <c r="N5" i="10" s="1"/>
  <c r="P4" i="10"/>
  <c r="L4" i="10"/>
  <c r="H4" i="10"/>
  <c r="F4" i="10"/>
  <c r="E4" i="10"/>
  <c r="I4" i="10" s="1"/>
  <c r="P3" i="10"/>
  <c r="O3" i="10"/>
  <c r="F3" i="10"/>
  <c r="E3" i="10"/>
  <c r="P2" i="10"/>
  <c r="I2" i="10"/>
  <c r="H2" i="10"/>
  <c r="N2" i="10" s="1"/>
  <c r="E2" i="10"/>
  <c r="L206" i="9"/>
  <c r="I206" i="9" s="1"/>
  <c r="H206" i="9"/>
  <c r="D206" i="9"/>
  <c r="E206" i="9" s="1"/>
  <c r="L205" i="9"/>
  <c r="H205" i="9"/>
  <c r="D205" i="9"/>
  <c r="E205" i="9" s="1"/>
  <c r="N205" i="9" s="1"/>
  <c r="L204" i="9"/>
  <c r="I204" i="9"/>
  <c r="H204" i="9"/>
  <c r="D204" i="9"/>
  <c r="E204" i="9" s="1"/>
  <c r="N204" i="9" s="1"/>
  <c r="L203" i="9"/>
  <c r="I203" i="9" s="1"/>
  <c r="H203" i="9"/>
  <c r="E203" i="9"/>
  <c r="N203" i="9" s="1"/>
  <c r="D203" i="9"/>
  <c r="L202" i="9"/>
  <c r="I202" i="9" s="1"/>
  <c r="H202" i="9"/>
  <c r="D202" i="9"/>
  <c r="E202" i="9" s="1"/>
  <c r="N202" i="9" s="1"/>
  <c r="N201" i="9"/>
  <c r="L201" i="9"/>
  <c r="H201" i="9"/>
  <c r="D201" i="9"/>
  <c r="E201" i="9" s="1"/>
  <c r="I201" i="9" s="1"/>
  <c r="L200" i="9"/>
  <c r="I200" i="9" s="1"/>
  <c r="H200" i="9"/>
  <c r="E200" i="9"/>
  <c r="N200" i="9" s="1"/>
  <c r="D200" i="9"/>
  <c r="L199" i="9"/>
  <c r="H199" i="9"/>
  <c r="E199" i="9"/>
  <c r="N199" i="9" s="1"/>
  <c r="D199" i="9"/>
  <c r="L198" i="9"/>
  <c r="I198" i="9" s="1"/>
  <c r="H198" i="9"/>
  <c r="N198" i="9" s="1"/>
  <c r="D198" i="9"/>
  <c r="E198" i="9" s="1"/>
  <c r="N197" i="9"/>
  <c r="L197" i="9"/>
  <c r="I197" i="9"/>
  <c r="H197" i="9"/>
  <c r="D197" i="9"/>
  <c r="E197" i="9" s="1"/>
  <c r="L196" i="9"/>
  <c r="I196" i="9"/>
  <c r="H196" i="9"/>
  <c r="E196" i="9"/>
  <c r="N196" i="9" s="1"/>
  <c r="D196" i="9"/>
  <c r="L195" i="9"/>
  <c r="I195" i="9" s="1"/>
  <c r="H195" i="9"/>
  <c r="E195" i="9"/>
  <c r="D195" i="9"/>
  <c r="N194" i="9"/>
  <c r="L194" i="9"/>
  <c r="H194" i="9"/>
  <c r="D194" i="9"/>
  <c r="E194" i="9" s="1"/>
  <c r="L193" i="9"/>
  <c r="H193" i="9"/>
  <c r="D193" i="9"/>
  <c r="E193" i="9" s="1"/>
  <c r="L192" i="9"/>
  <c r="I192" i="9"/>
  <c r="H192" i="9"/>
  <c r="E192" i="9"/>
  <c r="N192" i="9" s="1"/>
  <c r="D192" i="9"/>
  <c r="L191" i="9"/>
  <c r="H191" i="9"/>
  <c r="E191" i="9"/>
  <c r="N191" i="9" s="1"/>
  <c r="D191" i="9"/>
  <c r="N190" i="9"/>
  <c r="L190" i="9"/>
  <c r="I190" i="9" s="1"/>
  <c r="H190" i="9"/>
  <c r="D190" i="9"/>
  <c r="E190" i="9" s="1"/>
  <c r="L189" i="9"/>
  <c r="H189" i="9"/>
  <c r="D189" i="9"/>
  <c r="E189" i="9" s="1"/>
  <c r="L188" i="9"/>
  <c r="I188" i="9" s="1"/>
  <c r="H188" i="9"/>
  <c r="D188" i="9"/>
  <c r="E188" i="9" s="1"/>
  <c r="N188" i="9" s="1"/>
  <c r="L187" i="9"/>
  <c r="H187" i="9"/>
  <c r="E187" i="9"/>
  <c r="N187" i="9" s="1"/>
  <c r="D187" i="9"/>
  <c r="N186" i="9"/>
  <c r="L186" i="9"/>
  <c r="I186" i="9" s="1"/>
  <c r="H186" i="9"/>
  <c r="D186" i="9"/>
  <c r="E186" i="9" s="1"/>
  <c r="L185" i="9"/>
  <c r="I185" i="9"/>
  <c r="H185" i="9"/>
  <c r="D185" i="9"/>
  <c r="E185" i="9" s="1"/>
  <c r="N185" i="9" s="1"/>
  <c r="L184" i="9"/>
  <c r="I184" i="9" s="1"/>
  <c r="H184" i="9"/>
  <c r="E184" i="9"/>
  <c r="N184" i="9" s="1"/>
  <c r="D184" i="9"/>
  <c r="L183" i="9"/>
  <c r="H183" i="9"/>
  <c r="E183" i="9"/>
  <c r="D183" i="9"/>
  <c r="L182" i="9"/>
  <c r="I182" i="9" s="1"/>
  <c r="H182" i="9"/>
  <c r="N182" i="9" s="1"/>
  <c r="D182" i="9"/>
  <c r="E182" i="9" s="1"/>
  <c r="L181" i="9"/>
  <c r="I181" i="9"/>
  <c r="H181" i="9"/>
  <c r="N181" i="9" s="1"/>
  <c r="D181" i="9"/>
  <c r="E181" i="9" s="1"/>
  <c r="L180" i="9"/>
  <c r="I180" i="9" s="1"/>
  <c r="H180" i="9"/>
  <c r="D180" i="9"/>
  <c r="E180" i="9" s="1"/>
  <c r="N180" i="9" s="1"/>
  <c r="L179" i="9"/>
  <c r="I179" i="9" s="1"/>
  <c r="H179" i="9"/>
  <c r="E179" i="9"/>
  <c r="D179" i="9"/>
  <c r="L178" i="9"/>
  <c r="H178" i="9"/>
  <c r="D178" i="9"/>
  <c r="E178" i="9" s="1"/>
  <c r="N178" i="9" s="1"/>
  <c r="N177" i="9"/>
  <c r="L177" i="9"/>
  <c r="H177" i="9"/>
  <c r="D177" i="9"/>
  <c r="E177" i="9" s="1"/>
  <c r="I177" i="9" s="1"/>
  <c r="L176" i="9"/>
  <c r="H176" i="9"/>
  <c r="D176" i="9"/>
  <c r="E176" i="9" s="1"/>
  <c r="L175" i="9"/>
  <c r="H175" i="9"/>
  <c r="E175" i="9"/>
  <c r="D175" i="9"/>
  <c r="L174" i="9"/>
  <c r="H174" i="9"/>
  <c r="D174" i="9"/>
  <c r="E174" i="9" s="1"/>
  <c r="N174" i="9" s="1"/>
  <c r="L173" i="9"/>
  <c r="I173" i="9"/>
  <c r="H173" i="9"/>
  <c r="D173" i="9"/>
  <c r="E173" i="9" s="1"/>
  <c r="N173" i="9" s="1"/>
  <c r="L172" i="9"/>
  <c r="H172" i="9"/>
  <c r="D172" i="9"/>
  <c r="E172" i="9" s="1"/>
  <c r="L171" i="9"/>
  <c r="I171" i="9" s="1"/>
  <c r="H171" i="9"/>
  <c r="E171" i="9"/>
  <c r="N171" i="9" s="1"/>
  <c r="D171" i="9"/>
  <c r="L170" i="9"/>
  <c r="H170" i="9"/>
  <c r="D170" i="9"/>
  <c r="E170" i="9" s="1"/>
  <c r="N170" i="9" s="1"/>
  <c r="N169" i="9"/>
  <c r="L169" i="9"/>
  <c r="I169" i="9"/>
  <c r="H169" i="9"/>
  <c r="D169" i="9"/>
  <c r="E169" i="9" s="1"/>
  <c r="L168" i="9"/>
  <c r="H168" i="9"/>
  <c r="E168" i="9"/>
  <c r="N168" i="9" s="1"/>
  <c r="D168" i="9"/>
  <c r="L167" i="9"/>
  <c r="I167" i="9" s="1"/>
  <c r="H167" i="9"/>
  <c r="E167" i="9"/>
  <c r="D167" i="9"/>
  <c r="L166" i="9"/>
  <c r="I166" i="9" s="1"/>
  <c r="H166" i="9"/>
  <c r="N166" i="9" s="1"/>
  <c r="D166" i="9"/>
  <c r="E166" i="9" s="1"/>
  <c r="N165" i="9"/>
  <c r="L165" i="9"/>
  <c r="I165" i="9"/>
  <c r="H165" i="9"/>
  <c r="D165" i="9"/>
  <c r="E165" i="9" s="1"/>
  <c r="L164" i="9"/>
  <c r="H164" i="9"/>
  <c r="E164" i="9"/>
  <c r="D164" i="9"/>
  <c r="L163" i="9"/>
  <c r="I163" i="9" s="1"/>
  <c r="H163" i="9"/>
  <c r="E163" i="9"/>
  <c r="D163" i="9"/>
  <c r="L162" i="9"/>
  <c r="H162" i="9"/>
  <c r="D162" i="9"/>
  <c r="E162" i="9" s="1"/>
  <c r="N161" i="9"/>
  <c r="L161" i="9"/>
  <c r="H161" i="9"/>
  <c r="D161" i="9"/>
  <c r="E161" i="9" s="1"/>
  <c r="I161" i="9" s="1"/>
  <c r="L160" i="9"/>
  <c r="I160" i="9"/>
  <c r="H160" i="9"/>
  <c r="E160" i="9"/>
  <c r="N160" i="9" s="1"/>
  <c r="D160" i="9"/>
  <c r="L159" i="9"/>
  <c r="H159" i="9"/>
  <c r="E159" i="9"/>
  <c r="N159" i="9" s="1"/>
  <c r="D159" i="9"/>
  <c r="N158" i="9"/>
  <c r="L158" i="9"/>
  <c r="I158" i="9" s="1"/>
  <c r="H158" i="9"/>
  <c r="D158" i="9"/>
  <c r="E158" i="9" s="1"/>
  <c r="L157" i="9"/>
  <c r="H157" i="9"/>
  <c r="D157" i="9"/>
  <c r="E157" i="9" s="1"/>
  <c r="N157" i="9" s="1"/>
  <c r="L156" i="9"/>
  <c r="I156" i="9"/>
  <c r="H156" i="9"/>
  <c r="D156" i="9"/>
  <c r="E156" i="9" s="1"/>
  <c r="N156" i="9" s="1"/>
  <c r="L155" i="9"/>
  <c r="H155" i="9"/>
  <c r="E155" i="9"/>
  <c r="N155" i="9" s="1"/>
  <c r="D155" i="9"/>
  <c r="N154" i="9"/>
  <c r="L154" i="9"/>
  <c r="I154" i="9" s="1"/>
  <c r="H154" i="9"/>
  <c r="D154" i="9"/>
  <c r="E154" i="9" s="1"/>
  <c r="L153" i="9"/>
  <c r="H153" i="9"/>
  <c r="D153" i="9"/>
  <c r="E153" i="9" s="1"/>
  <c r="L152" i="9"/>
  <c r="I152" i="9" s="1"/>
  <c r="H152" i="9"/>
  <c r="E152" i="9"/>
  <c r="N152" i="9" s="1"/>
  <c r="D152" i="9"/>
  <c r="L151" i="9"/>
  <c r="H151" i="9"/>
  <c r="E151" i="9"/>
  <c r="N151" i="9" s="1"/>
  <c r="D151" i="9"/>
  <c r="L150" i="9"/>
  <c r="I150" i="9" s="1"/>
  <c r="H150" i="9"/>
  <c r="N150" i="9" s="1"/>
  <c r="D150" i="9"/>
  <c r="E150" i="9" s="1"/>
  <c r="L149" i="9"/>
  <c r="I149" i="9"/>
  <c r="H149" i="9"/>
  <c r="N149" i="9" s="1"/>
  <c r="D149" i="9"/>
  <c r="E149" i="9" s="1"/>
  <c r="L148" i="9"/>
  <c r="I148" i="9" s="1"/>
  <c r="H148" i="9"/>
  <c r="E148" i="9"/>
  <c r="N148" i="9" s="1"/>
  <c r="D148" i="9"/>
  <c r="L147" i="9"/>
  <c r="I147" i="9" s="1"/>
  <c r="H147" i="9"/>
  <c r="E147" i="9"/>
  <c r="D147" i="9"/>
  <c r="N146" i="9"/>
  <c r="L146" i="9"/>
  <c r="H146" i="9"/>
  <c r="D146" i="9"/>
  <c r="E146" i="9" s="1"/>
  <c r="L145" i="9"/>
  <c r="H145" i="9"/>
  <c r="D145" i="9"/>
  <c r="E145" i="9" s="1"/>
  <c r="L144" i="9"/>
  <c r="H144" i="9"/>
  <c r="D144" i="9"/>
  <c r="E144" i="9" s="1"/>
  <c r="L143" i="9"/>
  <c r="H143" i="9"/>
  <c r="E143" i="9"/>
  <c r="N143" i="9" s="1"/>
  <c r="D143" i="9"/>
  <c r="N142" i="9"/>
  <c r="L142" i="9"/>
  <c r="H142" i="9"/>
  <c r="D142" i="9"/>
  <c r="E142" i="9" s="1"/>
  <c r="L141" i="9"/>
  <c r="I141" i="9"/>
  <c r="H141" i="9"/>
  <c r="D141" i="9"/>
  <c r="E141" i="9" s="1"/>
  <c r="N141" i="9" s="1"/>
  <c r="L140" i="9"/>
  <c r="I140" i="9" s="1"/>
  <c r="H140" i="9"/>
  <c r="D140" i="9"/>
  <c r="E140" i="9" s="1"/>
  <c r="N140" i="9" s="1"/>
  <c r="L139" i="9"/>
  <c r="H139" i="9"/>
  <c r="E139" i="9"/>
  <c r="N139" i="9" s="1"/>
  <c r="D139" i="9"/>
  <c r="N138" i="9"/>
  <c r="L138" i="9"/>
  <c r="H138" i="9"/>
  <c r="D138" i="9"/>
  <c r="E138" i="9" s="1"/>
  <c r="L137" i="9"/>
  <c r="I137" i="9"/>
  <c r="H137" i="9"/>
  <c r="D137" i="9"/>
  <c r="E137" i="9" s="1"/>
  <c r="N137" i="9" s="1"/>
  <c r="L136" i="9"/>
  <c r="H136" i="9"/>
  <c r="E136" i="9"/>
  <c r="N136" i="9" s="1"/>
  <c r="D136" i="9"/>
  <c r="L135" i="9"/>
  <c r="I135" i="9" s="1"/>
  <c r="H135" i="9"/>
  <c r="E135" i="9"/>
  <c r="D135" i="9"/>
  <c r="N134" i="9"/>
  <c r="I134" i="9"/>
  <c r="H134" i="9"/>
  <c r="E134" i="9"/>
  <c r="D134" i="9"/>
  <c r="N133" i="9"/>
  <c r="L133" i="9"/>
  <c r="I133" i="9" s="1"/>
  <c r="H133" i="9"/>
  <c r="E133" i="9"/>
  <c r="D133" i="9"/>
  <c r="H132" i="9"/>
  <c r="E132" i="9"/>
  <c r="D132" i="9"/>
  <c r="N131" i="9"/>
  <c r="I131" i="9"/>
  <c r="H131" i="9"/>
  <c r="E131" i="9"/>
  <c r="D131" i="9"/>
  <c r="O130" i="9"/>
  <c r="H130" i="9"/>
  <c r="N130" i="9" s="1"/>
  <c r="E130" i="9"/>
  <c r="I130" i="9" s="1"/>
  <c r="D130" i="9"/>
  <c r="H129" i="9"/>
  <c r="E129" i="9"/>
  <c r="D129" i="9"/>
  <c r="I128" i="9"/>
  <c r="H128" i="9"/>
  <c r="E128" i="9"/>
  <c r="N128" i="9" s="1"/>
  <c r="D128" i="9"/>
  <c r="H127" i="9"/>
  <c r="D127" i="9"/>
  <c r="E127" i="9" s="1"/>
  <c r="I126" i="9"/>
  <c r="H126" i="9"/>
  <c r="D126" i="9"/>
  <c r="E126" i="9" s="1"/>
  <c r="N126" i="9" s="1"/>
  <c r="H125" i="9"/>
  <c r="D125" i="9"/>
  <c r="E125" i="9" s="1"/>
  <c r="N125" i="9" s="1"/>
  <c r="H124" i="9"/>
  <c r="D124" i="9"/>
  <c r="E124" i="9" s="1"/>
  <c r="H123" i="9"/>
  <c r="D123" i="9"/>
  <c r="E123" i="9" s="1"/>
  <c r="H122" i="9"/>
  <c r="E122" i="9"/>
  <c r="D122" i="9"/>
  <c r="H121" i="9"/>
  <c r="E121" i="9"/>
  <c r="D121" i="9"/>
  <c r="I120" i="9"/>
  <c r="H120" i="9"/>
  <c r="E120" i="9"/>
  <c r="N120" i="9" s="1"/>
  <c r="D120" i="9"/>
  <c r="H119" i="9"/>
  <c r="D119" i="9"/>
  <c r="E119" i="9" s="1"/>
  <c r="I118" i="9"/>
  <c r="H118" i="9"/>
  <c r="E118" i="9"/>
  <c r="N118" i="9" s="1"/>
  <c r="D118" i="9"/>
  <c r="C118" i="9"/>
  <c r="H117" i="9"/>
  <c r="E117" i="9"/>
  <c r="D117" i="9"/>
  <c r="O116" i="9"/>
  <c r="F116" i="9"/>
  <c r="I116" i="9" s="1"/>
  <c r="D116" i="9"/>
  <c r="E116" i="9" s="1"/>
  <c r="I115" i="9"/>
  <c r="H115" i="9"/>
  <c r="F115" i="9"/>
  <c r="E115" i="9"/>
  <c r="D115" i="9"/>
  <c r="F114" i="9"/>
  <c r="H114" i="9" s="1"/>
  <c r="E114" i="9"/>
  <c r="D114" i="9"/>
  <c r="N113" i="9"/>
  <c r="I113" i="9"/>
  <c r="H113" i="9"/>
  <c r="E113" i="9"/>
  <c r="D113" i="9"/>
  <c r="F112" i="9"/>
  <c r="E112" i="9"/>
  <c r="D112" i="9"/>
  <c r="N111" i="9"/>
  <c r="H111" i="9"/>
  <c r="F111" i="9"/>
  <c r="I111" i="9" s="1"/>
  <c r="D111" i="9"/>
  <c r="E111" i="9" s="1"/>
  <c r="H110" i="9"/>
  <c r="F110" i="9"/>
  <c r="D110" i="9"/>
  <c r="E110" i="9" s="1"/>
  <c r="I109" i="9"/>
  <c r="H109" i="9"/>
  <c r="D109" i="9"/>
  <c r="E109" i="9" s="1"/>
  <c r="H108" i="9"/>
  <c r="F108" i="9"/>
  <c r="D108" i="9"/>
  <c r="E108" i="9" s="1"/>
  <c r="I107" i="9"/>
  <c r="F107" i="9"/>
  <c r="H107" i="9" s="1"/>
  <c r="E107" i="9"/>
  <c r="D107" i="9"/>
  <c r="F106" i="9"/>
  <c r="H106" i="9" s="1"/>
  <c r="D106" i="9"/>
  <c r="E106" i="9" s="1"/>
  <c r="N106" i="9" s="1"/>
  <c r="N105" i="9"/>
  <c r="H105" i="9"/>
  <c r="E105" i="9"/>
  <c r="I105" i="9" s="1"/>
  <c r="D105" i="9"/>
  <c r="F104" i="9"/>
  <c r="D104" i="9"/>
  <c r="E104" i="9" s="1"/>
  <c r="N103" i="9"/>
  <c r="H103" i="9"/>
  <c r="F103" i="9"/>
  <c r="D103" i="9"/>
  <c r="E103" i="9" s="1"/>
  <c r="I103" i="9" s="1"/>
  <c r="H102" i="9"/>
  <c r="F102" i="9"/>
  <c r="E102" i="9"/>
  <c r="D102" i="9"/>
  <c r="F101" i="9"/>
  <c r="E101" i="9"/>
  <c r="D101" i="9"/>
  <c r="F100" i="9"/>
  <c r="D100" i="9"/>
  <c r="E100" i="9" s="1"/>
  <c r="H99" i="9"/>
  <c r="F99" i="9"/>
  <c r="E99" i="9"/>
  <c r="D99" i="9"/>
  <c r="H98" i="9"/>
  <c r="D98" i="9"/>
  <c r="E98" i="9" s="1"/>
  <c r="H97" i="9"/>
  <c r="F97" i="9"/>
  <c r="E97" i="9"/>
  <c r="D97" i="9"/>
  <c r="F96" i="9"/>
  <c r="H96" i="9" s="1"/>
  <c r="E96" i="9"/>
  <c r="N96" i="9" s="1"/>
  <c r="D96" i="9"/>
  <c r="N95" i="9"/>
  <c r="I95" i="9"/>
  <c r="F95" i="9"/>
  <c r="H95" i="9" s="1"/>
  <c r="D95" i="9"/>
  <c r="E95" i="9" s="1"/>
  <c r="F94" i="9"/>
  <c r="I94" i="9" s="1"/>
  <c r="D94" i="9"/>
  <c r="E94" i="9" s="1"/>
  <c r="I93" i="9"/>
  <c r="H93" i="9"/>
  <c r="F93" i="9"/>
  <c r="E93" i="9"/>
  <c r="D93" i="9"/>
  <c r="F92" i="9"/>
  <c r="H92" i="9" s="1"/>
  <c r="E92" i="9"/>
  <c r="D92" i="9"/>
  <c r="N91" i="9"/>
  <c r="I91" i="9"/>
  <c r="H91" i="9"/>
  <c r="E91" i="9"/>
  <c r="D91" i="9"/>
  <c r="H90" i="9"/>
  <c r="E90" i="9"/>
  <c r="D90" i="9"/>
  <c r="L89" i="9"/>
  <c r="I89" i="9" s="1"/>
  <c r="F89" i="9"/>
  <c r="D89" i="9"/>
  <c r="E89" i="9" s="1"/>
  <c r="H88" i="9"/>
  <c r="F88" i="9"/>
  <c r="E88" i="9"/>
  <c r="N88" i="9" s="1"/>
  <c r="D88" i="9"/>
  <c r="I87" i="9"/>
  <c r="H87" i="9"/>
  <c r="F87" i="9"/>
  <c r="E87" i="9"/>
  <c r="D87" i="9"/>
  <c r="N86" i="9"/>
  <c r="I86" i="9"/>
  <c r="F86" i="9"/>
  <c r="H86" i="9" s="1"/>
  <c r="E86" i="9"/>
  <c r="D86" i="9"/>
  <c r="H85" i="9"/>
  <c r="E85" i="9"/>
  <c r="I85" i="9" s="1"/>
  <c r="D85" i="9"/>
  <c r="N84" i="9"/>
  <c r="I84" i="9"/>
  <c r="H84" i="9"/>
  <c r="E84" i="9"/>
  <c r="D84" i="9"/>
  <c r="H83" i="9"/>
  <c r="E83" i="9"/>
  <c r="D83" i="9"/>
  <c r="I82" i="9"/>
  <c r="F82" i="9"/>
  <c r="H82" i="9" s="1"/>
  <c r="E82" i="9"/>
  <c r="D82" i="9"/>
  <c r="F81" i="9"/>
  <c r="D81" i="9"/>
  <c r="E81" i="9" s="1"/>
  <c r="C81" i="9"/>
  <c r="I80" i="9"/>
  <c r="H80" i="9"/>
  <c r="F80" i="9"/>
  <c r="E80" i="9"/>
  <c r="N80" i="9" s="1"/>
  <c r="D80" i="9"/>
  <c r="N79" i="9"/>
  <c r="I79" i="9"/>
  <c r="F79" i="9"/>
  <c r="H79" i="9" s="1"/>
  <c r="E79" i="9"/>
  <c r="D79" i="9"/>
  <c r="H78" i="9"/>
  <c r="E78" i="9"/>
  <c r="D78" i="9"/>
  <c r="N77" i="9"/>
  <c r="I77" i="9"/>
  <c r="F77" i="9"/>
  <c r="H77" i="9" s="1"/>
  <c r="D77" i="9"/>
  <c r="E77" i="9" s="1"/>
  <c r="H76" i="9"/>
  <c r="F76" i="9"/>
  <c r="D76" i="9"/>
  <c r="E76" i="9" s="1"/>
  <c r="N76" i="9" s="1"/>
  <c r="H75" i="9"/>
  <c r="F75" i="9"/>
  <c r="E75" i="9"/>
  <c r="I75" i="9" s="1"/>
  <c r="D75" i="9"/>
  <c r="H74" i="9"/>
  <c r="D74" i="9"/>
  <c r="E74" i="9" s="1"/>
  <c r="I73" i="9"/>
  <c r="H73" i="9"/>
  <c r="F73" i="9"/>
  <c r="E73" i="9"/>
  <c r="D73" i="9"/>
  <c r="F72" i="9"/>
  <c r="H72" i="9" s="1"/>
  <c r="E72" i="9"/>
  <c r="N72" i="9" s="1"/>
  <c r="D72" i="9"/>
  <c r="F71" i="9"/>
  <c r="D71" i="9"/>
  <c r="E71" i="9" s="1"/>
  <c r="H70" i="9"/>
  <c r="F70" i="9"/>
  <c r="D70" i="9"/>
  <c r="E70" i="9" s="1"/>
  <c r="H69" i="9"/>
  <c r="F69" i="9"/>
  <c r="E69" i="9"/>
  <c r="D69" i="9"/>
  <c r="F68" i="9"/>
  <c r="E68" i="9"/>
  <c r="D68" i="9"/>
  <c r="N67" i="9"/>
  <c r="H67" i="9"/>
  <c r="E67" i="9"/>
  <c r="I67" i="9" s="1"/>
  <c r="D67" i="9"/>
  <c r="I66" i="9"/>
  <c r="F66" i="9"/>
  <c r="H66" i="9" s="1"/>
  <c r="D66" i="9"/>
  <c r="E66" i="9" s="1"/>
  <c r="N66" i="9" s="1"/>
  <c r="N65" i="9"/>
  <c r="H65" i="9"/>
  <c r="E65" i="9"/>
  <c r="I65" i="9" s="1"/>
  <c r="D65" i="9"/>
  <c r="H64" i="9"/>
  <c r="F64" i="9"/>
  <c r="D64" i="9"/>
  <c r="E64" i="9" s="1"/>
  <c r="N63" i="9"/>
  <c r="H63" i="9"/>
  <c r="D63" i="9"/>
  <c r="E63" i="9" s="1"/>
  <c r="I63" i="9" s="1"/>
  <c r="H62" i="9"/>
  <c r="E62" i="9"/>
  <c r="D62" i="9"/>
  <c r="N61" i="9"/>
  <c r="H61" i="9"/>
  <c r="E61" i="9"/>
  <c r="I61" i="9" s="1"/>
  <c r="D61" i="9"/>
  <c r="F60" i="9"/>
  <c r="D60" i="9"/>
  <c r="E60" i="9" s="1"/>
  <c r="N59" i="9"/>
  <c r="H59" i="9"/>
  <c r="F59" i="9"/>
  <c r="I59" i="9" s="1"/>
  <c r="D59" i="9"/>
  <c r="E59" i="9" s="1"/>
  <c r="I58" i="9"/>
  <c r="H58" i="9"/>
  <c r="F58" i="9"/>
  <c r="E58" i="9"/>
  <c r="H57" i="9"/>
  <c r="F57" i="9"/>
  <c r="D57" i="9"/>
  <c r="E57" i="9" s="1"/>
  <c r="N57" i="9" s="1"/>
  <c r="H56" i="9"/>
  <c r="F56" i="9"/>
  <c r="E56" i="9"/>
  <c r="I56" i="9" s="1"/>
  <c r="D56" i="9"/>
  <c r="H55" i="9"/>
  <c r="D55" i="9"/>
  <c r="E55" i="9" s="1"/>
  <c r="F54" i="9"/>
  <c r="E54" i="9"/>
  <c r="D54" i="9"/>
  <c r="F53" i="9"/>
  <c r="H53" i="9" s="1"/>
  <c r="D53" i="9"/>
  <c r="E53" i="9" s="1"/>
  <c r="N53" i="9" s="1"/>
  <c r="H52" i="9"/>
  <c r="E52" i="9"/>
  <c r="D52" i="9"/>
  <c r="N51" i="9"/>
  <c r="H51" i="9"/>
  <c r="E51" i="9"/>
  <c r="I51" i="9" s="1"/>
  <c r="D51" i="9"/>
  <c r="F50" i="9"/>
  <c r="D50" i="9"/>
  <c r="E50" i="9" s="1"/>
  <c r="N49" i="9"/>
  <c r="H49" i="9"/>
  <c r="F49" i="9"/>
  <c r="I49" i="9" s="1"/>
  <c r="D49" i="9"/>
  <c r="E49" i="9" s="1"/>
  <c r="H48" i="9"/>
  <c r="F48" i="9"/>
  <c r="D48" i="9"/>
  <c r="E48" i="9" s="1"/>
  <c r="I47" i="9"/>
  <c r="H47" i="9"/>
  <c r="E47" i="9"/>
  <c r="N47" i="9" s="1"/>
  <c r="D47" i="9"/>
  <c r="H46" i="9"/>
  <c r="F46" i="9"/>
  <c r="E46" i="9"/>
  <c r="D46" i="9"/>
  <c r="N45" i="9"/>
  <c r="F45" i="9"/>
  <c r="H45" i="9" s="1"/>
  <c r="E45" i="9"/>
  <c r="I45" i="9" s="1"/>
  <c r="D45" i="9"/>
  <c r="H44" i="9"/>
  <c r="F44" i="9"/>
  <c r="I44" i="9" s="1"/>
  <c r="D44" i="9"/>
  <c r="E44" i="9" s="1"/>
  <c r="H43" i="9"/>
  <c r="F43" i="9"/>
  <c r="D43" i="9"/>
  <c r="E43" i="9" s="1"/>
  <c r="I42" i="9"/>
  <c r="H42" i="9"/>
  <c r="F42" i="9"/>
  <c r="E42" i="9"/>
  <c r="D42" i="9"/>
  <c r="H41" i="9"/>
  <c r="E41" i="9"/>
  <c r="D41" i="9"/>
  <c r="I40" i="9"/>
  <c r="H40" i="9"/>
  <c r="D40" i="9"/>
  <c r="E40" i="9" s="1"/>
  <c r="N40" i="9" s="1"/>
  <c r="H39" i="9"/>
  <c r="F39" i="9"/>
  <c r="E39" i="9"/>
  <c r="D39" i="9"/>
  <c r="F38" i="9"/>
  <c r="E38" i="9"/>
  <c r="D38" i="9"/>
  <c r="F37" i="9"/>
  <c r="I37" i="9" s="1"/>
  <c r="D37" i="9"/>
  <c r="E37" i="9" s="1"/>
  <c r="H36" i="9"/>
  <c r="D36" i="9"/>
  <c r="E36" i="9" s="1"/>
  <c r="H35" i="9"/>
  <c r="E35" i="9"/>
  <c r="I35" i="9" s="1"/>
  <c r="D35" i="9"/>
  <c r="N34" i="9"/>
  <c r="H34" i="9"/>
  <c r="E34" i="9"/>
  <c r="I34" i="9" s="1"/>
  <c r="D34" i="9"/>
  <c r="F33" i="9"/>
  <c r="H33" i="9" s="1"/>
  <c r="D33" i="9"/>
  <c r="E33" i="9" s="1"/>
  <c r="N33" i="9" s="1"/>
  <c r="F32" i="9"/>
  <c r="D32" i="9"/>
  <c r="E32" i="9" s="1"/>
  <c r="H31" i="9"/>
  <c r="F31" i="9"/>
  <c r="D31" i="9"/>
  <c r="E31" i="9" s="1"/>
  <c r="F30" i="9"/>
  <c r="E30" i="9"/>
  <c r="D30" i="9"/>
  <c r="F29" i="9"/>
  <c r="H29" i="9" s="1"/>
  <c r="D29" i="9"/>
  <c r="E29" i="9" s="1"/>
  <c r="N29" i="9" s="1"/>
  <c r="H28" i="9"/>
  <c r="E28" i="9"/>
  <c r="D28" i="9"/>
  <c r="F27" i="9"/>
  <c r="E27" i="9"/>
  <c r="N26" i="9"/>
  <c r="H26" i="9"/>
  <c r="F26" i="9"/>
  <c r="E26" i="9"/>
  <c r="I26" i="9" s="1"/>
  <c r="D26" i="9"/>
  <c r="H25" i="9"/>
  <c r="F25" i="9"/>
  <c r="E25" i="9"/>
  <c r="D25" i="9"/>
  <c r="H24" i="9"/>
  <c r="D24" i="9"/>
  <c r="E24" i="9" s="1"/>
  <c r="T23" i="9"/>
  <c r="S23" i="9"/>
  <c r="R23" i="9"/>
  <c r="Q23" i="9"/>
  <c r="N23" i="9"/>
  <c r="H23" i="9"/>
  <c r="E23" i="9"/>
  <c r="I23" i="9" s="1"/>
  <c r="D23" i="9"/>
  <c r="T22" i="9"/>
  <c r="R22" i="9"/>
  <c r="S22" i="9" s="1"/>
  <c r="Q22" i="9"/>
  <c r="I22" i="9"/>
  <c r="H22" i="9"/>
  <c r="F22" i="9"/>
  <c r="E22" i="9"/>
  <c r="D22" i="9"/>
  <c r="P21" i="9"/>
  <c r="I21" i="9"/>
  <c r="F21" i="9"/>
  <c r="H21" i="9" s="1"/>
  <c r="E21" i="9"/>
  <c r="D21" i="9"/>
  <c r="P20" i="9"/>
  <c r="N20" i="9"/>
  <c r="I20" i="9"/>
  <c r="H20" i="9"/>
  <c r="E20" i="9"/>
  <c r="D20" i="9"/>
  <c r="P19" i="9"/>
  <c r="I19" i="9"/>
  <c r="H19" i="9"/>
  <c r="F19" i="9"/>
  <c r="E19" i="9"/>
  <c r="D19" i="9"/>
  <c r="P18" i="9"/>
  <c r="I18" i="9"/>
  <c r="F18" i="9"/>
  <c r="H18" i="9" s="1"/>
  <c r="E18" i="9"/>
  <c r="D18" i="9"/>
  <c r="P17" i="9"/>
  <c r="Q17" i="9" s="1"/>
  <c r="N17" i="9"/>
  <c r="I17" i="9"/>
  <c r="F17" i="9"/>
  <c r="H17" i="9" s="1"/>
  <c r="E17" i="9"/>
  <c r="D17" i="9"/>
  <c r="P16" i="9"/>
  <c r="N16" i="9"/>
  <c r="F16" i="9"/>
  <c r="H16" i="9" s="1"/>
  <c r="D16" i="9"/>
  <c r="E16" i="9" s="1"/>
  <c r="I16" i="9" s="1"/>
  <c r="P15" i="9"/>
  <c r="N15" i="9"/>
  <c r="H15" i="9"/>
  <c r="E15" i="9"/>
  <c r="I15" i="9" s="1"/>
  <c r="D15" i="9"/>
  <c r="P14" i="9"/>
  <c r="Q14" i="9" s="1"/>
  <c r="N14" i="9"/>
  <c r="F14" i="9"/>
  <c r="H14" i="9" s="1"/>
  <c r="E14" i="9"/>
  <c r="I14" i="9" s="1"/>
  <c r="D14" i="9"/>
  <c r="P13" i="9"/>
  <c r="F13" i="9"/>
  <c r="D13" i="9"/>
  <c r="E13" i="9" s="1"/>
  <c r="P12" i="9"/>
  <c r="Q12" i="9" s="1"/>
  <c r="F12" i="9"/>
  <c r="D12" i="9"/>
  <c r="E12" i="9" s="1"/>
  <c r="P11" i="9"/>
  <c r="N11" i="9"/>
  <c r="H11" i="9"/>
  <c r="F11" i="9"/>
  <c r="D11" i="9"/>
  <c r="E11" i="9" s="1"/>
  <c r="P10" i="9"/>
  <c r="H10" i="9"/>
  <c r="D10" i="9"/>
  <c r="E10" i="9" s="1"/>
  <c r="I10" i="9" s="1"/>
  <c r="P9" i="9"/>
  <c r="F9" i="9"/>
  <c r="D9" i="9"/>
  <c r="E9" i="9" s="1"/>
  <c r="P8" i="9"/>
  <c r="F8" i="9"/>
  <c r="D8" i="9"/>
  <c r="E8" i="9" s="1"/>
  <c r="P7" i="9"/>
  <c r="H7" i="9"/>
  <c r="F7" i="9"/>
  <c r="D7" i="9"/>
  <c r="E7" i="9" s="1"/>
  <c r="P6" i="9"/>
  <c r="I6" i="9"/>
  <c r="H6" i="9"/>
  <c r="F6" i="9"/>
  <c r="E6" i="9"/>
  <c r="D6" i="9"/>
  <c r="P5" i="9"/>
  <c r="I5" i="9"/>
  <c r="H5" i="9"/>
  <c r="F5" i="9"/>
  <c r="E5" i="9"/>
  <c r="D5" i="9"/>
  <c r="P4" i="9"/>
  <c r="F4" i="9"/>
  <c r="H4" i="9" s="1"/>
  <c r="E4" i="9"/>
  <c r="D4" i="9"/>
  <c r="P3" i="9"/>
  <c r="O3" i="9"/>
  <c r="N3" i="9"/>
  <c r="H3" i="9"/>
  <c r="F3" i="9"/>
  <c r="I3" i="9" s="1"/>
  <c r="D3" i="9"/>
  <c r="E3" i="9" s="1"/>
  <c r="P2" i="9"/>
  <c r="H2" i="9"/>
  <c r="D2" i="9"/>
  <c r="E2" i="9" s="1"/>
  <c r="N206" i="8"/>
  <c r="L206" i="8"/>
  <c r="H206" i="8"/>
  <c r="D206" i="8"/>
  <c r="E206" i="8" s="1"/>
  <c r="I206" i="8" s="1"/>
  <c r="H205" i="8"/>
  <c r="D205" i="8"/>
  <c r="E205" i="8" s="1"/>
  <c r="N205" i="8" s="1"/>
  <c r="N204" i="8"/>
  <c r="H204" i="8"/>
  <c r="D204" i="8"/>
  <c r="E204" i="8" s="1"/>
  <c r="I204" i="8" s="1"/>
  <c r="N203" i="8"/>
  <c r="H203" i="8"/>
  <c r="E203" i="8"/>
  <c r="I203" i="8" s="1"/>
  <c r="D203" i="8"/>
  <c r="H202" i="8"/>
  <c r="E202" i="8"/>
  <c r="D202" i="8"/>
  <c r="N201" i="8"/>
  <c r="H201" i="8"/>
  <c r="E201" i="8"/>
  <c r="I201" i="8" s="1"/>
  <c r="D201" i="8"/>
  <c r="N200" i="8"/>
  <c r="I200" i="8"/>
  <c r="H200" i="8"/>
  <c r="E200" i="8"/>
  <c r="D200" i="8"/>
  <c r="H199" i="8"/>
  <c r="D199" i="8"/>
  <c r="E199" i="8" s="1"/>
  <c r="I198" i="8"/>
  <c r="H198" i="8"/>
  <c r="D198" i="8"/>
  <c r="E198" i="8" s="1"/>
  <c r="N198" i="8" s="1"/>
  <c r="H197" i="8"/>
  <c r="D197" i="8"/>
  <c r="E197" i="8" s="1"/>
  <c r="N197" i="8" s="1"/>
  <c r="H196" i="8"/>
  <c r="D196" i="8"/>
  <c r="E196" i="8" s="1"/>
  <c r="H195" i="8"/>
  <c r="E195" i="8"/>
  <c r="D195" i="8"/>
  <c r="H194" i="8"/>
  <c r="E194" i="8"/>
  <c r="I194" i="8" s="1"/>
  <c r="D194" i="8"/>
  <c r="I193" i="8"/>
  <c r="H193" i="8"/>
  <c r="E193" i="8"/>
  <c r="N193" i="8" s="1"/>
  <c r="D193" i="8"/>
  <c r="H192" i="8"/>
  <c r="D192" i="8"/>
  <c r="E192" i="8" s="1"/>
  <c r="I191" i="8"/>
  <c r="H191" i="8"/>
  <c r="E191" i="8"/>
  <c r="N191" i="8" s="1"/>
  <c r="D191" i="8"/>
  <c r="I190" i="8"/>
  <c r="H190" i="8"/>
  <c r="D190" i="8"/>
  <c r="E190" i="8" s="1"/>
  <c r="I189" i="8"/>
  <c r="H189" i="8"/>
  <c r="D189" i="8"/>
  <c r="E189" i="8" s="1"/>
  <c r="N188" i="8"/>
  <c r="H188" i="8"/>
  <c r="D188" i="8"/>
  <c r="E188" i="8" s="1"/>
  <c r="I188" i="8" s="1"/>
  <c r="H187" i="8"/>
  <c r="E187" i="8"/>
  <c r="D187" i="8"/>
  <c r="N186" i="8"/>
  <c r="H186" i="8"/>
  <c r="E186" i="8"/>
  <c r="I186" i="8" s="1"/>
  <c r="D186" i="8"/>
  <c r="H185" i="8"/>
  <c r="E185" i="8"/>
  <c r="D185" i="8"/>
  <c r="N184" i="8"/>
  <c r="I184" i="8"/>
  <c r="H184" i="8"/>
  <c r="E184" i="8"/>
  <c r="D184" i="8"/>
  <c r="H183" i="8"/>
  <c r="E183" i="8"/>
  <c r="D183" i="8"/>
  <c r="I182" i="8"/>
  <c r="H182" i="8"/>
  <c r="D182" i="8"/>
  <c r="E182" i="8" s="1"/>
  <c r="H181" i="8"/>
  <c r="D181" i="8"/>
  <c r="E181" i="8" s="1"/>
  <c r="N180" i="8"/>
  <c r="H180" i="8"/>
  <c r="D180" i="8"/>
  <c r="E180" i="8" s="1"/>
  <c r="I180" i="8" s="1"/>
  <c r="N179" i="8"/>
  <c r="H179" i="8"/>
  <c r="E179" i="8"/>
  <c r="I179" i="8" s="1"/>
  <c r="D179" i="8"/>
  <c r="H178" i="8"/>
  <c r="E178" i="8"/>
  <c r="D178" i="8"/>
  <c r="N177" i="8"/>
  <c r="H177" i="8"/>
  <c r="E177" i="8"/>
  <c r="I177" i="8" s="1"/>
  <c r="D177" i="8"/>
  <c r="N176" i="8"/>
  <c r="I176" i="8"/>
  <c r="H176" i="8"/>
  <c r="E176" i="8"/>
  <c r="D176" i="8"/>
  <c r="H175" i="8"/>
  <c r="D175" i="8"/>
  <c r="E175" i="8" s="1"/>
  <c r="I174" i="8"/>
  <c r="H174" i="8"/>
  <c r="D174" i="8"/>
  <c r="E174" i="8" s="1"/>
  <c r="I173" i="8"/>
  <c r="H173" i="8"/>
  <c r="D173" i="8"/>
  <c r="E173" i="8" s="1"/>
  <c r="N173" i="8" s="1"/>
  <c r="H172" i="8"/>
  <c r="D172" i="8"/>
  <c r="E172" i="8" s="1"/>
  <c r="N171" i="8"/>
  <c r="H171" i="8"/>
  <c r="D171" i="8"/>
  <c r="E171" i="8" s="1"/>
  <c r="I171" i="8" s="1"/>
  <c r="H170" i="8"/>
  <c r="E170" i="8"/>
  <c r="I170" i="8" s="1"/>
  <c r="D170" i="8"/>
  <c r="N169" i="8"/>
  <c r="I169" i="8"/>
  <c r="H169" i="8"/>
  <c r="E169" i="8"/>
  <c r="D169" i="8"/>
  <c r="H168" i="8"/>
  <c r="E168" i="8"/>
  <c r="D168" i="8"/>
  <c r="H167" i="8"/>
  <c r="D167" i="8"/>
  <c r="E167" i="8" s="1"/>
  <c r="H166" i="8"/>
  <c r="E166" i="8"/>
  <c r="D166" i="8"/>
  <c r="I165" i="8"/>
  <c r="H165" i="8"/>
  <c r="D165" i="8"/>
  <c r="E165" i="8" s="1"/>
  <c r="H164" i="8"/>
  <c r="D164" i="8"/>
  <c r="E164" i="8" s="1"/>
  <c r="H163" i="8"/>
  <c r="E163" i="8"/>
  <c r="D163" i="8"/>
  <c r="H162" i="8"/>
  <c r="E162" i="8"/>
  <c r="I162" i="8" s="1"/>
  <c r="D162" i="8"/>
  <c r="I161" i="8"/>
  <c r="H161" i="8"/>
  <c r="E161" i="8"/>
  <c r="D161" i="8"/>
  <c r="H160" i="8"/>
  <c r="D160" i="8"/>
  <c r="E160" i="8" s="1"/>
  <c r="N159" i="8"/>
  <c r="I159" i="8"/>
  <c r="H159" i="8"/>
  <c r="E159" i="8"/>
  <c r="D159" i="8"/>
  <c r="H158" i="8"/>
  <c r="E158" i="8"/>
  <c r="D158" i="8"/>
  <c r="I157" i="8"/>
  <c r="H157" i="8"/>
  <c r="D157" i="8"/>
  <c r="E157" i="8" s="1"/>
  <c r="H156" i="8"/>
  <c r="D156" i="8"/>
  <c r="E156" i="8" s="1"/>
  <c r="N155" i="8"/>
  <c r="H155" i="8"/>
  <c r="E155" i="8"/>
  <c r="I155" i="8" s="1"/>
  <c r="D155" i="8"/>
  <c r="H154" i="8"/>
  <c r="N154" i="8" s="1"/>
  <c r="E154" i="8"/>
  <c r="I154" i="8" s="1"/>
  <c r="D154" i="8"/>
  <c r="N153" i="8"/>
  <c r="I153" i="8"/>
  <c r="H153" i="8"/>
  <c r="E153" i="8"/>
  <c r="D153" i="8"/>
  <c r="H152" i="8"/>
  <c r="D152" i="8"/>
  <c r="E152" i="8" s="1"/>
  <c r="N151" i="8"/>
  <c r="I151" i="8"/>
  <c r="H151" i="8"/>
  <c r="E151" i="8"/>
  <c r="D151" i="8"/>
  <c r="H150" i="8"/>
  <c r="E150" i="8"/>
  <c r="D150" i="8"/>
  <c r="I149" i="8"/>
  <c r="H149" i="8"/>
  <c r="D149" i="8"/>
  <c r="E149" i="8" s="1"/>
  <c r="H148" i="8"/>
  <c r="D148" i="8"/>
  <c r="E148" i="8" s="1"/>
  <c r="N147" i="8"/>
  <c r="H147" i="8"/>
  <c r="E147" i="8"/>
  <c r="I147" i="8" s="1"/>
  <c r="D147" i="8"/>
  <c r="H146" i="8"/>
  <c r="E146" i="8"/>
  <c r="D146" i="8"/>
  <c r="N145" i="8"/>
  <c r="I145" i="8"/>
  <c r="H145" i="8"/>
  <c r="E145" i="8"/>
  <c r="D145" i="8"/>
  <c r="H144" i="8"/>
  <c r="E144" i="8"/>
  <c r="D144" i="8"/>
  <c r="H143" i="8"/>
  <c r="D143" i="8"/>
  <c r="E143" i="8" s="1"/>
  <c r="H142" i="8"/>
  <c r="E142" i="8"/>
  <c r="D142" i="8"/>
  <c r="I141" i="8"/>
  <c r="H141" i="8"/>
  <c r="D141" i="8"/>
  <c r="E141" i="8" s="1"/>
  <c r="N141" i="8" s="1"/>
  <c r="H140" i="8"/>
  <c r="D140" i="8"/>
  <c r="E140" i="8" s="1"/>
  <c r="N139" i="8"/>
  <c r="H139" i="8"/>
  <c r="D139" i="8"/>
  <c r="E139" i="8" s="1"/>
  <c r="I139" i="8" s="1"/>
  <c r="H138" i="8"/>
  <c r="E138" i="8"/>
  <c r="I138" i="8" s="1"/>
  <c r="D138" i="8"/>
  <c r="N137" i="8"/>
  <c r="I137" i="8"/>
  <c r="H137" i="8"/>
  <c r="E137" i="8"/>
  <c r="D137" i="8"/>
  <c r="H136" i="8"/>
  <c r="E136" i="8"/>
  <c r="D136" i="8"/>
  <c r="H135" i="8"/>
  <c r="D135" i="8"/>
  <c r="E135" i="8" s="1"/>
  <c r="H134" i="8"/>
  <c r="E134" i="8"/>
  <c r="D134" i="8"/>
  <c r="I133" i="8"/>
  <c r="H133" i="8"/>
  <c r="D133" i="8"/>
  <c r="E133" i="8" s="1"/>
  <c r="H132" i="8"/>
  <c r="D132" i="8"/>
  <c r="E132" i="8" s="1"/>
  <c r="H131" i="8"/>
  <c r="E131" i="8"/>
  <c r="D131" i="8"/>
  <c r="O130" i="8"/>
  <c r="H130" i="8"/>
  <c r="E130" i="8"/>
  <c r="D130" i="8"/>
  <c r="N129" i="8"/>
  <c r="I129" i="8"/>
  <c r="H129" i="8"/>
  <c r="D129" i="8"/>
  <c r="E129" i="8" s="1"/>
  <c r="H128" i="8"/>
  <c r="D128" i="8"/>
  <c r="E128" i="8" s="1"/>
  <c r="N127" i="8"/>
  <c r="H127" i="8"/>
  <c r="E127" i="8"/>
  <c r="I127" i="8" s="1"/>
  <c r="D127" i="8"/>
  <c r="H126" i="8"/>
  <c r="E126" i="8"/>
  <c r="D126" i="8"/>
  <c r="H125" i="8"/>
  <c r="D125" i="8"/>
  <c r="E125" i="8" s="1"/>
  <c r="I124" i="8"/>
  <c r="H124" i="8"/>
  <c r="E124" i="8"/>
  <c r="D124" i="8"/>
  <c r="H123" i="8"/>
  <c r="D123" i="8"/>
  <c r="E123" i="8" s="1"/>
  <c r="N123" i="8" s="1"/>
  <c r="N122" i="8"/>
  <c r="I122" i="8"/>
  <c r="H122" i="8"/>
  <c r="E122" i="8"/>
  <c r="D122" i="8"/>
  <c r="H121" i="8"/>
  <c r="D121" i="8"/>
  <c r="E121" i="8" s="1"/>
  <c r="N120" i="8"/>
  <c r="I120" i="8"/>
  <c r="H120" i="8"/>
  <c r="E120" i="8"/>
  <c r="D120" i="8"/>
  <c r="H119" i="8"/>
  <c r="E119" i="8"/>
  <c r="D119" i="8"/>
  <c r="H118" i="8"/>
  <c r="D118" i="8"/>
  <c r="E118" i="8" s="1"/>
  <c r="N117" i="8"/>
  <c r="I117" i="8"/>
  <c r="H117" i="8"/>
  <c r="E117" i="8"/>
  <c r="D117" i="8"/>
  <c r="O116" i="8"/>
  <c r="H116" i="8"/>
  <c r="E116" i="8"/>
  <c r="D116" i="8"/>
  <c r="H115" i="8"/>
  <c r="D115" i="8"/>
  <c r="E115" i="8" s="1"/>
  <c r="N114" i="8"/>
  <c r="I114" i="8"/>
  <c r="H114" i="8"/>
  <c r="E114" i="8"/>
  <c r="D114" i="8"/>
  <c r="H113" i="8"/>
  <c r="D113" i="8"/>
  <c r="E113" i="8" s="1"/>
  <c r="N112" i="8"/>
  <c r="I112" i="8"/>
  <c r="H112" i="8"/>
  <c r="D112" i="8"/>
  <c r="E112" i="8" s="1"/>
  <c r="H111" i="8"/>
  <c r="E111" i="8"/>
  <c r="D111" i="8"/>
  <c r="N110" i="8"/>
  <c r="H110" i="8"/>
  <c r="E110" i="8"/>
  <c r="I110" i="8" s="1"/>
  <c r="D110" i="8"/>
  <c r="H109" i="8"/>
  <c r="E109" i="8"/>
  <c r="D109" i="8"/>
  <c r="H108" i="8"/>
  <c r="D108" i="8"/>
  <c r="E108" i="8" s="1"/>
  <c r="N107" i="8"/>
  <c r="I107" i="8"/>
  <c r="H107" i="8"/>
  <c r="E107" i="8"/>
  <c r="D107" i="8"/>
  <c r="H106" i="8"/>
  <c r="E106" i="8"/>
  <c r="D106" i="8"/>
  <c r="I105" i="8"/>
  <c r="H105" i="8"/>
  <c r="E105" i="8"/>
  <c r="D105" i="8"/>
  <c r="H104" i="8"/>
  <c r="D104" i="8"/>
  <c r="E104" i="8" s="1"/>
  <c r="H103" i="8"/>
  <c r="D103" i="8"/>
  <c r="E103" i="8" s="1"/>
  <c r="H102" i="8"/>
  <c r="E102" i="8"/>
  <c r="D102" i="8"/>
  <c r="N101" i="8"/>
  <c r="H101" i="8"/>
  <c r="E101" i="8"/>
  <c r="I101" i="8" s="1"/>
  <c r="D101" i="8"/>
  <c r="N100" i="8"/>
  <c r="I100" i="8"/>
  <c r="H100" i="8"/>
  <c r="E100" i="8"/>
  <c r="D100" i="8"/>
  <c r="H99" i="8"/>
  <c r="E99" i="8"/>
  <c r="D99" i="8"/>
  <c r="H98" i="8"/>
  <c r="D98" i="8"/>
  <c r="E98" i="8" s="1"/>
  <c r="H97" i="8"/>
  <c r="E97" i="8"/>
  <c r="D97" i="8"/>
  <c r="N96" i="8"/>
  <c r="H96" i="8"/>
  <c r="D96" i="8"/>
  <c r="E96" i="8" s="1"/>
  <c r="I96" i="8" s="1"/>
  <c r="I95" i="8"/>
  <c r="H95" i="8"/>
  <c r="E95" i="8"/>
  <c r="N95" i="8" s="1"/>
  <c r="D95" i="8"/>
  <c r="H94" i="8"/>
  <c r="D94" i="8"/>
  <c r="E94" i="8" s="1"/>
  <c r="N93" i="8"/>
  <c r="I93" i="8"/>
  <c r="H93" i="8"/>
  <c r="E93" i="8"/>
  <c r="D93" i="8"/>
  <c r="O92" i="8"/>
  <c r="H92" i="8"/>
  <c r="E92" i="8"/>
  <c r="D92" i="8"/>
  <c r="H91" i="8"/>
  <c r="D91" i="8"/>
  <c r="E91" i="8" s="1"/>
  <c r="I90" i="8"/>
  <c r="H90" i="8"/>
  <c r="E90" i="8"/>
  <c r="D90" i="8"/>
  <c r="F89" i="8"/>
  <c r="E89" i="8"/>
  <c r="D89" i="8"/>
  <c r="N88" i="8"/>
  <c r="H88" i="8"/>
  <c r="E88" i="8"/>
  <c r="I88" i="8" s="1"/>
  <c r="D88" i="8"/>
  <c r="H87" i="8"/>
  <c r="E87" i="8"/>
  <c r="D87" i="8"/>
  <c r="F86" i="8"/>
  <c r="I86" i="8" s="1"/>
  <c r="D86" i="8"/>
  <c r="E86" i="8" s="1"/>
  <c r="N85" i="8"/>
  <c r="H85" i="8"/>
  <c r="E85" i="8"/>
  <c r="I85" i="8" s="1"/>
  <c r="D85" i="8"/>
  <c r="H84" i="8"/>
  <c r="E84" i="8"/>
  <c r="D84" i="8"/>
  <c r="L83" i="8"/>
  <c r="F83" i="8"/>
  <c r="D83" i="8"/>
  <c r="E83" i="8" s="1"/>
  <c r="I82" i="8"/>
  <c r="H82" i="8"/>
  <c r="F82" i="8"/>
  <c r="E82" i="8"/>
  <c r="D82" i="8"/>
  <c r="H81" i="8"/>
  <c r="E81" i="8"/>
  <c r="D81" i="8"/>
  <c r="F80" i="8"/>
  <c r="I80" i="8" s="1"/>
  <c r="E80" i="8"/>
  <c r="D80" i="8"/>
  <c r="N79" i="8"/>
  <c r="H79" i="8"/>
  <c r="F79" i="8"/>
  <c r="D79" i="8"/>
  <c r="E79" i="8" s="1"/>
  <c r="I79" i="8" s="1"/>
  <c r="H78" i="8"/>
  <c r="E78" i="8"/>
  <c r="D78" i="8"/>
  <c r="F77" i="8"/>
  <c r="I77" i="8" s="1"/>
  <c r="D77" i="8"/>
  <c r="E77" i="8" s="1"/>
  <c r="N76" i="8"/>
  <c r="I76" i="8"/>
  <c r="H76" i="8"/>
  <c r="E76" i="8"/>
  <c r="D76" i="8"/>
  <c r="H75" i="8"/>
  <c r="D75" i="8"/>
  <c r="E75" i="8" s="1"/>
  <c r="N74" i="8"/>
  <c r="I74" i="8"/>
  <c r="H74" i="8"/>
  <c r="E74" i="8"/>
  <c r="D74" i="8"/>
  <c r="H73" i="8"/>
  <c r="F73" i="8"/>
  <c r="I73" i="8" s="1"/>
  <c r="E73" i="8"/>
  <c r="N73" i="8" s="1"/>
  <c r="D73" i="8"/>
  <c r="F72" i="8"/>
  <c r="D72" i="8"/>
  <c r="E72" i="8" s="1"/>
  <c r="N71" i="8"/>
  <c r="I71" i="8"/>
  <c r="H71" i="8"/>
  <c r="D71" i="8"/>
  <c r="E71" i="8" s="1"/>
  <c r="F70" i="8"/>
  <c r="E70" i="8"/>
  <c r="D70" i="8"/>
  <c r="H69" i="8"/>
  <c r="F69" i="8"/>
  <c r="D69" i="8"/>
  <c r="E69" i="8" s="1"/>
  <c r="N68" i="8"/>
  <c r="I68" i="8"/>
  <c r="H68" i="8"/>
  <c r="E68" i="8"/>
  <c r="D68" i="8"/>
  <c r="H67" i="8"/>
  <c r="D67" i="8"/>
  <c r="E67" i="8" s="1"/>
  <c r="I66" i="8"/>
  <c r="H66" i="8"/>
  <c r="E66" i="8"/>
  <c r="D66" i="8"/>
  <c r="H65" i="8"/>
  <c r="D65" i="8"/>
  <c r="E65" i="8" s="1"/>
  <c r="H64" i="8"/>
  <c r="F64" i="8"/>
  <c r="D64" i="8"/>
  <c r="E64" i="8" s="1"/>
  <c r="I63" i="8"/>
  <c r="H63" i="8"/>
  <c r="F63" i="8"/>
  <c r="E63" i="8"/>
  <c r="D63" i="8"/>
  <c r="F62" i="8"/>
  <c r="H62" i="8" s="1"/>
  <c r="E62" i="8"/>
  <c r="N62" i="8" s="1"/>
  <c r="D62" i="8"/>
  <c r="N61" i="8"/>
  <c r="I61" i="8"/>
  <c r="H61" i="8"/>
  <c r="E61" i="8"/>
  <c r="D61" i="8"/>
  <c r="I60" i="8"/>
  <c r="H60" i="8"/>
  <c r="E60" i="8"/>
  <c r="D60" i="8"/>
  <c r="F59" i="8"/>
  <c r="H59" i="8" s="1"/>
  <c r="D59" i="8"/>
  <c r="E59" i="8" s="1"/>
  <c r="N59" i="8" s="1"/>
  <c r="N58" i="8"/>
  <c r="I58" i="8"/>
  <c r="H58" i="8"/>
  <c r="E58" i="8"/>
  <c r="D58" i="8"/>
  <c r="F57" i="8"/>
  <c r="I57" i="8" s="1"/>
  <c r="E57" i="8"/>
  <c r="D57" i="8"/>
  <c r="F56" i="8"/>
  <c r="D56" i="8"/>
  <c r="E56" i="8" s="1"/>
  <c r="N55" i="8"/>
  <c r="I55" i="8"/>
  <c r="H55" i="8"/>
  <c r="D55" i="8"/>
  <c r="E55" i="8" s="1"/>
  <c r="F54" i="8"/>
  <c r="E54" i="8"/>
  <c r="D54" i="8"/>
  <c r="H53" i="8"/>
  <c r="F53" i="8"/>
  <c r="D53" i="8"/>
  <c r="E53" i="8" s="1"/>
  <c r="N52" i="8"/>
  <c r="I52" i="8"/>
  <c r="F52" i="8"/>
  <c r="H52" i="8" s="1"/>
  <c r="E52" i="8"/>
  <c r="D52" i="8"/>
  <c r="F51" i="8"/>
  <c r="D51" i="8"/>
  <c r="E51" i="8" s="1"/>
  <c r="H50" i="8"/>
  <c r="D50" i="8"/>
  <c r="E50" i="8" s="1"/>
  <c r="H49" i="8"/>
  <c r="E49" i="8"/>
  <c r="D49" i="8"/>
  <c r="F48" i="8"/>
  <c r="I48" i="8" s="1"/>
  <c r="D48" i="8"/>
  <c r="E48" i="8" s="1"/>
  <c r="N47" i="8"/>
  <c r="I47" i="8"/>
  <c r="H47" i="8"/>
  <c r="F47" i="8"/>
  <c r="E47" i="8"/>
  <c r="D47" i="8"/>
  <c r="F46" i="8"/>
  <c r="E46" i="8"/>
  <c r="D46" i="8"/>
  <c r="H45" i="8"/>
  <c r="D45" i="8"/>
  <c r="E45" i="8" s="1"/>
  <c r="N44" i="8"/>
  <c r="I44" i="8"/>
  <c r="H44" i="8"/>
  <c r="F44" i="8"/>
  <c r="E44" i="8"/>
  <c r="D44" i="8"/>
  <c r="H43" i="8"/>
  <c r="F43" i="8"/>
  <c r="I43" i="8" s="1"/>
  <c r="E43" i="8"/>
  <c r="N43" i="8" s="1"/>
  <c r="D43" i="8"/>
  <c r="F42" i="8"/>
  <c r="D42" i="8"/>
  <c r="E42" i="8" s="1"/>
  <c r="N41" i="8"/>
  <c r="I41" i="8"/>
  <c r="H41" i="8"/>
  <c r="D41" i="8"/>
  <c r="E41" i="8" s="1"/>
  <c r="F40" i="8"/>
  <c r="E40" i="8"/>
  <c r="D40" i="8"/>
  <c r="H39" i="8"/>
  <c r="F39" i="8"/>
  <c r="D39" i="8"/>
  <c r="E39" i="8" s="1"/>
  <c r="N38" i="8"/>
  <c r="I38" i="8"/>
  <c r="H38" i="8"/>
  <c r="E38" i="8"/>
  <c r="D38" i="8"/>
  <c r="F37" i="8"/>
  <c r="E37" i="8"/>
  <c r="D37" i="8"/>
  <c r="F36" i="8"/>
  <c r="I36" i="8" s="1"/>
  <c r="E36" i="8"/>
  <c r="N35" i="8"/>
  <c r="I35" i="8"/>
  <c r="H35" i="8"/>
  <c r="E35" i="8"/>
  <c r="D35" i="8"/>
  <c r="F34" i="8"/>
  <c r="E34" i="8"/>
  <c r="D34" i="8"/>
  <c r="F33" i="8"/>
  <c r="D33" i="8"/>
  <c r="E33" i="8" s="1"/>
  <c r="N32" i="8"/>
  <c r="H32" i="8"/>
  <c r="F32" i="8"/>
  <c r="I32" i="8" s="1"/>
  <c r="E32" i="8"/>
  <c r="D32" i="8"/>
  <c r="H31" i="8"/>
  <c r="F31" i="8"/>
  <c r="E31" i="8"/>
  <c r="N31" i="8" s="1"/>
  <c r="D31" i="8"/>
  <c r="H30" i="8"/>
  <c r="D30" i="8"/>
  <c r="E30" i="8" s="1"/>
  <c r="I29" i="8"/>
  <c r="H29" i="8"/>
  <c r="E29" i="8"/>
  <c r="D29" i="8"/>
  <c r="I28" i="8"/>
  <c r="H28" i="8"/>
  <c r="N28" i="8" s="1"/>
  <c r="E28" i="8"/>
  <c r="L27" i="8"/>
  <c r="I27" i="8" s="1"/>
  <c r="F27" i="8"/>
  <c r="D27" i="8"/>
  <c r="E27" i="8" s="1"/>
  <c r="I26" i="8"/>
  <c r="H26" i="8"/>
  <c r="E26" i="8"/>
  <c r="D26" i="8"/>
  <c r="H25" i="8"/>
  <c r="F25" i="8"/>
  <c r="E25" i="8"/>
  <c r="D25" i="8"/>
  <c r="N24" i="8"/>
  <c r="I24" i="8"/>
  <c r="H24" i="8"/>
  <c r="F24" i="8"/>
  <c r="E24" i="8"/>
  <c r="D24" i="8"/>
  <c r="T23" i="8"/>
  <c r="S23" i="8"/>
  <c r="R23" i="8"/>
  <c r="Q23" i="8"/>
  <c r="H23" i="8"/>
  <c r="F23" i="8"/>
  <c r="D23" i="8"/>
  <c r="E23" i="8" s="1"/>
  <c r="T22" i="8"/>
  <c r="S22" i="8"/>
  <c r="R22" i="8"/>
  <c r="Q22" i="8"/>
  <c r="F22" i="8"/>
  <c r="E22" i="8"/>
  <c r="D22" i="8"/>
  <c r="P21" i="8"/>
  <c r="I21" i="8"/>
  <c r="H21" i="8"/>
  <c r="E21" i="8"/>
  <c r="N21" i="8" s="1"/>
  <c r="D21" i="8"/>
  <c r="P20" i="8"/>
  <c r="N20" i="8"/>
  <c r="I20" i="8"/>
  <c r="H20" i="8"/>
  <c r="F20" i="8"/>
  <c r="D20" i="8"/>
  <c r="E20" i="8" s="1"/>
  <c r="P19" i="8"/>
  <c r="H19" i="8"/>
  <c r="F19" i="8"/>
  <c r="D19" i="8"/>
  <c r="E19" i="8" s="1"/>
  <c r="N19" i="8" s="1"/>
  <c r="P18" i="8"/>
  <c r="H18" i="8"/>
  <c r="D18" i="8"/>
  <c r="E18" i="8" s="1"/>
  <c r="P17" i="8"/>
  <c r="F17" i="8"/>
  <c r="D17" i="8"/>
  <c r="E17" i="8" s="1"/>
  <c r="P16" i="8"/>
  <c r="F16" i="8"/>
  <c r="E16" i="8"/>
  <c r="D16" i="8"/>
  <c r="P15" i="8"/>
  <c r="I15" i="8"/>
  <c r="H15" i="8"/>
  <c r="F15" i="8"/>
  <c r="E15" i="8"/>
  <c r="D15" i="8"/>
  <c r="P14" i="8"/>
  <c r="H14" i="8"/>
  <c r="F14" i="8"/>
  <c r="D14" i="8"/>
  <c r="E14" i="8" s="1"/>
  <c r="I14" i="8" s="1"/>
  <c r="P13" i="8"/>
  <c r="F13" i="8"/>
  <c r="I13" i="8" s="1"/>
  <c r="D13" i="8"/>
  <c r="E13" i="8" s="1"/>
  <c r="P12" i="8"/>
  <c r="H12" i="8"/>
  <c r="D12" i="8"/>
  <c r="E12" i="8" s="1"/>
  <c r="P11" i="8"/>
  <c r="H11" i="8"/>
  <c r="F11" i="8"/>
  <c r="E11" i="8"/>
  <c r="D11" i="8"/>
  <c r="P10" i="8"/>
  <c r="I10" i="8"/>
  <c r="H10" i="8"/>
  <c r="F10" i="8"/>
  <c r="E10" i="8"/>
  <c r="D10" i="8"/>
  <c r="P9" i="8"/>
  <c r="N9" i="8"/>
  <c r="I9" i="8"/>
  <c r="H9" i="8"/>
  <c r="F9" i="8"/>
  <c r="E9" i="8"/>
  <c r="D9" i="8"/>
  <c r="P8" i="8"/>
  <c r="F8" i="8"/>
  <c r="H8" i="8" s="1"/>
  <c r="D8" i="8"/>
  <c r="E8" i="8" s="1"/>
  <c r="N8" i="8" s="1"/>
  <c r="P7" i="8"/>
  <c r="I7" i="8"/>
  <c r="H7" i="8"/>
  <c r="F7" i="8"/>
  <c r="E7" i="8"/>
  <c r="N7" i="8" s="1"/>
  <c r="D7" i="8"/>
  <c r="P6" i="8"/>
  <c r="N6" i="8"/>
  <c r="I6" i="8"/>
  <c r="H6" i="8"/>
  <c r="F6" i="8"/>
  <c r="D6" i="8"/>
  <c r="E6" i="8" s="1"/>
  <c r="P5" i="8"/>
  <c r="H5" i="8"/>
  <c r="F5" i="8"/>
  <c r="D5" i="8"/>
  <c r="E5" i="8" s="1"/>
  <c r="N5" i="8" s="1"/>
  <c r="P4" i="8"/>
  <c r="R4" i="8" s="1"/>
  <c r="S4" i="8" s="1"/>
  <c r="F4" i="8"/>
  <c r="E4" i="8"/>
  <c r="D4" i="8"/>
  <c r="P3" i="8"/>
  <c r="O3" i="8"/>
  <c r="I3" i="8"/>
  <c r="F3" i="8"/>
  <c r="H3" i="8" s="1"/>
  <c r="E3" i="8"/>
  <c r="D3" i="8"/>
  <c r="P2" i="8"/>
  <c r="N2" i="8"/>
  <c r="I2" i="8"/>
  <c r="H2" i="8"/>
  <c r="E2" i="8"/>
  <c r="D2" i="8"/>
  <c r="H206" i="7"/>
  <c r="E206" i="7"/>
  <c r="D206" i="7"/>
  <c r="H205" i="7"/>
  <c r="D205" i="7"/>
  <c r="E205" i="7" s="1"/>
  <c r="I204" i="7"/>
  <c r="H204" i="7"/>
  <c r="E204" i="7"/>
  <c r="D204" i="7"/>
  <c r="H203" i="7"/>
  <c r="D203" i="7"/>
  <c r="E203" i="7" s="1"/>
  <c r="N203" i="7" s="1"/>
  <c r="I202" i="7"/>
  <c r="H202" i="7"/>
  <c r="N202" i="7" s="1"/>
  <c r="E202" i="7"/>
  <c r="D202" i="7"/>
  <c r="H201" i="7"/>
  <c r="D201" i="7"/>
  <c r="E201" i="7" s="1"/>
  <c r="N200" i="7"/>
  <c r="I200" i="7"/>
  <c r="H200" i="7"/>
  <c r="E200" i="7"/>
  <c r="D200" i="7"/>
  <c r="H199" i="7"/>
  <c r="D199" i="7"/>
  <c r="E199" i="7" s="1"/>
  <c r="H198" i="7"/>
  <c r="D198" i="7"/>
  <c r="E198" i="7" s="1"/>
  <c r="I197" i="7"/>
  <c r="H197" i="7"/>
  <c r="N197" i="7" s="1"/>
  <c r="E197" i="7"/>
  <c r="D197" i="7"/>
  <c r="H196" i="7"/>
  <c r="D196" i="7"/>
  <c r="E196" i="7" s="1"/>
  <c r="N195" i="7"/>
  <c r="I195" i="7"/>
  <c r="H195" i="7"/>
  <c r="D195" i="7"/>
  <c r="E195" i="7" s="1"/>
  <c r="H194" i="7"/>
  <c r="D194" i="7"/>
  <c r="E194" i="7" s="1"/>
  <c r="N193" i="7"/>
  <c r="H193" i="7"/>
  <c r="E193" i="7"/>
  <c r="I193" i="7" s="1"/>
  <c r="D193" i="7"/>
  <c r="H192" i="7"/>
  <c r="E192" i="7"/>
  <c r="D192" i="7"/>
  <c r="H191" i="7"/>
  <c r="D191" i="7"/>
  <c r="E191" i="7" s="1"/>
  <c r="N190" i="7"/>
  <c r="I190" i="7"/>
  <c r="H190" i="7"/>
  <c r="E190" i="7"/>
  <c r="D190" i="7"/>
  <c r="H189" i="7"/>
  <c r="E189" i="7"/>
  <c r="D189" i="7"/>
  <c r="I188" i="7"/>
  <c r="H188" i="7"/>
  <c r="E188" i="7"/>
  <c r="D188" i="7"/>
  <c r="H187" i="7"/>
  <c r="D187" i="7"/>
  <c r="E187" i="7" s="1"/>
  <c r="N186" i="7"/>
  <c r="H186" i="7"/>
  <c r="D186" i="7"/>
  <c r="E186" i="7" s="1"/>
  <c r="I186" i="7" s="1"/>
  <c r="H185" i="7"/>
  <c r="D185" i="7"/>
  <c r="E185" i="7" s="1"/>
  <c r="N184" i="7"/>
  <c r="H184" i="7"/>
  <c r="E184" i="7"/>
  <c r="I184" i="7" s="1"/>
  <c r="D184" i="7"/>
  <c r="I183" i="7"/>
  <c r="H183" i="7"/>
  <c r="N183" i="7" s="1"/>
  <c r="E183" i="7"/>
  <c r="D183" i="7"/>
  <c r="H182" i="7"/>
  <c r="E182" i="7"/>
  <c r="D182" i="7"/>
  <c r="H181" i="7"/>
  <c r="D181" i="7"/>
  <c r="E181" i="7" s="1"/>
  <c r="I181" i="7" s="1"/>
  <c r="H180" i="7"/>
  <c r="D180" i="7"/>
  <c r="E180" i="7" s="1"/>
  <c r="N179" i="7"/>
  <c r="H179" i="7"/>
  <c r="D179" i="7"/>
  <c r="E179" i="7" s="1"/>
  <c r="I179" i="7" s="1"/>
  <c r="H178" i="7"/>
  <c r="E178" i="7"/>
  <c r="N178" i="7" s="1"/>
  <c r="D178" i="7"/>
  <c r="H177" i="7"/>
  <c r="D177" i="7"/>
  <c r="E177" i="7" s="1"/>
  <c r="N176" i="7"/>
  <c r="I176" i="7"/>
  <c r="H176" i="7"/>
  <c r="E176" i="7"/>
  <c r="D176" i="7"/>
  <c r="H175" i="7"/>
  <c r="D175" i="7"/>
  <c r="E175" i="7" s="1"/>
  <c r="N174" i="7"/>
  <c r="H174" i="7"/>
  <c r="D174" i="7"/>
  <c r="E174" i="7" s="1"/>
  <c r="I174" i="7" s="1"/>
  <c r="I173" i="7"/>
  <c r="H173" i="7"/>
  <c r="E173" i="7"/>
  <c r="D173" i="7"/>
  <c r="H172" i="7"/>
  <c r="D172" i="7"/>
  <c r="E172" i="7" s="1"/>
  <c r="I171" i="7"/>
  <c r="H171" i="7"/>
  <c r="N171" i="7" s="1"/>
  <c r="D171" i="7"/>
  <c r="E171" i="7" s="1"/>
  <c r="H170" i="7"/>
  <c r="D170" i="7"/>
  <c r="E170" i="7" s="1"/>
  <c r="N169" i="7"/>
  <c r="H169" i="7"/>
  <c r="E169" i="7"/>
  <c r="I169" i="7" s="1"/>
  <c r="D169" i="7"/>
  <c r="H168" i="7"/>
  <c r="E168" i="7"/>
  <c r="D168" i="7"/>
  <c r="H167" i="7"/>
  <c r="D167" i="7"/>
  <c r="E167" i="7" s="1"/>
  <c r="I167" i="7" s="1"/>
  <c r="H166" i="7"/>
  <c r="E166" i="7"/>
  <c r="N166" i="7" s="1"/>
  <c r="D166" i="7"/>
  <c r="H165" i="7"/>
  <c r="D165" i="7"/>
  <c r="E165" i="7" s="1"/>
  <c r="I164" i="7"/>
  <c r="H164" i="7"/>
  <c r="E164" i="7"/>
  <c r="D164" i="7"/>
  <c r="H163" i="7"/>
  <c r="D163" i="7"/>
  <c r="E163" i="7" s="1"/>
  <c r="N162" i="7"/>
  <c r="I162" i="7"/>
  <c r="H162" i="7"/>
  <c r="E162" i="7"/>
  <c r="D162" i="7"/>
  <c r="H161" i="7"/>
  <c r="D161" i="7"/>
  <c r="E161" i="7" s="1"/>
  <c r="N160" i="7"/>
  <c r="I160" i="7"/>
  <c r="H160" i="7"/>
  <c r="E160" i="7"/>
  <c r="D160" i="7"/>
  <c r="H159" i="7"/>
  <c r="E159" i="7"/>
  <c r="N159" i="7" s="1"/>
  <c r="D159" i="7"/>
  <c r="H158" i="7"/>
  <c r="D158" i="7"/>
  <c r="E158" i="7" s="1"/>
  <c r="N157" i="7"/>
  <c r="I157" i="7"/>
  <c r="H157" i="7"/>
  <c r="E157" i="7"/>
  <c r="D157" i="7"/>
  <c r="H156" i="7"/>
  <c r="D156" i="7"/>
  <c r="E156" i="7" s="1"/>
  <c r="N155" i="7"/>
  <c r="I155" i="7"/>
  <c r="H155" i="7"/>
  <c r="D155" i="7"/>
  <c r="E155" i="7" s="1"/>
  <c r="H154" i="7"/>
  <c r="D154" i="7"/>
  <c r="E154" i="7" s="1"/>
  <c r="H153" i="7"/>
  <c r="D153" i="7"/>
  <c r="E153" i="7" s="1"/>
  <c r="H152" i="7"/>
  <c r="E152" i="7"/>
  <c r="N152" i="7" s="1"/>
  <c r="D152" i="7"/>
  <c r="H151" i="7"/>
  <c r="D151" i="7"/>
  <c r="E151" i="7" s="1"/>
  <c r="N150" i="7"/>
  <c r="I150" i="7"/>
  <c r="H150" i="7"/>
  <c r="E150" i="7"/>
  <c r="D150" i="7"/>
  <c r="H149" i="7"/>
  <c r="D149" i="7"/>
  <c r="E149" i="7" s="1"/>
  <c r="H148" i="7"/>
  <c r="D148" i="7"/>
  <c r="E148" i="7" s="1"/>
  <c r="H147" i="7"/>
  <c r="D147" i="7"/>
  <c r="E147" i="7" s="1"/>
  <c r="N147" i="7" s="1"/>
  <c r="H146" i="7"/>
  <c r="D146" i="7"/>
  <c r="E146" i="7" s="1"/>
  <c r="H145" i="7"/>
  <c r="E145" i="7"/>
  <c r="I145" i="7" s="1"/>
  <c r="D145" i="7"/>
  <c r="H144" i="7"/>
  <c r="E144" i="7"/>
  <c r="N144" i="7" s="1"/>
  <c r="D144" i="7"/>
  <c r="N143" i="7"/>
  <c r="I143" i="7"/>
  <c r="H143" i="7"/>
  <c r="E143" i="7"/>
  <c r="D143" i="7"/>
  <c r="H142" i="7"/>
  <c r="D142" i="7"/>
  <c r="E142" i="7" s="1"/>
  <c r="H141" i="7"/>
  <c r="D141" i="7"/>
  <c r="E141" i="7" s="1"/>
  <c r="I140" i="7"/>
  <c r="H140" i="7"/>
  <c r="E140" i="7"/>
  <c r="D140" i="7"/>
  <c r="H139" i="7"/>
  <c r="D139" i="7"/>
  <c r="E139" i="7" s="1"/>
  <c r="N139" i="7" s="1"/>
  <c r="I138" i="7"/>
  <c r="H138" i="7"/>
  <c r="N138" i="7" s="1"/>
  <c r="E138" i="7"/>
  <c r="D138" i="7"/>
  <c r="H137" i="7"/>
  <c r="D137" i="7"/>
  <c r="E137" i="7" s="1"/>
  <c r="N136" i="7"/>
  <c r="I136" i="7"/>
  <c r="H136" i="7"/>
  <c r="E136" i="7"/>
  <c r="D136" i="7"/>
  <c r="H135" i="7"/>
  <c r="D135" i="7"/>
  <c r="E135" i="7" s="1"/>
  <c r="H134" i="7"/>
  <c r="D134" i="7"/>
  <c r="E134" i="7" s="1"/>
  <c r="I133" i="7"/>
  <c r="H133" i="7"/>
  <c r="N133" i="7" s="1"/>
  <c r="E133" i="7"/>
  <c r="D133" i="7"/>
  <c r="H132" i="7"/>
  <c r="D132" i="7"/>
  <c r="E132" i="7" s="1"/>
  <c r="N131" i="7"/>
  <c r="I131" i="7"/>
  <c r="H131" i="7"/>
  <c r="D131" i="7"/>
  <c r="E131" i="7" s="1"/>
  <c r="O130" i="7"/>
  <c r="H130" i="7"/>
  <c r="D130" i="7"/>
  <c r="E130" i="7" s="1"/>
  <c r="H129" i="7"/>
  <c r="D129" i="7"/>
  <c r="E129" i="7" s="1"/>
  <c r="I128" i="7"/>
  <c r="H128" i="7"/>
  <c r="D128" i="7"/>
  <c r="E128" i="7" s="1"/>
  <c r="H127" i="7"/>
  <c r="D127" i="7"/>
  <c r="E127" i="7" s="1"/>
  <c r="N126" i="7"/>
  <c r="H126" i="7"/>
  <c r="E126" i="7"/>
  <c r="I126" i="7" s="1"/>
  <c r="D126" i="7"/>
  <c r="H125" i="7"/>
  <c r="E125" i="7"/>
  <c r="N125" i="7" s="1"/>
  <c r="D125" i="7"/>
  <c r="N124" i="7"/>
  <c r="I124" i="7"/>
  <c r="H124" i="7"/>
  <c r="E124" i="7"/>
  <c r="D124" i="7"/>
  <c r="H123" i="7"/>
  <c r="D123" i="7"/>
  <c r="E123" i="7" s="1"/>
  <c r="H122" i="7"/>
  <c r="D122" i="7"/>
  <c r="E122" i="7" s="1"/>
  <c r="H121" i="7"/>
  <c r="E121" i="7"/>
  <c r="N121" i="7" s="1"/>
  <c r="D121" i="7"/>
  <c r="H120" i="7"/>
  <c r="D120" i="7"/>
  <c r="E120" i="7" s="1"/>
  <c r="N120" i="7" s="1"/>
  <c r="N119" i="7"/>
  <c r="I119" i="7"/>
  <c r="H119" i="7"/>
  <c r="E119" i="7"/>
  <c r="D119" i="7"/>
  <c r="H118" i="7"/>
  <c r="D118" i="7"/>
  <c r="E118" i="7" s="1"/>
  <c r="N117" i="7"/>
  <c r="I117" i="7"/>
  <c r="H117" i="7"/>
  <c r="E117" i="7"/>
  <c r="D117" i="7"/>
  <c r="O116" i="7"/>
  <c r="I116" i="7"/>
  <c r="H116" i="7"/>
  <c r="E116" i="7"/>
  <c r="N116" i="7" s="1"/>
  <c r="D116" i="7"/>
  <c r="H115" i="7"/>
  <c r="D115" i="7"/>
  <c r="E115" i="7" s="1"/>
  <c r="I114" i="7"/>
  <c r="H114" i="7"/>
  <c r="N114" i="7" s="1"/>
  <c r="E114" i="7"/>
  <c r="D114" i="7"/>
  <c r="H113" i="7"/>
  <c r="E113" i="7"/>
  <c r="D113" i="7"/>
  <c r="H112" i="7"/>
  <c r="D112" i="7"/>
  <c r="E112" i="7" s="1"/>
  <c r="I112" i="7" s="1"/>
  <c r="H111" i="7"/>
  <c r="E111" i="7"/>
  <c r="N111" i="7" s="1"/>
  <c r="D111" i="7"/>
  <c r="H110" i="7"/>
  <c r="D110" i="7"/>
  <c r="E110" i="7" s="1"/>
  <c r="N109" i="7"/>
  <c r="I109" i="7"/>
  <c r="H109" i="7"/>
  <c r="F109" i="7"/>
  <c r="E109" i="7"/>
  <c r="D109" i="7"/>
  <c r="F108" i="7"/>
  <c r="E108" i="7"/>
  <c r="D108" i="7"/>
  <c r="H107" i="7"/>
  <c r="D107" i="7"/>
  <c r="E107" i="7" s="1"/>
  <c r="O106" i="7"/>
  <c r="H106" i="7"/>
  <c r="F106" i="7"/>
  <c r="D106" i="7"/>
  <c r="E106" i="7" s="1"/>
  <c r="N106" i="7" s="1"/>
  <c r="I105" i="7"/>
  <c r="H105" i="7"/>
  <c r="F105" i="7"/>
  <c r="E105" i="7"/>
  <c r="N105" i="7" s="1"/>
  <c r="D105" i="7"/>
  <c r="F104" i="7"/>
  <c r="E104" i="7"/>
  <c r="D104" i="7"/>
  <c r="F103" i="7"/>
  <c r="I103" i="7" s="1"/>
  <c r="D103" i="7"/>
  <c r="E103" i="7" s="1"/>
  <c r="H102" i="7"/>
  <c r="N102" i="7" s="1"/>
  <c r="E102" i="7"/>
  <c r="I102" i="7" s="1"/>
  <c r="D102" i="7"/>
  <c r="H101" i="7"/>
  <c r="E101" i="7"/>
  <c r="D101" i="7"/>
  <c r="H100" i="7"/>
  <c r="F100" i="7"/>
  <c r="D100" i="7"/>
  <c r="E100" i="7" s="1"/>
  <c r="I100" i="7" s="1"/>
  <c r="F99" i="7"/>
  <c r="I99" i="7" s="1"/>
  <c r="E99" i="7"/>
  <c r="D99" i="7"/>
  <c r="H98" i="7"/>
  <c r="D98" i="7"/>
  <c r="E98" i="7" s="1"/>
  <c r="L97" i="7"/>
  <c r="F97" i="7"/>
  <c r="E97" i="7"/>
  <c r="D97" i="7"/>
  <c r="I96" i="7"/>
  <c r="H96" i="7"/>
  <c r="N96" i="7" s="1"/>
  <c r="E96" i="7"/>
  <c r="D96" i="7"/>
  <c r="F95" i="7"/>
  <c r="H95" i="7" s="1"/>
  <c r="E95" i="7"/>
  <c r="N95" i="7" s="1"/>
  <c r="D95" i="7"/>
  <c r="N94" i="7"/>
  <c r="I94" i="7"/>
  <c r="H94" i="7"/>
  <c r="F94" i="7"/>
  <c r="D94" i="7"/>
  <c r="E94" i="7" s="1"/>
  <c r="H93" i="7"/>
  <c r="F93" i="7"/>
  <c r="I93" i="7" s="1"/>
  <c r="E93" i="7"/>
  <c r="D93" i="7"/>
  <c r="F92" i="7"/>
  <c r="I92" i="7" s="1"/>
  <c r="E92" i="7"/>
  <c r="D92" i="7"/>
  <c r="H91" i="7"/>
  <c r="D91" i="7"/>
  <c r="E91" i="7" s="1"/>
  <c r="H90" i="7"/>
  <c r="E90" i="7"/>
  <c r="N90" i="7" s="1"/>
  <c r="D90" i="7"/>
  <c r="F89" i="7"/>
  <c r="D89" i="7"/>
  <c r="E89" i="7" s="1"/>
  <c r="N88" i="7"/>
  <c r="I88" i="7"/>
  <c r="H88" i="7"/>
  <c r="E88" i="7"/>
  <c r="D88" i="7"/>
  <c r="H87" i="7"/>
  <c r="F87" i="7"/>
  <c r="E87" i="7"/>
  <c r="D87" i="7"/>
  <c r="H86" i="7"/>
  <c r="D86" i="7"/>
  <c r="E86" i="7" s="1"/>
  <c r="N85" i="7"/>
  <c r="I85" i="7"/>
  <c r="F85" i="7"/>
  <c r="H85" i="7" s="1"/>
  <c r="E85" i="7"/>
  <c r="D85" i="7"/>
  <c r="H84" i="7"/>
  <c r="F84" i="7"/>
  <c r="I84" i="7" s="1"/>
  <c r="D84" i="7"/>
  <c r="E84" i="7" s="1"/>
  <c r="F83" i="7"/>
  <c r="D83" i="7"/>
  <c r="E83" i="7" s="1"/>
  <c r="I82" i="7"/>
  <c r="H82" i="7"/>
  <c r="F82" i="7"/>
  <c r="E82" i="7"/>
  <c r="D82" i="7"/>
  <c r="F81" i="7"/>
  <c r="D81" i="7"/>
  <c r="E81" i="7" s="1"/>
  <c r="F80" i="7"/>
  <c r="I80" i="7" s="1"/>
  <c r="D80" i="7"/>
  <c r="E80" i="7" s="1"/>
  <c r="I79" i="7"/>
  <c r="H79" i="7"/>
  <c r="N79" i="7" s="1"/>
  <c r="E79" i="7"/>
  <c r="D79" i="7"/>
  <c r="F78" i="7"/>
  <c r="E78" i="7"/>
  <c r="D78" i="7"/>
  <c r="N77" i="7"/>
  <c r="H77" i="7"/>
  <c r="F77" i="7"/>
  <c r="D77" i="7"/>
  <c r="E77" i="7" s="1"/>
  <c r="I77" i="7" s="1"/>
  <c r="I76" i="7"/>
  <c r="H76" i="7"/>
  <c r="N76" i="7" s="1"/>
  <c r="F76" i="7"/>
  <c r="E76" i="7"/>
  <c r="D76" i="7"/>
  <c r="H75" i="7"/>
  <c r="D75" i="7"/>
  <c r="E75" i="7" s="1"/>
  <c r="F74" i="7"/>
  <c r="H74" i="7" s="1"/>
  <c r="D74" i="7"/>
  <c r="E74" i="7" s="1"/>
  <c r="I73" i="7"/>
  <c r="H73" i="7"/>
  <c r="N73" i="7" s="1"/>
  <c r="F73" i="7"/>
  <c r="D73" i="7"/>
  <c r="E73" i="7" s="1"/>
  <c r="H72" i="7"/>
  <c r="E72" i="7"/>
  <c r="D72" i="7"/>
  <c r="H71" i="7"/>
  <c r="F71" i="7"/>
  <c r="D71" i="7"/>
  <c r="E71" i="7" s="1"/>
  <c r="N71" i="7" s="1"/>
  <c r="I70" i="7"/>
  <c r="H70" i="7"/>
  <c r="F70" i="7"/>
  <c r="E70" i="7"/>
  <c r="N70" i="7" s="1"/>
  <c r="D70" i="7"/>
  <c r="F69" i="7"/>
  <c r="E69" i="7"/>
  <c r="D69" i="7"/>
  <c r="F68" i="7"/>
  <c r="D68" i="7"/>
  <c r="E68" i="7" s="1"/>
  <c r="N67" i="7"/>
  <c r="H67" i="7"/>
  <c r="F67" i="7"/>
  <c r="I67" i="7" s="1"/>
  <c r="E67" i="7"/>
  <c r="D67" i="7"/>
  <c r="H66" i="7"/>
  <c r="F66" i="7"/>
  <c r="E66" i="7"/>
  <c r="D66" i="7"/>
  <c r="F65" i="7"/>
  <c r="I65" i="7" s="1"/>
  <c r="E65" i="7"/>
  <c r="D65" i="7"/>
  <c r="N64" i="7"/>
  <c r="H64" i="7"/>
  <c r="F64" i="7"/>
  <c r="D64" i="7"/>
  <c r="E64" i="7" s="1"/>
  <c r="I64" i="7" s="1"/>
  <c r="N63" i="7"/>
  <c r="H63" i="7"/>
  <c r="E63" i="7"/>
  <c r="I63" i="7" s="1"/>
  <c r="D63" i="7"/>
  <c r="F62" i="7"/>
  <c r="I62" i="7" s="1"/>
  <c r="D62" i="7"/>
  <c r="E62" i="7" s="1"/>
  <c r="N61" i="7"/>
  <c r="I61" i="7"/>
  <c r="H61" i="7"/>
  <c r="F61" i="7"/>
  <c r="D61" i="7"/>
  <c r="E61" i="7" s="1"/>
  <c r="F60" i="7"/>
  <c r="I60" i="7" s="1"/>
  <c r="E60" i="7"/>
  <c r="D60" i="7"/>
  <c r="F59" i="7"/>
  <c r="H59" i="7" s="1"/>
  <c r="D59" i="7"/>
  <c r="E59" i="7" s="1"/>
  <c r="N59" i="7" s="1"/>
  <c r="N58" i="7"/>
  <c r="I58" i="7"/>
  <c r="H58" i="7"/>
  <c r="F58" i="7"/>
  <c r="D58" i="7"/>
  <c r="E58" i="7" s="1"/>
  <c r="F57" i="7"/>
  <c r="H57" i="7" s="1"/>
  <c r="E57" i="7"/>
  <c r="D57" i="7"/>
  <c r="F56" i="7"/>
  <c r="D56" i="7"/>
  <c r="E56" i="7" s="1"/>
  <c r="N55" i="7"/>
  <c r="I55" i="7"/>
  <c r="F55" i="7"/>
  <c r="H55" i="7" s="1"/>
  <c r="E55" i="7"/>
  <c r="D55" i="7"/>
  <c r="H54" i="7"/>
  <c r="F54" i="7"/>
  <c r="D54" i="7"/>
  <c r="E54" i="7" s="1"/>
  <c r="H53" i="7"/>
  <c r="D53" i="7"/>
  <c r="E53" i="7" s="1"/>
  <c r="F52" i="7"/>
  <c r="I52" i="7" s="1"/>
  <c r="E52" i="7"/>
  <c r="D52" i="7"/>
  <c r="H51" i="7"/>
  <c r="F51" i="7"/>
  <c r="E51" i="7"/>
  <c r="D51" i="7"/>
  <c r="F50" i="7"/>
  <c r="I50" i="7" s="1"/>
  <c r="E50" i="7"/>
  <c r="D50" i="7"/>
  <c r="I49" i="7"/>
  <c r="H49" i="7"/>
  <c r="F49" i="7"/>
  <c r="D49" i="7"/>
  <c r="E49" i="7" s="1"/>
  <c r="N49" i="7" s="1"/>
  <c r="H48" i="7"/>
  <c r="D48" i="7"/>
  <c r="E48" i="7" s="1"/>
  <c r="F47" i="7"/>
  <c r="I47" i="7" s="1"/>
  <c r="D47" i="7"/>
  <c r="E47" i="7" s="1"/>
  <c r="N46" i="7"/>
  <c r="I46" i="7"/>
  <c r="H46" i="7"/>
  <c r="E46" i="7"/>
  <c r="D46" i="7"/>
  <c r="H45" i="7"/>
  <c r="D45" i="7"/>
  <c r="E45" i="7" s="1"/>
  <c r="N44" i="7"/>
  <c r="I44" i="7"/>
  <c r="H44" i="7"/>
  <c r="F44" i="7"/>
  <c r="D44" i="7"/>
  <c r="E44" i="7" s="1"/>
  <c r="F43" i="7"/>
  <c r="I43" i="7" s="1"/>
  <c r="E43" i="7"/>
  <c r="D43" i="7"/>
  <c r="F42" i="7"/>
  <c r="I42" i="7" s="1"/>
  <c r="D42" i="7"/>
  <c r="E42" i="7" s="1"/>
  <c r="N41" i="7"/>
  <c r="I41" i="7"/>
  <c r="F41" i="7"/>
  <c r="H41" i="7" s="1"/>
  <c r="E41" i="7"/>
  <c r="D41" i="7"/>
  <c r="F40" i="7"/>
  <c r="I40" i="7" s="1"/>
  <c r="D40" i="7"/>
  <c r="E40" i="7" s="1"/>
  <c r="F39" i="7"/>
  <c r="D39" i="7"/>
  <c r="E39" i="7" s="1"/>
  <c r="I38" i="7"/>
  <c r="H38" i="7"/>
  <c r="F38" i="7"/>
  <c r="E38" i="7"/>
  <c r="D38" i="7"/>
  <c r="F37" i="7"/>
  <c r="D37" i="7"/>
  <c r="E37" i="7" s="1"/>
  <c r="F36" i="7"/>
  <c r="I36" i="7" s="1"/>
  <c r="D36" i="7"/>
  <c r="E36" i="7" s="1"/>
  <c r="I35" i="7"/>
  <c r="H35" i="7"/>
  <c r="N35" i="7" s="1"/>
  <c r="F35" i="7"/>
  <c r="E35" i="7"/>
  <c r="D35" i="7"/>
  <c r="F34" i="7"/>
  <c r="E34" i="7"/>
  <c r="D34" i="7"/>
  <c r="H33" i="7"/>
  <c r="D33" i="7"/>
  <c r="E33" i="7" s="1"/>
  <c r="N32" i="7"/>
  <c r="I32" i="7"/>
  <c r="H32" i="7"/>
  <c r="E32" i="7"/>
  <c r="D32" i="7"/>
  <c r="H31" i="7"/>
  <c r="D31" i="7"/>
  <c r="E31" i="7" s="1"/>
  <c r="N30" i="7"/>
  <c r="I30" i="7"/>
  <c r="H30" i="7"/>
  <c r="F30" i="7"/>
  <c r="D30" i="7"/>
  <c r="E30" i="7" s="1"/>
  <c r="I29" i="7"/>
  <c r="H29" i="7"/>
  <c r="E29" i="7"/>
  <c r="N29" i="7" s="1"/>
  <c r="D29" i="7"/>
  <c r="F28" i="7"/>
  <c r="I28" i="7" s="1"/>
  <c r="D28" i="7"/>
  <c r="E28" i="7" s="1"/>
  <c r="N27" i="7"/>
  <c r="I27" i="7"/>
  <c r="F27" i="7"/>
  <c r="H27" i="7" s="1"/>
  <c r="E27" i="7"/>
  <c r="D27" i="7"/>
  <c r="H26" i="7"/>
  <c r="F26" i="7"/>
  <c r="I26" i="7" s="1"/>
  <c r="D26" i="7"/>
  <c r="E26" i="7" s="1"/>
  <c r="F25" i="7"/>
  <c r="D25" i="7"/>
  <c r="E25" i="7" s="1"/>
  <c r="I24" i="7"/>
  <c r="H24" i="7"/>
  <c r="E24" i="7"/>
  <c r="D24" i="7"/>
  <c r="T23" i="7"/>
  <c r="R23" i="7"/>
  <c r="S23" i="7" s="1"/>
  <c r="Q23" i="7"/>
  <c r="H23" i="7"/>
  <c r="F23" i="7"/>
  <c r="D23" i="7"/>
  <c r="E23" i="7" s="1"/>
  <c r="N23" i="7" s="1"/>
  <c r="T22" i="7"/>
  <c r="R22" i="7"/>
  <c r="S22" i="7" s="1"/>
  <c r="Q22" i="7"/>
  <c r="N22" i="7"/>
  <c r="I22" i="7"/>
  <c r="H22" i="7"/>
  <c r="F22" i="7"/>
  <c r="E22" i="7"/>
  <c r="D22" i="7"/>
  <c r="T21" i="7"/>
  <c r="R21" i="7"/>
  <c r="S21" i="7" s="1"/>
  <c r="Q21" i="7"/>
  <c r="H21" i="7"/>
  <c r="F21" i="7"/>
  <c r="E21" i="7"/>
  <c r="D21" i="7"/>
  <c r="T20" i="7"/>
  <c r="S20" i="7"/>
  <c r="R20" i="7"/>
  <c r="Q20" i="7"/>
  <c r="H20" i="7"/>
  <c r="D20" i="7"/>
  <c r="E20" i="7" s="1"/>
  <c r="P19" i="7"/>
  <c r="H19" i="7"/>
  <c r="F19" i="7"/>
  <c r="I19" i="7" s="1"/>
  <c r="E19" i="7"/>
  <c r="D19" i="7"/>
  <c r="P18" i="7"/>
  <c r="N18" i="7"/>
  <c r="I18" i="7"/>
  <c r="H18" i="7"/>
  <c r="E18" i="7"/>
  <c r="D18" i="7"/>
  <c r="P17" i="7"/>
  <c r="F17" i="7"/>
  <c r="H17" i="7" s="1"/>
  <c r="D17" i="7"/>
  <c r="E17" i="7" s="1"/>
  <c r="P16" i="7"/>
  <c r="H16" i="7"/>
  <c r="E16" i="7"/>
  <c r="D16" i="7"/>
  <c r="P15" i="7"/>
  <c r="H15" i="7"/>
  <c r="E15" i="7"/>
  <c r="D15" i="7"/>
  <c r="P14" i="7"/>
  <c r="I14" i="7"/>
  <c r="H14" i="7"/>
  <c r="F14" i="7"/>
  <c r="E14" i="7"/>
  <c r="D14" i="7"/>
  <c r="P13" i="7"/>
  <c r="I13" i="7"/>
  <c r="H13" i="7"/>
  <c r="F13" i="7"/>
  <c r="D13" i="7"/>
  <c r="E13" i="7" s="1"/>
  <c r="N13" i="7" s="1"/>
  <c r="P12" i="7"/>
  <c r="F12" i="7"/>
  <c r="I12" i="7" s="1"/>
  <c r="E12" i="7"/>
  <c r="D12" i="7"/>
  <c r="P11" i="7"/>
  <c r="F11" i="7"/>
  <c r="E11" i="7"/>
  <c r="D11" i="7"/>
  <c r="P10" i="7"/>
  <c r="N10" i="7"/>
  <c r="I10" i="7"/>
  <c r="H10" i="7"/>
  <c r="E10" i="7"/>
  <c r="D10" i="7"/>
  <c r="P9" i="7"/>
  <c r="N9" i="7"/>
  <c r="I9" i="7"/>
  <c r="H9" i="7"/>
  <c r="E9" i="7"/>
  <c r="D9" i="7"/>
  <c r="P8" i="7"/>
  <c r="H8" i="7"/>
  <c r="F8" i="7"/>
  <c r="D8" i="7"/>
  <c r="E8" i="7" s="1"/>
  <c r="I8" i="7" s="1"/>
  <c r="P7" i="7"/>
  <c r="F7" i="7"/>
  <c r="D7" i="7"/>
  <c r="E7" i="7" s="1"/>
  <c r="P6" i="7"/>
  <c r="H6" i="7"/>
  <c r="D6" i="7"/>
  <c r="E6" i="7" s="1"/>
  <c r="P5" i="7"/>
  <c r="I5" i="7"/>
  <c r="H5" i="7"/>
  <c r="F5" i="7"/>
  <c r="E5" i="7"/>
  <c r="N5" i="7" s="1"/>
  <c r="D5" i="7"/>
  <c r="P4" i="7"/>
  <c r="H4" i="7"/>
  <c r="F4" i="7"/>
  <c r="D4" i="7"/>
  <c r="E4" i="7" s="1"/>
  <c r="N4" i="7" s="1"/>
  <c r="P3" i="7"/>
  <c r="Q3" i="7" s="1"/>
  <c r="O3" i="7"/>
  <c r="F3" i="7"/>
  <c r="I3" i="7" s="1"/>
  <c r="D3" i="7"/>
  <c r="E3" i="7" s="1"/>
  <c r="P2" i="7"/>
  <c r="H2" i="7"/>
  <c r="D2" i="7"/>
  <c r="E2" i="7" s="1"/>
  <c r="N206" i="6"/>
  <c r="I206" i="6"/>
  <c r="H206" i="6"/>
  <c r="E206" i="6"/>
  <c r="D206" i="6"/>
  <c r="H205" i="6"/>
  <c r="E205" i="6"/>
  <c r="N205" i="6" s="1"/>
  <c r="D205" i="6"/>
  <c r="H204" i="6"/>
  <c r="D204" i="6"/>
  <c r="E204" i="6" s="1"/>
  <c r="N203" i="6"/>
  <c r="I203" i="6"/>
  <c r="H203" i="6"/>
  <c r="E203" i="6"/>
  <c r="D203" i="6"/>
  <c r="H202" i="6"/>
  <c r="D202" i="6"/>
  <c r="E202" i="6" s="1"/>
  <c r="N201" i="6"/>
  <c r="I201" i="6"/>
  <c r="H201" i="6"/>
  <c r="D201" i="6"/>
  <c r="E201" i="6" s="1"/>
  <c r="H200" i="6"/>
  <c r="E200" i="6"/>
  <c r="D200" i="6"/>
  <c r="H199" i="6"/>
  <c r="D199" i="6"/>
  <c r="E199" i="6" s="1"/>
  <c r="I198" i="6"/>
  <c r="H198" i="6"/>
  <c r="E198" i="6"/>
  <c r="N198" i="6" s="1"/>
  <c r="D198" i="6"/>
  <c r="H197" i="6"/>
  <c r="D197" i="6"/>
  <c r="E197" i="6" s="1"/>
  <c r="N196" i="6"/>
  <c r="I196" i="6"/>
  <c r="H196" i="6"/>
  <c r="E196" i="6"/>
  <c r="D196" i="6"/>
  <c r="H195" i="6"/>
  <c r="E195" i="6"/>
  <c r="D195" i="6"/>
  <c r="H194" i="6"/>
  <c r="D194" i="6"/>
  <c r="E194" i="6" s="1"/>
  <c r="I193" i="6"/>
  <c r="H193" i="6"/>
  <c r="D193" i="6"/>
  <c r="E193" i="6" s="1"/>
  <c r="N193" i="6" s="1"/>
  <c r="H192" i="6"/>
  <c r="D192" i="6"/>
  <c r="E192" i="6" s="1"/>
  <c r="H191" i="6"/>
  <c r="E191" i="6"/>
  <c r="I191" i="6" s="1"/>
  <c r="D191" i="6"/>
  <c r="H190" i="6"/>
  <c r="E190" i="6"/>
  <c r="N190" i="6" s="1"/>
  <c r="D190" i="6"/>
  <c r="N189" i="6"/>
  <c r="I189" i="6"/>
  <c r="H189" i="6"/>
  <c r="E189" i="6"/>
  <c r="D189" i="6"/>
  <c r="H188" i="6"/>
  <c r="D188" i="6"/>
  <c r="E188" i="6" s="1"/>
  <c r="H187" i="6"/>
  <c r="D187" i="6"/>
  <c r="E187" i="6" s="1"/>
  <c r="H186" i="6"/>
  <c r="E186" i="6"/>
  <c r="D186" i="6"/>
  <c r="H185" i="6"/>
  <c r="D185" i="6"/>
  <c r="E185" i="6" s="1"/>
  <c r="N185" i="6" s="1"/>
  <c r="N184" i="6"/>
  <c r="I184" i="6"/>
  <c r="H184" i="6"/>
  <c r="E184" i="6"/>
  <c r="D184" i="6"/>
  <c r="H183" i="6"/>
  <c r="D183" i="6"/>
  <c r="E183" i="6" s="1"/>
  <c r="N182" i="6"/>
  <c r="I182" i="6"/>
  <c r="H182" i="6"/>
  <c r="E182" i="6"/>
  <c r="D182" i="6"/>
  <c r="H181" i="6"/>
  <c r="D181" i="6"/>
  <c r="E181" i="6" s="1"/>
  <c r="H180" i="6"/>
  <c r="D180" i="6"/>
  <c r="E180" i="6" s="1"/>
  <c r="I179" i="6"/>
  <c r="H179" i="6"/>
  <c r="N179" i="6" s="1"/>
  <c r="E179" i="6"/>
  <c r="D179" i="6"/>
  <c r="H178" i="6"/>
  <c r="D178" i="6"/>
  <c r="E178" i="6" s="1"/>
  <c r="N177" i="6"/>
  <c r="I177" i="6"/>
  <c r="H177" i="6"/>
  <c r="D177" i="6"/>
  <c r="E177" i="6" s="1"/>
  <c r="H176" i="6"/>
  <c r="D176" i="6"/>
  <c r="E176" i="6" s="1"/>
  <c r="N175" i="6"/>
  <c r="H175" i="6"/>
  <c r="E175" i="6"/>
  <c r="I175" i="6" s="1"/>
  <c r="D175" i="6"/>
  <c r="H174" i="6"/>
  <c r="E174" i="6"/>
  <c r="D174" i="6"/>
  <c r="H173" i="6"/>
  <c r="D173" i="6"/>
  <c r="E173" i="6" s="1"/>
  <c r="N172" i="6"/>
  <c r="I172" i="6"/>
  <c r="H172" i="6"/>
  <c r="E172" i="6"/>
  <c r="D172" i="6"/>
  <c r="H171" i="6"/>
  <c r="D171" i="6"/>
  <c r="E171" i="6" s="1"/>
  <c r="I170" i="6"/>
  <c r="H170" i="6"/>
  <c r="E170" i="6"/>
  <c r="D170" i="6"/>
  <c r="H169" i="6"/>
  <c r="D169" i="6"/>
  <c r="E169" i="6" s="1"/>
  <c r="H168" i="6"/>
  <c r="D168" i="6"/>
  <c r="E168" i="6" s="1"/>
  <c r="I168" i="6" s="1"/>
  <c r="H167" i="6"/>
  <c r="D167" i="6"/>
  <c r="E167" i="6" s="1"/>
  <c r="N166" i="6"/>
  <c r="I166" i="6"/>
  <c r="H166" i="6"/>
  <c r="E166" i="6"/>
  <c r="D166" i="6"/>
  <c r="I165" i="6"/>
  <c r="H165" i="6"/>
  <c r="N165" i="6" s="1"/>
  <c r="E165" i="6"/>
  <c r="D165" i="6"/>
  <c r="H164" i="6"/>
  <c r="D164" i="6"/>
  <c r="E164" i="6" s="1"/>
  <c r="H163" i="6"/>
  <c r="D163" i="6"/>
  <c r="E163" i="6" s="1"/>
  <c r="I163" i="6" s="1"/>
  <c r="H162" i="6"/>
  <c r="D162" i="6"/>
  <c r="E162" i="6" s="1"/>
  <c r="N161" i="6"/>
  <c r="I161" i="6"/>
  <c r="H161" i="6"/>
  <c r="D161" i="6"/>
  <c r="E161" i="6" s="1"/>
  <c r="I160" i="6"/>
  <c r="H160" i="6"/>
  <c r="E160" i="6"/>
  <c r="D160" i="6"/>
  <c r="H159" i="6"/>
  <c r="D159" i="6"/>
  <c r="E159" i="6" s="1"/>
  <c r="I158" i="6"/>
  <c r="H158" i="6"/>
  <c r="N158" i="6" s="1"/>
  <c r="E158" i="6"/>
  <c r="D158" i="6"/>
  <c r="H157" i="6"/>
  <c r="D157" i="6"/>
  <c r="E157" i="6" s="1"/>
  <c r="H156" i="6"/>
  <c r="D156" i="6"/>
  <c r="E156" i="6" s="1"/>
  <c r="I156" i="6" s="1"/>
  <c r="I155" i="6"/>
  <c r="H155" i="6"/>
  <c r="E155" i="6"/>
  <c r="N155" i="6" s="1"/>
  <c r="D155" i="6"/>
  <c r="H154" i="6"/>
  <c r="D154" i="6"/>
  <c r="E154" i="6" s="1"/>
  <c r="I153" i="6"/>
  <c r="H153" i="6"/>
  <c r="N153" i="6" s="1"/>
  <c r="D153" i="6"/>
  <c r="E153" i="6" s="1"/>
  <c r="H152" i="6"/>
  <c r="D152" i="6"/>
  <c r="E152" i="6" s="1"/>
  <c r="N151" i="6"/>
  <c r="H151" i="6"/>
  <c r="E151" i="6"/>
  <c r="I151" i="6" s="1"/>
  <c r="D151" i="6"/>
  <c r="H150" i="6"/>
  <c r="E150" i="6"/>
  <c r="D150" i="6"/>
  <c r="N149" i="6"/>
  <c r="H149" i="6"/>
  <c r="D149" i="6"/>
  <c r="E149" i="6" s="1"/>
  <c r="I149" i="6" s="1"/>
  <c r="H148" i="6"/>
  <c r="E148" i="6"/>
  <c r="N148" i="6" s="1"/>
  <c r="D148" i="6"/>
  <c r="H147" i="6"/>
  <c r="D147" i="6"/>
  <c r="E147" i="6" s="1"/>
  <c r="I146" i="6"/>
  <c r="H146" i="6"/>
  <c r="E146" i="6"/>
  <c r="D146" i="6"/>
  <c r="H145" i="6"/>
  <c r="D145" i="6"/>
  <c r="E145" i="6" s="1"/>
  <c r="N144" i="6"/>
  <c r="I144" i="6"/>
  <c r="H144" i="6"/>
  <c r="E144" i="6"/>
  <c r="D144" i="6"/>
  <c r="H143" i="6"/>
  <c r="E143" i="6"/>
  <c r="D143" i="6"/>
  <c r="N142" i="6"/>
  <c r="I142" i="6"/>
  <c r="H142" i="6"/>
  <c r="E142" i="6"/>
  <c r="D142" i="6"/>
  <c r="I141" i="6"/>
  <c r="H141" i="6"/>
  <c r="E141" i="6"/>
  <c r="D141" i="6"/>
  <c r="H140" i="6"/>
  <c r="D140" i="6"/>
  <c r="E140" i="6" s="1"/>
  <c r="N139" i="6"/>
  <c r="I139" i="6"/>
  <c r="H139" i="6"/>
  <c r="E139" i="6"/>
  <c r="D139" i="6"/>
  <c r="H138" i="6"/>
  <c r="D138" i="6"/>
  <c r="E138" i="6" s="1"/>
  <c r="N137" i="6"/>
  <c r="I137" i="6"/>
  <c r="H137" i="6"/>
  <c r="D137" i="6"/>
  <c r="E137" i="6" s="1"/>
  <c r="H136" i="6"/>
  <c r="D136" i="6"/>
  <c r="E136" i="6" s="1"/>
  <c r="H135" i="6"/>
  <c r="D135" i="6"/>
  <c r="E135" i="6" s="1"/>
  <c r="H134" i="6"/>
  <c r="E134" i="6"/>
  <c r="D134" i="6"/>
  <c r="H133" i="6"/>
  <c r="D133" i="6"/>
  <c r="E133" i="6" s="1"/>
  <c r="N132" i="6"/>
  <c r="I132" i="6"/>
  <c r="H132" i="6"/>
  <c r="E132" i="6"/>
  <c r="D132" i="6"/>
  <c r="H131" i="6"/>
  <c r="D131" i="6"/>
  <c r="E131" i="6" s="1"/>
  <c r="O130" i="6"/>
  <c r="H130" i="6"/>
  <c r="D130" i="6"/>
  <c r="E130" i="6" s="1"/>
  <c r="N129" i="6"/>
  <c r="I129" i="6"/>
  <c r="H129" i="6"/>
  <c r="E129" i="6"/>
  <c r="D129" i="6"/>
  <c r="H128" i="6"/>
  <c r="D128" i="6"/>
  <c r="E128" i="6" s="1"/>
  <c r="H127" i="6"/>
  <c r="D127" i="6"/>
  <c r="E127" i="6" s="1"/>
  <c r="H126" i="6"/>
  <c r="D126" i="6"/>
  <c r="E126" i="6" s="1"/>
  <c r="N126" i="6" s="1"/>
  <c r="H125" i="6"/>
  <c r="D125" i="6"/>
  <c r="E125" i="6" s="1"/>
  <c r="H124" i="6"/>
  <c r="E124" i="6"/>
  <c r="I124" i="6" s="1"/>
  <c r="D124" i="6"/>
  <c r="H123" i="6"/>
  <c r="E123" i="6"/>
  <c r="N123" i="6" s="1"/>
  <c r="D123" i="6"/>
  <c r="N122" i="6"/>
  <c r="I122" i="6"/>
  <c r="H122" i="6"/>
  <c r="E122" i="6"/>
  <c r="D122" i="6"/>
  <c r="H121" i="6"/>
  <c r="D121" i="6"/>
  <c r="E121" i="6" s="1"/>
  <c r="H120" i="6"/>
  <c r="D120" i="6"/>
  <c r="E120" i="6" s="1"/>
  <c r="I119" i="6"/>
  <c r="H119" i="6"/>
  <c r="E119" i="6"/>
  <c r="D119" i="6"/>
  <c r="H118" i="6"/>
  <c r="D118" i="6"/>
  <c r="E118" i="6" s="1"/>
  <c r="N118" i="6" s="1"/>
  <c r="I117" i="6"/>
  <c r="H117" i="6"/>
  <c r="N117" i="6" s="1"/>
  <c r="E117" i="6"/>
  <c r="D117" i="6"/>
  <c r="O116" i="6"/>
  <c r="H116" i="6"/>
  <c r="E116" i="6"/>
  <c r="D116" i="6"/>
  <c r="N115" i="6"/>
  <c r="I115" i="6"/>
  <c r="H115" i="6"/>
  <c r="D115" i="6"/>
  <c r="E115" i="6" s="1"/>
  <c r="H114" i="6"/>
  <c r="D114" i="6"/>
  <c r="E114" i="6" s="1"/>
  <c r="H113" i="6"/>
  <c r="D113" i="6"/>
  <c r="E113" i="6" s="1"/>
  <c r="I112" i="6"/>
  <c r="H112" i="6"/>
  <c r="E112" i="6"/>
  <c r="D112" i="6"/>
  <c r="H111" i="6"/>
  <c r="D111" i="6"/>
  <c r="E111" i="6" s="1"/>
  <c r="N110" i="6"/>
  <c r="I110" i="6"/>
  <c r="H110" i="6"/>
  <c r="E110" i="6"/>
  <c r="D110" i="6"/>
  <c r="H109" i="6"/>
  <c r="D109" i="6"/>
  <c r="E109" i="6" s="1"/>
  <c r="H108" i="6"/>
  <c r="D108" i="6"/>
  <c r="E108" i="6" s="1"/>
  <c r="I107" i="6"/>
  <c r="H107" i="6"/>
  <c r="D107" i="6"/>
  <c r="E107" i="6" s="1"/>
  <c r="H106" i="6"/>
  <c r="D106" i="6"/>
  <c r="E106" i="6" s="1"/>
  <c r="N105" i="6"/>
  <c r="H105" i="6"/>
  <c r="E105" i="6"/>
  <c r="I105" i="6" s="1"/>
  <c r="D105" i="6"/>
  <c r="H104" i="6"/>
  <c r="E104" i="6"/>
  <c r="N104" i="6" s="1"/>
  <c r="D104" i="6"/>
  <c r="N103" i="6"/>
  <c r="I103" i="6"/>
  <c r="H103" i="6"/>
  <c r="E103" i="6"/>
  <c r="D103" i="6"/>
  <c r="H102" i="6"/>
  <c r="D102" i="6"/>
  <c r="E102" i="6" s="1"/>
  <c r="O101" i="6"/>
  <c r="H101" i="6"/>
  <c r="E101" i="6"/>
  <c r="N101" i="6" s="1"/>
  <c r="D101" i="6"/>
  <c r="N100" i="6"/>
  <c r="I100" i="6"/>
  <c r="H100" i="6"/>
  <c r="E100" i="6"/>
  <c r="D100" i="6"/>
  <c r="H99" i="6"/>
  <c r="D99" i="6"/>
  <c r="E99" i="6" s="1"/>
  <c r="H98" i="6"/>
  <c r="D98" i="6"/>
  <c r="E98" i="6" s="1"/>
  <c r="F97" i="6"/>
  <c r="H97" i="6" s="1"/>
  <c r="E97" i="6"/>
  <c r="D97" i="6"/>
  <c r="F96" i="6"/>
  <c r="H96" i="6" s="1"/>
  <c r="E96" i="6"/>
  <c r="N96" i="6" s="1"/>
  <c r="D96" i="6"/>
  <c r="N95" i="6"/>
  <c r="I95" i="6"/>
  <c r="H95" i="6"/>
  <c r="F95" i="6"/>
  <c r="D95" i="6"/>
  <c r="E95" i="6" s="1"/>
  <c r="H94" i="6"/>
  <c r="F94" i="6"/>
  <c r="I94" i="6" s="1"/>
  <c r="E94" i="6"/>
  <c r="D94" i="6"/>
  <c r="H93" i="6"/>
  <c r="D93" i="6"/>
  <c r="E93" i="6" s="1"/>
  <c r="I92" i="6"/>
  <c r="H92" i="6"/>
  <c r="F92" i="6"/>
  <c r="D92" i="6"/>
  <c r="E92" i="6" s="1"/>
  <c r="N92" i="6" s="1"/>
  <c r="F91" i="6"/>
  <c r="I91" i="6" s="1"/>
  <c r="E91" i="6"/>
  <c r="D91" i="6"/>
  <c r="H90" i="6"/>
  <c r="E90" i="6"/>
  <c r="D90" i="6"/>
  <c r="F89" i="6"/>
  <c r="H89" i="6" s="1"/>
  <c r="D89" i="6"/>
  <c r="E89" i="6" s="1"/>
  <c r="I89" i="6" s="1"/>
  <c r="F88" i="6"/>
  <c r="I88" i="6" s="1"/>
  <c r="D88" i="6"/>
  <c r="E88" i="6" s="1"/>
  <c r="F87" i="6"/>
  <c r="D87" i="6"/>
  <c r="E87" i="6" s="1"/>
  <c r="H86" i="6"/>
  <c r="F86" i="6"/>
  <c r="D86" i="6"/>
  <c r="E86" i="6" s="1"/>
  <c r="N86" i="6" s="1"/>
  <c r="I85" i="6"/>
  <c r="H85" i="6"/>
  <c r="E85" i="6"/>
  <c r="D85" i="6"/>
  <c r="F84" i="6"/>
  <c r="I84" i="6" s="1"/>
  <c r="E84" i="6"/>
  <c r="D84" i="6"/>
  <c r="N83" i="6"/>
  <c r="H83" i="6"/>
  <c r="F83" i="6"/>
  <c r="D83" i="6"/>
  <c r="E83" i="6" s="1"/>
  <c r="I83" i="6" s="1"/>
  <c r="H82" i="6"/>
  <c r="N82" i="6" s="1"/>
  <c r="F82" i="6"/>
  <c r="I82" i="6" s="1"/>
  <c r="E82" i="6"/>
  <c r="D82" i="6"/>
  <c r="H81" i="6"/>
  <c r="F81" i="6"/>
  <c r="D81" i="6"/>
  <c r="E81" i="6" s="1"/>
  <c r="F80" i="6"/>
  <c r="H80" i="6" s="1"/>
  <c r="N80" i="6" s="1"/>
  <c r="E80" i="6"/>
  <c r="I80" i="6" s="1"/>
  <c r="D80" i="6"/>
  <c r="N79" i="6"/>
  <c r="I79" i="6"/>
  <c r="H79" i="6"/>
  <c r="F79" i="6"/>
  <c r="D79" i="6"/>
  <c r="E79" i="6" s="1"/>
  <c r="H78" i="6"/>
  <c r="F78" i="6"/>
  <c r="E78" i="6"/>
  <c r="D78" i="6"/>
  <c r="H77" i="6"/>
  <c r="F77" i="6"/>
  <c r="D77" i="6"/>
  <c r="E77" i="6" s="1"/>
  <c r="N76" i="6"/>
  <c r="I76" i="6"/>
  <c r="H76" i="6"/>
  <c r="F76" i="6"/>
  <c r="E76" i="6"/>
  <c r="D76" i="6"/>
  <c r="I75" i="6"/>
  <c r="H75" i="6"/>
  <c r="N75" i="6" s="1"/>
  <c r="E75" i="6"/>
  <c r="D75" i="6"/>
  <c r="F74" i="6"/>
  <c r="H74" i="6" s="1"/>
  <c r="E74" i="6"/>
  <c r="N74" i="6" s="1"/>
  <c r="D74" i="6"/>
  <c r="N73" i="6"/>
  <c r="I73" i="6"/>
  <c r="H73" i="6"/>
  <c r="F73" i="6"/>
  <c r="D73" i="6"/>
  <c r="E73" i="6" s="1"/>
  <c r="I72" i="6"/>
  <c r="H72" i="6"/>
  <c r="F72" i="6"/>
  <c r="E72" i="6"/>
  <c r="D72" i="6"/>
  <c r="H71" i="6"/>
  <c r="D71" i="6"/>
  <c r="E71" i="6" s="1"/>
  <c r="N70" i="6"/>
  <c r="I70" i="6"/>
  <c r="H70" i="6"/>
  <c r="F70" i="6"/>
  <c r="D70" i="6"/>
  <c r="E70" i="6" s="1"/>
  <c r="I69" i="6"/>
  <c r="H69" i="6"/>
  <c r="F69" i="6"/>
  <c r="E69" i="6"/>
  <c r="D69" i="6"/>
  <c r="F68" i="6"/>
  <c r="D68" i="6"/>
  <c r="E68" i="6" s="1"/>
  <c r="H67" i="6"/>
  <c r="F67" i="6"/>
  <c r="D67" i="6"/>
  <c r="E67" i="6" s="1"/>
  <c r="N67" i="6" s="1"/>
  <c r="I66" i="6"/>
  <c r="H66" i="6"/>
  <c r="N66" i="6" s="1"/>
  <c r="F66" i="6"/>
  <c r="E66" i="6"/>
  <c r="D66" i="6"/>
  <c r="H65" i="6"/>
  <c r="D65" i="6"/>
  <c r="E65" i="6" s="1"/>
  <c r="H64" i="6"/>
  <c r="D64" i="6"/>
  <c r="E64" i="6" s="1"/>
  <c r="H63" i="6"/>
  <c r="D63" i="6"/>
  <c r="E63" i="6" s="1"/>
  <c r="N63" i="6" s="1"/>
  <c r="F62" i="6"/>
  <c r="I62" i="6" s="1"/>
  <c r="D62" i="6"/>
  <c r="E62" i="6" s="1"/>
  <c r="I61" i="6"/>
  <c r="H61" i="6"/>
  <c r="F61" i="6"/>
  <c r="E61" i="6"/>
  <c r="D61" i="6"/>
  <c r="F60" i="6"/>
  <c r="E60" i="6"/>
  <c r="D60" i="6"/>
  <c r="F59" i="6"/>
  <c r="I59" i="6" s="1"/>
  <c r="D59" i="6"/>
  <c r="E59" i="6" s="1"/>
  <c r="N58" i="6"/>
  <c r="I58" i="6"/>
  <c r="H58" i="6"/>
  <c r="F58" i="6"/>
  <c r="E58" i="6"/>
  <c r="D58" i="6"/>
  <c r="H57" i="6"/>
  <c r="E57" i="6"/>
  <c r="D57" i="6"/>
  <c r="H56" i="6"/>
  <c r="F56" i="6"/>
  <c r="D56" i="6"/>
  <c r="E56" i="6" s="1"/>
  <c r="I56" i="6" s="1"/>
  <c r="I55" i="6"/>
  <c r="H55" i="6"/>
  <c r="N55" i="6" s="1"/>
  <c r="F55" i="6"/>
  <c r="E55" i="6"/>
  <c r="D55" i="6"/>
  <c r="F54" i="6"/>
  <c r="I54" i="6" s="1"/>
  <c r="E54" i="6"/>
  <c r="D54" i="6"/>
  <c r="F53" i="6"/>
  <c r="D53" i="6"/>
  <c r="E53" i="6" s="1"/>
  <c r="N52" i="6"/>
  <c r="I52" i="6"/>
  <c r="H52" i="6"/>
  <c r="D52" i="6"/>
  <c r="E52" i="6" s="1"/>
  <c r="F51" i="6"/>
  <c r="D51" i="6"/>
  <c r="E51" i="6" s="1"/>
  <c r="H50" i="6"/>
  <c r="F50" i="6"/>
  <c r="D50" i="6"/>
  <c r="E50" i="6" s="1"/>
  <c r="N49" i="6"/>
  <c r="I49" i="6"/>
  <c r="H49" i="6"/>
  <c r="E49" i="6"/>
  <c r="D49" i="6"/>
  <c r="H48" i="6"/>
  <c r="D48" i="6"/>
  <c r="E48" i="6" s="1"/>
  <c r="I47" i="6"/>
  <c r="H47" i="6"/>
  <c r="F47" i="6"/>
  <c r="D47" i="6"/>
  <c r="E47" i="6" s="1"/>
  <c r="N47" i="6" s="1"/>
  <c r="I46" i="6"/>
  <c r="H46" i="6"/>
  <c r="E46" i="6"/>
  <c r="N46" i="6" s="1"/>
  <c r="D46" i="6"/>
  <c r="H45" i="6"/>
  <c r="D45" i="6"/>
  <c r="E45" i="6" s="1"/>
  <c r="I44" i="6"/>
  <c r="H44" i="6"/>
  <c r="E44" i="6"/>
  <c r="D44" i="6"/>
  <c r="H43" i="6"/>
  <c r="F43" i="6"/>
  <c r="D43" i="6"/>
  <c r="E43" i="6" s="1"/>
  <c r="H42" i="6"/>
  <c r="D42" i="6"/>
  <c r="E42" i="6" s="1"/>
  <c r="I41" i="6"/>
  <c r="H41" i="6"/>
  <c r="F41" i="6"/>
  <c r="E41" i="6"/>
  <c r="D41" i="6"/>
  <c r="H40" i="6"/>
  <c r="D40" i="6"/>
  <c r="E40" i="6" s="1"/>
  <c r="L39" i="6"/>
  <c r="I39" i="6" s="1"/>
  <c r="F39" i="6"/>
  <c r="D39" i="6"/>
  <c r="E39" i="6" s="1"/>
  <c r="N38" i="6"/>
  <c r="I38" i="6"/>
  <c r="H38" i="6"/>
  <c r="F38" i="6"/>
  <c r="E38" i="6"/>
  <c r="D38" i="6"/>
  <c r="H37" i="6"/>
  <c r="D37" i="6"/>
  <c r="E37" i="6" s="1"/>
  <c r="H36" i="6"/>
  <c r="F36" i="6"/>
  <c r="D36" i="6"/>
  <c r="E36" i="6" s="1"/>
  <c r="I36" i="6" s="1"/>
  <c r="N35" i="6"/>
  <c r="I35" i="6"/>
  <c r="H35" i="6"/>
  <c r="F35" i="6"/>
  <c r="E35" i="6"/>
  <c r="D35" i="6"/>
  <c r="H34" i="6"/>
  <c r="E34" i="6"/>
  <c r="D34" i="6"/>
  <c r="H33" i="6"/>
  <c r="D33" i="6"/>
  <c r="E33" i="6" s="1"/>
  <c r="L32" i="6"/>
  <c r="H32" i="6" s="1"/>
  <c r="N32" i="6" s="1"/>
  <c r="F32" i="6"/>
  <c r="D32" i="6"/>
  <c r="E32" i="6" s="1"/>
  <c r="H31" i="6"/>
  <c r="F31" i="6"/>
  <c r="E31" i="6"/>
  <c r="D31" i="6"/>
  <c r="F30" i="6"/>
  <c r="H30" i="6" s="1"/>
  <c r="D30" i="6"/>
  <c r="E30" i="6" s="1"/>
  <c r="N29" i="6"/>
  <c r="I29" i="6"/>
  <c r="F29" i="6"/>
  <c r="H29" i="6" s="1"/>
  <c r="E29" i="6"/>
  <c r="D29" i="6"/>
  <c r="H28" i="6"/>
  <c r="E28" i="6"/>
  <c r="D28" i="6"/>
  <c r="F27" i="6"/>
  <c r="H27" i="6" s="1"/>
  <c r="D27" i="6"/>
  <c r="E27" i="6" s="1"/>
  <c r="N26" i="6"/>
  <c r="H26" i="6"/>
  <c r="F26" i="6"/>
  <c r="I26" i="6" s="1"/>
  <c r="E26" i="6"/>
  <c r="D26" i="6"/>
  <c r="H25" i="6"/>
  <c r="F25" i="6"/>
  <c r="E25" i="6"/>
  <c r="D25" i="6"/>
  <c r="H24" i="6"/>
  <c r="D24" i="6"/>
  <c r="E24" i="6" s="1"/>
  <c r="T23" i="6"/>
  <c r="S23" i="6"/>
  <c r="R23" i="6"/>
  <c r="Q23" i="6"/>
  <c r="F23" i="6"/>
  <c r="D23" i="6"/>
  <c r="E23" i="6" s="1"/>
  <c r="T22" i="6"/>
  <c r="S22" i="6"/>
  <c r="R22" i="6"/>
  <c r="Q22" i="6"/>
  <c r="F22" i="6"/>
  <c r="D22" i="6"/>
  <c r="E22" i="6" s="1"/>
  <c r="T21" i="6"/>
  <c r="S21" i="6"/>
  <c r="R21" i="6"/>
  <c r="Q21" i="6"/>
  <c r="H21" i="6"/>
  <c r="F21" i="6"/>
  <c r="E21" i="6"/>
  <c r="D21" i="6"/>
  <c r="P20" i="6"/>
  <c r="R20" i="6" s="1"/>
  <c r="S20" i="6" s="1"/>
  <c r="I20" i="6"/>
  <c r="H20" i="6"/>
  <c r="N20" i="6" s="1"/>
  <c r="F20" i="6"/>
  <c r="E20" i="6"/>
  <c r="D20" i="6"/>
  <c r="P19" i="6"/>
  <c r="F19" i="6"/>
  <c r="H19" i="6" s="1"/>
  <c r="D19" i="6"/>
  <c r="E19" i="6" s="1"/>
  <c r="P18" i="6"/>
  <c r="H18" i="6"/>
  <c r="D18" i="6"/>
  <c r="E18" i="6" s="1"/>
  <c r="P17" i="6"/>
  <c r="F17" i="6"/>
  <c r="E17" i="6"/>
  <c r="D17" i="6"/>
  <c r="P16" i="6"/>
  <c r="N16" i="6"/>
  <c r="I16" i="6"/>
  <c r="F16" i="6"/>
  <c r="H16" i="6" s="1"/>
  <c r="E16" i="6"/>
  <c r="D16" i="6"/>
  <c r="P15" i="6"/>
  <c r="Q15" i="6" s="1"/>
  <c r="F15" i="6"/>
  <c r="H15" i="6" s="1"/>
  <c r="D15" i="6"/>
  <c r="E15" i="6" s="1"/>
  <c r="P14" i="6"/>
  <c r="F14" i="6"/>
  <c r="D14" i="6"/>
  <c r="E14" i="6" s="1"/>
  <c r="P13" i="6"/>
  <c r="F13" i="6"/>
  <c r="I13" i="6" s="1"/>
  <c r="E13" i="6"/>
  <c r="D13" i="6"/>
  <c r="P12" i="6"/>
  <c r="N12" i="6"/>
  <c r="I12" i="6"/>
  <c r="H12" i="6"/>
  <c r="E12" i="6"/>
  <c r="D12" i="6"/>
  <c r="P11" i="6"/>
  <c r="N11" i="6"/>
  <c r="I11" i="6"/>
  <c r="H11" i="6"/>
  <c r="F11" i="6"/>
  <c r="D11" i="6"/>
  <c r="E11" i="6" s="1"/>
  <c r="P10" i="6"/>
  <c r="R10" i="6" s="1"/>
  <c r="S10" i="6" s="1"/>
  <c r="H10" i="6"/>
  <c r="F10" i="6"/>
  <c r="D10" i="6"/>
  <c r="E10" i="6" s="1"/>
  <c r="N10" i="6" s="1"/>
  <c r="P9" i="6"/>
  <c r="F9" i="6"/>
  <c r="D9" i="6"/>
  <c r="E9" i="6" s="1"/>
  <c r="P8" i="6"/>
  <c r="H8" i="6"/>
  <c r="F8" i="6"/>
  <c r="E8" i="6"/>
  <c r="D8" i="6"/>
  <c r="P7" i="6"/>
  <c r="I7" i="6"/>
  <c r="H7" i="6"/>
  <c r="E7" i="6"/>
  <c r="D7" i="6"/>
  <c r="P6" i="6"/>
  <c r="H6" i="6"/>
  <c r="F6" i="6"/>
  <c r="D6" i="6"/>
  <c r="E6" i="6" s="1"/>
  <c r="N6" i="6" s="1"/>
  <c r="P5" i="6"/>
  <c r="H5" i="6"/>
  <c r="F5" i="6"/>
  <c r="D5" i="6"/>
  <c r="E5" i="6" s="1"/>
  <c r="P4" i="6"/>
  <c r="F4" i="6"/>
  <c r="E4" i="6"/>
  <c r="D4" i="6"/>
  <c r="P3" i="6"/>
  <c r="O3" i="6"/>
  <c r="N3" i="6"/>
  <c r="I3" i="6"/>
  <c r="H3" i="6"/>
  <c r="F3" i="6"/>
  <c r="D3" i="6"/>
  <c r="E3" i="6" s="1"/>
  <c r="P2" i="6"/>
  <c r="N2" i="6"/>
  <c r="H2" i="6"/>
  <c r="E2" i="6"/>
  <c r="I2" i="6" s="1"/>
  <c r="D2" i="6"/>
  <c r="H206" i="5"/>
  <c r="E206" i="5"/>
  <c r="D206" i="5"/>
  <c r="H205" i="5"/>
  <c r="D205" i="5"/>
  <c r="E205" i="5" s="1"/>
  <c r="N204" i="5"/>
  <c r="I204" i="5"/>
  <c r="H204" i="5"/>
  <c r="E204" i="5"/>
  <c r="D204" i="5"/>
  <c r="H203" i="5"/>
  <c r="D203" i="5"/>
  <c r="E203" i="5" s="1"/>
  <c r="I202" i="5"/>
  <c r="H202" i="5"/>
  <c r="E202" i="5"/>
  <c r="D202" i="5"/>
  <c r="H201" i="5"/>
  <c r="D201" i="5"/>
  <c r="E201" i="5" s="1"/>
  <c r="H200" i="5"/>
  <c r="D200" i="5"/>
  <c r="E200" i="5" s="1"/>
  <c r="I200" i="5" s="1"/>
  <c r="H199" i="5"/>
  <c r="D199" i="5"/>
  <c r="E199" i="5" s="1"/>
  <c r="N198" i="5"/>
  <c r="I198" i="5"/>
  <c r="H198" i="5"/>
  <c r="E198" i="5"/>
  <c r="D198" i="5"/>
  <c r="N197" i="5"/>
  <c r="I197" i="5"/>
  <c r="H197" i="5"/>
  <c r="E197" i="5"/>
  <c r="D197" i="5"/>
  <c r="H196" i="5"/>
  <c r="D196" i="5"/>
  <c r="E196" i="5" s="1"/>
  <c r="N195" i="5"/>
  <c r="H195" i="5"/>
  <c r="D195" i="5"/>
  <c r="E195" i="5" s="1"/>
  <c r="I195" i="5" s="1"/>
  <c r="H194" i="5"/>
  <c r="E194" i="5"/>
  <c r="D194" i="5"/>
  <c r="N193" i="5"/>
  <c r="I193" i="5"/>
  <c r="H193" i="5"/>
  <c r="D193" i="5"/>
  <c r="E193" i="5" s="1"/>
  <c r="H192" i="5"/>
  <c r="E192" i="5"/>
  <c r="N192" i="5" s="1"/>
  <c r="D192" i="5"/>
  <c r="H191" i="5"/>
  <c r="D191" i="5"/>
  <c r="E191" i="5" s="1"/>
  <c r="N190" i="5"/>
  <c r="I190" i="5"/>
  <c r="H190" i="5"/>
  <c r="E190" i="5"/>
  <c r="D190" i="5"/>
  <c r="H189" i="5"/>
  <c r="D189" i="5"/>
  <c r="E189" i="5" s="1"/>
  <c r="N188" i="5"/>
  <c r="H188" i="5"/>
  <c r="D188" i="5"/>
  <c r="E188" i="5" s="1"/>
  <c r="I188" i="5" s="1"/>
  <c r="I187" i="5"/>
  <c r="H187" i="5"/>
  <c r="E187" i="5"/>
  <c r="D187" i="5"/>
  <c r="H186" i="5"/>
  <c r="D186" i="5"/>
  <c r="E186" i="5" s="1"/>
  <c r="I185" i="5"/>
  <c r="H185" i="5"/>
  <c r="N185" i="5" s="1"/>
  <c r="D185" i="5"/>
  <c r="E185" i="5" s="1"/>
  <c r="H184" i="5"/>
  <c r="D184" i="5"/>
  <c r="E184" i="5" s="1"/>
  <c r="N183" i="5"/>
  <c r="H183" i="5"/>
  <c r="E183" i="5"/>
  <c r="I183" i="5" s="1"/>
  <c r="D183" i="5"/>
  <c r="H182" i="5"/>
  <c r="E182" i="5"/>
  <c r="D182" i="5"/>
  <c r="H181" i="5"/>
  <c r="D181" i="5"/>
  <c r="E181" i="5" s="1"/>
  <c r="I181" i="5" s="1"/>
  <c r="H180" i="5"/>
  <c r="E180" i="5"/>
  <c r="N180" i="5" s="1"/>
  <c r="D180" i="5"/>
  <c r="H179" i="5"/>
  <c r="D179" i="5"/>
  <c r="E179" i="5" s="1"/>
  <c r="I178" i="5"/>
  <c r="H178" i="5"/>
  <c r="E178" i="5"/>
  <c r="D178" i="5"/>
  <c r="H177" i="5"/>
  <c r="D177" i="5"/>
  <c r="E177" i="5" s="1"/>
  <c r="N176" i="5"/>
  <c r="I176" i="5"/>
  <c r="H176" i="5"/>
  <c r="E176" i="5"/>
  <c r="D176" i="5"/>
  <c r="H175" i="5"/>
  <c r="D175" i="5"/>
  <c r="E175" i="5" s="1"/>
  <c r="N174" i="5"/>
  <c r="I174" i="5"/>
  <c r="H174" i="5"/>
  <c r="E174" i="5"/>
  <c r="D174" i="5"/>
  <c r="H173" i="5"/>
  <c r="E173" i="5"/>
  <c r="N173" i="5" s="1"/>
  <c r="D173" i="5"/>
  <c r="H172" i="5"/>
  <c r="D172" i="5"/>
  <c r="E172" i="5" s="1"/>
  <c r="N171" i="5"/>
  <c r="I171" i="5"/>
  <c r="H171" i="5"/>
  <c r="E171" i="5"/>
  <c r="D171" i="5"/>
  <c r="H170" i="5"/>
  <c r="D170" i="5"/>
  <c r="E170" i="5" s="1"/>
  <c r="N169" i="5"/>
  <c r="I169" i="5"/>
  <c r="H169" i="5"/>
  <c r="D169" i="5"/>
  <c r="E169" i="5" s="1"/>
  <c r="H168" i="5"/>
  <c r="D168" i="5"/>
  <c r="E168" i="5" s="1"/>
  <c r="H167" i="5"/>
  <c r="D167" i="5"/>
  <c r="E167" i="5" s="1"/>
  <c r="H166" i="5"/>
  <c r="E166" i="5"/>
  <c r="N166" i="5" s="1"/>
  <c r="D166" i="5"/>
  <c r="H165" i="5"/>
  <c r="D165" i="5"/>
  <c r="E165" i="5" s="1"/>
  <c r="N164" i="5"/>
  <c r="I164" i="5"/>
  <c r="H164" i="5"/>
  <c r="E164" i="5"/>
  <c r="D164" i="5"/>
  <c r="H163" i="5"/>
  <c r="D163" i="5"/>
  <c r="E163" i="5" s="1"/>
  <c r="H162" i="5"/>
  <c r="D162" i="5"/>
  <c r="E162" i="5" s="1"/>
  <c r="H161" i="5"/>
  <c r="D161" i="5"/>
  <c r="E161" i="5" s="1"/>
  <c r="N161" i="5" s="1"/>
  <c r="H160" i="5"/>
  <c r="D160" i="5"/>
  <c r="E160" i="5" s="1"/>
  <c r="H159" i="5"/>
  <c r="E159" i="5"/>
  <c r="I159" i="5" s="1"/>
  <c r="D159" i="5"/>
  <c r="H158" i="5"/>
  <c r="E158" i="5"/>
  <c r="N158" i="5" s="1"/>
  <c r="D158" i="5"/>
  <c r="N157" i="5"/>
  <c r="I157" i="5"/>
  <c r="H157" i="5"/>
  <c r="E157" i="5"/>
  <c r="D157" i="5"/>
  <c r="H156" i="5"/>
  <c r="D156" i="5"/>
  <c r="E156" i="5" s="1"/>
  <c r="H155" i="5"/>
  <c r="D155" i="5"/>
  <c r="E155" i="5" s="1"/>
  <c r="I154" i="5"/>
  <c r="H154" i="5"/>
  <c r="E154" i="5"/>
  <c r="D154" i="5"/>
  <c r="H153" i="5"/>
  <c r="D153" i="5"/>
  <c r="E153" i="5" s="1"/>
  <c r="N153" i="5" s="1"/>
  <c r="I152" i="5"/>
  <c r="H152" i="5"/>
  <c r="N152" i="5" s="1"/>
  <c r="E152" i="5"/>
  <c r="D152" i="5"/>
  <c r="H151" i="5"/>
  <c r="D151" i="5"/>
  <c r="E151" i="5" s="1"/>
  <c r="N150" i="5"/>
  <c r="I150" i="5"/>
  <c r="H150" i="5"/>
  <c r="E150" i="5"/>
  <c r="D150" i="5"/>
  <c r="H149" i="5"/>
  <c r="D149" i="5"/>
  <c r="E149" i="5" s="1"/>
  <c r="H148" i="5"/>
  <c r="D148" i="5"/>
  <c r="E148" i="5" s="1"/>
  <c r="I147" i="5"/>
  <c r="H147" i="5"/>
  <c r="N147" i="5" s="1"/>
  <c r="E147" i="5"/>
  <c r="D147" i="5"/>
  <c r="H146" i="5"/>
  <c r="D146" i="5"/>
  <c r="E146" i="5" s="1"/>
  <c r="N145" i="5"/>
  <c r="I145" i="5"/>
  <c r="H145" i="5"/>
  <c r="D145" i="5"/>
  <c r="E145" i="5" s="1"/>
  <c r="H144" i="5"/>
  <c r="D144" i="5"/>
  <c r="E144" i="5" s="1"/>
  <c r="N143" i="5"/>
  <c r="H143" i="5"/>
  <c r="E143" i="5"/>
  <c r="I143" i="5" s="1"/>
  <c r="D143" i="5"/>
  <c r="H142" i="5"/>
  <c r="E142" i="5"/>
  <c r="D142" i="5"/>
  <c r="H141" i="5"/>
  <c r="D141" i="5"/>
  <c r="E141" i="5" s="1"/>
  <c r="N140" i="5"/>
  <c r="I140" i="5"/>
  <c r="H140" i="5"/>
  <c r="E140" i="5"/>
  <c r="D140" i="5"/>
  <c r="H139" i="5"/>
  <c r="D139" i="5"/>
  <c r="E139" i="5" s="1"/>
  <c r="I138" i="5"/>
  <c r="H138" i="5"/>
  <c r="E138" i="5"/>
  <c r="D138" i="5"/>
  <c r="H137" i="5"/>
  <c r="D137" i="5"/>
  <c r="E137" i="5" s="1"/>
  <c r="N136" i="5"/>
  <c r="H136" i="5"/>
  <c r="D136" i="5"/>
  <c r="E136" i="5" s="1"/>
  <c r="I136" i="5" s="1"/>
  <c r="H135" i="5"/>
  <c r="E135" i="5"/>
  <c r="D135" i="5"/>
  <c r="N134" i="5"/>
  <c r="I134" i="5"/>
  <c r="H134" i="5"/>
  <c r="E134" i="5"/>
  <c r="D134" i="5"/>
  <c r="I133" i="5"/>
  <c r="H133" i="5"/>
  <c r="N133" i="5" s="1"/>
  <c r="E133" i="5"/>
  <c r="D133" i="5"/>
  <c r="H132" i="5"/>
  <c r="E132" i="5"/>
  <c r="D132" i="5"/>
  <c r="H131" i="5"/>
  <c r="D131" i="5"/>
  <c r="E131" i="5" s="1"/>
  <c r="I131" i="5" s="1"/>
  <c r="O130" i="5"/>
  <c r="I130" i="5"/>
  <c r="H130" i="5"/>
  <c r="N130" i="5" s="1"/>
  <c r="E130" i="5"/>
  <c r="D130" i="5"/>
  <c r="H129" i="5"/>
  <c r="E129" i="5"/>
  <c r="D129" i="5"/>
  <c r="H128" i="5"/>
  <c r="D128" i="5"/>
  <c r="E128" i="5" s="1"/>
  <c r="I128" i="5" s="1"/>
  <c r="H127" i="5"/>
  <c r="D127" i="5"/>
  <c r="E127" i="5" s="1"/>
  <c r="N126" i="5"/>
  <c r="I126" i="5"/>
  <c r="H126" i="5"/>
  <c r="D126" i="5"/>
  <c r="E126" i="5" s="1"/>
  <c r="I125" i="5"/>
  <c r="H125" i="5"/>
  <c r="E125" i="5"/>
  <c r="N125" i="5" s="1"/>
  <c r="D125" i="5"/>
  <c r="H124" i="5"/>
  <c r="D124" i="5"/>
  <c r="E124" i="5" s="1"/>
  <c r="I123" i="5"/>
  <c r="H123" i="5"/>
  <c r="N123" i="5" s="1"/>
  <c r="E123" i="5"/>
  <c r="D123" i="5"/>
  <c r="H122" i="5"/>
  <c r="E122" i="5"/>
  <c r="D122" i="5"/>
  <c r="H121" i="5"/>
  <c r="D121" i="5"/>
  <c r="E121" i="5" s="1"/>
  <c r="I121" i="5" s="1"/>
  <c r="H120" i="5"/>
  <c r="E120" i="5"/>
  <c r="N120" i="5" s="1"/>
  <c r="D120" i="5"/>
  <c r="H119" i="5"/>
  <c r="D119" i="5"/>
  <c r="E119" i="5" s="1"/>
  <c r="N118" i="5"/>
  <c r="I118" i="5"/>
  <c r="H118" i="5"/>
  <c r="D118" i="5"/>
  <c r="E118" i="5" s="1"/>
  <c r="H117" i="5"/>
  <c r="D117" i="5"/>
  <c r="E117" i="5" s="1"/>
  <c r="O116" i="5"/>
  <c r="I116" i="5"/>
  <c r="H116" i="5"/>
  <c r="E116" i="5"/>
  <c r="D116" i="5"/>
  <c r="H115" i="5"/>
  <c r="D115" i="5"/>
  <c r="E115" i="5" s="1"/>
  <c r="N114" i="5"/>
  <c r="H114" i="5"/>
  <c r="D114" i="5"/>
  <c r="E114" i="5" s="1"/>
  <c r="I114" i="5" s="1"/>
  <c r="H113" i="5"/>
  <c r="E113" i="5"/>
  <c r="D113" i="5"/>
  <c r="N112" i="5"/>
  <c r="I112" i="5"/>
  <c r="H112" i="5"/>
  <c r="E112" i="5"/>
  <c r="D112" i="5"/>
  <c r="N111" i="5"/>
  <c r="I111" i="5"/>
  <c r="H111" i="5"/>
  <c r="E111" i="5"/>
  <c r="D111" i="5"/>
  <c r="H110" i="5"/>
  <c r="D110" i="5"/>
  <c r="E110" i="5" s="1"/>
  <c r="N109" i="5"/>
  <c r="H109" i="5"/>
  <c r="D109" i="5"/>
  <c r="E109" i="5" s="1"/>
  <c r="I109" i="5" s="1"/>
  <c r="H108" i="5"/>
  <c r="E108" i="5"/>
  <c r="D108" i="5"/>
  <c r="N107" i="5"/>
  <c r="I107" i="5"/>
  <c r="H107" i="5"/>
  <c r="D107" i="5"/>
  <c r="E107" i="5" s="1"/>
  <c r="H106" i="5"/>
  <c r="E106" i="5"/>
  <c r="N106" i="5" s="1"/>
  <c r="D106" i="5"/>
  <c r="H105" i="5"/>
  <c r="D105" i="5"/>
  <c r="E105" i="5" s="1"/>
  <c r="N104" i="5"/>
  <c r="I104" i="5"/>
  <c r="H104" i="5"/>
  <c r="E104" i="5"/>
  <c r="D104" i="5"/>
  <c r="H103" i="5"/>
  <c r="D103" i="5"/>
  <c r="E103" i="5" s="1"/>
  <c r="N102" i="5"/>
  <c r="H102" i="5"/>
  <c r="D102" i="5"/>
  <c r="E102" i="5" s="1"/>
  <c r="I102" i="5" s="1"/>
  <c r="H101" i="5"/>
  <c r="E101" i="5"/>
  <c r="D101" i="5"/>
  <c r="H100" i="5"/>
  <c r="D100" i="5"/>
  <c r="E100" i="5" s="1"/>
  <c r="N99" i="5"/>
  <c r="I99" i="5"/>
  <c r="H99" i="5"/>
  <c r="D99" i="5"/>
  <c r="E99" i="5" s="1"/>
  <c r="H98" i="5"/>
  <c r="D98" i="5"/>
  <c r="E98" i="5" s="1"/>
  <c r="H97" i="5"/>
  <c r="N97" i="5" s="1"/>
  <c r="E97" i="5"/>
  <c r="I97" i="5" s="1"/>
  <c r="D97" i="5"/>
  <c r="H96" i="5"/>
  <c r="E96" i="5"/>
  <c r="D96" i="5"/>
  <c r="H95" i="5"/>
  <c r="D95" i="5"/>
  <c r="E95" i="5" s="1"/>
  <c r="I95" i="5" s="1"/>
  <c r="I94" i="5"/>
  <c r="H94" i="5"/>
  <c r="E94" i="5"/>
  <c r="N94" i="5" s="1"/>
  <c r="D94" i="5"/>
  <c r="H93" i="5"/>
  <c r="D93" i="5"/>
  <c r="E93" i="5" s="1"/>
  <c r="I92" i="5"/>
  <c r="H92" i="5"/>
  <c r="E92" i="5"/>
  <c r="D92" i="5"/>
  <c r="H91" i="5"/>
  <c r="D91" i="5"/>
  <c r="E91" i="5" s="1"/>
  <c r="N90" i="5"/>
  <c r="I90" i="5"/>
  <c r="H90" i="5"/>
  <c r="E90" i="5"/>
  <c r="D90" i="5"/>
  <c r="O89" i="5"/>
  <c r="H89" i="5"/>
  <c r="E89" i="5"/>
  <c r="D89" i="5"/>
  <c r="N88" i="5"/>
  <c r="I88" i="5"/>
  <c r="H88" i="5"/>
  <c r="D88" i="5"/>
  <c r="E88" i="5" s="1"/>
  <c r="F87" i="5"/>
  <c r="I87" i="5" s="1"/>
  <c r="E87" i="5"/>
  <c r="D87" i="5"/>
  <c r="F86" i="5"/>
  <c r="D86" i="5"/>
  <c r="E86" i="5" s="1"/>
  <c r="F85" i="5"/>
  <c r="H85" i="5" s="1"/>
  <c r="D85" i="5"/>
  <c r="E85" i="5" s="1"/>
  <c r="I85" i="5" s="1"/>
  <c r="I84" i="5"/>
  <c r="H84" i="5"/>
  <c r="E84" i="5"/>
  <c r="N84" i="5" s="1"/>
  <c r="D84" i="5"/>
  <c r="F83" i="5"/>
  <c r="D83" i="5"/>
  <c r="E83" i="5" s="1"/>
  <c r="N82" i="5"/>
  <c r="H82" i="5"/>
  <c r="F82" i="5"/>
  <c r="D82" i="5"/>
  <c r="E82" i="5" s="1"/>
  <c r="I81" i="5"/>
  <c r="H81" i="5"/>
  <c r="F81" i="5"/>
  <c r="E81" i="5"/>
  <c r="D81" i="5"/>
  <c r="H80" i="5"/>
  <c r="D80" i="5"/>
  <c r="E80" i="5" s="1"/>
  <c r="I79" i="5"/>
  <c r="H79" i="5"/>
  <c r="F79" i="5"/>
  <c r="D79" i="5"/>
  <c r="E79" i="5" s="1"/>
  <c r="N79" i="5" s="1"/>
  <c r="I78" i="5"/>
  <c r="H78" i="5"/>
  <c r="E78" i="5"/>
  <c r="N78" i="5" s="1"/>
  <c r="D78" i="5"/>
  <c r="F77" i="5"/>
  <c r="E77" i="5"/>
  <c r="D77" i="5"/>
  <c r="N76" i="5"/>
  <c r="H76" i="5"/>
  <c r="F76" i="5"/>
  <c r="D76" i="5"/>
  <c r="E76" i="5" s="1"/>
  <c r="I76" i="5" s="1"/>
  <c r="F75" i="5"/>
  <c r="I75" i="5" s="1"/>
  <c r="E75" i="5"/>
  <c r="D75" i="5"/>
  <c r="H74" i="5"/>
  <c r="D74" i="5"/>
  <c r="E74" i="5" s="1"/>
  <c r="N73" i="5"/>
  <c r="I73" i="5"/>
  <c r="H73" i="5"/>
  <c r="E73" i="5"/>
  <c r="D73" i="5"/>
  <c r="F72" i="5"/>
  <c r="E72" i="5"/>
  <c r="D72" i="5"/>
  <c r="H71" i="5"/>
  <c r="F71" i="5"/>
  <c r="D71" i="5"/>
  <c r="E71" i="5" s="1"/>
  <c r="N70" i="5"/>
  <c r="I70" i="5"/>
  <c r="H70" i="5"/>
  <c r="E70" i="5"/>
  <c r="D70" i="5"/>
  <c r="F69" i="5"/>
  <c r="D69" i="5"/>
  <c r="E69" i="5" s="1"/>
  <c r="F68" i="5"/>
  <c r="H68" i="5" s="1"/>
  <c r="D68" i="5"/>
  <c r="E68" i="5" s="1"/>
  <c r="I67" i="5"/>
  <c r="H67" i="5"/>
  <c r="N67" i="5" s="1"/>
  <c r="E67" i="5"/>
  <c r="D67" i="5"/>
  <c r="F66" i="5"/>
  <c r="E66" i="5"/>
  <c r="D66" i="5"/>
  <c r="H65" i="5"/>
  <c r="F65" i="5"/>
  <c r="D65" i="5"/>
  <c r="E65" i="5" s="1"/>
  <c r="I64" i="5"/>
  <c r="H64" i="5"/>
  <c r="D64" i="5"/>
  <c r="E64" i="5" s="1"/>
  <c r="F63" i="5"/>
  <c r="D63" i="5"/>
  <c r="E63" i="5" s="1"/>
  <c r="I62" i="5"/>
  <c r="H62" i="5"/>
  <c r="F62" i="5"/>
  <c r="D62" i="5"/>
  <c r="E62" i="5" s="1"/>
  <c r="N62" i="5" s="1"/>
  <c r="I61" i="5"/>
  <c r="F61" i="5"/>
  <c r="H61" i="5" s="1"/>
  <c r="E61" i="5"/>
  <c r="N61" i="5" s="1"/>
  <c r="D61" i="5"/>
  <c r="H60" i="5"/>
  <c r="E60" i="5"/>
  <c r="N60" i="5" s="1"/>
  <c r="D60" i="5"/>
  <c r="H59" i="5"/>
  <c r="F59" i="5"/>
  <c r="D59" i="5"/>
  <c r="E59" i="5" s="1"/>
  <c r="N59" i="5" s="1"/>
  <c r="H58" i="5"/>
  <c r="F58" i="5"/>
  <c r="E58" i="5"/>
  <c r="D58" i="5"/>
  <c r="H57" i="5"/>
  <c r="F57" i="5"/>
  <c r="D57" i="5"/>
  <c r="E57" i="5" s="1"/>
  <c r="N56" i="5"/>
  <c r="I56" i="5"/>
  <c r="H56" i="5"/>
  <c r="F56" i="5"/>
  <c r="E56" i="5"/>
  <c r="D56" i="5"/>
  <c r="I55" i="5"/>
  <c r="H55" i="5"/>
  <c r="N55" i="5" s="1"/>
  <c r="F55" i="5"/>
  <c r="E55" i="5"/>
  <c r="D55" i="5"/>
  <c r="H54" i="5"/>
  <c r="D54" i="5"/>
  <c r="E54" i="5" s="1"/>
  <c r="N53" i="5"/>
  <c r="I53" i="5"/>
  <c r="H53" i="5"/>
  <c r="F53" i="5"/>
  <c r="D53" i="5"/>
  <c r="E53" i="5" s="1"/>
  <c r="I52" i="5"/>
  <c r="F52" i="5"/>
  <c r="H52" i="5" s="1"/>
  <c r="E52" i="5"/>
  <c r="D52" i="5"/>
  <c r="F51" i="5"/>
  <c r="D51" i="5"/>
  <c r="E51" i="5" s="1"/>
  <c r="N50" i="5"/>
  <c r="F50" i="5"/>
  <c r="H50" i="5" s="1"/>
  <c r="D50" i="5"/>
  <c r="E50" i="5" s="1"/>
  <c r="I50" i="5" s="1"/>
  <c r="I49" i="5"/>
  <c r="H49" i="5"/>
  <c r="E49" i="5"/>
  <c r="D49" i="5"/>
  <c r="F48" i="5"/>
  <c r="E48" i="5"/>
  <c r="D48" i="5"/>
  <c r="N47" i="5"/>
  <c r="H47" i="5"/>
  <c r="F47" i="5"/>
  <c r="D47" i="5"/>
  <c r="E47" i="5" s="1"/>
  <c r="I46" i="5"/>
  <c r="H46" i="5"/>
  <c r="F46" i="5"/>
  <c r="E46" i="5"/>
  <c r="D46" i="5"/>
  <c r="F45" i="5"/>
  <c r="E45" i="5"/>
  <c r="D45" i="5"/>
  <c r="H44" i="5"/>
  <c r="D44" i="5"/>
  <c r="E44" i="5" s="1"/>
  <c r="N43" i="5"/>
  <c r="F43" i="5"/>
  <c r="H43" i="5" s="1"/>
  <c r="E43" i="5"/>
  <c r="D43" i="5"/>
  <c r="F42" i="5"/>
  <c r="D42" i="5"/>
  <c r="E42" i="5" s="1"/>
  <c r="N41" i="5"/>
  <c r="H41" i="5"/>
  <c r="F41" i="5"/>
  <c r="D41" i="5"/>
  <c r="E41" i="5" s="1"/>
  <c r="I41" i="5" s="1"/>
  <c r="I40" i="5"/>
  <c r="H40" i="5"/>
  <c r="E40" i="5"/>
  <c r="D40" i="5"/>
  <c r="H39" i="5"/>
  <c r="F39" i="5"/>
  <c r="D39" i="5"/>
  <c r="E39" i="5" s="1"/>
  <c r="N38" i="5"/>
  <c r="I38" i="5"/>
  <c r="H38" i="5"/>
  <c r="F38" i="5"/>
  <c r="E38" i="5"/>
  <c r="D38" i="5"/>
  <c r="I37" i="5"/>
  <c r="H37" i="5"/>
  <c r="N37" i="5" s="1"/>
  <c r="E37" i="5"/>
  <c r="D37" i="5"/>
  <c r="F36" i="5"/>
  <c r="H36" i="5" s="1"/>
  <c r="D36" i="5"/>
  <c r="E36" i="5" s="1"/>
  <c r="N36" i="5" s="1"/>
  <c r="N35" i="5"/>
  <c r="I35" i="5"/>
  <c r="H35" i="5"/>
  <c r="F35" i="5"/>
  <c r="D35" i="5"/>
  <c r="E35" i="5" s="1"/>
  <c r="F34" i="5"/>
  <c r="I34" i="5" s="1"/>
  <c r="E34" i="5"/>
  <c r="D34" i="5"/>
  <c r="H33" i="5"/>
  <c r="D33" i="5"/>
  <c r="E33" i="5" s="1"/>
  <c r="N32" i="5"/>
  <c r="I32" i="5"/>
  <c r="H32" i="5"/>
  <c r="F32" i="5"/>
  <c r="D32" i="5"/>
  <c r="E32" i="5" s="1"/>
  <c r="H31" i="5"/>
  <c r="F31" i="5"/>
  <c r="I31" i="5" s="1"/>
  <c r="E31" i="5"/>
  <c r="D31" i="5"/>
  <c r="F30" i="5"/>
  <c r="E30" i="5"/>
  <c r="D30" i="5"/>
  <c r="C30" i="5"/>
  <c r="F29" i="5"/>
  <c r="I29" i="5" s="1"/>
  <c r="D29" i="5"/>
  <c r="E29" i="5" s="1"/>
  <c r="N28" i="5"/>
  <c r="I28" i="5"/>
  <c r="F28" i="5"/>
  <c r="H28" i="5" s="1"/>
  <c r="E28" i="5"/>
  <c r="D28" i="5"/>
  <c r="F27" i="5"/>
  <c r="I27" i="5" s="1"/>
  <c r="D27" i="5"/>
  <c r="E27" i="5" s="1"/>
  <c r="F26" i="5"/>
  <c r="D26" i="5"/>
  <c r="E26" i="5" s="1"/>
  <c r="I25" i="5"/>
  <c r="H25" i="5"/>
  <c r="F25" i="5"/>
  <c r="E25" i="5"/>
  <c r="D25" i="5"/>
  <c r="H24" i="5"/>
  <c r="D24" i="5"/>
  <c r="E24" i="5" s="1"/>
  <c r="T23" i="5"/>
  <c r="S23" i="5"/>
  <c r="R23" i="5"/>
  <c r="Q23" i="5"/>
  <c r="H23" i="5"/>
  <c r="F23" i="5"/>
  <c r="I23" i="5" s="1"/>
  <c r="E23" i="5"/>
  <c r="D23" i="5"/>
  <c r="T22" i="5"/>
  <c r="R22" i="5"/>
  <c r="S22" i="5" s="1"/>
  <c r="Q22" i="5"/>
  <c r="I22" i="5"/>
  <c r="H22" i="5"/>
  <c r="N22" i="5" s="1"/>
  <c r="F22" i="5"/>
  <c r="E22" i="5"/>
  <c r="D22" i="5"/>
  <c r="T21" i="5"/>
  <c r="R21" i="5"/>
  <c r="S21" i="5" s="1"/>
  <c r="Q21" i="5"/>
  <c r="N21" i="5"/>
  <c r="I21" i="5"/>
  <c r="H21" i="5"/>
  <c r="F21" i="5"/>
  <c r="E21" i="5"/>
  <c r="D21" i="5"/>
  <c r="T20" i="5"/>
  <c r="R20" i="5"/>
  <c r="S20" i="5" s="1"/>
  <c r="Q20" i="5"/>
  <c r="H20" i="5"/>
  <c r="F20" i="5"/>
  <c r="D20" i="5"/>
  <c r="E20" i="5" s="1"/>
  <c r="T19" i="5"/>
  <c r="S19" i="5"/>
  <c r="R19" i="5"/>
  <c r="Q19" i="5"/>
  <c r="F19" i="5"/>
  <c r="D19" i="5"/>
  <c r="E19" i="5" s="1"/>
  <c r="P18" i="5"/>
  <c r="F18" i="5"/>
  <c r="E18" i="5"/>
  <c r="D18" i="5"/>
  <c r="P17" i="5"/>
  <c r="I17" i="5"/>
  <c r="H17" i="5"/>
  <c r="N17" i="5" s="1"/>
  <c r="D17" i="5"/>
  <c r="E17" i="5" s="1"/>
  <c r="P16" i="5"/>
  <c r="N16" i="5"/>
  <c r="H16" i="5"/>
  <c r="F16" i="5"/>
  <c r="I16" i="5" s="1"/>
  <c r="E16" i="5"/>
  <c r="D16" i="5"/>
  <c r="P15" i="5"/>
  <c r="N15" i="5"/>
  <c r="H15" i="5"/>
  <c r="F15" i="5"/>
  <c r="D15" i="5"/>
  <c r="E15" i="5" s="1"/>
  <c r="I15" i="5" s="1"/>
  <c r="P14" i="5"/>
  <c r="H14" i="5"/>
  <c r="D14" i="5"/>
  <c r="E14" i="5" s="1"/>
  <c r="N14" i="5" s="1"/>
  <c r="P13" i="5"/>
  <c r="H13" i="5"/>
  <c r="D13" i="5"/>
  <c r="E13" i="5" s="1"/>
  <c r="P12" i="5"/>
  <c r="F12" i="5"/>
  <c r="H12" i="5" s="1"/>
  <c r="E12" i="5"/>
  <c r="D12" i="5"/>
  <c r="P11" i="5"/>
  <c r="I11" i="5"/>
  <c r="H11" i="5"/>
  <c r="N11" i="5" s="1"/>
  <c r="F11" i="5"/>
  <c r="D11" i="5"/>
  <c r="E11" i="5" s="1"/>
  <c r="P10" i="5"/>
  <c r="H10" i="5"/>
  <c r="F10" i="5"/>
  <c r="D10" i="5"/>
  <c r="E10" i="5" s="1"/>
  <c r="N10" i="5" s="1"/>
  <c r="P9" i="5"/>
  <c r="F9" i="5"/>
  <c r="H9" i="5" s="1"/>
  <c r="D9" i="5"/>
  <c r="E9" i="5" s="1"/>
  <c r="P8" i="5"/>
  <c r="H8" i="5"/>
  <c r="D8" i="5"/>
  <c r="E8" i="5" s="1"/>
  <c r="P7" i="5"/>
  <c r="F7" i="5"/>
  <c r="E7" i="5"/>
  <c r="D7" i="5"/>
  <c r="P6" i="5"/>
  <c r="F6" i="5"/>
  <c r="I6" i="5" s="1"/>
  <c r="E6" i="5"/>
  <c r="D6" i="5"/>
  <c r="P5" i="5"/>
  <c r="N5" i="5"/>
  <c r="H5" i="5"/>
  <c r="F5" i="5"/>
  <c r="D5" i="5"/>
  <c r="E5" i="5" s="1"/>
  <c r="I5" i="5" s="1"/>
  <c r="P4" i="5"/>
  <c r="Q4" i="5" s="1"/>
  <c r="F4" i="5"/>
  <c r="H4" i="5" s="1"/>
  <c r="D4" i="5"/>
  <c r="E4" i="5" s="1"/>
  <c r="P3" i="5"/>
  <c r="O3" i="5"/>
  <c r="H3" i="5"/>
  <c r="F3" i="5"/>
  <c r="I3" i="5" s="1"/>
  <c r="D3" i="5"/>
  <c r="E3" i="5" s="1"/>
  <c r="P2" i="5"/>
  <c r="I2" i="5"/>
  <c r="H2" i="5"/>
  <c r="E2" i="5"/>
  <c r="D2" i="5"/>
  <c r="Q130" i="4"/>
  <c r="Q11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T23" i="4" s="1"/>
  <c r="U23" i="4" s="1"/>
  <c r="R22" i="4"/>
  <c r="R21" i="4"/>
  <c r="S21" i="4" s="1"/>
  <c r="R20" i="4"/>
  <c r="R19" i="4"/>
  <c r="R18" i="4"/>
  <c r="S18" i="4" s="1"/>
  <c r="R17" i="4"/>
  <c r="R16" i="4"/>
  <c r="T16" i="4" s="1"/>
  <c r="U16" i="4" s="1"/>
  <c r="R15" i="4"/>
  <c r="R14" i="4"/>
  <c r="R13" i="4"/>
  <c r="S13" i="4" s="1"/>
  <c r="R12" i="4"/>
  <c r="R11" i="4"/>
  <c r="S11" i="4" s="1"/>
  <c r="R10" i="4"/>
  <c r="T10" i="4" s="1"/>
  <c r="U10" i="4" s="1"/>
  <c r="R9" i="4"/>
  <c r="T9" i="4" s="1"/>
  <c r="U9" i="4" s="1"/>
  <c r="R8" i="4"/>
  <c r="R7" i="4"/>
  <c r="T7" i="4" s="1"/>
  <c r="U7" i="4" s="1"/>
  <c r="R6" i="4"/>
  <c r="R5" i="4"/>
  <c r="S5" i="4" s="1"/>
  <c r="Q5" i="4"/>
  <c r="R4" i="4"/>
  <c r="S4" i="4" s="1"/>
  <c r="R3" i="4"/>
  <c r="Q3" i="4"/>
  <c r="R2" i="4"/>
  <c r="N206" i="3"/>
  <c r="I206" i="3"/>
  <c r="H206" i="3"/>
  <c r="E206" i="3"/>
  <c r="D206" i="3"/>
  <c r="H205" i="3"/>
  <c r="D205" i="3"/>
  <c r="E205" i="3" s="1"/>
  <c r="N204" i="3"/>
  <c r="I204" i="3"/>
  <c r="H204" i="3"/>
  <c r="D204" i="3"/>
  <c r="E204" i="3" s="1"/>
  <c r="H203" i="3"/>
  <c r="D203" i="3"/>
  <c r="E203" i="3" s="1"/>
  <c r="H202" i="3"/>
  <c r="D202" i="3"/>
  <c r="E202" i="3" s="1"/>
  <c r="I201" i="3"/>
  <c r="H201" i="3"/>
  <c r="N201" i="3" s="1"/>
  <c r="D201" i="3"/>
  <c r="E201" i="3" s="1"/>
  <c r="H200" i="3"/>
  <c r="E200" i="3"/>
  <c r="D200" i="3"/>
  <c r="H199" i="3"/>
  <c r="E199" i="3"/>
  <c r="I199" i="3" s="1"/>
  <c r="D199" i="3"/>
  <c r="H198" i="3"/>
  <c r="E198" i="3"/>
  <c r="D198" i="3"/>
  <c r="N197" i="3"/>
  <c r="H197" i="3"/>
  <c r="D197" i="3"/>
  <c r="E197" i="3" s="1"/>
  <c r="I197" i="3" s="1"/>
  <c r="H196" i="3"/>
  <c r="E196" i="3"/>
  <c r="I196" i="3" s="1"/>
  <c r="D196" i="3"/>
  <c r="H195" i="3"/>
  <c r="D195" i="3"/>
  <c r="E195" i="3" s="1"/>
  <c r="I194" i="3"/>
  <c r="H194" i="3"/>
  <c r="E194" i="3"/>
  <c r="N194" i="3" s="1"/>
  <c r="D194" i="3"/>
  <c r="H193" i="3"/>
  <c r="D193" i="3"/>
  <c r="E193" i="3" s="1"/>
  <c r="I192" i="3"/>
  <c r="H192" i="3"/>
  <c r="N192" i="3" s="1"/>
  <c r="E192" i="3"/>
  <c r="D192" i="3"/>
  <c r="H191" i="3"/>
  <c r="E191" i="3"/>
  <c r="D191" i="3"/>
  <c r="N190" i="3"/>
  <c r="I190" i="3"/>
  <c r="H190" i="3"/>
  <c r="E190" i="3"/>
  <c r="D190" i="3"/>
  <c r="H189" i="3"/>
  <c r="D189" i="3"/>
  <c r="E189" i="3" s="1"/>
  <c r="H188" i="3"/>
  <c r="D188" i="3"/>
  <c r="E188" i="3" s="1"/>
  <c r="N187" i="3"/>
  <c r="I187" i="3"/>
  <c r="H187" i="3"/>
  <c r="E187" i="3"/>
  <c r="D187" i="3"/>
  <c r="H186" i="3"/>
  <c r="D186" i="3"/>
  <c r="E186" i="3" s="1"/>
  <c r="N185" i="3"/>
  <c r="I185" i="3"/>
  <c r="H185" i="3"/>
  <c r="D185" i="3"/>
  <c r="E185" i="3" s="1"/>
  <c r="H184" i="3"/>
  <c r="D184" i="3"/>
  <c r="E184" i="3" s="1"/>
  <c r="N183" i="3"/>
  <c r="H183" i="3"/>
  <c r="D183" i="3"/>
  <c r="E183" i="3" s="1"/>
  <c r="I183" i="3" s="1"/>
  <c r="I182" i="3"/>
  <c r="H182" i="3"/>
  <c r="N182" i="3" s="1"/>
  <c r="E182" i="3"/>
  <c r="D182" i="3"/>
  <c r="H181" i="3"/>
  <c r="E181" i="3"/>
  <c r="D181" i="3"/>
  <c r="N180" i="3"/>
  <c r="I180" i="3"/>
  <c r="H180" i="3"/>
  <c r="E180" i="3"/>
  <c r="D180" i="3"/>
  <c r="H179" i="3"/>
  <c r="D179" i="3"/>
  <c r="E179" i="3" s="1"/>
  <c r="I178" i="3"/>
  <c r="H178" i="3"/>
  <c r="D178" i="3"/>
  <c r="E178" i="3" s="1"/>
  <c r="N178" i="3" s="1"/>
  <c r="I177" i="3"/>
  <c r="H177" i="3"/>
  <c r="N177" i="3" s="1"/>
  <c r="D177" i="3"/>
  <c r="E177" i="3" s="1"/>
  <c r="H176" i="3"/>
  <c r="D176" i="3"/>
  <c r="E176" i="3" s="1"/>
  <c r="I176" i="3" s="1"/>
  <c r="H175" i="3"/>
  <c r="E175" i="3"/>
  <c r="I175" i="3" s="1"/>
  <c r="D175" i="3"/>
  <c r="H174" i="3"/>
  <c r="E174" i="3"/>
  <c r="D174" i="3"/>
  <c r="N173" i="3"/>
  <c r="I173" i="3"/>
  <c r="H173" i="3"/>
  <c r="E173" i="3"/>
  <c r="D173" i="3"/>
  <c r="H172" i="3"/>
  <c r="D172" i="3"/>
  <c r="E172" i="3" s="1"/>
  <c r="H171" i="3"/>
  <c r="D171" i="3"/>
  <c r="E171" i="3" s="1"/>
  <c r="I171" i="3" s="1"/>
  <c r="H170" i="3"/>
  <c r="D170" i="3"/>
  <c r="E170" i="3" s="1"/>
  <c r="H169" i="3"/>
  <c r="D169" i="3"/>
  <c r="E169" i="3" s="1"/>
  <c r="I168" i="3"/>
  <c r="H168" i="3"/>
  <c r="N168" i="3" s="1"/>
  <c r="E168" i="3"/>
  <c r="D168" i="3"/>
  <c r="H167" i="3"/>
  <c r="E167" i="3"/>
  <c r="D167" i="3"/>
  <c r="I166" i="3"/>
  <c r="H166" i="3"/>
  <c r="N166" i="3" s="1"/>
  <c r="E166" i="3"/>
  <c r="D166" i="3"/>
  <c r="H165" i="3"/>
  <c r="D165" i="3"/>
  <c r="E165" i="3" s="1"/>
  <c r="N164" i="3"/>
  <c r="H164" i="3"/>
  <c r="D164" i="3"/>
  <c r="E164" i="3" s="1"/>
  <c r="I164" i="3" s="1"/>
  <c r="I163" i="3"/>
  <c r="H163" i="3"/>
  <c r="N163" i="3" s="1"/>
  <c r="E163" i="3"/>
  <c r="D163" i="3"/>
  <c r="H162" i="3"/>
  <c r="E162" i="3"/>
  <c r="D162" i="3"/>
  <c r="I161" i="3"/>
  <c r="H161" i="3"/>
  <c r="N161" i="3" s="1"/>
  <c r="D161" i="3"/>
  <c r="E161" i="3" s="1"/>
  <c r="H160" i="3"/>
  <c r="E160" i="3"/>
  <c r="D160" i="3"/>
  <c r="H159" i="3"/>
  <c r="N159" i="3" s="1"/>
  <c r="E159" i="3"/>
  <c r="I159" i="3" s="1"/>
  <c r="D159" i="3"/>
  <c r="H158" i="3"/>
  <c r="E158" i="3"/>
  <c r="N158" i="3" s="1"/>
  <c r="D158" i="3"/>
  <c r="H157" i="3"/>
  <c r="D157" i="3"/>
  <c r="E157" i="3" s="1"/>
  <c r="I157" i="3" s="1"/>
  <c r="H156" i="3"/>
  <c r="E156" i="3"/>
  <c r="N156" i="3" s="1"/>
  <c r="D156" i="3"/>
  <c r="H155" i="3"/>
  <c r="D155" i="3"/>
  <c r="E155" i="3" s="1"/>
  <c r="I154" i="3"/>
  <c r="H154" i="3"/>
  <c r="E154" i="3"/>
  <c r="D154" i="3"/>
  <c r="I153" i="3"/>
  <c r="H153" i="3"/>
  <c r="D153" i="3"/>
  <c r="E153" i="3" s="1"/>
  <c r="N153" i="3" s="1"/>
  <c r="I152" i="3"/>
  <c r="H152" i="3"/>
  <c r="D152" i="3"/>
  <c r="E152" i="3" s="1"/>
  <c r="N152" i="3" s="1"/>
  <c r="H151" i="3"/>
  <c r="D151" i="3"/>
  <c r="E151" i="3" s="1"/>
  <c r="N150" i="3"/>
  <c r="I150" i="3"/>
  <c r="H150" i="3"/>
  <c r="E150" i="3"/>
  <c r="D150" i="3"/>
  <c r="N149" i="3"/>
  <c r="H149" i="3"/>
  <c r="E149" i="3"/>
  <c r="I149" i="3" s="1"/>
  <c r="D149" i="3"/>
  <c r="H148" i="3"/>
  <c r="D148" i="3"/>
  <c r="E148" i="3" s="1"/>
  <c r="N147" i="3"/>
  <c r="H147" i="3"/>
  <c r="D147" i="3"/>
  <c r="E147" i="3" s="1"/>
  <c r="I147" i="3" s="1"/>
  <c r="H146" i="3"/>
  <c r="D146" i="3"/>
  <c r="E146" i="3" s="1"/>
  <c r="N145" i="3"/>
  <c r="I145" i="3"/>
  <c r="H145" i="3"/>
  <c r="D145" i="3"/>
  <c r="E145" i="3" s="1"/>
  <c r="H144" i="3"/>
  <c r="E144" i="3"/>
  <c r="N144" i="3" s="1"/>
  <c r="D144" i="3"/>
  <c r="H143" i="3"/>
  <c r="D143" i="3"/>
  <c r="E143" i="3" s="1"/>
  <c r="I142" i="3"/>
  <c r="H142" i="3"/>
  <c r="E142" i="3"/>
  <c r="N142" i="3" s="1"/>
  <c r="D142" i="3"/>
  <c r="H141" i="3"/>
  <c r="D141" i="3"/>
  <c r="E141" i="3" s="1"/>
  <c r="I140" i="3"/>
  <c r="H140" i="3"/>
  <c r="D140" i="3"/>
  <c r="E140" i="3" s="1"/>
  <c r="N140" i="3" s="1"/>
  <c r="H139" i="3"/>
  <c r="D139" i="3"/>
  <c r="E139" i="3" s="1"/>
  <c r="H138" i="3"/>
  <c r="D138" i="3"/>
  <c r="E138" i="3" s="1"/>
  <c r="I137" i="3"/>
  <c r="H137" i="3"/>
  <c r="N137" i="3" s="1"/>
  <c r="D137" i="3"/>
  <c r="E137" i="3" s="1"/>
  <c r="H136" i="3"/>
  <c r="D136" i="3"/>
  <c r="E136" i="3" s="1"/>
  <c r="H135" i="3"/>
  <c r="E135" i="3"/>
  <c r="I135" i="3" s="1"/>
  <c r="D135" i="3"/>
  <c r="H134" i="3"/>
  <c r="E134" i="3"/>
  <c r="D134" i="3"/>
  <c r="H133" i="3"/>
  <c r="D133" i="3"/>
  <c r="E133" i="3" s="1"/>
  <c r="I133" i="3" s="1"/>
  <c r="H132" i="3"/>
  <c r="D132" i="3"/>
  <c r="E132" i="3" s="1"/>
  <c r="H131" i="3"/>
  <c r="D131" i="3"/>
  <c r="E131" i="3" s="1"/>
  <c r="O130" i="3"/>
  <c r="H130" i="3"/>
  <c r="D130" i="3"/>
  <c r="E130" i="3" s="1"/>
  <c r="I130" i="3" s="1"/>
  <c r="H129" i="3"/>
  <c r="E129" i="3"/>
  <c r="N129" i="3" s="1"/>
  <c r="D129" i="3"/>
  <c r="H128" i="3"/>
  <c r="D128" i="3"/>
  <c r="E128" i="3" s="1"/>
  <c r="H127" i="3"/>
  <c r="E127" i="3"/>
  <c r="N127" i="3" s="1"/>
  <c r="D127" i="3"/>
  <c r="H126" i="3"/>
  <c r="D126" i="3"/>
  <c r="E126" i="3" s="1"/>
  <c r="N125" i="3"/>
  <c r="I125" i="3"/>
  <c r="H125" i="3"/>
  <c r="E125" i="3"/>
  <c r="D125" i="3"/>
  <c r="H124" i="3"/>
  <c r="D124" i="3"/>
  <c r="E124" i="3" s="1"/>
  <c r="N123" i="3"/>
  <c r="I123" i="3"/>
  <c r="H123" i="3"/>
  <c r="E123" i="3"/>
  <c r="D123" i="3"/>
  <c r="H122" i="3"/>
  <c r="D122" i="3"/>
  <c r="E122" i="3" s="1"/>
  <c r="H121" i="3"/>
  <c r="D121" i="3"/>
  <c r="E121" i="3" s="1"/>
  <c r="N120" i="3"/>
  <c r="I120" i="3"/>
  <c r="H120" i="3"/>
  <c r="E120" i="3"/>
  <c r="D120" i="3"/>
  <c r="H119" i="3"/>
  <c r="D119" i="3"/>
  <c r="E119" i="3" s="1"/>
  <c r="N118" i="3"/>
  <c r="I118" i="3"/>
  <c r="H118" i="3"/>
  <c r="D118" i="3"/>
  <c r="E118" i="3" s="1"/>
  <c r="H117" i="3"/>
  <c r="D117" i="3"/>
  <c r="E117" i="3" s="1"/>
  <c r="O116" i="3"/>
  <c r="H116" i="3"/>
  <c r="D116" i="3"/>
  <c r="E116" i="3" s="1"/>
  <c r="I115" i="3"/>
  <c r="H115" i="3"/>
  <c r="D115" i="3"/>
  <c r="E115" i="3" s="1"/>
  <c r="N115" i="3" s="1"/>
  <c r="H114" i="3"/>
  <c r="E114" i="3"/>
  <c r="D114" i="3"/>
  <c r="H113" i="3"/>
  <c r="E113" i="3"/>
  <c r="I113" i="3" s="1"/>
  <c r="D113" i="3"/>
  <c r="H112" i="3"/>
  <c r="E112" i="3"/>
  <c r="D112" i="3"/>
  <c r="H111" i="3"/>
  <c r="D111" i="3"/>
  <c r="E111" i="3" s="1"/>
  <c r="I111" i="3" s="1"/>
  <c r="H110" i="3"/>
  <c r="E110" i="3"/>
  <c r="N110" i="3" s="1"/>
  <c r="D110" i="3"/>
  <c r="H109" i="3"/>
  <c r="D109" i="3"/>
  <c r="E109" i="3" s="1"/>
  <c r="H108" i="3"/>
  <c r="E108" i="3"/>
  <c r="N108" i="3" s="1"/>
  <c r="D108" i="3"/>
  <c r="H107" i="3"/>
  <c r="D107" i="3"/>
  <c r="E107" i="3" s="1"/>
  <c r="N106" i="3"/>
  <c r="I106" i="3"/>
  <c r="H106" i="3"/>
  <c r="E106" i="3"/>
  <c r="D106" i="3"/>
  <c r="H105" i="3"/>
  <c r="D105" i="3"/>
  <c r="E105" i="3" s="1"/>
  <c r="N104" i="3"/>
  <c r="I104" i="3"/>
  <c r="H104" i="3"/>
  <c r="E104" i="3"/>
  <c r="D104" i="3"/>
  <c r="H103" i="3"/>
  <c r="D103" i="3"/>
  <c r="E103" i="3" s="1"/>
  <c r="H102" i="3"/>
  <c r="D102" i="3"/>
  <c r="E102" i="3" s="1"/>
  <c r="N101" i="3"/>
  <c r="I101" i="3"/>
  <c r="H101" i="3"/>
  <c r="E101" i="3"/>
  <c r="D101" i="3"/>
  <c r="H100" i="3"/>
  <c r="D100" i="3"/>
  <c r="E100" i="3" s="1"/>
  <c r="N99" i="3"/>
  <c r="I99" i="3"/>
  <c r="H99" i="3"/>
  <c r="D99" i="3"/>
  <c r="E99" i="3" s="1"/>
  <c r="H98" i="3"/>
  <c r="D98" i="3"/>
  <c r="E98" i="3" s="1"/>
  <c r="N97" i="3"/>
  <c r="H97" i="3"/>
  <c r="D97" i="3"/>
  <c r="E97" i="3" s="1"/>
  <c r="I97" i="3" s="1"/>
  <c r="I96" i="3"/>
  <c r="H96" i="3"/>
  <c r="E96" i="3"/>
  <c r="N96" i="3" s="1"/>
  <c r="D96" i="3"/>
  <c r="H95" i="3"/>
  <c r="D95" i="3"/>
  <c r="E95" i="3" s="1"/>
  <c r="N94" i="3"/>
  <c r="I94" i="3"/>
  <c r="H94" i="3"/>
  <c r="E94" i="3"/>
  <c r="D94" i="3"/>
  <c r="H93" i="3"/>
  <c r="D93" i="3"/>
  <c r="E93" i="3" s="1"/>
  <c r="I92" i="3"/>
  <c r="H92" i="3"/>
  <c r="D92" i="3"/>
  <c r="E92" i="3" s="1"/>
  <c r="N92" i="3" s="1"/>
  <c r="N91" i="3"/>
  <c r="I91" i="3"/>
  <c r="H91" i="3"/>
  <c r="D91" i="3"/>
  <c r="E91" i="3" s="1"/>
  <c r="N90" i="3"/>
  <c r="H90" i="3"/>
  <c r="D90" i="3"/>
  <c r="E90" i="3" s="1"/>
  <c r="I90" i="3" s="1"/>
  <c r="H89" i="3"/>
  <c r="E89" i="3"/>
  <c r="I89" i="3" s="1"/>
  <c r="D89" i="3"/>
  <c r="H88" i="3"/>
  <c r="E88" i="3"/>
  <c r="D88" i="3"/>
  <c r="I87" i="3"/>
  <c r="H87" i="3"/>
  <c r="N87" i="3" s="1"/>
  <c r="E87" i="3"/>
  <c r="D87" i="3"/>
  <c r="H86" i="3"/>
  <c r="E86" i="3"/>
  <c r="N86" i="3" s="1"/>
  <c r="D86" i="3"/>
  <c r="H85" i="3"/>
  <c r="D85" i="3"/>
  <c r="E85" i="3" s="1"/>
  <c r="I85" i="3" s="1"/>
  <c r="H84" i="3"/>
  <c r="D84" i="3"/>
  <c r="E84" i="3" s="1"/>
  <c r="H83" i="3"/>
  <c r="D83" i="3"/>
  <c r="E83" i="3" s="1"/>
  <c r="N82" i="3"/>
  <c r="I82" i="3"/>
  <c r="H82" i="3"/>
  <c r="E82" i="3"/>
  <c r="D82" i="3"/>
  <c r="H81" i="3"/>
  <c r="D81" i="3"/>
  <c r="E81" i="3" s="1"/>
  <c r="N80" i="3"/>
  <c r="I80" i="3"/>
  <c r="H80" i="3"/>
  <c r="F80" i="3"/>
  <c r="D80" i="3"/>
  <c r="E80" i="3" s="1"/>
  <c r="H79" i="3"/>
  <c r="D79" i="3"/>
  <c r="E79" i="3" s="1"/>
  <c r="O78" i="3"/>
  <c r="H78" i="3"/>
  <c r="D78" i="3"/>
  <c r="E78" i="3" s="1"/>
  <c r="I77" i="3"/>
  <c r="H77" i="3"/>
  <c r="D77" i="3"/>
  <c r="E77" i="3" s="1"/>
  <c r="N77" i="3" s="1"/>
  <c r="F76" i="3"/>
  <c r="E76" i="3"/>
  <c r="D76" i="3"/>
  <c r="I75" i="3"/>
  <c r="H75" i="3"/>
  <c r="F75" i="3"/>
  <c r="D75" i="3"/>
  <c r="E75" i="3" s="1"/>
  <c r="F74" i="3"/>
  <c r="H74" i="3" s="1"/>
  <c r="D74" i="3"/>
  <c r="E74" i="3" s="1"/>
  <c r="N74" i="3" s="1"/>
  <c r="F73" i="3"/>
  <c r="D73" i="3"/>
  <c r="E73" i="3" s="1"/>
  <c r="I72" i="3"/>
  <c r="H72" i="3"/>
  <c r="N72" i="3" s="1"/>
  <c r="E72" i="3"/>
  <c r="D72" i="3"/>
  <c r="H71" i="3"/>
  <c r="D71" i="3"/>
  <c r="E71" i="3" s="1"/>
  <c r="N70" i="3"/>
  <c r="I70" i="3"/>
  <c r="H70" i="3"/>
  <c r="F70" i="3"/>
  <c r="D70" i="3"/>
  <c r="E70" i="3" s="1"/>
  <c r="H69" i="3"/>
  <c r="F69" i="3"/>
  <c r="E69" i="3"/>
  <c r="N69" i="3" s="1"/>
  <c r="D69" i="3"/>
  <c r="F68" i="3"/>
  <c r="D68" i="3"/>
  <c r="E68" i="3" s="1"/>
  <c r="I67" i="3"/>
  <c r="F67" i="3"/>
  <c r="H67" i="3" s="1"/>
  <c r="D67" i="3"/>
  <c r="E67" i="3" s="1"/>
  <c r="N67" i="3" s="1"/>
  <c r="N66" i="3"/>
  <c r="I66" i="3"/>
  <c r="H66" i="3"/>
  <c r="E66" i="3"/>
  <c r="D66" i="3"/>
  <c r="F65" i="3"/>
  <c r="D65" i="3"/>
  <c r="E65" i="3" s="1"/>
  <c r="H64" i="3"/>
  <c r="N64" i="3" s="1"/>
  <c r="F64" i="3"/>
  <c r="D64" i="3"/>
  <c r="E64" i="3" s="1"/>
  <c r="I63" i="3"/>
  <c r="H63" i="3"/>
  <c r="D63" i="3"/>
  <c r="E63" i="3" s="1"/>
  <c r="N63" i="3" s="1"/>
  <c r="F62" i="3"/>
  <c r="H62" i="3" s="1"/>
  <c r="D62" i="3"/>
  <c r="E62" i="3" s="1"/>
  <c r="I61" i="3"/>
  <c r="H61" i="3"/>
  <c r="E61" i="3"/>
  <c r="D61" i="3"/>
  <c r="H60" i="3"/>
  <c r="F60" i="3"/>
  <c r="D60" i="3"/>
  <c r="E60" i="3" s="1"/>
  <c r="F59" i="3"/>
  <c r="H59" i="3" s="1"/>
  <c r="N59" i="3" s="1"/>
  <c r="E59" i="3"/>
  <c r="I59" i="3" s="1"/>
  <c r="D59" i="3"/>
  <c r="N58" i="3"/>
  <c r="I58" i="3"/>
  <c r="H58" i="3"/>
  <c r="F58" i="3"/>
  <c r="D58" i="3"/>
  <c r="E58" i="3" s="1"/>
  <c r="H57" i="3"/>
  <c r="D57" i="3"/>
  <c r="E57" i="3" s="1"/>
  <c r="N56" i="3"/>
  <c r="I56" i="3"/>
  <c r="H56" i="3"/>
  <c r="E56" i="3"/>
  <c r="D56" i="3"/>
  <c r="F55" i="3"/>
  <c r="H55" i="3" s="1"/>
  <c r="N55" i="3" s="1"/>
  <c r="E55" i="3"/>
  <c r="D55" i="3"/>
  <c r="F54" i="3"/>
  <c r="D54" i="3"/>
  <c r="E54" i="3" s="1"/>
  <c r="N53" i="3"/>
  <c r="I53" i="3"/>
  <c r="H53" i="3"/>
  <c r="D53" i="3"/>
  <c r="E53" i="3" s="1"/>
  <c r="F52" i="3"/>
  <c r="H52" i="3" s="1"/>
  <c r="E52" i="3"/>
  <c r="D52" i="3"/>
  <c r="F51" i="3"/>
  <c r="D51" i="3"/>
  <c r="E51" i="3" s="1"/>
  <c r="H50" i="3"/>
  <c r="D50" i="3"/>
  <c r="E50" i="3" s="1"/>
  <c r="N50" i="3" s="1"/>
  <c r="F49" i="3"/>
  <c r="H49" i="3" s="1"/>
  <c r="N49" i="3" s="1"/>
  <c r="E49" i="3"/>
  <c r="D49" i="3"/>
  <c r="F48" i="3"/>
  <c r="E48" i="3"/>
  <c r="D48" i="3"/>
  <c r="N47" i="3"/>
  <c r="H47" i="3"/>
  <c r="F47" i="3"/>
  <c r="D47" i="3"/>
  <c r="E47" i="3" s="1"/>
  <c r="I46" i="3"/>
  <c r="H46" i="3"/>
  <c r="D46" i="3"/>
  <c r="E46" i="3" s="1"/>
  <c r="F45" i="3"/>
  <c r="D45" i="3"/>
  <c r="E45" i="3" s="1"/>
  <c r="I44" i="3"/>
  <c r="H44" i="3"/>
  <c r="E44" i="3"/>
  <c r="D44" i="3"/>
  <c r="H43" i="3"/>
  <c r="F43" i="3"/>
  <c r="E43" i="3"/>
  <c r="N43" i="3" s="1"/>
  <c r="D43" i="3"/>
  <c r="F42" i="3"/>
  <c r="E42" i="3"/>
  <c r="D42" i="3"/>
  <c r="H41" i="3"/>
  <c r="D41" i="3"/>
  <c r="E41" i="3" s="1"/>
  <c r="I41" i="3" s="1"/>
  <c r="F40" i="3"/>
  <c r="H40" i="3" s="1"/>
  <c r="E40" i="3"/>
  <c r="N40" i="3" s="1"/>
  <c r="D40" i="3"/>
  <c r="F39" i="3"/>
  <c r="D39" i="3"/>
  <c r="E39" i="3" s="1"/>
  <c r="N38" i="3"/>
  <c r="I38" i="3"/>
  <c r="H38" i="3"/>
  <c r="E38" i="3"/>
  <c r="D38" i="3"/>
  <c r="F37" i="3"/>
  <c r="H37" i="3" s="1"/>
  <c r="D37" i="3"/>
  <c r="E37" i="3" s="1"/>
  <c r="N37" i="3" s="1"/>
  <c r="H36" i="3"/>
  <c r="F36" i="3"/>
  <c r="E36" i="3"/>
  <c r="I36" i="3" s="1"/>
  <c r="D36" i="3"/>
  <c r="I35" i="3"/>
  <c r="H35" i="3"/>
  <c r="N35" i="3" s="1"/>
  <c r="F35" i="3"/>
  <c r="E35" i="3"/>
  <c r="D35" i="3"/>
  <c r="F34" i="3"/>
  <c r="H34" i="3" s="1"/>
  <c r="N34" i="3" s="1"/>
  <c r="E34" i="3"/>
  <c r="D34" i="3"/>
  <c r="H33" i="3"/>
  <c r="D33" i="3"/>
  <c r="E33" i="3" s="1"/>
  <c r="I32" i="3"/>
  <c r="H32" i="3"/>
  <c r="N32" i="3" s="1"/>
  <c r="F32" i="3"/>
  <c r="D32" i="3"/>
  <c r="E32" i="3" s="1"/>
  <c r="H31" i="3"/>
  <c r="E31" i="3"/>
  <c r="N31" i="3" s="1"/>
  <c r="D31" i="3"/>
  <c r="H30" i="3"/>
  <c r="D30" i="3"/>
  <c r="E30" i="3" s="1"/>
  <c r="I30" i="3" s="1"/>
  <c r="F29" i="3"/>
  <c r="H29" i="3" s="1"/>
  <c r="D29" i="3"/>
  <c r="E29" i="3" s="1"/>
  <c r="H28" i="3"/>
  <c r="D28" i="3"/>
  <c r="E28" i="3" s="1"/>
  <c r="F27" i="3"/>
  <c r="I27" i="3" s="1"/>
  <c r="E27" i="3"/>
  <c r="D27" i="3"/>
  <c r="H26" i="3"/>
  <c r="F26" i="3"/>
  <c r="D26" i="3"/>
  <c r="E26" i="3" s="1"/>
  <c r="F25" i="3"/>
  <c r="E25" i="3"/>
  <c r="D25" i="3"/>
  <c r="N24" i="3"/>
  <c r="I24" i="3"/>
  <c r="H24" i="3"/>
  <c r="D24" i="3"/>
  <c r="E24" i="3" s="1"/>
  <c r="T23" i="3"/>
  <c r="S23" i="3"/>
  <c r="R23" i="3"/>
  <c r="Q23" i="3"/>
  <c r="F23" i="3"/>
  <c r="H23" i="3" s="1"/>
  <c r="E23" i="3"/>
  <c r="I23" i="3" s="1"/>
  <c r="D23" i="3"/>
  <c r="T22" i="3"/>
  <c r="R22" i="3"/>
  <c r="S22" i="3" s="1"/>
  <c r="Q22" i="3"/>
  <c r="H22" i="3"/>
  <c r="E22" i="3"/>
  <c r="D22" i="3"/>
  <c r="P21" i="3"/>
  <c r="F21" i="3"/>
  <c r="H21" i="3" s="1"/>
  <c r="D21" i="3"/>
  <c r="E21" i="3" s="1"/>
  <c r="N21" i="3" s="1"/>
  <c r="P20" i="3"/>
  <c r="N20" i="3"/>
  <c r="I20" i="3"/>
  <c r="H20" i="3"/>
  <c r="F20" i="3"/>
  <c r="D20" i="3"/>
  <c r="E20" i="3" s="1"/>
  <c r="P19" i="3"/>
  <c r="N19" i="3"/>
  <c r="I19" i="3"/>
  <c r="H19" i="3"/>
  <c r="E19" i="3"/>
  <c r="D19" i="3"/>
  <c r="P18" i="3"/>
  <c r="F18" i="3"/>
  <c r="D18" i="3"/>
  <c r="E18" i="3" s="1"/>
  <c r="P17" i="3"/>
  <c r="F17" i="3"/>
  <c r="H17" i="3" s="1"/>
  <c r="N17" i="3" s="1"/>
  <c r="E17" i="3"/>
  <c r="D17" i="3"/>
  <c r="P16" i="3"/>
  <c r="Q16" i="3" s="1"/>
  <c r="N16" i="3"/>
  <c r="I16" i="3"/>
  <c r="H16" i="3"/>
  <c r="E16" i="3"/>
  <c r="D16" i="3"/>
  <c r="P15" i="3"/>
  <c r="Q15" i="3" s="1"/>
  <c r="F15" i="3"/>
  <c r="H15" i="3" s="1"/>
  <c r="D15" i="3"/>
  <c r="E15" i="3" s="1"/>
  <c r="I15" i="3" s="1"/>
  <c r="P14" i="3"/>
  <c r="F14" i="3"/>
  <c r="H14" i="3" s="1"/>
  <c r="D14" i="3"/>
  <c r="E14" i="3" s="1"/>
  <c r="N14" i="3" s="1"/>
  <c r="P13" i="3"/>
  <c r="I13" i="3"/>
  <c r="F13" i="3"/>
  <c r="H13" i="3" s="1"/>
  <c r="N13" i="3" s="1"/>
  <c r="D13" i="3"/>
  <c r="E13" i="3" s="1"/>
  <c r="C13" i="3"/>
  <c r="P12" i="3"/>
  <c r="I12" i="3"/>
  <c r="H12" i="3"/>
  <c r="E12" i="3"/>
  <c r="D12" i="3"/>
  <c r="P11" i="3"/>
  <c r="F11" i="3"/>
  <c r="H11" i="3" s="1"/>
  <c r="D11" i="3"/>
  <c r="E11" i="3" s="1"/>
  <c r="P10" i="3"/>
  <c r="F10" i="3"/>
  <c r="H10" i="3" s="1"/>
  <c r="D10" i="3"/>
  <c r="E10" i="3" s="1"/>
  <c r="P9" i="3"/>
  <c r="N9" i="3"/>
  <c r="I9" i="3"/>
  <c r="H9" i="3"/>
  <c r="F9" i="3"/>
  <c r="D9" i="3"/>
  <c r="E9" i="3" s="1"/>
  <c r="P8" i="3"/>
  <c r="H8" i="3"/>
  <c r="D8" i="3"/>
  <c r="E8" i="3" s="1"/>
  <c r="P7" i="3"/>
  <c r="F7" i="3"/>
  <c r="H7" i="3" s="1"/>
  <c r="D7" i="3"/>
  <c r="E7" i="3" s="1"/>
  <c r="P6" i="3"/>
  <c r="N6" i="3"/>
  <c r="I6" i="3"/>
  <c r="H6" i="3"/>
  <c r="F6" i="3"/>
  <c r="D6" i="3"/>
  <c r="E6" i="3" s="1"/>
  <c r="P5" i="3"/>
  <c r="F5" i="3"/>
  <c r="D5" i="3"/>
  <c r="E5" i="3" s="1"/>
  <c r="P4" i="3"/>
  <c r="I4" i="3"/>
  <c r="F4" i="3"/>
  <c r="H4" i="3" s="1"/>
  <c r="N4" i="3" s="1"/>
  <c r="E4" i="3"/>
  <c r="D4" i="3"/>
  <c r="P3" i="3"/>
  <c r="O3" i="3"/>
  <c r="F3" i="3"/>
  <c r="H3" i="3" s="1"/>
  <c r="D3" i="3"/>
  <c r="E3" i="3" s="1"/>
  <c r="P2" i="3"/>
  <c r="H2" i="3"/>
  <c r="E2" i="3"/>
  <c r="I2" i="3" s="1"/>
  <c r="D2" i="3"/>
  <c r="H206" i="2"/>
  <c r="D206" i="2"/>
  <c r="E206" i="2" s="1"/>
  <c r="I205" i="2"/>
  <c r="H205" i="2"/>
  <c r="N205" i="2" s="1"/>
  <c r="E205" i="2"/>
  <c r="D205" i="2"/>
  <c r="H204" i="2"/>
  <c r="E204" i="2"/>
  <c r="N204" i="2" s="1"/>
  <c r="D204" i="2"/>
  <c r="N203" i="2"/>
  <c r="I203" i="2"/>
  <c r="H203" i="2"/>
  <c r="D203" i="2"/>
  <c r="E203" i="2" s="1"/>
  <c r="H202" i="2"/>
  <c r="D202" i="2"/>
  <c r="E202" i="2" s="1"/>
  <c r="H201" i="2"/>
  <c r="E201" i="2"/>
  <c r="D201" i="2"/>
  <c r="I200" i="2"/>
  <c r="H200" i="2"/>
  <c r="N200" i="2" s="1"/>
  <c r="D200" i="2"/>
  <c r="E200" i="2" s="1"/>
  <c r="H199" i="2"/>
  <c r="D199" i="2"/>
  <c r="E199" i="2" s="1"/>
  <c r="H198" i="2"/>
  <c r="D198" i="2"/>
  <c r="E198" i="2" s="1"/>
  <c r="I197" i="2"/>
  <c r="H197" i="2"/>
  <c r="E197" i="2"/>
  <c r="N197" i="2" s="1"/>
  <c r="D197" i="2"/>
  <c r="H196" i="2"/>
  <c r="D196" i="2"/>
  <c r="E196" i="2" s="1"/>
  <c r="H195" i="2"/>
  <c r="D195" i="2"/>
  <c r="E195" i="2" s="1"/>
  <c r="N195" i="2" s="1"/>
  <c r="H194" i="2"/>
  <c r="D194" i="2"/>
  <c r="E194" i="2" s="1"/>
  <c r="H193" i="2"/>
  <c r="D193" i="2"/>
  <c r="E193" i="2" s="1"/>
  <c r="N192" i="2"/>
  <c r="H192" i="2"/>
  <c r="D192" i="2"/>
  <c r="E192" i="2" s="1"/>
  <c r="I192" i="2" s="1"/>
  <c r="H191" i="2"/>
  <c r="D191" i="2"/>
  <c r="E191" i="2" s="1"/>
  <c r="H190" i="2"/>
  <c r="D190" i="2"/>
  <c r="E190" i="2" s="1"/>
  <c r="H189" i="2"/>
  <c r="E189" i="2"/>
  <c r="N189" i="2" s="1"/>
  <c r="D189" i="2"/>
  <c r="H188" i="2"/>
  <c r="E188" i="2"/>
  <c r="N188" i="2" s="1"/>
  <c r="D188" i="2"/>
  <c r="N187" i="2"/>
  <c r="I187" i="2"/>
  <c r="H187" i="2"/>
  <c r="D187" i="2"/>
  <c r="E187" i="2" s="1"/>
  <c r="H186" i="2"/>
  <c r="D186" i="2"/>
  <c r="E186" i="2" s="1"/>
  <c r="H185" i="2"/>
  <c r="E185" i="2"/>
  <c r="D185" i="2"/>
  <c r="I184" i="2"/>
  <c r="H184" i="2"/>
  <c r="N184" i="2" s="1"/>
  <c r="D184" i="2"/>
  <c r="E184" i="2" s="1"/>
  <c r="H183" i="2"/>
  <c r="D183" i="2"/>
  <c r="E183" i="2" s="1"/>
  <c r="H182" i="2"/>
  <c r="D182" i="2"/>
  <c r="E182" i="2" s="1"/>
  <c r="N181" i="2"/>
  <c r="I181" i="2"/>
  <c r="H181" i="2"/>
  <c r="E181" i="2"/>
  <c r="D181" i="2"/>
  <c r="H180" i="2"/>
  <c r="D180" i="2"/>
  <c r="E180" i="2" s="1"/>
  <c r="N179" i="2"/>
  <c r="H179" i="2"/>
  <c r="D179" i="2"/>
  <c r="E179" i="2" s="1"/>
  <c r="I179" i="2" s="1"/>
  <c r="H178" i="2"/>
  <c r="D178" i="2"/>
  <c r="E178" i="2" s="1"/>
  <c r="H177" i="2"/>
  <c r="D177" i="2"/>
  <c r="E177" i="2" s="1"/>
  <c r="H176" i="2"/>
  <c r="D176" i="2"/>
  <c r="E176" i="2" s="1"/>
  <c r="N176" i="2" s="1"/>
  <c r="H175" i="2"/>
  <c r="D175" i="2"/>
  <c r="E175" i="2" s="1"/>
  <c r="H174" i="2"/>
  <c r="D174" i="2"/>
  <c r="E174" i="2" s="1"/>
  <c r="H173" i="2"/>
  <c r="E173" i="2"/>
  <c r="I173" i="2" s="1"/>
  <c r="D173" i="2"/>
  <c r="H172" i="2"/>
  <c r="E172" i="2"/>
  <c r="N172" i="2" s="1"/>
  <c r="D172" i="2"/>
  <c r="N171" i="2"/>
  <c r="I171" i="2"/>
  <c r="H171" i="2"/>
  <c r="D171" i="2"/>
  <c r="E171" i="2" s="1"/>
  <c r="H170" i="2"/>
  <c r="D170" i="2"/>
  <c r="E170" i="2" s="1"/>
  <c r="H169" i="2"/>
  <c r="E169" i="2"/>
  <c r="D169" i="2"/>
  <c r="I168" i="2"/>
  <c r="H168" i="2"/>
  <c r="N168" i="2" s="1"/>
  <c r="D168" i="2"/>
  <c r="E168" i="2" s="1"/>
  <c r="H167" i="2"/>
  <c r="D167" i="2"/>
  <c r="E167" i="2" s="1"/>
  <c r="H166" i="2"/>
  <c r="D166" i="2"/>
  <c r="E166" i="2" s="1"/>
  <c r="I165" i="2"/>
  <c r="H165" i="2"/>
  <c r="E165" i="2"/>
  <c r="N165" i="2" s="1"/>
  <c r="D165" i="2"/>
  <c r="H164" i="2"/>
  <c r="D164" i="2"/>
  <c r="E164" i="2" s="1"/>
  <c r="H163" i="2"/>
  <c r="D163" i="2"/>
  <c r="E163" i="2" s="1"/>
  <c r="N163" i="2" s="1"/>
  <c r="H162" i="2"/>
  <c r="D162" i="2"/>
  <c r="E162" i="2" s="1"/>
  <c r="H161" i="2"/>
  <c r="D161" i="2"/>
  <c r="E161" i="2" s="1"/>
  <c r="N160" i="2"/>
  <c r="H160" i="2"/>
  <c r="D160" i="2"/>
  <c r="E160" i="2" s="1"/>
  <c r="I160" i="2" s="1"/>
  <c r="H159" i="2"/>
  <c r="D159" i="2"/>
  <c r="E159" i="2" s="1"/>
  <c r="H158" i="2"/>
  <c r="D158" i="2"/>
  <c r="E158" i="2" s="1"/>
  <c r="H157" i="2"/>
  <c r="E157" i="2"/>
  <c r="N157" i="2" s="1"/>
  <c r="D157" i="2"/>
  <c r="H156" i="2"/>
  <c r="E156" i="2"/>
  <c r="N156" i="2" s="1"/>
  <c r="D156" i="2"/>
  <c r="N155" i="2"/>
  <c r="I155" i="2"/>
  <c r="H155" i="2"/>
  <c r="D155" i="2"/>
  <c r="E155" i="2" s="1"/>
  <c r="H154" i="2"/>
  <c r="D154" i="2"/>
  <c r="E154" i="2" s="1"/>
  <c r="H153" i="2"/>
  <c r="E153" i="2"/>
  <c r="D153" i="2"/>
  <c r="I152" i="2"/>
  <c r="H152" i="2"/>
  <c r="N152" i="2" s="1"/>
  <c r="D152" i="2"/>
  <c r="E152" i="2" s="1"/>
  <c r="H151" i="2"/>
  <c r="D151" i="2"/>
  <c r="E151" i="2" s="1"/>
  <c r="H150" i="2"/>
  <c r="D150" i="2"/>
  <c r="E150" i="2" s="1"/>
  <c r="N149" i="2"/>
  <c r="I149" i="2"/>
  <c r="H149" i="2"/>
  <c r="E149" i="2"/>
  <c r="D149" i="2"/>
  <c r="H148" i="2"/>
  <c r="D148" i="2"/>
  <c r="E148" i="2" s="1"/>
  <c r="N147" i="2"/>
  <c r="H147" i="2"/>
  <c r="D147" i="2"/>
  <c r="E147" i="2" s="1"/>
  <c r="I147" i="2" s="1"/>
  <c r="H146" i="2"/>
  <c r="D146" i="2"/>
  <c r="E146" i="2" s="1"/>
  <c r="H145" i="2"/>
  <c r="D145" i="2"/>
  <c r="E145" i="2" s="1"/>
  <c r="H144" i="2"/>
  <c r="D144" i="2"/>
  <c r="E144" i="2" s="1"/>
  <c r="I144" i="2" s="1"/>
  <c r="H143" i="2"/>
  <c r="D143" i="2"/>
  <c r="E143" i="2" s="1"/>
  <c r="H142" i="2"/>
  <c r="D142" i="2"/>
  <c r="E142" i="2" s="1"/>
  <c r="H141" i="2"/>
  <c r="E141" i="2"/>
  <c r="I141" i="2" s="1"/>
  <c r="D141" i="2"/>
  <c r="H140" i="2"/>
  <c r="E140" i="2"/>
  <c r="N140" i="2" s="1"/>
  <c r="D140" i="2"/>
  <c r="N139" i="2"/>
  <c r="I139" i="2"/>
  <c r="H139" i="2"/>
  <c r="D139" i="2"/>
  <c r="E139" i="2" s="1"/>
  <c r="H138" i="2"/>
  <c r="D138" i="2"/>
  <c r="E138" i="2" s="1"/>
  <c r="H137" i="2"/>
  <c r="E137" i="2"/>
  <c r="D137" i="2"/>
  <c r="I136" i="2"/>
  <c r="H136" i="2"/>
  <c r="N136" i="2" s="1"/>
  <c r="D136" i="2"/>
  <c r="E136" i="2" s="1"/>
  <c r="H135" i="2"/>
  <c r="D135" i="2"/>
  <c r="E135" i="2" s="1"/>
  <c r="H134" i="2"/>
  <c r="D134" i="2"/>
  <c r="E134" i="2" s="1"/>
  <c r="I133" i="2"/>
  <c r="H133" i="2"/>
  <c r="E133" i="2"/>
  <c r="N133" i="2" s="1"/>
  <c r="D133" i="2"/>
  <c r="H132" i="2"/>
  <c r="D132" i="2"/>
  <c r="E132" i="2" s="1"/>
  <c r="H131" i="2"/>
  <c r="D131" i="2"/>
  <c r="E131" i="2" s="1"/>
  <c r="N131" i="2" s="1"/>
  <c r="O130" i="2"/>
  <c r="H130" i="2"/>
  <c r="E130" i="2"/>
  <c r="I130" i="2" s="1"/>
  <c r="D130" i="2"/>
  <c r="H129" i="2"/>
  <c r="E129" i="2"/>
  <c r="N129" i="2" s="1"/>
  <c r="D129" i="2"/>
  <c r="N128" i="2"/>
  <c r="I128" i="2"/>
  <c r="H128" i="2"/>
  <c r="D128" i="2"/>
  <c r="E128" i="2" s="1"/>
  <c r="H127" i="2"/>
  <c r="D127" i="2"/>
  <c r="E127" i="2" s="1"/>
  <c r="H126" i="2"/>
  <c r="E126" i="2"/>
  <c r="D126" i="2"/>
  <c r="I125" i="2"/>
  <c r="H125" i="2"/>
  <c r="N125" i="2" s="1"/>
  <c r="D125" i="2"/>
  <c r="E125" i="2" s="1"/>
  <c r="H124" i="2"/>
  <c r="D124" i="2"/>
  <c r="E124" i="2" s="1"/>
  <c r="H123" i="2"/>
  <c r="D123" i="2"/>
  <c r="E123" i="2" s="1"/>
  <c r="I122" i="2"/>
  <c r="H122" i="2"/>
  <c r="E122" i="2"/>
  <c r="N122" i="2" s="1"/>
  <c r="D122" i="2"/>
  <c r="H121" i="2"/>
  <c r="D121" i="2"/>
  <c r="E121" i="2" s="1"/>
  <c r="H120" i="2"/>
  <c r="D120" i="2"/>
  <c r="E120" i="2" s="1"/>
  <c r="N120" i="2" s="1"/>
  <c r="H119" i="2"/>
  <c r="D119" i="2"/>
  <c r="E119" i="2" s="1"/>
  <c r="H118" i="2"/>
  <c r="D118" i="2"/>
  <c r="E118" i="2" s="1"/>
  <c r="N117" i="2"/>
  <c r="H117" i="2"/>
  <c r="D117" i="2"/>
  <c r="E117" i="2" s="1"/>
  <c r="I117" i="2" s="1"/>
  <c r="O116" i="2"/>
  <c r="H116" i="2"/>
  <c r="E116" i="2"/>
  <c r="N116" i="2" s="1"/>
  <c r="D116" i="2"/>
  <c r="H115" i="2"/>
  <c r="D115" i="2"/>
  <c r="E115" i="2" s="1"/>
  <c r="H114" i="2"/>
  <c r="D114" i="2"/>
  <c r="E114" i="2" s="1"/>
  <c r="N114" i="2" s="1"/>
  <c r="H113" i="2"/>
  <c r="E113" i="2"/>
  <c r="I113" i="2" s="1"/>
  <c r="D113" i="2"/>
  <c r="H112" i="2"/>
  <c r="E112" i="2"/>
  <c r="I112" i="2" s="1"/>
  <c r="D112" i="2"/>
  <c r="I111" i="2"/>
  <c r="H111" i="2"/>
  <c r="N111" i="2" s="1"/>
  <c r="E111" i="2"/>
  <c r="D111" i="2"/>
  <c r="H110" i="2"/>
  <c r="D110" i="2"/>
  <c r="E110" i="2" s="1"/>
  <c r="I109" i="2"/>
  <c r="H109" i="2"/>
  <c r="D109" i="2"/>
  <c r="E109" i="2" s="1"/>
  <c r="N109" i="2" s="1"/>
  <c r="H108" i="2"/>
  <c r="D108" i="2"/>
  <c r="E108" i="2" s="1"/>
  <c r="H107" i="2"/>
  <c r="D107" i="2"/>
  <c r="E107" i="2" s="1"/>
  <c r="N106" i="2"/>
  <c r="I106" i="2"/>
  <c r="H106" i="2"/>
  <c r="D106" i="2"/>
  <c r="E106" i="2" s="1"/>
  <c r="H105" i="2"/>
  <c r="D105" i="2"/>
  <c r="E105" i="2" s="1"/>
  <c r="H104" i="2"/>
  <c r="D104" i="2"/>
  <c r="E104" i="2" s="1"/>
  <c r="H103" i="2"/>
  <c r="E103" i="2"/>
  <c r="N103" i="2" s="1"/>
  <c r="D103" i="2"/>
  <c r="H102" i="2"/>
  <c r="D102" i="2"/>
  <c r="E102" i="2" s="1"/>
  <c r="H101" i="2"/>
  <c r="D101" i="2"/>
  <c r="E101" i="2" s="1"/>
  <c r="N101" i="2" s="1"/>
  <c r="H100" i="2"/>
  <c r="E100" i="2"/>
  <c r="I100" i="2" s="1"/>
  <c r="D100" i="2"/>
  <c r="H99" i="2"/>
  <c r="D99" i="2"/>
  <c r="E99" i="2" s="1"/>
  <c r="H98" i="2"/>
  <c r="D98" i="2"/>
  <c r="E98" i="2" s="1"/>
  <c r="I98" i="2" s="1"/>
  <c r="H97" i="2"/>
  <c r="E97" i="2"/>
  <c r="N97" i="2" s="1"/>
  <c r="D97" i="2"/>
  <c r="H96" i="2"/>
  <c r="E96" i="2"/>
  <c r="I96" i="2" s="1"/>
  <c r="D96" i="2"/>
  <c r="I95" i="2"/>
  <c r="H95" i="2"/>
  <c r="N95" i="2" s="1"/>
  <c r="E95" i="2"/>
  <c r="D95" i="2"/>
  <c r="H94" i="2"/>
  <c r="D94" i="2"/>
  <c r="E94" i="2" s="1"/>
  <c r="N93" i="2"/>
  <c r="I93" i="2"/>
  <c r="H93" i="2"/>
  <c r="D93" i="2"/>
  <c r="E93" i="2" s="1"/>
  <c r="H92" i="2"/>
  <c r="D92" i="2"/>
  <c r="E92" i="2" s="1"/>
  <c r="H91" i="2"/>
  <c r="D91" i="2"/>
  <c r="E91" i="2" s="1"/>
  <c r="I90" i="2"/>
  <c r="H90" i="2"/>
  <c r="D90" i="2"/>
  <c r="E90" i="2" s="1"/>
  <c r="N90" i="2" s="1"/>
  <c r="H89" i="2"/>
  <c r="D89" i="2"/>
  <c r="E89" i="2" s="1"/>
  <c r="H88" i="2"/>
  <c r="D88" i="2"/>
  <c r="E88" i="2" s="1"/>
  <c r="N87" i="2"/>
  <c r="H87" i="2"/>
  <c r="E87" i="2"/>
  <c r="I87" i="2" s="1"/>
  <c r="D87" i="2"/>
  <c r="H86" i="2"/>
  <c r="D86" i="2"/>
  <c r="E86" i="2" s="1"/>
  <c r="H85" i="2"/>
  <c r="D85" i="2"/>
  <c r="E85" i="2" s="1"/>
  <c r="I85" i="2" s="1"/>
  <c r="H84" i="2"/>
  <c r="E84" i="2"/>
  <c r="N84" i="2" s="1"/>
  <c r="D84" i="2"/>
  <c r="H83" i="2"/>
  <c r="D83" i="2"/>
  <c r="E83" i="2" s="1"/>
  <c r="I82" i="2"/>
  <c r="H82" i="2"/>
  <c r="F82" i="2"/>
  <c r="D82" i="2"/>
  <c r="E82" i="2" s="1"/>
  <c r="N82" i="2" s="1"/>
  <c r="O81" i="2"/>
  <c r="F81" i="2"/>
  <c r="H81" i="2" s="1"/>
  <c r="D81" i="2"/>
  <c r="E81" i="2" s="1"/>
  <c r="I81" i="2" s="1"/>
  <c r="F80" i="2"/>
  <c r="H80" i="2" s="1"/>
  <c r="N80" i="2" s="1"/>
  <c r="E80" i="2"/>
  <c r="D80" i="2"/>
  <c r="F79" i="2"/>
  <c r="E79" i="2"/>
  <c r="D79" i="2"/>
  <c r="N78" i="2"/>
  <c r="I78" i="2"/>
  <c r="H78" i="2"/>
  <c r="D78" i="2"/>
  <c r="E78" i="2" s="1"/>
  <c r="H77" i="2"/>
  <c r="D77" i="2"/>
  <c r="E77" i="2" s="1"/>
  <c r="F76" i="2"/>
  <c r="D76" i="2"/>
  <c r="E76" i="2" s="1"/>
  <c r="F75" i="2"/>
  <c r="H75" i="2" s="1"/>
  <c r="D75" i="2"/>
  <c r="E75" i="2" s="1"/>
  <c r="F74" i="2"/>
  <c r="I74" i="2" s="1"/>
  <c r="D74" i="2"/>
  <c r="E74" i="2" s="1"/>
  <c r="F73" i="2"/>
  <c r="D73" i="2"/>
  <c r="E73" i="2" s="1"/>
  <c r="H72" i="2"/>
  <c r="E72" i="2"/>
  <c r="D72" i="2"/>
  <c r="I71" i="2"/>
  <c r="H71" i="2"/>
  <c r="N71" i="2" s="1"/>
  <c r="D71" i="2"/>
  <c r="E71" i="2" s="1"/>
  <c r="H70" i="2"/>
  <c r="F70" i="2"/>
  <c r="D70" i="2"/>
  <c r="E70" i="2" s="1"/>
  <c r="H69" i="2"/>
  <c r="F69" i="2"/>
  <c r="D69" i="2"/>
  <c r="E69" i="2" s="1"/>
  <c r="N69" i="2" s="1"/>
  <c r="F68" i="2"/>
  <c r="H68" i="2" s="1"/>
  <c r="D68" i="2"/>
  <c r="E68" i="2" s="1"/>
  <c r="F67" i="2"/>
  <c r="H67" i="2" s="1"/>
  <c r="D67" i="2"/>
  <c r="E67" i="2" s="1"/>
  <c r="N67" i="2" s="1"/>
  <c r="O66" i="2"/>
  <c r="H66" i="2"/>
  <c r="D66" i="2"/>
  <c r="E66" i="2" s="1"/>
  <c r="C66" i="2"/>
  <c r="F65" i="2"/>
  <c r="H65" i="2" s="1"/>
  <c r="E65" i="2"/>
  <c r="D65" i="2"/>
  <c r="F64" i="2"/>
  <c r="E64" i="2"/>
  <c r="D64" i="2"/>
  <c r="H63" i="2"/>
  <c r="F63" i="2"/>
  <c r="D63" i="2"/>
  <c r="E63" i="2" s="1"/>
  <c r="N63" i="2" s="1"/>
  <c r="I62" i="2"/>
  <c r="F62" i="2"/>
  <c r="H62" i="2" s="1"/>
  <c r="N62" i="2" s="1"/>
  <c r="E62" i="2"/>
  <c r="D62" i="2"/>
  <c r="F61" i="2"/>
  <c r="I61" i="2" s="1"/>
  <c r="E61" i="2"/>
  <c r="D61" i="2"/>
  <c r="H60" i="2"/>
  <c r="E60" i="2"/>
  <c r="I60" i="2" s="1"/>
  <c r="D60" i="2"/>
  <c r="I59" i="2"/>
  <c r="H59" i="2"/>
  <c r="E59" i="2"/>
  <c r="D59" i="2"/>
  <c r="H58" i="2"/>
  <c r="F58" i="2"/>
  <c r="D58" i="2"/>
  <c r="E58" i="2" s="1"/>
  <c r="F57" i="2"/>
  <c r="D57" i="2"/>
  <c r="E57" i="2" s="1"/>
  <c r="H56" i="2"/>
  <c r="F56" i="2"/>
  <c r="D56" i="2"/>
  <c r="E56" i="2" s="1"/>
  <c r="N56" i="2" s="1"/>
  <c r="H55" i="2"/>
  <c r="E55" i="2"/>
  <c r="I55" i="2" s="1"/>
  <c r="D55" i="2"/>
  <c r="F54" i="2"/>
  <c r="E54" i="2"/>
  <c r="D54" i="2"/>
  <c r="F53" i="2"/>
  <c r="H53" i="2" s="1"/>
  <c r="D53" i="2"/>
  <c r="E53" i="2" s="1"/>
  <c r="N52" i="2"/>
  <c r="I52" i="2"/>
  <c r="H52" i="2"/>
  <c r="E52" i="2"/>
  <c r="D52" i="2"/>
  <c r="F51" i="2"/>
  <c r="H51" i="2" s="1"/>
  <c r="D51" i="2"/>
  <c r="E51" i="2" s="1"/>
  <c r="F50" i="2"/>
  <c r="D50" i="2"/>
  <c r="E50" i="2" s="1"/>
  <c r="I49" i="2"/>
  <c r="H49" i="2"/>
  <c r="F49" i="2"/>
  <c r="D49" i="2"/>
  <c r="E49" i="2" s="1"/>
  <c r="N49" i="2" s="1"/>
  <c r="H48" i="2"/>
  <c r="D48" i="2"/>
  <c r="E48" i="2" s="1"/>
  <c r="H47" i="2"/>
  <c r="E47" i="2"/>
  <c r="D47" i="2"/>
  <c r="H46" i="2"/>
  <c r="F46" i="2"/>
  <c r="D46" i="2"/>
  <c r="E46" i="2" s="1"/>
  <c r="N46" i="2" s="1"/>
  <c r="I45" i="2"/>
  <c r="F45" i="2"/>
  <c r="H45" i="2" s="1"/>
  <c r="N45" i="2" s="1"/>
  <c r="E45" i="2"/>
  <c r="D45" i="2"/>
  <c r="H44" i="2"/>
  <c r="D44" i="2"/>
  <c r="E44" i="2" s="1"/>
  <c r="F43" i="2"/>
  <c r="H43" i="2" s="1"/>
  <c r="E43" i="2"/>
  <c r="I43" i="2" s="1"/>
  <c r="D43" i="2"/>
  <c r="I42" i="2"/>
  <c r="H42" i="2"/>
  <c r="E42" i="2"/>
  <c r="D42" i="2"/>
  <c r="H41" i="2"/>
  <c r="D41" i="2"/>
  <c r="E41" i="2" s="1"/>
  <c r="H40" i="2"/>
  <c r="D40" i="2"/>
  <c r="E40" i="2" s="1"/>
  <c r="F39" i="2"/>
  <c r="I39" i="2" s="1"/>
  <c r="E39" i="2"/>
  <c r="D39" i="2"/>
  <c r="H38" i="2"/>
  <c r="D38" i="2"/>
  <c r="E38" i="2" s="1"/>
  <c r="F37" i="2"/>
  <c r="H37" i="2" s="1"/>
  <c r="D37" i="2"/>
  <c r="E37" i="2" s="1"/>
  <c r="N37" i="2" s="1"/>
  <c r="F36" i="2"/>
  <c r="I36" i="2" s="1"/>
  <c r="D36" i="2"/>
  <c r="E36" i="2" s="1"/>
  <c r="H35" i="2"/>
  <c r="D35" i="2"/>
  <c r="E35" i="2" s="1"/>
  <c r="H34" i="2"/>
  <c r="F34" i="2"/>
  <c r="D34" i="2"/>
  <c r="E34" i="2" s="1"/>
  <c r="N34" i="2" s="1"/>
  <c r="H33" i="2"/>
  <c r="D33" i="2"/>
  <c r="E33" i="2" s="1"/>
  <c r="N33" i="2" s="1"/>
  <c r="H32" i="2"/>
  <c r="D32" i="2"/>
  <c r="E32" i="2" s="1"/>
  <c r="H31" i="2"/>
  <c r="D31" i="2"/>
  <c r="E31" i="2" s="1"/>
  <c r="F30" i="2"/>
  <c r="I30" i="2" s="1"/>
  <c r="D30" i="2"/>
  <c r="E30" i="2" s="1"/>
  <c r="H29" i="2"/>
  <c r="F29" i="2"/>
  <c r="D29" i="2"/>
  <c r="E29" i="2" s="1"/>
  <c r="F28" i="2"/>
  <c r="H28" i="2" s="1"/>
  <c r="D28" i="2"/>
  <c r="E28" i="2" s="1"/>
  <c r="H27" i="2"/>
  <c r="E27" i="2"/>
  <c r="I27" i="2" s="1"/>
  <c r="D27" i="2"/>
  <c r="C27" i="2"/>
  <c r="I26" i="2"/>
  <c r="F26" i="2"/>
  <c r="H26" i="2" s="1"/>
  <c r="N26" i="2" s="1"/>
  <c r="D26" i="2"/>
  <c r="E26" i="2" s="1"/>
  <c r="F25" i="2"/>
  <c r="I25" i="2" s="1"/>
  <c r="E25" i="2"/>
  <c r="D25" i="2"/>
  <c r="F24" i="2"/>
  <c r="D24" i="2"/>
  <c r="E24" i="2" s="1"/>
  <c r="T23" i="2"/>
  <c r="S23" i="2"/>
  <c r="R23" i="2"/>
  <c r="Q23" i="2"/>
  <c r="F23" i="2"/>
  <c r="H23" i="2" s="1"/>
  <c r="D23" i="2"/>
  <c r="E23" i="2" s="1"/>
  <c r="T22" i="2"/>
  <c r="R22" i="2"/>
  <c r="S22" i="2" s="1"/>
  <c r="Q22" i="2"/>
  <c r="H22" i="2"/>
  <c r="E22" i="2"/>
  <c r="N22" i="2" s="1"/>
  <c r="D22" i="2"/>
  <c r="T21" i="2"/>
  <c r="R21" i="2"/>
  <c r="S21" i="2" s="1"/>
  <c r="Q21" i="2"/>
  <c r="H21" i="2"/>
  <c r="F21" i="2"/>
  <c r="D21" i="2"/>
  <c r="E21" i="2" s="1"/>
  <c r="T20" i="2"/>
  <c r="R20" i="2"/>
  <c r="S20" i="2" s="1"/>
  <c r="Q20" i="2"/>
  <c r="H20" i="2"/>
  <c r="D20" i="2"/>
  <c r="E20" i="2" s="1"/>
  <c r="P19" i="2"/>
  <c r="F19" i="2"/>
  <c r="D19" i="2"/>
  <c r="E19" i="2" s="1"/>
  <c r="P18" i="2"/>
  <c r="I18" i="2"/>
  <c r="H18" i="2"/>
  <c r="E18" i="2"/>
  <c r="N18" i="2" s="1"/>
  <c r="D18" i="2"/>
  <c r="P17" i="2"/>
  <c r="R17" i="2" s="1"/>
  <c r="S17" i="2" s="1"/>
  <c r="F17" i="2"/>
  <c r="H17" i="2" s="1"/>
  <c r="E17" i="2"/>
  <c r="N17" i="2" s="1"/>
  <c r="D17" i="2"/>
  <c r="P16" i="2"/>
  <c r="F16" i="2"/>
  <c r="H16" i="2" s="1"/>
  <c r="D16" i="2"/>
  <c r="E16" i="2" s="1"/>
  <c r="P15" i="2"/>
  <c r="H15" i="2"/>
  <c r="E15" i="2"/>
  <c r="I15" i="2" s="1"/>
  <c r="D15" i="2"/>
  <c r="P14" i="2"/>
  <c r="Q14" i="2" s="1"/>
  <c r="F14" i="2"/>
  <c r="H14" i="2" s="1"/>
  <c r="D14" i="2"/>
  <c r="E14" i="2" s="1"/>
  <c r="P13" i="2"/>
  <c r="F13" i="2"/>
  <c r="D13" i="2"/>
  <c r="E13" i="2" s="1"/>
  <c r="P12" i="2"/>
  <c r="I12" i="2"/>
  <c r="F12" i="2"/>
  <c r="H12" i="2" s="1"/>
  <c r="D12" i="2"/>
  <c r="E12" i="2" s="1"/>
  <c r="P11" i="2"/>
  <c r="H11" i="2"/>
  <c r="D11" i="2"/>
  <c r="E11" i="2" s="1"/>
  <c r="P10" i="2"/>
  <c r="H10" i="2"/>
  <c r="F10" i="2"/>
  <c r="D10" i="2"/>
  <c r="E10" i="2" s="1"/>
  <c r="P9" i="2"/>
  <c r="Q9" i="2" s="1"/>
  <c r="H9" i="2"/>
  <c r="E9" i="2"/>
  <c r="N9" i="2" s="1"/>
  <c r="D9" i="2"/>
  <c r="P8" i="2"/>
  <c r="F8" i="2"/>
  <c r="H8" i="2" s="1"/>
  <c r="D8" i="2"/>
  <c r="E8" i="2" s="1"/>
  <c r="N8" i="2" s="1"/>
  <c r="P7" i="2"/>
  <c r="F7" i="2"/>
  <c r="H7" i="2" s="1"/>
  <c r="N7" i="2" s="1"/>
  <c r="E7" i="2"/>
  <c r="D7" i="2"/>
  <c r="P6" i="2"/>
  <c r="I6" i="2"/>
  <c r="H6" i="2"/>
  <c r="N6" i="2" s="1"/>
  <c r="E6" i="2"/>
  <c r="D6" i="2"/>
  <c r="P5" i="2"/>
  <c r="Q5" i="2" s="1"/>
  <c r="F5" i="2"/>
  <c r="H5" i="2" s="1"/>
  <c r="D5" i="2"/>
  <c r="E5" i="2" s="1"/>
  <c r="N5" i="2" s="1"/>
  <c r="P4" i="2"/>
  <c r="H4" i="2"/>
  <c r="F4" i="2"/>
  <c r="D4" i="2"/>
  <c r="E4" i="2" s="1"/>
  <c r="P3" i="2"/>
  <c r="R3" i="2" s="1"/>
  <c r="S3" i="2" s="1"/>
  <c r="O3" i="2"/>
  <c r="H3" i="2"/>
  <c r="F3" i="2"/>
  <c r="D3" i="2"/>
  <c r="E3" i="2" s="1"/>
  <c r="P2" i="2"/>
  <c r="H2" i="2"/>
  <c r="E2" i="2"/>
  <c r="D2" i="2"/>
  <c r="H206" i="1"/>
  <c r="D206" i="1"/>
  <c r="E206" i="1" s="1"/>
  <c r="H205" i="1"/>
  <c r="D205" i="1"/>
  <c r="E205" i="1" s="1"/>
  <c r="H204" i="1"/>
  <c r="D204" i="1"/>
  <c r="E204" i="1" s="1"/>
  <c r="N203" i="1"/>
  <c r="H203" i="1"/>
  <c r="D203" i="1"/>
  <c r="E203" i="1" s="1"/>
  <c r="I203" i="1" s="1"/>
  <c r="H202" i="1"/>
  <c r="D202" i="1"/>
  <c r="E202" i="1" s="1"/>
  <c r="H201" i="1"/>
  <c r="D201" i="1"/>
  <c r="E201" i="1" s="1"/>
  <c r="H200" i="1"/>
  <c r="E200" i="1"/>
  <c r="N200" i="1" s="1"/>
  <c r="D200" i="1"/>
  <c r="H199" i="1"/>
  <c r="D199" i="1"/>
  <c r="E199" i="1" s="1"/>
  <c r="H198" i="1"/>
  <c r="D198" i="1"/>
  <c r="E198" i="1" s="1"/>
  <c r="H197" i="1"/>
  <c r="D197" i="1"/>
  <c r="E197" i="1" s="1"/>
  <c r="H196" i="1"/>
  <c r="D196" i="1"/>
  <c r="E196" i="1" s="1"/>
  <c r="H195" i="1"/>
  <c r="D195" i="1"/>
  <c r="E195" i="1" s="1"/>
  <c r="N195" i="1" s="1"/>
  <c r="H194" i="1"/>
  <c r="E194" i="1"/>
  <c r="I194" i="1" s="1"/>
  <c r="D194" i="1"/>
  <c r="H193" i="1"/>
  <c r="E193" i="1"/>
  <c r="I193" i="1" s="1"/>
  <c r="D193" i="1"/>
  <c r="I192" i="1"/>
  <c r="H192" i="1"/>
  <c r="N192" i="1" s="1"/>
  <c r="E192" i="1"/>
  <c r="D192" i="1"/>
  <c r="H191" i="1"/>
  <c r="D191" i="1"/>
  <c r="E191" i="1" s="1"/>
  <c r="H190" i="1"/>
  <c r="D190" i="1"/>
  <c r="E190" i="1" s="1"/>
  <c r="H189" i="1"/>
  <c r="E189" i="1"/>
  <c r="I189" i="1" s="1"/>
  <c r="D189" i="1"/>
  <c r="H188" i="1"/>
  <c r="E188" i="1"/>
  <c r="N188" i="1" s="1"/>
  <c r="D188" i="1"/>
  <c r="I187" i="1"/>
  <c r="H187" i="1"/>
  <c r="N187" i="1" s="1"/>
  <c r="D187" i="1"/>
  <c r="E187" i="1" s="1"/>
  <c r="H186" i="1"/>
  <c r="D186" i="1"/>
  <c r="E186" i="1" s="1"/>
  <c r="H185" i="1"/>
  <c r="D185" i="1"/>
  <c r="E185" i="1" s="1"/>
  <c r="N184" i="1"/>
  <c r="I184" i="1"/>
  <c r="H184" i="1"/>
  <c r="E184" i="1"/>
  <c r="D184" i="1"/>
  <c r="H183" i="1"/>
  <c r="D183" i="1"/>
  <c r="E183" i="1" s="1"/>
  <c r="H182" i="1"/>
  <c r="E182" i="1"/>
  <c r="N182" i="1" s="1"/>
  <c r="D182" i="1"/>
  <c r="H181" i="1"/>
  <c r="D181" i="1"/>
  <c r="E181" i="1" s="1"/>
  <c r="H180" i="1"/>
  <c r="D180" i="1"/>
  <c r="E180" i="1" s="1"/>
  <c r="N179" i="1"/>
  <c r="I179" i="1"/>
  <c r="H179" i="1"/>
  <c r="D179" i="1"/>
  <c r="E179" i="1" s="1"/>
  <c r="H178" i="1"/>
  <c r="D178" i="1"/>
  <c r="E178" i="1" s="1"/>
  <c r="H177" i="1"/>
  <c r="D177" i="1"/>
  <c r="E177" i="1" s="1"/>
  <c r="H176" i="1"/>
  <c r="E176" i="1"/>
  <c r="N176" i="1" s="1"/>
  <c r="D176" i="1"/>
  <c r="H175" i="1"/>
  <c r="E175" i="1"/>
  <c r="I175" i="1" s="1"/>
  <c r="D175" i="1"/>
  <c r="H174" i="1"/>
  <c r="D174" i="1"/>
  <c r="E174" i="1" s="1"/>
  <c r="H173" i="1"/>
  <c r="D173" i="1"/>
  <c r="E173" i="1" s="1"/>
  <c r="H172" i="1"/>
  <c r="D172" i="1"/>
  <c r="E172" i="1" s="1"/>
  <c r="H171" i="1"/>
  <c r="D171" i="1"/>
  <c r="E171" i="1" s="1"/>
  <c r="N171" i="1" s="1"/>
  <c r="H170" i="1"/>
  <c r="D170" i="1"/>
  <c r="E170" i="1" s="1"/>
  <c r="H169" i="1"/>
  <c r="D169" i="1"/>
  <c r="E169" i="1" s="1"/>
  <c r="H168" i="1"/>
  <c r="E168" i="1"/>
  <c r="I168" i="1" s="1"/>
  <c r="D168" i="1"/>
  <c r="H167" i="1"/>
  <c r="D167" i="1"/>
  <c r="E167" i="1" s="1"/>
  <c r="H166" i="1"/>
  <c r="D166" i="1"/>
  <c r="E166" i="1" s="1"/>
  <c r="H165" i="1"/>
  <c r="D165" i="1"/>
  <c r="E165" i="1" s="1"/>
  <c r="H164" i="1"/>
  <c r="D164" i="1"/>
  <c r="E164" i="1" s="1"/>
  <c r="H163" i="1"/>
  <c r="D163" i="1"/>
  <c r="E163" i="1" s="1"/>
  <c r="N163" i="1" s="1"/>
  <c r="H162" i="1"/>
  <c r="E162" i="1"/>
  <c r="N162" i="1" s="1"/>
  <c r="D162" i="1"/>
  <c r="H161" i="1"/>
  <c r="E161" i="1"/>
  <c r="I161" i="1" s="1"/>
  <c r="D161" i="1"/>
  <c r="I160" i="1"/>
  <c r="H160" i="1"/>
  <c r="N160" i="1" s="1"/>
  <c r="E160" i="1"/>
  <c r="D160" i="1"/>
  <c r="H159" i="1"/>
  <c r="D159" i="1"/>
  <c r="E159" i="1" s="1"/>
  <c r="H158" i="1"/>
  <c r="D158" i="1"/>
  <c r="E158" i="1" s="1"/>
  <c r="H157" i="1"/>
  <c r="E157" i="1"/>
  <c r="N157" i="1" s="1"/>
  <c r="D157" i="1"/>
  <c r="H156" i="1"/>
  <c r="E156" i="1"/>
  <c r="N156" i="1" s="1"/>
  <c r="D156" i="1"/>
  <c r="I155" i="1"/>
  <c r="H155" i="1"/>
  <c r="N155" i="1" s="1"/>
  <c r="D155" i="1"/>
  <c r="E155" i="1" s="1"/>
  <c r="H154" i="1"/>
  <c r="D154" i="1"/>
  <c r="E154" i="1" s="1"/>
  <c r="H153" i="1"/>
  <c r="D153" i="1"/>
  <c r="E153" i="1" s="1"/>
  <c r="I152" i="1"/>
  <c r="H152" i="1"/>
  <c r="E152" i="1"/>
  <c r="N152" i="1" s="1"/>
  <c r="D152" i="1"/>
  <c r="H151" i="1"/>
  <c r="D151" i="1"/>
  <c r="E151" i="1" s="1"/>
  <c r="H150" i="1"/>
  <c r="E150" i="1"/>
  <c r="N150" i="1" s="1"/>
  <c r="D150" i="1"/>
  <c r="H149" i="1"/>
  <c r="D149" i="1"/>
  <c r="E149" i="1" s="1"/>
  <c r="H148" i="1"/>
  <c r="D148" i="1"/>
  <c r="E148" i="1" s="1"/>
  <c r="I147" i="1"/>
  <c r="H147" i="1"/>
  <c r="D147" i="1"/>
  <c r="E147" i="1" s="1"/>
  <c r="N147" i="1" s="1"/>
  <c r="H146" i="1"/>
  <c r="D146" i="1"/>
  <c r="E146" i="1" s="1"/>
  <c r="H145" i="1"/>
  <c r="D145" i="1"/>
  <c r="E145" i="1" s="1"/>
  <c r="N144" i="1"/>
  <c r="H144" i="1"/>
  <c r="E144" i="1"/>
  <c r="I144" i="1" s="1"/>
  <c r="D144" i="1"/>
  <c r="H143" i="1"/>
  <c r="E143" i="1"/>
  <c r="N143" i="1" s="1"/>
  <c r="D143" i="1"/>
  <c r="H142" i="1"/>
  <c r="D142" i="1"/>
  <c r="E142" i="1" s="1"/>
  <c r="H141" i="1"/>
  <c r="D141" i="1"/>
  <c r="E141" i="1" s="1"/>
  <c r="H140" i="1"/>
  <c r="D140" i="1"/>
  <c r="E140" i="1" s="1"/>
  <c r="N139" i="1"/>
  <c r="H139" i="1"/>
  <c r="D139" i="1"/>
  <c r="E139" i="1" s="1"/>
  <c r="I139" i="1" s="1"/>
  <c r="H138" i="1"/>
  <c r="D138" i="1"/>
  <c r="E138" i="1" s="1"/>
  <c r="H137" i="1"/>
  <c r="D137" i="1"/>
  <c r="E137" i="1" s="1"/>
  <c r="H136" i="1"/>
  <c r="E136" i="1"/>
  <c r="N136" i="1" s="1"/>
  <c r="D136" i="1"/>
  <c r="H135" i="1"/>
  <c r="D135" i="1"/>
  <c r="E135" i="1" s="1"/>
  <c r="H134" i="1"/>
  <c r="D134" i="1"/>
  <c r="E134" i="1" s="1"/>
  <c r="H133" i="1"/>
  <c r="D133" i="1"/>
  <c r="E133" i="1" s="1"/>
  <c r="H132" i="1"/>
  <c r="D132" i="1"/>
  <c r="E132" i="1" s="1"/>
  <c r="H131" i="1"/>
  <c r="D131" i="1"/>
  <c r="E131" i="1" s="1"/>
  <c r="N131" i="1" s="1"/>
  <c r="H130" i="1"/>
  <c r="E130" i="1"/>
  <c r="N130" i="1" s="1"/>
  <c r="D130" i="1"/>
  <c r="H129" i="1"/>
  <c r="E129" i="1"/>
  <c r="I129" i="1" s="1"/>
  <c r="D129" i="1"/>
  <c r="I128" i="1"/>
  <c r="H128" i="1"/>
  <c r="N128" i="1" s="1"/>
  <c r="E128" i="1"/>
  <c r="D128" i="1"/>
  <c r="H127" i="1"/>
  <c r="D127" i="1"/>
  <c r="E127" i="1" s="1"/>
  <c r="H126" i="1"/>
  <c r="D126" i="1"/>
  <c r="E126" i="1" s="1"/>
  <c r="H125" i="1"/>
  <c r="E125" i="1"/>
  <c r="I125" i="1" s="1"/>
  <c r="D125" i="1"/>
  <c r="H124" i="1"/>
  <c r="E124" i="1"/>
  <c r="N124" i="1" s="1"/>
  <c r="D124" i="1"/>
  <c r="I123" i="1"/>
  <c r="H123" i="1"/>
  <c r="N123" i="1" s="1"/>
  <c r="D123" i="1"/>
  <c r="E123" i="1" s="1"/>
  <c r="H122" i="1"/>
  <c r="D122" i="1"/>
  <c r="E122" i="1" s="1"/>
  <c r="H121" i="1"/>
  <c r="D121" i="1"/>
  <c r="E121" i="1" s="1"/>
  <c r="N120" i="1"/>
  <c r="I120" i="1"/>
  <c r="H120" i="1"/>
  <c r="E120" i="1"/>
  <c r="D120" i="1"/>
  <c r="H119" i="1"/>
  <c r="D119" i="1"/>
  <c r="E119" i="1" s="1"/>
  <c r="H118" i="1"/>
  <c r="E118" i="1"/>
  <c r="N118" i="1" s="1"/>
  <c r="D118" i="1"/>
  <c r="H117" i="1"/>
  <c r="D117" i="1"/>
  <c r="E117" i="1" s="1"/>
  <c r="H116" i="1"/>
  <c r="D116" i="1"/>
  <c r="E116" i="1" s="1"/>
  <c r="N115" i="1"/>
  <c r="I115" i="1"/>
  <c r="H115" i="1"/>
  <c r="D115" i="1"/>
  <c r="E115" i="1" s="1"/>
  <c r="H114" i="1"/>
  <c r="D114" i="1"/>
  <c r="E114" i="1" s="1"/>
  <c r="H113" i="1"/>
  <c r="D113" i="1"/>
  <c r="E113" i="1" s="1"/>
  <c r="H112" i="1"/>
  <c r="E112" i="1"/>
  <c r="N112" i="1" s="1"/>
  <c r="D112" i="1"/>
  <c r="H111" i="1"/>
  <c r="E111" i="1"/>
  <c r="I111" i="1" s="1"/>
  <c r="D111" i="1"/>
  <c r="H110" i="1"/>
  <c r="D110" i="1"/>
  <c r="E110" i="1" s="1"/>
  <c r="H109" i="1"/>
  <c r="D109" i="1"/>
  <c r="E109" i="1" s="1"/>
  <c r="H108" i="1"/>
  <c r="D108" i="1"/>
  <c r="E108" i="1" s="1"/>
  <c r="H107" i="1"/>
  <c r="D107" i="1"/>
  <c r="E107" i="1" s="1"/>
  <c r="I107" i="1" s="1"/>
  <c r="H106" i="1"/>
  <c r="D106" i="1"/>
  <c r="E106" i="1" s="1"/>
  <c r="H105" i="1"/>
  <c r="D105" i="1"/>
  <c r="E105" i="1" s="1"/>
  <c r="H104" i="1"/>
  <c r="E104" i="1"/>
  <c r="I104" i="1" s="1"/>
  <c r="D104" i="1"/>
  <c r="H103" i="1"/>
  <c r="D103" i="1"/>
  <c r="E103" i="1" s="1"/>
  <c r="H102" i="1"/>
  <c r="D102" i="1"/>
  <c r="E102" i="1" s="1"/>
  <c r="H101" i="1"/>
  <c r="D101" i="1"/>
  <c r="E101" i="1" s="1"/>
  <c r="H100" i="1"/>
  <c r="D100" i="1"/>
  <c r="E100" i="1" s="1"/>
  <c r="H99" i="1"/>
  <c r="D99" i="1"/>
  <c r="E99" i="1" s="1"/>
  <c r="I99" i="1" s="1"/>
  <c r="H98" i="1"/>
  <c r="E98" i="1"/>
  <c r="N98" i="1" s="1"/>
  <c r="D98" i="1"/>
  <c r="H97" i="1"/>
  <c r="E97" i="1"/>
  <c r="I97" i="1" s="1"/>
  <c r="D97" i="1"/>
  <c r="I96" i="1"/>
  <c r="H96" i="1"/>
  <c r="N96" i="1" s="1"/>
  <c r="E96" i="1"/>
  <c r="D96" i="1"/>
  <c r="H95" i="1"/>
  <c r="D95" i="1"/>
  <c r="E95" i="1" s="1"/>
  <c r="H94" i="1"/>
  <c r="D94" i="1"/>
  <c r="E94" i="1" s="1"/>
  <c r="H93" i="1"/>
  <c r="E93" i="1"/>
  <c r="N93" i="1" s="1"/>
  <c r="D93" i="1"/>
  <c r="H92" i="1"/>
  <c r="E92" i="1"/>
  <c r="N92" i="1" s="1"/>
  <c r="D92" i="1"/>
  <c r="I91" i="1"/>
  <c r="H91" i="1"/>
  <c r="N91" i="1" s="1"/>
  <c r="D91" i="1"/>
  <c r="E91" i="1" s="1"/>
  <c r="H90" i="1"/>
  <c r="D90" i="1"/>
  <c r="E90" i="1" s="1"/>
  <c r="H89" i="1"/>
  <c r="D89" i="1"/>
  <c r="E89" i="1" s="1"/>
  <c r="I88" i="1"/>
  <c r="H88" i="1"/>
  <c r="E88" i="1"/>
  <c r="N88" i="1" s="1"/>
  <c r="D88" i="1"/>
  <c r="H87" i="1"/>
  <c r="D87" i="1"/>
  <c r="E87" i="1" s="1"/>
  <c r="H86" i="1"/>
  <c r="E86" i="1"/>
  <c r="N86" i="1" s="1"/>
  <c r="D86" i="1"/>
  <c r="H85" i="1"/>
  <c r="D85" i="1"/>
  <c r="E85" i="1" s="1"/>
  <c r="H84" i="1"/>
  <c r="D84" i="1"/>
  <c r="E84" i="1" s="1"/>
  <c r="I83" i="1"/>
  <c r="H83" i="1"/>
  <c r="D83" i="1"/>
  <c r="E83" i="1" s="1"/>
  <c r="N83" i="1" s="1"/>
  <c r="H82" i="1"/>
  <c r="D82" i="1"/>
  <c r="E82" i="1" s="1"/>
  <c r="H81" i="1"/>
  <c r="D81" i="1"/>
  <c r="E81" i="1" s="1"/>
  <c r="N80" i="1"/>
  <c r="H80" i="1"/>
  <c r="E80" i="1"/>
  <c r="I80" i="1" s="1"/>
  <c r="D80" i="1"/>
  <c r="H79" i="1"/>
  <c r="D79" i="1"/>
  <c r="E79" i="1" s="1"/>
  <c r="H78" i="1"/>
  <c r="D78" i="1"/>
  <c r="E78" i="1" s="1"/>
  <c r="N77" i="1"/>
  <c r="I77" i="1"/>
  <c r="H77" i="1"/>
  <c r="E77" i="1"/>
  <c r="D77" i="1"/>
  <c r="H76" i="1"/>
  <c r="D76" i="1"/>
  <c r="E76" i="1" s="1"/>
  <c r="H75" i="1"/>
  <c r="E75" i="1"/>
  <c r="N75" i="1" s="1"/>
  <c r="D75" i="1"/>
  <c r="H74" i="1"/>
  <c r="D74" i="1"/>
  <c r="E74" i="1" s="1"/>
  <c r="H73" i="1"/>
  <c r="D73" i="1"/>
  <c r="E73" i="1" s="1"/>
  <c r="N72" i="1"/>
  <c r="I72" i="1"/>
  <c r="H72" i="1"/>
  <c r="D72" i="1"/>
  <c r="E72" i="1" s="1"/>
  <c r="H71" i="1"/>
  <c r="D71" i="1"/>
  <c r="E71" i="1" s="1"/>
  <c r="H70" i="1"/>
  <c r="D70" i="1"/>
  <c r="E70" i="1" s="1"/>
  <c r="F69" i="1"/>
  <c r="I69" i="1" s="1"/>
  <c r="D69" i="1"/>
  <c r="E69" i="1" s="1"/>
  <c r="F68" i="1"/>
  <c r="H68" i="1" s="1"/>
  <c r="D68" i="1"/>
  <c r="E68" i="1" s="1"/>
  <c r="H67" i="1"/>
  <c r="F67" i="1"/>
  <c r="D67" i="1"/>
  <c r="E67" i="1" s="1"/>
  <c r="F66" i="1"/>
  <c r="H66" i="1" s="1"/>
  <c r="D66" i="1"/>
  <c r="E66" i="1" s="1"/>
  <c r="N66" i="1" s="1"/>
  <c r="H65" i="1"/>
  <c r="E65" i="1"/>
  <c r="N65" i="1" s="1"/>
  <c r="D65" i="1"/>
  <c r="P64" i="1"/>
  <c r="F64" i="1"/>
  <c r="H64" i="1" s="1"/>
  <c r="D64" i="1"/>
  <c r="E64" i="1" s="1"/>
  <c r="F63" i="1"/>
  <c r="I63" i="1" s="1"/>
  <c r="E63" i="1"/>
  <c r="D63" i="1"/>
  <c r="P62" i="1"/>
  <c r="H62" i="1"/>
  <c r="F62" i="1"/>
  <c r="D62" i="1"/>
  <c r="E62" i="1" s="1"/>
  <c r="N62" i="1" s="1"/>
  <c r="N61" i="1"/>
  <c r="H61" i="1"/>
  <c r="F61" i="1"/>
  <c r="E61" i="1"/>
  <c r="I61" i="1" s="1"/>
  <c r="D61" i="1"/>
  <c r="H60" i="1"/>
  <c r="D60" i="1"/>
  <c r="E60" i="1" s="1"/>
  <c r="H59" i="1"/>
  <c r="F59" i="1"/>
  <c r="D59" i="1"/>
  <c r="E59" i="1" s="1"/>
  <c r="F58" i="1"/>
  <c r="H58" i="1" s="1"/>
  <c r="D58" i="1"/>
  <c r="E58" i="1" s="1"/>
  <c r="N58" i="1" s="1"/>
  <c r="F57" i="1"/>
  <c r="H57" i="1" s="1"/>
  <c r="D57" i="1"/>
  <c r="E57" i="1" s="1"/>
  <c r="H56" i="1"/>
  <c r="F56" i="1"/>
  <c r="D56" i="1"/>
  <c r="E56" i="1" s="1"/>
  <c r="F55" i="1"/>
  <c r="H55" i="1" s="1"/>
  <c r="D55" i="1"/>
  <c r="E55" i="1" s="1"/>
  <c r="F54" i="1"/>
  <c r="H54" i="1" s="1"/>
  <c r="E54" i="1"/>
  <c r="N54" i="1" s="1"/>
  <c r="D54" i="1"/>
  <c r="I53" i="1"/>
  <c r="H53" i="1"/>
  <c r="N53" i="1" s="1"/>
  <c r="E53" i="1"/>
  <c r="D53" i="1"/>
  <c r="F52" i="1"/>
  <c r="H52" i="1" s="1"/>
  <c r="D52" i="1"/>
  <c r="E52" i="1" s="1"/>
  <c r="F51" i="1"/>
  <c r="H51" i="1" s="1"/>
  <c r="E51" i="1"/>
  <c r="D51" i="1"/>
  <c r="H50" i="1"/>
  <c r="F50" i="1"/>
  <c r="D50" i="1"/>
  <c r="E50" i="1" s="1"/>
  <c r="F49" i="1"/>
  <c r="H49" i="1" s="1"/>
  <c r="N49" i="1" s="1"/>
  <c r="E49" i="1"/>
  <c r="D49" i="1"/>
  <c r="H48" i="1"/>
  <c r="D48" i="1"/>
  <c r="E48" i="1" s="1"/>
  <c r="F47" i="1"/>
  <c r="H47" i="1" s="1"/>
  <c r="D47" i="1"/>
  <c r="E47" i="1" s="1"/>
  <c r="F46" i="1"/>
  <c r="H46" i="1" s="1"/>
  <c r="N46" i="1" s="1"/>
  <c r="D46" i="1"/>
  <c r="E46" i="1" s="1"/>
  <c r="F45" i="1"/>
  <c r="H45" i="1" s="1"/>
  <c r="D45" i="1"/>
  <c r="E45" i="1" s="1"/>
  <c r="H44" i="1"/>
  <c r="F44" i="1"/>
  <c r="D44" i="1"/>
  <c r="E44" i="1" s="1"/>
  <c r="C44" i="1"/>
  <c r="F43" i="1"/>
  <c r="H43" i="1" s="1"/>
  <c r="E43" i="1"/>
  <c r="D43" i="1"/>
  <c r="H42" i="1"/>
  <c r="F42" i="1"/>
  <c r="D42" i="1"/>
  <c r="E42" i="1" s="1"/>
  <c r="F41" i="1"/>
  <c r="I41" i="1" s="1"/>
  <c r="E41" i="1"/>
  <c r="D41" i="1"/>
  <c r="H40" i="1"/>
  <c r="D40" i="1"/>
  <c r="E40" i="1" s="1"/>
  <c r="C40" i="1"/>
  <c r="F39" i="1"/>
  <c r="D39" i="1"/>
  <c r="E39" i="1" s="1"/>
  <c r="H38" i="1"/>
  <c r="F38" i="1"/>
  <c r="D38" i="1"/>
  <c r="E38" i="1" s="1"/>
  <c r="F37" i="1"/>
  <c r="H37" i="1" s="1"/>
  <c r="E37" i="1"/>
  <c r="D37" i="1"/>
  <c r="F36" i="1"/>
  <c r="I36" i="1" s="1"/>
  <c r="D36" i="1"/>
  <c r="E36" i="1" s="1"/>
  <c r="H35" i="1"/>
  <c r="F35" i="1"/>
  <c r="D35" i="1"/>
  <c r="E35" i="1" s="1"/>
  <c r="H34" i="1"/>
  <c r="D34" i="1"/>
  <c r="E34" i="1" s="1"/>
  <c r="I34" i="1" s="1"/>
  <c r="F33" i="1"/>
  <c r="H33" i="1" s="1"/>
  <c r="N33" i="1" s="1"/>
  <c r="E33" i="1"/>
  <c r="D33" i="1"/>
  <c r="F32" i="1"/>
  <c r="I32" i="1" s="1"/>
  <c r="D32" i="1"/>
  <c r="E32" i="1" s="1"/>
  <c r="F31" i="1"/>
  <c r="H31" i="1" s="1"/>
  <c r="D31" i="1"/>
  <c r="E31" i="1" s="1"/>
  <c r="F30" i="1"/>
  <c r="H30" i="1" s="1"/>
  <c r="N30" i="1" s="1"/>
  <c r="D30" i="1"/>
  <c r="E30" i="1" s="1"/>
  <c r="H29" i="1"/>
  <c r="E29" i="1"/>
  <c r="D29" i="1"/>
  <c r="F28" i="1"/>
  <c r="H28" i="1" s="1"/>
  <c r="D28" i="1"/>
  <c r="E28" i="1" s="1"/>
  <c r="N28" i="1" s="1"/>
  <c r="H27" i="1"/>
  <c r="F27" i="1"/>
  <c r="D27" i="1"/>
  <c r="E27" i="1" s="1"/>
  <c r="F26" i="1"/>
  <c r="H26" i="1" s="1"/>
  <c r="E26" i="1"/>
  <c r="D26" i="1"/>
  <c r="F25" i="1"/>
  <c r="H25" i="1" s="1"/>
  <c r="D25" i="1"/>
  <c r="E25" i="1" s="1"/>
  <c r="F24" i="1"/>
  <c r="E24" i="1"/>
  <c r="D24" i="1"/>
  <c r="T23" i="1"/>
  <c r="R23" i="1"/>
  <c r="S23" i="1" s="1"/>
  <c r="Q23" i="1"/>
  <c r="H23" i="1"/>
  <c r="F23" i="1"/>
  <c r="D23" i="1"/>
  <c r="E23" i="1" s="1"/>
  <c r="T22" i="1"/>
  <c r="R22" i="1"/>
  <c r="S22" i="1" s="1"/>
  <c r="Q22" i="1"/>
  <c r="H22" i="1"/>
  <c r="D22" i="1"/>
  <c r="E22" i="1" s="1"/>
  <c r="T21" i="1"/>
  <c r="R21" i="1"/>
  <c r="S21" i="1" s="1"/>
  <c r="Q21" i="1"/>
  <c r="F21" i="1"/>
  <c r="I21" i="1" s="1"/>
  <c r="D21" i="1"/>
  <c r="E21" i="1" s="1"/>
  <c r="T20" i="1"/>
  <c r="R20" i="1"/>
  <c r="S20" i="1" s="1"/>
  <c r="Q20" i="1"/>
  <c r="F20" i="1"/>
  <c r="H20" i="1" s="1"/>
  <c r="E20" i="1"/>
  <c r="N20" i="1" s="1"/>
  <c r="D20" i="1"/>
  <c r="T19" i="1"/>
  <c r="R19" i="1"/>
  <c r="S19" i="1" s="1"/>
  <c r="Q19" i="1"/>
  <c r="F19" i="1"/>
  <c r="D19" i="1"/>
  <c r="E19" i="1" s="1"/>
  <c r="T18" i="1"/>
  <c r="S18" i="1"/>
  <c r="R18" i="1"/>
  <c r="Q18" i="1"/>
  <c r="F18" i="1"/>
  <c r="H18" i="1" s="1"/>
  <c r="D18" i="1"/>
  <c r="E18" i="1" s="1"/>
  <c r="T17" i="1"/>
  <c r="R17" i="1"/>
  <c r="S17" i="1" s="1"/>
  <c r="Q17" i="1"/>
  <c r="F17" i="1"/>
  <c r="I17" i="1" s="1"/>
  <c r="D17" i="1"/>
  <c r="E17" i="1" s="1"/>
  <c r="T16" i="1"/>
  <c r="R16" i="1"/>
  <c r="S16" i="1" s="1"/>
  <c r="Q16" i="1"/>
  <c r="F16" i="1"/>
  <c r="H16" i="1" s="1"/>
  <c r="D16" i="1"/>
  <c r="E16" i="1" s="1"/>
  <c r="N16" i="1" s="1"/>
  <c r="T15" i="1"/>
  <c r="S15" i="1"/>
  <c r="R15" i="1"/>
  <c r="Q15" i="1"/>
  <c r="H15" i="1"/>
  <c r="D15" i="1"/>
  <c r="E15" i="1" s="1"/>
  <c r="P14" i="1"/>
  <c r="R14" i="1" s="1"/>
  <c r="S14" i="1" s="1"/>
  <c r="F14" i="1"/>
  <c r="H14" i="1" s="1"/>
  <c r="D14" i="1"/>
  <c r="E14" i="1" s="1"/>
  <c r="P13" i="1"/>
  <c r="H13" i="1"/>
  <c r="F13" i="1"/>
  <c r="D13" i="1"/>
  <c r="E13" i="1" s="1"/>
  <c r="P12" i="1"/>
  <c r="F12" i="1"/>
  <c r="H12" i="1" s="1"/>
  <c r="D12" i="1"/>
  <c r="E12" i="1" s="1"/>
  <c r="P11" i="1"/>
  <c r="H11" i="1"/>
  <c r="F11" i="1"/>
  <c r="D11" i="1"/>
  <c r="E11" i="1" s="1"/>
  <c r="P10" i="1"/>
  <c r="H10" i="1"/>
  <c r="E10" i="1"/>
  <c r="D10" i="1"/>
  <c r="P9" i="1"/>
  <c r="F9" i="1"/>
  <c r="H9" i="1" s="1"/>
  <c r="D9" i="1"/>
  <c r="E9" i="1" s="1"/>
  <c r="P8" i="1"/>
  <c r="H8" i="1"/>
  <c r="F8" i="1"/>
  <c r="D8" i="1"/>
  <c r="E8" i="1" s="1"/>
  <c r="C8" i="1"/>
  <c r="P7" i="1"/>
  <c r="H7" i="1"/>
  <c r="F7" i="1"/>
  <c r="D7" i="1"/>
  <c r="E7" i="1" s="1"/>
  <c r="P6" i="1"/>
  <c r="F6" i="1"/>
  <c r="D6" i="1"/>
  <c r="E6" i="1" s="1"/>
  <c r="P5" i="1"/>
  <c r="Q5" i="1" s="1"/>
  <c r="H5" i="1"/>
  <c r="D5" i="1"/>
  <c r="E5" i="1" s="1"/>
  <c r="P4" i="1"/>
  <c r="H4" i="1"/>
  <c r="F4" i="1"/>
  <c r="D4" i="1"/>
  <c r="E4" i="1" s="1"/>
  <c r="P3" i="1"/>
  <c r="O3" i="1"/>
  <c r="H3" i="1"/>
  <c r="F3" i="1"/>
  <c r="D3" i="1"/>
  <c r="E3" i="1" s="1"/>
  <c r="P2" i="1"/>
  <c r="H2" i="1"/>
  <c r="E2" i="1"/>
  <c r="N2" i="1" s="1"/>
  <c r="D2" i="1"/>
  <c r="J14" i="23" l="1"/>
  <c r="J10" i="23"/>
  <c r="J15" i="23"/>
  <c r="J9" i="23"/>
  <c r="P439" i="4"/>
  <c r="P407" i="4"/>
  <c r="P375" i="4"/>
  <c r="D76" i="23"/>
  <c r="E76" i="23" s="1"/>
  <c r="D74" i="23"/>
  <c r="E74" i="23" s="1"/>
  <c r="D72" i="23"/>
  <c r="E72" i="23" s="1"/>
  <c r="G414" i="4"/>
  <c r="K414" i="4" s="1"/>
  <c r="P398" i="4"/>
  <c r="D88" i="23"/>
  <c r="E88" i="23" s="1"/>
  <c r="P436" i="4"/>
  <c r="P428" i="4"/>
  <c r="P420" i="4"/>
  <c r="D3" i="23"/>
  <c r="P381" i="4"/>
  <c r="P373" i="4"/>
  <c r="D85" i="23"/>
  <c r="E85" i="23" s="1"/>
  <c r="D84" i="23"/>
  <c r="E84" i="23" s="1"/>
  <c r="D79" i="23"/>
  <c r="E79" i="23" s="1"/>
  <c r="D77" i="23"/>
  <c r="E77" i="23" s="1"/>
  <c r="G71" i="23"/>
  <c r="D70" i="23"/>
  <c r="E70" i="23" s="1"/>
  <c r="G66" i="23"/>
  <c r="D64" i="23"/>
  <c r="E64" i="23" s="1"/>
  <c r="D52" i="23"/>
  <c r="E52" i="23" s="1"/>
  <c r="D31" i="23"/>
  <c r="E31" i="23" s="1"/>
  <c r="D26" i="23"/>
  <c r="E26" i="23" s="1"/>
  <c r="G25" i="23"/>
  <c r="D23" i="23"/>
  <c r="E23" i="23" s="1"/>
  <c r="D18" i="23"/>
  <c r="E18" i="23" s="1"/>
  <c r="D14" i="23"/>
  <c r="E14" i="23" s="1"/>
  <c r="D8" i="23"/>
  <c r="E8" i="23" s="1"/>
  <c r="P388" i="4"/>
  <c r="P380" i="4"/>
  <c r="P434" i="4"/>
  <c r="K385" i="4"/>
  <c r="D67" i="23"/>
  <c r="E67" i="23" s="1"/>
  <c r="D63" i="23"/>
  <c r="E63" i="23" s="1"/>
  <c r="D59" i="23"/>
  <c r="E59" i="23" s="1"/>
  <c r="D40" i="23"/>
  <c r="E40" i="23" s="1"/>
  <c r="D35" i="23"/>
  <c r="E35" i="23" s="1"/>
  <c r="D15" i="23"/>
  <c r="E15" i="23" s="1"/>
  <c r="D13" i="23"/>
  <c r="E13" i="23" s="1"/>
  <c r="D6" i="23"/>
  <c r="E6" i="23" s="1"/>
  <c r="P402" i="4"/>
  <c r="G378" i="4"/>
  <c r="P378" i="4" s="1"/>
  <c r="D86" i="23"/>
  <c r="E86" i="23" s="1"/>
  <c r="D82" i="23"/>
  <c r="E82" i="23" s="1"/>
  <c r="D81" i="23"/>
  <c r="E81" i="23" s="1"/>
  <c r="D80" i="23"/>
  <c r="E80" i="23" s="1"/>
  <c r="P2" i="4"/>
  <c r="D87" i="23"/>
  <c r="E87" i="23" s="1"/>
  <c r="D61" i="23"/>
  <c r="E61" i="23" s="1"/>
  <c r="D53" i="23"/>
  <c r="E53" i="23" s="1"/>
  <c r="D48" i="23"/>
  <c r="E48" i="23" s="1"/>
  <c r="D45" i="23"/>
  <c r="E45" i="23" s="1"/>
  <c r="D43" i="23"/>
  <c r="E43" i="23" s="1"/>
  <c r="D37" i="23"/>
  <c r="E37" i="23" s="1"/>
  <c r="D29" i="23"/>
  <c r="E29" i="23" s="1"/>
  <c r="D27" i="23"/>
  <c r="E27" i="23" s="1"/>
  <c r="D24" i="23"/>
  <c r="E24" i="23" s="1"/>
  <c r="D21" i="23"/>
  <c r="E21" i="23" s="1"/>
  <c r="D19" i="23"/>
  <c r="E19" i="23" s="1"/>
  <c r="D16" i="23"/>
  <c r="E16" i="23" s="1"/>
  <c r="D4" i="23"/>
  <c r="E4" i="23" s="1"/>
  <c r="P408" i="4"/>
  <c r="P423" i="4"/>
  <c r="D78" i="23"/>
  <c r="E78" i="23" s="1"/>
  <c r="P376" i="4"/>
  <c r="D83" i="23"/>
  <c r="E83" i="23" s="1"/>
  <c r="D69" i="23"/>
  <c r="E69" i="23" s="1"/>
  <c r="G65" i="23"/>
  <c r="D57" i="23"/>
  <c r="E57" i="23" s="1"/>
  <c r="D51" i="23"/>
  <c r="E51" i="23" s="1"/>
  <c r="D46" i="23"/>
  <c r="E46" i="23" s="1"/>
  <c r="D44" i="23"/>
  <c r="E44" i="23" s="1"/>
  <c r="D41" i="23"/>
  <c r="E41" i="23" s="1"/>
  <c r="D33" i="23"/>
  <c r="E33" i="23" s="1"/>
  <c r="D32" i="23"/>
  <c r="E32" i="23" s="1"/>
  <c r="D12" i="23"/>
  <c r="E12" i="23" s="1"/>
  <c r="D11" i="23"/>
  <c r="E11" i="23" s="1"/>
  <c r="D9" i="23"/>
  <c r="E9" i="23" s="1"/>
  <c r="D5" i="23"/>
  <c r="E5" i="23" s="1"/>
  <c r="P245" i="4"/>
  <c r="P53" i="4"/>
  <c r="F74" i="23"/>
  <c r="F88" i="23"/>
  <c r="F80" i="23"/>
  <c r="F87" i="23"/>
  <c r="F79" i="23"/>
  <c r="F31" i="23"/>
  <c r="F23" i="23"/>
  <c r="F15" i="23"/>
  <c r="F78" i="23"/>
  <c r="F61" i="23"/>
  <c r="F37" i="23"/>
  <c r="F13" i="23"/>
  <c r="F84" i="23"/>
  <c r="F76" i="23"/>
  <c r="F44" i="23"/>
  <c r="F67" i="23"/>
  <c r="F27" i="23"/>
  <c r="G62" i="23"/>
  <c r="G54" i="23"/>
  <c r="G42" i="23"/>
  <c r="G34" i="23"/>
  <c r="G22" i="23"/>
  <c r="G20" i="23"/>
  <c r="G17" i="23"/>
  <c r="G3" i="23"/>
  <c r="G41" i="23"/>
  <c r="G60" i="23"/>
  <c r="G58" i="23"/>
  <c r="G49" i="23"/>
  <c r="G75" i="23"/>
  <c r="G30" i="23"/>
  <c r="G73" i="23"/>
  <c r="G68" i="23"/>
  <c r="G55" i="23"/>
  <c r="G50" i="23"/>
  <c r="G47" i="23"/>
  <c r="G36" i="23"/>
  <c r="G28" i="23"/>
  <c r="G10" i="23"/>
  <c r="G46" i="23"/>
  <c r="G12" i="23"/>
  <c r="G56" i="23"/>
  <c r="G38" i="23"/>
  <c r="G33" i="23"/>
  <c r="G11" i="23"/>
  <c r="G7" i="23"/>
  <c r="G44" i="23"/>
  <c r="G32" i="23"/>
  <c r="V6" i="4"/>
  <c r="K378" i="4"/>
  <c r="P368" i="4"/>
  <c r="G76" i="23" s="1"/>
  <c r="P360" i="4"/>
  <c r="G74" i="23" s="1"/>
  <c r="P352" i="4"/>
  <c r="G72" i="23" s="1"/>
  <c r="P344" i="4"/>
  <c r="G70" i="23" s="1"/>
  <c r="P272" i="4"/>
  <c r="G52" i="23" s="1"/>
  <c r="P160" i="4"/>
  <c r="G31" i="23" s="1"/>
  <c r="P136" i="4"/>
  <c r="G26" i="23" s="1"/>
  <c r="P120" i="4"/>
  <c r="G23" i="23" s="1"/>
  <c r="P96" i="4"/>
  <c r="G18" i="23" s="1"/>
  <c r="P72" i="4"/>
  <c r="G14" i="23" s="1"/>
  <c r="P24" i="4"/>
  <c r="G8" i="23" s="1"/>
  <c r="D66" i="23"/>
  <c r="D58" i="23"/>
  <c r="D50" i="23"/>
  <c r="D42" i="23"/>
  <c r="D34" i="23"/>
  <c r="D10" i="23"/>
  <c r="P431" i="4"/>
  <c r="P393" i="4"/>
  <c r="P377" i="4"/>
  <c r="P335" i="4"/>
  <c r="G67" i="23" s="1"/>
  <c r="P319" i="4"/>
  <c r="G63" i="23" s="1"/>
  <c r="P303" i="4"/>
  <c r="G59" i="23" s="1"/>
  <c r="P207" i="4"/>
  <c r="G40" i="23" s="1"/>
  <c r="P183" i="4"/>
  <c r="G35" i="23" s="1"/>
  <c r="P79" i="4"/>
  <c r="G15" i="23" s="1"/>
  <c r="P63" i="4"/>
  <c r="G13" i="23" s="1"/>
  <c r="P15" i="4"/>
  <c r="G6" i="23" s="1"/>
  <c r="D71" i="23"/>
  <c r="D55" i="23"/>
  <c r="D47" i="23"/>
  <c r="D39" i="23"/>
  <c r="D7" i="23"/>
  <c r="P430" i="4"/>
  <c r="P384" i="4"/>
  <c r="P310" i="4"/>
  <c r="G61" i="23" s="1"/>
  <c r="P278" i="4"/>
  <c r="G53" i="23" s="1"/>
  <c r="P254" i="4"/>
  <c r="G48" i="23" s="1"/>
  <c r="P238" i="4"/>
  <c r="G45" i="23" s="1"/>
  <c r="P222" i="4"/>
  <c r="G43" i="23" s="1"/>
  <c r="P198" i="4"/>
  <c r="G37" i="23" s="1"/>
  <c r="P150" i="4"/>
  <c r="G29" i="23" s="1"/>
  <c r="P142" i="4"/>
  <c r="G27" i="23" s="1"/>
  <c r="P126" i="4"/>
  <c r="G24" i="23" s="1"/>
  <c r="P110" i="4"/>
  <c r="G21" i="23" s="1"/>
  <c r="P102" i="4"/>
  <c r="G19" i="23" s="1"/>
  <c r="P86" i="4"/>
  <c r="G16" i="23" s="1"/>
  <c r="P6" i="4"/>
  <c r="G4" i="23" s="1"/>
  <c r="D68" i="23"/>
  <c r="D60" i="23"/>
  <c r="D36" i="23"/>
  <c r="D28" i="23"/>
  <c r="D20" i="23"/>
  <c r="P437" i="4"/>
  <c r="P399" i="4"/>
  <c r="K437" i="4"/>
  <c r="K430" i="4"/>
  <c r="P341" i="4"/>
  <c r="G69" i="23" s="1"/>
  <c r="P293" i="4"/>
  <c r="G57" i="23" s="1"/>
  <c r="P269" i="4"/>
  <c r="G51" i="23" s="1"/>
  <c r="D73" i="23"/>
  <c r="D65" i="23"/>
  <c r="D49" i="23"/>
  <c r="D25" i="23"/>
  <c r="D17" i="23"/>
  <c r="P421" i="4"/>
  <c r="K417" i="4"/>
  <c r="K402" i="4"/>
  <c r="P424" i="4"/>
  <c r="P324" i="4"/>
  <c r="G64" i="23" s="1"/>
  <c r="D62" i="23"/>
  <c r="D54" i="23"/>
  <c r="D38" i="23"/>
  <c r="D30" i="23"/>
  <c r="D22" i="23"/>
  <c r="P412" i="4"/>
  <c r="P405" i="4"/>
  <c r="P397" i="4"/>
  <c r="P389" i="4"/>
  <c r="K429" i="4"/>
  <c r="P422" i="4"/>
  <c r="D75" i="23"/>
  <c r="P426" i="4"/>
  <c r="P404" i="4"/>
  <c r="P396" i="4"/>
  <c r="K394" i="4"/>
  <c r="K373" i="4"/>
  <c r="P414" i="4"/>
  <c r="J5" i="23"/>
  <c r="D56" i="23"/>
  <c r="P372" i="4"/>
  <c r="P433" i="4"/>
  <c r="P425" i="4"/>
  <c r="P410" i="4"/>
  <c r="P409" i="4"/>
  <c r="P9" i="4"/>
  <c r="G5" i="23" s="1"/>
  <c r="J4" i="23"/>
  <c r="K391" i="4"/>
  <c r="P391" i="4"/>
  <c r="K405" i="4"/>
  <c r="K421" i="4"/>
  <c r="K416" i="4"/>
  <c r="K410" i="4"/>
  <c r="K389" i="4"/>
  <c r="P400" i="4"/>
  <c r="P382" i="4"/>
  <c r="G79" i="23" s="1"/>
  <c r="K398" i="4"/>
  <c r="P418" i="4"/>
  <c r="K392" i="4"/>
  <c r="K377" i="4"/>
  <c r="K434" i="4"/>
  <c r="K423" i="4"/>
  <c r="K413" i="4"/>
  <c r="K386" i="4"/>
  <c r="K381" i="4"/>
  <c r="P390" i="4"/>
  <c r="K433" i="4"/>
  <c r="K401" i="4"/>
  <c r="P432" i="4"/>
  <c r="K427" i="4"/>
  <c r="P427" i="4"/>
  <c r="P383" i="4"/>
  <c r="K383" i="4"/>
  <c r="K419" i="4"/>
  <c r="P419" i="4"/>
  <c r="K411" i="4"/>
  <c r="P411" i="4"/>
  <c r="K403" i="4"/>
  <c r="P403" i="4"/>
  <c r="K395" i="4"/>
  <c r="P395" i="4"/>
  <c r="G81" i="23" s="1"/>
  <c r="K387" i="4"/>
  <c r="P387" i="4"/>
  <c r="G80" i="23" s="1"/>
  <c r="K379" i="4"/>
  <c r="P379" i="4"/>
  <c r="G78" i="23" s="1"/>
  <c r="P415" i="4"/>
  <c r="K415" i="4"/>
  <c r="K435" i="4"/>
  <c r="P435" i="4"/>
  <c r="K425" i="4"/>
  <c r="K393" i="4"/>
  <c r="P438" i="4"/>
  <c r="P406" i="4"/>
  <c r="P374" i="4"/>
  <c r="G77" i="23" s="1"/>
  <c r="K436" i="4"/>
  <c r="K428" i="4"/>
  <c r="K420" i="4"/>
  <c r="K412" i="4"/>
  <c r="K404" i="4"/>
  <c r="K396" i="4"/>
  <c r="K388" i="4"/>
  <c r="K380" i="4"/>
  <c r="K372" i="4"/>
  <c r="K439" i="4"/>
  <c r="K431" i="4"/>
  <c r="K407" i="4"/>
  <c r="K399" i="4"/>
  <c r="K375" i="4"/>
  <c r="E3" i="23"/>
  <c r="V3" i="4"/>
  <c r="V22" i="4"/>
  <c r="V17" i="4"/>
  <c r="V20" i="4"/>
  <c r="R4" i="17"/>
  <c r="S4" i="17" s="1"/>
  <c r="T138" i="11"/>
  <c r="R15" i="6"/>
  <c r="S15" i="6" s="1"/>
  <c r="T78" i="11"/>
  <c r="Q19" i="11"/>
  <c r="T18" i="4"/>
  <c r="U18" i="4" s="1"/>
  <c r="Q147" i="11"/>
  <c r="R2" i="2"/>
  <c r="S2" i="2" s="1"/>
  <c r="U2" i="2" s="1"/>
  <c r="T152" i="11"/>
  <c r="Q154" i="11"/>
  <c r="T154" i="11"/>
  <c r="T93" i="11"/>
  <c r="T111" i="11"/>
  <c r="Q71" i="11"/>
  <c r="R137" i="11"/>
  <c r="S137" i="11" s="1"/>
  <c r="Q78" i="11"/>
  <c r="R144" i="11"/>
  <c r="S144" i="11" s="1"/>
  <c r="R18" i="10"/>
  <c r="S18" i="10" s="1"/>
  <c r="T144" i="11"/>
  <c r="Q152" i="11"/>
  <c r="Q16" i="2"/>
  <c r="Q60" i="11"/>
  <c r="Q62" i="11"/>
  <c r="T137" i="11"/>
  <c r="Q146" i="11"/>
  <c r="T6" i="4"/>
  <c r="U6" i="4" s="1"/>
  <c r="R14" i="9"/>
  <c r="S14" i="9" s="1"/>
  <c r="Q2" i="11"/>
  <c r="Q149" i="11"/>
  <c r="T4" i="4"/>
  <c r="U4" i="4" s="1"/>
  <c r="V7" i="4"/>
  <c r="R111" i="11"/>
  <c r="S111" i="11" s="1"/>
  <c r="Q138" i="11"/>
  <c r="R149" i="11"/>
  <c r="S149" i="11" s="1"/>
  <c r="R12" i="9"/>
  <c r="S12" i="9" s="1"/>
  <c r="R11" i="1"/>
  <c r="S11" i="1" s="1"/>
  <c r="Q2" i="2"/>
  <c r="T20" i="4"/>
  <c r="U20" i="4" s="1"/>
  <c r="R13" i="11"/>
  <c r="S13" i="11" s="1"/>
  <c r="V10" i="4"/>
  <c r="T17" i="4"/>
  <c r="U17" i="4" s="1"/>
  <c r="Q15" i="9"/>
  <c r="Q12" i="10"/>
  <c r="S6" i="4"/>
  <c r="T22" i="4"/>
  <c r="U22" i="4" s="1"/>
  <c r="Q23" i="11"/>
  <c r="Q86" i="11"/>
  <c r="Q93" i="11"/>
  <c r="T147" i="11"/>
  <c r="Q169" i="11"/>
  <c r="T11" i="4"/>
  <c r="U11" i="4" s="1"/>
  <c r="Q54" i="11"/>
  <c r="R71" i="11"/>
  <c r="S71" i="11" s="1"/>
  <c r="R86" i="11"/>
  <c r="S86" i="11" s="1"/>
  <c r="T96" i="11"/>
  <c r="Q125" i="11"/>
  <c r="Q143" i="11"/>
  <c r="T150" i="11"/>
  <c r="Q168" i="11"/>
  <c r="V9" i="4"/>
  <c r="V11" i="4"/>
  <c r="S17" i="4"/>
  <c r="S20" i="4"/>
  <c r="V23" i="4"/>
  <c r="R8" i="9"/>
  <c r="S8" i="9" s="1"/>
  <c r="Q8" i="11"/>
  <c r="T125" i="11"/>
  <c r="Q140" i="11"/>
  <c r="Q158" i="11"/>
  <c r="R168" i="11"/>
  <c r="S168" i="11" s="1"/>
  <c r="R8" i="11"/>
  <c r="S8" i="11" s="1"/>
  <c r="R140" i="11"/>
  <c r="S140" i="11" s="1"/>
  <c r="T143" i="11"/>
  <c r="R8" i="6"/>
  <c r="S8" i="6" s="1"/>
  <c r="R19" i="6"/>
  <c r="S19" i="6" s="1"/>
  <c r="R16" i="8"/>
  <c r="S16" i="8" s="1"/>
  <c r="S10" i="4"/>
  <c r="R4" i="5"/>
  <c r="S4" i="5" s="1"/>
  <c r="T146" i="11"/>
  <c r="V16" i="4"/>
  <c r="I5" i="1"/>
  <c r="N5" i="1"/>
  <c r="N25" i="1"/>
  <c r="I25" i="1"/>
  <c r="N50" i="1"/>
  <c r="I50" i="1"/>
  <c r="N59" i="1"/>
  <c r="I59" i="1"/>
  <c r="I79" i="1"/>
  <c r="N79" i="1"/>
  <c r="N108" i="1"/>
  <c r="I108" i="1"/>
  <c r="N146" i="1"/>
  <c r="I146" i="1"/>
  <c r="N172" i="1"/>
  <c r="I172" i="1"/>
  <c r="Q6" i="2"/>
  <c r="N21" i="2"/>
  <c r="I21" i="2"/>
  <c r="N29" i="2"/>
  <c r="I29" i="2"/>
  <c r="N48" i="2"/>
  <c r="I48" i="2"/>
  <c r="N51" i="2"/>
  <c r="I51" i="2"/>
  <c r="N115" i="2"/>
  <c r="I115" i="2"/>
  <c r="N145" i="2"/>
  <c r="I145" i="2"/>
  <c r="I151" i="2"/>
  <c r="N151" i="2"/>
  <c r="N154" i="2"/>
  <c r="I154" i="2"/>
  <c r="N194" i="2"/>
  <c r="I194" i="2"/>
  <c r="I11" i="3"/>
  <c r="N11" i="3"/>
  <c r="N14" i="1"/>
  <c r="I14" i="1"/>
  <c r="N47" i="1"/>
  <c r="I47" i="1"/>
  <c r="N56" i="1"/>
  <c r="I56" i="1"/>
  <c r="N64" i="1"/>
  <c r="I64" i="1"/>
  <c r="N67" i="1"/>
  <c r="I67" i="1"/>
  <c r="I95" i="1"/>
  <c r="N95" i="1"/>
  <c r="N101" i="1"/>
  <c r="I101" i="1"/>
  <c r="N127" i="1"/>
  <c r="I127" i="1"/>
  <c r="I133" i="1"/>
  <c r="N133" i="1"/>
  <c r="N140" i="1"/>
  <c r="I140" i="1"/>
  <c r="N159" i="1"/>
  <c r="I159" i="1"/>
  <c r="N165" i="1"/>
  <c r="I165" i="1"/>
  <c r="I191" i="1"/>
  <c r="N191" i="1"/>
  <c r="N197" i="1"/>
  <c r="I197" i="1"/>
  <c r="N204" i="1"/>
  <c r="I204" i="1"/>
  <c r="I19" i="2"/>
  <c r="I40" i="2"/>
  <c r="N40" i="2"/>
  <c r="N70" i="2"/>
  <c r="I70" i="2"/>
  <c r="N91" i="2"/>
  <c r="I91" i="2"/>
  <c r="N94" i="2"/>
  <c r="I94" i="2"/>
  <c r="N118" i="2"/>
  <c r="I118" i="2"/>
  <c r="N164" i="2"/>
  <c r="I164" i="2"/>
  <c r="N167" i="2"/>
  <c r="I167" i="2"/>
  <c r="N170" i="2"/>
  <c r="I170" i="2"/>
  <c r="I182" i="2"/>
  <c r="N182" i="2"/>
  <c r="N191" i="2"/>
  <c r="I191" i="2"/>
  <c r="N206" i="2"/>
  <c r="I206" i="2"/>
  <c r="N7" i="3"/>
  <c r="I7" i="3"/>
  <c r="N28" i="3"/>
  <c r="I28" i="3"/>
  <c r="N52" i="3"/>
  <c r="I57" i="3"/>
  <c r="N57" i="3"/>
  <c r="N93" i="3"/>
  <c r="I93" i="3"/>
  <c r="N98" i="3"/>
  <c r="I98" i="3"/>
  <c r="N117" i="3"/>
  <c r="I117" i="3"/>
  <c r="N188" i="3"/>
  <c r="I188" i="3"/>
  <c r="N77" i="6"/>
  <c r="I77" i="6"/>
  <c r="I167" i="6"/>
  <c r="N167" i="6"/>
  <c r="N181" i="6"/>
  <c r="I181" i="6"/>
  <c r="N202" i="6"/>
  <c r="I202" i="6"/>
  <c r="N130" i="7"/>
  <c r="I130" i="7"/>
  <c r="N71" i="1"/>
  <c r="I71" i="1"/>
  <c r="N74" i="1"/>
  <c r="I74" i="1"/>
  <c r="I89" i="1"/>
  <c r="N89" i="1"/>
  <c r="I105" i="1"/>
  <c r="N105" i="1"/>
  <c r="N109" i="1"/>
  <c r="I109" i="1"/>
  <c r="I121" i="1"/>
  <c r="N121" i="1"/>
  <c r="I137" i="1"/>
  <c r="N137" i="1"/>
  <c r="I153" i="1"/>
  <c r="N153" i="1"/>
  <c r="I169" i="1"/>
  <c r="N169" i="1"/>
  <c r="N173" i="1"/>
  <c r="I173" i="1"/>
  <c r="I185" i="1"/>
  <c r="N185" i="1"/>
  <c r="I201" i="1"/>
  <c r="N201" i="1"/>
  <c r="I77" i="2"/>
  <c r="N77" i="2"/>
  <c r="I88" i="2"/>
  <c r="N88" i="2"/>
  <c r="N110" i="2"/>
  <c r="I110" i="2"/>
  <c r="I142" i="2"/>
  <c r="N142" i="2"/>
  <c r="I146" i="2"/>
  <c r="N146" i="2"/>
  <c r="N180" i="2"/>
  <c r="I180" i="2"/>
  <c r="I198" i="2"/>
  <c r="N198" i="2"/>
  <c r="I62" i="3"/>
  <c r="N62" i="3"/>
  <c r="Q18" i="3"/>
  <c r="N146" i="3"/>
  <c r="I146" i="3"/>
  <c r="I151" i="3"/>
  <c r="N151" i="3"/>
  <c r="N170" i="3"/>
  <c r="I170" i="3"/>
  <c r="N186" i="3"/>
  <c r="I186" i="3"/>
  <c r="Q14" i="5"/>
  <c r="N139" i="5"/>
  <c r="I139" i="5"/>
  <c r="N144" i="5"/>
  <c r="I144" i="5"/>
  <c r="N203" i="5"/>
  <c r="I203" i="5"/>
  <c r="N40" i="6"/>
  <c r="I40" i="6"/>
  <c r="Q14" i="6"/>
  <c r="N65" i="6"/>
  <c r="I65" i="6"/>
  <c r="N131" i="6"/>
  <c r="I131" i="6"/>
  <c r="N157" i="6"/>
  <c r="I157" i="6"/>
  <c r="N162" i="6"/>
  <c r="I162" i="6"/>
  <c r="I2" i="7"/>
  <c r="Q2" i="7"/>
  <c r="N2" i="7"/>
  <c r="I20" i="7"/>
  <c r="Q6" i="7"/>
  <c r="N20" i="7"/>
  <c r="Q17" i="8"/>
  <c r="N67" i="8"/>
  <c r="I67" i="8"/>
  <c r="N38" i="1"/>
  <c r="I38" i="1"/>
  <c r="I70" i="1"/>
  <c r="N70" i="1"/>
  <c r="N44" i="1"/>
  <c r="I44" i="1"/>
  <c r="I19" i="1"/>
  <c r="N26" i="1"/>
  <c r="Q7" i="1"/>
  <c r="I42" i="1"/>
  <c r="N42" i="1"/>
  <c r="N48" i="1"/>
  <c r="I48" i="1"/>
  <c r="N60" i="1"/>
  <c r="I60" i="1"/>
  <c r="I102" i="1"/>
  <c r="N102" i="1"/>
  <c r="N119" i="1"/>
  <c r="I119" i="1"/>
  <c r="N134" i="1"/>
  <c r="I134" i="1"/>
  <c r="N141" i="1"/>
  <c r="I141" i="1"/>
  <c r="N166" i="1"/>
  <c r="I166" i="1"/>
  <c r="N183" i="1"/>
  <c r="I183" i="1"/>
  <c r="N198" i="1"/>
  <c r="I198" i="1"/>
  <c r="I205" i="1"/>
  <c r="N205" i="1"/>
  <c r="I3" i="2"/>
  <c r="N3" i="2"/>
  <c r="I11" i="2"/>
  <c r="Q4" i="2"/>
  <c r="N11" i="2"/>
  <c r="I13" i="2"/>
  <c r="Q15" i="2"/>
  <c r="I20" i="2"/>
  <c r="N20" i="2"/>
  <c r="I24" i="2"/>
  <c r="N41" i="2"/>
  <c r="I41" i="2"/>
  <c r="I73" i="2"/>
  <c r="I92" i="2"/>
  <c r="N92" i="2"/>
  <c r="I104" i="2"/>
  <c r="N104" i="2"/>
  <c r="N107" i="2"/>
  <c r="I107" i="2"/>
  <c r="N119" i="2"/>
  <c r="I119" i="2"/>
  <c r="N161" i="2"/>
  <c r="I161" i="2"/>
  <c r="N177" i="2"/>
  <c r="I177" i="2"/>
  <c r="N183" i="2"/>
  <c r="I183" i="2"/>
  <c r="N186" i="2"/>
  <c r="I186" i="2"/>
  <c r="N26" i="3"/>
  <c r="I26" i="3"/>
  <c r="N29" i="3"/>
  <c r="N60" i="3"/>
  <c r="I60" i="3"/>
  <c r="N109" i="3"/>
  <c r="I109" i="3"/>
  <c r="N128" i="3"/>
  <c r="I128" i="3"/>
  <c r="N131" i="3"/>
  <c r="I131" i="3"/>
  <c r="N141" i="3"/>
  <c r="I141" i="3"/>
  <c r="N165" i="3"/>
  <c r="I165" i="3"/>
  <c r="N179" i="3"/>
  <c r="I179" i="3"/>
  <c r="N189" i="3"/>
  <c r="I189" i="3"/>
  <c r="N205" i="3"/>
  <c r="I205" i="3"/>
  <c r="N39" i="5"/>
  <c r="I39" i="5"/>
  <c r="N18" i="6"/>
  <c r="I18" i="6"/>
  <c r="N43" i="6"/>
  <c r="I43" i="6"/>
  <c r="Q10" i="6"/>
  <c r="N102" i="6"/>
  <c r="I102" i="6"/>
  <c r="N171" i="6"/>
  <c r="I171" i="6"/>
  <c r="N176" i="6"/>
  <c r="I176" i="6"/>
  <c r="N6" i="7"/>
  <c r="I6" i="7"/>
  <c r="N110" i="9"/>
  <c r="Q20" i="9"/>
  <c r="N22" i="1"/>
  <c r="I22" i="1"/>
  <c r="Q3" i="1"/>
  <c r="N8" i="1"/>
  <c r="I8" i="1"/>
  <c r="I4" i="1"/>
  <c r="N4" i="1"/>
  <c r="I6" i="1"/>
  <c r="R4" i="1"/>
  <c r="S4" i="1" s="1"/>
  <c r="N15" i="1"/>
  <c r="I15" i="1"/>
  <c r="N18" i="1"/>
  <c r="I18" i="1"/>
  <c r="N51" i="1"/>
  <c r="N57" i="1"/>
  <c r="N68" i="1"/>
  <c r="N87" i="1"/>
  <c r="I87" i="1"/>
  <c r="I90" i="1"/>
  <c r="N90" i="1"/>
  <c r="N106" i="1"/>
  <c r="I106" i="1"/>
  <c r="N110" i="1"/>
  <c r="I110" i="1"/>
  <c r="I113" i="1"/>
  <c r="N113" i="1"/>
  <c r="N116" i="1"/>
  <c r="I116" i="1"/>
  <c r="I122" i="1"/>
  <c r="N122" i="1"/>
  <c r="N138" i="1"/>
  <c r="I138" i="1"/>
  <c r="N151" i="1"/>
  <c r="I151" i="1"/>
  <c r="N154" i="1"/>
  <c r="I154" i="1"/>
  <c r="N170" i="1"/>
  <c r="I170" i="1"/>
  <c r="N174" i="1"/>
  <c r="I174" i="1"/>
  <c r="I177" i="1"/>
  <c r="N177" i="1"/>
  <c r="N180" i="1"/>
  <c r="I180" i="1"/>
  <c r="N186" i="1"/>
  <c r="I186" i="1"/>
  <c r="N202" i="1"/>
  <c r="I202" i="1"/>
  <c r="I16" i="2"/>
  <c r="N16" i="2"/>
  <c r="I23" i="2"/>
  <c r="N23" i="2"/>
  <c r="N38" i="2"/>
  <c r="I38" i="2"/>
  <c r="N44" i="2"/>
  <c r="I44" i="2"/>
  <c r="N58" i="2"/>
  <c r="I58" i="2"/>
  <c r="N68" i="2"/>
  <c r="I68" i="2"/>
  <c r="N86" i="2"/>
  <c r="I86" i="2"/>
  <c r="N89" i="2"/>
  <c r="I89" i="2"/>
  <c r="I134" i="2"/>
  <c r="N134" i="2"/>
  <c r="N143" i="2"/>
  <c r="I143" i="2"/>
  <c r="I158" i="2"/>
  <c r="N158" i="2"/>
  <c r="N196" i="2"/>
  <c r="I196" i="2"/>
  <c r="N199" i="2"/>
  <c r="I199" i="2"/>
  <c r="I202" i="2"/>
  <c r="N202" i="2"/>
  <c r="N8" i="3"/>
  <c r="I8" i="3"/>
  <c r="N184" i="3"/>
  <c r="I184" i="3"/>
  <c r="N57" i="5"/>
  <c r="I57" i="5"/>
  <c r="N127" i="5"/>
  <c r="I127" i="5"/>
  <c r="N170" i="5"/>
  <c r="I170" i="5"/>
  <c r="N196" i="5"/>
  <c r="I196" i="5"/>
  <c r="N48" i="6"/>
  <c r="I48" i="6"/>
  <c r="N123" i="7"/>
  <c r="I123" i="7"/>
  <c r="N156" i="7"/>
  <c r="I156" i="7"/>
  <c r="I185" i="7"/>
  <c r="N185" i="7"/>
  <c r="N82" i="1"/>
  <c r="I82" i="1"/>
  <c r="N12" i="1"/>
  <c r="I12" i="1"/>
  <c r="Q4" i="1"/>
  <c r="Q6" i="1"/>
  <c r="Q10" i="1"/>
  <c r="N13" i="1"/>
  <c r="I13" i="1"/>
  <c r="N27" i="1"/>
  <c r="I27" i="1"/>
  <c r="N45" i="1"/>
  <c r="N84" i="1"/>
  <c r="I84" i="1"/>
  <c r="I103" i="1"/>
  <c r="N103" i="1"/>
  <c r="I135" i="1"/>
  <c r="N135" i="1"/>
  <c r="I142" i="1"/>
  <c r="N142" i="1"/>
  <c r="N148" i="1"/>
  <c r="I148" i="1"/>
  <c r="I167" i="1"/>
  <c r="N167" i="1"/>
  <c r="N199" i="1"/>
  <c r="I199" i="1"/>
  <c r="N206" i="1"/>
  <c r="I206" i="1"/>
  <c r="N14" i="2"/>
  <c r="I14" i="2"/>
  <c r="I31" i="2"/>
  <c r="N31" i="2"/>
  <c r="N83" i="2"/>
  <c r="I83" i="2"/>
  <c r="N105" i="2"/>
  <c r="I105" i="2"/>
  <c r="N108" i="2"/>
  <c r="I108" i="2"/>
  <c r="I123" i="2"/>
  <c r="N123" i="2"/>
  <c r="N162" i="2"/>
  <c r="I162" i="2"/>
  <c r="I174" i="2"/>
  <c r="N174" i="2"/>
  <c r="N178" i="2"/>
  <c r="I178" i="2"/>
  <c r="N10" i="3"/>
  <c r="I10" i="3"/>
  <c r="I81" i="3"/>
  <c r="N81" i="3"/>
  <c r="N132" i="3"/>
  <c r="I132" i="3"/>
  <c r="N203" i="3"/>
  <c r="I203" i="3"/>
  <c r="N110" i="5"/>
  <c r="I110" i="5"/>
  <c r="N156" i="5"/>
  <c r="I156" i="5"/>
  <c r="I175" i="5"/>
  <c r="N175" i="5"/>
  <c r="N121" i="6"/>
  <c r="I121" i="6"/>
  <c r="I48" i="7"/>
  <c r="N48" i="7"/>
  <c r="N142" i="7"/>
  <c r="I142" i="7"/>
  <c r="I161" i="7"/>
  <c r="N161" i="7"/>
  <c r="N180" i="7"/>
  <c r="I180" i="7"/>
  <c r="Q3" i="8"/>
  <c r="N12" i="8"/>
  <c r="I12" i="8"/>
  <c r="N23" i="8"/>
  <c r="I23" i="8"/>
  <c r="N35" i="1"/>
  <c r="Q8" i="1"/>
  <c r="N4" i="2"/>
  <c r="I4" i="2"/>
  <c r="Q2" i="1"/>
  <c r="I7" i="1"/>
  <c r="N7" i="1"/>
  <c r="I11" i="1"/>
  <c r="N11" i="1"/>
  <c r="N37" i="1"/>
  <c r="I40" i="1"/>
  <c r="N40" i="1"/>
  <c r="N52" i="1"/>
  <c r="I52" i="1"/>
  <c r="I78" i="1"/>
  <c r="N78" i="1"/>
  <c r="I81" i="1"/>
  <c r="N81" i="1"/>
  <c r="N114" i="1"/>
  <c r="I114" i="1"/>
  <c r="I117" i="1"/>
  <c r="N117" i="1"/>
  <c r="I145" i="1"/>
  <c r="N145" i="1"/>
  <c r="N178" i="1"/>
  <c r="I178" i="1"/>
  <c r="I181" i="1"/>
  <c r="N181" i="1"/>
  <c r="N28" i="2"/>
  <c r="Q8" i="2"/>
  <c r="I28" i="2"/>
  <c r="N35" i="2"/>
  <c r="I35" i="2"/>
  <c r="Q10" i="2"/>
  <c r="Q13" i="2"/>
  <c r="I75" i="2"/>
  <c r="N75" i="2"/>
  <c r="N102" i="2"/>
  <c r="I102" i="2"/>
  <c r="N132" i="2"/>
  <c r="I132" i="2"/>
  <c r="N135" i="2"/>
  <c r="I135" i="2"/>
  <c r="I138" i="2"/>
  <c r="N138" i="2"/>
  <c r="I150" i="2"/>
  <c r="N150" i="2"/>
  <c r="N159" i="2"/>
  <c r="I159" i="2"/>
  <c r="N193" i="2"/>
  <c r="I193" i="2"/>
  <c r="R8" i="3"/>
  <c r="S8" i="3" s="1"/>
  <c r="I33" i="3"/>
  <c r="N33" i="3"/>
  <c r="Q14" i="3"/>
  <c r="N79" i="3"/>
  <c r="I79" i="3"/>
  <c r="N84" i="3"/>
  <c r="I84" i="3"/>
  <c r="N102" i="3"/>
  <c r="I102" i="3"/>
  <c r="N121" i="3"/>
  <c r="I121" i="3"/>
  <c r="N139" i="3"/>
  <c r="I139" i="3"/>
  <c r="N155" i="3"/>
  <c r="I155" i="3"/>
  <c r="N172" i="3"/>
  <c r="I172" i="3"/>
  <c r="N24" i="5"/>
  <c r="I24" i="5"/>
  <c r="N168" i="5"/>
  <c r="I168" i="5"/>
  <c r="N189" i="5"/>
  <c r="I189" i="5"/>
  <c r="N138" i="6"/>
  <c r="I138" i="6"/>
  <c r="N164" i="6"/>
  <c r="I164" i="6"/>
  <c r="N188" i="6"/>
  <c r="I188" i="6"/>
  <c r="N154" i="7"/>
  <c r="I154" i="7"/>
  <c r="N175" i="7"/>
  <c r="I175" i="7"/>
  <c r="N199" i="7"/>
  <c r="I199" i="7"/>
  <c r="N73" i="1"/>
  <c r="I73" i="1"/>
  <c r="I3" i="1"/>
  <c r="N3" i="1"/>
  <c r="T2" i="1" s="1"/>
  <c r="I9" i="1"/>
  <c r="N9" i="1"/>
  <c r="N23" i="1"/>
  <c r="I23" i="1"/>
  <c r="N31" i="1"/>
  <c r="I31" i="1"/>
  <c r="N43" i="1"/>
  <c r="N55" i="1"/>
  <c r="T11" i="1" s="1"/>
  <c r="I55" i="1"/>
  <c r="Q11" i="1"/>
  <c r="N76" i="1"/>
  <c r="I76" i="1"/>
  <c r="I85" i="1"/>
  <c r="N85" i="1"/>
  <c r="N94" i="1"/>
  <c r="I94" i="1"/>
  <c r="N100" i="1"/>
  <c r="I100" i="1"/>
  <c r="N126" i="1"/>
  <c r="I126" i="1"/>
  <c r="N132" i="1"/>
  <c r="I132" i="1"/>
  <c r="N149" i="1"/>
  <c r="I149" i="1"/>
  <c r="N158" i="1"/>
  <c r="I158" i="1"/>
  <c r="N164" i="1"/>
  <c r="I164" i="1"/>
  <c r="N190" i="1"/>
  <c r="I190" i="1"/>
  <c r="N196" i="1"/>
  <c r="I196" i="1"/>
  <c r="N10" i="2"/>
  <c r="I10" i="2"/>
  <c r="N12" i="2"/>
  <c r="Q18" i="2"/>
  <c r="N32" i="2"/>
  <c r="I32" i="2"/>
  <c r="R12" i="2"/>
  <c r="S12" i="2" s="1"/>
  <c r="N53" i="2"/>
  <c r="T14" i="2" s="1"/>
  <c r="I53" i="2"/>
  <c r="N66" i="2"/>
  <c r="T17" i="2" s="1"/>
  <c r="I66" i="2"/>
  <c r="N99" i="2"/>
  <c r="I99" i="2"/>
  <c r="N121" i="2"/>
  <c r="I121" i="2"/>
  <c r="N124" i="2"/>
  <c r="I124" i="2"/>
  <c r="I127" i="2"/>
  <c r="N127" i="2"/>
  <c r="N148" i="2"/>
  <c r="I148" i="2"/>
  <c r="I166" i="2"/>
  <c r="N166" i="2"/>
  <c r="N175" i="2"/>
  <c r="I175" i="2"/>
  <c r="I190" i="2"/>
  <c r="N190" i="2"/>
  <c r="I3" i="3"/>
  <c r="N3" i="3"/>
  <c r="I71" i="3"/>
  <c r="N71" i="3"/>
  <c r="Q20" i="3"/>
  <c r="N100" i="3"/>
  <c r="I100" i="3"/>
  <c r="I105" i="3"/>
  <c r="N105" i="3"/>
  <c r="N119" i="3"/>
  <c r="I119" i="3"/>
  <c r="I124" i="3"/>
  <c r="N124" i="3"/>
  <c r="N136" i="3"/>
  <c r="I136" i="3"/>
  <c r="N148" i="3"/>
  <c r="I148" i="3"/>
  <c r="N195" i="3"/>
  <c r="I195" i="3"/>
  <c r="I54" i="5"/>
  <c r="N54" i="5"/>
  <c r="N103" i="5"/>
  <c r="I103" i="5"/>
  <c r="N37" i="6"/>
  <c r="I37" i="6"/>
  <c r="N114" i="6"/>
  <c r="I114" i="6"/>
  <c r="N75" i="7"/>
  <c r="I75" i="7"/>
  <c r="Q13" i="7"/>
  <c r="Q13" i="9"/>
  <c r="N70" i="9"/>
  <c r="N95" i="3"/>
  <c r="I95" i="3"/>
  <c r="N103" i="3"/>
  <c r="I103" i="3"/>
  <c r="N122" i="3"/>
  <c r="I122" i="3"/>
  <c r="N80" i="5"/>
  <c r="I80" i="5"/>
  <c r="N149" i="5"/>
  <c r="I149" i="5"/>
  <c r="N163" i="5"/>
  <c r="I163" i="5"/>
  <c r="I199" i="5"/>
  <c r="N199" i="5"/>
  <c r="N81" i="6"/>
  <c r="I81" i="6"/>
  <c r="N99" i="6"/>
  <c r="I99" i="6"/>
  <c r="N109" i="6"/>
  <c r="I109" i="6"/>
  <c r="N128" i="6"/>
  <c r="I128" i="6"/>
  <c r="N136" i="6"/>
  <c r="I136" i="6"/>
  <c r="N135" i="7"/>
  <c r="I135" i="7"/>
  <c r="N149" i="7"/>
  <c r="I149" i="7"/>
  <c r="N194" i="7"/>
  <c r="I194" i="7"/>
  <c r="I152" i="8"/>
  <c r="N152" i="8"/>
  <c r="N48" i="9"/>
  <c r="I48" i="9"/>
  <c r="Q9" i="9"/>
  <c r="N72" i="2"/>
  <c r="I72" i="2"/>
  <c r="H19" i="1"/>
  <c r="N19" i="1" s="1"/>
  <c r="Q11" i="2"/>
  <c r="H13" i="2"/>
  <c r="N13" i="2" s="1"/>
  <c r="H39" i="2"/>
  <c r="R11" i="2" s="1"/>
  <c r="S11" i="2" s="1"/>
  <c r="I79" i="2"/>
  <c r="T3" i="3"/>
  <c r="Q5" i="3"/>
  <c r="Q8" i="3"/>
  <c r="I48" i="3"/>
  <c r="I76" i="3"/>
  <c r="H76" i="3"/>
  <c r="N34" i="1"/>
  <c r="N107" i="1"/>
  <c r="T3" i="2"/>
  <c r="N65" i="2"/>
  <c r="N126" i="2"/>
  <c r="I126" i="2"/>
  <c r="N144" i="2"/>
  <c r="R17" i="3"/>
  <c r="S17" i="3" s="1"/>
  <c r="I65" i="3"/>
  <c r="H65" i="3"/>
  <c r="N65" i="3" s="1"/>
  <c r="T18" i="3" s="1"/>
  <c r="N133" i="3"/>
  <c r="N196" i="3"/>
  <c r="H6" i="1"/>
  <c r="N6" i="1" s="1"/>
  <c r="T3" i="1" s="1"/>
  <c r="H17" i="1"/>
  <c r="N17" i="1" s="1"/>
  <c r="H30" i="2"/>
  <c r="N30" i="2" s="1"/>
  <c r="H73" i="2"/>
  <c r="R2" i="1"/>
  <c r="S2" i="1" s="1"/>
  <c r="R10" i="1"/>
  <c r="S10" i="1" s="1"/>
  <c r="I39" i="1"/>
  <c r="I65" i="1"/>
  <c r="I68" i="1"/>
  <c r="I75" i="1"/>
  <c r="I118" i="1"/>
  <c r="I130" i="1"/>
  <c r="I156" i="1"/>
  <c r="N161" i="1"/>
  <c r="I163" i="1"/>
  <c r="I182" i="1"/>
  <c r="I30" i="1"/>
  <c r="I33" i="1"/>
  <c r="I35" i="1"/>
  <c r="H39" i="1"/>
  <c r="N39" i="1" s="1"/>
  <c r="I46" i="1"/>
  <c r="I49" i="1"/>
  <c r="I58" i="1"/>
  <c r="N99" i="1"/>
  <c r="N104" i="1"/>
  <c r="N111" i="1"/>
  <c r="N125" i="1"/>
  <c r="N168" i="1"/>
  <c r="N175" i="1"/>
  <c r="N189" i="1"/>
  <c r="N194" i="1"/>
  <c r="R5" i="2"/>
  <c r="S5" i="2" s="1"/>
  <c r="I7" i="2"/>
  <c r="R9" i="2"/>
  <c r="S9" i="2" s="1"/>
  <c r="N15" i="2"/>
  <c r="T5" i="2" s="1"/>
  <c r="N27" i="2"/>
  <c r="T8" i="2" s="1"/>
  <c r="I34" i="2"/>
  <c r="I37" i="2"/>
  <c r="N43" i="2"/>
  <c r="N55" i="2"/>
  <c r="I57" i="2"/>
  <c r="H57" i="2"/>
  <c r="N57" i="2" s="1"/>
  <c r="T15" i="2" s="1"/>
  <c r="I65" i="2"/>
  <c r="I80" i="2"/>
  <c r="N85" i="2"/>
  <c r="N98" i="2"/>
  <c r="N100" i="2"/>
  <c r="N113" i="2"/>
  <c r="N130" i="2"/>
  <c r="N141" i="2"/>
  <c r="N173" i="2"/>
  <c r="N2" i="3"/>
  <c r="I5" i="3"/>
  <c r="H5" i="3"/>
  <c r="N5" i="3" s="1"/>
  <c r="R4" i="3"/>
  <c r="S4" i="3" s="1"/>
  <c r="N15" i="3"/>
  <c r="I17" i="3"/>
  <c r="I21" i="3"/>
  <c r="I34" i="3"/>
  <c r="N41" i="3"/>
  <c r="I43" i="3"/>
  <c r="I49" i="3"/>
  <c r="I51" i="3"/>
  <c r="H51" i="3"/>
  <c r="R14" i="3" s="1"/>
  <c r="S14" i="3" s="1"/>
  <c r="N111" i="3"/>
  <c r="N130" i="3"/>
  <c r="N157" i="3"/>
  <c r="N193" i="3"/>
  <c r="I193" i="3"/>
  <c r="N199" i="3"/>
  <c r="N202" i="3"/>
  <c r="I202" i="3"/>
  <c r="T3" i="4"/>
  <c r="U3" i="4" s="1"/>
  <c r="V13" i="4"/>
  <c r="V19" i="4"/>
  <c r="T19" i="4"/>
  <c r="U19" i="4" s="1"/>
  <c r="S19" i="4"/>
  <c r="S22" i="4"/>
  <c r="N3" i="5"/>
  <c r="N23" i="5"/>
  <c r="I26" i="5"/>
  <c r="N31" i="5"/>
  <c r="N40" i="5"/>
  <c r="Q8" i="5"/>
  <c r="I42" i="5"/>
  <c r="H42" i="5"/>
  <c r="R8" i="5" s="1"/>
  <c r="S8" i="5" s="1"/>
  <c r="N49" i="5"/>
  <c r="I51" i="5"/>
  <c r="I58" i="5"/>
  <c r="N64" i="5"/>
  <c r="I69" i="5"/>
  <c r="H69" i="5"/>
  <c r="R14" i="5" s="1"/>
  <c r="S14" i="5" s="1"/>
  <c r="N93" i="5"/>
  <c r="I93" i="5"/>
  <c r="N95" i="5"/>
  <c r="N98" i="5"/>
  <c r="I98" i="5"/>
  <c r="I124" i="5"/>
  <c r="N124" i="5"/>
  <c r="N142" i="5"/>
  <c r="I142" i="5"/>
  <c r="N154" i="5"/>
  <c r="I161" i="5"/>
  <c r="I166" i="5"/>
  <c r="I180" i="5"/>
  <c r="Q16" i="6"/>
  <c r="I31" i="6"/>
  <c r="N56" i="6"/>
  <c r="I63" i="6"/>
  <c r="I87" i="6"/>
  <c r="N94" i="6"/>
  <c r="I97" i="6"/>
  <c r="N107" i="6"/>
  <c r="N112" i="6"/>
  <c r="N119" i="6"/>
  <c r="I126" i="6"/>
  <c r="N141" i="6"/>
  <c r="N145" i="6"/>
  <c r="I145" i="6"/>
  <c r="N150" i="6"/>
  <c r="I150" i="6"/>
  <c r="N160" i="6"/>
  <c r="N169" i="6"/>
  <c r="I169" i="6"/>
  <c r="I205" i="6"/>
  <c r="N17" i="7"/>
  <c r="I17" i="7"/>
  <c r="N26" i="7"/>
  <c r="I39" i="7"/>
  <c r="I68" i="7"/>
  <c r="H81" i="7"/>
  <c r="N81" i="7" s="1"/>
  <c r="T14" i="7" s="1"/>
  <c r="I81" i="7"/>
  <c r="N84" i="7"/>
  <c r="N86" i="7"/>
  <c r="Q15" i="7"/>
  <c r="I86" i="7"/>
  <c r="I90" i="7"/>
  <c r="N93" i="7"/>
  <c r="N100" i="7"/>
  <c r="I111" i="7"/>
  <c r="I118" i="7"/>
  <c r="N118" i="7"/>
  <c r="N128" i="7"/>
  <c r="N140" i="7"/>
  <c r="I147" i="7"/>
  <c r="I152" i="7"/>
  <c r="I166" i="7"/>
  <c r="N181" i="7"/>
  <c r="N198" i="7"/>
  <c r="I198" i="7"/>
  <c r="N14" i="8"/>
  <c r="I37" i="8"/>
  <c r="H37" i="8"/>
  <c r="I46" i="8"/>
  <c r="H46" i="8"/>
  <c r="Q16" i="8"/>
  <c r="N65" i="8"/>
  <c r="I65" i="8"/>
  <c r="I83" i="8"/>
  <c r="I91" i="8"/>
  <c r="N91" i="8"/>
  <c r="N103" i="8"/>
  <c r="I103" i="8"/>
  <c r="N108" i="8"/>
  <c r="I108" i="8"/>
  <c r="N113" i="8"/>
  <c r="I113" i="8"/>
  <c r="N148" i="8"/>
  <c r="I148" i="8"/>
  <c r="N168" i="8"/>
  <c r="I168" i="8"/>
  <c r="N183" i="8"/>
  <c r="I183" i="8"/>
  <c r="I185" i="8"/>
  <c r="N185" i="8"/>
  <c r="I4" i="9"/>
  <c r="N44" i="9"/>
  <c r="N64" i="9"/>
  <c r="H68" i="9"/>
  <c r="I68" i="9"/>
  <c r="I145" i="9"/>
  <c r="N145" i="9"/>
  <c r="N172" i="9"/>
  <c r="I172" i="9"/>
  <c r="N8" i="10"/>
  <c r="I8" i="10"/>
  <c r="I121" i="10"/>
  <c r="Q4" i="11"/>
  <c r="N153" i="2"/>
  <c r="I153" i="2"/>
  <c r="N185" i="2"/>
  <c r="I185" i="2"/>
  <c r="Q2" i="3"/>
  <c r="R13" i="3"/>
  <c r="S13" i="3" s="1"/>
  <c r="I68" i="3"/>
  <c r="H68" i="3"/>
  <c r="N68" i="3" s="1"/>
  <c r="T19" i="3" s="1"/>
  <c r="N76" i="3"/>
  <c r="N114" i="3"/>
  <c r="I114" i="3"/>
  <c r="N162" i="3"/>
  <c r="I162" i="3"/>
  <c r="N181" i="3"/>
  <c r="I181" i="3"/>
  <c r="I191" i="3"/>
  <c r="N191" i="3"/>
  <c r="T4" i="5"/>
  <c r="N33" i="5"/>
  <c r="Q7" i="5"/>
  <c r="I33" i="5"/>
  <c r="N65" i="5"/>
  <c r="Q13" i="5"/>
  <c r="N74" i="5"/>
  <c r="I74" i="5"/>
  <c r="N87" i="5"/>
  <c r="N101" i="5"/>
  <c r="N117" i="5"/>
  <c r="I117" i="5"/>
  <c r="N122" i="5"/>
  <c r="I122" i="5"/>
  <c r="N129" i="5"/>
  <c r="I129" i="5"/>
  <c r="N162" i="5"/>
  <c r="I162" i="5"/>
  <c r="I167" i="5"/>
  <c r="N167" i="5"/>
  <c r="N186" i="5"/>
  <c r="I186" i="5"/>
  <c r="Q19" i="6"/>
  <c r="N23" i="6"/>
  <c r="N64" i="6"/>
  <c r="I64" i="6"/>
  <c r="I68" i="6"/>
  <c r="H68" i="6"/>
  <c r="R14" i="6" s="1"/>
  <c r="S14" i="6" s="1"/>
  <c r="Q18" i="6"/>
  <c r="N90" i="6"/>
  <c r="I90" i="6"/>
  <c r="N98" i="6"/>
  <c r="I98" i="6"/>
  <c r="N127" i="6"/>
  <c r="I127" i="6"/>
  <c r="N134" i="6"/>
  <c r="I143" i="6"/>
  <c r="N143" i="6"/>
  <c r="N174" i="6"/>
  <c r="I174" i="6"/>
  <c r="N186" i="6"/>
  <c r="H37" i="7"/>
  <c r="N37" i="7" s="1"/>
  <c r="I37" i="7"/>
  <c r="N51" i="7"/>
  <c r="I51" i="7"/>
  <c r="N53" i="7"/>
  <c r="I53" i="7"/>
  <c r="Q11" i="7"/>
  <c r="N60" i="7"/>
  <c r="I91" i="7"/>
  <c r="Q16" i="7"/>
  <c r="N148" i="7"/>
  <c r="I148" i="7"/>
  <c r="I153" i="7"/>
  <c r="N153" i="7"/>
  <c r="N172" i="7"/>
  <c r="I172" i="7"/>
  <c r="N191" i="7"/>
  <c r="I191" i="7"/>
  <c r="N196" i="7"/>
  <c r="I196" i="7"/>
  <c r="T14" i="8"/>
  <c r="R14" i="8"/>
  <c r="S14" i="8" s="1"/>
  <c r="Q14" i="8"/>
  <c r="I22" i="8"/>
  <c r="H22" i="8"/>
  <c r="R5" i="8" s="1"/>
  <c r="S5" i="8" s="1"/>
  <c r="N106" i="8"/>
  <c r="I106" i="8"/>
  <c r="N125" i="8"/>
  <c r="I125" i="8"/>
  <c r="N130" i="8"/>
  <c r="I130" i="8"/>
  <c r="N160" i="8"/>
  <c r="I160" i="8"/>
  <c r="I178" i="8"/>
  <c r="N178" i="8"/>
  <c r="N199" i="8"/>
  <c r="I199" i="8"/>
  <c r="Q7" i="9"/>
  <c r="Q11" i="9"/>
  <c r="I90" i="9"/>
  <c r="N90" i="9"/>
  <c r="N102" i="9"/>
  <c r="I102" i="9"/>
  <c r="N162" i="9"/>
  <c r="N164" i="9"/>
  <c r="I164" i="9"/>
  <c r="N44" i="10"/>
  <c r="T8" i="10" s="1"/>
  <c r="I44" i="10"/>
  <c r="Q17" i="10"/>
  <c r="N106" i="10"/>
  <c r="I106" i="10"/>
  <c r="N141" i="10"/>
  <c r="I141" i="10"/>
  <c r="I163" i="10"/>
  <c r="N163" i="10"/>
  <c r="H10" i="11"/>
  <c r="I10" i="11"/>
  <c r="R18" i="3"/>
  <c r="S18" i="3" s="1"/>
  <c r="I25" i="3"/>
  <c r="H25" i="3"/>
  <c r="N25" i="3" s="1"/>
  <c r="T7" i="3" s="1"/>
  <c r="N112" i="3"/>
  <c r="I112" i="3"/>
  <c r="Q5" i="5"/>
  <c r="I45" i="5"/>
  <c r="H45" i="5"/>
  <c r="N45" i="5" s="1"/>
  <c r="N52" i="5"/>
  <c r="N89" i="5"/>
  <c r="I89" i="5"/>
  <c r="N91" i="5"/>
  <c r="I91" i="5"/>
  <c r="N96" i="5"/>
  <c r="I96" i="5"/>
  <c r="N108" i="5"/>
  <c r="I108" i="5"/>
  <c r="N115" i="5"/>
  <c r="I115" i="5"/>
  <c r="I135" i="5"/>
  <c r="N135" i="5"/>
  <c r="N172" i="5"/>
  <c r="I172" i="5"/>
  <c r="I191" i="5"/>
  <c r="N191" i="5"/>
  <c r="I14" i="6"/>
  <c r="H14" i="6"/>
  <c r="N14" i="6" s="1"/>
  <c r="I23" i="6"/>
  <c r="H23" i="6"/>
  <c r="N25" i="6"/>
  <c r="I25" i="6"/>
  <c r="N27" i="6"/>
  <c r="I27" i="6"/>
  <c r="Q8" i="6"/>
  <c r="N34" i="6"/>
  <c r="I34" i="6"/>
  <c r="N57" i="6"/>
  <c r="I57" i="6"/>
  <c r="N194" i="6"/>
  <c r="I194" i="6"/>
  <c r="I199" i="6"/>
  <c r="N199" i="6"/>
  <c r="N16" i="7"/>
  <c r="I16" i="7"/>
  <c r="Q18" i="7"/>
  <c r="N21" i="7"/>
  <c r="I21" i="7"/>
  <c r="N33" i="7"/>
  <c r="I33" i="7"/>
  <c r="N101" i="7"/>
  <c r="I101" i="7"/>
  <c r="N158" i="7"/>
  <c r="I158" i="7"/>
  <c r="I177" i="7"/>
  <c r="N177" i="7"/>
  <c r="N182" i="7"/>
  <c r="I182" i="7"/>
  <c r="N189" i="7"/>
  <c r="I189" i="7"/>
  <c r="I201" i="7"/>
  <c r="N201" i="7"/>
  <c r="N206" i="7"/>
  <c r="I206" i="7"/>
  <c r="I16" i="8"/>
  <c r="H16" i="8"/>
  <c r="N16" i="8" s="1"/>
  <c r="N18" i="8"/>
  <c r="T4" i="8" s="1"/>
  <c r="I18" i="8"/>
  <c r="I49" i="8"/>
  <c r="N49" i="8"/>
  <c r="I54" i="8"/>
  <c r="H54" i="8"/>
  <c r="N54" i="8" s="1"/>
  <c r="N84" i="8"/>
  <c r="I84" i="8"/>
  <c r="N99" i="8"/>
  <c r="I99" i="8"/>
  <c r="N104" i="8"/>
  <c r="I104" i="8"/>
  <c r="N111" i="8"/>
  <c r="I111" i="8"/>
  <c r="N116" i="8"/>
  <c r="I116" i="8"/>
  <c r="N118" i="8"/>
  <c r="I118" i="8"/>
  <c r="N128" i="8"/>
  <c r="I128" i="8"/>
  <c r="N136" i="8"/>
  <c r="I136" i="8"/>
  <c r="N144" i="8"/>
  <c r="I144" i="8"/>
  <c r="N158" i="8"/>
  <c r="I158" i="8"/>
  <c r="I196" i="8"/>
  <c r="N196" i="8"/>
  <c r="R19" i="9"/>
  <c r="S19" i="9" s="1"/>
  <c r="Q19" i="9"/>
  <c r="N25" i="9"/>
  <c r="I25" i="9"/>
  <c r="I43" i="9"/>
  <c r="N43" i="9"/>
  <c r="H54" i="9"/>
  <c r="I54" i="9"/>
  <c r="N127" i="9"/>
  <c r="I127" i="9"/>
  <c r="Q16" i="10"/>
  <c r="H32" i="10"/>
  <c r="N32" i="10" s="1"/>
  <c r="I32" i="10"/>
  <c r="Q10" i="11"/>
  <c r="H36" i="2"/>
  <c r="R10" i="2" s="1"/>
  <c r="S10" i="2" s="1"/>
  <c r="I54" i="2"/>
  <c r="I2" i="1"/>
  <c r="R3" i="1"/>
  <c r="S3" i="1" s="1"/>
  <c r="I10" i="1"/>
  <c r="Q12" i="1"/>
  <c r="I26" i="1"/>
  <c r="H41" i="1"/>
  <c r="R9" i="1" s="1"/>
  <c r="S9" i="1" s="1"/>
  <c r="I45" i="1"/>
  <c r="H69" i="1"/>
  <c r="N69" i="1" s="1"/>
  <c r="T13" i="1" s="1"/>
  <c r="I86" i="1"/>
  <c r="I150" i="1"/>
  <c r="I162" i="1"/>
  <c r="I188" i="1"/>
  <c r="N193" i="1"/>
  <c r="I200" i="1"/>
  <c r="Q3" i="2"/>
  <c r="Q7" i="2"/>
  <c r="H54" i="2"/>
  <c r="R14" i="2" s="1"/>
  <c r="S14" i="2" s="1"/>
  <c r="N59" i="2"/>
  <c r="H61" i="2"/>
  <c r="N61" i="2" s="1"/>
  <c r="I67" i="2"/>
  <c r="H79" i="2"/>
  <c r="R19" i="2" s="1"/>
  <c r="S19" i="2" s="1"/>
  <c r="I84" i="2"/>
  <c r="I97" i="2"/>
  <c r="I114" i="2"/>
  <c r="I157" i="2"/>
  <c r="I189" i="2"/>
  <c r="I204" i="2"/>
  <c r="Q3" i="3"/>
  <c r="R5" i="3"/>
  <c r="S5" i="3" s="1"/>
  <c r="R6" i="3"/>
  <c r="S6" i="3" s="1"/>
  <c r="Q11" i="3"/>
  <c r="Q12" i="3"/>
  <c r="Q19" i="3"/>
  <c r="H27" i="3"/>
  <c r="N27" i="3" s="1"/>
  <c r="I29" i="3"/>
  <c r="I31" i="3"/>
  <c r="I40" i="3"/>
  <c r="N46" i="3"/>
  <c r="H48" i="3"/>
  <c r="N48" i="3" s="1"/>
  <c r="I55" i="3"/>
  <c r="N83" i="3"/>
  <c r="I83" i="3"/>
  <c r="N85" i="3"/>
  <c r="N89" i="3"/>
  <c r="I110" i="3"/>
  <c r="I129" i="3"/>
  <c r="N198" i="3"/>
  <c r="I198" i="3"/>
  <c r="V2" i="4"/>
  <c r="T2" i="4"/>
  <c r="U2" i="4" s="1"/>
  <c r="W2" i="4" s="1"/>
  <c r="S2" i="4"/>
  <c r="I7" i="5"/>
  <c r="H7" i="5"/>
  <c r="N7" i="5" s="1"/>
  <c r="T16" i="5"/>
  <c r="R16" i="5"/>
  <c r="S16" i="5" s="1"/>
  <c r="Q16" i="5"/>
  <c r="I18" i="5"/>
  <c r="H27" i="5"/>
  <c r="N27" i="5" s="1"/>
  <c r="I72" i="5"/>
  <c r="H72" i="5"/>
  <c r="N72" i="5" s="1"/>
  <c r="N81" i="5"/>
  <c r="H87" i="5"/>
  <c r="I101" i="5"/>
  <c r="N131" i="5"/>
  <c r="N155" i="5"/>
  <c r="I155" i="5"/>
  <c r="N159" i="5"/>
  <c r="N165" i="5"/>
  <c r="I165" i="5"/>
  <c r="N179" i="5"/>
  <c r="I179" i="5"/>
  <c r="N181" i="5"/>
  <c r="N184" i="5"/>
  <c r="I184" i="5"/>
  <c r="N205" i="5"/>
  <c r="I205" i="5"/>
  <c r="N5" i="6"/>
  <c r="I5" i="6"/>
  <c r="R7" i="6"/>
  <c r="S7" i="6" s="1"/>
  <c r="Q7" i="6"/>
  <c r="I17" i="6"/>
  <c r="N21" i="6"/>
  <c r="N42" i="6"/>
  <c r="I42" i="6"/>
  <c r="N69" i="6"/>
  <c r="N78" i="6"/>
  <c r="H88" i="6"/>
  <c r="N88" i="6" s="1"/>
  <c r="N108" i="6"/>
  <c r="I108" i="6"/>
  <c r="I113" i="6"/>
  <c r="N113" i="6"/>
  <c r="N120" i="6"/>
  <c r="I120" i="6"/>
  <c r="N124" i="6"/>
  <c r="N130" i="6"/>
  <c r="I130" i="6"/>
  <c r="I134" i="6"/>
  <c r="I148" i="6"/>
  <c r="I186" i="6"/>
  <c r="N204" i="6"/>
  <c r="I204" i="6"/>
  <c r="Q17" i="7"/>
  <c r="N31" i="7"/>
  <c r="I31" i="7"/>
  <c r="H40" i="7"/>
  <c r="N40" i="7" s="1"/>
  <c r="N54" i="7"/>
  <c r="H60" i="7"/>
  <c r="I69" i="7"/>
  <c r="H69" i="7"/>
  <c r="N69" i="7" s="1"/>
  <c r="N87" i="7"/>
  <c r="N91" i="7"/>
  <c r="H99" i="7"/>
  <c r="N99" i="7" s="1"/>
  <c r="I108" i="7"/>
  <c r="N110" i="7"/>
  <c r="I110" i="7"/>
  <c r="N112" i="7"/>
  <c r="N129" i="7"/>
  <c r="I129" i="7"/>
  <c r="N141" i="7"/>
  <c r="I141" i="7"/>
  <c r="N145" i="7"/>
  <c r="N151" i="7"/>
  <c r="I151" i="7"/>
  <c r="N165" i="7"/>
  <c r="I165" i="7"/>
  <c r="N167" i="7"/>
  <c r="N170" i="7"/>
  <c r="I170" i="7"/>
  <c r="N187" i="7"/>
  <c r="I187" i="7"/>
  <c r="N3" i="8"/>
  <c r="Q2" i="8"/>
  <c r="I4" i="8"/>
  <c r="Q6" i="8"/>
  <c r="N15" i="8"/>
  <c r="Q19" i="8"/>
  <c r="I33" i="8"/>
  <c r="I40" i="8"/>
  <c r="H40" i="8"/>
  <c r="N40" i="8" s="1"/>
  <c r="I70" i="8"/>
  <c r="H70" i="8"/>
  <c r="R17" i="8" s="1"/>
  <c r="S17" i="8" s="1"/>
  <c r="I75" i="8"/>
  <c r="N75" i="8"/>
  <c r="T19" i="8" s="1"/>
  <c r="N87" i="8"/>
  <c r="I87" i="8"/>
  <c r="I89" i="8"/>
  <c r="N92" i="8"/>
  <c r="I92" i="8"/>
  <c r="I94" i="8"/>
  <c r="N94" i="8"/>
  <c r="N109" i="8"/>
  <c r="I109" i="8"/>
  <c r="N166" i="8"/>
  <c r="I166" i="8"/>
  <c r="N10" i="9"/>
  <c r="H30" i="9"/>
  <c r="I30" i="9"/>
  <c r="N41" i="9"/>
  <c r="I41" i="9"/>
  <c r="N55" i="9"/>
  <c r="T11" i="9" s="1"/>
  <c r="I55" i="9"/>
  <c r="I62" i="9"/>
  <c r="N62" i="9"/>
  <c r="N74" i="9"/>
  <c r="I74" i="9"/>
  <c r="I88" i="9"/>
  <c r="N112" i="9"/>
  <c r="N124" i="9"/>
  <c r="I124" i="9"/>
  <c r="I40" i="10"/>
  <c r="N40" i="10"/>
  <c r="I87" i="10"/>
  <c r="H87" i="10"/>
  <c r="N87" i="10" s="1"/>
  <c r="N117" i="10"/>
  <c r="T20" i="10" s="1"/>
  <c r="I117" i="10"/>
  <c r="N28" i="11"/>
  <c r="I28" i="11"/>
  <c r="N63" i="1"/>
  <c r="T12" i="1" s="1"/>
  <c r="H32" i="1"/>
  <c r="N32" i="1" s="1"/>
  <c r="I20" i="1"/>
  <c r="H21" i="1"/>
  <c r="N21" i="1" s="1"/>
  <c r="I29" i="1"/>
  <c r="I54" i="1"/>
  <c r="I57" i="1"/>
  <c r="H63" i="1"/>
  <c r="R12" i="1" s="1"/>
  <c r="S12" i="1" s="1"/>
  <c r="I93" i="1"/>
  <c r="I98" i="1"/>
  <c r="I124" i="1"/>
  <c r="N129" i="1"/>
  <c r="I131" i="1"/>
  <c r="I136" i="1"/>
  <c r="I143" i="1"/>
  <c r="I157" i="1"/>
  <c r="I195" i="1"/>
  <c r="I2" i="2"/>
  <c r="R15" i="2"/>
  <c r="S15" i="2" s="1"/>
  <c r="I17" i="2"/>
  <c r="I22" i="2"/>
  <c r="H25" i="2"/>
  <c r="N25" i="2" s="1"/>
  <c r="N42" i="2"/>
  <c r="T12" i="2" s="1"/>
  <c r="H74" i="2"/>
  <c r="N74" i="2" s="1"/>
  <c r="I101" i="2"/>
  <c r="N112" i="2"/>
  <c r="I116" i="2"/>
  <c r="I129" i="2"/>
  <c r="I140" i="2"/>
  <c r="I172" i="2"/>
  <c r="Q4" i="3"/>
  <c r="R9" i="3"/>
  <c r="S9" i="3" s="1"/>
  <c r="Q13" i="3"/>
  <c r="I42" i="3"/>
  <c r="H42" i="3"/>
  <c r="R11" i="3" s="1"/>
  <c r="S11" i="3" s="1"/>
  <c r="S15" i="4"/>
  <c r="Q9" i="1"/>
  <c r="N10" i="1"/>
  <c r="T4" i="1" s="1"/>
  <c r="N29" i="1"/>
  <c r="I62" i="1"/>
  <c r="I66" i="1"/>
  <c r="I112" i="1"/>
  <c r="I171" i="1"/>
  <c r="I176" i="1"/>
  <c r="N2" i="2"/>
  <c r="T2" i="2" s="1"/>
  <c r="I5" i="2"/>
  <c r="I9" i="2"/>
  <c r="Q12" i="2"/>
  <c r="I33" i="2"/>
  <c r="I56" i="2"/>
  <c r="I69" i="2"/>
  <c r="I103" i="2"/>
  <c r="I120" i="2"/>
  <c r="I131" i="2"/>
  <c r="I163" i="2"/>
  <c r="I176" i="2"/>
  <c r="I195" i="2"/>
  <c r="R3" i="3"/>
  <c r="S3" i="3" s="1"/>
  <c r="Q6" i="3"/>
  <c r="Q9" i="3"/>
  <c r="R19" i="3"/>
  <c r="S19" i="3" s="1"/>
  <c r="Q7" i="3"/>
  <c r="N36" i="3"/>
  <c r="T9" i="3" s="1"/>
  <c r="I50" i="3"/>
  <c r="N61" i="3"/>
  <c r="T17" i="3" s="1"/>
  <c r="Q17" i="3"/>
  <c r="N75" i="3"/>
  <c r="R21" i="3"/>
  <c r="S21" i="3" s="1"/>
  <c r="I108" i="3"/>
  <c r="I127" i="3"/>
  <c r="N135" i="3"/>
  <c r="N138" i="3"/>
  <c r="I138" i="3"/>
  <c r="I144" i="3"/>
  <c r="I156" i="3"/>
  <c r="I158" i="3"/>
  <c r="N169" i="3"/>
  <c r="I169" i="3"/>
  <c r="N171" i="3"/>
  <c r="N175" i="3"/>
  <c r="V12" i="4"/>
  <c r="T12" i="4"/>
  <c r="U12" i="4" s="1"/>
  <c r="S12" i="4"/>
  <c r="T15" i="4"/>
  <c r="U15" i="4" s="1"/>
  <c r="N9" i="5"/>
  <c r="I9" i="5"/>
  <c r="I13" i="5"/>
  <c r="N13" i="5"/>
  <c r="Q15" i="5"/>
  <c r="H18" i="5"/>
  <c r="N18" i="5" s="1"/>
  <c r="N34" i="5"/>
  <c r="I43" i="5"/>
  <c r="N46" i="5"/>
  <c r="I63" i="5"/>
  <c r="N68" i="5"/>
  <c r="I68" i="5"/>
  <c r="N85" i="5"/>
  <c r="I106" i="5"/>
  <c r="I120" i="5"/>
  <c r="N148" i="5"/>
  <c r="I148" i="5"/>
  <c r="N160" i="5"/>
  <c r="I160" i="5"/>
  <c r="N187" i="5"/>
  <c r="N200" i="5"/>
  <c r="I6" i="6"/>
  <c r="I9" i="6"/>
  <c r="R11" i="6"/>
  <c r="S11" i="6" s="1"/>
  <c r="Q11" i="6"/>
  <c r="N13" i="6"/>
  <c r="H17" i="6"/>
  <c r="N17" i="6" s="1"/>
  <c r="I21" i="6"/>
  <c r="H22" i="6"/>
  <c r="N22" i="6" s="1"/>
  <c r="I22" i="6"/>
  <c r="N30" i="6"/>
  <c r="I30" i="6"/>
  <c r="I32" i="6"/>
  <c r="I51" i="6"/>
  <c r="H51" i="6"/>
  <c r="N51" i="6" s="1"/>
  <c r="N71" i="6"/>
  <c r="I71" i="6"/>
  <c r="I78" i="6"/>
  <c r="N91" i="6"/>
  <c r="N125" i="6"/>
  <c r="I125" i="6"/>
  <c r="I135" i="6"/>
  <c r="N135" i="6"/>
  <c r="N154" i="6"/>
  <c r="I154" i="6"/>
  <c r="N156" i="6"/>
  <c r="N163" i="6"/>
  <c r="N187" i="6"/>
  <c r="I187" i="6"/>
  <c r="N191" i="6"/>
  <c r="N197" i="6"/>
  <c r="I197" i="6"/>
  <c r="N19" i="7"/>
  <c r="N43" i="7"/>
  <c r="I45" i="7"/>
  <c r="N45" i="7"/>
  <c r="Q10" i="7"/>
  <c r="I54" i="7"/>
  <c r="I56" i="7"/>
  <c r="I87" i="7"/>
  <c r="I89" i="7"/>
  <c r="I97" i="7"/>
  <c r="H97" i="7"/>
  <c r="N97" i="7" s="1"/>
  <c r="T17" i="7" s="1"/>
  <c r="I104" i="7"/>
  <c r="H104" i="7"/>
  <c r="N104" i="7" s="1"/>
  <c r="H108" i="7"/>
  <c r="R19" i="7" s="1"/>
  <c r="S19" i="7" s="1"/>
  <c r="I115" i="7"/>
  <c r="N115" i="7"/>
  <c r="I121" i="7"/>
  <c r="N134" i="7"/>
  <c r="I134" i="7"/>
  <c r="N146" i="7"/>
  <c r="I146" i="7"/>
  <c r="N173" i="7"/>
  <c r="N192" i="7"/>
  <c r="I192" i="7"/>
  <c r="N204" i="7"/>
  <c r="Q5" i="8"/>
  <c r="N45" i="8"/>
  <c r="I45" i="8"/>
  <c r="Q11" i="8"/>
  <c r="N50" i="8"/>
  <c r="I50" i="8"/>
  <c r="Q12" i="8"/>
  <c r="H57" i="8"/>
  <c r="N57" i="8" s="1"/>
  <c r="I121" i="8"/>
  <c r="N121" i="8"/>
  <c r="N126" i="8"/>
  <c r="I126" i="8"/>
  <c r="N156" i="8"/>
  <c r="I156" i="8"/>
  <c r="I2" i="9"/>
  <c r="N2" i="9"/>
  <c r="Q18" i="9"/>
  <c r="N31" i="9"/>
  <c r="I31" i="9"/>
  <c r="N39" i="9"/>
  <c r="I39" i="9"/>
  <c r="I52" i="9"/>
  <c r="N52" i="9"/>
  <c r="T10" i="9" s="1"/>
  <c r="I100" i="9"/>
  <c r="H100" i="9"/>
  <c r="R18" i="9" s="1"/>
  <c r="S18" i="9" s="1"/>
  <c r="N108" i="9"/>
  <c r="I108" i="9"/>
  <c r="I121" i="9"/>
  <c r="N121" i="9"/>
  <c r="I15" i="10"/>
  <c r="H19" i="10"/>
  <c r="R4" i="10" s="1"/>
  <c r="S4" i="10" s="1"/>
  <c r="I19" i="10"/>
  <c r="H67" i="10"/>
  <c r="N67" i="10" s="1"/>
  <c r="I67" i="10"/>
  <c r="I112" i="10"/>
  <c r="H112" i="10"/>
  <c r="N131" i="10"/>
  <c r="N151" i="10"/>
  <c r="N155" i="10"/>
  <c r="I155" i="10"/>
  <c r="N54" i="2"/>
  <c r="Q19" i="2"/>
  <c r="T16" i="3"/>
  <c r="R16" i="3"/>
  <c r="S16" i="3" s="1"/>
  <c r="N169" i="2"/>
  <c r="I169" i="2"/>
  <c r="I54" i="3"/>
  <c r="N30" i="5"/>
  <c r="I59" i="5"/>
  <c r="I83" i="5"/>
  <c r="I113" i="5"/>
  <c r="N113" i="5"/>
  <c r="N132" i="5"/>
  <c r="I132" i="5"/>
  <c r="N141" i="5"/>
  <c r="I141" i="5"/>
  <c r="N146" i="5"/>
  <c r="I146" i="5"/>
  <c r="N177" i="5"/>
  <c r="I177" i="5"/>
  <c r="N182" i="5"/>
  <c r="I182" i="5"/>
  <c r="N194" i="5"/>
  <c r="I194" i="5"/>
  <c r="N201" i="5"/>
  <c r="I201" i="5"/>
  <c r="Q2" i="6"/>
  <c r="N8" i="6"/>
  <c r="I8" i="6"/>
  <c r="N28" i="6"/>
  <c r="T7" i="6" s="1"/>
  <c r="I28" i="6"/>
  <c r="N36" i="6"/>
  <c r="N45" i="6"/>
  <c r="I45" i="6"/>
  <c r="I86" i="6"/>
  <c r="N93" i="6"/>
  <c r="T19" i="6" s="1"/>
  <c r="I93" i="6"/>
  <c r="N111" i="6"/>
  <c r="I111" i="6"/>
  <c r="N116" i="6"/>
  <c r="I116" i="6"/>
  <c r="N140" i="6"/>
  <c r="I140" i="6"/>
  <c r="I159" i="6"/>
  <c r="N159" i="6"/>
  <c r="N180" i="6"/>
  <c r="I180" i="6"/>
  <c r="N192" i="6"/>
  <c r="I192" i="6"/>
  <c r="N195" i="6"/>
  <c r="I195" i="6"/>
  <c r="N200" i="6"/>
  <c r="I200" i="6"/>
  <c r="I4" i="7"/>
  <c r="I7" i="7"/>
  <c r="N8" i="7"/>
  <c r="Q9" i="7"/>
  <c r="N11" i="7"/>
  <c r="T4" i="7" s="1"/>
  <c r="N15" i="7"/>
  <c r="I15" i="7"/>
  <c r="I23" i="7"/>
  <c r="N74" i="7"/>
  <c r="I74" i="7"/>
  <c r="N113" i="7"/>
  <c r="I113" i="7"/>
  <c r="N122" i="7"/>
  <c r="I122" i="7"/>
  <c r="N132" i="7"/>
  <c r="I132" i="7"/>
  <c r="N163" i="7"/>
  <c r="I163" i="7"/>
  <c r="N168" i="7"/>
  <c r="I168" i="7"/>
  <c r="Q10" i="8"/>
  <c r="N25" i="8"/>
  <c r="I25" i="8"/>
  <c r="N34" i="8"/>
  <c r="N53" i="8"/>
  <c r="I53" i="8"/>
  <c r="N60" i="8"/>
  <c r="N64" i="8"/>
  <c r="I64" i="8"/>
  <c r="I78" i="8"/>
  <c r="N78" i="8"/>
  <c r="N90" i="8"/>
  <c r="N97" i="8"/>
  <c r="I97" i="8"/>
  <c r="N119" i="8"/>
  <c r="I119" i="8"/>
  <c r="N134" i="8"/>
  <c r="I134" i="8"/>
  <c r="N142" i="8"/>
  <c r="I142" i="8"/>
  <c r="N164" i="8"/>
  <c r="I164" i="8"/>
  <c r="N167" i="8"/>
  <c r="I167" i="8"/>
  <c r="N172" i="8"/>
  <c r="I172" i="8"/>
  <c r="N175" i="8"/>
  <c r="I175" i="8"/>
  <c r="I202" i="8"/>
  <c r="N202" i="8"/>
  <c r="Q6" i="9"/>
  <c r="I28" i="9"/>
  <c r="N28" i="9"/>
  <c r="H60" i="9"/>
  <c r="N60" i="9" s="1"/>
  <c r="I60" i="9"/>
  <c r="N83" i="9"/>
  <c r="I83" i="9"/>
  <c r="N98" i="9"/>
  <c r="I98" i="9"/>
  <c r="N119" i="9"/>
  <c r="I119" i="9"/>
  <c r="N144" i="9"/>
  <c r="I144" i="9"/>
  <c r="N189" i="9"/>
  <c r="I189" i="9"/>
  <c r="I193" i="9"/>
  <c r="N193" i="9"/>
  <c r="N9" i="10"/>
  <c r="I9" i="10"/>
  <c r="Q10" i="10"/>
  <c r="Q19" i="10"/>
  <c r="I26" i="10"/>
  <c r="N26" i="10"/>
  <c r="H35" i="10"/>
  <c r="I76" i="10"/>
  <c r="H76" i="10"/>
  <c r="N76" i="10" s="1"/>
  <c r="I126" i="10"/>
  <c r="N126" i="10"/>
  <c r="N173" i="10"/>
  <c r="I173" i="10"/>
  <c r="N197" i="10"/>
  <c r="I197" i="10"/>
  <c r="Q7" i="11"/>
  <c r="I51" i="1"/>
  <c r="I64" i="2"/>
  <c r="H64" i="2"/>
  <c r="N64" i="2" s="1"/>
  <c r="I74" i="3"/>
  <c r="N160" i="3"/>
  <c r="I160" i="3"/>
  <c r="N200" i="3"/>
  <c r="I200" i="3"/>
  <c r="I52" i="3"/>
  <c r="I167" i="3"/>
  <c r="N167" i="3"/>
  <c r="Q13" i="1"/>
  <c r="I43" i="1"/>
  <c r="H19" i="2"/>
  <c r="R6" i="2" s="1"/>
  <c r="S6" i="2" s="1"/>
  <c r="H24" i="2"/>
  <c r="N24" i="2" s="1"/>
  <c r="T7" i="2" s="1"/>
  <c r="I46" i="2"/>
  <c r="N81" i="2"/>
  <c r="R2" i="3"/>
  <c r="S2" i="3" s="1"/>
  <c r="U2" i="3" s="1"/>
  <c r="N22" i="3"/>
  <c r="T6" i="3" s="1"/>
  <c r="I22" i="3"/>
  <c r="Q10" i="3"/>
  <c r="H54" i="3"/>
  <c r="R15" i="3" s="1"/>
  <c r="S15" i="3" s="1"/>
  <c r="I69" i="3"/>
  <c r="I73" i="3"/>
  <c r="H73" i="3"/>
  <c r="N73" i="3" s="1"/>
  <c r="N88" i="3"/>
  <c r="I88" i="3"/>
  <c r="T8" i="4"/>
  <c r="U8" i="4" s="1"/>
  <c r="V8" i="4"/>
  <c r="T13" i="4"/>
  <c r="U13" i="4" s="1"/>
  <c r="H6" i="5"/>
  <c r="R2" i="5" s="1"/>
  <c r="S2" i="5" s="1"/>
  <c r="U2" i="5" s="1"/>
  <c r="Q9" i="5"/>
  <c r="Q10" i="5"/>
  <c r="N12" i="5"/>
  <c r="N20" i="5"/>
  <c r="I20" i="5"/>
  <c r="I30" i="5"/>
  <c r="H30" i="5"/>
  <c r="H34" i="5"/>
  <c r="R7" i="5" s="1"/>
  <c r="S7" i="5" s="1"/>
  <c r="N44" i="5"/>
  <c r="I44" i="5"/>
  <c r="I48" i="5"/>
  <c r="I66" i="5"/>
  <c r="H66" i="5"/>
  <c r="R13" i="5" s="1"/>
  <c r="S13" i="5" s="1"/>
  <c r="N71" i="5"/>
  <c r="I71" i="5"/>
  <c r="H75" i="5"/>
  <c r="I77" i="5"/>
  <c r="N100" i="5"/>
  <c r="I100" i="5"/>
  <c r="I151" i="5"/>
  <c r="N151" i="5"/>
  <c r="N206" i="5"/>
  <c r="I206" i="5"/>
  <c r="Q6" i="6"/>
  <c r="R6" i="6"/>
  <c r="S6" i="6" s="1"/>
  <c r="Q4" i="6"/>
  <c r="H13" i="6"/>
  <c r="R4" i="6" s="1"/>
  <c r="S4" i="6" s="1"/>
  <c r="N15" i="6"/>
  <c r="I15" i="6"/>
  <c r="N19" i="6"/>
  <c r="I19" i="6"/>
  <c r="H54" i="6"/>
  <c r="N54" i="6" s="1"/>
  <c r="H60" i="6"/>
  <c r="N60" i="6" s="1"/>
  <c r="I60" i="6"/>
  <c r="H91" i="6"/>
  <c r="R18" i="6" s="1"/>
  <c r="S18" i="6" s="1"/>
  <c r="N106" i="6"/>
  <c r="I106" i="6"/>
  <c r="N133" i="6"/>
  <c r="I133" i="6"/>
  <c r="N147" i="6"/>
  <c r="I147" i="6"/>
  <c r="N152" i="6"/>
  <c r="I152" i="6"/>
  <c r="N173" i="6"/>
  <c r="I173" i="6"/>
  <c r="N178" i="6"/>
  <c r="I178" i="6"/>
  <c r="T8" i="7"/>
  <c r="R8" i="7"/>
  <c r="S8" i="7" s="1"/>
  <c r="H11" i="7"/>
  <c r="R4" i="7" s="1"/>
  <c r="S4" i="7" s="1"/>
  <c r="I11" i="7"/>
  <c r="Q12" i="7"/>
  <c r="Q7" i="7"/>
  <c r="I34" i="7"/>
  <c r="H34" i="7"/>
  <c r="N34" i="7" s="1"/>
  <c r="H43" i="7"/>
  <c r="N57" i="7"/>
  <c r="N72" i="7"/>
  <c r="I72" i="7"/>
  <c r="N83" i="7"/>
  <c r="N98" i="7"/>
  <c r="I98" i="7"/>
  <c r="N127" i="7"/>
  <c r="I127" i="7"/>
  <c r="I137" i="7"/>
  <c r="N137" i="7"/>
  <c r="R9" i="8"/>
  <c r="S9" i="8" s="1"/>
  <c r="I17" i="8"/>
  <c r="I34" i="8"/>
  <c r="H34" i="8"/>
  <c r="N39" i="8"/>
  <c r="T9" i="8" s="1"/>
  <c r="I39" i="8"/>
  <c r="N69" i="8"/>
  <c r="I69" i="8"/>
  <c r="I102" i="8"/>
  <c r="N102" i="8"/>
  <c r="N150" i="8"/>
  <c r="I150" i="8"/>
  <c r="N192" i="8"/>
  <c r="I192" i="8"/>
  <c r="I7" i="9"/>
  <c r="N7" i="9"/>
  <c r="Q16" i="9"/>
  <c r="Q21" i="9"/>
  <c r="L27" i="9"/>
  <c r="N46" i="9"/>
  <c r="I46" i="9"/>
  <c r="H50" i="9"/>
  <c r="R9" i="9" s="1"/>
  <c r="S9" i="9" s="1"/>
  <c r="I50" i="9"/>
  <c r="I117" i="9"/>
  <c r="N117" i="9"/>
  <c r="I132" i="9"/>
  <c r="N132" i="9"/>
  <c r="N153" i="9"/>
  <c r="I153" i="9"/>
  <c r="N176" i="9"/>
  <c r="I176" i="9"/>
  <c r="I113" i="10"/>
  <c r="N47" i="2"/>
  <c r="I47" i="2"/>
  <c r="I8" i="2"/>
  <c r="Q21" i="3"/>
  <c r="I28" i="1"/>
  <c r="I37" i="1"/>
  <c r="I76" i="2"/>
  <c r="N137" i="2"/>
  <c r="I137" i="2"/>
  <c r="N201" i="2"/>
  <c r="I201" i="2"/>
  <c r="I16" i="1"/>
  <c r="I24" i="1"/>
  <c r="H36" i="1"/>
  <c r="N36" i="1" s="1"/>
  <c r="Q17" i="2"/>
  <c r="I63" i="2"/>
  <c r="H76" i="2"/>
  <c r="N76" i="2" s="1"/>
  <c r="Q14" i="1"/>
  <c r="H24" i="1"/>
  <c r="N24" i="1" s="1"/>
  <c r="T6" i="1" s="1"/>
  <c r="I92" i="1"/>
  <c r="N97" i="1"/>
  <c r="I50" i="2"/>
  <c r="H50" i="2"/>
  <c r="N50" i="2" s="1"/>
  <c r="N60" i="2"/>
  <c r="N96" i="2"/>
  <c r="I156" i="2"/>
  <c r="I188" i="2"/>
  <c r="I14" i="3"/>
  <c r="H18" i="3"/>
  <c r="N18" i="3" s="1"/>
  <c r="T5" i="3" s="1"/>
  <c r="I18" i="3"/>
  <c r="N23" i="3"/>
  <c r="N30" i="3"/>
  <c r="T8" i="3" s="1"/>
  <c r="I37" i="3"/>
  <c r="I39" i="3"/>
  <c r="H39" i="3"/>
  <c r="R10" i="3" s="1"/>
  <c r="S10" i="3" s="1"/>
  <c r="I45" i="3"/>
  <c r="H45" i="3"/>
  <c r="N45" i="3" s="1"/>
  <c r="R20" i="3"/>
  <c r="S20" i="3" s="1"/>
  <c r="N78" i="3"/>
  <c r="T21" i="3" s="1"/>
  <c r="I78" i="3"/>
  <c r="I86" i="3"/>
  <c r="N107" i="3"/>
  <c r="I107" i="3"/>
  <c r="N113" i="3"/>
  <c r="N116" i="3"/>
  <c r="I116" i="3"/>
  <c r="N126" i="3"/>
  <c r="I126" i="3"/>
  <c r="N134" i="3"/>
  <c r="I134" i="3"/>
  <c r="I143" i="3"/>
  <c r="N143" i="3"/>
  <c r="N174" i="3"/>
  <c r="I174" i="3"/>
  <c r="N176" i="3"/>
  <c r="S3" i="4"/>
  <c r="S8" i="4"/>
  <c r="Q2" i="5"/>
  <c r="N4" i="5"/>
  <c r="I4" i="5"/>
  <c r="Q3" i="5"/>
  <c r="N8" i="5"/>
  <c r="I8" i="5"/>
  <c r="R9" i="5"/>
  <c r="S9" i="5" s="1"/>
  <c r="I12" i="5"/>
  <c r="N42" i="5"/>
  <c r="N58" i="5"/>
  <c r="T11" i="5" s="1"/>
  <c r="I86" i="5"/>
  <c r="I105" i="5"/>
  <c r="N105" i="5"/>
  <c r="N119" i="5"/>
  <c r="I119" i="5"/>
  <c r="N121" i="5"/>
  <c r="N128" i="5"/>
  <c r="N137" i="5"/>
  <c r="I137" i="5"/>
  <c r="I173" i="5"/>
  <c r="I192" i="5"/>
  <c r="I4" i="6"/>
  <c r="H4" i="6"/>
  <c r="R2" i="6" s="1"/>
  <c r="S2" i="6" s="1"/>
  <c r="Q5" i="6"/>
  <c r="Q13" i="6"/>
  <c r="N24" i="6"/>
  <c r="T6" i="6" s="1"/>
  <c r="I24" i="6"/>
  <c r="N31" i="6"/>
  <c r="N33" i="6"/>
  <c r="I33" i="6"/>
  <c r="N50" i="6"/>
  <c r="T11" i="6" s="1"/>
  <c r="I50" i="6"/>
  <c r="N72" i="6"/>
  <c r="Q17" i="6"/>
  <c r="N85" i="6"/>
  <c r="N89" i="6"/>
  <c r="N168" i="6"/>
  <c r="I183" i="6"/>
  <c r="N183" i="6"/>
  <c r="Q4" i="7"/>
  <c r="Q8" i="7"/>
  <c r="N14" i="7"/>
  <c r="I25" i="7"/>
  <c r="H52" i="7"/>
  <c r="N52" i="7" s="1"/>
  <c r="I57" i="7"/>
  <c r="N66" i="7"/>
  <c r="I66" i="7"/>
  <c r="I83" i="7"/>
  <c r="N107" i="7"/>
  <c r="I107" i="7"/>
  <c r="Q19" i="7"/>
  <c r="I159" i="7"/>
  <c r="I178" i="7"/>
  <c r="N205" i="7"/>
  <c r="I205" i="7"/>
  <c r="Q9" i="8"/>
  <c r="N11" i="8"/>
  <c r="N30" i="8"/>
  <c r="I30" i="8"/>
  <c r="Q7" i="8"/>
  <c r="Q8" i="8"/>
  <c r="N37" i="8"/>
  <c r="N46" i="8"/>
  <c r="I51" i="8"/>
  <c r="H51" i="8"/>
  <c r="N51" i="8" s="1"/>
  <c r="Q13" i="8"/>
  <c r="N81" i="8"/>
  <c r="I81" i="8"/>
  <c r="N98" i="8"/>
  <c r="I98" i="8"/>
  <c r="N115" i="8"/>
  <c r="I115" i="8"/>
  <c r="N132" i="8"/>
  <c r="I132" i="8"/>
  <c r="N135" i="8"/>
  <c r="I135" i="8"/>
  <c r="N140" i="8"/>
  <c r="I140" i="8"/>
  <c r="N143" i="8"/>
  <c r="I143" i="8"/>
  <c r="I187" i="8"/>
  <c r="N187" i="8"/>
  <c r="I9" i="9"/>
  <c r="H9" i="9"/>
  <c r="N9" i="9" s="1"/>
  <c r="N24" i="9"/>
  <c r="I24" i="9"/>
  <c r="H37" i="9"/>
  <c r="N37" i="9" s="1"/>
  <c r="T12" i="9"/>
  <c r="H81" i="9"/>
  <c r="R15" i="9" s="1"/>
  <c r="S15" i="9" s="1"/>
  <c r="I81" i="9"/>
  <c r="N183" i="9"/>
  <c r="N206" i="9"/>
  <c r="N18" i="10"/>
  <c r="T4" i="10" s="1"/>
  <c r="I18" i="10"/>
  <c r="N96" i="10"/>
  <c r="I96" i="10"/>
  <c r="H98" i="10"/>
  <c r="N98" i="10" s="1"/>
  <c r="I98" i="10"/>
  <c r="N147" i="10"/>
  <c r="I147" i="10"/>
  <c r="N165" i="10"/>
  <c r="I165" i="10"/>
  <c r="H6" i="11"/>
  <c r="I6" i="11"/>
  <c r="Q20" i="11"/>
  <c r="R25" i="11"/>
  <c r="S25" i="11" s="1"/>
  <c r="N40" i="11"/>
  <c r="I40" i="11"/>
  <c r="Q44" i="11"/>
  <c r="H56" i="11"/>
  <c r="I56" i="11"/>
  <c r="I59" i="11"/>
  <c r="Q61" i="11"/>
  <c r="N68" i="11"/>
  <c r="I68" i="11"/>
  <c r="Q69" i="11"/>
  <c r="Q76" i="11"/>
  <c r="H82" i="11"/>
  <c r="R16" i="11" s="1"/>
  <c r="S16" i="11" s="1"/>
  <c r="I82" i="11"/>
  <c r="Q85" i="11"/>
  <c r="Q89" i="11"/>
  <c r="Q94" i="11"/>
  <c r="I19" i="5"/>
  <c r="Q12" i="6"/>
  <c r="I78" i="7"/>
  <c r="I11" i="8"/>
  <c r="I31" i="8"/>
  <c r="N181" i="8"/>
  <c r="I181" i="8"/>
  <c r="R4" i="9"/>
  <c r="S4" i="9" s="1"/>
  <c r="R5" i="9"/>
  <c r="S5" i="9" s="1"/>
  <c r="Q5" i="9"/>
  <c r="Q10" i="9"/>
  <c r="I70" i="9"/>
  <c r="I104" i="9"/>
  <c r="I110" i="9"/>
  <c r="H112" i="9"/>
  <c r="I112" i="9"/>
  <c r="I139" i="9"/>
  <c r="I183" i="9"/>
  <c r="H3" i="10"/>
  <c r="R2" i="10" s="1"/>
  <c r="S2" i="10" s="1"/>
  <c r="I3" i="10"/>
  <c r="N4" i="10"/>
  <c r="Q5" i="10"/>
  <c r="R5" i="10"/>
  <c r="S5" i="10" s="1"/>
  <c r="Q15" i="10"/>
  <c r="T15" i="10"/>
  <c r="H23" i="10"/>
  <c r="N23" i="10" s="1"/>
  <c r="I23" i="10"/>
  <c r="N51" i="10"/>
  <c r="I51" i="10"/>
  <c r="I53" i="10"/>
  <c r="N56" i="10"/>
  <c r="H119" i="10"/>
  <c r="N122" i="10"/>
  <c r="Q21" i="10"/>
  <c r="H124" i="10"/>
  <c r="N124" i="10" s="1"/>
  <c r="I124" i="10"/>
  <c r="H131" i="10"/>
  <c r="I131" i="10"/>
  <c r="I151" i="10"/>
  <c r="I159" i="10"/>
  <c r="Q15" i="11"/>
  <c r="I18" i="11"/>
  <c r="I43" i="11"/>
  <c r="N47" i="11"/>
  <c r="Q49" i="11"/>
  <c r="I62" i="11"/>
  <c r="N62" i="11"/>
  <c r="T13" i="11" s="1"/>
  <c r="I73" i="11"/>
  <c r="H77" i="11"/>
  <c r="N77" i="11" s="1"/>
  <c r="T15" i="11" s="1"/>
  <c r="I77" i="11"/>
  <c r="H97" i="11"/>
  <c r="I97" i="11"/>
  <c r="T5" i="4"/>
  <c r="U5" i="4" s="1"/>
  <c r="S7" i="4"/>
  <c r="S14" i="4"/>
  <c r="T21" i="4"/>
  <c r="U21" i="4" s="1"/>
  <c r="S23" i="4"/>
  <c r="Q6" i="5"/>
  <c r="Q11" i="5"/>
  <c r="Q17" i="5"/>
  <c r="H19" i="5"/>
  <c r="R5" i="5" s="1"/>
  <c r="S5" i="5" s="1"/>
  <c r="I36" i="5"/>
  <c r="H48" i="5"/>
  <c r="N48" i="5" s="1"/>
  <c r="H51" i="5"/>
  <c r="N51" i="5" s="1"/>
  <c r="T10" i="5" s="1"/>
  <c r="H63" i="5"/>
  <c r="R12" i="5" s="1"/>
  <c r="S12" i="5" s="1"/>
  <c r="H77" i="5"/>
  <c r="N77" i="5" s="1"/>
  <c r="H83" i="5"/>
  <c r="N83" i="5" s="1"/>
  <c r="T17" i="5" s="1"/>
  <c r="H86" i="5"/>
  <c r="R18" i="5" s="1"/>
  <c r="S18" i="5" s="1"/>
  <c r="R3" i="6"/>
  <c r="S3" i="6" s="1"/>
  <c r="H9" i="6"/>
  <c r="N9" i="6" s="1"/>
  <c r="Q20" i="6"/>
  <c r="I53" i="6"/>
  <c r="I74" i="6"/>
  <c r="H84" i="6"/>
  <c r="R16" i="6" s="1"/>
  <c r="S16" i="6" s="1"/>
  <c r="H87" i="6"/>
  <c r="N87" i="6" s="1"/>
  <c r="I96" i="6"/>
  <c r="H3" i="7"/>
  <c r="R2" i="7" s="1"/>
  <c r="S2" i="7" s="1"/>
  <c r="T5" i="7"/>
  <c r="H7" i="7"/>
  <c r="N7" i="7" s="1"/>
  <c r="T3" i="7" s="1"/>
  <c r="H62" i="7"/>
  <c r="N62" i="7" s="1"/>
  <c r="H65" i="7"/>
  <c r="R12" i="7" s="1"/>
  <c r="S12" i="7" s="1"/>
  <c r="H78" i="7"/>
  <c r="N78" i="7" s="1"/>
  <c r="H92" i="7"/>
  <c r="R16" i="7" s="1"/>
  <c r="S16" i="7" s="1"/>
  <c r="I95" i="7"/>
  <c r="H4" i="8"/>
  <c r="N4" i="8" s="1"/>
  <c r="I8" i="8"/>
  <c r="Q15" i="8"/>
  <c r="H17" i="8"/>
  <c r="N17" i="8" s="1"/>
  <c r="Q20" i="8"/>
  <c r="Q21" i="8"/>
  <c r="I42" i="8"/>
  <c r="I56" i="8"/>
  <c r="I62" i="8"/>
  <c r="I72" i="8"/>
  <c r="H89" i="8"/>
  <c r="R21" i="8" s="1"/>
  <c r="S21" i="8" s="1"/>
  <c r="I146" i="8"/>
  <c r="N146" i="8"/>
  <c r="Q4" i="9"/>
  <c r="I8" i="9"/>
  <c r="R10" i="9"/>
  <c r="S10" i="9" s="1"/>
  <c r="I33" i="9"/>
  <c r="I72" i="9"/>
  <c r="I78" i="9"/>
  <c r="N78" i="9"/>
  <c r="I92" i="9"/>
  <c r="H94" i="9"/>
  <c r="N94" i="9" s="1"/>
  <c r="H104" i="9"/>
  <c r="N104" i="9" s="1"/>
  <c r="I106" i="9"/>
  <c r="I168" i="9"/>
  <c r="I170" i="9"/>
  <c r="I174" i="9"/>
  <c r="I187" i="9"/>
  <c r="Q9" i="10"/>
  <c r="H14" i="10"/>
  <c r="R3" i="10" s="1"/>
  <c r="S3" i="10" s="1"/>
  <c r="R15" i="10"/>
  <c r="S15" i="10" s="1"/>
  <c r="I17" i="10"/>
  <c r="I38" i="10"/>
  <c r="I59" i="10"/>
  <c r="H90" i="10"/>
  <c r="N90" i="10" s="1"/>
  <c r="I90" i="10"/>
  <c r="I127" i="10"/>
  <c r="H127" i="10"/>
  <c r="N127" i="10" s="1"/>
  <c r="I183" i="10"/>
  <c r="I191" i="10"/>
  <c r="I8" i="11"/>
  <c r="H8" i="11"/>
  <c r="N8" i="11" s="1"/>
  <c r="H14" i="11"/>
  <c r="N14" i="11" s="1"/>
  <c r="I14" i="11"/>
  <c r="N33" i="11"/>
  <c r="T8" i="11" s="1"/>
  <c r="Q35" i="11"/>
  <c r="Q40" i="11"/>
  <c r="I54" i="11"/>
  <c r="H54" i="11"/>
  <c r="N54" i="11" s="1"/>
  <c r="Q68" i="11"/>
  <c r="I70" i="11"/>
  <c r="H70" i="11"/>
  <c r="N70" i="11" s="1"/>
  <c r="T14" i="11" s="1"/>
  <c r="Q77" i="11"/>
  <c r="N103" i="11"/>
  <c r="I47" i="3"/>
  <c r="S9" i="4"/>
  <c r="T14" i="4"/>
  <c r="U14" i="4" s="1"/>
  <c r="S16" i="4"/>
  <c r="R6" i="5"/>
  <c r="S6" i="5" s="1"/>
  <c r="R11" i="5"/>
  <c r="S11" i="5" s="1"/>
  <c r="I14" i="5"/>
  <c r="R17" i="5"/>
  <c r="S17" i="5" s="1"/>
  <c r="Q18" i="5"/>
  <c r="H26" i="5"/>
  <c r="N26" i="5" s="1"/>
  <c r="H29" i="5"/>
  <c r="N29" i="5" s="1"/>
  <c r="I60" i="5"/>
  <c r="I65" i="5"/>
  <c r="I153" i="5"/>
  <c r="I158" i="5"/>
  <c r="Q3" i="6"/>
  <c r="T8" i="6"/>
  <c r="I10" i="6"/>
  <c r="R17" i="6"/>
  <c r="S17" i="6" s="1"/>
  <c r="H39" i="6"/>
  <c r="H53" i="6"/>
  <c r="N53" i="6" s="1"/>
  <c r="T12" i="6" s="1"/>
  <c r="H59" i="6"/>
  <c r="N59" i="6" s="1"/>
  <c r="H62" i="6"/>
  <c r="N62" i="6" s="1"/>
  <c r="I67" i="6"/>
  <c r="I101" i="6"/>
  <c r="I104" i="6"/>
  <c r="I118" i="6"/>
  <c r="I123" i="6"/>
  <c r="I185" i="6"/>
  <c r="I190" i="6"/>
  <c r="Q5" i="7"/>
  <c r="R6" i="7"/>
  <c r="S6" i="7" s="1"/>
  <c r="H12" i="7"/>
  <c r="N12" i="7" s="1"/>
  <c r="Q14" i="7"/>
  <c r="H25" i="7"/>
  <c r="H28" i="7"/>
  <c r="N28" i="7" s="1"/>
  <c r="H36" i="7"/>
  <c r="N36" i="7" s="1"/>
  <c r="H39" i="7"/>
  <c r="N39" i="7" s="1"/>
  <c r="H42" i="7"/>
  <c r="N42" i="7" s="1"/>
  <c r="H47" i="7"/>
  <c r="N47" i="7" s="1"/>
  <c r="H50" i="7"/>
  <c r="N50" i="7" s="1"/>
  <c r="H56" i="7"/>
  <c r="R11" i="7" s="1"/>
  <c r="S11" i="7" s="1"/>
  <c r="I59" i="7"/>
  <c r="H68" i="7"/>
  <c r="N68" i="7" s="1"/>
  <c r="H80" i="7"/>
  <c r="N80" i="7" s="1"/>
  <c r="H83" i="7"/>
  <c r="H89" i="7"/>
  <c r="R15" i="7" s="1"/>
  <c r="S15" i="7" s="1"/>
  <c r="H103" i="7"/>
  <c r="N103" i="7" s="1"/>
  <c r="I120" i="7"/>
  <c r="I125" i="7"/>
  <c r="I139" i="7"/>
  <c r="I144" i="7"/>
  <c r="I203" i="7"/>
  <c r="I5" i="8"/>
  <c r="H13" i="8"/>
  <c r="R3" i="8" s="1"/>
  <c r="S3" i="8" s="1"/>
  <c r="R15" i="8"/>
  <c r="S15" i="8" s="1"/>
  <c r="R20" i="8"/>
  <c r="S20" i="8" s="1"/>
  <c r="H33" i="8"/>
  <c r="N33" i="8" s="1"/>
  <c r="H36" i="8"/>
  <c r="H42" i="8"/>
  <c r="N42" i="8" s="1"/>
  <c r="T10" i="8" s="1"/>
  <c r="H48" i="8"/>
  <c r="N48" i="8" s="1"/>
  <c r="T11" i="8" s="1"/>
  <c r="H56" i="8"/>
  <c r="R13" i="8" s="1"/>
  <c r="S13" i="8" s="1"/>
  <c r="I59" i="8"/>
  <c r="H72" i="8"/>
  <c r="R18" i="8" s="1"/>
  <c r="S18" i="8" s="1"/>
  <c r="H77" i="8"/>
  <c r="N77" i="8" s="1"/>
  <c r="H80" i="8"/>
  <c r="N80" i="8" s="1"/>
  <c r="H83" i="8"/>
  <c r="N83" i="8" s="1"/>
  <c r="H86" i="8"/>
  <c r="N86" i="8" s="1"/>
  <c r="I123" i="8"/>
  <c r="N133" i="8"/>
  <c r="N138" i="8"/>
  <c r="N149" i="8"/>
  <c r="N162" i="8"/>
  <c r="N165" i="8"/>
  <c r="N170" i="8"/>
  <c r="N182" i="8"/>
  <c r="N194" i="8"/>
  <c r="I205" i="8"/>
  <c r="Q2" i="9"/>
  <c r="Q3" i="9"/>
  <c r="H8" i="9"/>
  <c r="N8" i="9" s="1"/>
  <c r="H13" i="9"/>
  <c r="N13" i="9" s="1"/>
  <c r="I13" i="9"/>
  <c r="N22" i="9"/>
  <c r="I29" i="9"/>
  <c r="N35" i="9"/>
  <c r="T7" i="9" s="1"/>
  <c r="I53" i="9"/>
  <c r="I76" i="9"/>
  <c r="N85" i="9"/>
  <c r="I96" i="9"/>
  <c r="I114" i="9"/>
  <c r="H116" i="9"/>
  <c r="N116" i="9" s="1"/>
  <c r="I122" i="9"/>
  <c r="N122" i="9"/>
  <c r="I129" i="9"/>
  <c r="N129" i="9"/>
  <c r="I151" i="9"/>
  <c r="I157" i="9"/>
  <c r="Q3" i="10"/>
  <c r="I7" i="10"/>
  <c r="R9" i="10"/>
  <c r="S9" i="10" s="1"/>
  <c r="I13" i="10"/>
  <c r="Q14" i="10"/>
  <c r="I22" i="10"/>
  <c r="H22" i="10"/>
  <c r="N22" i="10" s="1"/>
  <c r="N31" i="10"/>
  <c r="N71" i="10"/>
  <c r="I73" i="10"/>
  <c r="I79" i="10"/>
  <c r="N82" i="10"/>
  <c r="T13" i="10" s="1"/>
  <c r="H120" i="10"/>
  <c r="N120" i="10" s="1"/>
  <c r="T21" i="10" s="1"/>
  <c r="N125" i="10"/>
  <c r="N130" i="10"/>
  <c r="N134" i="10"/>
  <c r="I134" i="10"/>
  <c r="I149" i="10"/>
  <c r="N166" i="10"/>
  <c r="I187" i="10"/>
  <c r="Q5" i="11"/>
  <c r="R5" i="11"/>
  <c r="S5" i="11" s="1"/>
  <c r="I12" i="11"/>
  <c r="H12" i="11"/>
  <c r="N12" i="11" s="1"/>
  <c r="Q14" i="11"/>
  <c r="R14" i="11"/>
  <c r="S14" i="11" s="1"/>
  <c r="Q18" i="11"/>
  <c r="R18" i="11"/>
  <c r="S18" i="11" s="1"/>
  <c r="Q28" i="11"/>
  <c r="Q43" i="11"/>
  <c r="N50" i="11"/>
  <c r="T11" i="11" s="1"/>
  <c r="N12" i="3"/>
  <c r="T4" i="3" s="1"/>
  <c r="N44" i="3"/>
  <c r="T12" i="3" s="1"/>
  <c r="I64" i="3"/>
  <c r="N154" i="3"/>
  <c r="V5" i="4"/>
  <c r="V21" i="4"/>
  <c r="R3" i="5"/>
  <c r="S3" i="5" s="1"/>
  <c r="T8" i="5"/>
  <c r="I10" i="5"/>
  <c r="Q12" i="5"/>
  <c r="N25" i="5"/>
  <c r="I47" i="5"/>
  <c r="I82" i="5"/>
  <c r="N116" i="5"/>
  <c r="N138" i="5"/>
  <c r="N202" i="5"/>
  <c r="T20" i="6"/>
  <c r="N61" i="6"/>
  <c r="N170" i="6"/>
  <c r="R5" i="7"/>
  <c r="S5" i="7" s="1"/>
  <c r="R14" i="7"/>
  <c r="S14" i="7" s="1"/>
  <c r="N38" i="7"/>
  <c r="I71" i="7"/>
  <c r="N82" i="7"/>
  <c r="I106" i="7"/>
  <c r="N188" i="7"/>
  <c r="N10" i="8"/>
  <c r="R12" i="8"/>
  <c r="S12" i="8" s="1"/>
  <c r="I19" i="8"/>
  <c r="H27" i="8"/>
  <c r="N27" i="8" s="1"/>
  <c r="N66" i="8"/>
  <c r="N82" i="8"/>
  <c r="N105" i="8"/>
  <c r="N157" i="8"/>
  <c r="I197" i="8"/>
  <c r="N6" i="9"/>
  <c r="I12" i="9"/>
  <c r="H12" i="9"/>
  <c r="N12" i="9" s="1"/>
  <c r="N18" i="9"/>
  <c r="N19" i="9"/>
  <c r="T4" i="9" s="1"/>
  <c r="N21" i="9"/>
  <c r="T5" i="9" s="1"/>
  <c r="I36" i="9"/>
  <c r="N36" i="9"/>
  <c r="H38" i="9"/>
  <c r="N38" i="9" s="1"/>
  <c r="I38" i="9"/>
  <c r="N42" i="9"/>
  <c r="I57" i="9"/>
  <c r="N69" i="9"/>
  <c r="I69" i="9"/>
  <c r="N82" i="9"/>
  <c r="H89" i="9"/>
  <c r="R16" i="9" s="1"/>
  <c r="S16" i="9" s="1"/>
  <c r="N93" i="9"/>
  <c r="I99" i="9"/>
  <c r="N99" i="9"/>
  <c r="N109" i="9"/>
  <c r="T20" i="9" s="1"/>
  <c r="I125" i="9"/>
  <c r="I136" i="9"/>
  <c r="I138" i="9"/>
  <c r="I142" i="9"/>
  <c r="I155" i="9"/>
  <c r="N167" i="9"/>
  <c r="I199" i="9"/>
  <c r="I205" i="9"/>
  <c r="N10" i="10"/>
  <c r="Q13" i="10"/>
  <c r="H16" i="10"/>
  <c r="N16" i="10" s="1"/>
  <c r="I16" i="10"/>
  <c r="T17" i="10"/>
  <c r="R17" i="10"/>
  <c r="S17" i="10" s="1"/>
  <c r="Q22" i="10"/>
  <c r="H27" i="10"/>
  <c r="N27" i="10" s="1"/>
  <c r="T5" i="10" s="1"/>
  <c r="I34" i="10"/>
  <c r="I36" i="10"/>
  <c r="N50" i="10"/>
  <c r="T9" i="10" s="1"/>
  <c r="H54" i="10"/>
  <c r="N54" i="10" s="1"/>
  <c r="H56" i="10"/>
  <c r="H65" i="10"/>
  <c r="N65" i="10" s="1"/>
  <c r="I65" i="10"/>
  <c r="H71" i="10"/>
  <c r="I71" i="10"/>
  <c r="I82" i="10"/>
  <c r="I84" i="10"/>
  <c r="I88" i="10"/>
  <c r="H88" i="10"/>
  <c r="N88" i="10" s="1"/>
  <c r="N93" i="10"/>
  <c r="I107" i="10"/>
  <c r="H107" i="10"/>
  <c r="N107" i="10" s="1"/>
  <c r="I115" i="10"/>
  <c r="N118" i="10"/>
  <c r="R20" i="10"/>
  <c r="S20" i="10" s="1"/>
  <c r="I122" i="10"/>
  <c r="N158" i="10"/>
  <c r="I181" i="10"/>
  <c r="N195" i="10"/>
  <c r="N198" i="10"/>
  <c r="H7" i="11"/>
  <c r="N7" i="11" s="1"/>
  <c r="Q9" i="11"/>
  <c r="R9" i="11"/>
  <c r="S9" i="11" s="1"/>
  <c r="H11" i="11"/>
  <c r="H16" i="11"/>
  <c r="N16" i="11" s="1"/>
  <c r="Q22" i="11"/>
  <c r="H50" i="11"/>
  <c r="I50" i="11"/>
  <c r="Q55" i="11"/>
  <c r="R55" i="11"/>
  <c r="S55" i="11" s="1"/>
  <c r="H57" i="11"/>
  <c r="Q58" i="11"/>
  <c r="N2" i="5"/>
  <c r="N92" i="5"/>
  <c r="N178" i="5"/>
  <c r="N7" i="6"/>
  <c r="Q9" i="6"/>
  <c r="N41" i="6"/>
  <c r="N44" i="6"/>
  <c r="T10" i="6" s="1"/>
  <c r="N97" i="6"/>
  <c r="N146" i="6"/>
  <c r="N24" i="7"/>
  <c r="N164" i="7"/>
  <c r="Q4" i="8"/>
  <c r="N29" i="8"/>
  <c r="N63" i="8"/>
  <c r="I131" i="8"/>
  <c r="N131" i="8"/>
  <c r="N161" i="8"/>
  <c r="I163" i="8"/>
  <c r="N163" i="8"/>
  <c r="I195" i="8"/>
  <c r="N195" i="8"/>
  <c r="N5" i="9"/>
  <c r="Q8" i="9"/>
  <c r="T8" i="9"/>
  <c r="I71" i="9"/>
  <c r="H71" i="9"/>
  <c r="N71" i="9" s="1"/>
  <c r="N97" i="9"/>
  <c r="I97" i="9"/>
  <c r="H101" i="9"/>
  <c r="N101" i="9" s="1"/>
  <c r="I101" i="9"/>
  <c r="N107" i="9"/>
  <c r="T19" i="9" s="1"/>
  <c r="R20" i="9"/>
  <c r="S20" i="9" s="1"/>
  <c r="N115" i="9"/>
  <c r="I123" i="9"/>
  <c r="N123" i="9"/>
  <c r="N175" i="9"/>
  <c r="Q7" i="10"/>
  <c r="Q8" i="10"/>
  <c r="R8" i="10"/>
  <c r="S8" i="10" s="1"/>
  <c r="R12" i="10"/>
  <c r="S12" i="10" s="1"/>
  <c r="N15" i="10"/>
  <c r="I31" i="10"/>
  <c r="N85" i="10"/>
  <c r="I103" i="10"/>
  <c r="H103" i="10"/>
  <c r="N103" i="10" s="1"/>
  <c r="T16" i="10" s="1"/>
  <c r="I125" i="10"/>
  <c r="N190" i="10"/>
  <c r="R3" i="11"/>
  <c r="S3" i="11" s="1"/>
  <c r="N6" i="11"/>
  <c r="T2" i="11" s="1"/>
  <c r="R22" i="11"/>
  <c r="S22" i="11" s="1"/>
  <c r="T32" i="11"/>
  <c r="R32" i="11"/>
  <c r="S32" i="11" s="1"/>
  <c r="R50" i="11"/>
  <c r="S50" i="11" s="1"/>
  <c r="Q50" i="11"/>
  <c r="I69" i="11"/>
  <c r="I76" i="11"/>
  <c r="I78" i="11"/>
  <c r="H78" i="11"/>
  <c r="N78" i="11" s="1"/>
  <c r="N125" i="11"/>
  <c r="T22" i="11" s="1"/>
  <c r="Q18" i="8"/>
  <c r="N26" i="8"/>
  <c r="T6" i="8" s="1"/>
  <c r="N124" i="8"/>
  <c r="N174" i="8"/>
  <c r="N189" i="8"/>
  <c r="N4" i="9"/>
  <c r="T2" i="9" s="1"/>
  <c r="N30" i="9"/>
  <c r="I32" i="9"/>
  <c r="H32" i="9"/>
  <c r="N32" i="9" s="1"/>
  <c r="N54" i="9"/>
  <c r="N56" i="9"/>
  <c r="N75" i="9"/>
  <c r="N135" i="9"/>
  <c r="N19" i="10"/>
  <c r="N53" i="10"/>
  <c r="H66" i="10"/>
  <c r="N66" i="10" s="1"/>
  <c r="T11" i="10" s="1"/>
  <c r="I66" i="10"/>
  <c r="I89" i="10"/>
  <c r="H89" i="10"/>
  <c r="N89" i="10" s="1"/>
  <c r="N110" i="10"/>
  <c r="N112" i="10"/>
  <c r="N119" i="10"/>
  <c r="N10" i="11"/>
  <c r="H15" i="11"/>
  <c r="R4" i="11" s="1"/>
  <c r="S4" i="11" s="1"/>
  <c r="Q17" i="11"/>
  <c r="T17" i="11"/>
  <c r="N20" i="11"/>
  <c r="T5" i="11" s="1"/>
  <c r="I25" i="11"/>
  <c r="Q32" i="11"/>
  <c r="I36" i="11"/>
  <c r="N41" i="11"/>
  <c r="Q42" i="11"/>
  <c r="I44" i="11"/>
  <c r="H44" i="11"/>
  <c r="R10" i="11" s="1"/>
  <c r="S10" i="11" s="1"/>
  <c r="N56" i="11"/>
  <c r="Q81" i="11"/>
  <c r="N85" i="11"/>
  <c r="N32" i="11"/>
  <c r="I33" i="11"/>
  <c r="N53" i="11"/>
  <c r="T73" i="11"/>
  <c r="R73" i="11"/>
  <c r="S73" i="11" s="1"/>
  <c r="I89" i="11"/>
  <c r="Q90" i="11"/>
  <c r="R96" i="11"/>
  <c r="S96" i="11" s="1"/>
  <c r="N98" i="11"/>
  <c r="N105" i="11"/>
  <c r="N106" i="11"/>
  <c r="Q112" i="11"/>
  <c r="Q113" i="11"/>
  <c r="Q115" i="11"/>
  <c r="I133" i="11"/>
  <c r="Q135" i="11"/>
  <c r="Q139" i="11"/>
  <c r="N143" i="11"/>
  <c r="H144" i="11"/>
  <c r="I151" i="11"/>
  <c r="R155" i="11"/>
  <c r="S155" i="11" s="1"/>
  <c r="N157" i="11"/>
  <c r="H158" i="11"/>
  <c r="R170" i="11"/>
  <c r="S170" i="11" s="1"/>
  <c r="Q170" i="11"/>
  <c r="N204" i="11"/>
  <c r="N207" i="11"/>
  <c r="N268" i="11"/>
  <c r="N385" i="11"/>
  <c r="N446" i="11"/>
  <c r="I974" i="11"/>
  <c r="H974" i="11"/>
  <c r="R160" i="11" s="1"/>
  <c r="S160" i="11" s="1"/>
  <c r="N979" i="11"/>
  <c r="I979" i="11"/>
  <c r="Q175" i="11"/>
  <c r="N1034" i="11"/>
  <c r="I1034" i="11"/>
  <c r="N131" i="11"/>
  <c r="T136" i="11"/>
  <c r="N142" i="11"/>
  <c r="I146" i="11"/>
  <c r="T155" i="11"/>
  <c r="Q164" i="11"/>
  <c r="N962" i="11"/>
  <c r="I962" i="11"/>
  <c r="N976" i="11"/>
  <c r="I976" i="11"/>
  <c r="I982" i="11"/>
  <c r="Q162" i="11"/>
  <c r="N982" i="11"/>
  <c r="I985" i="11"/>
  <c r="N985" i="11"/>
  <c r="N1031" i="11"/>
  <c r="I1031" i="11"/>
  <c r="N190" i="8"/>
  <c r="I11" i="9"/>
  <c r="N58" i="9"/>
  <c r="I64" i="9"/>
  <c r="N73" i="9"/>
  <c r="N87" i="9"/>
  <c r="N92" i="9"/>
  <c r="T17" i="9" s="1"/>
  <c r="N114" i="9"/>
  <c r="T21" i="9" s="1"/>
  <c r="I146" i="9"/>
  <c r="I162" i="9"/>
  <c r="I178" i="9"/>
  <c r="I194" i="9"/>
  <c r="I21" i="10"/>
  <c r="I24" i="10"/>
  <c r="I41" i="10"/>
  <c r="I63" i="10"/>
  <c r="H70" i="10"/>
  <c r="N70" i="10" s="1"/>
  <c r="N78" i="10"/>
  <c r="I80" i="10"/>
  <c r="N83" i="10"/>
  <c r="H92" i="10"/>
  <c r="N92" i="10" s="1"/>
  <c r="I101" i="10"/>
  <c r="H113" i="10"/>
  <c r="R19" i="10" s="1"/>
  <c r="S19" i="10" s="1"/>
  <c r="N142" i="10"/>
  <c r="I166" i="10"/>
  <c r="N174" i="10"/>
  <c r="I198" i="10"/>
  <c r="N206" i="10"/>
  <c r="Q6" i="11"/>
  <c r="T6" i="11"/>
  <c r="N11" i="11"/>
  <c r="R15" i="11"/>
  <c r="S15" i="11" s="1"/>
  <c r="I53" i="11"/>
  <c r="Q56" i="11"/>
  <c r="T56" i="11"/>
  <c r="N59" i="11"/>
  <c r="I60" i="11"/>
  <c r="Q63" i="11"/>
  <c r="T72" i="11"/>
  <c r="Q72" i="11"/>
  <c r="N80" i="11"/>
  <c r="N97" i="11"/>
  <c r="I98" i="11"/>
  <c r="Q99" i="11"/>
  <c r="I110" i="11"/>
  <c r="N121" i="11"/>
  <c r="Q124" i="11"/>
  <c r="Q127" i="11"/>
  <c r="Q134" i="11"/>
  <c r="T139" i="11"/>
  <c r="I143" i="11"/>
  <c r="Q151" i="11"/>
  <c r="T151" i="11"/>
  <c r="N156" i="11"/>
  <c r="I157" i="11"/>
  <c r="H161" i="11"/>
  <c r="H162" i="11"/>
  <c r="N162" i="11" s="1"/>
  <c r="T163" i="11"/>
  <c r="R163" i="11"/>
  <c r="S163" i="11" s="1"/>
  <c r="N165" i="11"/>
  <c r="H171" i="11"/>
  <c r="N171" i="11" s="1"/>
  <c r="I965" i="11"/>
  <c r="N965" i="11"/>
  <c r="T158" i="11" s="1"/>
  <c r="I967" i="11"/>
  <c r="I1001" i="11"/>
  <c r="N1013" i="11"/>
  <c r="T170" i="11" s="1"/>
  <c r="I1013" i="11"/>
  <c r="I1028" i="11"/>
  <c r="N1028" i="11"/>
  <c r="I1030" i="11"/>
  <c r="H1030" i="11"/>
  <c r="I85" i="11"/>
  <c r="Q88" i="11"/>
  <c r="T88" i="11"/>
  <c r="I92" i="11"/>
  <c r="I103" i="11"/>
  <c r="I109" i="11"/>
  <c r="N116" i="11"/>
  <c r="H117" i="11"/>
  <c r="I131" i="11"/>
  <c r="Q132" i="11"/>
  <c r="N136" i="11"/>
  <c r="H137" i="11"/>
  <c r="N141" i="11"/>
  <c r="T25" i="11" s="1"/>
  <c r="I142" i="11"/>
  <c r="I156" i="11"/>
  <c r="N973" i="11"/>
  <c r="I973" i="11"/>
  <c r="N977" i="11"/>
  <c r="I977" i="11"/>
  <c r="N1019" i="11"/>
  <c r="I1019" i="11"/>
  <c r="Q172" i="11"/>
  <c r="N1032" i="11"/>
  <c r="I1032" i="11"/>
  <c r="T110" i="11"/>
  <c r="R110" i="11"/>
  <c r="S110" i="11" s="1"/>
  <c r="T148" i="11"/>
  <c r="Q148" i="11"/>
  <c r="N186" i="11"/>
  <c r="N202" i="11"/>
  <c r="N232" i="11"/>
  <c r="I407" i="11"/>
  <c r="H407" i="11"/>
  <c r="N611" i="11"/>
  <c r="Q171" i="11"/>
  <c r="N1014" i="11"/>
  <c r="I1014" i="11"/>
  <c r="I143" i="9"/>
  <c r="N147" i="9"/>
  <c r="I159" i="9"/>
  <c r="N163" i="9"/>
  <c r="I175" i="9"/>
  <c r="N179" i="9"/>
  <c r="I191" i="9"/>
  <c r="N195" i="9"/>
  <c r="Q2" i="10"/>
  <c r="Q4" i="10"/>
  <c r="N14" i="10"/>
  <c r="T3" i="10" s="1"/>
  <c r="Q18" i="10"/>
  <c r="T18" i="10"/>
  <c r="N25" i="10"/>
  <c r="I39" i="10"/>
  <c r="N42" i="10"/>
  <c r="T7" i="10" s="1"/>
  <c r="N61" i="10"/>
  <c r="I69" i="10"/>
  <c r="N79" i="10"/>
  <c r="I104" i="10"/>
  <c r="N121" i="10"/>
  <c r="N123" i="10"/>
  <c r="H129" i="10"/>
  <c r="N129" i="10" s="1"/>
  <c r="T22" i="10" s="1"/>
  <c r="I135" i="10"/>
  <c r="I167" i="10"/>
  <c r="I199" i="10"/>
  <c r="R11" i="11"/>
  <c r="S11" i="11" s="1"/>
  <c r="Q30" i="11"/>
  <c r="Q52" i="11"/>
  <c r="N57" i="11"/>
  <c r="N73" i="11"/>
  <c r="I74" i="11"/>
  <c r="Q79" i="11"/>
  <c r="Q97" i="11"/>
  <c r="N100" i="11"/>
  <c r="T18" i="11" s="1"/>
  <c r="I101" i="11"/>
  <c r="Q103" i="11"/>
  <c r="I107" i="11"/>
  <c r="Q110" i="11"/>
  <c r="N112" i="11"/>
  <c r="T20" i="11" s="1"/>
  <c r="I113" i="11"/>
  <c r="I116" i="11"/>
  <c r="Q120" i="11"/>
  <c r="T120" i="11"/>
  <c r="N128" i="11"/>
  <c r="T23" i="11" s="1"/>
  <c r="I129" i="11"/>
  <c r="Q131" i="11"/>
  <c r="I136" i="11"/>
  <c r="Q142" i="11"/>
  <c r="T142" i="11"/>
  <c r="R145" i="11"/>
  <c r="S145" i="11" s="1"/>
  <c r="R148" i="11"/>
  <c r="S148" i="11" s="1"/>
  <c r="R150" i="11"/>
  <c r="S150" i="11" s="1"/>
  <c r="N152" i="11"/>
  <c r="Q156" i="11"/>
  <c r="Q166" i="11"/>
  <c r="N405" i="11"/>
  <c r="N815" i="11"/>
  <c r="N833" i="11"/>
  <c r="I952" i="11"/>
  <c r="I956" i="11"/>
  <c r="N974" i="11"/>
  <c r="I1011" i="11"/>
  <c r="Q84" i="11"/>
  <c r="N89" i="11"/>
  <c r="I100" i="11"/>
  <c r="Q102" i="11"/>
  <c r="Q109" i="11"/>
  <c r="I112" i="11"/>
  <c r="I125" i="11"/>
  <c r="Q130" i="11"/>
  <c r="T130" i="11"/>
  <c r="I135" i="11"/>
  <c r="I139" i="11"/>
  <c r="T141" i="11"/>
  <c r="R141" i="11"/>
  <c r="S141" i="11" s="1"/>
  <c r="T145" i="11"/>
  <c r="N191" i="11"/>
  <c r="N224" i="11"/>
  <c r="N229" i="11"/>
  <c r="N233" i="11"/>
  <c r="T40" i="11" s="1"/>
  <c r="N374" i="11"/>
  <c r="T62" i="11" s="1"/>
  <c r="N401" i="11"/>
  <c r="N427" i="11"/>
  <c r="N642" i="11"/>
  <c r="N729" i="11"/>
  <c r="T118" i="11" s="1"/>
  <c r="N732" i="11"/>
  <c r="N796" i="11"/>
  <c r="T127" i="11" s="1"/>
  <c r="N812" i="11"/>
  <c r="I978" i="11"/>
  <c r="N989" i="11"/>
  <c r="I989" i="11"/>
  <c r="I1015" i="11"/>
  <c r="N1015" i="11"/>
  <c r="I1017" i="11"/>
  <c r="Q107" i="11"/>
  <c r="T107" i="11"/>
  <c r="I115" i="11"/>
  <c r="R130" i="11"/>
  <c r="S130" i="11" s="1"/>
  <c r="Q136" i="11"/>
  <c r="Q141" i="11"/>
  <c r="N151" i="11"/>
  <c r="T153" i="11"/>
  <c r="Q153" i="11"/>
  <c r="I164" i="11"/>
  <c r="N168" i="11"/>
  <c r="I168" i="11"/>
  <c r="I170" i="11"/>
  <c r="H170" i="11"/>
  <c r="N170" i="11" s="1"/>
  <c r="N297" i="11"/>
  <c r="T50" i="11" s="1"/>
  <c r="N325" i="11"/>
  <c r="T54" i="11" s="1"/>
  <c r="N361" i="11"/>
  <c r="T60" i="11" s="1"/>
  <c r="N369" i="11"/>
  <c r="N434" i="11"/>
  <c r="N646" i="11"/>
  <c r="N700" i="11"/>
  <c r="N716" i="11"/>
  <c r="N757" i="11"/>
  <c r="N787" i="11"/>
  <c r="N969" i="11"/>
  <c r="I969" i="11"/>
  <c r="I992" i="11"/>
  <c r="N992" i="11"/>
  <c r="N1003" i="11"/>
  <c r="I1003" i="11"/>
  <c r="N1030" i="11"/>
  <c r="R169" i="11"/>
  <c r="S169" i="11" s="1"/>
  <c r="H181" i="11"/>
  <c r="N181" i="11" s="1"/>
  <c r="H210" i="11"/>
  <c r="N210" i="11" s="1"/>
  <c r="H215" i="11"/>
  <c r="N215" i="11" s="1"/>
  <c r="I545" i="11"/>
  <c r="H590" i="11"/>
  <c r="N590" i="11" s="1"/>
  <c r="H595" i="11"/>
  <c r="N595" i="11" s="1"/>
  <c r="H600" i="11"/>
  <c r="N600" i="11" s="1"/>
  <c r="I615" i="11"/>
  <c r="H626" i="11"/>
  <c r="N626" i="11" s="1"/>
  <c r="H647" i="11"/>
  <c r="N647" i="11" s="1"/>
  <c r="I652" i="11"/>
  <c r="I661" i="11"/>
  <c r="I668" i="11"/>
  <c r="H704" i="11"/>
  <c r="I707" i="11"/>
  <c r="H729" i="11"/>
  <c r="H739" i="11"/>
  <c r="N739" i="11" s="1"/>
  <c r="I747" i="11"/>
  <c r="H749" i="11"/>
  <c r="R121" i="11" s="1"/>
  <c r="S121" i="11" s="1"/>
  <c r="I761" i="11"/>
  <c r="H784" i="11"/>
  <c r="N784" i="11" s="1"/>
  <c r="T126" i="11" s="1"/>
  <c r="I794" i="11"/>
  <c r="I807" i="11"/>
  <c r="H812" i="11"/>
  <c r="H823" i="11"/>
  <c r="N823" i="11" s="1"/>
  <c r="H831" i="11"/>
  <c r="N831" i="11" s="1"/>
  <c r="H953" i="11"/>
  <c r="H957" i="11"/>
  <c r="N957" i="11" s="1"/>
  <c r="I968" i="11"/>
  <c r="I975" i="11"/>
  <c r="I988" i="11"/>
  <c r="H995" i="11"/>
  <c r="R165" i="11" s="1"/>
  <c r="S165" i="11" s="1"/>
  <c r="H998" i="11"/>
  <c r="I1002" i="11"/>
  <c r="I1012" i="11"/>
  <c r="I1018" i="11"/>
  <c r="H1024" i="11"/>
  <c r="I202" i="11"/>
  <c r="I205" i="11"/>
  <c r="I207" i="11"/>
  <c r="I221" i="11"/>
  <c r="I232" i="11"/>
  <c r="I240" i="11"/>
  <c r="I245" i="11"/>
  <c r="I253" i="11"/>
  <c r="I258" i="11"/>
  <c r="I263" i="11"/>
  <c r="I268" i="11"/>
  <c r="I282" i="11"/>
  <c r="I292" i="11"/>
  <c r="I297" i="11"/>
  <c r="I302" i="11"/>
  <c r="I325" i="11"/>
  <c r="I332" i="11"/>
  <c r="I334" i="11"/>
  <c r="I339" i="11"/>
  <c r="I352" i="11"/>
  <c r="I364" i="11"/>
  <c r="I369" i="11"/>
  <c r="I374" i="11"/>
  <c r="I385" i="11"/>
  <c r="I396" i="11"/>
  <c r="I410" i="11"/>
  <c r="I420" i="11"/>
  <c r="I427" i="11"/>
  <c r="I434" i="11"/>
  <c r="I446" i="11"/>
  <c r="I451" i="11"/>
  <c r="I461" i="11"/>
  <c r="I475" i="11"/>
  <c r="I480" i="11"/>
  <c r="I516" i="11"/>
  <c r="I521" i="11"/>
  <c r="I523" i="11"/>
  <c r="I530" i="11"/>
  <c r="I540" i="11"/>
  <c r="I549" i="11"/>
  <c r="I580" i="11"/>
  <c r="I585" i="11"/>
  <c r="I610" i="11"/>
  <c r="I617" i="11"/>
  <c r="I633" i="11"/>
  <c r="I640" i="11"/>
  <c r="I642" i="11"/>
  <c r="I656" i="11"/>
  <c r="I663" i="11"/>
  <c r="I763" i="11"/>
  <c r="I776" i="11"/>
  <c r="I779" i="11"/>
  <c r="I796" i="11"/>
  <c r="I801" i="11"/>
  <c r="I949" i="11"/>
  <c r="I1005" i="11"/>
  <c r="I1008" i="11"/>
  <c r="I1021" i="11"/>
  <c r="A10" i="14"/>
  <c r="H163" i="11"/>
  <c r="N163" i="11" s="1"/>
  <c r="H175" i="11"/>
  <c r="N175" i="11" s="1"/>
  <c r="H177" i="11"/>
  <c r="N177" i="11" s="1"/>
  <c r="I187" i="11"/>
  <c r="H190" i="11"/>
  <c r="N190" i="11" s="1"/>
  <c r="H217" i="11"/>
  <c r="N217" i="11" s="1"/>
  <c r="I379" i="11"/>
  <c r="H458" i="11"/>
  <c r="N458" i="11" s="1"/>
  <c r="H492" i="11"/>
  <c r="N492" i="11" s="1"/>
  <c r="I496" i="11"/>
  <c r="I502" i="11"/>
  <c r="I506" i="11"/>
  <c r="H513" i="11"/>
  <c r="I518" i="11"/>
  <c r="H534" i="11"/>
  <c r="H544" i="11"/>
  <c r="H558" i="11"/>
  <c r="N558" i="11" s="1"/>
  <c r="H561" i="11"/>
  <c r="N561" i="11" s="1"/>
  <c r="I565" i="11"/>
  <c r="I568" i="11"/>
  <c r="H582" i="11"/>
  <c r="H587" i="11"/>
  <c r="N587" i="11" s="1"/>
  <c r="H592" i="11"/>
  <c r="N592" i="11" s="1"/>
  <c r="H597" i="11"/>
  <c r="N597" i="11" s="1"/>
  <c r="H602" i="11"/>
  <c r="N602" i="11" s="1"/>
  <c r="I605" i="11"/>
  <c r="H607" i="11"/>
  <c r="N607" i="11" s="1"/>
  <c r="H612" i="11"/>
  <c r="I619" i="11"/>
  <c r="I628" i="11"/>
  <c r="H630" i="11"/>
  <c r="N630" i="11" s="1"/>
  <c r="H635" i="11"/>
  <c r="I649" i="11"/>
  <c r="I658" i="11"/>
  <c r="H665" i="11"/>
  <c r="I670" i="11"/>
  <c r="H681" i="11"/>
  <c r="N681" i="11" s="1"/>
  <c r="I686" i="11"/>
  <c r="I694" i="11"/>
  <c r="I697" i="11"/>
  <c r="I709" i="11"/>
  <c r="H712" i="11"/>
  <c r="N712" i="11" s="1"/>
  <c r="I719" i="11"/>
  <c r="I722" i="11"/>
  <c r="I726" i="11"/>
  <c r="I744" i="11"/>
  <c r="I751" i="11"/>
  <c r="I770" i="11"/>
  <c r="H773" i="11"/>
  <c r="N773" i="11" s="1"/>
  <c r="I804" i="11"/>
  <c r="I809" i="11"/>
  <c r="H819" i="11"/>
  <c r="H825" i="11"/>
  <c r="N825" i="11" s="1"/>
  <c r="I828" i="11"/>
  <c r="I960" i="11"/>
  <c r="I964" i="11"/>
  <c r="I971" i="11"/>
  <c r="I981" i="11"/>
  <c r="I984" i="11"/>
  <c r="I991" i="11"/>
  <c r="I1027" i="11"/>
  <c r="H180" i="11"/>
  <c r="N180" i="11" s="1"/>
  <c r="I196" i="11"/>
  <c r="I199" i="11"/>
  <c r="H209" i="11"/>
  <c r="N209" i="11" s="1"/>
  <c r="H214" i="11"/>
  <c r="I223" i="11"/>
  <c r="I226" i="11"/>
  <c r="H229" i="11"/>
  <c r="I234" i="11"/>
  <c r="I242" i="11"/>
  <c r="I247" i="11"/>
  <c r="I265" i="11"/>
  <c r="I270" i="11"/>
  <c r="I276" i="11"/>
  <c r="I284" i="11"/>
  <c r="I289" i="11"/>
  <c r="I304" i="11"/>
  <c r="I309" i="11"/>
  <c r="I314" i="11"/>
  <c r="I336" i="11"/>
  <c r="I341" i="11"/>
  <c r="H346" i="11"/>
  <c r="N346" i="11" s="1"/>
  <c r="I356" i="11"/>
  <c r="I371" i="11"/>
  <c r="I387" i="11"/>
  <c r="I398" i="11"/>
  <c r="I422" i="11"/>
  <c r="I439" i="11"/>
  <c r="I453" i="11"/>
  <c r="I455" i="11"/>
  <c r="I472" i="11"/>
  <c r="I484" i="11"/>
  <c r="I489" i="11"/>
  <c r="H495" i="11"/>
  <c r="N495" i="11" s="1"/>
  <c r="I499" i="11"/>
  <c r="H505" i="11"/>
  <c r="N505" i="11" s="1"/>
  <c r="H508" i="11"/>
  <c r="N508" i="11" s="1"/>
  <c r="H515" i="11"/>
  <c r="H520" i="11"/>
  <c r="I525" i="11"/>
  <c r="I527" i="11"/>
  <c r="H529" i="11"/>
  <c r="I553" i="11"/>
  <c r="I577" i="11"/>
  <c r="H589" i="11"/>
  <c r="N589" i="11" s="1"/>
  <c r="H594" i="11"/>
  <c r="N594" i="11" s="1"/>
  <c r="H599" i="11"/>
  <c r="I621" i="11"/>
  <c r="I623" i="11"/>
  <c r="H625" i="11"/>
  <c r="I637" i="11"/>
  <c r="I644" i="11"/>
  <c r="H646" i="11"/>
  <c r="H651" i="11"/>
  <c r="H660" i="11"/>
  <c r="I672" i="11"/>
  <c r="I674" i="11"/>
  <c r="I676" i="11"/>
  <c r="I683" i="11"/>
  <c r="I691" i="11"/>
  <c r="H706" i="11"/>
  <c r="N706" i="11" s="1"/>
  <c r="H725" i="11"/>
  <c r="N725" i="11" s="1"/>
  <c r="H738" i="11"/>
  <c r="N738" i="11" s="1"/>
  <c r="I741" i="11"/>
  <c r="I753" i="11"/>
  <c r="H756" i="11"/>
  <c r="N756" i="11" s="1"/>
  <c r="H769" i="11"/>
  <c r="N769" i="11" s="1"/>
  <c r="I798" i="11"/>
  <c r="H806" i="11"/>
  <c r="H811" i="11"/>
  <c r="R131" i="11" s="1"/>
  <c r="S131" i="11" s="1"/>
  <c r="H833" i="11"/>
  <c r="H963" i="11"/>
  <c r="H970" i="11"/>
  <c r="H980" i="11"/>
  <c r="H983" i="11"/>
  <c r="H990" i="11"/>
  <c r="I997" i="11"/>
  <c r="H1004" i="11"/>
  <c r="H1020" i="11"/>
  <c r="I1023" i="11"/>
  <c r="H1026" i="11"/>
  <c r="N1026" i="11" s="1"/>
  <c r="H1033" i="11"/>
  <c r="N1033" i="11" s="1"/>
  <c r="H1036" i="11"/>
  <c r="C4" i="14"/>
  <c r="Q174" i="11"/>
  <c r="H182" i="11"/>
  <c r="N182" i="11" s="1"/>
  <c r="H189" i="11"/>
  <c r="N189" i="11" s="1"/>
  <c r="H216" i="11"/>
  <c r="H220" i="11"/>
  <c r="N220" i="11" s="1"/>
  <c r="H231" i="11"/>
  <c r="H236" i="11"/>
  <c r="N236" i="11" s="1"/>
  <c r="H249" i="11"/>
  <c r="H259" i="11"/>
  <c r="H272" i="11"/>
  <c r="H278" i="11"/>
  <c r="H286" i="11"/>
  <c r="N286" i="11" s="1"/>
  <c r="H293" i="11"/>
  <c r="H306" i="11"/>
  <c r="H311" i="11"/>
  <c r="N311" i="11" s="1"/>
  <c r="H316" i="11"/>
  <c r="I319" i="11"/>
  <c r="H321" i="11"/>
  <c r="N321" i="11" s="1"/>
  <c r="I329" i="11"/>
  <c r="I343" i="11"/>
  <c r="H348" i="11"/>
  <c r="N348" i="11" s="1"/>
  <c r="H353" i="11"/>
  <c r="I358" i="11"/>
  <c r="I360" i="11"/>
  <c r="H389" i="11"/>
  <c r="H403" i="11"/>
  <c r="H414" i="11"/>
  <c r="N414" i="11" s="1"/>
  <c r="I431" i="11"/>
  <c r="H436" i="11"/>
  <c r="I441" i="11"/>
  <c r="I443" i="11"/>
  <c r="H457" i="11"/>
  <c r="N457" i="11" s="1"/>
  <c r="H462" i="11"/>
  <c r="H465" i="11"/>
  <c r="H476" i="11"/>
  <c r="H481" i="11"/>
  <c r="N481" i="11" s="1"/>
  <c r="H491" i="11"/>
  <c r="H536" i="11"/>
  <c r="N536" i="11" s="1"/>
  <c r="H541" i="11"/>
  <c r="I546" i="11"/>
  <c r="H550" i="11"/>
  <c r="H555" i="11"/>
  <c r="H560" i="11"/>
  <c r="N560" i="11" s="1"/>
  <c r="H570" i="11"/>
  <c r="H579" i="11"/>
  <c r="H584" i="11"/>
  <c r="N584" i="11" s="1"/>
  <c r="H604" i="11"/>
  <c r="N604" i="11" s="1"/>
  <c r="I614" i="11"/>
  <c r="H616" i="11"/>
  <c r="I653" i="11"/>
  <c r="I667" i="11"/>
  <c r="H680" i="11"/>
  <c r="H685" i="11"/>
  <c r="N685" i="11" s="1"/>
  <c r="H688" i="11"/>
  <c r="N688" i="11" s="1"/>
  <c r="H699" i="11"/>
  <c r="I703" i="11"/>
  <c r="H711" i="11"/>
  <c r="H714" i="11"/>
  <c r="N714" i="11" s="1"/>
  <c r="H734" i="11"/>
  <c r="N734" i="11" s="1"/>
  <c r="I746" i="11"/>
  <c r="I748" i="11"/>
  <c r="H759" i="11"/>
  <c r="N759" i="11" s="1"/>
  <c r="H765" i="11"/>
  <c r="H789" i="11"/>
  <c r="N789" i="11" s="1"/>
  <c r="H813" i="11"/>
  <c r="H821" i="11"/>
  <c r="I959" i="11"/>
  <c r="I1007" i="11"/>
  <c r="H1029" i="11"/>
  <c r="H179" i="11"/>
  <c r="H185" i="11"/>
  <c r="H198" i="11"/>
  <c r="H203" i="11"/>
  <c r="H208" i="11"/>
  <c r="H222" i="11"/>
  <c r="H228" i="11"/>
  <c r="H233" i="11"/>
  <c r="R40" i="11" s="1"/>
  <c r="S40" i="11" s="1"/>
  <c r="H241" i="11"/>
  <c r="H246" i="11"/>
  <c r="N246" i="11" s="1"/>
  <c r="H264" i="11"/>
  <c r="H269" i="11"/>
  <c r="H275" i="11"/>
  <c r="N275" i="11" s="1"/>
  <c r="H283" i="11"/>
  <c r="H288" i="11"/>
  <c r="N288" i="11" s="1"/>
  <c r="H303" i="11"/>
  <c r="H313" i="11"/>
  <c r="N313" i="11" s="1"/>
  <c r="H335" i="11"/>
  <c r="H340" i="11"/>
  <c r="N340" i="11" s="1"/>
  <c r="H345" i="11"/>
  <c r="H355" i="11"/>
  <c r="N355" i="11" s="1"/>
  <c r="H370" i="11"/>
  <c r="H392" i="11"/>
  <c r="H397" i="11"/>
  <c r="N397" i="11" s="1"/>
  <c r="H406" i="11"/>
  <c r="N406" i="11" s="1"/>
  <c r="H411" i="11"/>
  <c r="N411" i="11" s="1"/>
  <c r="H416" i="11"/>
  <c r="N416" i="11" s="1"/>
  <c r="H421" i="11"/>
  <c r="H428" i="11"/>
  <c r="H438" i="11"/>
  <c r="R70" i="11" s="1"/>
  <c r="S70" i="11" s="1"/>
  <c r="H452" i="11"/>
  <c r="N452" i="11" s="1"/>
  <c r="H471" i="11"/>
  <c r="N471" i="11" s="1"/>
  <c r="H494" i="11"/>
  <c r="H498" i="11"/>
  <c r="N498" i="11" s="1"/>
  <c r="H504" i="11"/>
  <c r="N504" i="11" s="1"/>
  <c r="H507" i="11"/>
  <c r="H524" i="11"/>
  <c r="H643" i="11"/>
  <c r="H690" i="11"/>
  <c r="H705" i="11"/>
  <c r="N705" i="11" s="1"/>
  <c r="H724" i="11"/>
  <c r="H737" i="11"/>
  <c r="H740" i="11"/>
  <c r="N740" i="11" s="1"/>
  <c r="H755" i="11"/>
  <c r="H768" i="11"/>
  <c r="H797" i="11"/>
  <c r="A11" i="14"/>
  <c r="I33" i="17"/>
  <c r="H33" i="17"/>
  <c r="I30" i="17"/>
  <c r="H30" i="17"/>
  <c r="N30" i="17" s="1"/>
  <c r="I15" i="17"/>
  <c r="H15" i="17"/>
  <c r="P3" i="16"/>
  <c r="Q3" i="16"/>
  <c r="O3" i="16"/>
  <c r="I52" i="17"/>
  <c r="H52" i="17"/>
  <c r="N52" i="17" s="1"/>
  <c r="I95" i="17"/>
  <c r="H95" i="17"/>
  <c r="N95" i="17" s="1"/>
  <c r="I46" i="17"/>
  <c r="H46" i="17"/>
  <c r="Q4" i="17"/>
  <c r="I22" i="17"/>
  <c r="H22" i="17"/>
  <c r="N44" i="17"/>
  <c r="N47" i="17"/>
  <c r="I72" i="17"/>
  <c r="H72" i="17"/>
  <c r="N72" i="17" s="1"/>
  <c r="H75" i="17"/>
  <c r="I84" i="17"/>
  <c r="H84" i="17"/>
  <c r="N84" i="17" s="1"/>
  <c r="Q4" i="16"/>
  <c r="O4" i="16"/>
  <c r="P4" i="16"/>
  <c r="N23" i="17"/>
  <c r="H17" i="17"/>
  <c r="N17" i="17" s="1"/>
  <c r="I23" i="17"/>
  <c r="H23" i="17"/>
  <c r="I38" i="17"/>
  <c r="H38" i="17"/>
  <c r="N38" i="17" s="1"/>
  <c r="I66" i="17"/>
  <c r="H66" i="17"/>
  <c r="Q2" i="16"/>
  <c r="O2" i="16"/>
  <c r="P2" i="16"/>
  <c r="H2" i="17"/>
  <c r="I14" i="17"/>
  <c r="H14" i="17"/>
  <c r="I63" i="17"/>
  <c r="H63" i="17"/>
  <c r="N12" i="17"/>
  <c r="N15" i="17"/>
  <c r="N55" i="17"/>
  <c r="N58" i="17"/>
  <c r="N61" i="17"/>
  <c r="N64" i="17"/>
  <c r="N99" i="17"/>
  <c r="N6" i="17"/>
  <c r="T3" i="17" s="1"/>
  <c r="N10" i="17"/>
  <c r="I12" i="17"/>
  <c r="N18" i="17"/>
  <c r="I20" i="17"/>
  <c r="N26" i="17"/>
  <c r="I28" i="17"/>
  <c r="N34" i="17"/>
  <c r="I36" i="17"/>
  <c r="N42" i="17"/>
  <c r="I44" i="17"/>
  <c r="N50" i="17"/>
  <c r="N53" i="17"/>
  <c r="I55" i="17"/>
  <c r="I58" i="17"/>
  <c r="I61" i="17"/>
  <c r="I64" i="17"/>
  <c r="H64" i="17"/>
  <c r="N79" i="17"/>
  <c r="N82" i="17"/>
  <c r="I87" i="17"/>
  <c r="I90" i="17"/>
  <c r="I93" i="17"/>
  <c r="I96" i="17"/>
  <c r="H96" i="17"/>
  <c r="N96" i="17" s="1"/>
  <c r="H99" i="17"/>
  <c r="I31" i="17"/>
  <c r="I39" i="17"/>
  <c r="I47" i="17"/>
  <c r="I67" i="17"/>
  <c r="I70" i="17"/>
  <c r="I73" i="17"/>
  <c r="I76" i="17"/>
  <c r="H76" i="17"/>
  <c r="N76" i="17" s="1"/>
  <c r="N88" i="17"/>
  <c r="I26" i="17"/>
  <c r="I34" i="17"/>
  <c r="I42" i="17"/>
  <c r="I50" i="17"/>
  <c r="I53" i="17"/>
  <c r="I56" i="17"/>
  <c r="H56" i="17"/>
  <c r="N56" i="17" s="1"/>
  <c r="I79" i="17"/>
  <c r="I82" i="17"/>
  <c r="I85" i="17"/>
  <c r="I88" i="17"/>
  <c r="H88" i="17"/>
  <c r="N100" i="17"/>
  <c r="N4" i="17"/>
  <c r="I13" i="17"/>
  <c r="I21" i="17"/>
  <c r="N27" i="17"/>
  <c r="I29" i="17"/>
  <c r="I37" i="17"/>
  <c r="I45" i="17"/>
  <c r="I59" i="17"/>
  <c r="I62" i="17"/>
  <c r="I65" i="17"/>
  <c r="I68" i="17"/>
  <c r="H68" i="17"/>
  <c r="N68" i="17" s="1"/>
  <c r="I91" i="17"/>
  <c r="I94" i="17"/>
  <c r="I97" i="17"/>
  <c r="I100" i="17"/>
  <c r="H100" i="17"/>
  <c r="H4" i="17"/>
  <c r="I8" i="17"/>
  <c r="H11" i="17"/>
  <c r="N11" i="17" s="1"/>
  <c r="N14" i="17"/>
  <c r="I16" i="17"/>
  <c r="H19" i="17"/>
  <c r="N19" i="17" s="1"/>
  <c r="N22" i="17"/>
  <c r="I24" i="17"/>
  <c r="H27" i="17"/>
  <c r="I32" i="17"/>
  <c r="H35" i="17"/>
  <c r="N35" i="17" s="1"/>
  <c r="I40" i="17"/>
  <c r="H43" i="17"/>
  <c r="N43" i="17" s="1"/>
  <c r="N46" i="17"/>
  <c r="I48" i="17"/>
  <c r="H51" i="17"/>
  <c r="N51" i="17" s="1"/>
  <c r="H54" i="17"/>
  <c r="N54" i="17" s="1"/>
  <c r="N60" i="17"/>
  <c r="N63" i="17"/>
  <c r="N66" i="17"/>
  <c r="N69" i="17"/>
  <c r="I71" i="17"/>
  <c r="I74" i="17"/>
  <c r="I77" i="17"/>
  <c r="I80" i="17"/>
  <c r="H80" i="17"/>
  <c r="N80" i="17" s="1"/>
  <c r="H83" i="17"/>
  <c r="N83" i="17" s="1"/>
  <c r="N98" i="17"/>
  <c r="N9" i="17"/>
  <c r="T4" i="17" s="1"/>
  <c r="N25" i="17"/>
  <c r="N33" i="17"/>
  <c r="N41" i="17"/>
  <c r="N49" i="17"/>
  <c r="I60" i="17"/>
  <c r="H60" i="17"/>
  <c r="N75" i="17"/>
  <c r="N78" i="17"/>
  <c r="I92" i="17"/>
  <c r="H92" i="17"/>
  <c r="N92" i="17" s="1"/>
  <c r="R3" i="17"/>
  <c r="S3" i="17" s="1"/>
  <c r="H101" i="17"/>
  <c r="N101" i="17" s="1"/>
  <c r="F46" i="23" l="1"/>
  <c r="F26" i="23"/>
  <c r="K15" i="23"/>
  <c r="K10" i="23"/>
  <c r="K14" i="23"/>
  <c r="K9" i="23"/>
  <c r="F5" i="23"/>
  <c r="F45" i="23"/>
  <c r="F81" i="23"/>
  <c r="F24" i="23"/>
  <c r="F4" i="23"/>
  <c r="F8" i="23"/>
  <c r="F82" i="23"/>
  <c r="F40" i="23"/>
  <c r="F64" i="23"/>
  <c r="F52" i="23"/>
  <c r="F85" i="23"/>
  <c r="F11" i="23"/>
  <c r="F35" i="23"/>
  <c r="F43" i="23"/>
  <c r="F86" i="23"/>
  <c r="F18" i="23"/>
  <c r="F69" i="23"/>
  <c r="F48" i="23"/>
  <c r="F3" i="23"/>
  <c r="M5" i="23"/>
  <c r="M4" i="23"/>
  <c r="F59" i="23"/>
  <c r="F14" i="23"/>
  <c r="F63" i="23"/>
  <c r="F72" i="23"/>
  <c r="F83" i="23"/>
  <c r="F21" i="23"/>
  <c r="F70" i="23"/>
  <c r="V4" i="4"/>
  <c r="G82" i="23"/>
  <c r="G84" i="23"/>
  <c r="F19" i="23"/>
  <c r="F53" i="23"/>
  <c r="F16" i="23"/>
  <c r="F57" i="23"/>
  <c r="F12" i="23"/>
  <c r="F29" i="23"/>
  <c r="F6" i="23"/>
  <c r="F41" i="23"/>
  <c r="F51" i="23"/>
  <c r="G87" i="23"/>
  <c r="V14" i="4"/>
  <c r="G86" i="23"/>
  <c r="V15" i="4"/>
  <c r="F77" i="23"/>
  <c r="F9" i="23"/>
  <c r="F32" i="23"/>
  <c r="F33" i="23"/>
  <c r="E20" i="23"/>
  <c r="F20" i="23"/>
  <c r="E71" i="23"/>
  <c r="F71" i="23"/>
  <c r="E58" i="23"/>
  <c r="F58" i="23"/>
  <c r="E22" i="23"/>
  <c r="F22" i="23"/>
  <c r="E28" i="23"/>
  <c r="F28" i="23"/>
  <c r="E66" i="23"/>
  <c r="F66" i="23"/>
  <c r="E56" i="23"/>
  <c r="F56" i="23"/>
  <c r="E75" i="23"/>
  <c r="F75" i="23"/>
  <c r="E30" i="23"/>
  <c r="F30" i="23"/>
  <c r="E36" i="23"/>
  <c r="F36" i="23"/>
  <c r="E38" i="23"/>
  <c r="F38" i="23"/>
  <c r="E17" i="23"/>
  <c r="F17" i="23"/>
  <c r="E60" i="23"/>
  <c r="F60" i="23"/>
  <c r="E54" i="23"/>
  <c r="F54" i="23"/>
  <c r="E25" i="23"/>
  <c r="F25" i="23"/>
  <c r="E68" i="23"/>
  <c r="F68" i="23"/>
  <c r="E7" i="23"/>
  <c r="F7" i="23"/>
  <c r="E10" i="23"/>
  <c r="F10" i="23"/>
  <c r="E62" i="23"/>
  <c r="F62" i="23"/>
  <c r="E49" i="23"/>
  <c r="F49" i="23"/>
  <c r="E39" i="23"/>
  <c r="F39" i="23"/>
  <c r="E34" i="23"/>
  <c r="F34" i="23"/>
  <c r="E65" i="23"/>
  <c r="F65" i="23"/>
  <c r="E47" i="23"/>
  <c r="F47" i="23"/>
  <c r="E42" i="23"/>
  <c r="F42" i="23"/>
  <c r="E73" i="23"/>
  <c r="F73" i="23"/>
  <c r="E55" i="23"/>
  <c r="F55" i="23"/>
  <c r="E50" i="23"/>
  <c r="F50" i="23"/>
  <c r="V18" i="4"/>
  <c r="G83" i="23"/>
  <c r="G85" i="23"/>
  <c r="G88" i="23"/>
  <c r="R161" i="11"/>
  <c r="S161" i="11" s="1"/>
  <c r="N980" i="11"/>
  <c r="R103" i="11"/>
  <c r="S103" i="11" s="1"/>
  <c r="N625" i="11"/>
  <c r="T103" i="11" s="1"/>
  <c r="N635" i="11"/>
  <c r="T104" i="11" s="1"/>
  <c r="R104" i="11"/>
  <c r="S104" i="11" s="1"/>
  <c r="N544" i="11"/>
  <c r="T91" i="11" s="1"/>
  <c r="R91" i="11"/>
  <c r="S91" i="11" s="1"/>
  <c r="R66" i="11"/>
  <c r="S66" i="11" s="1"/>
  <c r="N407" i="11"/>
  <c r="T66" i="11" s="1"/>
  <c r="R117" i="11"/>
  <c r="S117" i="11" s="1"/>
  <c r="N724" i="11"/>
  <c r="T117" i="11" s="1"/>
  <c r="R80" i="11"/>
  <c r="S80" i="11" s="1"/>
  <c r="N494" i="11"/>
  <c r="T80" i="11" s="1"/>
  <c r="R41" i="11"/>
  <c r="S41" i="11" s="1"/>
  <c r="N241" i="11"/>
  <c r="T41" i="11" s="1"/>
  <c r="R29" i="11"/>
  <c r="S29" i="11" s="1"/>
  <c r="N179" i="11"/>
  <c r="T29" i="11" s="1"/>
  <c r="N316" i="11"/>
  <c r="T53" i="11" s="1"/>
  <c r="R53" i="11"/>
  <c r="S53" i="11" s="1"/>
  <c r="N249" i="11"/>
  <c r="T42" i="11" s="1"/>
  <c r="R42" i="11"/>
  <c r="S42" i="11" s="1"/>
  <c r="N534" i="11"/>
  <c r="T89" i="11" s="1"/>
  <c r="R89" i="11"/>
  <c r="S89" i="11" s="1"/>
  <c r="R175" i="11"/>
  <c r="S175" i="11" s="1"/>
  <c r="N1036" i="11"/>
  <c r="T175" i="11" s="1"/>
  <c r="R162" i="11"/>
  <c r="S162" i="11" s="1"/>
  <c r="N983" i="11"/>
  <c r="N335" i="11"/>
  <c r="T57" i="11" s="1"/>
  <c r="R57" i="11"/>
  <c r="S57" i="11" s="1"/>
  <c r="R30" i="11"/>
  <c r="S30" i="11" s="1"/>
  <c r="N185" i="11"/>
  <c r="T30" i="11" s="1"/>
  <c r="N711" i="11"/>
  <c r="T116" i="11" s="1"/>
  <c r="R116" i="11"/>
  <c r="S116" i="11" s="1"/>
  <c r="N550" i="11"/>
  <c r="T92" i="11" s="1"/>
  <c r="R92" i="11"/>
  <c r="S92" i="11" s="1"/>
  <c r="N389" i="11"/>
  <c r="R63" i="11"/>
  <c r="S63" i="11" s="1"/>
  <c r="T135" i="11"/>
  <c r="T10" i="10"/>
  <c r="N529" i="11"/>
  <c r="T87" i="11" s="1"/>
  <c r="R87" i="11"/>
  <c r="S87" i="11" s="1"/>
  <c r="R119" i="11"/>
  <c r="S119" i="11" s="1"/>
  <c r="N737" i="11"/>
  <c r="T119" i="11" s="1"/>
  <c r="N813" i="11"/>
  <c r="T132" i="11" s="1"/>
  <c r="R132" i="11"/>
  <c r="S132" i="11" s="1"/>
  <c r="N616" i="11"/>
  <c r="T102" i="11" s="1"/>
  <c r="R102" i="11"/>
  <c r="S102" i="11" s="1"/>
  <c r="N462" i="11"/>
  <c r="T75" i="11" s="1"/>
  <c r="R75" i="11"/>
  <c r="S75" i="11" s="1"/>
  <c r="N259" i="11"/>
  <c r="T43" i="11" s="1"/>
  <c r="R43" i="11"/>
  <c r="S43" i="11" s="1"/>
  <c r="R2" i="17"/>
  <c r="S2" i="17" s="1"/>
  <c r="N2" i="17"/>
  <c r="T2" i="17" s="1"/>
  <c r="T74" i="11"/>
  <c r="T99" i="11"/>
  <c r="N765" i="11"/>
  <c r="T123" i="11" s="1"/>
  <c r="R123" i="11"/>
  <c r="S123" i="11" s="1"/>
  <c r="N699" i="11"/>
  <c r="T114" i="11" s="1"/>
  <c r="R114" i="11"/>
  <c r="S114" i="11" s="1"/>
  <c r="N541" i="11"/>
  <c r="T90" i="11" s="1"/>
  <c r="R90" i="11"/>
  <c r="S90" i="11" s="1"/>
  <c r="R159" i="11"/>
  <c r="S159" i="11" s="1"/>
  <c r="N970" i="11"/>
  <c r="R118" i="11"/>
  <c r="S118" i="11" s="1"/>
  <c r="T19" i="10"/>
  <c r="R166" i="11"/>
  <c r="S166" i="11" s="1"/>
  <c r="N998" i="11"/>
  <c r="T166" i="11" s="1"/>
  <c r="D11" i="14"/>
  <c r="C11" i="14"/>
  <c r="R51" i="11"/>
  <c r="S51" i="11" s="1"/>
  <c r="N303" i="11"/>
  <c r="T51" i="11" s="1"/>
  <c r="A12" i="14"/>
  <c r="R113" i="11"/>
  <c r="S113" i="11" s="1"/>
  <c r="N690" i="11"/>
  <c r="T113" i="11" s="1"/>
  <c r="R74" i="11"/>
  <c r="S74" i="11" s="1"/>
  <c r="R64" i="11"/>
  <c r="S64" i="11" s="1"/>
  <c r="N392" i="11"/>
  <c r="T64" i="11" s="1"/>
  <c r="R38" i="11"/>
  <c r="S38" i="11" s="1"/>
  <c r="N228" i="11"/>
  <c r="T38" i="11" s="1"/>
  <c r="N353" i="11"/>
  <c r="T59" i="11" s="1"/>
  <c r="R59" i="11"/>
  <c r="S59" i="11" s="1"/>
  <c r="N306" i="11"/>
  <c r="T52" i="11" s="1"/>
  <c r="R52" i="11"/>
  <c r="S52" i="11" s="1"/>
  <c r="N231" i="11"/>
  <c r="T39" i="11" s="1"/>
  <c r="R39" i="11"/>
  <c r="S39" i="11" s="1"/>
  <c r="N963" i="11"/>
  <c r="R157" i="11"/>
  <c r="S157" i="11" s="1"/>
  <c r="N582" i="11"/>
  <c r="T98" i="11" s="1"/>
  <c r="R98" i="11"/>
  <c r="S98" i="11" s="1"/>
  <c r="N513" i="11"/>
  <c r="T82" i="11" s="1"/>
  <c r="R82" i="11"/>
  <c r="S82" i="11" s="1"/>
  <c r="D10" i="14"/>
  <c r="C10" i="14"/>
  <c r="E10" i="14" s="1"/>
  <c r="E11" i="14" s="1"/>
  <c r="B10" i="14"/>
  <c r="B11" i="14" s="1"/>
  <c r="T61" i="11"/>
  <c r="N438" i="11"/>
  <c r="T70" i="11" s="1"/>
  <c r="T13" i="7"/>
  <c r="T2" i="8"/>
  <c r="N797" i="11"/>
  <c r="T128" i="11" s="1"/>
  <c r="R128" i="11"/>
  <c r="S128" i="11" s="1"/>
  <c r="N643" i="11"/>
  <c r="T105" i="11" s="1"/>
  <c r="R105" i="11"/>
  <c r="S105" i="11" s="1"/>
  <c r="R61" i="11"/>
  <c r="S61" i="11" s="1"/>
  <c r="N370" i="11"/>
  <c r="R48" i="11"/>
  <c r="S48" i="11" s="1"/>
  <c r="N283" i="11"/>
  <c r="T48" i="11" s="1"/>
  <c r="R37" i="11"/>
  <c r="S37" i="11" s="1"/>
  <c r="N222" i="11"/>
  <c r="T37" i="11" s="1"/>
  <c r="N1029" i="11"/>
  <c r="R174" i="11"/>
  <c r="S174" i="11" s="1"/>
  <c r="N579" i="11"/>
  <c r="T97" i="11" s="1"/>
  <c r="R97" i="11"/>
  <c r="S97" i="11" s="1"/>
  <c r="N491" i="11"/>
  <c r="T79" i="11" s="1"/>
  <c r="R79" i="11"/>
  <c r="S79" i="11" s="1"/>
  <c r="N436" i="11"/>
  <c r="T69" i="11" s="1"/>
  <c r="R69" i="11"/>
  <c r="S69" i="11" s="1"/>
  <c r="N293" i="11"/>
  <c r="T49" i="11" s="1"/>
  <c r="R49" i="11"/>
  <c r="S49" i="11" s="1"/>
  <c r="R172" i="11"/>
  <c r="S172" i="11" s="1"/>
  <c r="N1020" i="11"/>
  <c r="R108" i="11"/>
  <c r="S108" i="11" s="1"/>
  <c r="N660" i="11"/>
  <c r="T108" i="11" s="1"/>
  <c r="R100" i="11"/>
  <c r="S100" i="11" s="1"/>
  <c r="N599" i="11"/>
  <c r="T100" i="11" s="1"/>
  <c r="N520" i="11"/>
  <c r="T84" i="11" s="1"/>
  <c r="R84" i="11"/>
  <c r="S84" i="11" s="1"/>
  <c r="N819" i="11"/>
  <c r="T133" i="11" s="1"/>
  <c r="R133" i="11"/>
  <c r="S133" i="11" s="1"/>
  <c r="N612" i="11"/>
  <c r="L609" i="11"/>
  <c r="R115" i="11"/>
  <c r="S115" i="11" s="1"/>
  <c r="N704" i="11"/>
  <c r="T115" i="11" s="1"/>
  <c r="L478" i="11"/>
  <c r="T14" i="10"/>
  <c r="T9" i="5"/>
  <c r="N515" i="11"/>
  <c r="T83" i="11" s="1"/>
  <c r="R83" i="11"/>
  <c r="S83" i="11" s="1"/>
  <c r="R173" i="11"/>
  <c r="S173" i="11" s="1"/>
  <c r="N1024" i="11"/>
  <c r="T173" i="11" s="1"/>
  <c r="R126" i="11"/>
  <c r="S126" i="11" s="1"/>
  <c r="N811" i="11"/>
  <c r="T131" i="11" s="1"/>
  <c r="T63" i="11"/>
  <c r="T8" i="1"/>
  <c r="R99" i="11"/>
  <c r="S99" i="11" s="1"/>
  <c r="R35" i="11"/>
  <c r="S35" i="11" s="1"/>
  <c r="N214" i="11"/>
  <c r="T35" i="11" s="1"/>
  <c r="T18" i="7"/>
  <c r="T9" i="7"/>
  <c r="R124" i="11"/>
  <c r="S124" i="11" s="1"/>
  <c r="N768" i="11"/>
  <c r="T124" i="11" s="1"/>
  <c r="N524" i="11"/>
  <c r="T85" i="11" s="1"/>
  <c r="R85" i="11"/>
  <c r="S85" i="11" s="1"/>
  <c r="R68" i="11"/>
  <c r="S68" i="11" s="1"/>
  <c r="N428" i="11"/>
  <c r="T68" i="11" s="1"/>
  <c r="R34" i="11"/>
  <c r="S34" i="11" s="1"/>
  <c r="N208" i="11"/>
  <c r="T34" i="11" s="1"/>
  <c r="N680" i="11"/>
  <c r="T112" i="11" s="1"/>
  <c r="R112" i="11"/>
  <c r="S112" i="11" s="1"/>
  <c r="N570" i="11"/>
  <c r="T95" i="11" s="1"/>
  <c r="R95" i="11"/>
  <c r="S95" i="11" s="1"/>
  <c r="N216" i="11"/>
  <c r="T36" i="11" s="1"/>
  <c r="R36" i="11"/>
  <c r="S36" i="11" s="1"/>
  <c r="R167" i="11"/>
  <c r="S167" i="11" s="1"/>
  <c r="N1004" i="11"/>
  <c r="R106" i="11"/>
  <c r="S106" i="11" s="1"/>
  <c r="N651" i="11"/>
  <c r="T106" i="11" s="1"/>
  <c r="N665" i="11"/>
  <c r="T109" i="11" s="1"/>
  <c r="R109" i="11"/>
  <c r="S109" i="11" s="1"/>
  <c r="R122" i="11"/>
  <c r="S122" i="11" s="1"/>
  <c r="N755" i="11"/>
  <c r="T122" i="11" s="1"/>
  <c r="R81" i="11"/>
  <c r="S81" i="11" s="1"/>
  <c r="N507" i="11"/>
  <c r="T81" i="11" s="1"/>
  <c r="R67" i="11"/>
  <c r="S67" i="11" s="1"/>
  <c r="N421" i="11"/>
  <c r="T67" i="11" s="1"/>
  <c r="N345" i="11"/>
  <c r="T58" i="11" s="1"/>
  <c r="R58" i="11"/>
  <c r="S58" i="11" s="1"/>
  <c r="R45" i="11"/>
  <c r="S45" i="11" s="1"/>
  <c r="N269" i="11"/>
  <c r="N203" i="11"/>
  <c r="T33" i="11" s="1"/>
  <c r="R33" i="11"/>
  <c r="S33" i="11" s="1"/>
  <c r="N476" i="11"/>
  <c r="N278" i="11"/>
  <c r="T47" i="11" s="1"/>
  <c r="R47" i="11"/>
  <c r="S47" i="11" s="1"/>
  <c r="R129" i="11"/>
  <c r="S129" i="11" s="1"/>
  <c r="N806" i="11"/>
  <c r="T129" i="11" s="1"/>
  <c r="R44" i="11"/>
  <c r="S44" i="11" s="1"/>
  <c r="N264" i="11"/>
  <c r="T44" i="11" s="1"/>
  <c r="R31" i="11"/>
  <c r="S31" i="11" s="1"/>
  <c r="N198" i="11"/>
  <c r="T31" i="11" s="1"/>
  <c r="N821" i="11"/>
  <c r="T134" i="11" s="1"/>
  <c r="R134" i="11"/>
  <c r="S134" i="11" s="1"/>
  <c r="N555" i="11"/>
  <c r="T94" i="11" s="1"/>
  <c r="R94" i="11"/>
  <c r="S94" i="11" s="1"/>
  <c r="N465" i="11"/>
  <c r="T76" i="11" s="1"/>
  <c r="R76" i="11"/>
  <c r="S76" i="11" s="1"/>
  <c r="N403" i="11"/>
  <c r="R65" i="11"/>
  <c r="S65" i="11" s="1"/>
  <c r="N272" i="11"/>
  <c r="T46" i="11" s="1"/>
  <c r="R46" i="11"/>
  <c r="S46" i="11" s="1"/>
  <c r="R164" i="11"/>
  <c r="S164" i="11" s="1"/>
  <c r="N990" i="11"/>
  <c r="T164" i="11" s="1"/>
  <c r="T20" i="8"/>
  <c r="T5" i="6"/>
  <c r="N137" i="11"/>
  <c r="R24" i="11"/>
  <c r="S24" i="11" s="1"/>
  <c r="N44" i="11"/>
  <c r="T10" i="11" s="1"/>
  <c r="R2" i="11"/>
  <c r="S2" i="11" s="1"/>
  <c r="R14" i="10"/>
  <c r="S14" i="10" s="1"/>
  <c r="T19" i="11"/>
  <c r="N3" i="10"/>
  <c r="T2" i="10" s="1"/>
  <c r="T13" i="2"/>
  <c r="R2" i="8"/>
  <c r="S2" i="8" s="1"/>
  <c r="R10" i="7"/>
  <c r="S10" i="7" s="1"/>
  <c r="R10" i="5"/>
  <c r="S10" i="5" s="1"/>
  <c r="N100" i="9"/>
  <c r="T18" i="9" s="1"/>
  <c r="N89" i="7"/>
  <c r="T15" i="7" s="1"/>
  <c r="N108" i="7"/>
  <c r="R18" i="2"/>
  <c r="S18" i="2" s="1"/>
  <c r="N42" i="3"/>
  <c r="T11" i="3" s="1"/>
  <c r="N54" i="3"/>
  <c r="T15" i="3" s="1"/>
  <c r="R13" i="2"/>
  <c r="S13" i="2" s="1"/>
  <c r="T9" i="2"/>
  <c r="R7" i="1"/>
  <c r="S7" i="1" s="1"/>
  <c r="R16" i="2"/>
  <c r="S16" i="2" s="1"/>
  <c r="N36" i="2"/>
  <c r="R156" i="11"/>
  <c r="S156" i="11" s="1"/>
  <c r="T167" i="11"/>
  <c r="T65" i="11"/>
  <c r="T24" i="11"/>
  <c r="R11" i="10"/>
  <c r="S11" i="10" s="1"/>
  <c r="T45" i="11"/>
  <c r="T12" i="11"/>
  <c r="R21" i="10"/>
  <c r="S21" i="10" s="1"/>
  <c r="R13" i="10"/>
  <c r="S13" i="10" s="1"/>
  <c r="R8" i="8"/>
  <c r="S8" i="8" s="1"/>
  <c r="N36" i="8"/>
  <c r="T8" i="8" s="1"/>
  <c r="R12" i="6"/>
  <c r="S12" i="6" s="1"/>
  <c r="T17" i="6"/>
  <c r="T3" i="5"/>
  <c r="I27" i="9"/>
  <c r="H27" i="9"/>
  <c r="N4" i="6"/>
  <c r="T2" i="6" s="1"/>
  <c r="N75" i="5"/>
  <c r="T15" i="5" s="1"/>
  <c r="R15" i="5"/>
  <c r="S15" i="5" s="1"/>
  <c r="T12" i="8"/>
  <c r="N65" i="7"/>
  <c r="T12" i="7" s="1"/>
  <c r="R17" i="7"/>
  <c r="S17" i="7" s="1"/>
  <c r="N89" i="8"/>
  <c r="R18" i="7"/>
  <c r="S18" i="7" s="1"/>
  <c r="N72" i="8"/>
  <c r="T18" i="8" s="1"/>
  <c r="T9" i="6"/>
  <c r="R12" i="3"/>
  <c r="S12" i="3" s="1"/>
  <c r="R4" i="2"/>
  <c r="S4" i="2" s="1"/>
  <c r="N86" i="5"/>
  <c r="R13" i="1"/>
  <c r="S13" i="1" s="1"/>
  <c r="R5" i="6"/>
  <c r="S5" i="6" s="1"/>
  <c r="N41" i="1"/>
  <c r="T9" i="1" s="1"/>
  <c r="R135" i="11"/>
  <c r="S135" i="11" s="1"/>
  <c r="T161" i="11"/>
  <c r="N158" i="11"/>
  <c r="T27" i="11" s="1"/>
  <c r="R27" i="11"/>
  <c r="S27" i="11" s="1"/>
  <c r="R12" i="11"/>
  <c r="S12" i="11" s="1"/>
  <c r="N113" i="10"/>
  <c r="R9" i="7"/>
  <c r="S9" i="7" s="1"/>
  <c r="N79" i="2"/>
  <c r="T19" i="2" s="1"/>
  <c r="R13" i="7"/>
  <c r="S13" i="7" s="1"/>
  <c r="T4" i="6"/>
  <c r="T21" i="8"/>
  <c r="T16" i="2"/>
  <c r="R6" i="1"/>
  <c r="S6" i="1" s="1"/>
  <c r="R7" i="8"/>
  <c r="S7" i="8" s="1"/>
  <c r="N39" i="2"/>
  <c r="T11" i="2" s="1"/>
  <c r="T4" i="2"/>
  <c r="T10" i="1"/>
  <c r="N73" i="2"/>
  <c r="T18" i="2" s="1"/>
  <c r="N63" i="5"/>
  <c r="T12" i="5" s="1"/>
  <c r="T171" i="11"/>
  <c r="N995" i="11"/>
  <c r="T165" i="11" s="1"/>
  <c r="R22" i="10"/>
  <c r="S22" i="10" s="1"/>
  <c r="R17" i="9"/>
  <c r="S17" i="9" s="1"/>
  <c r="T12" i="10"/>
  <c r="R10" i="10"/>
  <c r="S10" i="10" s="1"/>
  <c r="R21" i="9"/>
  <c r="S21" i="9" s="1"/>
  <c r="N92" i="7"/>
  <c r="N84" i="6"/>
  <c r="T16" i="6" s="1"/>
  <c r="T18" i="5"/>
  <c r="N6" i="5"/>
  <c r="T2" i="5" s="1"/>
  <c r="T7" i="1"/>
  <c r="T14" i="9"/>
  <c r="T13" i="6"/>
  <c r="R7" i="3"/>
  <c r="S7" i="3" s="1"/>
  <c r="R11" i="9"/>
  <c r="S11" i="9" s="1"/>
  <c r="N68" i="9"/>
  <c r="T13" i="9" s="1"/>
  <c r="R13" i="9"/>
  <c r="S13" i="9" s="1"/>
  <c r="T16" i="8"/>
  <c r="N22" i="8"/>
  <c r="T5" i="8" s="1"/>
  <c r="R5" i="1"/>
  <c r="S5" i="1" s="1"/>
  <c r="T6" i="5"/>
  <c r="N51" i="3"/>
  <c r="T14" i="3" s="1"/>
  <c r="N68" i="6"/>
  <c r="T14" i="6"/>
  <c r="N19" i="5"/>
  <c r="T5" i="5" s="1"/>
  <c r="R7" i="2"/>
  <c r="S7" i="2" s="1"/>
  <c r="T160" i="11"/>
  <c r="T157" i="11"/>
  <c r="N953" i="11"/>
  <c r="T156" i="11" s="1"/>
  <c r="N15" i="11"/>
  <c r="T4" i="11" s="1"/>
  <c r="T3" i="6"/>
  <c r="R7" i="7"/>
  <c r="S7" i="7" s="1"/>
  <c r="R9" i="6"/>
  <c r="S9" i="6" s="1"/>
  <c r="N39" i="6"/>
  <c r="R3" i="7"/>
  <c r="S3" i="7" s="1"/>
  <c r="N81" i="9"/>
  <c r="N66" i="5"/>
  <c r="T13" i="5" s="1"/>
  <c r="N3" i="7"/>
  <c r="T2" i="7" s="1"/>
  <c r="T7" i="11"/>
  <c r="R16" i="10"/>
  <c r="S16" i="10" s="1"/>
  <c r="R13" i="6"/>
  <c r="S13" i="6" s="1"/>
  <c r="T13" i="3"/>
  <c r="R3" i="9"/>
  <c r="S3" i="9" s="1"/>
  <c r="N70" i="8"/>
  <c r="T17" i="8" s="1"/>
  <c r="R19" i="8"/>
  <c r="S19" i="8" s="1"/>
  <c r="T10" i="2"/>
  <c r="T5" i="1"/>
  <c r="R8" i="1"/>
  <c r="S8" i="1" s="1"/>
  <c r="T159" i="11"/>
  <c r="N117" i="11"/>
  <c r="R21" i="11"/>
  <c r="S21" i="11" s="1"/>
  <c r="T174" i="11"/>
  <c r="N161" i="11"/>
  <c r="T28" i="11" s="1"/>
  <c r="R28" i="11"/>
  <c r="S28" i="11" s="1"/>
  <c r="T162" i="11"/>
  <c r="N89" i="9"/>
  <c r="T16" i="9" s="1"/>
  <c r="N82" i="11"/>
  <c r="T16" i="11" s="1"/>
  <c r="N56" i="8"/>
  <c r="T13" i="8" s="1"/>
  <c r="N39" i="3"/>
  <c r="T10" i="3" s="1"/>
  <c r="N35" i="10"/>
  <c r="T6" i="10" s="1"/>
  <c r="R6" i="10"/>
  <c r="S6" i="10" s="1"/>
  <c r="T10" i="7"/>
  <c r="R6" i="8"/>
  <c r="S6" i="8" s="1"/>
  <c r="N56" i="7"/>
  <c r="T11" i="7" s="1"/>
  <c r="R11" i="8"/>
  <c r="S11" i="8" s="1"/>
  <c r="N13" i="8"/>
  <c r="T3" i="8" s="1"/>
  <c r="R8" i="2"/>
  <c r="S8" i="2" s="1"/>
  <c r="O79" i="1"/>
  <c r="T14" i="1"/>
  <c r="T172" i="11"/>
  <c r="T21" i="11"/>
  <c r="N749" i="11"/>
  <c r="T121" i="11" s="1"/>
  <c r="N144" i="11"/>
  <c r="T26" i="11" s="1"/>
  <c r="R26" i="11"/>
  <c r="S26" i="11" s="1"/>
  <c r="T7" i="7"/>
  <c r="T15" i="9"/>
  <c r="T7" i="8"/>
  <c r="N50" i="9"/>
  <c r="T9" i="9" s="1"/>
  <c r="T15" i="6"/>
  <c r="T3" i="9"/>
  <c r="R7" i="9"/>
  <c r="S7" i="9" s="1"/>
  <c r="T20" i="3"/>
  <c r="T6" i="7"/>
  <c r="N69" i="5"/>
  <c r="T14" i="5" s="1"/>
  <c r="N19" i="2"/>
  <c r="T6" i="2" s="1"/>
  <c r="T3" i="11"/>
  <c r="T9" i="11"/>
  <c r="T19" i="7"/>
  <c r="N25" i="7"/>
  <c r="R2" i="9"/>
  <c r="S2" i="9" s="1"/>
  <c r="T15" i="8"/>
  <c r="R10" i="8"/>
  <c r="S10" i="8" s="1"/>
  <c r="T16" i="7"/>
  <c r="T18" i="6"/>
  <c r="T7" i="5"/>
  <c r="T2" i="3"/>
  <c r="L9" i="23" l="1"/>
  <c r="N14" i="23"/>
  <c r="L14" i="23"/>
  <c r="M9" i="23"/>
  <c r="M15" i="23"/>
  <c r="M10" i="23"/>
  <c r="M14" i="23"/>
  <c r="L10" i="23"/>
  <c r="L15" i="23"/>
  <c r="N10" i="23"/>
  <c r="N15" i="23"/>
  <c r="N9" i="23"/>
  <c r="N5" i="23"/>
  <c r="L5" i="23"/>
  <c r="L4" i="23"/>
  <c r="N4" i="23"/>
  <c r="K5" i="23"/>
  <c r="K4" i="23"/>
  <c r="F11" i="14"/>
  <c r="F10" i="14"/>
  <c r="I609" i="11"/>
  <c r="H609" i="11"/>
  <c r="N27" i="9"/>
  <c r="T6" i="9" s="1"/>
  <c r="R6" i="9"/>
  <c r="S6" i="9" s="1"/>
  <c r="I478" i="11"/>
  <c r="H478" i="11"/>
  <c r="C12" i="14"/>
  <c r="E12" i="14" s="1"/>
  <c r="B12" i="14"/>
  <c r="D12" i="14"/>
  <c r="A13" i="14"/>
  <c r="N609" i="11" l="1"/>
  <c r="T101" i="11" s="1"/>
  <c r="R101" i="11"/>
  <c r="S101" i="11" s="1"/>
  <c r="D13" i="14"/>
  <c r="C13" i="14"/>
  <c r="E13" i="14" s="1"/>
  <c r="B13" i="14"/>
  <c r="A14" i="14"/>
  <c r="F13" i="14"/>
  <c r="F12" i="14"/>
  <c r="N478" i="11"/>
  <c r="T77" i="11" s="1"/>
  <c r="R77" i="11"/>
  <c r="S77" i="11" s="1"/>
  <c r="D14" i="14" l="1"/>
  <c r="C14" i="14"/>
  <c r="E14" i="14" s="1"/>
  <c r="B14" i="14"/>
  <c r="A15" i="14"/>
  <c r="F14" i="14"/>
  <c r="D15" i="14" l="1"/>
  <c r="C15" i="14"/>
  <c r="E15" i="14" s="1"/>
  <c r="B15" i="14"/>
  <c r="A16" i="14"/>
  <c r="F15" i="14"/>
  <c r="C16" i="14" l="1"/>
  <c r="E16" i="14" s="1"/>
  <c r="B16" i="14"/>
  <c r="D16" i="14"/>
  <c r="A17" i="14"/>
  <c r="F16" i="14"/>
  <c r="D17" i="14" l="1"/>
  <c r="C17" i="14"/>
  <c r="E17" i="14" s="1"/>
  <c r="B17" i="14"/>
  <c r="A18" i="14"/>
  <c r="F17" i="14"/>
  <c r="D18" i="14" l="1"/>
  <c r="C18" i="14"/>
  <c r="E18" i="14" s="1"/>
  <c r="B18" i="14"/>
  <c r="A19" i="14"/>
  <c r="F18" i="14"/>
  <c r="D19" i="14" l="1"/>
  <c r="C19" i="14"/>
  <c r="E19" i="14" s="1"/>
  <c r="B19" i="14"/>
  <c r="A20" i="14"/>
  <c r="F19" i="14"/>
  <c r="C20" i="14" l="1"/>
  <c r="E20" i="14" s="1"/>
  <c r="B20" i="14"/>
  <c r="D20" i="14"/>
  <c r="A21" i="14"/>
  <c r="F20" i="14"/>
  <c r="D21" i="14" l="1"/>
  <c r="C21" i="14"/>
  <c r="E21" i="14" s="1"/>
  <c r="B21" i="14"/>
  <c r="A22" i="14"/>
  <c r="F21" i="14"/>
  <c r="D22" i="14" l="1"/>
  <c r="C22" i="14"/>
  <c r="E22" i="14" s="1"/>
  <c r="B22" i="14"/>
  <c r="A23" i="14"/>
  <c r="F22" i="14"/>
  <c r="D23" i="14" l="1"/>
  <c r="C23" i="14"/>
  <c r="E23" i="14" s="1"/>
  <c r="B23" i="14"/>
  <c r="A24" i="14"/>
  <c r="F23" i="14"/>
  <c r="C24" i="14" l="1"/>
  <c r="E24" i="14" s="1"/>
  <c r="B24" i="14"/>
  <c r="D24" i="14"/>
  <c r="A25" i="14"/>
  <c r="F24" i="14"/>
  <c r="D25" i="14" l="1"/>
  <c r="C25" i="14"/>
  <c r="E25" i="14" s="1"/>
  <c r="B25" i="14"/>
  <c r="A26" i="14"/>
  <c r="F25" i="14"/>
  <c r="D26" i="14" l="1"/>
  <c r="C26" i="14"/>
  <c r="E26" i="14" s="1"/>
  <c r="B26" i="14"/>
  <c r="A27" i="14"/>
  <c r="F26" i="14"/>
  <c r="D27" i="14" l="1"/>
  <c r="C27" i="14"/>
  <c r="E27" i="14" s="1"/>
  <c r="B27" i="14"/>
  <c r="A28" i="14"/>
  <c r="F27" i="14"/>
  <c r="C28" i="14" l="1"/>
  <c r="E28" i="14" s="1"/>
  <c r="B28" i="14"/>
  <c r="D28" i="14"/>
  <c r="A29" i="14"/>
  <c r="F28" i="14"/>
  <c r="D29" i="14" l="1"/>
  <c r="C29" i="14"/>
  <c r="E29" i="14" s="1"/>
  <c r="B29" i="14"/>
  <c r="A30" i="14"/>
  <c r="F29" i="14"/>
  <c r="D30" i="14" l="1"/>
  <c r="C30" i="14"/>
  <c r="E30" i="14" s="1"/>
  <c r="B30" i="14"/>
  <c r="A31" i="14"/>
  <c r="F30" i="14"/>
  <c r="D31" i="14" l="1"/>
  <c r="C31" i="14"/>
  <c r="E31" i="14" s="1"/>
  <c r="B31" i="14"/>
  <c r="A32" i="14"/>
  <c r="F31" i="14"/>
  <c r="C32" i="14" l="1"/>
  <c r="E32" i="14" s="1"/>
  <c r="B32" i="14"/>
  <c r="D32" i="14"/>
  <c r="A33" i="14"/>
  <c r="F32" i="14"/>
  <c r="D33" i="14" l="1"/>
  <c r="C33" i="14"/>
  <c r="E33" i="14" s="1"/>
  <c r="B33" i="14"/>
  <c r="A34" i="14"/>
  <c r="F33" i="14"/>
  <c r="D34" i="14" l="1"/>
  <c r="C34" i="14"/>
  <c r="E34" i="14" s="1"/>
  <c r="B34" i="14"/>
  <c r="A35" i="14"/>
  <c r="F34" i="14"/>
  <c r="D35" i="14" l="1"/>
  <c r="C35" i="14"/>
  <c r="E35" i="14" s="1"/>
  <c r="B35" i="14"/>
  <c r="A36" i="14"/>
  <c r="F35" i="14"/>
  <c r="C36" i="14" l="1"/>
  <c r="E36" i="14" s="1"/>
  <c r="B36" i="14"/>
  <c r="D36" i="14"/>
  <c r="A37" i="14"/>
  <c r="F36" i="14"/>
  <c r="D37" i="14" l="1"/>
  <c r="C37" i="14"/>
  <c r="E37" i="14" s="1"/>
  <c r="B37" i="14"/>
  <c r="A38" i="14"/>
  <c r="F37" i="14"/>
  <c r="D38" i="14" l="1"/>
  <c r="C38" i="14"/>
  <c r="E38" i="14" s="1"/>
  <c r="B38" i="14"/>
  <c r="A39" i="14"/>
  <c r="F38" i="14"/>
  <c r="D39" i="14" l="1"/>
  <c r="C39" i="14"/>
  <c r="E39" i="14" s="1"/>
  <c r="B39" i="14"/>
  <c r="A40" i="14"/>
  <c r="F39" i="14"/>
  <c r="C40" i="14" l="1"/>
  <c r="E40" i="14" s="1"/>
  <c r="B40" i="14"/>
  <c r="D40" i="14"/>
  <c r="A41" i="14"/>
  <c r="F40" i="14"/>
  <c r="D41" i="14" l="1"/>
  <c r="C41" i="14"/>
  <c r="E41" i="14" s="1"/>
  <c r="B41" i="14"/>
  <c r="A42" i="14"/>
  <c r="F41" i="14"/>
  <c r="D42" i="14" l="1"/>
  <c r="C42" i="14"/>
  <c r="E42" i="14" s="1"/>
  <c r="B42" i="14"/>
  <c r="A43" i="14"/>
  <c r="F42" i="14"/>
  <c r="D43" i="14" l="1"/>
  <c r="C43" i="14"/>
  <c r="E43" i="14" s="1"/>
  <c r="B43" i="14"/>
  <c r="A44" i="14"/>
  <c r="F43" i="14"/>
  <c r="C44" i="14" l="1"/>
  <c r="E44" i="14" s="1"/>
  <c r="D44" i="14"/>
  <c r="B44" i="14"/>
  <c r="A45" i="14"/>
  <c r="F44" i="14"/>
  <c r="C45" i="14" l="1"/>
  <c r="E45" i="14" s="1"/>
  <c r="B45" i="14"/>
  <c r="D45" i="14"/>
  <c r="A46" i="14"/>
  <c r="F45" i="14" l="1"/>
  <c r="D46" i="14"/>
  <c r="C46" i="14"/>
  <c r="E46" i="14" s="1"/>
  <c r="B46" i="14"/>
  <c r="A47" i="14"/>
  <c r="B47" i="14" l="1"/>
  <c r="D47" i="14"/>
  <c r="C47" i="14"/>
  <c r="E47" i="14" s="1"/>
  <c r="A48" i="14"/>
  <c r="F47" i="14"/>
  <c r="F46" i="14"/>
  <c r="C48" i="14" l="1"/>
  <c r="E48" i="14" s="1"/>
  <c r="D48" i="14"/>
  <c r="B48" i="14"/>
  <c r="A49" i="14"/>
  <c r="F48" i="14"/>
  <c r="C49" i="14" l="1"/>
  <c r="E49" i="14" s="1"/>
  <c r="D49" i="14"/>
  <c r="B49" i="14"/>
  <c r="A50" i="14"/>
  <c r="F49" i="14"/>
  <c r="D50" i="14" l="1"/>
  <c r="C50" i="14"/>
  <c r="E50" i="14" s="1"/>
  <c r="B50" i="14"/>
  <c r="A51" i="14"/>
  <c r="F50" i="14"/>
  <c r="D51" i="14" l="1"/>
  <c r="C51" i="14"/>
  <c r="E51" i="14" s="1"/>
  <c r="B51" i="14"/>
  <c r="A52" i="14"/>
  <c r="F51" i="14"/>
  <c r="C52" i="14" l="1"/>
  <c r="E52" i="14" s="1"/>
  <c r="D52" i="14"/>
  <c r="B52" i="14"/>
  <c r="A53" i="14"/>
  <c r="F52" i="14"/>
  <c r="C53" i="14" l="1"/>
  <c r="E53" i="14" s="1"/>
  <c r="D53" i="14"/>
  <c r="B53" i="14"/>
  <c r="A54" i="14"/>
  <c r="F53" i="14"/>
  <c r="B54" i="14" l="1"/>
  <c r="D54" i="14"/>
  <c r="C54" i="14"/>
  <c r="E54" i="14" s="1"/>
  <c r="A55" i="14"/>
  <c r="F54" i="14"/>
  <c r="D55" i="14" l="1"/>
  <c r="C55" i="14"/>
  <c r="E55" i="14" s="1"/>
  <c r="B55" i="14"/>
  <c r="A56" i="14"/>
  <c r="F55" i="14"/>
  <c r="C56" i="14" l="1"/>
  <c r="E56" i="14" s="1"/>
  <c r="D56" i="14"/>
  <c r="B56" i="14"/>
  <c r="A57" i="14"/>
  <c r="C57" i="14" l="1"/>
  <c r="E57" i="14" s="1"/>
  <c r="D57" i="14"/>
  <c r="B57" i="14"/>
  <c r="A58" i="14"/>
  <c r="F56" i="14"/>
  <c r="D58" i="14" l="1"/>
  <c r="C58" i="14"/>
  <c r="E58" i="14" s="1"/>
  <c r="B58" i="14"/>
  <c r="A59" i="14"/>
  <c r="F58" i="14"/>
  <c r="F57" i="14"/>
  <c r="D59" i="14" l="1"/>
  <c r="C59" i="14"/>
  <c r="E59" i="14" s="1"/>
  <c r="B59" i="14"/>
  <c r="A60" i="14"/>
  <c r="F59" i="14"/>
  <c r="C60" i="14" l="1"/>
  <c r="E60" i="14" s="1"/>
  <c r="D60" i="14"/>
  <c r="B60" i="14"/>
  <c r="A61" i="14"/>
  <c r="F60" i="14"/>
  <c r="C61" i="14" l="1"/>
  <c r="E61" i="14" s="1"/>
  <c r="B61" i="14"/>
  <c r="D61" i="14"/>
  <c r="A62" i="14"/>
  <c r="D62" i="14" l="1"/>
  <c r="C62" i="14"/>
  <c r="E62" i="14" s="1"/>
  <c r="B62" i="14"/>
  <c r="A63" i="14"/>
  <c r="F61" i="14"/>
  <c r="B63" i="14" l="1"/>
  <c r="D63" i="14"/>
  <c r="C63" i="14"/>
  <c r="E63" i="14" s="1"/>
  <c r="A64" i="14"/>
  <c r="F63" i="14"/>
  <c r="F62" i="14"/>
  <c r="C64" i="14" l="1"/>
  <c r="E64" i="14" s="1"/>
  <c r="D64" i="14"/>
  <c r="B64" i="14"/>
  <c r="A65" i="14"/>
  <c r="F64" i="14"/>
  <c r="C65" i="14" l="1"/>
  <c r="E65" i="14" s="1"/>
  <c r="D65" i="14"/>
  <c r="B65" i="14"/>
  <c r="A66" i="14"/>
  <c r="F65" i="14"/>
  <c r="D66" i="14" l="1"/>
  <c r="C66" i="14"/>
  <c r="E66" i="14" s="1"/>
  <c r="B66" i="14"/>
  <c r="A67" i="14"/>
  <c r="D67" i="14" l="1"/>
  <c r="C67" i="14"/>
  <c r="E67" i="14" s="1"/>
  <c r="B67" i="14"/>
  <c r="A68" i="14"/>
  <c r="F67" i="14"/>
  <c r="F66" i="14"/>
  <c r="C68" i="14" l="1"/>
  <c r="E68" i="14" s="1"/>
  <c r="D68" i="14"/>
  <c r="B68" i="14"/>
  <c r="A69" i="14"/>
  <c r="F68" i="14"/>
  <c r="C69" i="14" l="1"/>
  <c r="E69" i="14" s="1"/>
  <c r="D69" i="14"/>
  <c r="B69" i="14"/>
  <c r="A70" i="14"/>
  <c r="C70" i="14" l="1"/>
  <c r="E70" i="14" s="1"/>
  <c r="B70" i="14"/>
  <c r="D70" i="14"/>
  <c r="A71" i="14"/>
  <c r="C71" i="14" l="1"/>
  <c r="E71" i="14" s="1"/>
  <c r="D71" i="14"/>
  <c r="B71" i="14"/>
  <c r="A72" i="14"/>
  <c r="D72" i="14" l="1"/>
  <c r="C72" i="14"/>
  <c r="E72" i="14" s="1"/>
  <c r="B72" i="14"/>
  <c r="A73" i="14"/>
  <c r="D73" i="14" l="1"/>
  <c r="C73" i="14"/>
  <c r="E73" i="14" s="1"/>
  <c r="B73" i="14"/>
  <c r="A74" i="14"/>
  <c r="B74" i="14" l="1"/>
  <c r="D74" i="14"/>
  <c r="C74" i="14"/>
  <c r="E74" i="14" s="1"/>
  <c r="A75" i="14"/>
  <c r="D75" i="14" l="1"/>
  <c r="C75" i="14"/>
  <c r="E75" i="14" s="1"/>
  <c r="B75" i="14"/>
  <c r="A76" i="14"/>
  <c r="B76" i="14" l="1"/>
  <c r="D76" i="14"/>
  <c r="C76" i="14"/>
  <c r="E76" i="14" s="1"/>
  <c r="A77" i="14"/>
  <c r="C77" i="14" l="1"/>
  <c r="E77" i="14" s="1"/>
  <c r="D77" i="14"/>
  <c r="B77" i="14"/>
  <c r="A78" i="14"/>
  <c r="D78" i="14" l="1"/>
  <c r="C78" i="14"/>
  <c r="E78" i="14" s="1"/>
  <c r="B78" i="14"/>
  <c r="A79" i="14"/>
  <c r="C79" i="14" l="1"/>
  <c r="E79" i="14" s="1"/>
  <c r="D79" i="14"/>
  <c r="B79" i="14"/>
  <c r="A80" i="14"/>
  <c r="D80" i="14" l="1"/>
  <c r="C80" i="14"/>
  <c r="E80" i="14" s="1"/>
  <c r="B80" i="14"/>
  <c r="A81" i="14"/>
  <c r="B81" i="14" l="1"/>
  <c r="D81" i="14"/>
  <c r="C81" i="14"/>
  <c r="E81" i="14" s="1"/>
  <c r="A82" i="14"/>
  <c r="B82" i="14" l="1"/>
  <c r="D82" i="14"/>
  <c r="C82" i="14"/>
  <c r="E82" i="14" s="1"/>
  <c r="A83" i="14"/>
  <c r="D83" i="14" l="1"/>
  <c r="C83" i="14"/>
  <c r="E83" i="14" s="1"/>
  <c r="B83" i="14"/>
  <c r="A84" i="14"/>
  <c r="B84" i="14" l="1"/>
  <c r="D84" i="14"/>
  <c r="C84" i="14"/>
  <c r="E84" i="14" s="1"/>
  <c r="A85" i="14"/>
  <c r="C85" i="14" l="1"/>
  <c r="E85" i="14" s="1"/>
  <c r="B85" i="14"/>
  <c r="D85" i="14"/>
  <c r="A86" i="14"/>
  <c r="D86" i="14" l="1"/>
  <c r="C86" i="14"/>
  <c r="E86" i="14" s="1"/>
  <c r="B86" i="14"/>
  <c r="A87" i="14"/>
  <c r="C87" i="14" l="1"/>
  <c r="E87" i="14" s="1"/>
  <c r="B87" i="14"/>
  <c r="D87" i="14"/>
  <c r="A88" i="14"/>
  <c r="D88" i="14" l="1"/>
  <c r="C88" i="14"/>
  <c r="E88" i="14" s="1"/>
  <c r="B88" i="14"/>
  <c r="A89" i="14"/>
  <c r="D89" i="14" l="1"/>
  <c r="C89" i="14"/>
  <c r="E89" i="14" s="1"/>
  <c r="B89" i="14"/>
  <c r="A90" i="14"/>
  <c r="B90" i="14" l="1"/>
  <c r="D90" i="14"/>
  <c r="C90" i="14"/>
  <c r="E90" i="14" s="1"/>
  <c r="A91" i="14"/>
  <c r="D91" i="14" l="1"/>
  <c r="C91" i="14"/>
  <c r="E91" i="14" s="1"/>
  <c r="B91" i="14"/>
  <c r="A92" i="14"/>
  <c r="B92" i="14" l="1"/>
  <c r="D92" i="14"/>
  <c r="C92" i="14"/>
  <c r="E92" i="14" s="1"/>
  <c r="A93" i="14"/>
  <c r="C93" i="14" l="1"/>
  <c r="E93" i="14" s="1"/>
  <c r="B93" i="14"/>
  <c r="D93" i="14"/>
  <c r="A94" i="14"/>
  <c r="D94" i="14" l="1"/>
  <c r="C94" i="14"/>
  <c r="E94" i="14" s="1"/>
  <c r="B94" i="14"/>
  <c r="A95" i="14"/>
  <c r="C95" i="14" l="1"/>
  <c r="E95" i="14" s="1"/>
  <c r="D95" i="14"/>
  <c r="B95" i="14"/>
  <c r="A96" i="14"/>
  <c r="D96" i="14" l="1"/>
  <c r="C96" i="14"/>
  <c r="E96" i="14" s="1"/>
  <c r="B96" i="14"/>
  <c r="A97" i="14"/>
  <c r="D97" i="14" l="1"/>
  <c r="C97" i="14"/>
  <c r="E97" i="14" s="1"/>
  <c r="B97" i="14"/>
  <c r="A98" i="14"/>
  <c r="B98" i="14" l="1"/>
  <c r="D98" i="14"/>
  <c r="C98" i="14"/>
  <c r="E98" i="14" s="1"/>
  <c r="A99" i="14"/>
  <c r="D99" i="14" l="1"/>
  <c r="C99" i="14"/>
  <c r="E99" i="14" s="1"/>
  <c r="B99" i="14"/>
  <c r="A100" i="14"/>
  <c r="B100" i="14" l="1"/>
  <c r="D100" i="14"/>
  <c r="C100" i="14"/>
  <c r="E100" i="14" s="1"/>
  <c r="A101" i="14"/>
  <c r="C101" i="14" l="1"/>
  <c r="E101" i="14" s="1"/>
  <c r="B101" i="14"/>
  <c r="D101" i="14"/>
  <c r="A102" i="14"/>
  <c r="D102" i="14" l="1"/>
  <c r="C102" i="14"/>
  <c r="E102" i="14" s="1"/>
  <c r="B102" i="14"/>
  <c r="A103" i="14"/>
  <c r="C103" i="14" l="1"/>
  <c r="E103" i="14" s="1"/>
  <c r="D103" i="14"/>
  <c r="B103" i="14"/>
  <c r="A104" i="14"/>
  <c r="D104" i="14" l="1"/>
  <c r="C104" i="14"/>
  <c r="E104" i="14" s="1"/>
  <c r="B104" i="14"/>
  <c r="A105" i="14"/>
  <c r="D105" i="14" l="1"/>
  <c r="C105" i="14"/>
  <c r="E105" i="14" s="1"/>
  <c r="B105" i="14"/>
  <c r="A106" i="14"/>
  <c r="B106" i="14" l="1"/>
  <c r="D106" i="14"/>
  <c r="C106" i="14"/>
  <c r="E106" i="14" s="1"/>
  <c r="A107" i="14"/>
  <c r="D107" i="14" l="1"/>
  <c r="C107" i="14"/>
  <c r="E107" i="14" s="1"/>
  <c r="B107" i="14"/>
  <c r="A108" i="14"/>
  <c r="B108" i="14" l="1"/>
  <c r="D108" i="14"/>
  <c r="C108" i="14"/>
  <c r="E108" i="14" s="1"/>
  <c r="A109" i="14"/>
  <c r="C109" i="14" l="1"/>
  <c r="E109" i="14" s="1"/>
  <c r="B109" i="14"/>
  <c r="D109" i="14"/>
  <c r="A110" i="14"/>
  <c r="D110" i="14" l="1"/>
  <c r="C110" i="14"/>
  <c r="E110" i="14" s="1"/>
  <c r="B110" i="14"/>
  <c r="A111" i="14"/>
  <c r="C111" i="14" l="1"/>
  <c r="E111" i="14" s="1"/>
  <c r="D111" i="14"/>
  <c r="B111" i="14"/>
  <c r="A112" i="14"/>
  <c r="D112" i="14" l="1"/>
  <c r="C112" i="14"/>
  <c r="E112" i="14" s="1"/>
  <c r="B112" i="14"/>
  <c r="A113" i="14"/>
  <c r="D113" i="14" l="1"/>
  <c r="C113" i="14"/>
  <c r="E113" i="14" s="1"/>
  <c r="B113" i="14"/>
  <c r="A114" i="14"/>
  <c r="B114" i="14" l="1"/>
  <c r="D114" i="14"/>
  <c r="C114" i="14"/>
  <c r="E114" i="14" s="1"/>
  <c r="A115" i="14"/>
  <c r="D115" i="14" l="1"/>
  <c r="C115" i="14"/>
  <c r="E115" i="14" s="1"/>
  <c r="B115" i="14"/>
  <c r="A116" i="14"/>
  <c r="B116" i="14" l="1"/>
  <c r="C116" i="14"/>
  <c r="E116" i="14" s="1"/>
  <c r="D116" i="14"/>
  <c r="A117" i="14"/>
  <c r="C117" i="14" l="1"/>
  <c r="E117" i="14" s="1"/>
  <c r="B117" i="14"/>
  <c r="D117" i="14"/>
  <c r="A118" i="14"/>
  <c r="D118" i="14" l="1"/>
  <c r="C118" i="14"/>
  <c r="E118" i="14" s="1"/>
  <c r="B118" i="14"/>
  <c r="A119" i="14"/>
  <c r="C119" i="14" l="1"/>
  <c r="E119" i="14" s="1"/>
  <c r="D119" i="14"/>
  <c r="B119" i="14"/>
  <c r="A120" i="14"/>
  <c r="D120" i="14" l="1"/>
  <c r="C120" i="14"/>
  <c r="E120" i="14" s="1"/>
  <c r="B120" i="14"/>
  <c r="A121" i="14"/>
  <c r="D121" i="14" l="1"/>
  <c r="C121" i="14"/>
  <c r="E121" i="14" s="1"/>
  <c r="B121" i="14"/>
  <c r="A122" i="14"/>
  <c r="B122" i="14" l="1"/>
  <c r="D122" i="14"/>
  <c r="C122" i="14"/>
  <c r="E122" i="14" s="1"/>
  <c r="A123" i="14"/>
  <c r="D123" i="14" l="1"/>
  <c r="C123" i="14"/>
  <c r="E123" i="14" s="1"/>
  <c r="B123" i="14"/>
  <c r="A124" i="14"/>
  <c r="B124" i="14" l="1"/>
  <c r="D124" i="14"/>
  <c r="C124" i="14"/>
  <c r="E124" i="14" s="1"/>
  <c r="A125" i="14"/>
  <c r="C125" i="14" l="1"/>
  <c r="E125" i="14" s="1"/>
  <c r="B125" i="14"/>
  <c r="D125" i="14"/>
  <c r="A126" i="14"/>
  <c r="D126" i="14" l="1"/>
  <c r="C126" i="14"/>
  <c r="E126" i="14" s="1"/>
  <c r="B126" i="14"/>
  <c r="A127" i="14"/>
  <c r="C127" i="14" l="1"/>
  <c r="E127" i="14" s="1"/>
  <c r="D127" i="14"/>
  <c r="B127" i="14"/>
  <c r="A128" i="14"/>
  <c r="D128" i="14" l="1"/>
  <c r="C128" i="14"/>
  <c r="E128" i="14" s="1"/>
  <c r="B128" i="14"/>
  <c r="A129" i="14"/>
  <c r="D129" i="14" l="1"/>
  <c r="C129" i="14"/>
  <c r="E129" i="14" s="1"/>
  <c r="B129" i="14"/>
  <c r="A130" i="14"/>
  <c r="C130" i="14" l="1"/>
  <c r="E130" i="14" s="1"/>
  <c r="B130" i="14"/>
  <c r="D130" i="14"/>
  <c r="A131" i="14"/>
  <c r="D131" i="14" l="1"/>
  <c r="C131" i="14"/>
  <c r="E131" i="14" s="1"/>
  <c r="B131" i="14"/>
  <c r="A132" i="14"/>
  <c r="B132" i="14" l="1"/>
  <c r="D132" i="14"/>
  <c r="C132" i="14"/>
  <c r="E132" i="14" s="1"/>
  <c r="A133" i="14"/>
  <c r="D133" i="14" l="1"/>
  <c r="C133" i="14"/>
  <c r="E133" i="14" s="1"/>
  <c r="B133" i="14"/>
  <c r="A134" i="14"/>
  <c r="D134" i="14" l="1"/>
  <c r="C134" i="14"/>
  <c r="E134" i="14" s="1"/>
  <c r="B134" i="14"/>
  <c r="A135" i="14"/>
  <c r="B135" i="14" l="1"/>
  <c r="C135" i="14"/>
  <c r="E135" i="14" s="1"/>
  <c r="D135" i="14"/>
  <c r="A136" i="14"/>
  <c r="D136" i="14" l="1"/>
  <c r="C136" i="14"/>
  <c r="E136" i="14" s="1"/>
  <c r="B136" i="14"/>
  <c r="A137" i="14"/>
  <c r="D137" i="14" l="1"/>
  <c r="C137" i="14"/>
  <c r="E137" i="14" s="1"/>
  <c r="B137" i="14"/>
  <c r="A138" i="14"/>
  <c r="C138" i="14" l="1"/>
  <c r="E138" i="14" s="1"/>
  <c r="B138" i="14"/>
  <c r="D138" i="14"/>
  <c r="A139" i="14"/>
  <c r="D139" i="14" l="1"/>
  <c r="C139" i="14"/>
  <c r="E139" i="14" s="1"/>
  <c r="B139" i="14"/>
  <c r="A140" i="14"/>
  <c r="B140" i="14" l="1"/>
  <c r="D140" i="14"/>
  <c r="C140" i="14"/>
  <c r="E140" i="14" s="1"/>
  <c r="A141" i="14"/>
  <c r="D141" i="14" l="1"/>
  <c r="C141" i="14"/>
  <c r="E141" i="14" s="1"/>
  <c r="B141" i="14"/>
  <c r="A142" i="14"/>
  <c r="D142" i="14" l="1"/>
  <c r="C142" i="14"/>
  <c r="E142" i="14" s="1"/>
  <c r="B142" i="14"/>
  <c r="A143" i="14"/>
  <c r="B143" i="14" l="1"/>
  <c r="C143" i="14"/>
  <c r="E143" i="14" s="1"/>
  <c r="D143" i="14"/>
  <c r="A144" i="14"/>
  <c r="D144" i="14" l="1"/>
  <c r="C144" i="14"/>
  <c r="E144" i="14" s="1"/>
  <c r="B144" i="14"/>
  <c r="A145" i="14"/>
  <c r="D145" i="14" l="1"/>
  <c r="C145" i="14"/>
  <c r="E145" i="14" s="1"/>
  <c r="B145" i="14"/>
  <c r="A146" i="14"/>
  <c r="C146" i="14" l="1"/>
  <c r="E146" i="14" s="1"/>
  <c r="B146" i="14"/>
  <c r="D146" i="14"/>
  <c r="A147" i="14"/>
  <c r="D147" i="14" l="1"/>
  <c r="C147" i="14"/>
  <c r="E147" i="14" s="1"/>
  <c r="B147" i="14"/>
  <c r="A148" i="14"/>
  <c r="B148" i="14" l="1"/>
  <c r="D148" i="14"/>
  <c r="C148" i="14"/>
  <c r="E148" i="14" s="1"/>
  <c r="A149" i="14"/>
  <c r="D149" i="14" l="1"/>
  <c r="C149" i="14"/>
  <c r="E149" i="14" s="1"/>
  <c r="B149" i="14"/>
  <c r="A150" i="14"/>
  <c r="D150" i="14" l="1"/>
  <c r="C150" i="14"/>
  <c r="E150" i="14" s="1"/>
  <c r="B150" i="14"/>
  <c r="A151" i="14"/>
  <c r="B151" i="14" l="1"/>
  <c r="C151" i="14"/>
  <c r="E151" i="14" s="1"/>
  <c r="D151" i="14"/>
  <c r="A152" i="14"/>
  <c r="D152" i="14" l="1"/>
  <c r="C152" i="14"/>
  <c r="E152" i="14" s="1"/>
  <c r="B152" i="14"/>
  <c r="A153" i="14"/>
  <c r="D153" i="14" l="1"/>
  <c r="C153" i="14"/>
  <c r="E153" i="14" s="1"/>
  <c r="B153" i="14"/>
  <c r="A154" i="14"/>
  <c r="C154" i="14" l="1"/>
  <c r="E154" i="14" s="1"/>
  <c r="B154" i="14"/>
  <c r="D154" i="14"/>
  <c r="A155" i="14"/>
  <c r="D155" i="14" l="1"/>
  <c r="C155" i="14"/>
  <c r="E155" i="14" s="1"/>
  <c r="B155" i="14"/>
  <c r="A156" i="14"/>
  <c r="B156" i="14" l="1"/>
  <c r="D156" i="14"/>
  <c r="C156" i="14"/>
  <c r="E156" i="14" s="1"/>
  <c r="A157" i="14"/>
  <c r="D157" i="14" l="1"/>
  <c r="C157" i="14"/>
  <c r="E157" i="14" s="1"/>
  <c r="B157" i="14"/>
  <c r="A158" i="14"/>
  <c r="D158" i="14" l="1"/>
  <c r="C158" i="14"/>
  <c r="E158" i="14" s="1"/>
  <c r="B158" i="14"/>
  <c r="A159" i="14"/>
  <c r="B159" i="14" l="1"/>
  <c r="C159" i="14"/>
  <c r="E159" i="14" s="1"/>
  <c r="D159" i="14"/>
  <c r="A160" i="14"/>
  <c r="D160" i="14" l="1"/>
  <c r="C160" i="14"/>
  <c r="E160" i="14" s="1"/>
  <c r="B160" i="14"/>
  <c r="A161" i="14"/>
  <c r="D161" i="14" l="1"/>
  <c r="C161" i="14"/>
  <c r="E161" i="14" s="1"/>
  <c r="B161" i="14"/>
  <c r="A162" i="14"/>
  <c r="C162" i="14" l="1"/>
  <c r="E162" i="14" s="1"/>
  <c r="B162" i="14"/>
  <c r="D162" i="14"/>
  <c r="A163" i="14"/>
  <c r="D163" i="14" l="1"/>
  <c r="C163" i="14"/>
  <c r="E163" i="14" s="1"/>
  <c r="B163" i="14"/>
  <c r="A164" i="14"/>
  <c r="B164" i="14" l="1"/>
  <c r="D164" i="14"/>
  <c r="C164" i="14"/>
  <c r="E164" i="14" s="1"/>
  <c r="A165" i="14"/>
  <c r="D165" i="14" l="1"/>
  <c r="C165" i="14"/>
  <c r="E165" i="14" s="1"/>
  <c r="B165" i="14"/>
  <c r="A166" i="14"/>
  <c r="D166" i="14" l="1"/>
  <c r="C166" i="14"/>
  <c r="E166" i="14" s="1"/>
  <c r="B166" i="14"/>
  <c r="A167" i="14"/>
  <c r="B167" i="14" l="1"/>
  <c r="C167" i="14"/>
  <c r="E167" i="14" s="1"/>
  <c r="D167" i="14"/>
  <c r="A168" i="14"/>
  <c r="D168" i="14" l="1"/>
  <c r="C168" i="14"/>
  <c r="E168" i="14" s="1"/>
  <c r="B168" i="14"/>
  <c r="A169" i="14"/>
  <c r="D169" i="14" l="1"/>
  <c r="C169" i="14"/>
  <c r="E169" i="14" s="1"/>
  <c r="B169" i="14"/>
  <c r="A170" i="14"/>
  <c r="C170" i="14" l="1"/>
  <c r="E170" i="14" s="1"/>
  <c r="B170" i="14"/>
  <c r="D170" i="14"/>
  <c r="A171" i="14"/>
  <c r="D171" i="14" l="1"/>
  <c r="C171" i="14"/>
  <c r="E171" i="14" s="1"/>
  <c r="B171" i="14"/>
  <c r="A172" i="14"/>
  <c r="B172" i="14" l="1"/>
  <c r="D172" i="14"/>
  <c r="C172" i="14"/>
  <c r="E172" i="14" s="1"/>
  <c r="A173" i="14"/>
  <c r="D173" i="14" l="1"/>
  <c r="C173" i="14"/>
  <c r="E173" i="14" s="1"/>
  <c r="B173" i="14"/>
  <c r="A174" i="14"/>
  <c r="D174" i="14" l="1"/>
  <c r="C174" i="14"/>
  <c r="E174" i="14" s="1"/>
  <c r="B174" i="14"/>
  <c r="A175" i="14"/>
  <c r="B175" i="14" l="1"/>
  <c r="C175" i="14"/>
  <c r="E175" i="14" s="1"/>
  <c r="D175" i="14"/>
  <c r="A176" i="14"/>
  <c r="D176" i="14" l="1"/>
  <c r="C176" i="14"/>
  <c r="E176" i="14" s="1"/>
  <c r="B176" i="14"/>
  <c r="A177" i="14"/>
  <c r="D177" i="14" l="1"/>
  <c r="C177" i="14"/>
  <c r="E177" i="14" s="1"/>
  <c r="B177" i="14"/>
  <c r="A178" i="14"/>
  <c r="C178" i="14" l="1"/>
  <c r="E178" i="14" s="1"/>
  <c r="B178" i="14"/>
  <c r="D178" i="14"/>
  <c r="A179" i="14"/>
  <c r="D179" i="14" l="1"/>
  <c r="C179" i="14"/>
  <c r="E179" i="14" s="1"/>
  <c r="B179" i="14"/>
  <c r="A180" i="14"/>
  <c r="B180" i="14" l="1"/>
  <c r="D180" i="14"/>
  <c r="C180" i="14"/>
  <c r="E180" i="14" s="1"/>
  <c r="A181" i="14"/>
  <c r="D181" i="14" l="1"/>
  <c r="C181" i="14"/>
  <c r="E181" i="14" s="1"/>
  <c r="B181" i="14"/>
  <c r="A182" i="14"/>
  <c r="D182" i="14" l="1"/>
  <c r="C182" i="14"/>
  <c r="E182" i="14" s="1"/>
  <c r="B182" i="14"/>
  <c r="A183" i="14"/>
  <c r="B183" i="14" l="1"/>
  <c r="C183" i="14"/>
  <c r="E183" i="14" s="1"/>
  <c r="D183" i="14"/>
  <c r="A184" i="14"/>
  <c r="D184" i="14" l="1"/>
  <c r="C184" i="14"/>
  <c r="E184" i="14" s="1"/>
  <c r="B184" i="14"/>
  <c r="A185" i="14"/>
  <c r="D185" i="14" l="1"/>
  <c r="C185" i="14"/>
  <c r="E185" i="14" s="1"/>
  <c r="B185" i="14"/>
  <c r="A186" i="14"/>
  <c r="C186" i="14" l="1"/>
  <c r="E186" i="14" s="1"/>
  <c r="B186" i="14"/>
  <c r="D186" i="14"/>
  <c r="A187" i="14"/>
  <c r="D187" i="14" l="1"/>
  <c r="C187" i="14"/>
  <c r="E187" i="14" s="1"/>
  <c r="B187" i="14"/>
  <c r="A188" i="14"/>
  <c r="D188" i="14" l="1"/>
  <c r="C188" i="14"/>
  <c r="E188" i="14" s="1"/>
  <c r="B188" i="14"/>
  <c r="A189" i="14"/>
  <c r="D189" i="14" l="1"/>
  <c r="C189" i="14"/>
  <c r="E189" i="14" s="1"/>
  <c r="B189" i="14"/>
  <c r="A190" i="14"/>
  <c r="D190" i="14" l="1"/>
  <c r="C190" i="14"/>
  <c r="E190" i="14" s="1"/>
  <c r="B190" i="14"/>
  <c r="A191" i="14"/>
  <c r="B191" i="14" l="1"/>
  <c r="D191" i="14"/>
  <c r="C191" i="14"/>
  <c r="E191" i="14" s="1"/>
  <c r="A192" i="14"/>
  <c r="D192" i="14" l="1"/>
  <c r="C192" i="14"/>
  <c r="E192" i="14" s="1"/>
  <c r="B192" i="14"/>
  <c r="A193" i="14"/>
  <c r="D193" i="14" l="1"/>
  <c r="C193" i="14"/>
  <c r="E193" i="14" s="1"/>
  <c r="B193" i="14"/>
  <c r="A194" i="14"/>
  <c r="C194" i="14" l="1"/>
  <c r="E194" i="14" s="1"/>
  <c r="B194" i="14"/>
  <c r="D194" i="14"/>
  <c r="A195" i="14"/>
  <c r="D195" i="14" l="1"/>
  <c r="C195" i="14"/>
  <c r="E195" i="14" s="1"/>
  <c r="B195" i="14"/>
  <c r="A196" i="14"/>
  <c r="D196" i="14" l="1"/>
  <c r="C196" i="14"/>
  <c r="E196" i="14" s="1"/>
  <c r="B196" i="14"/>
  <c r="A197" i="14"/>
  <c r="D197" i="14" l="1"/>
  <c r="C197" i="14"/>
  <c r="E197" i="14" s="1"/>
  <c r="B197" i="14"/>
  <c r="A198" i="14"/>
  <c r="D198" i="14" l="1"/>
  <c r="C198" i="14"/>
  <c r="E198" i="14" s="1"/>
  <c r="B198" i="14"/>
  <c r="A199" i="14"/>
  <c r="B199" i="14" l="1"/>
  <c r="D199" i="14"/>
  <c r="C199" i="14"/>
  <c r="E199" i="14" s="1"/>
  <c r="A200" i="14"/>
  <c r="D200" i="14" l="1"/>
  <c r="C200" i="14"/>
  <c r="E200" i="14" s="1"/>
  <c r="B200" i="14"/>
  <c r="A201" i="14"/>
  <c r="D201" i="14" l="1"/>
  <c r="C201" i="14"/>
  <c r="E201" i="14" s="1"/>
  <c r="B201" i="14"/>
  <c r="A202" i="14"/>
  <c r="C202" i="14" l="1"/>
  <c r="E202" i="14" s="1"/>
  <c r="B202" i="14"/>
  <c r="D202" i="14"/>
  <c r="A203" i="14"/>
  <c r="D203" i="14" l="1"/>
  <c r="C203" i="14"/>
  <c r="E203" i="14" s="1"/>
  <c r="B203" i="14"/>
  <c r="A204" i="14"/>
  <c r="D204" i="14" l="1"/>
  <c r="C204" i="14"/>
  <c r="E204" i="14" s="1"/>
  <c r="B204" i="14"/>
  <c r="A205" i="14"/>
  <c r="D205" i="14" l="1"/>
  <c r="C205" i="14"/>
  <c r="E205" i="14" s="1"/>
  <c r="B205" i="14"/>
  <c r="A206" i="14"/>
  <c r="D206" i="14" l="1"/>
  <c r="C206" i="14"/>
  <c r="E206" i="14" s="1"/>
  <c r="B206" i="14"/>
  <c r="A207" i="14"/>
  <c r="B207" i="14" l="1"/>
  <c r="D207" i="14"/>
  <c r="C207" i="14"/>
  <c r="E207" i="14" s="1"/>
  <c r="A208" i="14"/>
  <c r="D208" i="14" l="1"/>
  <c r="C208" i="14"/>
  <c r="E208" i="14" s="1"/>
  <c r="B208" i="14"/>
  <c r="A209" i="14"/>
  <c r="D209" i="14" l="1"/>
  <c r="C209" i="14"/>
  <c r="E209" i="14" s="1"/>
  <c r="B209" i="14"/>
  <c r="A210" i="14"/>
  <c r="C210" i="14" l="1"/>
  <c r="E210" i="14" s="1"/>
  <c r="B210" i="14"/>
  <c r="D210" i="14"/>
  <c r="A211" i="14"/>
  <c r="D211" i="14" l="1"/>
  <c r="C211" i="14"/>
  <c r="E211" i="14" s="1"/>
  <c r="B211" i="14"/>
  <c r="A212" i="14"/>
  <c r="D212" i="14" l="1"/>
  <c r="C212" i="14"/>
  <c r="E212" i="14" s="1"/>
  <c r="B212" i="14"/>
  <c r="A213" i="14"/>
  <c r="D213" i="14" l="1"/>
  <c r="C213" i="14"/>
  <c r="E213" i="14" s="1"/>
  <c r="B213" i="14"/>
  <c r="A214" i="14"/>
  <c r="D214" i="14" l="1"/>
  <c r="C214" i="14"/>
  <c r="E214" i="14" s="1"/>
  <c r="B214" i="14"/>
  <c r="A215" i="14"/>
  <c r="B215" i="14" l="1"/>
  <c r="D215" i="14"/>
  <c r="C215" i="14"/>
  <c r="E215" i="14" s="1"/>
  <c r="A216" i="14"/>
  <c r="D216" i="14" l="1"/>
  <c r="C216" i="14"/>
  <c r="E216" i="14" s="1"/>
  <c r="B216" i="14"/>
  <c r="A217" i="14"/>
  <c r="D217" i="14" l="1"/>
  <c r="C217" i="14"/>
  <c r="E217" i="14" s="1"/>
  <c r="B217" i="14"/>
  <c r="A218" i="14"/>
  <c r="C218" i="14" l="1"/>
  <c r="E218" i="14" s="1"/>
  <c r="B218" i="14"/>
  <c r="D218" i="14"/>
  <c r="A219" i="14"/>
  <c r="D219" i="14" l="1"/>
  <c r="C219" i="14"/>
  <c r="E219" i="14" s="1"/>
  <c r="B219" i="14"/>
  <c r="A220" i="14"/>
  <c r="D220" i="14" l="1"/>
  <c r="C220" i="14"/>
  <c r="E220" i="14" s="1"/>
  <c r="B220" i="14"/>
  <c r="A221" i="14"/>
  <c r="D221" i="14" l="1"/>
  <c r="C221" i="14"/>
  <c r="E221" i="14" s="1"/>
  <c r="B221" i="14"/>
  <c r="A222" i="14"/>
  <c r="D222" i="14" l="1"/>
  <c r="C222" i="14"/>
  <c r="E222" i="14" s="1"/>
  <c r="B222" i="14"/>
  <c r="A223" i="14"/>
  <c r="B223" i="14" l="1"/>
  <c r="D223" i="14"/>
  <c r="C223" i="14"/>
  <c r="E223" i="14" s="1"/>
  <c r="A224" i="14"/>
  <c r="D224" i="14" l="1"/>
  <c r="C224" i="14"/>
  <c r="E224" i="14" s="1"/>
  <c r="B224" i="14"/>
  <c r="A225" i="14"/>
  <c r="D225" i="14" l="1"/>
  <c r="C225" i="14"/>
  <c r="E225" i="14" s="1"/>
  <c r="B225" i="14"/>
  <c r="A226" i="14"/>
  <c r="C226" i="14" l="1"/>
  <c r="E226" i="14" s="1"/>
  <c r="B226" i="14"/>
  <c r="D226" i="14"/>
  <c r="A227" i="14"/>
  <c r="D227" i="14" l="1"/>
  <c r="C227" i="14"/>
  <c r="E227" i="14" s="1"/>
  <c r="B227" i="14"/>
  <c r="A228" i="14"/>
  <c r="D228" i="14" l="1"/>
  <c r="C228" i="14"/>
  <c r="E228" i="14" s="1"/>
  <c r="B228" i="14"/>
  <c r="A229" i="14"/>
  <c r="D229" i="14" l="1"/>
  <c r="C229" i="14"/>
  <c r="E229" i="14" s="1"/>
  <c r="B229" i="14"/>
  <c r="A230" i="14"/>
  <c r="D230" i="14" l="1"/>
  <c r="C230" i="14"/>
  <c r="E230" i="14" s="1"/>
  <c r="B230" i="14"/>
  <c r="A231" i="14"/>
  <c r="B231" i="14" l="1"/>
  <c r="D231" i="14"/>
  <c r="C231" i="14"/>
  <c r="E231" i="14" s="1"/>
  <c r="A232" i="14"/>
  <c r="D232" i="14" l="1"/>
  <c r="C232" i="14"/>
  <c r="E232" i="14" s="1"/>
  <c r="B232" i="14"/>
  <c r="A233" i="14"/>
  <c r="D233" i="14" l="1"/>
  <c r="C233" i="14"/>
  <c r="E233" i="14" s="1"/>
  <c r="B233" i="14"/>
  <c r="A234" i="14"/>
  <c r="C234" i="14" l="1"/>
  <c r="E234" i="14" s="1"/>
  <c r="B234" i="14"/>
  <c r="D234" i="14"/>
  <c r="A235" i="14"/>
  <c r="D235" i="14" l="1"/>
  <c r="C235" i="14"/>
  <c r="E235" i="14" s="1"/>
  <c r="B235" i="14"/>
  <c r="A236" i="14"/>
  <c r="D236" i="14" l="1"/>
  <c r="C236" i="14"/>
  <c r="E236" i="14" s="1"/>
  <c r="B236" i="14"/>
  <c r="A237" i="14"/>
  <c r="D237" i="14" l="1"/>
  <c r="C237" i="14"/>
  <c r="E237" i="14" s="1"/>
  <c r="B237" i="14"/>
  <c r="A238" i="14"/>
  <c r="D238" i="14" l="1"/>
  <c r="C238" i="14"/>
  <c r="E238" i="14" s="1"/>
  <c r="B238" i="14"/>
  <c r="A239" i="14"/>
  <c r="B239" i="14" l="1"/>
  <c r="D239" i="14"/>
  <c r="C239" i="14"/>
  <c r="E239" i="14" s="1"/>
  <c r="A240" i="14"/>
  <c r="D240" i="14" l="1"/>
  <c r="C240" i="14"/>
  <c r="E240" i="14" s="1"/>
  <c r="B240" i="14"/>
  <c r="A241" i="14"/>
  <c r="D241" i="14" l="1"/>
  <c r="C241" i="14"/>
  <c r="E241" i="14" s="1"/>
  <c r="B241" i="14"/>
  <c r="A242" i="14"/>
  <c r="C242" i="14" l="1"/>
  <c r="E242" i="14" s="1"/>
  <c r="B242" i="14"/>
  <c r="D242" i="14"/>
  <c r="A243" i="14"/>
  <c r="D243" i="14" l="1"/>
  <c r="C243" i="14"/>
  <c r="E243" i="14" s="1"/>
  <c r="B243" i="14"/>
  <c r="A244" i="14"/>
  <c r="D244" i="14" l="1"/>
  <c r="C244" i="14"/>
  <c r="E244" i="14" s="1"/>
  <c r="B244" i="14"/>
  <c r="A245" i="14"/>
  <c r="D245" i="14" l="1"/>
  <c r="C245" i="14"/>
  <c r="E245" i="14" s="1"/>
  <c r="B245" i="14"/>
  <c r="A246" i="14"/>
  <c r="D246" i="14" l="1"/>
  <c r="C246" i="14"/>
  <c r="E246" i="14" s="1"/>
  <c r="B246" i="14"/>
  <c r="A247" i="14"/>
  <c r="B247" i="14" l="1"/>
  <c r="D247" i="14"/>
  <c r="C247" i="14"/>
  <c r="E247" i="14" s="1"/>
  <c r="A248" i="14"/>
  <c r="D248" i="14" l="1"/>
  <c r="C248" i="14"/>
  <c r="E248" i="14" s="1"/>
  <c r="B248" i="14"/>
  <c r="A249" i="14"/>
  <c r="D249" i="14" l="1"/>
  <c r="C249" i="14"/>
  <c r="E249" i="14" s="1"/>
  <c r="B249" i="14"/>
  <c r="A250" i="14"/>
  <c r="C250" i="14" l="1"/>
  <c r="E250" i="14" s="1"/>
  <c r="B250" i="14"/>
  <c r="D250" i="14"/>
  <c r="A251" i="14"/>
  <c r="D251" i="14" l="1"/>
  <c r="C251" i="14"/>
  <c r="E251" i="14" s="1"/>
  <c r="B251" i="14"/>
  <c r="A252" i="14"/>
  <c r="D252" i="14" l="1"/>
  <c r="C252" i="14"/>
  <c r="E252" i="14" s="1"/>
  <c r="B252" i="14"/>
  <c r="A253" i="14"/>
  <c r="D253" i="14" l="1"/>
  <c r="C253" i="14"/>
  <c r="E253" i="14" s="1"/>
  <c r="B253" i="14"/>
  <c r="A254" i="14"/>
  <c r="D254" i="14" l="1"/>
  <c r="C254" i="14"/>
  <c r="E254" i="14" s="1"/>
  <c r="B254" i="14"/>
  <c r="A255" i="14"/>
  <c r="B255" i="14" l="1"/>
  <c r="D255" i="14"/>
  <c r="C255" i="14"/>
  <c r="E255" i="14" s="1"/>
  <c r="A256" i="14"/>
  <c r="D256" i="14" l="1"/>
  <c r="C256" i="14"/>
  <c r="E256" i="14" s="1"/>
  <c r="B256" i="14"/>
  <c r="A257" i="14"/>
  <c r="D257" i="14" l="1"/>
  <c r="C257" i="14"/>
  <c r="E257" i="14" s="1"/>
  <c r="B257" i="14"/>
  <c r="A258" i="14"/>
  <c r="C258" i="14" l="1"/>
  <c r="E258" i="14" s="1"/>
  <c r="B258" i="14"/>
  <c r="D258" i="14"/>
  <c r="A259" i="14"/>
  <c r="D259" i="14" l="1"/>
  <c r="C259" i="14"/>
  <c r="E259" i="14" s="1"/>
  <c r="B259" i="14"/>
  <c r="A260" i="14"/>
  <c r="D260" i="14" l="1"/>
  <c r="C260" i="14"/>
  <c r="E260" i="14" s="1"/>
  <c r="B260" i="14"/>
  <c r="A261" i="14"/>
  <c r="D261" i="14" l="1"/>
  <c r="C261" i="14"/>
  <c r="E261" i="14" s="1"/>
  <c r="B261" i="14"/>
  <c r="A262" i="14"/>
  <c r="D262" i="14" l="1"/>
  <c r="C262" i="14"/>
  <c r="E262" i="14" s="1"/>
  <c r="B262" i="14"/>
  <c r="A263" i="14"/>
  <c r="B263" i="14" l="1"/>
  <c r="D263" i="14"/>
  <c r="C263" i="14"/>
  <c r="E263" i="14" s="1"/>
  <c r="A264" i="14"/>
  <c r="D264" i="14" l="1"/>
  <c r="C264" i="14"/>
  <c r="E264" i="14" s="1"/>
  <c r="B264" i="14"/>
  <c r="A265" i="14"/>
  <c r="D265" i="14" l="1"/>
  <c r="C265" i="14"/>
  <c r="E265" i="14" s="1"/>
  <c r="B265" i="14"/>
  <c r="A266" i="14"/>
  <c r="C266" i="14" l="1"/>
  <c r="E266" i="14" s="1"/>
  <c r="B266" i="14"/>
  <c r="D266" i="14"/>
  <c r="A267" i="14"/>
  <c r="D267" i="14" l="1"/>
  <c r="C267" i="14"/>
  <c r="E267" i="14" s="1"/>
  <c r="B267" i="14"/>
  <c r="A268" i="14"/>
  <c r="D268" i="14" l="1"/>
  <c r="C268" i="14"/>
  <c r="E268" i="14" s="1"/>
  <c r="B268" i="14"/>
  <c r="A269" i="14"/>
  <c r="D269" i="14" l="1"/>
  <c r="C269" i="14"/>
  <c r="E269" i="14" s="1"/>
  <c r="B269" i="14"/>
  <c r="A270" i="14"/>
  <c r="D270" i="14" l="1"/>
  <c r="C270" i="14"/>
  <c r="E270" i="14" s="1"/>
  <c r="B270" i="14"/>
  <c r="A271" i="14"/>
  <c r="B271" i="14" l="1"/>
  <c r="D271" i="14"/>
  <c r="C271" i="14"/>
  <c r="E271" i="14" s="1"/>
  <c r="A272" i="14"/>
  <c r="D272" i="14" l="1"/>
  <c r="C272" i="14"/>
  <c r="E272" i="14" s="1"/>
  <c r="B272" i="14"/>
  <c r="A273" i="14"/>
  <c r="D273" i="14" l="1"/>
  <c r="C273" i="14"/>
  <c r="E273" i="14" s="1"/>
  <c r="B273" i="14"/>
  <c r="A274" i="14"/>
  <c r="C274" i="14" l="1"/>
  <c r="E274" i="14" s="1"/>
  <c r="B274" i="14"/>
  <c r="D274" i="14"/>
  <c r="A275" i="14"/>
  <c r="D275" i="14" l="1"/>
  <c r="C275" i="14"/>
  <c r="E275" i="14" s="1"/>
  <c r="B275" i="14"/>
  <c r="A276" i="14"/>
  <c r="D276" i="14" l="1"/>
  <c r="C276" i="14"/>
  <c r="E276" i="14" s="1"/>
  <c r="B276" i="14"/>
  <c r="A277" i="14"/>
  <c r="D277" i="14" l="1"/>
  <c r="C277" i="14"/>
  <c r="E277" i="14" s="1"/>
  <c r="B277" i="14"/>
  <c r="A278" i="14"/>
  <c r="D278" i="14" l="1"/>
  <c r="C278" i="14"/>
  <c r="E278" i="14" s="1"/>
  <c r="B278" i="14"/>
  <c r="A279" i="14"/>
  <c r="B279" i="14" l="1"/>
  <c r="D279" i="14"/>
  <c r="C279" i="14"/>
  <c r="E279" i="14" s="1"/>
  <c r="A280" i="14"/>
  <c r="D280" i="14" l="1"/>
  <c r="C280" i="14"/>
  <c r="E280" i="14" s="1"/>
  <c r="B280" i="14"/>
  <c r="A281" i="14"/>
  <c r="D281" i="14" l="1"/>
  <c r="C281" i="14"/>
  <c r="E281" i="14" s="1"/>
  <c r="B281" i="14"/>
  <c r="A282" i="14"/>
  <c r="C282" i="14" l="1"/>
  <c r="E282" i="14" s="1"/>
  <c r="B282" i="14"/>
  <c r="D282" i="14"/>
  <c r="A283" i="14"/>
  <c r="D283" i="14" l="1"/>
  <c r="C283" i="14"/>
  <c r="E283" i="14" s="1"/>
  <c r="B283" i="14"/>
  <c r="A284" i="14"/>
  <c r="D284" i="14" l="1"/>
  <c r="C284" i="14"/>
  <c r="E284" i="14" s="1"/>
  <c r="B284" i="14"/>
  <c r="A285" i="14"/>
  <c r="D285" i="14" l="1"/>
  <c r="C285" i="14"/>
  <c r="E285" i="14" s="1"/>
  <c r="B285" i="14"/>
  <c r="A286" i="14"/>
  <c r="D286" i="14" l="1"/>
  <c r="C286" i="14"/>
  <c r="E286" i="14" s="1"/>
  <c r="B286" i="14"/>
  <c r="A287" i="14"/>
  <c r="B287" i="14" l="1"/>
  <c r="D287" i="14"/>
  <c r="C287" i="14"/>
  <c r="E287" i="14" s="1"/>
  <c r="A288" i="14"/>
  <c r="D288" i="14" l="1"/>
  <c r="C288" i="14"/>
  <c r="E288" i="14" s="1"/>
  <c r="B288" i="14"/>
  <c r="A289" i="14"/>
  <c r="D289" i="14" l="1"/>
  <c r="C289" i="14"/>
  <c r="E289" i="14" s="1"/>
  <c r="B289" i="14"/>
  <c r="A290" i="14"/>
  <c r="C290" i="14" l="1"/>
  <c r="E290" i="14" s="1"/>
  <c r="B290" i="14"/>
  <c r="D290" i="14"/>
  <c r="A291" i="14"/>
  <c r="D291" i="14" l="1"/>
  <c r="C291" i="14"/>
  <c r="E291" i="14" s="1"/>
  <c r="B291" i="14"/>
  <c r="A292" i="14"/>
  <c r="D292" i="14" l="1"/>
  <c r="C292" i="14"/>
  <c r="E292" i="14" s="1"/>
  <c r="B292" i="14"/>
  <c r="A293" i="14"/>
  <c r="D293" i="14" l="1"/>
  <c r="C293" i="14"/>
  <c r="E293" i="14" s="1"/>
  <c r="B293" i="14"/>
  <c r="A294" i="14"/>
  <c r="D294" i="14" l="1"/>
  <c r="C294" i="14"/>
  <c r="E294" i="14" s="1"/>
  <c r="B294" i="14"/>
  <c r="A295" i="14"/>
  <c r="B295" i="14" l="1"/>
  <c r="D295" i="14"/>
  <c r="C295" i="14"/>
  <c r="E295" i="14" s="1"/>
  <c r="A296" i="14"/>
  <c r="D296" i="14" l="1"/>
  <c r="C296" i="14"/>
  <c r="E296" i="14" s="1"/>
  <c r="B296" i="14"/>
  <c r="A297" i="14"/>
  <c r="D297" i="14" l="1"/>
  <c r="C297" i="14"/>
  <c r="E297" i="14" s="1"/>
  <c r="B297" i="14"/>
  <c r="A298" i="14"/>
  <c r="C298" i="14" l="1"/>
  <c r="E298" i="14" s="1"/>
  <c r="B298" i="14"/>
  <c r="D298" i="14"/>
  <c r="A299" i="14"/>
  <c r="D299" i="14" l="1"/>
  <c r="C299" i="14"/>
  <c r="E299" i="14" s="1"/>
  <c r="B299" i="14"/>
  <c r="A300" i="14"/>
  <c r="D300" i="14" l="1"/>
  <c r="C300" i="14"/>
  <c r="E300" i="14" s="1"/>
  <c r="B300" i="14"/>
  <c r="A301" i="14"/>
  <c r="D301" i="14" l="1"/>
  <c r="C301" i="14"/>
  <c r="E301" i="14" s="1"/>
  <c r="B301" i="14"/>
  <c r="A302" i="14"/>
  <c r="D302" i="14" l="1"/>
  <c r="C302" i="14"/>
  <c r="E302" i="14" s="1"/>
  <c r="B302" i="14"/>
  <c r="A303" i="14"/>
  <c r="B303" i="14" l="1"/>
  <c r="D303" i="14"/>
  <c r="C303" i="14"/>
  <c r="E303" i="14" s="1"/>
  <c r="A304" i="14"/>
  <c r="D304" i="14" l="1"/>
  <c r="C304" i="14"/>
  <c r="E304" i="14" s="1"/>
  <c r="B304" i="14"/>
  <c r="A305" i="14"/>
  <c r="D305" i="14" l="1"/>
  <c r="C305" i="14"/>
  <c r="E305" i="14" s="1"/>
  <c r="B305" i="14"/>
  <c r="A306" i="14"/>
  <c r="C306" i="14" l="1"/>
  <c r="E306" i="14" s="1"/>
  <c r="B306" i="14"/>
  <c r="D306" i="14"/>
  <c r="A307" i="14"/>
  <c r="D307" i="14" l="1"/>
  <c r="C307" i="14"/>
  <c r="E307" i="14" s="1"/>
  <c r="B307" i="14"/>
  <c r="A308" i="14"/>
  <c r="D308" i="14" l="1"/>
  <c r="C308" i="14"/>
  <c r="E308" i="14" s="1"/>
  <c r="B308" i="14"/>
  <c r="A309" i="14"/>
  <c r="D309" i="14" l="1"/>
  <c r="C309" i="14"/>
  <c r="E309" i="14" s="1"/>
  <c r="B309" i="14"/>
  <c r="A310" i="14"/>
  <c r="D310" i="14" l="1"/>
  <c r="C310" i="14"/>
  <c r="E310" i="14" s="1"/>
  <c r="B310" i="14"/>
  <c r="A311" i="14"/>
  <c r="B311" i="14" l="1"/>
  <c r="D311" i="14"/>
  <c r="C311" i="14"/>
  <c r="E311" i="14" s="1"/>
  <c r="A312" i="14"/>
  <c r="D312" i="14" l="1"/>
  <c r="C312" i="14"/>
  <c r="E312" i="14" s="1"/>
  <c r="B312" i="14"/>
  <c r="A313" i="14"/>
  <c r="D313" i="14" l="1"/>
  <c r="C313" i="14"/>
  <c r="E313" i="14" s="1"/>
  <c r="B313" i="14"/>
  <c r="A314" i="14"/>
  <c r="C314" i="14" l="1"/>
  <c r="E314" i="14" s="1"/>
  <c r="B314" i="14"/>
  <c r="D314" i="14"/>
  <c r="A315" i="14"/>
  <c r="D315" i="14" l="1"/>
  <c r="C315" i="14"/>
  <c r="E315" i="14" s="1"/>
  <c r="B315" i="14"/>
  <c r="A316" i="14"/>
  <c r="D316" i="14" l="1"/>
  <c r="C316" i="14"/>
  <c r="E316" i="14" s="1"/>
  <c r="B316" i="14"/>
  <c r="A317" i="14"/>
  <c r="D317" i="14" l="1"/>
  <c r="C317" i="14"/>
  <c r="E317" i="14" s="1"/>
  <c r="B317" i="14"/>
  <c r="A318" i="14"/>
  <c r="D318" i="14" l="1"/>
  <c r="C318" i="14"/>
  <c r="E318" i="14" s="1"/>
  <c r="B318" i="14"/>
  <c r="A319" i="14"/>
  <c r="B319" i="14" l="1"/>
  <c r="D319" i="14"/>
  <c r="C319" i="14"/>
  <c r="E319" i="14" s="1"/>
  <c r="A320" i="14"/>
  <c r="D320" i="14" l="1"/>
  <c r="C320" i="14"/>
  <c r="E320" i="14" s="1"/>
  <c r="B320" i="14"/>
  <c r="A321" i="14"/>
  <c r="D321" i="14" l="1"/>
  <c r="C321" i="14"/>
  <c r="E321" i="14" s="1"/>
  <c r="B321" i="14"/>
  <c r="A322" i="14"/>
  <c r="C322" i="14" l="1"/>
  <c r="E322" i="14" s="1"/>
  <c r="B322" i="14"/>
  <c r="D322" i="14"/>
  <c r="A323" i="14"/>
  <c r="D323" i="14" l="1"/>
  <c r="C323" i="14"/>
  <c r="E323" i="14" s="1"/>
  <c r="B323" i="14"/>
  <c r="A324" i="14"/>
  <c r="D324" i="14" l="1"/>
  <c r="C324" i="14"/>
  <c r="E324" i="14" s="1"/>
  <c r="B324" i="14"/>
  <c r="A325" i="14"/>
  <c r="D325" i="14" l="1"/>
  <c r="C325" i="14"/>
  <c r="E325" i="14" s="1"/>
  <c r="B325" i="14"/>
  <c r="A326" i="14"/>
  <c r="D326" i="14" l="1"/>
  <c r="C326" i="14"/>
  <c r="E326" i="14" s="1"/>
  <c r="B326" i="14"/>
  <c r="A327" i="14"/>
  <c r="B327" i="14" l="1"/>
  <c r="D327" i="14"/>
  <c r="C327" i="14"/>
  <c r="E327" i="14" s="1"/>
  <c r="A328" i="14"/>
  <c r="D328" i="14" l="1"/>
  <c r="C328" i="14"/>
  <c r="E328" i="14" s="1"/>
  <c r="B328" i="14"/>
  <c r="A329" i="14"/>
  <c r="D329" i="14" l="1"/>
  <c r="C329" i="14"/>
  <c r="E329" i="14" s="1"/>
  <c r="B329" i="14"/>
  <c r="A330" i="14"/>
  <c r="C330" i="14" l="1"/>
  <c r="E330" i="14" s="1"/>
  <c r="B330" i="14"/>
  <c r="D330" i="14"/>
  <c r="A331" i="14"/>
  <c r="D331" i="14" l="1"/>
  <c r="C331" i="14"/>
  <c r="E331" i="14" s="1"/>
  <c r="B331" i="14"/>
  <c r="A332" i="14"/>
  <c r="D332" i="14" l="1"/>
  <c r="C332" i="14"/>
  <c r="E332" i="14" s="1"/>
  <c r="B332" i="14"/>
  <c r="A333" i="14"/>
  <c r="D333" i="14" l="1"/>
  <c r="C333" i="14"/>
  <c r="E333" i="14" s="1"/>
  <c r="B333" i="14"/>
  <c r="A334" i="14"/>
  <c r="D334" i="14" l="1"/>
  <c r="C334" i="14"/>
  <c r="E334" i="14" s="1"/>
  <c r="B334" i="14"/>
  <c r="A335" i="14"/>
  <c r="B335" i="14" l="1"/>
  <c r="D335" i="14"/>
  <c r="C335" i="14"/>
  <c r="E335" i="14" s="1"/>
  <c r="A336" i="14"/>
  <c r="D336" i="14" l="1"/>
  <c r="C336" i="14"/>
  <c r="E336" i="14" s="1"/>
  <c r="B336" i="14"/>
  <c r="A337" i="14"/>
  <c r="D337" i="14" l="1"/>
  <c r="C337" i="14"/>
  <c r="E337" i="14" s="1"/>
  <c r="B337" i="14"/>
  <c r="A338" i="14"/>
  <c r="C338" i="14" l="1"/>
  <c r="E338" i="14" s="1"/>
  <c r="B338" i="14"/>
  <c r="D338" i="14"/>
  <c r="A339" i="14"/>
  <c r="D339" i="14" l="1"/>
  <c r="C339" i="14"/>
  <c r="E339" i="14" s="1"/>
  <c r="B339" i="14"/>
  <c r="A340" i="14"/>
  <c r="D340" i="14" l="1"/>
  <c r="C340" i="14"/>
  <c r="E340" i="14" s="1"/>
  <c r="B340" i="14"/>
  <c r="A341" i="14"/>
  <c r="D341" i="14" l="1"/>
  <c r="C341" i="14"/>
  <c r="E341" i="14" s="1"/>
  <c r="B341" i="14"/>
  <c r="A342" i="14"/>
  <c r="D342" i="14" l="1"/>
  <c r="C342" i="14"/>
  <c r="E342" i="14" s="1"/>
  <c r="B342" i="14"/>
  <c r="A343" i="14"/>
  <c r="B343" i="14" l="1"/>
  <c r="D343" i="14"/>
  <c r="C343" i="14"/>
  <c r="E343" i="14" s="1"/>
  <c r="A344" i="14"/>
  <c r="D344" i="14" l="1"/>
  <c r="C344" i="14"/>
  <c r="E344" i="14" s="1"/>
  <c r="B344" i="14"/>
  <c r="A345" i="14"/>
  <c r="D345" i="14" l="1"/>
  <c r="C345" i="14"/>
  <c r="E345" i="14" s="1"/>
  <c r="B345" i="14"/>
  <c r="A346" i="14"/>
  <c r="C346" i="14" l="1"/>
  <c r="E346" i="14" s="1"/>
  <c r="B346" i="14"/>
  <c r="D346" i="14"/>
  <c r="A347" i="14"/>
  <c r="D347" i="14" l="1"/>
  <c r="C347" i="14"/>
  <c r="E347" i="14" s="1"/>
  <c r="B347" i="14"/>
  <c r="A348" i="14"/>
  <c r="D348" i="14" l="1"/>
  <c r="C348" i="14"/>
  <c r="E348" i="14" s="1"/>
  <c r="B348" i="14"/>
  <c r="A349" i="14"/>
  <c r="D349" i="14" l="1"/>
  <c r="C349" i="14"/>
  <c r="E349" i="14" s="1"/>
  <c r="B349" i="14"/>
  <c r="A350" i="14"/>
  <c r="D350" i="14" l="1"/>
  <c r="C350" i="14"/>
  <c r="E350" i="14" s="1"/>
  <c r="B350" i="14"/>
  <c r="A351" i="14"/>
  <c r="B351" i="14" l="1"/>
  <c r="D351" i="14"/>
  <c r="C351" i="14"/>
  <c r="E351" i="14" s="1"/>
  <c r="A352" i="14"/>
  <c r="D352" i="14" l="1"/>
  <c r="C352" i="14"/>
  <c r="E352" i="14" s="1"/>
  <c r="B352" i="14"/>
  <c r="A353" i="14"/>
  <c r="D353" i="14" l="1"/>
  <c r="C353" i="14"/>
  <c r="E353" i="14" s="1"/>
  <c r="B353" i="14"/>
  <c r="A354" i="14"/>
  <c r="C354" i="14" l="1"/>
  <c r="E354" i="14" s="1"/>
  <c r="B354" i="14"/>
  <c r="D354" i="14"/>
  <c r="A355" i="14"/>
  <c r="D355" i="14" l="1"/>
  <c r="C355" i="14"/>
  <c r="E355" i="14" s="1"/>
  <c r="B355" i="14"/>
  <c r="A356" i="14"/>
  <c r="D356" i="14" l="1"/>
  <c r="C356" i="14"/>
  <c r="E356" i="14" s="1"/>
  <c r="B356" i="14"/>
  <c r="A357" i="14"/>
  <c r="D357" i="14" l="1"/>
  <c r="C357" i="14"/>
  <c r="E357" i="14" s="1"/>
  <c r="B357" i="14"/>
  <c r="A358" i="14"/>
  <c r="D358" i="14" l="1"/>
  <c r="C358" i="14"/>
  <c r="E358" i="14" s="1"/>
  <c r="B358" i="14"/>
  <c r="A359" i="14"/>
  <c r="B359" i="14" l="1"/>
  <c r="D359" i="14"/>
  <c r="C359" i="14"/>
  <c r="E359" i="14" s="1"/>
  <c r="A360" i="14"/>
  <c r="D360" i="14" l="1"/>
  <c r="C360" i="14"/>
  <c r="E360" i="14" s="1"/>
  <c r="B360" i="14"/>
  <c r="A361" i="14"/>
  <c r="D361" i="14" l="1"/>
  <c r="C361" i="14"/>
  <c r="E361" i="14" s="1"/>
  <c r="B361" i="14"/>
  <c r="A362" i="14"/>
  <c r="C362" i="14" l="1"/>
  <c r="E362" i="14" s="1"/>
  <c r="B362" i="14"/>
  <c r="D362" i="14"/>
  <c r="A363" i="14"/>
  <c r="D363" i="14" l="1"/>
  <c r="C363" i="14"/>
  <c r="E363" i="14" s="1"/>
  <c r="B363" i="14"/>
  <c r="A364" i="14"/>
  <c r="D364" i="14" l="1"/>
  <c r="C364" i="14"/>
  <c r="E364" i="14" s="1"/>
  <c r="B364" i="14"/>
  <c r="A365" i="14"/>
  <c r="D365" i="14" l="1"/>
  <c r="C365" i="14"/>
  <c r="E365" i="14" s="1"/>
  <c r="B365" i="14"/>
  <c r="A366" i="14"/>
  <c r="D366" i="14" l="1"/>
  <c r="C366" i="14"/>
  <c r="E366" i="14" s="1"/>
  <c r="B366" i="14"/>
  <c r="A367" i="14"/>
  <c r="B367" i="14" l="1"/>
  <c r="D367" i="14"/>
  <c r="C367" i="14"/>
  <c r="E367" i="14" s="1"/>
  <c r="A368" i="14"/>
  <c r="D368" i="14" l="1"/>
  <c r="C368" i="14"/>
  <c r="E368" i="14" s="1"/>
  <c r="B368" i="14"/>
  <c r="A369" i="14"/>
  <c r="D369" i="14" l="1"/>
  <c r="C369" i="14"/>
  <c r="E369" i="14" s="1"/>
  <c r="B369" i="14"/>
  <c r="A370" i="14"/>
  <c r="C370" i="14" l="1"/>
  <c r="E370" i="14" s="1"/>
  <c r="B370" i="14"/>
  <c r="D370" i="14"/>
  <c r="A371" i="14"/>
  <c r="D371" i="14" l="1"/>
  <c r="C371" i="14"/>
  <c r="E371" i="14" s="1"/>
  <c r="B371" i="14"/>
  <c r="A372" i="14"/>
  <c r="D372" i="14" l="1"/>
  <c r="C372" i="14"/>
  <c r="E372" i="14" s="1"/>
  <c r="B372" i="14"/>
  <c r="A373" i="14"/>
  <c r="D373" i="14" l="1"/>
  <c r="C373" i="14"/>
  <c r="E373" i="14" s="1"/>
  <c r="B373" i="14"/>
  <c r="A374" i="14"/>
  <c r="D374" i="14" l="1"/>
  <c r="C374" i="14"/>
  <c r="E374" i="14" s="1"/>
  <c r="B374" i="14"/>
  <c r="A375" i="14"/>
  <c r="B375" i="14" l="1"/>
  <c r="D375" i="14"/>
  <c r="C375" i="14"/>
  <c r="E375" i="14" s="1"/>
  <c r="A376" i="14"/>
  <c r="D376" i="14" l="1"/>
  <c r="C376" i="14"/>
  <c r="E376" i="14" s="1"/>
  <c r="B376" i="14"/>
  <c r="A377" i="14"/>
  <c r="D377" i="14" l="1"/>
  <c r="C377" i="14"/>
  <c r="E377" i="14" s="1"/>
  <c r="B377" i="14"/>
  <c r="A378" i="14"/>
  <c r="C378" i="14" l="1"/>
  <c r="E378" i="14" s="1"/>
  <c r="B378" i="14"/>
  <c r="D378" i="14"/>
  <c r="A379" i="14"/>
  <c r="D379" i="14" l="1"/>
  <c r="C379" i="14"/>
  <c r="E379" i="14" s="1"/>
  <c r="B379" i="14"/>
  <c r="A380" i="14"/>
  <c r="D380" i="14" l="1"/>
  <c r="C380" i="14"/>
  <c r="E380" i="14" s="1"/>
  <c r="B380" i="14"/>
  <c r="A381" i="14"/>
  <c r="D381" i="14" l="1"/>
  <c r="C381" i="14"/>
  <c r="E381" i="14" s="1"/>
  <c r="B381" i="14"/>
  <c r="A382" i="14"/>
  <c r="D382" i="14" l="1"/>
  <c r="C382" i="14"/>
  <c r="E382" i="14" s="1"/>
  <c r="B382" i="14"/>
  <c r="A383" i="14"/>
  <c r="B383" i="14" l="1"/>
  <c r="D383" i="14"/>
  <c r="C383" i="14"/>
  <c r="E383" i="14" s="1"/>
  <c r="A384" i="14"/>
  <c r="D384" i="14" l="1"/>
  <c r="C384" i="14"/>
  <c r="E384" i="14" s="1"/>
  <c r="B384" i="14"/>
  <c r="A385" i="14"/>
  <c r="D385" i="14" l="1"/>
  <c r="C385" i="14"/>
  <c r="E385" i="14" s="1"/>
  <c r="B385" i="14"/>
  <c r="A386" i="14"/>
  <c r="C386" i="14" l="1"/>
  <c r="E386" i="14" s="1"/>
  <c r="B386" i="14"/>
  <c r="D386" i="14"/>
  <c r="A387" i="14"/>
  <c r="D387" i="14" l="1"/>
  <c r="C387" i="14"/>
  <c r="E387" i="14" s="1"/>
  <c r="B387" i="14"/>
  <c r="A388" i="14"/>
  <c r="D388" i="14" l="1"/>
  <c r="C388" i="14"/>
  <c r="E388" i="14" s="1"/>
  <c r="B388" i="14"/>
  <c r="A389" i="14"/>
  <c r="D389" i="14" l="1"/>
  <c r="C389" i="14"/>
  <c r="E389" i="14" s="1"/>
  <c r="B389" i="14"/>
  <c r="A390" i="14"/>
  <c r="D390" i="14" l="1"/>
  <c r="C390" i="14"/>
  <c r="E390" i="14" s="1"/>
  <c r="B390" i="14"/>
  <c r="A391" i="14"/>
  <c r="B391" i="14" l="1"/>
  <c r="D391" i="14"/>
  <c r="C391" i="14"/>
  <c r="E391" i="14" s="1"/>
  <c r="A392" i="14"/>
  <c r="D392" i="14" l="1"/>
  <c r="C392" i="14"/>
  <c r="E392" i="14" s="1"/>
  <c r="B392" i="14"/>
  <c r="A393" i="14"/>
  <c r="D393" i="14" l="1"/>
  <c r="C393" i="14"/>
  <c r="E393" i="14" s="1"/>
  <c r="B393" i="14"/>
  <c r="A394" i="14"/>
  <c r="C394" i="14" l="1"/>
  <c r="E394" i="14" s="1"/>
  <c r="B394" i="14"/>
  <c r="D394" i="14"/>
  <c r="A395" i="14"/>
  <c r="D395" i="14" l="1"/>
  <c r="C395" i="14"/>
  <c r="E395" i="14" s="1"/>
  <c r="B395" i="14"/>
  <c r="A396" i="14"/>
  <c r="D396" i="14" l="1"/>
  <c r="C396" i="14"/>
  <c r="E396" i="14" s="1"/>
  <c r="B396" i="14"/>
  <c r="A397" i="14"/>
  <c r="D397" i="14" l="1"/>
  <c r="C397" i="14"/>
  <c r="E397" i="14" s="1"/>
  <c r="B397" i="14"/>
  <c r="A398" i="14"/>
  <c r="D398" i="14" l="1"/>
  <c r="C398" i="14"/>
  <c r="E398" i="14" s="1"/>
  <c r="B398" i="14"/>
  <c r="A399" i="14"/>
  <c r="B399" i="14" l="1"/>
  <c r="D399" i="14"/>
  <c r="C399" i="14"/>
  <c r="E399" i="14" s="1"/>
  <c r="A400" i="14"/>
  <c r="D400" i="14" l="1"/>
  <c r="C400" i="14"/>
  <c r="E400" i="14" s="1"/>
  <c r="B400" i="14"/>
  <c r="A401" i="14"/>
  <c r="D401" i="14" l="1"/>
  <c r="C401" i="14"/>
  <c r="E401" i="14" s="1"/>
  <c r="B401" i="14"/>
  <c r="A402" i="14"/>
  <c r="C402" i="14" l="1"/>
  <c r="E402" i="14" s="1"/>
  <c r="B402" i="14"/>
  <c r="D402" i="14"/>
  <c r="A403" i="14"/>
  <c r="D403" i="14" l="1"/>
  <c r="C403" i="14"/>
  <c r="E403" i="14" s="1"/>
  <c r="B403" i="14"/>
  <c r="A404" i="14"/>
  <c r="D404" i="14" l="1"/>
  <c r="C404" i="14"/>
  <c r="E404" i="14" s="1"/>
  <c r="B404" i="14"/>
  <c r="A405" i="14"/>
  <c r="D405" i="14" l="1"/>
  <c r="C405" i="14"/>
  <c r="E405" i="14" s="1"/>
  <c r="B405" i="14"/>
  <c r="A406" i="14"/>
  <c r="D406" i="14" l="1"/>
  <c r="C406" i="14"/>
  <c r="E406" i="14" s="1"/>
  <c r="B406" i="14"/>
  <c r="A407" i="14"/>
  <c r="B407" i="14" l="1"/>
  <c r="D407" i="14"/>
  <c r="C407" i="14"/>
  <c r="E407" i="14" s="1"/>
  <c r="A408" i="14"/>
  <c r="D408" i="14" l="1"/>
  <c r="C408" i="14"/>
  <c r="E408" i="14" s="1"/>
  <c r="B408" i="14"/>
  <c r="A409" i="14"/>
  <c r="D409" i="14" l="1"/>
  <c r="C409" i="14"/>
  <c r="E409" i="14" s="1"/>
  <c r="B409" i="14"/>
  <c r="A410" i="14"/>
  <c r="C410" i="14" l="1"/>
  <c r="E410" i="14" s="1"/>
  <c r="B410" i="14"/>
  <c r="D410" i="14"/>
  <c r="A411" i="14"/>
  <c r="D411" i="14" l="1"/>
  <c r="C411" i="14"/>
  <c r="E411" i="14" s="1"/>
  <c r="B411" i="14"/>
  <c r="A412" i="14"/>
  <c r="D412" i="14" l="1"/>
  <c r="C412" i="14"/>
  <c r="E412" i="14" s="1"/>
  <c r="B412" i="14"/>
  <c r="A413" i="14"/>
  <c r="D413" i="14" l="1"/>
  <c r="C413" i="14"/>
  <c r="E413" i="14" s="1"/>
  <c r="B413" i="14"/>
  <c r="A414" i="14"/>
  <c r="D414" i="14" l="1"/>
  <c r="C414" i="14"/>
  <c r="E414" i="14" s="1"/>
  <c r="B414" i="14"/>
  <c r="A415" i="14"/>
  <c r="B415" i="14" l="1"/>
  <c r="D415" i="14"/>
  <c r="C415" i="14"/>
  <c r="E415" i="14" s="1"/>
  <c r="A416" i="14"/>
  <c r="D416" i="14" l="1"/>
  <c r="C416" i="14"/>
  <c r="E416" i="14" s="1"/>
  <c r="B416" i="14"/>
  <c r="A417" i="14"/>
  <c r="D417" i="14" l="1"/>
  <c r="C417" i="14"/>
  <c r="E417" i="14" s="1"/>
  <c r="B417" i="14"/>
  <c r="A418" i="14"/>
  <c r="C418" i="14" l="1"/>
  <c r="E418" i="14" s="1"/>
  <c r="B418" i="14"/>
  <c r="D418" i="14"/>
  <c r="A419" i="14"/>
  <c r="D419" i="14" l="1"/>
  <c r="C419" i="14"/>
  <c r="E419" i="14" s="1"/>
  <c r="B419" i="14"/>
  <c r="A420" i="14"/>
  <c r="D420" i="14" l="1"/>
  <c r="C420" i="14"/>
  <c r="E420" i="14" s="1"/>
  <c r="B420" i="14"/>
  <c r="A421" i="14"/>
  <c r="D421" i="14" l="1"/>
  <c r="C421" i="14"/>
  <c r="E421" i="14" s="1"/>
  <c r="B421" i="14"/>
  <c r="A422" i="14"/>
  <c r="D422" i="14" l="1"/>
  <c r="C422" i="14"/>
  <c r="E422" i="14" s="1"/>
  <c r="B422" i="14"/>
  <c r="A423" i="14"/>
  <c r="B423" i="14" l="1"/>
  <c r="D423" i="14"/>
  <c r="C423" i="14"/>
  <c r="E423" i="14" s="1"/>
  <c r="A424" i="14"/>
  <c r="D424" i="14" l="1"/>
  <c r="C424" i="14"/>
  <c r="E424" i="14" s="1"/>
  <c r="B424" i="14"/>
  <c r="A425" i="14"/>
  <c r="D425" i="14" l="1"/>
  <c r="C425" i="14"/>
  <c r="E425" i="14" s="1"/>
  <c r="B425" i="14"/>
  <c r="A426" i="14"/>
  <c r="C426" i="14" l="1"/>
  <c r="E426" i="14" s="1"/>
  <c r="B426" i="14"/>
  <c r="D426" i="14"/>
  <c r="A427" i="14"/>
  <c r="D427" i="14" l="1"/>
  <c r="C427" i="14"/>
  <c r="E427" i="14" s="1"/>
  <c r="B427" i="14"/>
  <c r="A428" i="14"/>
  <c r="D428" i="14" l="1"/>
  <c r="C428" i="14"/>
  <c r="E428" i="14" s="1"/>
  <c r="B428" i="14"/>
  <c r="A429" i="14"/>
  <c r="D429" i="14" l="1"/>
  <c r="C429" i="14"/>
  <c r="E429" i="14" s="1"/>
  <c r="B429" i="14"/>
  <c r="A430" i="14"/>
  <c r="D430" i="14" l="1"/>
  <c r="C430" i="14"/>
  <c r="E430" i="14" s="1"/>
  <c r="B430" i="14"/>
  <c r="A431" i="14"/>
  <c r="B431" i="14" l="1"/>
  <c r="D431" i="14"/>
  <c r="C431" i="14"/>
  <c r="E431" i="14" s="1"/>
  <c r="A432" i="14"/>
  <c r="D432" i="14" l="1"/>
  <c r="C432" i="14"/>
  <c r="E432" i="14" s="1"/>
  <c r="B432" i="14"/>
  <c r="A433" i="14"/>
  <c r="D433" i="14" l="1"/>
  <c r="C433" i="14"/>
  <c r="E433" i="14" s="1"/>
  <c r="B433" i="14"/>
  <c r="A434" i="14"/>
  <c r="C434" i="14" l="1"/>
  <c r="E434" i="14" s="1"/>
  <c r="B434" i="14"/>
  <c r="D434" i="14"/>
  <c r="A435" i="14"/>
  <c r="D435" i="14" l="1"/>
  <c r="C435" i="14"/>
  <c r="E435" i="14" s="1"/>
  <c r="B435" i="14"/>
  <c r="A436" i="14"/>
  <c r="D436" i="14" l="1"/>
  <c r="C436" i="14"/>
  <c r="E436" i="14" s="1"/>
  <c r="B436" i="14"/>
  <c r="A437" i="14"/>
  <c r="D437" i="14" l="1"/>
  <c r="C437" i="14"/>
  <c r="E437" i="14" s="1"/>
  <c r="B437" i="14"/>
  <c r="A438" i="14"/>
  <c r="D438" i="14" l="1"/>
  <c r="C438" i="14"/>
  <c r="E438" i="14" s="1"/>
  <c r="B438" i="14"/>
  <c r="A439" i="14"/>
  <c r="B439" i="14" l="1"/>
  <c r="D439" i="14"/>
  <c r="C439" i="14"/>
  <c r="E439" i="14" s="1"/>
  <c r="A440" i="14"/>
  <c r="D440" i="14" l="1"/>
  <c r="C440" i="14"/>
  <c r="E440" i="14" s="1"/>
  <c r="B440" i="14"/>
  <c r="A441" i="14"/>
  <c r="D441" i="14" l="1"/>
  <c r="C441" i="14"/>
  <c r="E441" i="14" s="1"/>
  <c r="B441" i="14"/>
  <c r="A442" i="14"/>
  <c r="C442" i="14" l="1"/>
  <c r="E442" i="14" s="1"/>
  <c r="B442" i="14"/>
  <c r="D442" i="14"/>
  <c r="A443" i="14"/>
  <c r="D443" i="14" l="1"/>
  <c r="C443" i="14"/>
  <c r="E443" i="14" s="1"/>
  <c r="B443" i="14"/>
  <c r="A444" i="14"/>
  <c r="D444" i="14" l="1"/>
  <c r="C444" i="14"/>
  <c r="E444" i="14" s="1"/>
  <c r="B444" i="14"/>
  <c r="A445" i="14"/>
  <c r="D445" i="14" l="1"/>
  <c r="C445" i="14"/>
  <c r="E445" i="14" s="1"/>
  <c r="B445" i="14"/>
  <c r="A446" i="14"/>
  <c r="D446" i="14" l="1"/>
  <c r="C446" i="14"/>
  <c r="E446" i="14" s="1"/>
  <c r="B446" i="14"/>
  <c r="A447" i="14"/>
  <c r="B447" i="14" l="1"/>
  <c r="D447" i="14"/>
  <c r="C447" i="14"/>
  <c r="E447" i="14" s="1"/>
  <c r="A448" i="14"/>
  <c r="D448" i="14" l="1"/>
  <c r="C448" i="14"/>
  <c r="E448" i="14" s="1"/>
  <c r="B448" i="14"/>
  <c r="A449" i="14"/>
  <c r="D449" i="14" l="1"/>
  <c r="C449" i="14"/>
  <c r="E449" i="14" s="1"/>
  <c r="B449" i="14"/>
  <c r="A450" i="14"/>
  <c r="C450" i="14" l="1"/>
  <c r="E450" i="14" s="1"/>
  <c r="B450" i="14"/>
  <c r="D450" i="14"/>
  <c r="A451" i="14"/>
  <c r="D451" i="14" l="1"/>
  <c r="C451" i="14"/>
  <c r="E451" i="14" s="1"/>
  <c r="B451" i="14"/>
  <c r="A452" i="14"/>
  <c r="D452" i="14" l="1"/>
  <c r="C452" i="14"/>
  <c r="E452" i="14" s="1"/>
  <c r="B452" i="14"/>
  <c r="A453" i="14"/>
  <c r="D453" i="14" l="1"/>
  <c r="C453" i="14"/>
  <c r="E453" i="14" s="1"/>
  <c r="B453" i="14"/>
  <c r="A454" i="14"/>
  <c r="D454" i="14" l="1"/>
  <c r="C454" i="14"/>
  <c r="E454" i="14" s="1"/>
  <c r="B454" i="14"/>
  <c r="A455" i="14"/>
  <c r="B455" i="14" l="1"/>
  <c r="D455" i="14"/>
  <c r="C455" i="14"/>
  <c r="E455" i="14" s="1"/>
  <c r="A456" i="14"/>
  <c r="D456" i="14" l="1"/>
  <c r="C456" i="14"/>
  <c r="E456" i="14" s="1"/>
  <c r="B456" i="14"/>
  <c r="A457" i="14"/>
  <c r="D457" i="14" l="1"/>
  <c r="C457" i="14"/>
  <c r="E457" i="14" s="1"/>
  <c r="B457" i="14"/>
  <c r="A458" i="14"/>
  <c r="C458" i="14" l="1"/>
  <c r="E458" i="14" s="1"/>
  <c r="B458" i="14"/>
  <c r="D458" i="14"/>
  <c r="A459" i="14"/>
  <c r="D459" i="14" l="1"/>
  <c r="C459" i="14"/>
  <c r="E459" i="14" s="1"/>
  <c r="B459" i="14"/>
  <c r="A460" i="14"/>
  <c r="D460" i="14" l="1"/>
  <c r="C460" i="14"/>
  <c r="E460" i="14" s="1"/>
  <c r="B460" i="14"/>
  <c r="A461" i="14"/>
  <c r="D461" i="14" l="1"/>
  <c r="C461" i="14"/>
  <c r="E461" i="14" s="1"/>
  <c r="B461" i="14"/>
  <c r="A462" i="14"/>
  <c r="D462" i="14" l="1"/>
  <c r="C462" i="14"/>
  <c r="E462" i="14" s="1"/>
  <c r="B462" i="14"/>
  <c r="A463" i="14"/>
  <c r="B463" i="14" l="1"/>
  <c r="D463" i="14"/>
  <c r="C463" i="14"/>
  <c r="E463" i="14" s="1"/>
  <c r="A464" i="14"/>
  <c r="D464" i="14" l="1"/>
  <c r="C464" i="14"/>
  <c r="E464" i="14" s="1"/>
  <c r="B464" i="14"/>
  <c r="A465" i="14"/>
  <c r="D465" i="14" l="1"/>
  <c r="C465" i="14"/>
  <c r="E465" i="14" s="1"/>
  <c r="B465" i="14"/>
  <c r="A466" i="14"/>
  <c r="C466" i="14" l="1"/>
  <c r="E466" i="14" s="1"/>
  <c r="B466" i="14"/>
  <c r="D466" i="14"/>
  <c r="A467" i="14"/>
  <c r="E467" i="14" l="1"/>
  <c r="D467" i="14"/>
  <c r="C467" i="14"/>
  <c r="B467" i="14"/>
  <c r="A468" i="14"/>
  <c r="D468" i="14" l="1"/>
  <c r="C468" i="14"/>
  <c r="E468" i="14" s="1"/>
  <c r="B468" i="14"/>
  <c r="A469" i="14"/>
  <c r="D469" i="14" l="1"/>
  <c r="C469" i="14"/>
  <c r="E469" i="14" s="1"/>
  <c r="B469" i="14"/>
  <c r="A470" i="14"/>
  <c r="D470" i="14" l="1"/>
  <c r="C470" i="14"/>
  <c r="E470" i="14" s="1"/>
  <c r="B470" i="14"/>
  <c r="A471" i="14"/>
  <c r="B471" i="14" l="1"/>
  <c r="D471" i="14"/>
  <c r="C471" i="14"/>
  <c r="E471" i="14" s="1"/>
  <c r="A472" i="14"/>
  <c r="D472" i="14" l="1"/>
  <c r="C472" i="14"/>
  <c r="E472" i="14" s="1"/>
  <c r="B472" i="14"/>
  <c r="A473" i="14"/>
  <c r="D473" i="14" l="1"/>
  <c r="C473" i="14"/>
  <c r="E473" i="14" s="1"/>
  <c r="B473" i="14"/>
  <c r="A474" i="14"/>
  <c r="C474" i="14" l="1"/>
  <c r="E474" i="14" s="1"/>
  <c r="B474" i="14"/>
  <c r="D474" i="14"/>
  <c r="A475" i="14"/>
  <c r="D475" i="14" l="1"/>
  <c r="C475" i="14"/>
  <c r="E475" i="14" s="1"/>
  <c r="B475" i="14"/>
  <c r="A476" i="14"/>
  <c r="D476" i="14" l="1"/>
  <c r="C476" i="14"/>
  <c r="E476" i="14" s="1"/>
  <c r="B476" i="14"/>
  <c r="A477" i="14"/>
  <c r="D477" i="14" l="1"/>
  <c r="C477" i="14"/>
  <c r="E477" i="14" s="1"/>
  <c r="B477" i="14"/>
  <c r="A478" i="14"/>
  <c r="D478" i="14" l="1"/>
  <c r="C478" i="14"/>
  <c r="E478" i="14" s="1"/>
  <c r="B478" i="14"/>
  <c r="A479" i="14"/>
  <c r="B479" i="14" l="1"/>
  <c r="D479" i="14"/>
  <c r="C479" i="14"/>
  <c r="E479" i="14" s="1"/>
  <c r="A480" i="14"/>
  <c r="D480" i="14" l="1"/>
  <c r="C480" i="14"/>
  <c r="E480" i="14" s="1"/>
  <c r="B480" i="14"/>
  <c r="A481" i="14"/>
  <c r="D481" i="14" l="1"/>
  <c r="C481" i="14"/>
  <c r="E481" i="14" s="1"/>
  <c r="B481" i="14"/>
  <c r="A482" i="14"/>
  <c r="C482" i="14" l="1"/>
  <c r="E482" i="14" s="1"/>
  <c r="B482" i="14"/>
  <c r="D482" i="14"/>
  <c r="A483" i="14"/>
  <c r="D483" i="14" l="1"/>
  <c r="C483" i="14"/>
  <c r="E483" i="14" s="1"/>
  <c r="B483" i="14"/>
  <c r="A484" i="14"/>
  <c r="D484" i="14" l="1"/>
  <c r="C484" i="14"/>
  <c r="E484" i="14" s="1"/>
  <c r="B484" i="14"/>
  <c r="A485" i="14"/>
  <c r="D485" i="14" l="1"/>
  <c r="C485" i="14"/>
  <c r="E485" i="14" s="1"/>
  <c r="B485" i="14"/>
  <c r="A486" i="14"/>
  <c r="D486" i="14" l="1"/>
  <c r="C486" i="14"/>
  <c r="E486" i="14" s="1"/>
  <c r="B486" i="14"/>
  <c r="A487" i="14"/>
  <c r="B487" i="14" l="1"/>
  <c r="D487" i="14"/>
  <c r="C487" i="14"/>
  <c r="E487" i="14" s="1"/>
  <c r="A488" i="14"/>
  <c r="D488" i="14" l="1"/>
  <c r="B6" i="14" s="1"/>
  <c r="C2" i="14" s="1"/>
  <c r="C488" i="14"/>
  <c r="E488" i="14" s="1"/>
  <c r="B488" i="14"/>
  <c r="A489" i="14"/>
  <c r="D489" i="14" l="1"/>
  <c r="C489" i="14"/>
  <c r="E489" i="14" s="1"/>
  <c r="B489" i="14"/>
  <c r="A490" i="14"/>
  <c r="C490" i="14" l="1"/>
  <c r="E490" i="14" s="1"/>
  <c r="B490" i="14"/>
  <c r="D490" i="14"/>
  <c r="A491" i="14"/>
  <c r="D491" i="14" l="1"/>
  <c r="C491" i="14"/>
  <c r="E491" i="14" s="1"/>
  <c r="B491" i="14"/>
  <c r="A492" i="14"/>
  <c r="D492" i="14" l="1"/>
  <c r="C492" i="14"/>
  <c r="E492" i="14" s="1"/>
  <c r="B492" i="14"/>
  <c r="A493" i="14"/>
  <c r="D493" i="14" l="1"/>
  <c r="C493" i="14"/>
  <c r="E493" i="14" s="1"/>
  <c r="B493" i="14"/>
  <c r="A494" i="14"/>
  <c r="D494" i="14" l="1"/>
  <c r="C494" i="14"/>
  <c r="E494" i="14" s="1"/>
  <c r="B494" i="14"/>
  <c r="A495" i="14"/>
  <c r="B495" i="14" l="1"/>
  <c r="D495" i="14"/>
  <c r="C495" i="14"/>
  <c r="E495" i="14" s="1"/>
  <c r="A496" i="14"/>
  <c r="D496" i="14" l="1"/>
  <c r="C496" i="14"/>
  <c r="E496" i="14" s="1"/>
  <c r="B496" i="14"/>
  <c r="A497" i="14"/>
  <c r="D497" i="14" l="1"/>
  <c r="C497" i="14"/>
  <c r="E497" i="14" s="1"/>
  <c r="B497" i="14"/>
  <c r="A498" i="14"/>
  <c r="C498" i="14" l="1"/>
  <c r="E498" i="14" s="1"/>
  <c r="B498" i="14"/>
  <c r="D498" i="14"/>
  <c r="A499" i="14"/>
  <c r="D499" i="14" l="1"/>
  <c r="C499" i="14"/>
  <c r="E499" i="14" s="1"/>
  <c r="B499" i="14"/>
  <c r="A500" i="14"/>
  <c r="D500" i="14" l="1"/>
  <c r="C500" i="14"/>
  <c r="E500" i="14" s="1"/>
  <c r="B500" i="14"/>
  <c r="A501" i="14"/>
  <c r="D501" i="14" l="1"/>
  <c r="C501" i="14"/>
  <c r="E501" i="14" s="1"/>
  <c r="B501" i="14"/>
  <c r="A502" i="14"/>
  <c r="D502" i="14" l="1"/>
  <c r="C502" i="14"/>
  <c r="E502" i="14" s="1"/>
  <c r="B502" i="14"/>
  <c r="A503" i="14"/>
  <c r="B503" i="14" l="1"/>
  <c r="D503" i="14"/>
  <c r="C503" i="14"/>
  <c r="E503" i="14" s="1"/>
  <c r="A504" i="14"/>
  <c r="D504" i="14" l="1"/>
  <c r="C504" i="14"/>
  <c r="E504" i="14" s="1"/>
  <c r="B504" i="14"/>
  <c r="A505" i="14"/>
  <c r="D505" i="14" l="1"/>
  <c r="C505" i="14"/>
  <c r="E505" i="14" s="1"/>
  <c r="B505" i="14"/>
  <c r="A506" i="14"/>
  <c r="C506" i="14" l="1"/>
  <c r="E506" i="14" s="1"/>
  <c r="B506" i="14"/>
  <c r="D506" i="14"/>
  <c r="A507" i="14"/>
  <c r="D507" i="14" l="1"/>
  <c r="C507" i="14"/>
  <c r="E507" i="14" s="1"/>
  <c r="B507" i="14"/>
  <c r="A508" i="14"/>
  <c r="D508" i="14" l="1"/>
  <c r="C508" i="14"/>
  <c r="E508" i="14" s="1"/>
  <c r="B508" i="14"/>
  <c r="A509" i="14"/>
  <c r="D509" i="14" l="1"/>
  <c r="C509" i="14"/>
  <c r="E509" i="14" s="1"/>
  <c r="B509" i="14"/>
  <c r="A510" i="14"/>
  <c r="D510" i="14" l="1"/>
  <c r="C510" i="14"/>
  <c r="E510" i="14" s="1"/>
  <c r="B510" i="14"/>
  <c r="A511" i="14"/>
  <c r="B511" i="14" l="1"/>
  <c r="D511" i="14"/>
  <c r="C511" i="14"/>
  <c r="E511" i="14" s="1"/>
  <c r="A512" i="14"/>
  <c r="D512" i="14" l="1"/>
  <c r="C512" i="14"/>
  <c r="E512" i="14" s="1"/>
  <c r="B512" i="14"/>
  <c r="A513" i="14"/>
  <c r="D513" i="14" l="1"/>
  <c r="C513" i="14"/>
  <c r="E513" i="14" s="1"/>
  <c r="B513" i="14"/>
  <c r="A514" i="14"/>
  <c r="C514" i="14" l="1"/>
  <c r="E514" i="14" s="1"/>
  <c r="B514" i="14"/>
  <c r="D514" i="14"/>
  <c r="A515" i="14"/>
  <c r="D515" i="14" l="1"/>
  <c r="C515" i="14"/>
  <c r="E515" i="14" s="1"/>
  <c r="B515" i="14"/>
  <c r="A516" i="14"/>
  <c r="D516" i="14" l="1"/>
  <c r="C516" i="14"/>
  <c r="E516" i="14" s="1"/>
  <c r="B516" i="14"/>
  <c r="A517" i="14"/>
  <c r="D517" i="14" l="1"/>
  <c r="C517" i="14"/>
  <c r="E517" i="14" s="1"/>
  <c r="B517" i="14"/>
  <c r="A518" i="14"/>
  <c r="D518" i="14" l="1"/>
  <c r="C518" i="14"/>
  <c r="E518" i="14" s="1"/>
  <c r="B518" i="14"/>
  <c r="A519" i="14"/>
  <c r="B519" i="14" l="1"/>
  <c r="D519" i="14"/>
  <c r="C519" i="14"/>
  <c r="E519" i="14" s="1"/>
  <c r="A520" i="14"/>
  <c r="D520" i="14" l="1"/>
  <c r="C520" i="14"/>
  <c r="E520" i="14" s="1"/>
  <c r="B520" i="14"/>
  <c r="A521" i="14"/>
  <c r="D521" i="14" l="1"/>
  <c r="C521" i="14"/>
  <c r="E521" i="14" s="1"/>
  <c r="B521" i="14"/>
  <c r="A522" i="14"/>
  <c r="C522" i="14" l="1"/>
  <c r="E522" i="14" s="1"/>
  <c r="B522" i="14"/>
  <c r="D522" i="14"/>
  <c r="A523" i="14"/>
  <c r="D523" i="14" l="1"/>
  <c r="C523" i="14"/>
  <c r="E523" i="14" s="1"/>
  <c r="B523" i="14"/>
  <c r="A524" i="14"/>
  <c r="D524" i="14" l="1"/>
  <c r="C524" i="14"/>
  <c r="E524" i="14" s="1"/>
  <c r="B524" i="14"/>
  <c r="A525" i="14"/>
  <c r="D525" i="14" l="1"/>
  <c r="C525" i="14"/>
  <c r="E525" i="14" s="1"/>
  <c r="B525" i="14"/>
  <c r="A526" i="14"/>
  <c r="D526" i="14" l="1"/>
  <c r="C526" i="14"/>
  <c r="E526" i="14" s="1"/>
  <c r="B526" i="14"/>
  <c r="A527" i="14"/>
  <c r="B527" i="14" l="1"/>
  <c r="D527" i="14"/>
  <c r="C527" i="14"/>
  <c r="E527" i="14" s="1"/>
  <c r="A528" i="14"/>
  <c r="D528" i="14" l="1"/>
  <c r="C528" i="14"/>
  <c r="E528" i="14" s="1"/>
  <c r="B528" i="14"/>
  <c r="A529" i="14"/>
  <c r="D529" i="14" l="1"/>
  <c r="C529" i="14"/>
  <c r="E529" i="14" s="1"/>
  <c r="B529" i="14"/>
  <c r="A530" i="14"/>
  <c r="C530" i="14" l="1"/>
  <c r="E530" i="14" s="1"/>
  <c r="B530" i="14"/>
  <c r="D530" i="14"/>
  <c r="A531" i="14"/>
  <c r="D531" i="14" l="1"/>
  <c r="C531" i="14"/>
  <c r="E531" i="14" s="1"/>
  <c r="B531" i="14"/>
  <c r="A532" i="14"/>
  <c r="D532" i="14" l="1"/>
  <c r="C532" i="14"/>
  <c r="E532" i="14" s="1"/>
  <c r="B532" i="14"/>
  <c r="A533" i="14"/>
  <c r="D533" i="14" l="1"/>
  <c r="C533" i="14"/>
  <c r="E533" i="14" s="1"/>
  <c r="B533" i="14"/>
  <c r="A534" i="14"/>
  <c r="D534" i="14" l="1"/>
  <c r="C534" i="14"/>
  <c r="E534" i="14" s="1"/>
  <c r="B534" i="14"/>
  <c r="A535" i="14"/>
  <c r="B535" i="14" l="1"/>
  <c r="D535" i="14"/>
  <c r="C535" i="14"/>
  <c r="E535" i="14" s="1"/>
  <c r="A536" i="14"/>
  <c r="D536" i="14" l="1"/>
  <c r="C536" i="14"/>
  <c r="E536" i="14" s="1"/>
  <c r="B536" i="14"/>
  <c r="A537" i="14"/>
  <c r="D537" i="14" l="1"/>
  <c r="C537" i="14"/>
  <c r="E537" i="14" s="1"/>
  <c r="B537" i="14"/>
  <c r="A538" i="14"/>
  <c r="C538" i="14" l="1"/>
  <c r="E538" i="14" s="1"/>
  <c r="B538" i="14"/>
  <c r="D538" i="14"/>
  <c r="A539" i="14"/>
  <c r="D539" i="14" l="1"/>
  <c r="C539" i="14"/>
  <c r="E539" i="14" s="1"/>
  <c r="B539" i="14"/>
  <c r="A540" i="14"/>
  <c r="D540" i="14" l="1"/>
  <c r="C540" i="14"/>
  <c r="E540" i="14" s="1"/>
  <c r="B540" i="14"/>
  <c r="A541" i="14"/>
  <c r="D541" i="14" l="1"/>
  <c r="C541" i="14"/>
  <c r="E541" i="14" s="1"/>
  <c r="B541" i="14"/>
  <c r="A542" i="14"/>
  <c r="D542" i="14" l="1"/>
  <c r="C542" i="14"/>
  <c r="E542" i="14" s="1"/>
  <c r="B542" i="14"/>
  <c r="A543" i="14"/>
  <c r="B543" i="14" l="1"/>
  <c r="D543" i="14"/>
  <c r="C543" i="14"/>
  <c r="E543" i="14" s="1"/>
  <c r="A544" i="14"/>
  <c r="D544" i="14" l="1"/>
  <c r="C544" i="14"/>
  <c r="E544" i="14" s="1"/>
  <c r="B544" i="14"/>
  <c r="A545" i="14"/>
  <c r="D545" i="14" l="1"/>
  <c r="C545" i="14"/>
  <c r="E545" i="14" s="1"/>
  <c r="B545" i="14"/>
  <c r="A546" i="14"/>
  <c r="C546" i="14" l="1"/>
  <c r="E546" i="14" s="1"/>
  <c r="B546" i="14"/>
  <c r="D546" i="14"/>
  <c r="A547" i="14"/>
  <c r="D547" i="14" l="1"/>
  <c r="C547" i="14"/>
  <c r="E547" i="14" s="1"/>
  <c r="B547" i="14"/>
  <c r="A548" i="14"/>
  <c r="D548" i="14" l="1"/>
  <c r="C548" i="14"/>
  <c r="E548" i="14" s="1"/>
  <c r="B548" i="14"/>
  <c r="A549" i="14"/>
  <c r="D549" i="14" l="1"/>
  <c r="C549" i="14"/>
  <c r="E549" i="14" s="1"/>
  <c r="B549" i="14"/>
  <c r="A550" i="14"/>
  <c r="D550" i="14" l="1"/>
  <c r="C550" i="14"/>
  <c r="E550" i="14" s="1"/>
  <c r="B550" i="14"/>
  <c r="A551" i="14"/>
  <c r="B551" i="14" l="1"/>
  <c r="D551" i="14"/>
  <c r="C551" i="14"/>
  <c r="E551" i="14" s="1"/>
  <c r="A552" i="14"/>
  <c r="D552" i="14" l="1"/>
  <c r="C552" i="14"/>
  <c r="E552" i="14" s="1"/>
  <c r="B552" i="14"/>
  <c r="A553" i="14"/>
  <c r="D553" i="14" l="1"/>
  <c r="C553" i="14"/>
  <c r="E553" i="14" s="1"/>
  <c r="B553" i="14"/>
  <c r="A554" i="14"/>
  <c r="C554" i="14" l="1"/>
  <c r="E554" i="14" s="1"/>
  <c r="B554" i="14"/>
  <c r="D554" i="14"/>
  <c r="A555" i="14"/>
  <c r="D555" i="14" l="1"/>
  <c r="C555" i="14"/>
  <c r="E555" i="14" s="1"/>
  <c r="B555" i="14"/>
  <c r="A556" i="14"/>
  <c r="D556" i="14" l="1"/>
  <c r="C556" i="14"/>
  <c r="E556" i="14" s="1"/>
  <c r="B556" i="14"/>
  <c r="A557" i="14"/>
  <c r="D557" i="14" l="1"/>
  <c r="C557" i="14"/>
  <c r="E557" i="14" s="1"/>
  <c r="B557" i="14"/>
  <c r="A558" i="14"/>
  <c r="D558" i="14" l="1"/>
  <c r="C558" i="14"/>
  <c r="E558" i="14" s="1"/>
  <c r="B558" i="14"/>
  <c r="A559" i="14"/>
  <c r="B559" i="14" l="1"/>
  <c r="D559" i="14"/>
  <c r="C559" i="14"/>
  <c r="E559" i="14" s="1"/>
  <c r="A560" i="14"/>
  <c r="D560" i="14" l="1"/>
  <c r="C560" i="14"/>
  <c r="E560" i="14" s="1"/>
  <c r="B560" i="14"/>
  <c r="A561" i="14"/>
  <c r="D561" i="14" l="1"/>
  <c r="C561" i="14"/>
  <c r="E561" i="14" s="1"/>
  <c r="B561" i="14"/>
  <c r="A562" i="14"/>
  <c r="C562" i="14" l="1"/>
  <c r="E562" i="14" s="1"/>
  <c r="B562" i="14"/>
  <c r="D562" i="14"/>
  <c r="A563" i="14"/>
  <c r="D563" i="14" l="1"/>
  <c r="C563" i="14"/>
  <c r="E563" i="14" s="1"/>
  <c r="B563" i="14"/>
  <c r="A564" i="14"/>
  <c r="D564" i="14" l="1"/>
  <c r="C564" i="14"/>
  <c r="E564" i="14" s="1"/>
  <c r="B564" i="14"/>
  <c r="A565" i="14"/>
  <c r="D565" i="14" l="1"/>
  <c r="C565" i="14"/>
  <c r="E565" i="14" s="1"/>
  <c r="B565" i="14"/>
  <c r="A566" i="14"/>
  <c r="D566" i="14" l="1"/>
  <c r="C566" i="14"/>
  <c r="E566" i="14" s="1"/>
  <c r="B566" i="14"/>
  <c r="A567" i="14"/>
  <c r="B567" i="14" l="1"/>
  <c r="D567" i="14"/>
  <c r="C567" i="14"/>
  <c r="E567" i="14" s="1"/>
  <c r="A568" i="14"/>
  <c r="D568" i="14" l="1"/>
  <c r="C568" i="14"/>
  <c r="E568" i="14" s="1"/>
  <c r="B568" i="14"/>
  <c r="A569" i="14"/>
  <c r="D569" i="14" l="1"/>
  <c r="C569" i="14"/>
  <c r="E569" i="14" s="1"/>
  <c r="B569" i="14"/>
  <c r="A570" i="14"/>
  <c r="C570" i="14" l="1"/>
  <c r="E570" i="14" s="1"/>
  <c r="B570" i="14"/>
  <c r="D570" i="14"/>
  <c r="A571" i="14"/>
  <c r="D571" i="14" l="1"/>
  <c r="C571" i="14"/>
  <c r="E571" i="14" s="1"/>
  <c r="B571" i="14"/>
  <c r="A572" i="14"/>
  <c r="D572" i="14" l="1"/>
  <c r="C572" i="14"/>
  <c r="E572" i="14" s="1"/>
  <c r="B572" i="14"/>
  <c r="A573" i="14"/>
  <c r="D573" i="14" l="1"/>
  <c r="C573" i="14"/>
  <c r="E573" i="14" s="1"/>
  <c r="B573" i="14"/>
  <c r="A574" i="14"/>
  <c r="D574" i="14" l="1"/>
  <c r="C574" i="14"/>
  <c r="E574" i="14" s="1"/>
  <c r="B574" i="14"/>
  <c r="A575" i="14"/>
  <c r="B575" i="14" l="1"/>
  <c r="D575" i="14"/>
  <c r="C575" i="14"/>
  <c r="E575" i="14" s="1"/>
  <c r="A576" i="14"/>
  <c r="D576" i="14" l="1"/>
  <c r="C576" i="14"/>
  <c r="E576" i="14" s="1"/>
  <c r="B576" i="14"/>
  <c r="A577" i="14"/>
  <c r="D577" i="14" l="1"/>
  <c r="C577" i="14"/>
  <c r="E577" i="14" s="1"/>
  <c r="B577" i="14"/>
  <c r="A578" i="14"/>
  <c r="C578" i="14" l="1"/>
  <c r="E578" i="14" s="1"/>
  <c r="B578" i="14"/>
  <c r="D578" i="14"/>
  <c r="A579" i="14"/>
  <c r="D579" i="14" l="1"/>
  <c r="C579" i="14"/>
  <c r="E579" i="14" s="1"/>
  <c r="B579" i="14"/>
  <c r="A580" i="14"/>
  <c r="D580" i="14" l="1"/>
  <c r="C580" i="14"/>
  <c r="E580" i="14" s="1"/>
  <c r="B580" i="14"/>
  <c r="A581" i="14"/>
  <c r="D581" i="14" l="1"/>
  <c r="C581" i="14"/>
  <c r="E581" i="14" s="1"/>
  <c r="B581" i="14"/>
  <c r="A582" i="14"/>
  <c r="D582" i="14" l="1"/>
  <c r="C582" i="14"/>
  <c r="E582" i="14" s="1"/>
  <c r="B582" i="14"/>
  <c r="A583" i="14"/>
  <c r="B583" i="14" l="1"/>
  <c r="D583" i="14"/>
  <c r="C583" i="14"/>
  <c r="E583" i="14" s="1"/>
  <c r="A584" i="14"/>
  <c r="D584" i="14" l="1"/>
  <c r="C584" i="14"/>
  <c r="E584" i="14" s="1"/>
  <c r="B584" i="14"/>
  <c r="A585" i="14"/>
  <c r="D585" i="14" l="1"/>
  <c r="C585" i="14"/>
  <c r="E585" i="14" s="1"/>
  <c r="B585" i="14"/>
  <c r="A586" i="14"/>
  <c r="C586" i="14" l="1"/>
  <c r="E586" i="14" s="1"/>
  <c r="B586" i="14"/>
  <c r="D586" i="14"/>
  <c r="A587" i="14"/>
  <c r="D587" i="14" l="1"/>
  <c r="C587" i="14"/>
  <c r="E587" i="14" s="1"/>
  <c r="B587" i="14"/>
  <c r="A588" i="14"/>
  <c r="D588" i="14" l="1"/>
  <c r="C588" i="14"/>
  <c r="E588" i="14" s="1"/>
  <c r="B588" i="14"/>
  <c r="A589" i="14"/>
  <c r="D589" i="14" l="1"/>
  <c r="C589" i="14"/>
  <c r="E589" i="14" s="1"/>
  <c r="B589" i="14"/>
  <c r="A590" i="14"/>
  <c r="D590" i="14" l="1"/>
  <c r="C590" i="14"/>
  <c r="E590" i="14" s="1"/>
  <c r="B590" i="14"/>
  <c r="A591" i="14"/>
  <c r="B591" i="14" l="1"/>
  <c r="D591" i="14"/>
  <c r="C591" i="14"/>
  <c r="E591" i="14" s="1"/>
  <c r="A592" i="14"/>
  <c r="D592" i="14" l="1"/>
  <c r="C592" i="14"/>
  <c r="E592" i="14" s="1"/>
  <c r="B592" i="14"/>
  <c r="A593" i="14"/>
  <c r="D593" i="14" l="1"/>
  <c r="C593" i="14"/>
  <c r="E593" i="14" s="1"/>
  <c r="B593" i="14"/>
  <c r="A594" i="14"/>
  <c r="C594" i="14" l="1"/>
  <c r="E594" i="14" s="1"/>
  <c r="B594" i="14"/>
  <c r="D594" i="14"/>
  <c r="A595" i="14"/>
  <c r="D595" i="14" l="1"/>
  <c r="C595" i="14"/>
  <c r="E595" i="14" s="1"/>
  <c r="B595" i="14"/>
  <c r="A596" i="14"/>
  <c r="D596" i="14" l="1"/>
  <c r="C596" i="14"/>
  <c r="E596" i="14" s="1"/>
  <c r="B596" i="14"/>
  <c r="A597" i="14"/>
  <c r="D597" i="14" l="1"/>
  <c r="C597" i="14"/>
  <c r="E597" i="14" s="1"/>
  <c r="B597" i="14"/>
  <c r="A598" i="14"/>
  <c r="D598" i="14" l="1"/>
  <c r="C598" i="14"/>
  <c r="E598" i="14" s="1"/>
  <c r="B598" i="14"/>
  <c r="A599" i="14"/>
  <c r="B599" i="14" l="1"/>
  <c r="D599" i="14"/>
  <c r="C599" i="14"/>
  <c r="E599" i="14" s="1"/>
  <c r="A600" i="14"/>
  <c r="D600" i="14" l="1"/>
  <c r="C600" i="14"/>
  <c r="E600" i="14" s="1"/>
  <c r="B600" i="14"/>
  <c r="A601" i="14"/>
  <c r="D601" i="14" l="1"/>
  <c r="C601" i="14"/>
  <c r="E601" i="14" s="1"/>
  <c r="B601" i="14"/>
  <c r="A602" i="14"/>
  <c r="C602" i="14" l="1"/>
  <c r="E602" i="14" s="1"/>
  <c r="B602" i="14"/>
  <c r="D602" i="14"/>
  <c r="A603" i="14"/>
  <c r="D603" i="14" l="1"/>
  <c r="C603" i="14"/>
  <c r="E603" i="14" s="1"/>
  <c r="B603" i="14"/>
  <c r="A604" i="14"/>
  <c r="D604" i="14" l="1"/>
  <c r="C604" i="14"/>
  <c r="E604" i="14" s="1"/>
  <c r="B604" i="14"/>
  <c r="A605" i="14"/>
  <c r="D605" i="14" l="1"/>
  <c r="C605" i="14"/>
  <c r="E605" i="14" s="1"/>
  <c r="B605" i="14"/>
  <c r="A606" i="14"/>
  <c r="D606" i="14" l="1"/>
  <c r="C606" i="14"/>
  <c r="E606" i="14" s="1"/>
  <c r="B606" i="14"/>
  <c r="A607" i="14"/>
  <c r="B607" i="14" l="1"/>
  <c r="D607" i="14"/>
  <c r="C607" i="14"/>
  <c r="E607" i="14" s="1"/>
  <c r="A608" i="14"/>
  <c r="D608" i="14" l="1"/>
  <c r="C608" i="14"/>
  <c r="E608" i="14" s="1"/>
  <c r="B608" i="14"/>
  <c r="A609" i="14"/>
  <c r="D609" i="14" l="1"/>
  <c r="C609" i="14"/>
  <c r="E609" i="14" s="1"/>
  <c r="B609" i="14"/>
  <c r="A610" i="14"/>
  <c r="C610" i="14" l="1"/>
  <c r="E610" i="14" s="1"/>
  <c r="B610" i="14"/>
  <c r="D610" i="14"/>
  <c r="A611" i="14"/>
  <c r="D611" i="14" l="1"/>
  <c r="C611" i="14"/>
  <c r="E611" i="14" s="1"/>
  <c r="B611" i="14"/>
  <c r="A612" i="14"/>
  <c r="D612" i="14" l="1"/>
  <c r="C612" i="14"/>
  <c r="E612" i="14" s="1"/>
  <c r="B612" i="14"/>
  <c r="A613" i="14"/>
  <c r="D613" i="14" l="1"/>
  <c r="C613" i="14"/>
  <c r="E613" i="14" s="1"/>
  <c r="B613" i="14"/>
  <c r="A614" i="14"/>
  <c r="D614" i="14" l="1"/>
  <c r="C614" i="14"/>
  <c r="E614" i="14" s="1"/>
  <c r="B614" i="14"/>
  <c r="A615" i="14"/>
  <c r="B615" i="14" l="1"/>
  <c r="D615" i="14"/>
  <c r="C615" i="14"/>
  <c r="E615" i="14" s="1"/>
  <c r="A616" i="14"/>
  <c r="D616" i="14" l="1"/>
  <c r="C616" i="14"/>
  <c r="E616" i="14" s="1"/>
  <c r="B616" i="14"/>
  <c r="A617" i="14"/>
  <c r="D617" i="14" l="1"/>
  <c r="C617" i="14"/>
  <c r="E617" i="14" s="1"/>
  <c r="B617" i="14"/>
  <c r="A618" i="14"/>
  <c r="C618" i="14" l="1"/>
  <c r="E618" i="14" s="1"/>
  <c r="B618" i="14"/>
  <c r="D618" i="14"/>
  <c r="A619" i="14"/>
  <c r="D619" i="14" l="1"/>
  <c r="C619" i="14"/>
  <c r="E619" i="14" s="1"/>
  <c r="B619" i="14"/>
  <c r="A620" i="14"/>
  <c r="D620" i="14" l="1"/>
  <c r="C620" i="14"/>
  <c r="E620" i="14" s="1"/>
  <c r="B620" i="14"/>
  <c r="A621" i="14"/>
  <c r="D621" i="14" l="1"/>
  <c r="C621" i="14"/>
  <c r="E621" i="14" s="1"/>
  <c r="B621" i="14"/>
  <c r="A622" i="14"/>
  <c r="D622" i="14" l="1"/>
  <c r="C622" i="14"/>
  <c r="E622" i="14" s="1"/>
  <c r="B622" i="14"/>
  <c r="A623" i="14"/>
  <c r="B623" i="14" l="1"/>
  <c r="D623" i="14"/>
  <c r="C623" i="14"/>
  <c r="E623" i="14" s="1"/>
  <c r="A624" i="14"/>
  <c r="D624" i="14" l="1"/>
  <c r="C624" i="14"/>
  <c r="E624" i="14" s="1"/>
  <c r="B624" i="14"/>
  <c r="A625" i="14"/>
  <c r="D625" i="14" l="1"/>
  <c r="C625" i="14"/>
  <c r="E625" i="14" s="1"/>
  <c r="B625" i="14"/>
  <c r="A626" i="14"/>
  <c r="C626" i="14" l="1"/>
  <c r="E626" i="14" s="1"/>
  <c r="B626" i="14"/>
  <c r="D626" i="14"/>
  <c r="A627" i="14"/>
  <c r="D627" i="14" l="1"/>
  <c r="C627" i="14"/>
  <c r="E627" i="14" s="1"/>
  <c r="B627" i="14"/>
  <c r="A628" i="14"/>
  <c r="D628" i="14" l="1"/>
  <c r="C628" i="14"/>
  <c r="E628" i="14" s="1"/>
  <c r="B628" i="14"/>
  <c r="A629" i="14"/>
  <c r="D629" i="14" l="1"/>
  <c r="C629" i="14"/>
  <c r="E629" i="14" s="1"/>
  <c r="B629" i="14"/>
  <c r="A630" i="14"/>
  <c r="D630" i="14" l="1"/>
  <c r="C630" i="14"/>
  <c r="E630" i="14" s="1"/>
  <c r="B630" i="14"/>
  <c r="A631" i="14"/>
  <c r="B631" i="14" l="1"/>
  <c r="D631" i="14"/>
  <c r="C631" i="14"/>
  <c r="E631" i="14" s="1"/>
  <c r="A632" i="14"/>
  <c r="D632" i="14" l="1"/>
  <c r="C632" i="14"/>
  <c r="E632" i="14" s="1"/>
  <c r="B632" i="14"/>
  <c r="A633" i="14"/>
  <c r="D633" i="14" l="1"/>
  <c r="C633" i="14"/>
  <c r="E633" i="14" s="1"/>
  <c r="B633" i="14"/>
  <c r="A634" i="14"/>
  <c r="C634" i="14" l="1"/>
  <c r="E634" i="14" s="1"/>
  <c r="B634" i="14"/>
  <c r="D634" i="14"/>
  <c r="A635" i="14"/>
  <c r="D635" i="14" l="1"/>
  <c r="C635" i="14"/>
  <c r="E635" i="14" s="1"/>
  <c r="B635" i="14"/>
  <c r="A636" i="14"/>
  <c r="D636" i="14" l="1"/>
  <c r="C636" i="14"/>
  <c r="E636" i="14" s="1"/>
  <c r="B636" i="14"/>
  <c r="A637" i="14"/>
  <c r="D637" i="14" l="1"/>
  <c r="C637" i="14"/>
  <c r="E637" i="14" s="1"/>
  <c r="B637" i="14"/>
  <c r="A638" i="14"/>
  <c r="D638" i="14" l="1"/>
  <c r="C638" i="14"/>
  <c r="E638" i="14" s="1"/>
  <c r="B638" i="14"/>
  <c r="A639" i="14"/>
  <c r="B639" i="14" l="1"/>
  <c r="D639" i="14"/>
  <c r="C639" i="14"/>
  <c r="E639" i="14" s="1"/>
  <c r="A640" i="14"/>
  <c r="D640" i="14" l="1"/>
  <c r="C640" i="14"/>
  <c r="E640" i="14" s="1"/>
  <c r="B640" i="14"/>
  <c r="A641" i="14"/>
  <c r="D641" i="14" l="1"/>
  <c r="C641" i="14"/>
  <c r="E641" i="14" s="1"/>
  <c r="B641" i="14"/>
  <c r="A642" i="14"/>
  <c r="C642" i="14" l="1"/>
  <c r="E642" i="14" s="1"/>
  <c r="B642" i="14"/>
  <c r="D642" i="14"/>
  <c r="A643" i="14"/>
  <c r="D643" i="14" l="1"/>
  <c r="C643" i="14"/>
  <c r="E643" i="14" s="1"/>
  <c r="B643" i="14"/>
  <c r="A644" i="14"/>
  <c r="D644" i="14" l="1"/>
  <c r="C644" i="14"/>
  <c r="E644" i="14" s="1"/>
  <c r="B644" i="14"/>
  <c r="A645" i="14"/>
  <c r="D645" i="14" l="1"/>
  <c r="C645" i="14"/>
  <c r="E645" i="14" s="1"/>
  <c r="B645" i="14"/>
  <c r="A646" i="14"/>
  <c r="D646" i="14" l="1"/>
  <c r="C646" i="14"/>
  <c r="E646" i="14" s="1"/>
  <c r="B646" i="14"/>
  <c r="A647" i="14"/>
  <c r="B647" i="14" l="1"/>
  <c r="D647" i="14"/>
  <c r="C647" i="14"/>
  <c r="E647" i="14" s="1"/>
  <c r="A648" i="14"/>
  <c r="D648" i="14" l="1"/>
  <c r="C648" i="14"/>
  <c r="E648" i="14" s="1"/>
  <c r="B648" i="14"/>
  <c r="A649" i="14"/>
  <c r="D649" i="14" l="1"/>
  <c r="C649" i="14"/>
  <c r="E649" i="14" s="1"/>
  <c r="B649" i="14"/>
  <c r="A650" i="14"/>
  <c r="C650" i="14" l="1"/>
  <c r="E650" i="14" s="1"/>
  <c r="B650" i="14"/>
  <c r="D650" i="14"/>
  <c r="A651" i="14"/>
  <c r="D651" i="14" l="1"/>
  <c r="C651" i="14"/>
  <c r="E651" i="14" s="1"/>
  <c r="B651" i="14"/>
  <c r="A652" i="14"/>
  <c r="D652" i="14" l="1"/>
  <c r="C652" i="14"/>
  <c r="E652" i="14" s="1"/>
  <c r="B652" i="14"/>
  <c r="A653" i="14"/>
  <c r="D653" i="14" l="1"/>
  <c r="C653" i="14"/>
  <c r="E653" i="14" s="1"/>
  <c r="B653" i="14"/>
  <c r="A654" i="14"/>
  <c r="D654" i="14" l="1"/>
  <c r="C654" i="14"/>
  <c r="E654" i="14" s="1"/>
  <c r="B654" i="14"/>
  <c r="A655" i="14"/>
  <c r="B655" i="14" l="1"/>
  <c r="D655" i="14"/>
  <c r="C655" i="14"/>
  <c r="E655" i="14" s="1"/>
  <c r="A656" i="14"/>
  <c r="D656" i="14" l="1"/>
  <c r="C656" i="14"/>
  <c r="E656" i="14" s="1"/>
  <c r="B656" i="14"/>
  <c r="A657" i="14"/>
  <c r="D657" i="14" l="1"/>
  <c r="C657" i="14"/>
  <c r="E657" i="14" s="1"/>
  <c r="B657" i="14"/>
  <c r="A658" i="14"/>
  <c r="C658" i="14" l="1"/>
  <c r="E658" i="14" s="1"/>
  <c r="B658" i="14"/>
  <c r="D658" i="14"/>
  <c r="A659" i="14"/>
  <c r="D659" i="14" l="1"/>
  <c r="C659" i="14"/>
  <c r="E659" i="14" s="1"/>
  <c r="B659" i="14"/>
  <c r="A660" i="14"/>
  <c r="D660" i="14" l="1"/>
  <c r="C660" i="14"/>
  <c r="E660" i="14" s="1"/>
  <c r="B660" i="14"/>
  <c r="A661" i="14"/>
  <c r="D661" i="14" l="1"/>
  <c r="C661" i="14"/>
  <c r="E661" i="14" s="1"/>
  <c r="B661" i="14"/>
  <c r="A662" i="14"/>
  <c r="D662" i="14" l="1"/>
  <c r="C662" i="14"/>
  <c r="E662" i="14" s="1"/>
  <c r="B662" i="14"/>
  <c r="A663" i="14"/>
  <c r="B663" i="14" l="1"/>
  <c r="D663" i="14"/>
  <c r="C663" i="14"/>
  <c r="E663" i="14" s="1"/>
  <c r="A664" i="14"/>
  <c r="D664" i="14" l="1"/>
  <c r="C664" i="14"/>
  <c r="E664" i="14" s="1"/>
  <c r="B664" i="14"/>
  <c r="A665" i="14"/>
  <c r="D665" i="14" l="1"/>
  <c r="C665" i="14"/>
  <c r="E665" i="14" s="1"/>
  <c r="B665" i="14"/>
  <c r="A666" i="14"/>
  <c r="C666" i="14" l="1"/>
  <c r="E666" i="14" s="1"/>
  <c r="B666" i="14"/>
  <c r="D666" i="14"/>
  <c r="A667" i="14"/>
  <c r="D667" i="14" l="1"/>
  <c r="C667" i="14"/>
  <c r="E667" i="14" s="1"/>
  <c r="B667" i="14"/>
  <c r="A668" i="14"/>
  <c r="D668" i="14" l="1"/>
  <c r="C668" i="14"/>
  <c r="E668" i="14" s="1"/>
  <c r="B668" i="14"/>
  <c r="A669" i="14"/>
  <c r="D669" i="14" l="1"/>
  <c r="C669" i="14"/>
  <c r="E669" i="14" s="1"/>
  <c r="B669" i="14"/>
  <c r="A670" i="14"/>
  <c r="D670" i="14" l="1"/>
  <c r="C670" i="14"/>
  <c r="E670" i="14" s="1"/>
  <c r="B670" i="14"/>
  <c r="A671" i="14"/>
  <c r="B671" i="14" l="1"/>
  <c r="D671" i="14"/>
  <c r="C671" i="14"/>
  <c r="E671" i="14" s="1"/>
  <c r="A672" i="14"/>
  <c r="D672" i="14" l="1"/>
  <c r="C672" i="14"/>
  <c r="E672" i="14" s="1"/>
  <c r="B672" i="14"/>
  <c r="A673" i="14"/>
  <c r="D673" i="14" l="1"/>
  <c r="C673" i="14"/>
  <c r="E673" i="14" s="1"/>
  <c r="B673" i="14"/>
  <c r="A674" i="14"/>
  <c r="C674" i="14" l="1"/>
  <c r="E674" i="14" s="1"/>
  <c r="B674" i="14"/>
  <c r="D674" i="14"/>
  <c r="A675" i="14"/>
  <c r="D675" i="14" l="1"/>
  <c r="C675" i="14"/>
  <c r="E675" i="14" s="1"/>
  <c r="B675" i="14"/>
  <c r="A676" i="14"/>
  <c r="D676" i="14" l="1"/>
  <c r="C676" i="14"/>
  <c r="E676" i="14" s="1"/>
  <c r="B676" i="14"/>
  <c r="A677" i="14"/>
  <c r="D677" i="14" l="1"/>
  <c r="C677" i="14"/>
  <c r="E677" i="14" s="1"/>
  <c r="B677" i="14"/>
  <c r="A678" i="14"/>
  <c r="D678" i="14" l="1"/>
  <c r="C678" i="14"/>
  <c r="E678" i="14" s="1"/>
  <c r="B678" i="14"/>
  <c r="A679" i="14"/>
  <c r="E679" i="14" l="1"/>
  <c r="B679" i="14"/>
  <c r="D679" i="14"/>
  <c r="C679" i="14"/>
  <c r="A680" i="14"/>
  <c r="D680" i="14" l="1"/>
  <c r="C680" i="14"/>
  <c r="B680" i="14"/>
  <c r="A681" i="14"/>
  <c r="E680" i="14"/>
  <c r="D681" i="14" l="1"/>
  <c r="C681" i="14"/>
  <c r="E681" i="14" s="1"/>
  <c r="B681" i="14"/>
  <c r="A682" i="14"/>
  <c r="C682" i="14" l="1"/>
  <c r="E682" i="14" s="1"/>
  <c r="B682" i="14"/>
  <c r="D682" i="14"/>
  <c r="A683" i="14"/>
  <c r="D683" i="14" l="1"/>
  <c r="C683" i="14"/>
  <c r="E683" i="14" s="1"/>
  <c r="B683" i="14"/>
  <c r="A684" i="14"/>
  <c r="D684" i="14" l="1"/>
  <c r="C684" i="14"/>
  <c r="E684" i="14" s="1"/>
  <c r="B684" i="14"/>
  <c r="A685" i="14"/>
  <c r="D685" i="14" l="1"/>
  <c r="C685" i="14"/>
  <c r="E685" i="14" s="1"/>
  <c r="B685" i="14"/>
  <c r="A686" i="14"/>
  <c r="D686" i="14" l="1"/>
  <c r="C686" i="14"/>
  <c r="E686" i="14" s="1"/>
  <c r="B686" i="14"/>
  <c r="A687" i="14"/>
  <c r="B687" i="14" l="1"/>
  <c r="D687" i="14"/>
  <c r="C687" i="14"/>
  <c r="E687" i="14" s="1"/>
  <c r="A688" i="14"/>
  <c r="D688" i="14" l="1"/>
  <c r="C688" i="14"/>
  <c r="E688" i="14" s="1"/>
  <c r="B688" i="14"/>
  <c r="A689" i="14"/>
  <c r="D689" i="14" l="1"/>
  <c r="C689" i="14"/>
  <c r="E689" i="14" s="1"/>
  <c r="B689" i="14"/>
  <c r="A690" i="14"/>
  <c r="C690" i="14" l="1"/>
  <c r="E690" i="14" s="1"/>
  <c r="B690" i="14"/>
  <c r="D690" i="14"/>
  <c r="A691" i="14"/>
  <c r="D691" i="14" l="1"/>
  <c r="C691" i="14"/>
  <c r="E691" i="14" s="1"/>
  <c r="B691" i="14"/>
  <c r="A692" i="14"/>
  <c r="D692" i="14" l="1"/>
  <c r="C692" i="14"/>
  <c r="E692" i="14" s="1"/>
  <c r="B692" i="14"/>
  <c r="A693" i="14"/>
  <c r="D693" i="14" l="1"/>
  <c r="C693" i="14"/>
  <c r="E693" i="14" s="1"/>
  <c r="B693" i="14"/>
  <c r="A694" i="14"/>
  <c r="D694" i="14" l="1"/>
  <c r="C694" i="14"/>
  <c r="E694" i="14" s="1"/>
  <c r="B694" i="14"/>
  <c r="A695" i="14"/>
  <c r="B695" i="14" l="1"/>
  <c r="D695" i="14"/>
  <c r="C695" i="14"/>
  <c r="E695" i="14" s="1"/>
  <c r="A696" i="14"/>
  <c r="D696" i="14" l="1"/>
  <c r="C696" i="14"/>
  <c r="E696" i="14" s="1"/>
  <c r="B696" i="14"/>
  <c r="A697" i="14"/>
  <c r="D697" i="14" l="1"/>
  <c r="C697" i="14"/>
  <c r="E697" i="14" s="1"/>
  <c r="B697" i="14"/>
  <c r="A698" i="14"/>
  <c r="D698" i="14" l="1"/>
  <c r="C698" i="14"/>
  <c r="E698" i="14" s="1"/>
  <c r="B698" i="14"/>
  <c r="A699" i="14"/>
  <c r="C699" i="14" l="1"/>
  <c r="E699" i="14" s="1"/>
  <c r="D699" i="14"/>
  <c r="B699" i="14"/>
  <c r="A700" i="14"/>
  <c r="D700" i="14" l="1"/>
  <c r="C700" i="14"/>
  <c r="E700" i="14" s="1"/>
  <c r="B700" i="14"/>
  <c r="A701" i="14"/>
  <c r="D701" i="14" l="1"/>
  <c r="C701" i="14"/>
  <c r="E701" i="14" s="1"/>
  <c r="B701" i="14"/>
  <c r="A702" i="14"/>
  <c r="B702" i="14" l="1"/>
  <c r="D702" i="14"/>
  <c r="C702" i="14"/>
  <c r="E702" i="14" s="1"/>
  <c r="A703" i="14"/>
  <c r="D703" i="14" l="1"/>
  <c r="C703" i="14"/>
  <c r="E703" i="14" s="1"/>
  <c r="B703" i="14"/>
  <c r="A704" i="14"/>
  <c r="B704" i="14" l="1"/>
  <c r="D704" i="14"/>
  <c r="C704" i="14"/>
  <c r="E704" i="14" s="1"/>
  <c r="A705" i="14"/>
  <c r="C705" i="14" l="1"/>
  <c r="E705" i="14" s="1"/>
  <c r="D705" i="14"/>
  <c r="B705" i="14"/>
  <c r="A706" i="14"/>
  <c r="D706" i="14" l="1"/>
  <c r="C706" i="14"/>
  <c r="E706" i="14" s="1"/>
  <c r="B706" i="14"/>
  <c r="A707" i="14"/>
  <c r="C707" i="14" l="1"/>
  <c r="E707" i="14" s="1"/>
  <c r="B707" i="14"/>
  <c r="D707" i="14"/>
  <c r="A708" i="14"/>
  <c r="D708" i="14" l="1"/>
  <c r="C708" i="14"/>
  <c r="E708" i="14" s="1"/>
  <c r="B708" i="14"/>
  <c r="A709" i="14"/>
  <c r="C709" i="14" l="1"/>
  <c r="E709" i="14" s="1"/>
  <c r="B709" i="14"/>
  <c r="D709" i="14"/>
  <c r="A710" i="14"/>
  <c r="B710" i="14" l="1"/>
  <c r="D710" i="14"/>
  <c r="C710" i="14"/>
  <c r="E710" i="14" s="1"/>
  <c r="A711" i="14"/>
  <c r="C711" i="14" l="1"/>
  <c r="E711" i="14" s="1"/>
  <c r="B711" i="14"/>
  <c r="D711" i="14"/>
  <c r="A712" i="14"/>
  <c r="B712" i="14" l="1"/>
  <c r="D712" i="14"/>
  <c r="C712" i="14"/>
  <c r="E712" i="14" s="1"/>
  <c r="A713" i="14"/>
  <c r="C713" i="14" l="1"/>
  <c r="E713" i="14" s="1"/>
  <c r="D713" i="14"/>
  <c r="B713" i="14"/>
  <c r="A714" i="14"/>
  <c r="D714" i="14" l="1"/>
  <c r="C714" i="14"/>
  <c r="E714" i="14" s="1"/>
  <c r="B714" i="14"/>
  <c r="A715" i="14"/>
  <c r="C715" i="14" l="1"/>
  <c r="E715" i="14" s="1"/>
  <c r="D715" i="14"/>
  <c r="B715" i="14"/>
  <c r="A716" i="14"/>
  <c r="D716" i="14" l="1"/>
  <c r="C716" i="14"/>
  <c r="E716" i="14" s="1"/>
  <c r="B716" i="14"/>
  <c r="A717" i="14"/>
  <c r="D717" i="14" l="1"/>
  <c r="C717" i="14"/>
  <c r="E717" i="14" s="1"/>
  <c r="B717" i="14"/>
  <c r="A718" i="14"/>
  <c r="B718" i="14" l="1"/>
  <c r="D718" i="14"/>
  <c r="C718" i="14"/>
  <c r="E718" i="14" s="1"/>
  <c r="A719" i="14"/>
  <c r="D719" i="14" l="1"/>
  <c r="C719" i="14"/>
  <c r="E719" i="14" s="1"/>
  <c r="B719" i="14"/>
  <c r="A720" i="14"/>
  <c r="B720" i="14" l="1"/>
  <c r="D720" i="14"/>
  <c r="C720" i="14"/>
  <c r="E720" i="14" s="1"/>
  <c r="A721" i="14"/>
  <c r="C721" i="14" l="1"/>
  <c r="E721" i="14" s="1"/>
  <c r="D721" i="14"/>
  <c r="B721" i="14"/>
  <c r="A722" i="14"/>
  <c r="B722" i="14" l="1"/>
  <c r="D722" i="14"/>
  <c r="C722" i="14"/>
  <c r="E722" i="14" s="1"/>
  <c r="A723" i="14"/>
  <c r="C723" i="14" l="1"/>
  <c r="E723" i="14" s="1"/>
  <c r="D723" i="14"/>
  <c r="B723" i="14"/>
  <c r="A724" i="14"/>
  <c r="D724" i="14" l="1"/>
  <c r="B724" i="14"/>
  <c r="C724" i="14"/>
  <c r="E724" i="14" s="1"/>
  <c r="A725" i="14"/>
  <c r="D725" i="14" l="1"/>
  <c r="C725" i="14"/>
  <c r="E725" i="14" s="1"/>
  <c r="B725" i="14"/>
  <c r="A726" i="14"/>
  <c r="B726" i="14" l="1"/>
  <c r="D726" i="14"/>
  <c r="C726" i="14"/>
  <c r="E726" i="14" s="1"/>
  <c r="A727" i="14"/>
  <c r="D727" i="14" l="1"/>
  <c r="C727" i="14"/>
  <c r="E727" i="14" s="1"/>
  <c r="B727" i="14"/>
  <c r="A728" i="14"/>
  <c r="B728" i="14" l="1"/>
  <c r="D728" i="14"/>
  <c r="C728" i="14"/>
  <c r="E728" i="14" s="1"/>
  <c r="A729" i="14"/>
  <c r="C729" i="14" l="1"/>
  <c r="E729" i="14" s="1"/>
  <c r="D729" i="14"/>
  <c r="B729" i="14"/>
  <c r="A730" i="14"/>
  <c r="D730" i="14" l="1"/>
  <c r="C730" i="14"/>
  <c r="E730" i="14" s="1"/>
  <c r="B730" i="14"/>
  <c r="A731" i="14"/>
  <c r="C731" i="14" l="1"/>
  <c r="E731" i="14" s="1"/>
  <c r="D731" i="14"/>
  <c r="B731" i="14"/>
  <c r="A732" i="14"/>
  <c r="D732" i="14" l="1"/>
  <c r="C732" i="14"/>
  <c r="E732" i="14" s="1"/>
  <c r="B732" i="14"/>
  <c r="A733" i="14"/>
  <c r="D733" i="14" l="1"/>
  <c r="C733" i="14"/>
  <c r="E733" i="14" s="1"/>
  <c r="B733" i="14"/>
  <c r="A734" i="14"/>
  <c r="B734" i="14" l="1"/>
  <c r="D734" i="14"/>
  <c r="C734" i="14"/>
  <c r="E734" i="14" s="1"/>
  <c r="A735" i="14"/>
  <c r="D735" i="14" l="1"/>
  <c r="C735" i="14"/>
  <c r="E735" i="14" s="1"/>
  <c r="B735" i="14"/>
  <c r="A736" i="14"/>
  <c r="B736" i="14" l="1"/>
  <c r="D736" i="14"/>
  <c r="C736" i="14"/>
  <c r="E736" i="14" s="1"/>
  <c r="A737" i="14"/>
  <c r="D737" i="14" l="1"/>
  <c r="C737" i="14"/>
  <c r="E737" i="14" s="1"/>
  <c r="B737" i="14"/>
  <c r="A738" i="14"/>
  <c r="D738" i="14" l="1"/>
  <c r="C738" i="14"/>
  <c r="E738" i="14" s="1"/>
  <c r="B738" i="14"/>
  <c r="A739" i="14"/>
  <c r="B739" i="14" l="1"/>
  <c r="D739" i="14"/>
  <c r="C739" i="14"/>
  <c r="E739" i="14" s="1"/>
  <c r="A740" i="14"/>
  <c r="D740" i="14" l="1"/>
  <c r="C740" i="14"/>
  <c r="E740" i="14" s="1"/>
  <c r="B740" i="14"/>
  <c r="A741" i="14"/>
  <c r="D741" i="14" l="1"/>
  <c r="C741" i="14"/>
  <c r="E741" i="14" s="1"/>
  <c r="B741" i="14"/>
  <c r="A742" i="14"/>
  <c r="C742" i="14" l="1"/>
  <c r="E742" i="14" s="1"/>
  <c r="B742" i="14"/>
  <c r="D742" i="14"/>
  <c r="A743" i="14"/>
  <c r="D743" i="14" l="1"/>
  <c r="C743" i="14"/>
  <c r="E743" i="14" s="1"/>
  <c r="B743" i="14"/>
  <c r="A744" i="14"/>
  <c r="D744" i="14" l="1"/>
  <c r="C744" i="14"/>
  <c r="E744" i="14" s="1"/>
  <c r="B744" i="14"/>
  <c r="A745" i="14"/>
  <c r="D745" i="14" l="1"/>
  <c r="C745" i="14"/>
  <c r="E745" i="14" s="1"/>
  <c r="B745" i="14"/>
  <c r="A746" i="14"/>
  <c r="D746" i="14" l="1"/>
  <c r="C746" i="14"/>
  <c r="E746" i="14" s="1"/>
  <c r="B746" i="14"/>
  <c r="A747" i="14"/>
  <c r="B747" i="14" l="1"/>
  <c r="D747" i="14"/>
  <c r="C747" i="14"/>
  <c r="E747" i="14" s="1"/>
  <c r="A748" i="14"/>
  <c r="D748" i="14" l="1"/>
  <c r="C748" i="14"/>
  <c r="E748" i="14" s="1"/>
  <c r="B748" i="14"/>
  <c r="A749" i="14"/>
  <c r="D749" i="14" l="1"/>
  <c r="C749" i="14"/>
  <c r="E749" i="14" s="1"/>
  <c r="B749" i="14"/>
  <c r="A750" i="14"/>
  <c r="C750" i="14" l="1"/>
  <c r="E750" i="14" s="1"/>
  <c r="B750" i="14"/>
  <c r="D750" i="14"/>
  <c r="A751" i="14"/>
  <c r="D751" i="14" l="1"/>
  <c r="C751" i="14"/>
  <c r="E751" i="14" s="1"/>
  <c r="B751" i="14"/>
  <c r="A752" i="14"/>
  <c r="D752" i="14" l="1"/>
  <c r="C752" i="14"/>
  <c r="E752" i="14" s="1"/>
  <c r="B752" i="14"/>
  <c r="A753" i="14"/>
  <c r="D753" i="14" l="1"/>
  <c r="C753" i="14"/>
  <c r="E753" i="14" s="1"/>
  <c r="B753" i="14"/>
  <c r="A754" i="14"/>
  <c r="D754" i="14" l="1"/>
  <c r="C754" i="14"/>
  <c r="E754" i="14" s="1"/>
  <c r="B754" i="14"/>
  <c r="A755" i="14"/>
  <c r="B755" i="14" l="1"/>
  <c r="D755" i="14"/>
  <c r="C755" i="14"/>
  <c r="E755" i="14" s="1"/>
  <c r="A756" i="14"/>
  <c r="D756" i="14" l="1"/>
  <c r="C756" i="14"/>
  <c r="E756" i="14" s="1"/>
  <c r="B756" i="14"/>
  <c r="A757" i="14"/>
  <c r="D757" i="14" l="1"/>
  <c r="C757" i="14"/>
  <c r="E757" i="14" s="1"/>
  <c r="B757" i="14"/>
  <c r="A758" i="14"/>
  <c r="C758" i="14" l="1"/>
  <c r="E758" i="14" s="1"/>
  <c r="B758" i="14"/>
  <c r="D758" i="14"/>
  <c r="A759" i="14"/>
  <c r="D759" i="14" l="1"/>
  <c r="C759" i="14"/>
  <c r="E759" i="14" s="1"/>
  <c r="B759" i="14"/>
  <c r="A760" i="14"/>
  <c r="D760" i="14" l="1"/>
  <c r="C760" i="14"/>
  <c r="E760" i="14" s="1"/>
  <c r="B760" i="14"/>
  <c r="A761" i="14"/>
  <c r="D761" i="14" l="1"/>
  <c r="C761" i="14"/>
  <c r="E761" i="14" s="1"/>
  <c r="B761" i="14"/>
  <c r="A762" i="14"/>
  <c r="D762" i="14" l="1"/>
  <c r="C762" i="14"/>
  <c r="E762" i="14" s="1"/>
  <c r="B762" i="14"/>
  <c r="A763" i="14"/>
  <c r="B763" i="14" l="1"/>
  <c r="D763" i="14"/>
  <c r="C763" i="14"/>
  <c r="E763" i="14" s="1"/>
  <c r="A764" i="14"/>
  <c r="D764" i="14" l="1"/>
  <c r="C764" i="14"/>
  <c r="E764" i="14" s="1"/>
  <c r="B764" i="14"/>
  <c r="A765" i="14"/>
  <c r="D765" i="14" l="1"/>
  <c r="C765" i="14"/>
  <c r="E765" i="14" s="1"/>
  <c r="B765" i="14"/>
  <c r="A766" i="14"/>
  <c r="C766" i="14" l="1"/>
  <c r="E766" i="14" s="1"/>
  <c r="B766" i="14"/>
  <c r="D766" i="14"/>
  <c r="A767" i="14"/>
  <c r="D767" i="14" l="1"/>
  <c r="C767" i="14"/>
  <c r="E767" i="14" s="1"/>
  <c r="B767" i="14"/>
  <c r="A768" i="14"/>
  <c r="D768" i="14" l="1"/>
  <c r="C768" i="14"/>
  <c r="E768" i="14" s="1"/>
  <c r="B768" i="14"/>
  <c r="A769" i="14"/>
  <c r="D769" i="14" l="1"/>
  <c r="C769" i="14"/>
  <c r="E769" i="14" s="1"/>
  <c r="B769" i="14"/>
  <c r="A770" i="14"/>
  <c r="D770" i="14" l="1"/>
  <c r="C770" i="14"/>
  <c r="E770" i="14" s="1"/>
  <c r="B770" i="14"/>
  <c r="A771" i="14"/>
  <c r="B771" i="14" l="1"/>
  <c r="D771" i="14"/>
  <c r="C771" i="14"/>
  <c r="E771" i="14" s="1"/>
  <c r="A772" i="14"/>
  <c r="D772" i="14" l="1"/>
  <c r="C772" i="14"/>
  <c r="E772" i="14" s="1"/>
  <c r="B772" i="14"/>
  <c r="A773" i="14"/>
  <c r="D773" i="14" l="1"/>
  <c r="C773" i="14"/>
  <c r="E773" i="14" s="1"/>
  <c r="B773" i="14"/>
  <c r="A774" i="14"/>
  <c r="C774" i="14" l="1"/>
  <c r="E774" i="14" s="1"/>
  <c r="B774" i="14"/>
  <c r="D774" i="14"/>
  <c r="A775" i="14"/>
  <c r="D775" i="14" l="1"/>
  <c r="C775" i="14"/>
  <c r="E775" i="14" s="1"/>
  <c r="B775" i="14"/>
  <c r="A776" i="14"/>
  <c r="D776" i="14" l="1"/>
  <c r="C776" i="14"/>
  <c r="E776" i="14" s="1"/>
  <c r="B776" i="14"/>
  <c r="A777" i="14"/>
  <c r="D777" i="14" l="1"/>
  <c r="C777" i="14"/>
  <c r="E777" i="14" s="1"/>
  <c r="B777" i="14"/>
  <c r="A778" i="14"/>
  <c r="D778" i="14" l="1"/>
  <c r="C778" i="14"/>
  <c r="E778" i="14" s="1"/>
  <c r="B778" i="14"/>
  <c r="A779" i="14"/>
  <c r="B779" i="14" l="1"/>
  <c r="D779" i="14"/>
  <c r="C779" i="14"/>
  <c r="E779" i="14" s="1"/>
  <c r="A780" i="14"/>
  <c r="D780" i="14" l="1"/>
  <c r="C780" i="14"/>
  <c r="E780" i="14" s="1"/>
  <c r="B780" i="14"/>
  <c r="A781" i="14"/>
  <c r="D781" i="14" l="1"/>
  <c r="C781" i="14"/>
  <c r="E781" i="14" s="1"/>
  <c r="B781" i="14"/>
  <c r="A782" i="14"/>
  <c r="C782" i="14" l="1"/>
  <c r="E782" i="14" s="1"/>
  <c r="B782" i="14"/>
  <c r="D782" i="14"/>
  <c r="A783" i="14"/>
  <c r="D783" i="14" l="1"/>
  <c r="C783" i="14"/>
  <c r="E783" i="14" s="1"/>
  <c r="B783" i="14"/>
  <c r="A784" i="14"/>
  <c r="D784" i="14" l="1"/>
  <c r="C784" i="14"/>
  <c r="E784" i="14" s="1"/>
  <c r="B784" i="14"/>
  <c r="A785" i="14"/>
  <c r="D785" i="14" l="1"/>
  <c r="C785" i="14"/>
  <c r="E785" i="14" s="1"/>
  <c r="B785" i="14"/>
  <c r="A786" i="14"/>
  <c r="D786" i="14" l="1"/>
  <c r="C786" i="14"/>
  <c r="E786" i="14" s="1"/>
  <c r="B786" i="14"/>
  <c r="A787" i="14"/>
  <c r="B787" i="14" l="1"/>
  <c r="D787" i="14"/>
  <c r="C787" i="14"/>
  <c r="E787" i="14" s="1"/>
  <c r="A788" i="14"/>
  <c r="D788" i="14" l="1"/>
  <c r="C788" i="14"/>
  <c r="E788" i="14" s="1"/>
  <c r="B788" i="14"/>
  <c r="A789" i="14"/>
  <c r="D789" i="14" l="1"/>
  <c r="C789" i="14"/>
  <c r="E789" i="14" s="1"/>
  <c r="B789" i="14"/>
  <c r="A790" i="14"/>
  <c r="C790" i="14" l="1"/>
  <c r="E790" i="14" s="1"/>
  <c r="B790" i="14"/>
  <c r="D790" i="14"/>
  <c r="A791" i="14"/>
  <c r="D791" i="14" l="1"/>
  <c r="C791" i="14"/>
  <c r="E791" i="14" s="1"/>
  <c r="B791" i="14"/>
  <c r="A792" i="14"/>
  <c r="D792" i="14" l="1"/>
  <c r="C792" i="14"/>
  <c r="E792" i="14" s="1"/>
  <c r="B792" i="14"/>
  <c r="A793" i="14"/>
  <c r="D793" i="14" l="1"/>
  <c r="C793" i="14"/>
  <c r="E793" i="14" s="1"/>
  <c r="B793" i="14"/>
  <c r="A794" i="14"/>
  <c r="D794" i="14" l="1"/>
  <c r="C794" i="14"/>
  <c r="E794" i="14" s="1"/>
  <c r="B794" i="14"/>
  <c r="A795" i="14"/>
  <c r="B795" i="14" l="1"/>
  <c r="D795" i="14"/>
  <c r="C795" i="14"/>
  <c r="E795" i="14" s="1"/>
  <c r="A796" i="14"/>
  <c r="D796" i="14" l="1"/>
  <c r="C796" i="14"/>
  <c r="E796" i="14" s="1"/>
  <c r="B796" i="14"/>
  <c r="A797" i="14"/>
  <c r="D797" i="14" l="1"/>
  <c r="C797" i="14"/>
  <c r="E797" i="14" s="1"/>
  <c r="B797" i="14"/>
  <c r="A798" i="14"/>
  <c r="C798" i="14" l="1"/>
  <c r="E798" i="14" s="1"/>
  <c r="B798" i="14"/>
  <c r="D798" i="14"/>
  <c r="A799" i="14"/>
  <c r="D799" i="14" l="1"/>
  <c r="C799" i="14"/>
  <c r="E799" i="14" s="1"/>
  <c r="B799" i="14"/>
  <c r="A800" i="14"/>
  <c r="D800" i="14" l="1"/>
  <c r="C800" i="14"/>
  <c r="E800" i="14" s="1"/>
  <c r="B800" i="14"/>
  <c r="A801" i="14"/>
  <c r="D801" i="14" l="1"/>
  <c r="C801" i="14"/>
  <c r="E801" i="14" s="1"/>
  <c r="B801" i="14"/>
  <c r="A802" i="14"/>
  <c r="D802" i="14" l="1"/>
  <c r="C802" i="14"/>
  <c r="E802" i="14" s="1"/>
  <c r="B802" i="14"/>
  <c r="A803" i="14"/>
  <c r="B803" i="14" l="1"/>
  <c r="D803" i="14"/>
  <c r="C803" i="14"/>
  <c r="E803" i="14" s="1"/>
  <c r="A804" i="14"/>
  <c r="D804" i="14" l="1"/>
  <c r="C804" i="14"/>
  <c r="E804" i="14" s="1"/>
  <c r="B804" i="14"/>
  <c r="A805" i="14"/>
  <c r="D805" i="14" l="1"/>
  <c r="C805" i="14"/>
  <c r="E805" i="14" s="1"/>
  <c r="B805" i="14"/>
  <c r="A806" i="14"/>
  <c r="C806" i="14" l="1"/>
  <c r="E806" i="14" s="1"/>
  <c r="B806" i="14"/>
  <c r="D806" i="14"/>
  <c r="A807" i="14"/>
  <c r="D807" i="14" l="1"/>
  <c r="C807" i="14"/>
  <c r="E807" i="14" s="1"/>
  <c r="B807" i="14"/>
  <c r="A808" i="14"/>
  <c r="D808" i="14" l="1"/>
  <c r="C808" i="14"/>
  <c r="E808" i="14" s="1"/>
  <c r="B808" i="14"/>
  <c r="A809" i="14"/>
  <c r="D809" i="14" l="1"/>
  <c r="C809" i="14"/>
  <c r="E809" i="14" s="1"/>
  <c r="B809" i="14"/>
  <c r="A810" i="14"/>
  <c r="D810" i="14" l="1"/>
  <c r="C810" i="14"/>
  <c r="E810" i="14" s="1"/>
  <c r="B810" i="14"/>
  <c r="A811" i="14"/>
  <c r="B811" i="14" l="1"/>
  <c r="D811" i="14"/>
  <c r="C811" i="14"/>
  <c r="E811" i="14" s="1"/>
  <c r="A812" i="14"/>
  <c r="D812" i="14" l="1"/>
  <c r="C812" i="14"/>
  <c r="E812" i="14" s="1"/>
  <c r="B812" i="14"/>
  <c r="A813" i="14"/>
  <c r="D813" i="14" l="1"/>
  <c r="C813" i="14"/>
  <c r="E813" i="14" s="1"/>
  <c r="B813" i="14"/>
  <c r="A814" i="14"/>
  <c r="C814" i="14" l="1"/>
  <c r="E814" i="14" s="1"/>
  <c r="B814" i="14"/>
  <c r="D814" i="14"/>
  <c r="A815" i="14"/>
  <c r="D815" i="14" l="1"/>
  <c r="C815" i="14"/>
  <c r="E815" i="14" s="1"/>
  <c r="B815" i="14"/>
  <c r="A816" i="14"/>
  <c r="D816" i="14" l="1"/>
  <c r="C816" i="14"/>
  <c r="E816" i="14" s="1"/>
  <c r="B816" i="14"/>
  <c r="A817" i="14"/>
  <c r="D817" i="14" l="1"/>
  <c r="C817" i="14"/>
  <c r="E817" i="14" s="1"/>
  <c r="B817" i="14"/>
  <c r="A818" i="14"/>
  <c r="D818" i="14" l="1"/>
  <c r="C818" i="14"/>
  <c r="E818" i="14" s="1"/>
  <c r="B818" i="14"/>
  <c r="A819" i="14"/>
  <c r="B819" i="14" l="1"/>
  <c r="D819" i="14"/>
  <c r="C819" i="14"/>
  <c r="E819" i="14" s="1"/>
  <c r="A820" i="14"/>
  <c r="D820" i="14" l="1"/>
  <c r="C820" i="14"/>
  <c r="E820" i="14" s="1"/>
  <c r="B820" i="14"/>
  <c r="A821" i="14"/>
  <c r="D821" i="14" l="1"/>
  <c r="C821" i="14"/>
  <c r="E821" i="14" s="1"/>
  <c r="B821" i="14"/>
  <c r="A822" i="14"/>
  <c r="C822" i="14" l="1"/>
  <c r="E822" i="14" s="1"/>
  <c r="B822" i="14"/>
  <c r="D822" i="14"/>
  <c r="A823" i="14"/>
  <c r="D823" i="14" l="1"/>
  <c r="C823" i="14"/>
  <c r="E823" i="14" s="1"/>
  <c r="B823" i="14"/>
  <c r="A824" i="14"/>
  <c r="D824" i="14" l="1"/>
  <c r="C824" i="14"/>
  <c r="E824" i="14" s="1"/>
  <c r="B824" i="14"/>
  <c r="A825" i="14"/>
  <c r="D825" i="14" l="1"/>
  <c r="C825" i="14"/>
  <c r="E825" i="14" s="1"/>
  <c r="B825" i="14"/>
  <c r="A826" i="14"/>
  <c r="D826" i="14" l="1"/>
  <c r="C826" i="14"/>
  <c r="E826" i="14" s="1"/>
  <c r="B826" i="14"/>
  <c r="A827" i="14"/>
  <c r="B827" i="14" l="1"/>
  <c r="D827" i="14"/>
  <c r="C827" i="14"/>
  <c r="E827" i="14" s="1"/>
  <c r="A828" i="14"/>
  <c r="D828" i="14" l="1"/>
  <c r="C828" i="14"/>
  <c r="E828" i="14" s="1"/>
  <c r="B828" i="14"/>
  <c r="A829" i="14"/>
  <c r="D829" i="14" l="1"/>
  <c r="C829" i="14"/>
  <c r="E829" i="14" s="1"/>
  <c r="B829" i="14"/>
  <c r="A830" i="14"/>
  <c r="C830" i="14" l="1"/>
  <c r="E830" i="14" s="1"/>
  <c r="B830" i="14"/>
  <c r="D830" i="14"/>
  <c r="A831" i="14"/>
  <c r="D831" i="14" l="1"/>
  <c r="C831" i="14"/>
  <c r="E831" i="14" s="1"/>
  <c r="B831" i="14"/>
  <c r="A832" i="14"/>
  <c r="D832" i="14" l="1"/>
  <c r="C832" i="14"/>
  <c r="E832" i="14" s="1"/>
  <c r="B832" i="14"/>
  <c r="A833" i="14"/>
  <c r="D833" i="14" l="1"/>
  <c r="C833" i="14"/>
  <c r="E833" i="14" s="1"/>
  <c r="B833" i="14"/>
  <c r="A834" i="14"/>
  <c r="D834" i="14" l="1"/>
  <c r="C834" i="14"/>
  <c r="E834" i="14" s="1"/>
  <c r="B834" i="14"/>
  <c r="A835" i="14"/>
  <c r="B835" i="14" l="1"/>
  <c r="D835" i="14"/>
  <c r="C835" i="14"/>
  <c r="E835" i="14" s="1"/>
  <c r="A836" i="14"/>
  <c r="D836" i="14" l="1"/>
  <c r="C836" i="14"/>
  <c r="E836" i="14" s="1"/>
  <c r="B836" i="14"/>
  <c r="A837" i="14"/>
  <c r="D837" i="14" l="1"/>
  <c r="C837" i="14"/>
  <c r="E837" i="14" s="1"/>
  <c r="B837" i="14"/>
  <c r="A838" i="14"/>
  <c r="C838" i="14" l="1"/>
  <c r="E838" i="14" s="1"/>
  <c r="B838" i="14"/>
  <c r="D838" i="14"/>
  <c r="A839" i="14"/>
  <c r="D839" i="14" l="1"/>
  <c r="C839" i="14"/>
  <c r="E839" i="14" s="1"/>
  <c r="B839" i="14"/>
  <c r="A840" i="14"/>
  <c r="D840" i="14" l="1"/>
  <c r="C840" i="14"/>
  <c r="E840" i="14" s="1"/>
  <c r="B840" i="14"/>
  <c r="A841" i="14"/>
  <c r="D841" i="14" l="1"/>
  <c r="C841" i="14"/>
  <c r="E841" i="14" s="1"/>
  <c r="B841" i="14"/>
  <c r="A842" i="14"/>
  <c r="D842" i="14" l="1"/>
  <c r="C842" i="14"/>
  <c r="E842" i="14" s="1"/>
  <c r="B842" i="14"/>
  <c r="A843" i="14"/>
  <c r="B843" i="14" l="1"/>
  <c r="D843" i="14"/>
  <c r="C843" i="14"/>
  <c r="E843" i="14" s="1"/>
  <c r="A844" i="14"/>
  <c r="D844" i="14" l="1"/>
  <c r="C844" i="14"/>
  <c r="E844" i="14" s="1"/>
  <c r="B844" i="14"/>
  <c r="A845" i="14"/>
  <c r="D845" i="14" l="1"/>
  <c r="C845" i="14"/>
  <c r="E845" i="14" s="1"/>
  <c r="B845" i="14"/>
  <c r="A846" i="14"/>
  <c r="C846" i="14" l="1"/>
  <c r="E846" i="14" s="1"/>
  <c r="B846" i="14"/>
  <c r="D846" i="14"/>
  <c r="A847" i="14"/>
  <c r="D847" i="14" l="1"/>
  <c r="C847" i="14"/>
  <c r="E847" i="14" s="1"/>
  <c r="B847" i="14"/>
  <c r="A848" i="14"/>
  <c r="D848" i="14" l="1"/>
  <c r="C848" i="14"/>
  <c r="E848" i="14" s="1"/>
  <c r="B848" i="14"/>
  <c r="A849" i="14"/>
  <c r="D849" i="14" l="1"/>
  <c r="C849" i="14"/>
  <c r="E849" i="14" s="1"/>
  <c r="B849" i="14"/>
  <c r="A850" i="14"/>
  <c r="D850" i="14" l="1"/>
  <c r="C850" i="14"/>
  <c r="E850" i="14" s="1"/>
  <c r="B850" i="14"/>
  <c r="A851" i="14"/>
  <c r="B851" i="14" l="1"/>
  <c r="D851" i="14"/>
  <c r="C851" i="14"/>
  <c r="E851" i="14" s="1"/>
  <c r="A852" i="14"/>
  <c r="D852" i="14" l="1"/>
  <c r="C852" i="14"/>
  <c r="E852" i="14" s="1"/>
  <c r="B852" i="14"/>
  <c r="A853" i="14"/>
  <c r="D853" i="14" l="1"/>
  <c r="C853" i="14"/>
  <c r="E853" i="14" s="1"/>
  <c r="B853" i="14"/>
  <c r="A854" i="14"/>
  <c r="C854" i="14" l="1"/>
  <c r="E854" i="14" s="1"/>
  <c r="B854" i="14"/>
  <c r="D854" i="14"/>
  <c r="A855" i="14"/>
  <c r="D855" i="14" l="1"/>
  <c r="C855" i="14"/>
  <c r="E855" i="14" s="1"/>
  <c r="B855" i="14"/>
  <c r="A856" i="14"/>
  <c r="D856" i="14" l="1"/>
  <c r="C856" i="14"/>
  <c r="E856" i="14" s="1"/>
  <c r="B856" i="14"/>
  <c r="A857" i="14"/>
  <c r="D857" i="14" l="1"/>
  <c r="C857" i="14"/>
  <c r="E857" i="14" s="1"/>
  <c r="B857" i="14"/>
  <c r="A858" i="14"/>
  <c r="D858" i="14" l="1"/>
  <c r="C858" i="14"/>
  <c r="E858" i="14" s="1"/>
  <c r="B858" i="14"/>
  <c r="A859" i="14"/>
  <c r="B859" i="14" l="1"/>
  <c r="D859" i="14"/>
  <c r="C859" i="14"/>
  <c r="E859" i="14" s="1"/>
  <c r="A860" i="14"/>
  <c r="D860" i="14" l="1"/>
  <c r="C860" i="14"/>
  <c r="E860" i="14" s="1"/>
  <c r="B860" i="14"/>
  <c r="A861" i="14"/>
  <c r="D861" i="14" l="1"/>
  <c r="C861" i="14"/>
  <c r="E861" i="14" s="1"/>
  <c r="B861" i="14"/>
  <c r="A862" i="14"/>
  <c r="C862" i="14" l="1"/>
  <c r="E862" i="14" s="1"/>
  <c r="B862" i="14"/>
  <c r="D862" i="14"/>
  <c r="A863" i="14"/>
  <c r="D863" i="14" l="1"/>
  <c r="C863" i="14"/>
  <c r="E863" i="14" s="1"/>
  <c r="B863" i="14"/>
  <c r="A864" i="14"/>
  <c r="D864" i="14" l="1"/>
  <c r="C864" i="14"/>
  <c r="E864" i="14" s="1"/>
  <c r="B864" i="14"/>
  <c r="A865" i="14"/>
  <c r="D865" i="14" l="1"/>
  <c r="C865" i="14"/>
  <c r="E865" i="14" s="1"/>
  <c r="B865" i="14"/>
  <c r="A866" i="14"/>
  <c r="D866" i="14" l="1"/>
  <c r="C866" i="14"/>
  <c r="E866" i="14" s="1"/>
  <c r="B866" i="14"/>
  <c r="A867" i="14"/>
  <c r="B867" i="14" l="1"/>
  <c r="D867" i="14"/>
  <c r="C867" i="14"/>
  <c r="E867" i="14" s="1"/>
  <c r="A868" i="14"/>
  <c r="D868" i="14" l="1"/>
  <c r="C868" i="14"/>
  <c r="E868" i="14" s="1"/>
  <c r="B868" i="14"/>
  <c r="A869" i="14"/>
  <c r="D869" i="14" l="1"/>
  <c r="C869" i="14"/>
  <c r="E869" i="14" s="1"/>
  <c r="B869" i="14"/>
  <c r="A870" i="14"/>
  <c r="C870" i="14" l="1"/>
  <c r="E870" i="14" s="1"/>
  <c r="B870" i="14"/>
  <c r="D870" i="14"/>
  <c r="A871" i="14"/>
  <c r="D871" i="14" l="1"/>
  <c r="C871" i="14"/>
  <c r="E871" i="14" s="1"/>
  <c r="B871" i="14"/>
  <c r="A872" i="14"/>
  <c r="D872" i="14" l="1"/>
  <c r="C872" i="14"/>
  <c r="E872" i="14" s="1"/>
  <c r="B872" i="14"/>
  <c r="A873" i="14"/>
  <c r="D873" i="14" l="1"/>
  <c r="C873" i="14"/>
  <c r="E873" i="14" s="1"/>
  <c r="B873" i="14"/>
  <c r="A874" i="14"/>
  <c r="D874" i="14" l="1"/>
  <c r="C874" i="14"/>
  <c r="E874" i="14" s="1"/>
  <c r="B874" i="14"/>
  <c r="A875" i="14"/>
  <c r="B875" i="14" l="1"/>
  <c r="D875" i="14"/>
  <c r="C875" i="14"/>
  <c r="E875" i="14" s="1"/>
  <c r="A876" i="14"/>
  <c r="D876" i="14" l="1"/>
  <c r="C876" i="14"/>
  <c r="E876" i="14" s="1"/>
  <c r="B876" i="14"/>
  <c r="A877" i="14"/>
  <c r="D877" i="14" l="1"/>
  <c r="C877" i="14"/>
  <c r="E877" i="14" s="1"/>
  <c r="B877" i="14"/>
  <c r="A878" i="14"/>
  <c r="C878" i="14" l="1"/>
  <c r="E878" i="14" s="1"/>
  <c r="B878" i="14"/>
  <c r="D878" i="14"/>
  <c r="A879" i="14"/>
  <c r="D879" i="14" l="1"/>
  <c r="C879" i="14"/>
  <c r="E879" i="14" s="1"/>
  <c r="B879" i="14"/>
  <c r="A880" i="14"/>
  <c r="D880" i="14" l="1"/>
  <c r="C880" i="14"/>
  <c r="E880" i="14" s="1"/>
  <c r="B880" i="14"/>
  <c r="A881" i="14"/>
  <c r="D881" i="14" l="1"/>
  <c r="C881" i="14"/>
  <c r="E881" i="14" s="1"/>
  <c r="B881" i="14"/>
  <c r="A882" i="14"/>
  <c r="D882" i="14" l="1"/>
  <c r="C882" i="14"/>
  <c r="E882" i="14" s="1"/>
  <c r="B882" i="14"/>
  <c r="A883" i="14"/>
  <c r="B883" i="14" l="1"/>
  <c r="D883" i="14"/>
  <c r="C883" i="14"/>
  <c r="E883" i="14" s="1"/>
  <c r="A884" i="14"/>
  <c r="D884" i="14" l="1"/>
  <c r="C884" i="14"/>
  <c r="E884" i="14" s="1"/>
  <c r="B884" i="14"/>
  <c r="A885" i="14"/>
  <c r="D885" i="14" l="1"/>
  <c r="C885" i="14"/>
  <c r="E885" i="14" s="1"/>
  <c r="B885" i="14"/>
  <c r="A886" i="14"/>
  <c r="C886" i="14" l="1"/>
  <c r="E886" i="14" s="1"/>
  <c r="B886" i="14"/>
  <c r="D886" i="14"/>
  <c r="A887" i="14"/>
  <c r="D887" i="14" l="1"/>
  <c r="C887" i="14"/>
  <c r="E887" i="14" s="1"/>
  <c r="B887" i="14"/>
  <c r="A888" i="14"/>
  <c r="D888" i="14" l="1"/>
  <c r="C888" i="14"/>
  <c r="E888" i="14" s="1"/>
  <c r="B888" i="14"/>
  <c r="A889" i="14"/>
  <c r="D889" i="14" l="1"/>
  <c r="C889" i="14"/>
  <c r="E889" i="14" s="1"/>
  <c r="B889" i="14"/>
  <c r="A890" i="14"/>
  <c r="D890" i="14" l="1"/>
  <c r="C890" i="14"/>
  <c r="E890" i="14" s="1"/>
  <c r="B890" i="14"/>
  <c r="A891" i="14"/>
  <c r="B891" i="14" l="1"/>
  <c r="D891" i="14"/>
  <c r="C891" i="14"/>
  <c r="E891" i="14" s="1"/>
  <c r="A892" i="14"/>
  <c r="D892" i="14" l="1"/>
  <c r="C892" i="14"/>
  <c r="E892" i="14" s="1"/>
  <c r="B892" i="14"/>
  <c r="A893" i="14"/>
  <c r="D893" i="14" l="1"/>
  <c r="C893" i="14"/>
  <c r="E893" i="14" s="1"/>
  <c r="B893" i="14"/>
  <c r="A894" i="14"/>
  <c r="C894" i="14" l="1"/>
  <c r="E894" i="14" s="1"/>
  <c r="B894" i="14"/>
  <c r="D894" i="14"/>
  <c r="A895" i="14"/>
  <c r="D895" i="14" l="1"/>
  <c r="C895" i="14"/>
  <c r="E895" i="14" s="1"/>
  <c r="B895" i="14"/>
  <c r="A896" i="14"/>
  <c r="D896" i="14" l="1"/>
  <c r="C896" i="14"/>
  <c r="E896" i="14" s="1"/>
  <c r="B896" i="14"/>
  <c r="A897" i="14"/>
  <c r="D897" i="14" l="1"/>
  <c r="C897" i="14"/>
  <c r="E897" i="14" s="1"/>
  <c r="B897" i="14"/>
  <c r="A898" i="14"/>
  <c r="D898" i="14" l="1"/>
  <c r="C898" i="14"/>
  <c r="E898" i="14" s="1"/>
  <c r="B898" i="14"/>
  <c r="A899" i="14"/>
  <c r="B899" i="14" l="1"/>
  <c r="D899" i="14"/>
  <c r="C899" i="14"/>
  <c r="E899" i="14" s="1"/>
  <c r="A900" i="14"/>
  <c r="D900" i="14" l="1"/>
  <c r="C900" i="14"/>
  <c r="E900" i="14" s="1"/>
  <c r="B900" i="14"/>
  <c r="A901" i="14"/>
  <c r="D901" i="14" l="1"/>
  <c r="C901" i="14"/>
  <c r="E901" i="14" s="1"/>
  <c r="B901" i="14"/>
  <c r="A902" i="14"/>
  <c r="C902" i="14" l="1"/>
  <c r="E902" i="14" s="1"/>
  <c r="B902" i="14"/>
  <c r="D902" i="14"/>
  <c r="A903" i="14"/>
  <c r="D903" i="14" l="1"/>
  <c r="C903" i="14"/>
  <c r="E903" i="14" s="1"/>
  <c r="B903" i="14"/>
  <c r="A904" i="14"/>
  <c r="D904" i="14" l="1"/>
  <c r="C904" i="14"/>
  <c r="E904" i="14" s="1"/>
  <c r="B904" i="14"/>
  <c r="A905" i="14"/>
  <c r="D905" i="14" l="1"/>
  <c r="C905" i="14"/>
  <c r="E905" i="14" s="1"/>
  <c r="B905" i="14"/>
  <c r="A906" i="14"/>
  <c r="D906" i="14" l="1"/>
  <c r="C906" i="14"/>
  <c r="E906" i="14" s="1"/>
  <c r="B906" i="14"/>
  <c r="A907" i="14"/>
  <c r="B907" i="14" l="1"/>
  <c r="D907" i="14"/>
  <c r="C907" i="14"/>
  <c r="E907" i="14" s="1"/>
  <c r="A908" i="14"/>
  <c r="D908" i="14" l="1"/>
  <c r="C908" i="14"/>
  <c r="E908" i="14" s="1"/>
  <c r="B908" i="14"/>
  <c r="A909" i="14"/>
  <c r="D909" i="14" l="1"/>
  <c r="C909" i="14"/>
  <c r="E909" i="14" s="1"/>
  <c r="B909" i="14"/>
  <c r="A910" i="14"/>
  <c r="C910" i="14" l="1"/>
  <c r="E910" i="14" s="1"/>
  <c r="B910" i="14"/>
  <c r="D910" i="14"/>
  <c r="A911" i="14"/>
  <c r="D911" i="14" l="1"/>
  <c r="C911" i="14"/>
  <c r="E911" i="14" s="1"/>
  <c r="B911" i="14"/>
  <c r="A912" i="14"/>
  <c r="D912" i="14" l="1"/>
  <c r="C912" i="14"/>
  <c r="E912" i="14" s="1"/>
  <c r="B912" i="14"/>
  <c r="A913" i="14"/>
  <c r="D913" i="14" l="1"/>
  <c r="C913" i="14"/>
  <c r="E913" i="14" s="1"/>
  <c r="B913" i="14"/>
  <c r="A914" i="14"/>
  <c r="D914" i="14" l="1"/>
  <c r="C914" i="14"/>
  <c r="E914" i="14" s="1"/>
  <c r="B914" i="14"/>
  <c r="A915" i="14"/>
  <c r="B915" i="14" l="1"/>
  <c r="D915" i="14"/>
  <c r="C915" i="14"/>
  <c r="E915" i="14" s="1"/>
  <c r="A916" i="14"/>
  <c r="D916" i="14" l="1"/>
  <c r="C916" i="14"/>
  <c r="E916" i="14" s="1"/>
  <c r="B916" i="14"/>
  <c r="A917" i="14"/>
  <c r="D917" i="14" l="1"/>
  <c r="C917" i="14"/>
  <c r="E917" i="14" s="1"/>
  <c r="B917" i="14"/>
  <c r="A918" i="14"/>
  <c r="C918" i="14" l="1"/>
  <c r="E918" i="14" s="1"/>
  <c r="B918" i="14"/>
  <c r="D918" i="14"/>
  <c r="A919" i="14"/>
  <c r="D919" i="14" l="1"/>
  <c r="C919" i="14"/>
  <c r="E919" i="14" s="1"/>
  <c r="B919" i="14"/>
  <c r="A920" i="14"/>
  <c r="D920" i="14" l="1"/>
  <c r="C920" i="14"/>
  <c r="E920" i="14" s="1"/>
  <c r="B920" i="14"/>
  <c r="A921" i="14"/>
  <c r="D921" i="14" l="1"/>
  <c r="C921" i="14"/>
  <c r="E921" i="14" s="1"/>
  <c r="B921" i="14"/>
  <c r="A922" i="14"/>
  <c r="D922" i="14" l="1"/>
  <c r="C922" i="14"/>
  <c r="E922" i="14" s="1"/>
  <c r="B922" i="14"/>
  <c r="A923" i="14"/>
  <c r="B923" i="14" l="1"/>
  <c r="D923" i="14"/>
  <c r="C923" i="14"/>
  <c r="E923" i="14" s="1"/>
  <c r="A924" i="14"/>
  <c r="D924" i="14" l="1"/>
  <c r="C924" i="14"/>
  <c r="E924" i="14" s="1"/>
  <c r="B924" i="14"/>
  <c r="A925" i="14"/>
  <c r="D925" i="14" l="1"/>
  <c r="C925" i="14"/>
  <c r="E925" i="14" s="1"/>
  <c r="B925" i="14"/>
  <c r="A926" i="14"/>
  <c r="C926" i="14" l="1"/>
  <c r="E926" i="14" s="1"/>
  <c r="B926" i="14"/>
  <c r="D926" i="14"/>
  <c r="A927" i="14"/>
  <c r="D927" i="14" l="1"/>
  <c r="C927" i="14"/>
  <c r="E927" i="14" s="1"/>
  <c r="B927" i="14"/>
  <c r="A928" i="14"/>
  <c r="D928" i="14" l="1"/>
  <c r="C928" i="14"/>
  <c r="E928" i="14" s="1"/>
  <c r="B928" i="14"/>
  <c r="A929" i="14"/>
  <c r="D929" i="14" l="1"/>
  <c r="C929" i="14"/>
  <c r="E929" i="14" s="1"/>
  <c r="B929" i="14"/>
  <c r="A930" i="14"/>
  <c r="D930" i="14" l="1"/>
  <c r="C930" i="14"/>
  <c r="E930" i="14" s="1"/>
  <c r="B930" i="14"/>
  <c r="A931" i="14"/>
  <c r="B931" i="14" l="1"/>
  <c r="D931" i="14"/>
  <c r="C931" i="14"/>
  <c r="E931" i="14" s="1"/>
  <c r="A932" i="14"/>
  <c r="D932" i="14" l="1"/>
  <c r="C932" i="14"/>
  <c r="E932" i="14" s="1"/>
  <c r="B932" i="14"/>
  <c r="A933" i="14"/>
  <c r="D933" i="14" l="1"/>
  <c r="C933" i="14"/>
  <c r="E933" i="14" s="1"/>
  <c r="B933" i="14"/>
  <c r="A934" i="14"/>
  <c r="C934" i="14" l="1"/>
  <c r="E934" i="14" s="1"/>
  <c r="B934" i="14"/>
  <c r="D934" i="14"/>
  <c r="A935" i="14"/>
  <c r="D935" i="14" l="1"/>
  <c r="C935" i="14"/>
  <c r="E935" i="14" s="1"/>
  <c r="B935" i="14"/>
  <c r="A936" i="14"/>
  <c r="D936" i="14" l="1"/>
  <c r="C936" i="14"/>
  <c r="E936" i="14" s="1"/>
  <c r="B936" i="14"/>
  <c r="A937" i="14"/>
  <c r="D937" i="14" l="1"/>
  <c r="C937" i="14"/>
  <c r="E937" i="14" s="1"/>
  <c r="B937" i="14"/>
  <c r="A938" i="14"/>
  <c r="D938" i="14" l="1"/>
  <c r="C938" i="14"/>
  <c r="E938" i="14" s="1"/>
  <c r="B938" i="14"/>
  <c r="A939" i="14"/>
  <c r="B939" i="14" l="1"/>
  <c r="D939" i="14"/>
  <c r="C939" i="14"/>
  <c r="E939" i="14" s="1"/>
  <c r="A940" i="14"/>
  <c r="D940" i="14" l="1"/>
  <c r="C940" i="14"/>
  <c r="E940" i="14" s="1"/>
  <c r="B940" i="14"/>
  <c r="A941" i="14"/>
  <c r="D941" i="14" l="1"/>
  <c r="C941" i="14"/>
  <c r="E941" i="14" s="1"/>
  <c r="B941" i="14"/>
  <c r="A942" i="14"/>
  <c r="C942" i="14" l="1"/>
  <c r="E942" i="14" s="1"/>
  <c r="B942" i="14"/>
  <c r="D942" i="14"/>
  <c r="A943" i="14"/>
  <c r="D943" i="14" l="1"/>
  <c r="C943" i="14"/>
  <c r="E943" i="14" s="1"/>
  <c r="B943" i="14"/>
  <c r="A944" i="14"/>
  <c r="D944" i="14" l="1"/>
  <c r="C944" i="14"/>
  <c r="E944" i="14" s="1"/>
  <c r="B944" i="14"/>
  <c r="A945" i="14"/>
  <c r="D945" i="14" l="1"/>
  <c r="C945" i="14"/>
  <c r="E945" i="14" s="1"/>
  <c r="B945" i="14"/>
  <c r="A946" i="14"/>
  <c r="D946" i="14" l="1"/>
  <c r="C946" i="14"/>
  <c r="E946" i="14" s="1"/>
  <c r="B946" i="14"/>
  <c r="A947" i="14"/>
  <c r="B947" i="14" l="1"/>
  <c r="D947" i="14"/>
  <c r="C947" i="14"/>
  <c r="E947" i="14" s="1"/>
  <c r="A948" i="14"/>
  <c r="D948" i="14" l="1"/>
  <c r="C948" i="14"/>
  <c r="E948" i="14" s="1"/>
  <c r="B948" i="14"/>
  <c r="A949" i="14"/>
  <c r="D949" i="14" l="1"/>
  <c r="C949" i="14"/>
  <c r="E949" i="14" s="1"/>
  <c r="B949" i="14"/>
  <c r="A950" i="14"/>
  <c r="C950" i="14" l="1"/>
  <c r="E950" i="14" s="1"/>
  <c r="B950" i="14"/>
  <c r="D950" i="14"/>
  <c r="A951" i="14"/>
  <c r="D951" i="14" l="1"/>
  <c r="C951" i="14"/>
  <c r="E951" i="14" s="1"/>
  <c r="B951" i="14"/>
  <c r="A952" i="14"/>
  <c r="D952" i="14" l="1"/>
  <c r="C952" i="14"/>
  <c r="E952" i="14" s="1"/>
  <c r="B952" i="14"/>
  <c r="A953" i="14"/>
  <c r="D953" i="14" l="1"/>
  <c r="C953" i="14"/>
  <c r="E953" i="14" s="1"/>
  <c r="B953" i="14"/>
  <c r="A954" i="14"/>
  <c r="D954" i="14" l="1"/>
  <c r="C954" i="14"/>
  <c r="E954" i="14" s="1"/>
  <c r="B954" i="14"/>
  <c r="A955" i="14"/>
  <c r="B955" i="14" l="1"/>
  <c r="D955" i="14"/>
  <c r="C955" i="14"/>
  <c r="E955" i="14" s="1"/>
  <c r="A956" i="14"/>
  <c r="D956" i="14" l="1"/>
  <c r="C956" i="14"/>
  <c r="E956" i="14" s="1"/>
  <c r="B956" i="14"/>
  <c r="A957" i="14"/>
  <c r="D957" i="14" l="1"/>
  <c r="C957" i="14"/>
  <c r="E957" i="14" s="1"/>
  <c r="B957" i="14"/>
  <c r="A958" i="14"/>
  <c r="C958" i="14" l="1"/>
  <c r="E958" i="14" s="1"/>
  <c r="B958" i="14"/>
  <c r="D958" i="14"/>
  <c r="A959" i="14"/>
  <c r="D959" i="14" l="1"/>
  <c r="C959" i="14"/>
  <c r="E959" i="14" s="1"/>
  <c r="B959" i="14"/>
  <c r="A960" i="14"/>
  <c r="D960" i="14" l="1"/>
  <c r="C960" i="14"/>
  <c r="E960" i="14" s="1"/>
  <c r="B960" i="14"/>
  <c r="A961" i="14"/>
  <c r="D961" i="14" l="1"/>
  <c r="C961" i="14"/>
  <c r="E961" i="14" s="1"/>
  <c r="B961" i="14"/>
  <c r="A962" i="14"/>
  <c r="D962" i="14" l="1"/>
  <c r="C962" i="14"/>
  <c r="E962" i="14" s="1"/>
  <c r="B962" i="14"/>
  <c r="A963" i="14"/>
  <c r="B963" i="14" l="1"/>
  <c r="D963" i="14"/>
  <c r="C963" i="14"/>
  <c r="E963" i="14" s="1"/>
  <c r="A964" i="14"/>
  <c r="D964" i="14" l="1"/>
  <c r="C964" i="14"/>
  <c r="E964" i="14" s="1"/>
  <c r="B964" i="14"/>
  <c r="A965" i="14"/>
  <c r="D965" i="14" l="1"/>
  <c r="C965" i="14"/>
  <c r="E965" i="14" s="1"/>
  <c r="B965" i="14"/>
  <c r="A966" i="14"/>
  <c r="C966" i="14" l="1"/>
  <c r="E966" i="14" s="1"/>
  <c r="B966" i="14"/>
  <c r="D966" i="14"/>
  <c r="A967" i="14"/>
  <c r="D967" i="14" l="1"/>
  <c r="C967" i="14"/>
  <c r="E967" i="14" s="1"/>
  <c r="B967" i="14"/>
  <c r="A968" i="14"/>
  <c r="D968" i="14" l="1"/>
  <c r="C968" i="14"/>
  <c r="E968" i="14" s="1"/>
  <c r="B968" i="14"/>
  <c r="A969" i="14"/>
  <c r="D969" i="14" l="1"/>
  <c r="C969" i="14"/>
  <c r="E969" i="14" s="1"/>
  <c r="B969" i="14"/>
  <c r="A970" i="14"/>
  <c r="D970" i="14" l="1"/>
  <c r="C970" i="14"/>
  <c r="E970" i="14" s="1"/>
  <c r="B970" i="14"/>
  <c r="A971" i="14"/>
  <c r="B971" i="14" l="1"/>
  <c r="D971" i="14"/>
  <c r="C971" i="14"/>
  <c r="E971" i="14" s="1"/>
  <c r="A972" i="14"/>
  <c r="D972" i="14" l="1"/>
  <c r="C972" i="14"/>
  <c r="E972" i="14" s="1"/>
  <c r="B972" i="14"/>
  <c r="A973" i="14"/>
  <c r="D973" i="14" l="1"/>
  <c r="C973" i="14"/>
  <c r="E973" i="14" s="1"/>
  <c r="B973" i="14"/>
  <c r="A974" i="14"/>
  <c r="C974" i="14" l="1"/>
  <c r="E974" i="14" s="1"/>
  <c r="B974" i="14"/>
  <c r="D974" i="14"/>
  <c r="A975" i="14"/>
  <c r="D975" i="14" l="1"/>
  <c r="C975" i="14"/>
  <c r="E975" i="14" s="1"/>
  <c r="B975" i="14"/>
  <c r="A976" i="14"/>
  <c r="D976" i="14" l="1"/>
  <c r="C976" i="14"/>
  <c r="E976" i="14" s="1"/>
  <c r="B976" i="14"/>
  <c r="A977" i="14"/>
  <c r="D977" i="14" l="1"/>
  <c r="C977" i="14"/>
  <c r="E977" i="14" s="1"/>
  <c r="B977" i="14"/>
  <c r="A978" i="14"/>
  <c r="D978" i="14" l="1"/>
  <c r="C978" i="14"/>
  <c r="E978" i="14" s="1"/>
  <c r="B978" i="14"/>
  <c r="A979" i="14"/>
  <c r="B979" i="14" l="1"/>
  <c r="D979" i="14"/>
  <c r="C979" i="14"/>
  <c r="E979" i="14" s="1"/>
  <c r="A980" i="14"/>
  <c r="D980" i="14" l="1"/>
  <c r="C980" i="14"/>
  <c r="E980" i="14" s="1"/>
  <c r="B980" i="14"/>
  <c r="A981" i="14"/>
  <c r="D981" i="14" l="1"/>
  <c r="C981" i="14"/>
  <c r="E981" i="14" s="1"/>
  <c r="B981" i="14"/>
  <c r="A982" i="14"/>
  <c r="C982" i="14" l="1"/>
  <c r="E982" i="14" s="1"/>
  <c r="B982" i="14"/>
  <c r="D982" i="14"/>
  <c r="A983" i="14"/>
  <c r="D983" i="14" l="1"/>
  <c r="C983" i="14"/>
  <c r="E983" i="14" s="1"/>
  <c r="B983" i="14"/>
  <c r="A984" i="14"/>
  <c r="D984" i="14" l="1"/>
  <c r="C984" i="14"/>
  <c r="E984" i="14" s="1"/>
  <c r="B984" i="14"/>
  <c r="A985" i="14"/>
  <c r="D985" i="14" l="1"/>
  <c r="C985" i="14"/>
  <c r="E985" i="14" s="1"/>
  <c r="B985" i="14"/>
  <c r="A986" i="14"/>
  <c r="D986" i="14" l="1"/>
  <c r="C986" i="14"/>
  <c r="E986" i="14" s="1"/>
  <c r="B986" i="14"/>
  <c r="A987" i="14"/>
  <c r="B987" i="14" l="1"/>
  <c r="D987" i="14"/>
  <c r="C987" i="14"/>
  <c r="E987" i="14" s="1"/>
  <c r="A988" i="14"/>
  <c r="D988" i="14" l="1"/>
  <c r="C988" i="14"/>
  <c r="E988" i="14" s="1"/>
  <c r="B988" i="14"/>
  <c r="A989" i="14"/>
  <c r="D989" i="14" l="1"/>
  <c r="C989" i="14"/>
  <c r="E989" i="14" s="1"/>
  <c r="B989" i="14"/>
  <c r="A990" i="14"/>
  <c r="C990" i="14" l="1"/>
  <c r="E990" i="14" s="1"/>
  <c r="B990" i="14"/>
  <c r="D990" i="14"/>
  <c r="A991" i="14"/>
  <c r="D991" i="14" l="1"/>
  <c r="C991" i="14"/>
  <c r="E991" i="14" s="1"/>
  <c r="B991" i="14"/>
  <c r="A992" i="14"/>
  <c r="D992" i="14" l="1"/>
  <c r="C992" i="14"/>
  <c r="E992" i="14" s="1"/>
  <c r="B992" i="14"/>
  <c r="A993" i="14"/>
  <c r="D993" i="14" l="1"/>
  <c r="C993" i="14"/>
  <c r="E993" i="14" s="1"/>
  <c r="B993" i="14"/>
  <c r="A994" i="14"/>
  <c r="D994" i="14" l="1"/>
  <c r="C994" i="14"/>
  <c r="E994" i="14" s="1"/>
  <c r="B994" i="14"/>
  <c r="A995" i="14"/>
  <c r="B995" i="14" l="1"/>
  <c r="D995" i="14"/>
  <c r="C995" i="14"/>
  <c r="E995" i="14" s="1"/>
  <c r="A996" i="14"/>
  <c r="D996" i="14" l="1"/>
  <c r="C996" i="14"/>
  <c r="E996" i="14" s="1"/>
  <c r="B996" i="14"/>
  <c r="A997" i="14"/>
  <c r="D997" i="14" l="1"/>
  <c r="C997" i="14"/>
  <c r="E997" i="14" s="1"/>
  <c r="B997" i="14"/>
  <c r="A998" i="14"/>
  <c r="C998" i="14" l="1"/>
  <c r="E998" i="14" s="1"/>
  <c r="B998" i="14"/>
  <c r="D998" i="14"/>
  <c r="A999" i="14"/>
  <c r="D999" i="14" l="1"/>
  <c r="C999" i="14"/>
  <c r="E999" i="14" s="1"/>
  <c r="B999" i="14"/>
  <c r="A1000" i="14"/>
  <c r="D1000" i="14" l="1"/>
  <c r="C1000" i="14"/>
  <c r="E1000" i="14" s="1"/>
  <c r="B1000" i="14"/>
  <c r="A1001" i="14"/>
  <c r="D1001" i="14" l="1"/>
  <c r="C1001" i="14"/>
  <c r="E1001" i="14" s="1"/>
  <c r="B1001" i="14"/>
  <c r="A1002" i="14"/>
  <c r="D1002" i="14" l="1"/>
  <c r="C1002" i="14"/>
  <c r="E1002" i="14" s="1"/>
  <c r="B1002" i="14"/>
  <c r="A1003" i="14"/>
  <c r="B1003" i="14" l="1"/>
  <c r="D1003" i="14"/>
  <c r="C1003" i="14"/>
  <c r="E1003" i="14" s="1"/>
  <c r="A1004" i="14"/>
  <c r="D1004" i="14" l="1"/>
  <c r="C1004" i="14"/>
  <c r="E1004" i="14" s="1"/>
  <c r="B1004" i="14"/>
  <c r="A1005" i="14"/>
  <c r="D1005" i="14" l="1"/>
  <c r="C1005" i="14"/>
  <c r="E1005" i="14" s="1"/>
  <c r="B1005" i="14"/>
  <c r="A1006" i="14"/>
  <c r="C1006" i="14" l="1"/>
  <c r="E1006" i="14" s="1"/>
  <c r="B1006" i="14"/>
  <c r="D1006" i="14"/>
  <c r="A1007" i="14"/>
  <c r="D1007" i="14" l="1"/>
  <c r="C1007" i="14"/>
  <c r="E1007" i="14" s="1"/>
  <c r="B1007" i="14"/>
  <c r="A1008" i="14"/>
  <c r="D1008" i="14" l="1"/>
  <c r="C1008" i="14"/>
  <c r="E1008" i="14" s="1"/>
  <c r="B1008" i="14"/>
  <c r="A1009" i="14"/>
  <c r="D1009" i="14" l="1"/>
  <c r="C1009" i="14"/>
  <c r="E1009" i="14" s="1"/>
  <c r="B1009" i="14"/>
  <c r="A1010" i="14"/>
  <c r="D1010" i="14" l="1"/>
  <c r="C1010" i="14"/>
  <c r="E1010" i="14" s="1"/>
  <c r="B1010" i="14"/>
  <c r="A1011" i="14"/>
  <c r="B1011" i="14" l="1"/>
  <c r="D1011" i="14"/>
  <c r="C1011" i="14"/>
  <c r="E1011" i="14" s="1"/>
  <c r="A1012" i="14"/>
  <c r="D1012" i="14" l="1"/>
  <c r="C1012" i="14"/>
  <c r="E1012" i="14" s="1"/>
  <c r="B1012" i="14"/>
  <c r="A1013" i="14"/>
  <c r="D1013" i="14" l="1"/>
  <c r="C1013" i="14"/>
  <c r="E1013" i="14" s="1"/>
  <c r="B1013" i="14"/>
  <c r="A1014" i="14"/>
  <c r="C1014" i="14" l="1"/>
  <c r="E1014" i="14" s="1"/>
  <c r="B1014" i="14"/>
  <c r="D1014" i="14"/>
  <c r="A1015" i="14"/>
  <c r="D1015" i="14" l="1"/>
  <c r="C1015" i="14"/>
  <c r="E1015" i="14" s="1"/>
  <c r="B1015" i="14"/>
  <c r="A1016" i="14"/>
  <c r="D1016" i="14" l="1"/>
  <c r="C1016" i="14"/>
  <c r="E1016" i="14" s="1"/>
  <c r="B1016" i="14"/>
  <c r="A1017" i="14"/>
  <c r="D1017" i="14" l="1"/>
  <c r="C1017" i="14"/>
  <c r="E1017" i="14" s="1"/>
  <c r="B1017" i="14"/>
  <c r="A1018" i="14"/>
  <c r="D1018" i="14" l="1"/>
  <c r="C1018" i="14"/>
  <c r="E1018" i="14" s="1"/>
  <c r="B1018" i="14"/>
  <c r="A1019" i="14"/>
  <c r="B1019" i="14" l="1"/>
  <c r="D1019" i="14"/>
  <c r="C1019" i="14"/>
  <c r="E1019" i="14" s="1"/>
  <c r="A1020" i="14"/>
  <c r="D1020" i="14" l="1"/>
  <c r="C1020" i="14"/>
  <c r="E1020" i="14" s="1"/>
  <c r="B1020" i="14"/>
  <c r="A1021" i="14"/>
  <c r="D1021" i="14" l="1"/>
  <c r="C1021" i="14"/>
  <c r="E1021" i="14" s="1"/>
  <c r="B1021" i="14"/>
  <c r="A1022" i="14"/>
  <c r="C1022" i="14" l="1"/>
  <c r="E1022" i="14" s="1"/>
  <c r="B1022" i="14"/>
  <c r="D1022" i="14"/>
  <c r="A1023" i="14"/>
  <c r="D1023" i="14" l="1"/>
  <c r="C1023" i="14"/>
  <c r="E1023" i="14" s="1"/>
  <c r="B1023" i="14"/>
  <c r="A1024" i="14"/>
  <c r="D1024" i="14" l="1"/>
  <c r="C1024" i="14"/>
  <c r="E1024" i="14" s="1"/>
  <c r="B1024" i="14"/>
  <c r="A1025" i="14"/>
  <c r="D1025" i="14" l="1"/>
  <c r="C1025" i="14"/>
  <c r="E1025" i="14" s="1"/>
  <c r="B1025" i="14"/>
  <c r="A1026" i="14"/>
  <c r="D1026" i="14" l="1"/>
  <c r="C1026" i="14"/>
  <c r="E1026" i="14" s="1"/>
  <c r="B1026" i="14"/>
  <c r="A1027" i="14"/>
  <c r="B1027" i="14" l="1"/>
  <c r="D1027" i="14"/>
  <c r="C1027" i="14"/>
  <c r="E1027" i="14" s="1"/>
  <c r="A1028" i="14"/>
  <c r="D1028" i="14" l="1"/>
  <c r="C1028" i="14"/>
  <c r="E1028" i="14" s="1"/>
  <c r="B1028" i="14"/>
  <c r="A1029" i="14"/>
  <c r="D1029" i="14" l="1"/>
  <c r="C1029" i="14"/>
  <c r="E1029" i="14" s="1"/>
  <c r="B1029" i="14"/>
  <c r="A1030" i="14"/>
  <c r="C1030" i="14" l="1"/>
  <c r="E1030" i="14" s="1"/>
  <c r="B1030" i="14"/>
  <c r="D1030" i="14"/>
  <c r="A1031" i="14"/>
  <c r="D1031" i="14" l="1"/>
  <c r="C1031" i="14"/>
  <c r="E1031" i="14" s="1"/>
  <c r="B1031" i="14"/>
  <c r="A1032" i="14"/>
  <c r="D1032" i="14" l="1"/>
  <c r="C1032" i="14"/>
  <c r="E1032" i="14" s="1"/>
  <c r="B1032" i="14"/>
  <c r="A1033" i="14"/>
  <c r="D1033" i="14" l="1"/>
  <c r="C1033" i="14"/>
  <c r="E1033" i="14" s="1"/>
  <c r="B1033" i="14"/>
  <c r="A1034" i="14"/>
  <c r="D1034" i="14" l="1"/>
  <c r="C1034" i="14"/>
  <c r="E1034" i="14" s="1"/>
  <c r="B1034" i="14"/>
  <c r="A1035" i="14"/>
  <c r="B1035" i="14" l="1"/>
  <c r="D1035" i="14"/>
  <c r="C1035" i="14"/>
  <c r="E1035" i="14" s="1"/>
  <c r="A1036" i="14"/>
  <c r="D1036" i="14" l="1"/>
  <c r="C1036" i="14"/>
  <c r="E1036" i="14" s="1"/>
  <c r="B1036" i="14"/>
  <c r="A1037" i="14"/>
  <c r="D1037" i="14" l="1"/>
  <c r="C1037" i="14"/>
  <c r="E1037" i="14" s="1"/>
  <c r="B1037" i="14"/>
  <c r="A1038" i="14"/>
  <c r="C1038" i="14" l="1"/>
  <c r="E1038" i="14" s="1"/>
  <c r="B1038" i="14"/>
  <c r="D1038" i="14"/>
  <c r="A1039" i="14"/>
  <c r="D1039" i="14" l="1"/>
  <c r="C1039" i="14"/>
  <c r="E1039" i="14" s="1"/>
  <c r="B1039" i="14"/>
  <c r="A1040" i="14"/>
  <c r="D1040" i="14" l="1"/>
  <c r="C1040" i="14"/>
  <c r="E1040" i="14" s="1"/>
  <c r="B1040" i="14"/>
  <c r="A1041" i="14"/>
  <c r="D1041" i="14" l="1"/>
  <c r="C1041" i="14"/>
  <c r="E1041" i="14" s="1"/>
  <c r="B1041" i="14"/>
  <c r="A1042" i="14"/>
  <c r="D1042" i="14" l="1"/>
  <c r="C1042" i="14"/>
  <c r="E1042" i="14" s="1"/>
  <c r="B1042" i="14"/>
  <c r="A1043" i="14"/>
  <c r="B1043" i="14" l="1"/>
  <c r="D1043" i="14"/>
  <c r="C1043" i="14"/>
  <c r="E1043" i="14" s="1"/>
  <c r="A1044" i="14"/>
  <c r="D1044" i="14" l="1"/>
  <c r="C1044" i="14"/>
  <c r="E1044" i="14" s="1"/>
  <c r="B1044" i="14"/>
  <c r="A1045" i="14"/>
  <c r="D1045" i="14" l="1"/>
  <c r="C1045" i="14"/>
  <c r="E1045" i="14" s="1"/>
  <c r="B1045" i="14"/>
  <c r="A1046" i="14"/>
  <c r="C1046" i="14" l="1"/>
  <c r="E1046" i="14" s="1"/>
  <c r="B1046" i="14"/>
  <c r="D1046" i="14"/>
  <c r="A1047" i="14"/>
  <c r="D1047" i="14" l="1"/>
  <c r="C1047" i="14"/>
  <c r="E1047" i="14" s="1"/>
  <c r="B1047" i="14"/>
  <c r="A1048" i="14"/>
  <c r="D1048" i="14" l="1"/>
  <c r="C1048" i="14"/>
  <c r="E1048" i="14" s="1"/>
  <c r="B1048" i="14"/>
  <c r="A1049" i="14"/>
  <c r="D1049" i="14" l="1"/>
  <c r="C1049" i="14"/>
  <c r="E1049" i="14" s="1"/>
  <c r="B1049" i="14"/>
  <c r="A1050" i="14"/>
  <c r="D1050" i="14" l="1"/>
  <c r="C1050" i="14"/>
  <c r="E1050" i="14" s="1"/>
  <c r="B1050" i="14"/>
  <c r="A1051" i="14"/>
  <c r="B1051" i="14" l="1"/>
  <c r="D1051" i="14"/>
  <c r="C1051" i="14"/>
  <c r="E1051" i="14" s="1"/>
  <c r="A1052" i="14"/>
  <c r="D1052" i="14" l="1"/>
  <c r="C1052" i="14"/>
  <c r="E1052" i="14" s="1"/>
  <c r="B1052" i="14"/>
  <c r="A1053" i="14"/>
  <c r="D1053" i="14" l="1"/>
  <c r="C1053" i="14"/>
  <c r="E1053" i="14" s="1"/>
  <c r="B1053" i="14"/>
  <c r="A1054" i="14"/>
  <c r="C1054" i="14" l="1"/>
  <c r="E1054" i="14" s="1"/>
  <c r="B1054" i="14"/>
  <c r="D1054" i="14"/>
  <c r="A1055" i="14"/>
  <c r="D1055" i="14" l="1"/>
  <c r="C1055" i="14"/>
  <c r="E1055" i="14" s="1"/>
  <c r="B1055" i="14"/>
  <c r="A1056" i="14"/>
  <c r="D1056" i="14" l="1"/>
  <c r="C1056" i="14"/>
  <c r="E1056" i="14" s="1"/>
  <c r="B1056" i="14"/>
  <c r="A1057" i="14"/>
  <c r="D1057" i="14" l="1"/>
  <c r="C1057" i="14"/>
  <c r="E1057" i="14" s="1"/>
  <c r="B1057" i="14"/>
  <c r="A1058" i="14"/>
  <c r="D1058" i="14" l="1"/>
  <c r="C1058" i="14"/>
  <c r="E1058" i="14" s="1"/>
  <c r="B1058" i="14"/>
  <c r="A1059" i="14"/>
  <c r="B1059" i="14" l="1"/>
  <c r="D1059" i="14"/>
  <c r="C1059" i="14"/>
  <c r="E1059" i="14" s="1"/>
  <c r="A1060" i="14"/>
  <c r="D1060" i="14" l="1"/>
  <c r="C1060" i="14"/>
  <c r="E1060" i="14" s="1"/>
  <c r="B1060" i="14"/>
  <c r="A1061" i="14"/>
  <c r="D1061" i="14" l="1"/>
  <c r="C1061" i="14"/>
  <c r="E1061" i="14" s="1"/>
  <c r="B1061" i="14"/>
  <c r="A1062" i="14"/>
  <c r="C1062" i="14" l="1"/>
  <c r="E1062" i="14" s="1"/>
  <c r="B1062" i="14"/>
  <c r="D1062" i="14"/>
  <c r="A1063" i="14"/>
  <c r="D1063" i="14" l="1"/>
  <c r="C1063" i="14"/>
  <c r="E1063" i="14" s="1"/>
  <c r="B1063" i="14"/>
  <c r="A1064" i="14"/>
  <c r="D1064" i="14" l="1"/>
  <c r="C1064" i="14"/>
  <c r="E1064" i="14" s="1"/>
  <c r="B1064" i="14"/>
  <c r="A1065" i="14"/>
  <c r="D1065" i="14" l="1"/>
  <c r="C1065" i="14"/>
  <c r="E1065" i="14" s="1"/>
  <c r="B1065" i="14"/>
  <c r="A1066" i="14"/>
  <c r="D1066" i="14" l="1"/>
  <c r="C1066" i="14"/>
  <c r="E1066" i="14" s="1"/>
  <c r="B1066" i="14"/>
  <c r="A1067" i="14"/>
  <c r="B1067" i="14" l="1"/>
  <c r="D1067" i="14"/>
  <c r="C1067" i="14"/>
  <c r="E1067" i="14" s="1"/>
  <c r="A1068" i="14"/>
  <c r="D1068" i="14" l="1"/>
  <c r="C1068" i="14"/>
  <c r="E1068" i="14" s="1"/>
  <c r="B1068" i="14"/>
  <c r="A1069" i="14"/>
  <c r="D1069" i="14" l="1"/>
  <c r="C1069" i="14"/>
  <c r="E1069" i="14" s="1"/>
  <c r="B1069" i="14"/>
  <c r="A1070" i="14"/>
  <c r="C1070" i="14" l="1"/>
  <c r="E1070" i="14" s="1"/>
  <c r="B1070" i="14"/>
  <c r="D1070" i="14"/>
  <c r="A1071" i="14"/>
  <c r="D1071" i="14" l="1"/>
  <c r="C1071" i="14"/>
  <c r="E1071" i="14" s="1"/>
  <c r="B1071" i="14"/>
  <c r="A1072" i="14"/>
  <c r="D1072" i="14" l="1"/>
  <c r="C1072" i="14"/>
  <c r="E1072" i="14" s="1"/>
  <c r="B1072" i="14"/>
  <c r="A1073" i="14"/>
  <c r="D1073" i="14" l="1"/>
  <c r="C1073" i="14"/>
  <c r="E1073" i="14" s="1"/>
  <c r="B1073" i="14"/>
  <c r="A1074" i="14"/>
  <c r="D1074" i="14" l="1"/>
  <c r="C1074" i="14"/>
  <c r="E1074" i="14" s="1"/>
  <c r="B1074" i="14"/>
  <c r="A1075" i="14"/>
  <c r="B1075" i="14" l="1"/>
  <c r="D1075" i="14"/>
  <c r="C1075" i="14"/>
  <c r="E1075" i="14" s="1"/>
  <c r="A1076" i="14"/>
  <c r="D1076" i="14" l="1"/>
  <c r="C1076" i="14"/>
  <c r="E1076" i="14" s="1"/>
  <c r="B1076" i="14"/>
  <c r="A1077" i="14"/>
  <c r="D1077" i="14" l="1"/>
  <c r="C1077" i="14"/>
  <c r="E1077" i="14" s="1"/>
  <c r="B1077" i="14"/>
  <c r="A1078" i="14"/>
  <c r="C1078" i="14" l="1"/>
  <c r="E1078" i="14" s="1"/>
  <c r="B1078" i="14"/>
  <c r="D1078" i="14"/>
  <c r="A1079" i="14"/>
  <c r="D1079" i="14" l="1"/>
  <c r="C1079" i="14"/>
  <c r="E1079" i="14" s="1"/>
  <c r="B1079" i="14"/>
  <c r="A1080" i="14"/>
  <c r="D1080" i="14" l="1"/>
  <c r="C1080" i="14"/>
  <c r="E1080" i="14" s="1"/>
  <c r="B1080" i="14"/>
  <c r="A1081" i="14"/>
  <c r="D1081" i="14" l="1"/>
  <c r="C1081" i="14"/>
  <c r="E1081" i="14" s="1"/>
  <c r="B1081" i="14"/>
  <c r="A1082" i="14"/>
  <c r="D1082" i="14" l="1"/>
  <c r="C1082" i="14"/>
  <c r="E1082" i="14" s="1"/>
  <c r="B1082" i="14"/>
  <c r="A1083" i="14"/>
  <c r="B1083" i="14" l="1"/>
  <c r="D1083" i="14"/>
  <c r="C1083" i="14"/>
  <c r="E1083" i="14" s="1"/>
  <c r="A1084" i="14"/>
  <c r="D1084" i="14" l="1"/>
  <c r="C1084" i="14"/>
  <c r="E1084" i="14" s="1"/>
  <c r="B1084" i="14"/>
  <c r="A1085" i="14"/>
  <c r="D1085" i="14" l="1"/>
  <c r="C1085" i="14"/>
  <c r="E1085" i="14" s="1"/>
  <c r="B1085" i="14"/>
  <c r="A1086" i="14"/>
  <c r="C1086" i="14" l="1"/>
  <c r="E1086" i="14" s="1"/>
  <c r="B1086" i="14"/>
  <c r="D1086" i="14"/>
  <c r="A1087" i="14"/>
  <c r="D1087" i="14" l="1"/>
  <c r="C1087" i="14"/>
  <c r="E1087" i="14" s="1"/>
  <c r="B1087" i="14"/>
  <c r="A1088" i="14"/>
  <c r="D1088" i="14" l="1"/>
  <c r="C1088" i="14"/>
  <c r="E1088" i="14" s="1"/>
  <c r="B1088" i="14"/>
  <c r="A1089" i="14"/>
  <c r="D1089" i="14" l="1"/>
  <c r="C1089" i="14"/>
  <c r="E1089" i="14" s="1"/>
  <c r="B1089" i="14"/>
  <c r="A1090" i="14"/>
  <c r="D1090" i="14" l="1"/>
  <c r="C1090" i="14"/>
  <c r="E1090" i="14" s="1"/>
  <c r="B1090" i="14"/>
  <c r="A1091" i="14"/>
  <c r="B1091" i="14" l="1"/>
  <c r="D1091" i="14"/>
  <c r="C1091" i="14"/>
  <c r="E1091" i="14" s="1"/>
  <c r="A1092" i="14"/>
  <c r="D1092" i="14" l="1"/>
  <c r="C1092" i="14"/>
  <c r="E1092" i="14" s="1"/>
  <c r="B1092" i="14"/>
  <c r="A1093" i="14"/>
  <c r="D1093" i="14" l="1"/>
  <c r="C1093" i="14"/>
  <c r="E1093" i="14" s="1"/>
  <c r="B1093" i="14"/>
  <c r="A1094" i="14"/>
  <c r="C1094" i="14" l="1"/>
  <c r="E1094" i="14" s="1"/>
  <c r="B1094" i="14"/>
  <c r="D1094" i="14"/>
  <c r="A1095" i="14"/>
  <c r="D1095" i="14" l="1"/>
  <c r="C1095" i="14"/>
  <c r="E1095" i="14" s="1"/>
  <c r="B1095" i="14"/>
  <c r="A1096" i="14"/>
  <c r="D1096" i="14" l="1"/>
  <c r="C1096" i="14"/>
  <c r="E1096" i="14" s="1"/>
  <c r="B1096" i="14"/>
  <c r="A1097" i="14"/>
  <c r="D1097" i="14" l="1"/>
  <c r="C1097" i="14"/>
  <c r="E1097" i="14" s="1"/>
  <c r="B1097" i="14"/>
  <c r="A1098" i="14"/>
  <c r="D1098" i="14" l="1"/>
  <c r="C1098" i="14"/>
  <c r="E1098" i="14" s="1"/>
  <c r="B1098" i="14"/>
  <c r="A1099" i="14"/>
  <c r="B1099" i="14" l="1"/>
  <c r="D1099" i="14"/>
  <c r="C1099" i="14"/>
  <c r="E1099" i="14" s="1"/>
  <c r="A1100" i="14"/>
  <c r="D1100" i="14" l="1"/>
  <c r="C1100" i="14"/>
  <c r="E1100" i="14" s="1"/>
  <c r="B1100" i="14"/>
  <c r="A1101" i="14"/>
  <c r="D1101" i="14" l="1"/>
  <c r="C1101" i="14"/>
  <c r="E1101" i="14" s="1"/>
  <c r="B1101" i="14"/>
  <c r="A1102" i="14"/>
  <c r="C1102" i="14" l="1"/>
  <c r="E1102" i="14" s="1"/>
  <c r="B1102" i="14"/>
  <c r="D1102" i="14"/>
  <c r="A1103" i="14"/>
  <c r="D1103" i="14" l="1"/>
  <c r="C1103" i="14"/>
  <c r="E1103" i="14" s="1"/>
  <c r="B1103" i="14"/>
  <c r="A1104" i="14"/>
  <c r="D1104" i="14" l="1"/>
  <c r="C1104" i="14"/>
  <c r="E1104" i="14" s="1"/>
  <c r="B1104" i="14"/>
  <c r="A1105" i="14"/>
  <c r="D1105" i="14" l="1"/>
  <c r="C1105" i="14"/>
  <c r="E1105" i="14" s="1"/>
  <c r="B1105" i="14"/>
  <c r="A1106" i="14"/>
  <c r="D1106" i="14" l="1"/>
  <c r="C1106" i="14"/>
  <c r="E1106" i="14" s="1"/>
  <c r="B1106" i="14"/>
  <c r="A1107" i="14"/>
  <c r="B1107" i="14" l="1"/>
  <c r="D1107" i="14"/>
  <c r="C1107" i="14"/>
  <c r="E1107" i="14" s="1"/>
  <c r="A1108" i="14"/>
  <c r="D1108" i="14" l="1"/>
  <c r="C1108" i="14"/>
  <c r="E1108" i="14" s="1"/>
  <c r="B1108" i="14"/>
  <c r="A1109" i="14"/>
  <c r="D1109" i="14" l="1"/>
  <c r="C1109" i="14"/>
  <c r="E1109" i="14" s="1"/>
  <c r="B1109" i="14"/>
  <c r="A1110" i="14"/>
  <c r="C1110" i="14" l="1"/>
  <c r="E1110" i="14" s="1"/>
  <c r="B1110" i="14"/>
  <c r="D1110" i="14"/>
  <c r="A1111" i="14"/>
  <c r="D1111" i="14" l="1"/>
  <c r="C1111" i="14"/>
  <c r="E1111" i="14" s="1"/>
  <c r="B1111" i="14"/>
  <c r="A1112" i="14"/>
  <c r="D1112" i="14" l="1"/>
  <c r="C1112" i="14"/>
  <c r="E1112" i="14" s="1"/>
  <c r="B1112" i="14"/>
  <c r="A1113" i="14"/>
  <c r="D1113" i="14" l="1"/>
  <c r="C1113" i="14"/>
  <c r="E1113" i="14" s="1"/>
  <c r="B1113" i="14"/>
  <c r="A1114" i="14"/>
  <c r="D1114" i="14" l="1"/>
  <c r="C1114" i="14"/>
  <c r="E1114" i="14" s="1"/>
  <c r="B1114" i="14"/>
  <c r="A1115" i="14"/>
  <c r="B1115" i="14" l="1"/>
  <c r="D1115" i="14"/>
  <c r="C1115" i="14"/>
  <c r="E1115" i="14" s="1"/>
  <c r="A1116" i="14"/>
  <c r="D1116" i="14" l="1"/>
  <c r="C1116" i="14"/>
  <c r="E1116" i="14" s="1"/>
  <c r="B1116" i="14"/>
  <c r="A1117" i="14"/>
  <c r="D1117" i="14" l="1"/>
  <c r="C1117" i="14"/>
  <c r="E1117" i="14" s="1"/>
  <c r="B1117" i="14"/>
  <c r="A1118" i="14"/>
  <c r="C1118" i="14" l="1"/>
  <c r="E1118" i="14" s="1"/>
  <c r="B1118" i="14"/>
  <c r="D1118" i="14"/>
  <c r="A1119" i="14"/>
  <c r="D1119" i="14" l="1"/>
  <c r="C1119" i="14"/>
  <c r="E1119" i="14" s="1"/>
  <c r="B1119" i="14"/>
  <c r="A1120" i="14"/>
  <c r="D1120" i="14" l="1"/>
  <c r="C1120" i="14"/>
  <c r="E1120" i="14" s="1"/>
  <c r="B1120" i="14"/>
  <c r="A1121" i="14"/>
  <c r="D1121" i="14" l="1"/>
  <c r="C1121" i="14"/>
  <c r="E1121" i="14" s="1"/>
  <c r="B1121" i="14"/>
  <c r="A1122" i="14"/>
  <c r="D1122" i="14" l="1"/>
  <c r="C1122" i="14"/>
  <c r="E1122" i="14" s="1"/>
  <c r="B1122" i="14"/>
  <c r="A1123" i="14"/>
  <c r="B1123" i="14" l="1"/>
  <c r="D1123" i="14"/>
  <c r="C1123" i="14"/>
  <c r="E1123" i="14" s="1"/>
  <c r="A1124" i="14"/>
  <c r="D1124" i="14" l="1"/>
  <c r="C1124" i="14"/>
  <c r="E1124" i="14" s="1"/>
  <c r="B1124" i="14"/>
  <c r="A1125" i="14"/>
  <c r="D1125" i="14" l="1"/>
  <c r="C1125" i="14"/>
  <c r="E1125" i="14" s="1"/>
  <c r="B1125" i="14"/>
  <c r="A1126" i="14"/>
  <c r="C1126" i="14" l="1"/>
  <c r="E1126" i="14" s="1"/>
  <c r="B1126" i="14"/>
  <c r="D1126" i="14"/>
  <c r="A1127" i="14"/>
  <c r="D1127" i="14" l="1"/>
  <c r="C1127" i="14"/>
  <c r="E1127" i="14" s="1"/>
  <c r="B1127" i="14"/>
  <c r="A1128" i="14"/>
  <c r="D1128" i="14" l="1"/>
  <c r="C1128" i="14"/>
  <c r="E1128" i="14" s="1"/>
  <c r="B1128" i="14"/>
  <c r="A1129" i="14"/>
  <c r="D1129" i="14" l="1"/>
  <c r="C1129" i="14"/>
  <c r="E1129" i="14" s="1"/>
  <c r="B1129" i="14"/>
  <c r="A1130" i="14"/>
  <c r="D1130" i="14" l="1"/>
  <c r="C1130" i="14"/>
  <c r="E1130" i="14" s="1"/>
  <c r="B1130" i="14"/>
  <c r="A1131" i="14"/>
  <c r="B1131" i="14" l="1"/>
  <c r="D1131" i="14"/>
  <c r="C1131" i="14"/>
  <c r="E1131" i="14" s="1"/>
  <c r="A1132" i="14"/>
  <c r="D1132" i="14" l="1"/>
  <c r="C1132" i="14"/>
  <c r="E1132" i="14" s="1"/>
  <c r="B1132" i="14"/>
  <c r="A1133" i="14"/>
  <c r="D1133" i="14" l="1"/>
  <c r="C1133" i="14"/>
  <c r="E1133" i="14" s="1"/>
  <c r="B1133" i="14"/>
  <c r="A1134" i="14"/>
  <c r="C1134" i="14" l="1"/>
  <c r="E1134" i="14" s="1"/>
  <c r="B1134" i="14"/>
  <c r="D1134" i="14"/>
  <c r="A1135" i="14"/>
  <c r="D1135" i="14" l="1"/>
  <c r="C1135" i="14"/>
  <c r="E1135" i="14" s="1"/>
  <c r="B1135" i="14"/>
  <c r="A1136" i="14"/>
  <c r="D1136" i="14" l="1"/>
  <c r="C1136" i="14"/>
  <c r="E1136" i="14" s="1"/>
  <c r="B1136" i="14"/>
  <c r="A1137" i="14"/>
  <c r="D1137" i="14" l="1"/>
  <c r="C1137" i="14"/>
  <c r="E1137" i="14" s="1"/>
  <c r="B1137" i="14"/>
  <c r="A1138" i="14"/>
  <c r="D1138" i="14" l="1"/>
  <c r="C1138" i="14"/>
  <c r="E1138" i="14" s="1"/>
  <c r="B1138" i="14"/>
  <c r="A1139" i="14"/>
  <c r="B1139" i="14" l="1"/>
  <c r="D1139" i="14"/>
  <c r="C1139" i="14"/>
  <c r="E1139" i="14" s="1"/>
  <c r="A1140" i="14"/>
  <c r="D1140" i="14" l="1"/>
  <c r="C1140" i="14"/>
  <c r="E1140" i="14" s="1"/>
  <c r="B1140" i="14"/>
  <c r="A1141" i="14"/>
  <c r="D1141" i="14" l="1"/>
  <c r="C1141" i="14"/>
  <c r="E1141" i="14" s="1"/>
  <c r="B1141" i="14"/>
  <c r="A1142" i="14"/>
  <c r="C1142" i="14" l="1"/>
  <c r="E1142" i="14" s="1"/>
  <c r="B1142" i="14"/>
  <c r="D1142" i="14"/>
  <c r="A1143" i="14"/>
  <c r="D1143" i="14" l="1"/>
  <c r="C1143" i="14"/>
  <c r="E1143" i="14" s="1"/>
  <c r="B1143" i="14"/>
  <c r="A1144" i="14"/>
  <c r="D1144" i="14" l="1"/>
  <c r="C1144" i="14"/>
  <c r="E1144" i="14" s="1"/>
  <c r="B1144" i="14"/>
  <c r="A1145" i="14"/>
  <c r="D1145" i="14" l="1"/>
  <c r="C1145" i="14"/>
  <c r="E1145" i="14" s="1"/>
  <c r="B1145" i="14"/>
  <c r="A1146" i="14"/>
  <c r="D1146" i="14" l="1"/>
  <c r="C1146" i="14"/>
  <c r="E1146" i="14" s="1"/>
  <c r="B1146" i="14"/>
  <c r="A1147" i="14"/>
  <c r="B1147" i="14" l="1"/>
  <c r="D1147" i="14"/>
  <c r="C1147" i="14"/>
  <c r="E1147" i="14" s="1"/>
  <c r="A1148" i="14"/>
  <c r="D1148" i="14" l="1"/>
  <c r="C1148" i="14"/>
  <c r="E1148" i="14" s="1"/>
  <c r="B1148" i="14"/>
  <c r="A1149" i="14"/>
  <c r="D1149" i="14" l="1"/>
  <c r="C1149" i="14"/>
  <c r="E1149" i="14" s="1"/>
  <c r="B1149" i="14"/>
  <c r="A1150" i="14"/>
  <c r="C1150" i="14" l="1"/>
  <c r="E1150" i="14" s="1"/>
  <c r="B1150" i="14"/>
  <c r="D1150" i="14"/>
  <c r="A1151" i="14"/>
  <c r="D1151" i="14" l="1"/>
  <c r="C1151" i="14"/>
  <c r="E1151" i="14" s="1"/>
  <c r="B1151" i="14"/>
  <c r="A1152" i="14"/>
  <c r="D1152" i="14" l="1"/>
  <c r="C1152" i="14"/>
  <c r="E1152" i="14" s="1"/>
  <c r="B1152" i="14"/>
  <c r="A1153" i="14"/>
  <c r="D1153" i="14" l="1"/>
  <c r="C1153" i="14"/>
  <c r="E1153" i="14" s="1"/>
  <c r="B1153" i="14"/>
  <c r="A1154" i="14"/>
  <c r="D1154" i="14" l="1"/>
  <c r="C1154" i="14"/>
  <c r="E1154" i="14" s="1"/>
  <c r="B1154" i="14"/>
  <c r="A1155" i="14"/>
  <c r="D1155" i="14" l="1"/>
  <c r="C1155" i="14"/>
  <c r="E1155" i="14" s="1"/>
  <c r="B1155" i="14"/>
  <c r="A1156" i="14"/>
  <c r="D1156" i="14" l="1"/>
  <c r="C1156" i="14"/>
  <c r="E1156" i="14" s="1"/>
  <c r="B1156" i="14"/>
  <c r="A1157" i="14"/>
  <c r="B1157" i="14" l="1"/>
  <c r="C1157" i="14"/>
  <c r="E1157" i="14" s="1"/>
  <c r="D1157" i="14"/>
  <c r="A1158" i="14"/>
  <c r="D1158" i="14" l="1"/>
  <c r="C1158" i="14"/>
  <c r="E1158" i="14" s="1"/>
  <c r="B1158" i="14"/>
  <c r="A1159" i="14"/>
  <c r="B1159" i="14" l="1"/>
  <c r="D1159" i="14"/>
  <c r="C1159" i="14"/>
  <c r="E1159" i="14" s="1"/>
  <c r="A1160" i="14"/>
  <c r="C1160" i="14" l="1"/>
  <c r="E1160" i="14" s="1"/>
  <c r="D1160" i="14"/>
  <c r="B1160" i="14"/>
  <c r="A1161" i="14"/>
  <c r="D1161" i="14" l="1"/>
  <c r="C1161" i="14"/>
  <c r="E1161" i="14" s="1"/>
  <c r="B1161" i="14"/>
  <c r="A1162" i="14"/>
  <c r="D1162" i="14" l="1"/>
  <c r="C1162" i="14"/>
  <c r="E1162" i="14" s="1"/>
  <c r="B1162" i="14"/>
  <c r="A1163" i="14"/>
  <c r="D1163" i="14" l="1"/>
  <c r="C1163" i="14"/>
  <c r="E1163" i="14" s="1"/>
  <c r="B1163" i="14"/>
  <c r="A1164" i="14"/>
  <c r="D1164" i="14" l="1"/>
  <c r="C1164" i="14"/>
  <c r="E1164" i="14" s="1"/>
  <c r="B1164" i="14"/>
  <c r="A1165" i="14"/>
  <c r="B1165" i="14" l="1"/>
  <c r="D1165" i="14"/>
  <c r="C1165" i="14"/>
  <c r="E1165" i="14" s="1"/>
  <c r="A1166" i="14"/>
  <c r="C1166" i="14" l="1"/>
  <c r="E1166" i="14" s="1"/>
  <c r="B1166" i="14"/>
  <c r="D1166" i="14"/>
  <c r="A1167" i="14"/>
  <c r="D1167" i="14" l="1"/>
  <c r="C1167" i="14"/>
  <c r="E1167" i="14" s="1"/>
  <c r="B1167" i="14"/>
  <c r="A1168" i="14"/>
  <c r="C1168" i="14" l="1"/>
  <c r="E1168" i="14" s="1"/>
  <c r="B1168" i="14"/>
  <c r="D1168" i="14"/>
  <c r="A1169" i="14"/>
  <c r="D1169" i="14" l="1"/>
  <c r="C1169" i="14"/>
  <c r="E1169" i="14" s="1"/>
  <c r="B1169" i="14"/>
  <c r="A1170" i="14"/>
  <c r="B1170" i="14" l="1"/>
  <c r="D1170" i="14"/>
  <c r="C1170" i="14"/>
  <c r="E1170" i="14" s="1"/>
  <c r="A1171" i="14"/>
  <c r="D1171" i="14" l="1"/>
  <c r="C1171" i="14"/>
  <c r="E1171" i="14" s="1"/>
  <c r="B1171" i="14"/>
  <c r="A1172" i="14"/>
  <c r="D1172" i="14" l="1"/>
  <c r="C1172" i="14"/>
  <c r="E1172" i="14" s="1"/>
  <c r="B1172" i="14"/>
  <c r="A1173" i="14"/>
  <c r="B1173" i="14" l="1"/>
  <c r="D1173" i="14"/>
  <c r="C1173" i="14"/>
  <c r="E1173" i="14" s="1"/>
  <c r="A1174" i="14"/>
  <c r="D1174" i="14" l="1"/>
  <c r="C1174" i="14"/>
  <c r="E1174" i="14" s="1"/>
  <c r="B1174" i="14"/>
  <c r="A1175" i="14"/>
  <c r="D1175" i="14" l="1"/>
  <c r="C1175" i="14"/>
  <c r="E1175" i="14" s="1"/>
  <c r="B1175" i="14"/>
  <c r="A1176" i="14"/>
  <c r="C1176" i="14" l="1"/>
  <c r="E1176" i="14" s="1"/>
  <c r="D1176" i="14"/>
  <c r="B1176" i="14"/>
  <c r="A1177" i="14"/>
  <c r="C1177" i="14" l="1"/>
  <c r="E1177" i="14" s="1"/>
  <c r="B1177" i="14"/>
  <c r="D1177" i="14"/>
  <c r="A1178" i="14"/>
  <c r="D1178" i="14" l="1"/>
  <c r="C1178" i="14"/>
  <c r="E1178" i="14" s="1"/>
  <c r="B1178" i="14"/>
  <c r="A1179" i="14"/>
  <c r="D1179" i="14" l="1"/>
  <c r="B1179" i="14"/>
  <c r="C1179" i="14"/>
  <c r="E1179" i="14" s="1"/>
  <c r="A1180" i="14"/>
  <c r="D1180" i="14" l="1"/>
  <c r="C1180" i="14"/>
  <c r="E1180" i="14" s="1"/>
  <c r="B1180" i="14"/>
  <c r="A1181" i="14"/>
  <c r="B1181" i="14" l="1"/>
  <c r="D1181" i="14"/>
  <c r="C1181" i="14"/>
  <c r="E1181" i="14" s="1"/>
  <c r="A1182" i="14"/>
  <c r="D1182" i="14" l="1"/>
  <c r="C1182" i="14"/>
  <c r="E1182" i="14" s="1"/>
  <c r="B1182" i="14"/>
  <c r="A1183" i="14"/>
  <c r="D1183" i="14" l="1"/>
  <c r="C1183" i="14"/>
  <c r="E1183" i="14" s="1"/>
  <c r="B1183" i="14"/>
  <c r="A1184" i="14"/>
  <c r="C1184" i="14" l="1"/>
  <c r="E1184" i="14" s="1"/>
  <c r="D1184" i="14"/>
  <c r="B1184" i="14"/>
  <c r="A1185" i="14"/>
  <c r="D1185" i="14" l="1"/>
  <c r="C1185" i="14"/>
  <c r="E1185" i="14" s="1"/>
  <c r="B1185" i="14"/>
  <c r="A1186" i="14"/>
  <c r="D1186" i="14" l="1"/>
  <c r="C1186" i="14"/>
  <c r="E1186" i="14" s="1"/>
  <c r="B1186" i="14"/>
  <c r="A1187" i="14"/>
  <c r="D1187" i="14" l="1"/>
  <c r="C1187" i="14"/>
  <c r="E1187" i="14" s="1"/>
  <c r="B1187" i="14"/>
  <c r="A1188" i="14"/>
  <c r="C1188" i="14" l="1"/>
  <c r="E1188" i="14" s="1"/>
  <c r="B1188" i="14"/>
  <c r="D1188" i="14"/>
  <c r="A1189" i="14"/>
  <c r="B1189" i="14" l="1"/>
  <c r="D1189" i="14"/>
  <c r="C1189" i="14"/>
  <c r="E1189" i="14" s="1"/>
  <c r="A1190" i="14"/>
  <c r="B1190" i="14" l="1"/>
  <c r="D1190" i="14"/>
  <c r="C1190" i="14"/>
  <c r="E1190" i="14" s="1"/>
  <c r="A1191" i="14"/>
  <c r="D1191" i="14" l="1"/>
  <c r="C1191" i="14"/>
  <c r="E1191" i="14" s="1"/>
  <c r="B1191" i="14"/>
  <c r="A1192" i="14"/>
  <c r="C1192" i="14" l="1"/>
  <c r="E1192" i="14" s="1"/>
  <c r="D1192" i="14"/>
  <c r="B1192" i="14"/>
  <c r="A1193" i="14"/>
  <c r="D1193" i="14" l="1"/>
  <c r="C1193" i="14"/>
  <c r="E1193" i="14" s="1"/>
  <c r="B1193" i="14"/>
  <c r="A1194" i="14"/>
  <c r="D1194" i="14" l="1"/>
  <c r="C1194" i="14"/>
  <c r="E1194" i="14" s="1"/>
  <c r="B1194" i="14"/>
  <c r="A1195" i="14"/>
  <c r="D1195" i="14" l="1"/>
  <c r="C1195" i="14"/>
  <c r="E1195" i="14" s="1"/>
  <c r="B1195" i="14"/>
  <c r="A1196" i="14"/>
  <c r="D1196" i="14" l="1"/>
  <c r="C1196" i="14"/>
  <c r="E1196" i="14" s="1"/>
  <c r="B1196" i="14"/>
  <c r="A1197" i="14"/>
  <c r="B1197" i="14" l="1"/>
  <c r="D1197" i="14"/>
  <c r="C1197" i="14"/>
  <c r="E1197" i="14" s="1"/>
  <c r="A1198" i="14"/>
  <c r="D1198" i="14" l="1"/>
  <c r="C1198" i="14"/>
  <c r="E1198" i="14" s="1"/>
  <c r="B1198" i="14"/>
  <c r="A1199" i="14"/>
  <c r="C1199" i="14" l="1"/>
  <c r="E1199" i="14" s="1"/>
  <c r="B1199" i="14"/>
  <c r="D1199" i="14"/>
  <c r="A1200" i="14"/>
  <c r="C1200" i="14" l="1"/>
  <c r="E1200" i="14" s="1"/>
  <c r="D1200" i="14"/>
  <c r="B1200" i="14"/>
  <c r="A1201" i="14"/>
  <c r="B1201" i="14" l="1"/>
  <c r="D1201" i="14"/>
  <c r="C1201" i="14"/>
  <c r="E1201" i="14" s="1"/>
  <c r="A1202" i="14"/>
  <c r="D1202" i="14" l="1"/>
  <c r="C1202" i="14"/>
  <c r="E1202" i="14" s="1"/>
  <c r="B1202" i="14"/>
  <c r="A1203" i="14"/>
  <c r="D1203" i="14" l="1"/>
  <c r="C1203" i="14"/>
  <c r="E1203" i="14" s="1"/>
  <c r="B1203" i="14"/>
  <c r="A1204" i="14"/>
  <c r="D1204" i="14" l="1"/>
  <c r="C1204" i="14"/>
  <c r="E1204" i="14" s="1"/>
  <c r="B1204" i="14"/>
  <c r="A1205" i="14"/>
  <c r="B1205" i="14" l="1"/>
  <c r="D1205" i="14"/>
  <c r="C1205" i="14"/>
  <c r="E1205" i="14" s="1"/>
  <c r="A1206" i="14"/>
  <c r="D1206" i="14" l="1"/>
  <c r="C1206" i="14"/>
  <c r="E1206" i="14" s="1"/>
  <c r="B1206" i="14"/>
  <c r="A1207" i="14"/>
  <c r="D1207" i="14" l="1"/>
  <c r="C1207" i="14"/>
  <c r="E1207" i="14" s="1"/>
  <c r="B1207" i="14"/>
  <c r="A1208" i="14"/>
  <c r="C1208" i="14" l="1"/>
  <c r="E1208" i="14" s="1"/>
  <c r="D1208" i="14"/>
  <c r="B1208" i="14"/>
  <c r="A1209" i="14"/>
  <c r="E1209" i="14" l="1"/>
  <c r="D1209" i="14"/>
  <c r="C1209" i="14"/>
  <c r="B1209" i="14"/>
  <c r="A1210" i="14"/>
  <c r="C1210" i="14" l="1"/>
  <c r="E1210" i="14" s="1"/>
  <c r="B1210" i="14"/>
  <c r="D1210" i="14"/>
  <c r="A1211" i="14"/>
  <c r="D1211" i="14" l="1"/>
  <c r="C1211" i="14"/>
  <c r="E1211" i="14" s="1"/>
  <c r="B1211" i="14"/>
  <c r="A1212" i="14"/>
  <c r="B1212" i="14" l="1"/>
  <c r="D1212" i="14"/>
  <c r="C1212" i="14"/>
  <c r="E1212" i="14" s="1"/>
  <c r="A1213" i="14"/>
  <c r="B1213" i="14" l="1"/>
  <c r="D1213" i="14"/>
  <c r="C1213" i="14"/>
  <c r="E1213" i="14" s="1"/>
  <c r="A1214" i="14"/>
  <c r="D1214" i="14" l="1"/>
  <c r="C1214" i="14"/>
  <c r="E1214" i="14" s="1"/>
  <c r="B1214" i="14"/>
  <c r="A1215" i="14"/>
  <c r="D1215" i="14" l="1"/>
  <c r="C1215" i="14"/>
  <c r="E1215" i="14" s="1"/>
  <c r="B1215" i="14"/>
  <c r="A1216" i="14"/>
  <c r="C1216" i="14" l="1"/>
  <c r="E1216" i="14" s="1"/>
  <c r="D1216" i="14"/>
  <c r="B1216" i="14"/>
  <c r="A1217" i="14"/>
  <c r="D1217" i="14" l="1"/>
  <c r="C1217" i="14"/>
  <c r="E1217" i="14" s="1"/>
  <c r="B1217" i="14"/>
  <c r="A1218" i="14"/>
  <c r="D1218" i="14" l="1"/>
  <c r="C1218" i="14"/>
  <c r="E1218" i="14" s="1"/>
  <c r="B1218" i="14"/>
  <c r="A1219" i="14"/>
  <c r="D1219" i="14" l="1"/>
  <c r="C1219" i="14"/>
  <c r="E1219" i="14" s="1"/>
  <c r="B1219" i="14"/>
  <c r="A1220" i="14"/>
  <c r="D1220" i="14" l="1"/>
  <c r="C1220" i="14"/>
  <c r="E1220" i="14" s="1"/>
  <c r="B1220" i="14"/>
  <c r="A1221" i="14"/>
  <c r="B1221" i="14" l="1"/>
  <c r="C1221" i="14"/>
  <c r="E1221" i="14" s="1"/>
  <c r="D1221" i="14"/>
  <c r="A1222" i="14"/>
  <c r="D1222" i="14" l="1"/>
  <c r="C1222" i="14"/>
  <c r="E1222" i="14" s="1"/>
  <c r="B1222" i="14"/>
  <c r="A1223" i="14"/>
  <c r="B1223" i="14" l="1"/>
  <c r="D1223" i="14"/>
  <c r="C1223" i="14"/>
  <c r="E1223" i="14" s="1"/>
  <c r="A1224" i="14"/>
  <c r="C1224" i="14" l="1"/>
  <c r="E1224" i="14" s="1"/>
  <c r="D1224" i="14"/>
  <c r="B1224" i="14"/>
  <c r="A1225" i="14"/>
  <c r="D1225" i="14" l="1"/>
  <c r="C1225" i="14"/>
  <c r="E1225" i="14" s="1"/>
  <c r="B1225" i="14"/>
  <c r="A1226" i="14"/>
  <c r="E1226" i="14" l="1"/>
  <c r="D1226" i="14"/>
  <c r="C1226" i="14"/>
  <c r="B1226" i="14"/>
  <c r="A1227" i="14"/>
  <c r="D1227" i="14" l="1"/>
  <c r="C1227" i="14"/>
  <c r="E1227" i="14" s="1"/>
  <c r="B1227" i="14"/>
  <c r="A1228" i="14"/>
  <c r="D1228" i="14" l="1"/>
  <c r="C1228" i="14"/>
  <c r="E1228" i="14" s="1"/>
  <c r="B1228" i="14"/>
  <c r="A1229" i="14"/>
  <c r="B1229" i="14" l="1"/>
  <c r="D1229" i="14"/>
  <c r="C1229" i="14"/>
  <c r="E1229" i="14" s="1"/>
  <c r="A1230" i="14"/>
  <c r="C1230" i="14" l="1"/>
  <c r="E1230" i="14" s="1"/>
  <c r="B1230" i="14"/>
  <c r="D1230" i="14"/>
  <c r="A1231" i="14"/>
  <c r="D1231" i="14" l="1"/>
  <c r="C1231" i="14"/>
  <c r="E1231" i="14" s="1"/>
  <c r="B1231" i="14"/>
  <c r="A1232" i="14"/>
  <c r="C1232" i="14" l="1"/>
  <c r="E1232" i="14" s="1"/>
  <c r="B1232" i="14"/>
  <c r="D1232" i="14"/>
  <c r="A1233" i="14"/>
  <c r="D1233" i="14" l="1"/>
  <c r="C1233" i="14"/>
  <c r="E1233" i="14" s="1"/>
  <c r="B1233" i="14"/>
  <c r="A1234" i="14"/>
  <c r="B1234" i="14" l="1"/>
  <c r="D1234" i="14"/>
  <c r="C1234" i="14"/>
  <c r="E1234" i="14" s="1"/>
  <c r="A1235" i="14"/>
  <c r="D1235" i="14" l="1"/>
  <c r="C1235" i="14"/>
  <c r="E1235" i="14" s="1"/>
  <c r="B1235" i="14"/>
  <c r="A1236" i="14"/>
  <c r="D1236" i="14" l="1"/>
  <c r="C1236" i="14"/>
  <c r="E1236" i="14" s="1"/>
  <c r="B1236" i="14"/>
  <c r="A1237" i="14"/>
  <c r="B1237" i="14" l="1"/>
  <c r="D1237" i="14"/>
  <c r="C1237" i="14"/>
  <c r="E1237" i="14" s="1"/>
  <c r="A1238" i="14"/>
  <c r="D1238" i="14" l="1"/>
  <c r="C1238" i="14"/>
  <c r="E1238" i="14" s="1"/>
  <c r="B1238" i="14"/>
  <c r="A1239" i="14"/>
  <c r="D1239" i="14" l="1"/>
  <c r="C1239" i="14"/>
  <c r="E1239" i="14" s="1"/>
  <c r="B1239" i="14"/>
  <c r="A1240" i="14"/>
  <c r="C1240" i="14" l="1"/>
  <c r="E1240" i="14" s="1"/>
  <c r="D1240" i="14"/>
  <c r="B1240" i="14"/>
  <c r="A1241" i="14"/>
  <c r="C1241" i="14" l="1"/>
  <c r="E1241" i="14" s="1"/>
  <c r="B1241" i="14"/>
  <c r="D1241" i="14"/>
  <c r="A1242" i="14"/>
  <c r="D1242" i="14" l="1"/>
  <c r="C1242" i="14"/>
  <c r="E1242" i="14" s="1"/>
  <c r="B1242" i="14"/>
  <c r="A1243" i="14"/>
  <c r="D1243" i="14" l="1"/>
  <c r="B1243" i="14"/>
  <c r="C1243" i="14"/>
  <c r="E1243" i="14" s="1"/>
  <c r="A1244" i="14"/>
  <c r="D1244" i="14" l="1"/>
  <c r="C1244" i="14"/>
  <c r="E1244" i="14" s="1"/>
  <c r="B1244" i="14"/>
  <c r="A1245" i="14"/>
  <c r="B1245" i="14" l="1"/>
  <c r="D1245" i="14"/>
  <c r="C1245" i="14"/>
  <c r="E1245" i="14" s="1"/>
  <c r="A1246" i="14"/>
  <c r="D1246" i="14" l="1"/>
  <c r="C1246" i="14"/>
  <c r="E1246" i="14" s="1"/>
  <c r="B1246" i="14"/>
  <c r="A1247" i="14"/>
  <c r="D1247" i="14" l="1"/>
  <c r="C1247" i="14"/>
  <c r="E1247" i="14" s="1"/>
  <c r="B1247" i="14"/>
  <c r="A1248" i="14"/>
  <c r="C1248" i="14" l="1"/>
  <c r="E1248" i="14" s="1"/>
  <c r="D1248" i="14"/>
  <c r="B1248" i="14"/>
  <c r="A1249" i="14"/>
  <c r="D1249" i="14" l="1"/>
  <c r="C1249" i="14"/>
  <c r="E1249" i="14" s="1"/>
  <c r="B1249" i="14"/>
  <c r="A1250" i="14"/>
  <c r="D1250" i="14" l="1"/>
  <c r="C1250" i="14"/>
  <c r="E1250" i="14" s="1"/>
  <c r="B1250" i="14"/>
  <c r="A1251" i="14"/>
  <c r="D1251" i="14" l="1"/>
  <c r="C1251" i="14"/>
  <c r="E1251" i="14" s="1"/>
  <c r="B1251" i="14"/>
  <c r="A1252" i="14"/>
  <c r="C1252" i="14" l="1"/>
  <c r="E1252" i="14" s="1"/>
  <c r="B1252" i="14"/>
  <c r="D1252" i="14"/>
  <c r="A1253" i="14"/>
  <c r="B1253" i="14" l="1"/>
  <c r="D1253" i="14"/>
  <c r="C1253" i="14"/>
  <c r="E1253" i="14" s="1"/>
  <c r="A1254" i="14"/>
  <c r="B1254" i="14" l="1"/>
  <c r="D1254" i="14"/>
  <c r="C1254" i="14"/>
  <c r="E1254" i="14" s="1"/>
  <c r="A1255" i="14"/>
  <c r="D1255" i="14" l="1"/>
  <c r="C1255" i="14"/>
  <c r="E1255" i="14" s="1"/>
  <c r="B1255" i="14"/>
  <c r="A1256" i="14"/>
  <c r="C1256" i="14" l="1"/>
  <c r="E1256" i="14" s="1"/>
  <c r="D1256" i="14"/>
  <c r="B1256" i="14"/>
  <c r="A1257" i="14"/>
  <c r="D1257" i="14" l="1"/>
  <c r="C1257" i="14"/>
  <c r="E1257" i="14" s="1"/>
  <c r="B1257" i="14"/>
  <c r="A1258" i="14"/>
  <c r="D1258" i="14" l="1"/>
  <c r="C1258" i="14"/>
  <c r="E1258" i="14" s="1"/>
  <c r="B1258" i="14"/>
  <c r="A1259" i="14"/>
  <c r="D1259" i="14" l="1"/>
  <c r="C1259" i="14"/>
  <c r="E1259" i="14" s="1"/>
  <c r="B1259" i="14"/>
  <c r="A1260" i="14"/>
  <c r="D1260" i="14" l="1"/>
  <c r="C1260" i="14"/>
  <c r="E1260" i="14" s="1"/>
  <c r="B1260" i="14"/>
  <c r="A1261" i="14"/>
  <c r="B1261" i="14" l="1"/>
  <c r="D1261" i="14"/>
  <c r="C1261" i="14"/>
  <c r="E1261" i="14" s="1"/>
  <c r="A1262" i="14"/>
  <c r="D1262" i="14" l="1"/>
  <c r="C1262" i="14"/>
  <c r="E1262" i="14" s="1"/>
  <c r="B1262" i="14"/>
  <c r="A1263" i="14"/>
  <c r="C1263" i="14" l="1"/>
  <c r="E1263" i="14" s="1"/>
  <c r="B1263" i="14"/>
  <c r="D1263" i="14"/>
  <c r="A1264" i="14"/>
  <c r="C1264" i="14" l="1"/>
  <c r="E1264" i="14" s="1"/>
  <c r="D1264" i="14"/>
  <c r="B1264" i="14"/>
  <c r="A1265" i="14"/>
  <c r="B1265" i="14" l="1"/>
  <c r="D1265" i="14"/>
  <c r="C1265" i="14"/>
  <c r="E1265" i="14" s="1"/>
  <c r="A1266" i="14"/>
  <c r="D1266" i="14" l="1"/>
  <c r="C1266" i="14"/>
  <c r="E1266" i="14" s="1"/>
  <c r="B1266" i="14"/>
  <c r="A1267" i="14"/>
  <c r="D1267" i="14" l="1"/>
  <c r="C1267" i="14"/>
  <c r="E1267" i="14" s="1"/>
  <c r="B1267" i="14"/>
  <c r="A1268" i="14"/>
  <c r="D1268" i="14" l="1"/>
  <c r="C1268" i="14"/>
  <c r="E1268" i="14" s="1"/>
  <c r="B1268" i="14"/>
  <c r="A1269" i="14"/>
  <c r="B1269" i="14" l="1"/>
  <c r="D1269" i="14"/>
  <c r="C1269" i="14"/>
  <c r="E1269" i="14" s="1"/>
  <c r="A1270" i="14"/>
  <c r="D1270" i="14" l="1"/>
  <c r="C1270" i="14"/>
  <c r="E1270" i="14" s="1"/>
  <c r="B1270" i="14"/>
  <c r="A1271" i="14"/>
  <c r="C1271" i="14" l="1"/>
  <c r="E1271" i="14" s="1"/>
  <c r="D1271" i="14"/>
  <c r="B1271" i="14"/>
  <c r="A1272" i="14"/>
  <c r="C1272" i="14" l="1"/>
  <c r="E1272" i="14" s="1"/>
  <c r="D1272" i="14"/>
  <c r="B1272" i="14"/>
  <c r="A1273" i="14"/>
  <c r="B1273" i="14" l="1"/>
  <c r="D1273" i="14"/>
  <c r="C1273" i="14"/>
  <c r="E1273" i="14" s="1"/>
  <c r="A1274" i="14"/>
  <c r="D1274" i="14" l="1"/>
  <c r="C1274" i="14"/>
  <c r="E1274" i="14" s="1"/>
  <c r="B1274" i="14"/>
  <c r="A1275" i="14"/>
  <c r="D1275" i="14" l="1"/>
  <c r="B1275" i="14"/>
  <c r="C1275" i="14"/>
  <c r="E1275" i="14" s="1"/>
  <c r="A1276" i="14"/>
  <c r="B1276" i="14" l="1"/>
  <c r="D1276" i="14"/>
  <c r="C1276" i="14"/>
  <c r="E1276" i="14" s="1"/>
  <c r="A1277" i="14"/>
  <c r="B1277" i="14" l="1"/>
  <c r="C1277" i="14"/>
  <c r="E1277" i="14" s="1"/>
  <c r="D1277" i="14"/>
  <c r="A1278" i="14"/>
  <c r="D1278" i="14" l="1"/>
  <c r="C1278" i="14"/>
  <c r="E1278" i="14" s="1"/>
  <c r="B1278" i="14"/>
  <c r="A1279" i="14"/>
  <c r="C1279" i="14" l="1"/>
  <c r="E1279" i="14" s="1"/>
  <c r="D1279" i="14"/>
  <c r="B1279" i="14"/>
  <c r="A1280" i="14"/>
  <c r="B1280" i="14" l="1"/>
  <c r="C1280" i="14"/>
  <c r="E1280" i="14" s="1"/>
  <c r="D1280" i="14"/>
  <c r="A1281" i="14"/>
  <c r="D1281" i="14" l="1"/>
  <c r="C1281" i="14"/>
  <c r="E1281" i="14" s="1"/>
  <c r="B1281" i="14"/>
  <c r="A1282" i="14"/>
  <c r="D1282" i="14" l="1"/>
  <c r="C1282" i="14"/>
  <c r="E1282" i="14" s="1"/>
  <c r="B1282" i="14"/>
  <c r="A1283" i="14"/>
  <c r="C1283" i="14" l="1"/>
  <c r="E1283" i="14" s="1"/>
  <c r="D1283" i="14"/>
  <c r="B1283" i="14"/>
  <c r="A1284" i="14"/>
  <c r="B1284" i="14" l="1"/>
  <c r="D1284" i="14"/>
  <c r="C1284" i="14"/>
  <c r="E1284" i="14" s="1"/>
  <c r="A1285" i="14"/>
  <c r="C1285" i="14" l="1"/>
  <c r="E1285" i="14" s="1"/>
  <c r="B1285" i="14"/>
  <c r="D1285" i="14"/>
  <c r="A1286" i="14"/>
  <c r="D1286" i="14" l="1"/>
  <c r="C1286" i="14"/>
  <c r="E1286" i="14" s="1"/>
  <c r="B1286" i="14"/>
  <c r="A1287" i="14"/>
  <c r="C1287" i="14" l="1"/>
  <c r="E1287" i="14" s="1"/>
  <c r="D1287" i="14"/>
  <c r="B1287" i="14"/>
  <c r="A1288" i="14"/>
  <c r="B1288" i="14" l="1"/>
  <c r="D1288" i="14"/>
  <c r="C1288" i="14"/>
  <c r="E1288" i="14" s="1"/>
  <c r="A1289" i="14"/>
  <c r="D1289" i="14" l="1"/>
  <c r="C1289" i="14"/>
  <c r="E1289" i="14" s="1"/>
  <c r="B1289" i="14"/>
  <c r="A1290" i="14"/>
  <c r="D1290" i="14" l="1"/>
  <c r="B1290" i="14"/>
  <c r="C1290" i="14"/>
  <c r="E1290" i="14" s="1"/>
  <c r="A1291" i="14"/>
  <c r="E1291" i="14" l="1"/>
  <c r="C1291" i="14"/>
  <c r="D1291" i="14"/>
  <c r="B1291" i="14"/>
  <c r="A1292" i="14"/>
  <c r="B1292" i="14" l="1"/>
  <c r="D1292" i="14"/>
  <c r="C1292" i="14"/>
  <c r="E1292" i="14" s="1"/>
  <c r="A1293" i="14"/>
  <c r="C1293" i="14" l="1"/>
  <c r="E1293" i="14" s="1"/>
  <c r="B1293" i="14"/>
  <c r="D1293" i="14"/>
  <c r="A1294" i="14"/>
  <c r="D1294" i="14" l="1"/>
  <c r="C1294" i="14"/>
  <c r="E1294" i="14" s="1"/>
  <c r="B1294" i="14"/>
  <c r="A1295" i="14"/>
  <c r="C1295" i="14" l="1"/>
  <c r="E1295" i="14" s="1"/>
  <c r="D1295" i="14"/>
  <c r="B1295" i="14"/>
  <c r="A1296" i="14"/>
  <c r="B1296" i="14" l="1"/>
  <c r="D1296" i="14"/>
  <c r="C1296" i="14"/>
  <c r="E1296" i="14" s="1"/>
  <c r="A1297" i="14"/>
  <c r="D1297" i="14" l="1"/>
  <c r="C1297" i="14"/>
  <c r="E1297" i="14" s="1"/>
  <c r="B1297" i="14"/>
  <c r="A1298" i="14"/>
  <c r="D1298" i="14" l="1"/>
  <c r="B1298" i="14"/>
  <c r="C1298" i="14"/>
  <c r="E1298" i="14" s="1"/>
  <c r="A1299" i="14"/>
  <c r="C1299" i="14" l="1"/>
  <c r="E1299" i="14" s="1"/>
  <c r="D1299" i="14"/>
  <c r="B1299" i="14"/>
  <c r="A1300" i="14"/>
  <c r="B1300" i="14" l="1"/>
  <c r="D1300" i="14"/>
  <c r="C1300" i="14"/>
  <c r="E1300" i="14" s="1"/>
  <c r="A1301" i="14"/>
  <c r="C1301" i="14" l="1"/>
  <c r="E1301" i="14" s="1"/>
  <c r="B1301" i="14"/>
  <c r="D1301" i="14"/>
  <c r="A1302" i="14"/>
  <c r="D1302" i="14" l="1"/>
  <c r="C1302" i="14"/>
  <c r="E1302" i="14" s="1"/>
  <c r="B1302" i="14"/>
  <c r="A1303" i="14"/>
  <c r="C1303" i="14" l="1"/>
  <c r="E1303" i="14" s="1"/>
  <c r="D1303" i="14"/>
  <c r="B1303" i="14"/>
  <c r="A1304" i="14"/>
  <c r="B1304" i="14" l="1"/>
  <c r="D1304" i="14"/>
  <c r="C1304" i="14"/>
  <c r="E1304" i="14" s="1"/>
  <c r="A1305" i="14"/>
  <c r="D1305" i="14" l="1"/>
  <c r="C1305" i="14"/>
  <c r="E1305" i="14" s="1"/>
  <c r="B1305" i="14"/>
  <c r="A1306" i="14"/>
  <c r="D1306" i="14" l="1"/>
  <c r="B1306" i="14"/>
  <c r="C1306" i="14"/>
  <c r="E1306" i="14" s="1"/>
  <c r="A1307" i="14"/>
  <c r="C1307" i="14" l="1"/>
  <c r="E1307" i="14" s="1"/>
  <c r="D1307" i="14"/>
  <c r="B1307" i="14"/>
  <c r="A1308" i="14"/>
  <c r="D1308" i="14" l="1"/>
  <c r="B1308" i="14"/>
  <c r="C1308" i="14"/>
  <c r="E1308" i="14" s="1"/>
  <c r="A1309" i="14"/>
  <c r="C1309" i="14" l="1"/>
  <c r="E1309" i="14" s="1"/>
  <c r="B1309" i="14"/>
  <c r="D1309" i="14"/>
  <c r="A1310" i="14"/>
  <c r="D1310" i="14" l="1"/>
  <c r="B1310" i="14"/>
  <c r="C1310" i="14"/>
  <c r="E1310" i="14" s="1"/>
  <c r="A1311" i="14"/>
  <c r="D1311" i="14" l="1"/>
  <c r="C1311" i="14"/>
  <c r="E1311" i="14" s="1"/>
  <c r="B1311" i="14"/>
  <c r="A1312" i="14"/>
  <c r="B1312" i="14" l="1"/>
  <c r="D1312" i="14"/>
  <c r="C1312" i="14"/>
  <c r="E1312" i="14" s="1"/>
  <c r="A1313" i="14"/>
  <c r="C1313" i="14" l="1"/>
  <c r="E1313" i="14" s="1"/>
  <c r="B1313" i="14"/>
  <c r="D1313" i="14"/>
  <c r="A1314" i="14"/>
  <c r="D1314" i="14" l="1"/>
  <c r="B1314" i="14"/>
  <c r="C1314" i="14"/>
  <c r="E1314" i="14" s="1"/>
  <c r="A1315" i="14"/>
  <c r="C1315" i="14" l="1"/>
  <c r="E1315" i="14" s="1"/>
  <c r="D1315" i="14"/>
  <c r="B1315" i="14"/>
  <c r="A1316" i="14"/>
  <c r="D1316" i="14" l="1"/>
  <c r="C1316" i="14"/>
  <c r="E1316" i="14" s="1"/>
  <c r="B1316" i="14"/>
  <c r="A1317" i="14"/>
  <c r="C1317" i="14" l="1"/>
  <c r="E1317" i="14" s="1"/>
  <c r="B1317" i="14"/>
  <c r="D1317" i="14"/>
  <c r="A1318" i="14"/>
  <c r="D1318" i="14" l="1"/>
  <c r="C1318" i="14"/>
  <c r="E1318" i="14" s="1"/>
  <c r="B1318" i="14"/>
  <c r="A1319" i="14"/>
  <c r="D1319" i="14" l="1"/>
  <c r="C1319" i="14"/>
  <c r="E1319" i="14" s="1"/>
  <c r="B1319" i="14"/>
  <c r="A1320" i="14"/>
  <c r="B1320" i="14" l="1"/>
  <c r="D1320" i="14"/>
  <c r="C1320" i="14"/>
  <c r="E1320" i="14" s="1"/>
  <c r="A1321" i="14"/>
  <c r="D1321" i="14" l="1"/>
  <c r="C1321" i="14"/>
  <c r="E1321" i="14" s="1"/>
  <c r="B1321" i="14"/>
  <c r="A1322" i="14"/>
  <c r="D1322" i="14" l="1"/>
  <c r="B1322" i="14"/>
  <c r="C1322" i="14"/>
  <c r="E1322" i="14" s="1"/>
  <c r="A1323" i="14"/>
  <c r="C1323" i="14" l="1"/>
  <c r="E1323" i="14" s="1"/>
  <c r="B1323" i="14"/>
  <c r="D1323" i="14"/>
  <c r="A1324" i="14"/>
  <c r="D1324" i="14" l="1"/>
  <c r="C1324" i="14"/>
  <c r="E1324" i="14" s="1"/>
  <c r="B1324" i="14"/>
  <c r="A1325" i="14"/>
  <c r="C1325" i="14" l="1"/>
  <c r="E1325" i="14" s="1"/>
  <c r="B1325" i="14"/>
  <c r="D1325" i="14"/>
  <c r="A1326" i="14"/>
  <c r="D1326" i="14" l="1"/>
  <c r="C1326" i="14"/>
  <c r="E1326" i="14" s="1"/>
  <c r="B1326" i="14"/>
  <c r="A1327" i="14"/>
  <c r="D1327" i="14" l="1"/>
  <c r="C1327" i="14"/>
  <c r="E1327" i="14" s="1"/>
  <c r="B1327" i="14"/>
  <c r="A1328" i="14"/>
  <c r="B1328" i="14" l="1"/>
  <c r="D1328" i="14"/>
  <c r="C1328" i="14"/>
  <c r="E1328" i="14" s="1"/>
  <c r="A1329" i="14"/>
  <c r="D1329" i="14" l="1"/>
  <c r="C1329" i="14"/>
  <c r="E1329" i="14" s="1"/>
  <c r="B1329" i="14"/>
  <c r="A1330" i="14"/>
  <c r="D1330" i="14" l="1"/>
  <c r="C1330" i="14"/>
  <c r="E1330" i="14" s="1"/>
  <c r="B1330" i="14"/>
  <c r="A1331" i="14"/>
  <c r="C1331" i="14" l="1"/>
  <c r="E1331" i="14" s="1"/>
  <c r="B1331" i="14"/>
  <c r="D1331" i="14"/>
  <c r="A1332" i="14"/>
  <c r="D1332" i="14" l="1"/>
  <c r="C1332" i="14"/>
  <c r="E1332" i="14" s="1"/>
  <c r="B1332" i="14"/>
  <c r="A1333" i="14"/>
  <c r="D1333" i="14" l="1"/>
  <c r="C1333" i="14"/>
  <c r="E1333" i="14" s="1"/>
  <c r="B1333" i="14"/>
  <c r="A1334" i="14"/>
  <c r="D1334" i="14" l="1"/>
  <c r="C1334" i="14"/>
  <c r="E1334" i="14" s="1"/>
  <c r="B1334" i="14"/>
  <c r="A1335" i="14"/>
  <c r="D1335" i="14" l="1"/>
  <c r="C1335" i="14"/>
  <c r="E1335" i="14" s="1"/>
  <c r="B1335" i="14"/>
  <c r="A1336" i="14"/>
  <c r="B1336" i="14" l="1"/>
  <c r="D1336" i="14"/>
  <c r="C1336" i="14"/>
  <c r="E1336" i="14" s="1"/>
  <c r="A1337" i="14"/>
  <c r="D1337" i="14" l="1"/>
  <c r="C1337" i="14"/>
  <c r="E1337" i="14" s="1"/>
  <c r="B1337" i="14"/>
  <c r="A1338" i="14"/>
  <c r="D1338" i="14" l="1"/>
  <c r="C1338" i="14"/>
  <c r="E1338" i="14" s="1"/>
  <c r="B1338" i="14"/>
  <c r="A1339" i="14"/>
  <c r="C1339" i="14" l="1"/>
  <c r="E1339" i="14" s="1"/>
  <c r="B1339" i="14"/>
  <c r="D1339" i="14"/>
  <c r="A1340" i="14"/>
  <c r="D1340" i="14" l="1"/>
  <c r="C1340" i="14"/>
  <c r="E1340" i="14" s="1"/>
  <c r="B1340" i="14"/>
  <c r="A1341" i="14"/>
  <c r="D1341" i="14" l="1"/>
  <c r="C1341" i="14"/>
  <c r="E1341" i="14" s="1"/>
  <c r="B1341" i="14"/>
  <c r="A1342" i="14"/>
  <c r="D1342" i="14" l="1"/>
  <c r="C1342" i="14"/>
  <c r="E1342" i="14" s="1"/>
  <c r="B1342" i="14"/>
  <c r="A1343" i="14"/>
  <c r="D1343" i="14" l="1"/>
  <c r="C1343" i="14"/>
  <c r="E1343" i="14" s="1"/>
  <c r="B1343" i="14"/>
  <c r="A1344" i="14"/>
  <c r="B1344" i="14" l="1"/>
  <c r="D1344" i="14"/>
  <c r="C1344" i="14"/>
  <c r="E1344" i="14" s="1"/>
  <c r="A1345" i="14"/>
  <c r="D1345" i="14" l="1"/>
  <c r="C1345" i="14"/>
  <c r="E1345" i="14" s="1"/>
  <c r="B1345" i="14"/>
  <c r="A1346" i="14"/>
  <c r="D1346" i="14" l="1"/>
  <c r="C1346" i="14"/>
  <c r="E1346" i="14" s="1"/>
  <c r="B1346" i="14"/>
  <c r="A1347" i="14"/>
  <c r="C1347" i="14" l="1"/>
  <c r="E1347" i="14" s="1"/>
  <c r="B1347" i="14"/>
  <c r="D1347" i="14"/>
  <c r="A1348" i="14"/>
  <c r="D1348" i="14" l="1"/>
  <c r="C1348" i="14"/>
  <c r="E1348" i="14" s="1"/>
  <c r="B1348" i="14"/>
  <c r="A1349" i="14"/>
  <c r="D1349" i="14" l="1"/>
  <c r="C1349" i="14"/>
  <c r="E1349" i="14" s="1"/>
  <c r="B1349" i="14"/>
  <c r="A1350" i="14"/>
  <c r="D1350" i="14" l="1"/>
  <c r="C1350" i="14"/>
  <c r="E1350" i="14" s="1"/>
  <c r="B1350" i="14"/>
  <c r="A1351" i="14"/>
  <c r="D1351" i="14" l="1"/>
  <c r="C1351" i="14"/>
  <c r="E1351" i="14" s="1"/>
  <c r="B1351" i="14"/>
  <c r="A1352" i="14"/>
  <c r="B1352" i="14" l="1"/>
  <c r="D1352" i="14"/>
  <c r="C1352" i="14"/>
  <c r="E1352" i="14" s="1"/>
  <c r="A1353" i="14"/>
  <c r="D1353" i="14" l="1"/>
  <c r="C1353" i="14"/>
  <c r="E1353" i="14" s="1"/>
  <c r="B1353" i="14"/>
  <c r="A1354" i="14"/>
  <c r="D1354" i="14" l="1"/>
  <c r="C1354" i="14"/>
  <c r="E1354" i="14" s="1"/>
  <c r="B1354" i="14"/>
  <c r="A1355" i="14"/>
  <c r="C1355" i="14" l="1"/>
  <c r="E1355" i="14" s="1"/>
  <c r="B1355" i="14"/>
  <c r="D1355" i="14"/>
  <c r="A1356" i="14"/>
  <c r="D1356" i="14" l="1"/>
  <c r="C1356" i="14"/>
  <c r="E1356" i="14" s="1"/>
  <c r="B1356" i="14"/>
  <c r="A1357" i="14"/>
  <c r="D1357" i="14" l="1"/>
  <c r="C1357" i="14"/>
  <c r="E1357" i="14" s="1"/>
  <c r="B1357" i="14"/>
  <c r="A1358" i="14"/>
  <c r="D1358" i="14" l="1"/>
  <c r="C1358" i="14"/>
  <c r="E1358" i="14" s="1"/>
  <c r="B1358" i="14"/>
  <c r="A1359" i="14"/>
  <c r="D1359" i="14" l="1"/>
  <c r="C1359" i="14"/>
  <c r="E1359" i="14" s="1"/>
  <c r="B1359" i="14"/>
  <c r="A1360" i="14"/>
  <c r="B1360" i="14" l="1"/>
  <c r="D1360" i="14"/>
  <c r="C1360" i="14"/>
  <c r="E1360" i="14" s="1"/>
  <c r="A1361" i="14"/>
  <c r="D1361" i="14" l="1"/>
  <c r="C1361" i="14"/>
  <c r="E1361" i="14" s="1"/>
  <c r="B1361" i="14"/>
  <c r="A1362" i="14"/>
  <c r="D1362" i="14" l="1"/>
  <c r="C1362" i="14"/>
  <c r="E1362" i="14" s="1"/>
  <c r="B1362" i="14"/>
  <c r="A1363" i="14"/>
  <c r="C1363" i="14" l="1"/>
  <c r="E1363" i="14" s="1"/>
  <c r="B1363" i="14"/>
  <c r="D1363" i="14"/>
  <c r="A1364" i="14"/>
  <c r="D1364" i="14" l="1"/>
  <c r="C1364" i="14"/>
  <c r="E1364" i="14" s="1"/>
  <c r="B1364" i="14"/>
  <c r="A1365" i="14"/>
  <c r="D1365" i="14" l="1"/>
  <c r="C1365" i="14"/>
  <c r="E1365" i="14" s="1"/>
  <c r="B1365" i="14"/>
  <c r="A1366" i="14"/>
  <c r="D1366" i="14" l="1"/>
  <c r="C1366" i="14"/>
  <c r="E1366" i="14" s="1"/>
  <c r="B1366" i="14"/>
  <c r="A1367" i="14"/>
  <c r="D1367" i="14" l="1"/>
  <c r="C1367" i="14"/>
  <c r="E1367" i="14" s="1"/>
  <c r="B1367" i="14"/>
  <c r="A1368" i="14"/>
  <c r="B1368" i="14" l="1"/>
  <c r="D1368" i="14"/>
  <c r="C1368" i="14"/>
  <c r="E1368" i="14" s="1"/>
  <c r="A1369" i="14"/>
  <c r="D1369" i="14" l="1"/>
  <c r="C1369" i="14"/>
  <c r="E1369" i="14" s="1"/>
  <c r="B1369" i="14"/>
  <c r="A1370" i="14"/>
  <c r="D1370" i="14" l="1"/>
  <c r="C1370" i="14"/>
  <c r="E1370" i="14" s="1"/>
  <c r="B1370" i="14"/>
  <c r="A1371" i="14"/>
  <c r="C1371" i="14" l="1"/>
  <c r="E1371" i="14" s="1"/>
  <c r="B1371" i="14"/>
  <c r="D1371" i="14"/>
  <c r="A1372" i="14"/>
  <c r="D1372" i="14" l="1"/>
  <c r="C1372" i="14"/>
  <c r="E1372" i="14" s="1"/>
  <c r="B1372" i="14"/>
  <c r="A1373" i="14"/>
  <c r="D1373" i="14" l="1"/>
  <c r="C1373" i="14"/>
  <c r="E1373" i="14" s="1"/>
  <c r="B1373" i="14"/>
  <c r="A1374" i="14"/>
  <c r="D1374" i="14" l="1"/>
  <c r="C1374" i="14"/>
  <c r="E1374" i="14" s="1"/>
  <c r="B1374" i="14"/>
  <c r="A1375" i="14"/>
  <c r="D1375" i="14" l="1"/>
  <c r="C1375" i="14"/>
  <c r="E1375" i="14" s="1"/>
  <c r="B1375" i="14"/>
  <c r="A1376" i="14"/>
  <c r="B1376" i="14" l="1"/>
  <c r="D1376" i="14"/>
  <c r="C1376" i="14"/>
  <c r="E1376" i="14" s="1"/>
  <c r="A1377" i="14"/>
  <c r="D1377" i="14" l="1"/>
  <c r="C1377" i="14"/>
  <c r="E1377" i="14" s="1"/>
  <c r="B1377" i="14"/>
  <c r="A1378" i="14"/>
  <c r="D1378" i="14" l="1"/>
  <c r="C1378" i="14"/>
  <c r="E1378" i="14" s="1"/>
  <c r="B1378" i="14"/>
  <c r="A1379" i="14"/>
  <c r="C1379" i="14" l="1"/>
  <c r="E1379" i="14" s="1"/>
  <c r="B1379" i="14"/>
  <c r="D1379" i="14"/>
  <c r="A1380" i="14"/>
  <c r="D1380" i="14" l="1"/>
  <c r="C1380" i="14"/>
  <c r="E1380" i="14" s="1"/>
  <c r="B1380" i="14"/>
  <c r="A1381" i="14"/>
  <c r="D1381" i="14" l="1"/>
  <c r="C1381" i="14"/>
  <c r="E1381" i="14" s="1"/>
  <c r="B1381" i="14"/>
  <c r="A1382" i="14"/>
  <c r="D1382" i="14" l="1"/>
  <c r="C1382" i="14"/>
  <c r="E1382" i="14" s="1"/>
  <c r="B1382" i="14"/>
  <c r="A1383" i="14"/>
  <c r="D1383" i="14" l="1"/>
  <c r="C1383" i="14"/>
  <c r="E1383" i="14" s="1"/>
  <c r="B1383" i="14"/>
  <c r="A1384" i="14"/>
  <c r="B1384" i="14" l="1"/>
  <c r="D1384" i="14"/>
  <c r="C1384" i="14"/>
  <c r="E1384" i="14" s="1"/>
  <c r="A1385" i="14"/>
  <c r="D1385" i="14" l="1"/>
  <c r="C1385" i="14"/>
  <c r="E1385" i="14" s="1"/>
  <c r="B1385" i="14"/>
  <c r="A1386" i="14"/>
  <c r="D1386" i="14" l="1"/>
  <c r="C1386" i="14"/>
  <c r="E1386" i="14" s="1"/>
  <c r="B1386" i="14"/>
  <c r="A1387" i="14"/>
  <c r="C1387" i="14" l="1"/>
  <c r="E1387" i="14" s="1"/>
  <c r="B1387" i="14"/>
  <c r="D1387" i="14"/>
  <c r="A1388" i="14"/>
  <c r="D1388" i="14" l="1"/>
  <c r="C1388" i="14"/>
  <c r="E1388" i="14" s="1"/>
  <c r="B1388" i="14"/>
  <c r="A1389" i="14"/>
  <c r="D1389" i="14" l="1"/>
  <c r="C1389" i="14"/>
  <c r="E1389" i="14" s="1"/>
  <c r="B1389" i="14"/>
  <c r="A1390" i="14"/>
  <c r="D1390" i="14" l="1"/>
  <c r="C1390" i="14"/>
  <c r="E1390" i="14" s="1"/>
  <c r="B1390" i="14"/>
  <c r="A1391" i="14"/>
  <c r="D1391" i="14" l="1"/>
  <c r="C1391" i="14"/>
  <c r="E1391" i="14" s="1"/>
  <c r="B1391" i="14"/>
  <c r="A1392" i="14"/>
  <c r="B1392" i="14" l="1"/>
  <c r="D1392" i="14"/>
  <c r="C1392" i="14"/>
  <c r="E1392" i="14" s="1"/>
  <c r="A1393" i="14"/>
  <c r="D1393" i="14" l="1"/>
  <c r="C1393" i="14"/>
  <c r="E1393" i="14" s="1"/>
  <c r="B1393" i="14"/>
  <c r="A1394" i="14"/>
  <c r="D1394" i="14" l="1"/>
  <c r="C1394" i="14"/>
  <c r="E1394" i="14" s="1"/>
  <c r="B1394" i="14"/>
  <c r="A1395" i="14"/>
  <c r="C1395" i="14" l="1"/>
  <c r="E1395" i="14" s="1"/>
  <c r="B1395" i="14"/>
  <c r="D1395" i="14"/>
  <c r="A1396" i="14"/>
  <c r="D1396" i="14" l="1"/>
  <c r="C1396" i="14"/>
  <c r="E1396" i="14" s="1"/>
  <c r="B1396" i="14"/>
  <c r="A1397" i="14"/>
  <c r="D1397" i="14" l="1"/>
  <c r="C1397" i="14"/>
  <c r="E1397" i="14" s="1"/>
  <c r="B1397" i="14"/>
  <c r="A1398" i="14"/>
  <c r="D1398" i="14" l="1"/>
  <c r="C1398" i="14"/>
  <c r="E1398" i="14" s="1"/>
  <c r="B1398" i="14"/>
  <c r="A1399" i="14"/>
  <c r="D1399" i="14" l="1"/>
  <c r="C1399" i="14"/>
  <c r="E1399" i="14" s="1"/>
  <c r="B1399" i="14"/>
  <c r="A1400" i="14"/>
  <c r="B1400" i="14" l="1"/>
  <c r="D1400" i="14"/>
  <c r="C1400" i="14"/>
  <c r="E1400" i="14" s="1"/>
  <c r="A1401" i="14"/>
  <c r="D1401" i="14" l="1"/>
  <c r="C1401" i="14"/>
  <c r="E1401" i="14" s="1"/>
  <c r="B1401" i="14"/>
  <c r="A1402" i="14"/>
  <c r="D1402" i="14" l="1"/>
  <c r="C1402" i="14"/>
  <c r="E1402" i="14" s="1"/>
  <c r="B1402" i="14"/>
  <c r="A1403" i="14"/>
  <c r="C1403" i="14" l="1"/>
  <c r="E1403" i="14" s="1"/>
  <c r="B1403" i="14"/>
  <c r="D1403" i="14"/>
  <c r="A1404" i="14"/>
  <c r="D1404" i="14" l="1"/>
  <c r="C1404" i="14"/>
  <c r="E1404" i="14" s="1"/>
  <c r="B1404" i="14"/>
  <c r="A1405" i="14"/>
  <c r="D1405" i="14" l="1"/>
  <c r="C1405" i="14"/>
  <c r="E1405" i="14" s="1"/>
  <c r="B1405" i="14"/>
  <c r="A1406" i="14"/>
  <c r="D1406" i="14" l="1"/>
  <c r="C1406" i="14"/>
  <c r="E1406" i="14" s="1"/>
  <c r="B1406" i="14"/>
  <c r="A1407" i="14"/>
  <c r="D1407" i="14" l="1"/>
  <c r="C1407" i="14"/>
  <c r="E1407" i="14" s="1"/>
  <c r="B1407" i="14"/>
  <c r="A1408" i="14"/>
  <c r="B1408" i="14" l="1"/>
  <c r="D1408" i="14"/>
  <c r="C1408" i="14"/>
  <c r="E1408" i="14" s="1"/>
  <c r="A1409" i="14"/>
  <c r="D1409" i="14" l="1"/>
  <c r="C1409" i="14"/>
  <c r="E1409" i="14" s="1"/>
  <c r="B1409" i="14"/>
  <c r="A1410" i="14"/>
  <c r="D1410" i="14" l="1"/>
  <c r="C1410" i="14"/>
  <c r="E1410" i="14" s="1"/>
  <c r="B1410" i="14"/>
  <c r="A1411" i="14"/>
  <c r="C1411" i="14" l="1"/>
  <c r="E1411" i="14" s="1"/>
  <c r="B1411" i="14"/>
  <c r="D1411" i="14"/>
  <c r="A1412" i="14"/>
  <c r="D1412" i="14" l="1"/>
  <c r="C1412" i="14"/>
  <c r="E1412" i="14" s="1"/>
  <c r="B1412" i="14"/>
  <c r="A1413" i="14"/>
  <c r="D1413" i="14" l="1"/>
  <c r="C1413" i="14"/>
  <c r="E1413" i="14" s="1"/>
  <c r="B1413" i="14"/>
  <c r="A1414" i="14"/>
  <c r="D1414" i="14" l="1"/>
  <c r="C1414" i="14"/>
  <c r="E1414" i="14" s="1"/>
  <c r="B1414" i="14"/>
  <c r="A1415" i="14"/>
  <c r="D1415" i="14" l="1"/>
  <c r="C1415" i="14"/>
  <c r="E1415" i="14" s="1"/>
  <c r="B1415" i="14"/>
  <c r="A1416" i="14"/>
  <c r="B1416" i="14" l="1"/>
  <c r="D1416" i="14"/>
  <c r="C1416" i="14"/>
  <c r="E1416" i="14" s="1"/>
  <c r="A1417" i="14"/>
  <c r="D1417" i="14" l="1"/>
  <c r="C1417" i="14"/>
  <c r="E1417" i="14" s="1"/>
  <c r="B1417" i="14"/>
  <c r="A1418" i="14"/>
  <c r="D1418" i="14" l="1"/>
  <c r="C1418" i="14"/>
  <c r="E1418" i="14" s="1"/>
  <c r="B1418" i="14"/>
  <c r="A1419" i="14"/>
  <c r="C1419" i="14" l="1"/>
  <c r="E1419" i="14" s="1"/>
  <c r="B1419" i="14"/>
  <c r="D1419" i="14"/>
  <c r="A1420" i="14"/>
  <c r="D1420" i="14" l="1"/>
  <c r="C1420" i="14"/>
  <c r="E1420" i="14" s="1"/>
  <c r="B1420" i="14"/>
  <c r="A1421" i="14"/>
  <c r="D1421" i="14" l="1"/>
  <c r="C1421" i="14"/>
  <c r="E1421" i="14" s="1"/>
  <c r="B1421" i="14"/>
  <c r="A1422" i="14"/>
  <c r="D1422" i="14" l="1"/>
  <c r="C1422" i="14"/>
  <c r="E1422" i="14" s="1"/>
  <c r="B1422" i="14"/>
  <c r="A1423" i="14"/>
  <c r="D1423" i="14" l="1"/>
  <c r="C1423" i="14"/>
  <c r="E1423" i="14" s="1"/>
  <c r="B1423" i="14"/>
  <c r="A1424" i="14"/>
  <c r="B1424" i="14" l="1"/>
  <c r="D1424" i="14"/>
  <c r="C1424" i="14"/>
  <c r="E1424" i="14" s="1"/>
  <c r="A1425" i="14"/>
  <c r="D1425" i="14" l="1"/>
  <c r="C1425" i="14"/>
  <c r="E1425" i="14" s="1"/>
  <c r="B1425" i="14"/>
  <c r="A1426" i="14"/>
  <c r="D1426" i="14" l="1"/>
  <c r="C1426" i="14"/>
  <c r="E1426" i="14" s="1"/>
  <c r="B1426" i="14"/>
  <c r="A1427" i="14"/>
  <c r="C1427" i="14" l="1"/>
  <c r="E1427" i="14" s="1"/>
  <c r="B1427" i="14"/>
  <c r="D1427" i="14"/>
  <c r="A1428" i="14"/>
  <c r="D1428" i="14" l="1"/>
  <c r="C1428" i="14"/>
  <c r="E1428" i="14" s="1"/>
  <c r="B1428" i="14"/>
  <c r="A1429" i="14"/>
  <c r="D1429" i="14" l="1"/>
  <c r="C1429" i="14"/>
  <c r="E1429" i="14" s="1"/>
  <c r="B1429" i="14"/>
  <c r="A1430" i="14"/>
  <c r="D1430" i="14" l="1"/>
  <c r="C1430" i="14"/>
  <c r="E1430" i="14" s="1"/>
  <c r="B1430" i="14"/>
  <c r="A1431" i="14"/>
  <c r="D1431" i="14" l="1"/>
  <c r="C1431" i="14"/>
  <c r="E1431" i="14" s="1"/>
  <c r="B1431" i="14"/>
  <c r="A1432" i="14"/>
  <c r="B1432" i="14" l="1"/>
  <c r="D1432" i="14"/>
  <c r="C1432" i="14"/>
  <c r="E1432" i="14" s="1"/>
  <c r="A1433" i="14"/>
  <c r="D1433" i="14" l="1"/>
  <c r="C1433" i="14"/>
  <c r="E1433" i="14" s="1"/>
  <c r="B1433" i="14"/>
  <c r="A1434" i="14"/>
  <c r="D1434" i="14" l="1"/>
  <c r="C1434" i="14"/>
  <c r="E1434" i="14" s="1"/>
  <c r="B1434" i="14"/>
  <c r="A1435" i="14"/>
  <c r="C1435" i="14" l="1"/>
  <c r="E1435" i="14" s="1"/>
  <c r="B1435" i="14"/>
  <c r="D1435" i="14"/>
  <c r="A1436" i="14"/>
  <c r="D1436" i="14" l="1"/>
  <c r="C1436" i="14"/>
  <c r="E1436" i="14" s="1"/>
  <c r="B1436" i="14"/>
  <c r="A1437" i="14"/>
  <c r="D1437" i="14" l="1"/>
  <c r="C1437" i="14"/>
  <c r="E1437" i="14" s="1"/>
  <c r="B1437" i="14"/>
  <c r="A1438" i="14"/>
  <c r="D1438" i="14" l="1"/>
  <c r="C1438" i="14"/>
  <c r="E1438" i="14" s="1"/>
  <c r="B1438" i="14"/>
  <c r="A1439" i="14"/>
  <c r="D1439" i="14" l="1"/>
  <c r="C1439" i="14"/>
  <c r="E1439" i="14" s="1"/>
  <c r="B1439" i="14"/>
  <c r="A1440" i="14"/>
  <c r="B1440" i="14" l="1"/>
  <c r="D1440" i="14"/>
  <c r="C1440" i="14"/>
  <c r="E1440" i="14" s="1"/>
  <c r="A1441" i="14"/>
  <c r="D1441" i="14" l="1"/>
  <c r="C1441" i="14"/>
  <c r="E1441" i="14" s="1"/>
  <c r="B1441" i="14"/>
  <c r="A1442" i="14"/>
  <c r="D1442" i="14" l="1"/>
  <c r="C1442" i="14"/>
  <c r="E1442" i="14" s="1"/>
  <c r="B1442" i="14"/>
  <c r="A1443" i="14"/>
  <c r="C1443" i="14" l="1"/>
  <c r="E1443" i="14" s="1"/>
  <c r="B1443" i="14"/>
  <c r="D1443" i="14"/>
  <c r="A1444" i="14"/>
  <c r="D1444" i="14" l="1"/>
  <c r="C1444" i="14"/>
  <c r="E1444" i="14" s="1"/>
  <c r="B1444" i="14"/>
  <c r="A1445" i="14"/>
  <c r="D1445" i="14" l="1"/>
  <c r="C1445" i="14"/>
  <c r="E1445" i="14" s="1"/>
  <c r="B1445" i="14"/>
  <c r="A1446" i="14"/>
  <c r="D1446" i="14" l="1"/>
  <c r="C1446" i="14"/>
  <c r="E1446" i="14" s="1"/>
  <c r="B1446" i="14"/>
  <c r="A1447" i="14"/>
  <c r="D1447" i="14" l="1"/>
  <c r="C1447" i="14"/>
  <c r="E1447" i="14" s="1"/>
  <c r="B1447" i="14"/>
  <c r="A1448" i="14"/>
  <c r="B1448" i="14" l="1"/>
  <c r="D1448" i="14"/>
  <c r="C1448" i="14"/>
  <c r="E1448" i="14" s="1"/>
  <c r="A1449" i="14"/>
  <c r="D1449" i="14" l="1"/>
  <c r="C1449" i="14"/>
  <c r="E1449" i="14" s="1"/>
  <c r="B1449" i="14"/>
  <c r="A1450" i="14"/>
  <c r="D1450" i="14" l="1"/>
  <c r="C1450" i="14"/>
  <c r="E1450" i="14" s="1"/>
  <c r="B1450" i="14"/>
  <c r="A1451" i="14"/>
  <c r="C1451" i="14" l="1"/>
  <c r="E1451" i="14" s="1"/>
  <c r="B1451" i="14"/>
  <c r="D1451" i="14"/>
  <c r="A1452" i="14"/>
  <c r="D1452" i="14" l="1"/>
  <c r="C1452" i="14"/>
  <c r="E1452" i="14" s="1"/>
  <c r="B1452" i="14"/>
  <c r="A1453" i="14"/>
  <c r="D1453" i="14" l="1"/>
  <c r="C1453" i="14"/>
  <c r="E1453" i="14" s="1"/>
  <c r="B1453" i="14"/>
  <c r="A1454" i="14"/>
  <c r="D1454" i="14" l="1"/>
  <c r="C1454" i="14"/>
  <c r="E1454" i="14" s="1"/>
  <c r="B1454" i="14"/>
  <c r="A1455" i="14"/>
  <c r="D1455" i="14" l="1"/>
  <c r="C1455" i="14"/>
  <c r="E1455" i="14" s="1"/>
  <c r="B1455" i="14"/>
  <c r="A1456" i="14"/>
  <c r="B1456" i="14" l="1"/>
  <c r="D1456" i="14"/>
  <c r="C1456" i="14"/>
  <c r="E1456" i="14" s="1"/>
  <c r="A1457" i="14"/>
  <c r="D1457" i="14" l="1"/>
  <c r="C1457" i="14"/>
  <c r="E1457" i="14" s="1"/>
  <c r="B1457" i="14"/>
  <c r="A1458" i="14"/>
  <c r="D1458" i="14" l="1"/>
  <c r="C1458" i="14"/>
  <c r="E1458" i="14" s="1"/>
  <c r="B1458" i="14"/>
  <c r="A1459" i="14"/>
  <c r="C1459" i="14" l="1"/>
  <c r="E1459" i="14" s="1"/>
  <c r="B1459" i="14"/>
  <c r="D1459" i="14"/>
  <c r="A1460" i="14"/>
  <c r="D1460" i="14" l="1"/>
  <c r="C1460" i="14"/>
  <c r="E1460" i="14" s="1"/>
  <c r="B1460" i="14"/>
  <c r="A1461" i="14"/>
  <c r="D1461" i="14" l="1"/>
  <c r="C1461" i="14"/>
  <c r="E1461" i="14" s="1"/>
  <c r="B1461" i="14"/>
  <c r="A1462" i="14"/>
  <c r="D1462" i="14" l="1"/>
  <c r="C1462" i="14"/>
  <c r="E1462" i="14" s="1"/>
  <c r="B1462" i="14"/>
  <c r="A1463" i="14"/>
  <c r="D1463" i="14" l="1"/>
  <c r="C1463" i="14"/>
  <c r="E1463" i="14" s="1"/>
  <c r="B1463" i="14"/>
  <c r="A1464" i="14"/>
  <c r="B1464" i="14" l="1"/>
  <c r="D1464" i="14"/>
  <c r="C1464" i="14"/>
  <c r="E1464" i="14" s="1"/>
  <c r="A1465" i="14"/>
  <c r="D1465" i="14" l="1"/>
  <c r="C1465" i="14"/>
  <c r="E1465" i="14" s="1"/>
  <c r="B1465" i="14"/>
  <c r="A1466" i="14"/>
  <c r="D1466" i="14" l="1"/>
  <c r="C1466" i="14"/>
  <c r="E1466" i="14" s="1"/>
  <c r="B1466" i="14"/>
  <c r="A1467" i="14"/>
  <c r="C1467" i="14" l="1"/>
  <c r="E1467" i="14" s="1"/>
  <c r="B1467" i="14"/>
  <c r="D1467" i="14"/>
  <c r="A1468" i="14"/>
  <c r="D1468" i="14" l="1"/>
  <c r="C1468" i="14"/>
  <c r="E1468" i="14" s="1"/>
  <c r="B1468" i="14"/>
  <c r="A1469" i="14"/>
  <c r="D1469" i="14" l="1"/>
  <c r="C1469" i="14"/>
  <c r="E1469" i="14" s="1"/>
  <c r="B1469" i="14"/>
  <c r="A1470" i="14"/>
  <c r="D1470" i="14" l="1"/>
  <c r="C1470" i="14"/>
  <c r="E1470" i="14" s="1"/>
  <c r="B1470" i="14"/>
  <c r="A1471" i="14"/>
  <c r="D1471" i="14" l="1"/>
  <c r="C1471" i="14"/>
  <c r="E1471" i="14" s="1"/>
  <c r="B1471" i="14"/>
  <c r="A1472" i="14"/>
  <c r="B1472" i="14" l="1"/>
  <c r="D1472" i="14"/>
  <c r="C1472" i="14"/>
  <c r="E1472" i="14" s="1"/>
  <c r="A1473" i="14"/>
  <c r="D1473" i="14" l="1"/>
  <c r="C1473" i="14"/>
  <c r="E1473" i="14" s="1"/>
  <c r="B1473" i="14"/>
  <c r="A1474" i="14"/>
  <c r="D1474" i="14" l="1"/>
  <c r="C1474" i="14"/>
  <c r="E1474" i="14" s="1"/>
  <c r="B1474" i="14"/>
  <c r="A1475" i="14"/>
  <c r="C1475" i="14" l="1"/>
  <c r="E1475" i="14" s="1"/>
  <c r="B1475" i="14"/>
  <c r="D1475" i="14"/>
  <c r="A1476" i="14"/>
  <c r="D1476" i="14" l="1"/>
  <c r="C1476" i="14"/>
  <c r="E1476" i="14" s="1"/>
  <c r="B1476" i="14"/>
  <c r="A1477" i="14"/>
  <c r="D1477" i="14" l="1"/>
  <c r="C1477" i="14"/>
  <c r="E1477" i="14" s="1"/>
  <c r="B1477" i="14"/>
  <c r="A1478" i="14"/>
  <c r="D1478" i="14" l="1"/>
  <c r="C1478" i="14"/>
  <c r="E1478" i="14" s="1"/>
  <c r="B1478" i="14"/>
  <c r="A1479" i="14"/>
  <c r="D1479" i="14" l="1"/>
  <c r="C1479" i="14"/>
  <c r="E1479" i="14" s="1"/>
  <c r="B1479" i="14"/>
  <c r="A1480" i="14"/>
  <c r="B1480" i="14" l="1"/>
  <c r="D1480" i="14"/>
  <c r="C1480" i="14"/>
  <c r="E1480" i="14" s="1"/>
  <c r="A1481" i="14"/>
  <c r="D1481" i="14" l="1"/>
  <c r="C1481" i="14"/>
  <c r="E1481" i="14" s="1"/>
  <c r="B1481" i="14"/>
  <c r="A1482" i="14"/>
  <c r="D1482" i="14" l="1"/>
  <c r="C1482" i="14"/>
  <c r="E1482" i="14" s="1"/>
  <c r="B1482" i="14"/>
  <c r="A1483" i="14"/>
  <c r="C1483" i="14" l="1"/>
  <c r="E1483" i="14" s="1"/>
  <c r="B1483" i="14"/>
  <c r="D1483" i="14"/>
  <c r="A1484" i="14"/>
  <c r="D1484" i="14" l="1"/>
  <c r="C1484" i="14"/>
  <c r="E1484" i="14" s="1"/>
  <c r="B1484" i="14"/>
  <c r="A1485" i="14"/>
  <c r="D1485" i="14" l="1"/>
  <c r="C1485" i="14"/>
  <c r="E1485" i="14" s="1"/>
  <c r="B1485" i="14"/>
  <c r="A1486" i="14"/>
  <c r="D1486" i="14" l="1"/>
  <c r="C1486" i="14"/>
  <c r="E1486" i="14" s="1"/>
  <c r="B1486" i="14"/>
  <c r="A1487" i="14"/>
  <c r="D1487" i="14" l="1"/>
  <c r="C1487" i="14"/>
  <c r="E1487" i="14" s="1"/>
  <c r="B1487" i="14"/>
  <c r="A1488" i="14"/>
  <c r="B1488" i="14" l="1"/>
  <c r="D1488" i="14"/>
  <c r="C1488" i="14"/>
  <c r="E1488" i="14" s="1"/>
  <c r="A1489" i="14"/>
  <c r="D1489" i="14" l="1"/>
  <c r="C1489" i="14"/>
  <c r="E1489" i="14" s="1"/>
  <c r="B1489" i="14"/>
  <c r="A1490" i="14"/>
  <c r="D1490" i="14" l="1"/>
  <c r="C1490" i="14"/>
  <c r="E1490" i="14" s="1"/>
  <c r="B1490" i="14"/>
  <c r="A1491" i="14"/>
  <c r="C1491" i="14" l="1"/>
  <c r="E1491" i="14" s="1"/>
  <c r="B1491" i="14"/>
  <c r="D1491" i="14"/>
  <c r="A1492" i="14"/>
  <c r="D1492" i="14" l="1"/>
  <c r="C1492" i="14"/>
  <c r="E1492" i="14" s="1"/>
  <c r="B1492" i="14"/>
  <c r="A1493" i="14"/>
  <c r="D1493" i="14" l="1"/>
  <c r="C1493" i="14"/>
  <c r="E1493" i="14" s="1"/>
  <c r="B1493" i="14"/>
  <c r="A1494" i="14"/>
  <c r="D1494" i="14" l="1"/>
  <c r="C1494" i="14"/>
  <c r="E1494" i="14" s="1"/>
  <c r="B1494" i="14"/>
  <c r="A1495" i="14"/>
  <c r="D1495" i="14" l="1"/>
  <c r="C1495" i="14"/>
  <c r="E1495" i="14" s="1"/>
  <c r="B1495" i="14"/>
  <c r="A1496" i="14"/>
  <c r="B1496" i="14" l="1"/>
  <c r="D1496" i="14"/>
  <c r="C1496" i="14"/>
  <c r="E1496" i="14" s="1"/>
  <c r="A1497" i="14"/>
  <c r="D1497" i="14" l="1"/>
  <c r="C1497" i="14"/>
  <c r="E1497" i="14" s="1"/>
  <c r="B1497" i="14"/>
  <c r="A1498" i="14"/>
  <c r="D1498" i="14" l="1"/>
  <c r="C1498" i="14"/>
  <c r="E1498" i="14" s="1"/>
  <c r="B1498" i="14"/>
  <c r="A1499" i="14"/>
  <c r="C1499" i="14" l="1"/>
  <c r="E1499" i="14" s="1"/>
  <c r="B1499" i="14"/>
  <c r="D1499" i="14"/>
  <c r="A1500" i="14"/>
  <c r="D1500" i="14" l="1"/>
  <c r="C1500" i="14"/>
  <c r="E1500" i="14" s="1"/>
  <c r="B1500" i="14"/>
  <c r="A1501" i="14"/>
  <c r="D1501" i="14" l="1"/>
  <c r="C1501" i="14"/>
  <c r="E1501" i="14" s="1"/>
  <c r="B1501" i="14"/>
  <c r="A1502" i="14"/>
  <c r="D1502" i="14" l="1"/>
  <c r="C1502" i="14"/>
  <c r="E1502" i="14" s="1"/>
  <c r="B1502" i="14"/>
  <c r="A1503" i="14"/>
  <c r="D1503" i="14" l="1"/>
  <c r="C1503" i="14"/>
  <c r="E1503" i="14" s="1"/>
  <c r="B1503" i="14"/>
  <c r="A1504" i="14"/>
  <c r="B1504" i="14" l="1"/>
  <c r="D1504" i="14"/>
  <c r="C1504" i="14"/>
  <c r="E1504" i="14" s="1"/>
  <c r="A1505" i="14"/>
  <c r="D1505" i="14" l="1"/>
  <c r="C1505" i="14"/>
  <c r="E1505" i="14" s="1"/>
  <c r="B1505" i="14"/>
  <c r="A1506" i="14"/>
  <c r="D1506" i="14" l="1"/>
  <c r="C1506" i="14"/>
  <c r="E1506" i="14" s="1"/>
  <c r="B1506" i="14"/>
  <c r="A1507" i="14"/>
  <c r="C1507" i="14" l="1"/>
  <c r="E1507" i="14" s="1"/>
  <c r="B1507" i="14"/>
  <c r="D1507" i="14"/>
  <c r="A1508" i="14"/>
  <c r="D1508" i="14" l="1"/>
  <c r="C1508" i="14"/>
  <c r="E1508" i="14" s="1"/>
  <c r="B1508" i="14"/>
  <c r="A1509" i="14"/>
  <c r="D1509" i="14" l="1"/>
  <c r="C1509" i="14"/>
  <c r="E1509" i="14" s="1"/>
  <c r="B1509" i="14"/>
  <c r="A1510" i="14"/>
  <c r="D1510" i="14" l="1"/>
  <c r="C1510" i="14"/>
  <c r="E1510" i="14" s="1"/>
  <c r="B1510" i="14"/>
  <c r="A1511" i="14"/>
  <c r="D1511" i="14" l="1"/>
  <c r="C1511" i="14"/>
  <c r="E1511" i="14" s="1"/>
  <c r="B1511" i="14"/>
  <c r="A1512" i="14"/>
  <c r="B1512" i="14" l="1"/>
  <c r="D1512" i="14"/>
  <c r="C1512" i="14"/>
  <c r="E1512" i="14" s="1"/>
  <c r="A1513" i="14"/>
  <c r="D1513" i="14" l="1"/>
  <c r="C1513" i="14"/>
  <c r="E1513" i="14" s="1"/>
  <c r="B1513" i="14"/>
  <c r="A1514" i="14"/>
  <c r="D1514" i="14" l="1"/>
  <c r="C1514" i="14"/>
  <c r="E1514" i="14" s="1"/>
  <c r="B1514" i="14"/>
  <c r="A1515" i="14"/>
  <c r="C1515" i="14" l="1"/>
  <c r="E1515" i="14" s="1"/>
  <c r="B1515" i="14"/>
  <c r="D1515" i="14"/>
  <c r="A1516" i="14"/>
  <c r="D1516" i="14" l="1"/>
  <c r="C1516" i="14"/>
  <c r="E1516" i="14" s="1"/>
  <c r="B1516" i="14"/>
  <c r="A1517" i="14"/>
  <c r="D1517" i="14" l="1"/>
  <c r="C1517" i="14"/>
  <c r="E1517" i="14" s="1"/>
  <c r="B1517" i="14"/>
  <c r="A1518" i="14"/>
  <c r="D1518" i="14" l="1"/>
  <c r="C1518" i="14"/>
  <c r="E1518" i="14" s="1"/>
  <c r="B1518" i="14"/>
  <c r="A1519" i="14"/>
  <c r="D1519" i="14" l="1"/>
  <c r="C1519" i="14"/>
  <c r="E1519" i="14" s="1"/>
  <c r="B1519" i="14"/>
  <c r="A1520" i="14"/>
  <c r="B1520" i="14" l="1"/>
  <c r="D1520" i="14"/>
  <c r="C1520" i="14"/>
  <c r="E1520" i="14" s="1"/>
  <c r="A1521" i="14"/>
  <c r="D1521" i="14" l="1"/>
  <c r="C1521" i="14"/>
  <c r="E1521" i="14" s="1"/>
  <c r="B1521" i="14"/>
  <c r="A1522" i="14"/>
  <c r="D1522" i="14" l="1"/>
  <c r="C1522" i="14"/>
  <c r="E1522" i="14" s="1"/>
  <c r="B1522" i="14"/>
  <c r="A1523" i="14"/>
  <c r="C1523" i="14" l="1"/>
  <c r="E1523" i="14" s="1"/>
  <c r="B1523" i="14"/>
  <c r="D1523" i="14"/>
  <c r="A1524" i="14"/>
  <c r="D1524" i="14" l="1"/>
  <c r="C1524" i="14"/>
  <c r="E1524" i="14" s="1"/>
  <c r="B1524" i="14"/>
  <c r="A1525" i="14"/>
  <c r="D1525" i="14" l="1"/>
  <c r="C1525" i="14"/>
  <c r="E1525" i="14" s="1"/>
  <c r="B1525" i="14"/>
  <c r="A1526" i="14"/>
  <c r="D1526" i="14" l="1"/>
  <c r="C1526" i="14"/>
  <c r="E1526" i="14" s="1"/>
  <c r="B1526" i="14"/>
  <c r="A1527" i="14"/>
  <c r="D1527" i="14" l="1"/>
  <c r="C1527" i="14"/>
  <c r="E1527" i="14" s="1"/>
  <c r="B1527" i="14"/>
  <c r="A1528" i="14"/>
  <c r="B1528" i="14" l="1"/>
  <c r="D1528" i="14"/>
  <c r="C1528" i="14"/>
  <c r="E1528" i="14" s="1"/>
  <c r="A1529" i="14"/>
  <c r="D1529" i="14" l="1"/>
  <c r="C1529" i="14"/>
  <c r="E1529" i="14" s="1"/>
  <c r="B1529" i="14"/>
  <c r="A1530" i="14"/>
  <c r="D1530" i="14" l="1"/>
  <c r="C1530" i="14"/>
  <c r="E1530" i="14" s="1"/>
  <c r="B1530" i="14"/>
  <c r="A1531" i="14"/>
  <c r="C1531" i="14" l="1"/>
  <c r="E1531" i="14" s="1"/>
  <c r="B1531" i="14"/>
  <c r="D1531" i="14"/>
  <c r="A1532" i="14"/>
  <c r="D1532" i="14" l="1"/>
  <c r="C1532" i="14"/>
  <c r="E1532" i="14" s="1"/>
  <c r="B1532" i="14"/>
  <c r="A1533" i="14"/>
  <c r="D1533" i="14" l="1"/>
  <c r="C1533" i="14"/>
  <c r="E1533" i="14" s="1"/>
  <c r="B1533" i="14"/>
  <c r="A1534" i="14"/>
  <c r="D1534" i="14" l="1"/>
  <c r="C1534" i="14"/>
  <c r="E1534" i="14" s="1"/>
  <c r="B1534" i="14"/>
  <c r="A1535" i="14"/>
  <c r="D1535" i="14" l="1"/>
  <c r="C1535" i="14"/>
  <c r="E1535" i="14" s="1"/>
  <c r="B1535" i="14"/>
  <c r="A1536" i="14"/>
  <c r="B1536" i="14" l="1"/>
  <c r="D1536" i="14"/>
  <c r="C1536" i="14"/>
  <c r="E1536" i="14" s="1"/>
  <c r="A1537" i="14"/>
  <c r="D1537" i="14" l="1"/>
  <c r="C1537" i="14"/>
  <c r="E1537" i="14" s="1"/>
  <c r="B1537" i="14"/>
  <c r="A1538" i="14"/>
  <c r="D1538" i="14" l="1"/>
  <c r="C1538" i="14"/>
  <c r="E1538" i="14" s="1"/>
  <c r="B1538" i="14"/>
  <c r="A1539" i="14"/>
  <c r="C1539" i="14" l="1"/>
  <c r="E1539" i="14" s="1"/>
  <c r="B1539" i="14"/>
  <c r="D1539" i="14"/>
  <c r="A1540" i="14"/>
  <c r="D1540" i="14" l="1"/>
  <c r="C1540" i="14"/>
  <c r="E1540" i="14" s="1"/>
  <c r="B1540" i="14"/>
  <c r="A1541" i="14"/>
  <c r="D1541" i="14" l="1"/>
  <c r="C1541" i="14"/>
  <c r="E1541" i="14" s="1"/>
  <c r="B1541" i="14"/>
  <c r="A1542" i="14"/>
  <c r="D1542" i="14" l="1"/>
  <c r="C1542" i="14"/>
  <c r="E1542" i="14" s="1"/>
  <c r="B1542" i="14"/>
  <c r="A1543" i="14"/>
  <c r="D1543" i="14" l="1"/>
  <c r="C1543" i="14"/>
  <c r="E1543" i="14" s="1"/>
  <c r="B1543" i="14"/>
  <c r="A1544" i="14"/>
  <c r="B1544" i="14" l="1"/>
  <c r="D1544" i="14"/>
  <c r="C1544" i="14"/>
  <c r="E1544" i="14" s="1"/>
  <c r="A1545" i="14"/>
  <c r="D1545" i="14" l="1"/>
  <c r="C1545" i="14"/>
  <c r="E1545" i="14" s="1"/>
  <c r="B1545" i="14"/>
  <c r="A1546" i="14"/>
  <c r="D1546" i="14" l="1"/>
  <c r="C1546" i="14"/>
  <c r="E1546" i="14" s="1"/>
  <c r="B1546" i="14"/>
  <c r="A1547" i="14"/>
  <c r="C1547" i="14" l="1"/>
  <c r="E1547" i="14" s="1"/>
  <c r="B1547" i="14"/>
  <c r="D1547" i="14"/>
  <c r="A1548" i="14"/>
  <c r="D1548" i="14" l="1"/>
  <c r="C1548" i="14"/>
  <c r="E1548" i="14" s="1"/>
  <c r="B1548" i="14"/>
  <c r="A1549" i="14"/>
  <c r="D1549" i="14" l="1"/>
  <c r="C1549" i="14"/>
  <c r="E1549" i="14" s="1"/>
  <c r="B1549" i="14"/>
  <c r="A1550" i="14"/>
  <c r="D1550" i="14" l="1"/>
  <c r="C1550" i="14"/>
  <c r="E1550" i="14" s="1"/>
  <c r="B1550" i="14"/>
  <c r="A1551" i="14"/>
  <c r="D1551" i="14" l="1"/>
  <c r="C1551" i="14"/>
  <c r="E1551" i="14" s="1"/>
  <c r="B1551" i="14"/>
  <c r="A1552" i="14"/>
  <c r="B1552" i="14" l="1"/>
  <c r="D1552" i="14"/>
  <c r="C1552" i="14"/>
  <c r="E1552" i="14" s="1"/>
  <c r="A1553" i="14"/>
  <c r="D1553" i="14" l="1"/>
  <c r="C1553" i="14"/>
  <c r="E1553" i="14" s="1"/>
  <c r="B1553" i="14"/>
  <c r="A1554" i="14"/>
  <c r="D1554" i="14" l="1"/>
  <c r="C1554" i="14"/>
  <c r="E1554" i="14" s="1"/>
  <c r="B1554" i="14"/>
  <c r="A1555" i="14"/>
  <c r="C1555" i="14" l="1"/>
  <c r="E1555" i="14" s="1"/>
  <c r="B1555" i="14"/>
  <c r="D1555" i="14"/>
  <c r="A1556" i="14"/>
  <c r="D1556" i="14" l="1"/>
  <c r="C1556" i="14"/>
  <c r="E1556" i="14" s="1"/>
  <c r="B1556" i="14"/>
  <c r="A1557" i="14"/>
  <c r="D1557" i="14" l="1"/>
  <c r="C1557" i="14"/>
  <c r="E1557" i="14" s="1"/>
  <c r="B1557" i="14"/>
  <c r="A1558" i="14"/>
  <c r="D1558" i="14" l="1"/>
  <c r="C1558" i="14"/>
  <c r="E1558" i="14" s="1"/>
  <c r="B1558" i="14"/>
  <c r="A1559" i="14"/>
  <c r="D1559" i="14" l="1"/>
  <c r="C1559" i="14"/>
  <c r="E1559" i="14" s="1"/>
  <c r="B1559" i="14"/>
  <c r="A1560" i="14"/>
  <c r="B1560" i="14" l="1"/>
  <c r="D1560" i="14"/>
  <c r="C1560" i="14"/>
  <c r="E1560" i="14" s="1"/>
  <c r="A1561" i="14"/>
  <c r="D1561" i="14" l="1"/>
  <c r="C1561" i="14"/>
  <c r="E1561" i="14" s="1"/>
  <c r="B1561" i="14"/>
  <c r="A1562" i="14"/>
  <c r="D1562" i="14" l="1"/>
  <c r="C1562" i="14"/>
  <c r="E1562" i="14" s="1"/>
  <c r="B1562" i="14"/>
  <c r="A1563" i="14"/>
  <c r="C1563" i="14" l="1"/>
  <c r="E1563" i="14" s="1"/>
  <c r="B1563" i="14"/>
  <c r="D1563" i="14"/>
  <c r="A1564" i="14"/>
  <c r="D1564" i="14" l="1"/>
  <c r="C1564" i="14"/>
  <c r="E1564" i="14" s="1"/>
  <c r="B1564" i="14"/>
  <c r="A1565" i="14"/>
  <c r="D1565" i="14" l="1"/>
  <c r="C1565" i="14"/>
  <c r="E1565" i="14" s="1"/>
  <c r="B1565" i="14"/>
  <c r="A1566" i="14"/>
  <c r="D1566" i="14" l="1"/>
  <c r="C1566" i="14"/>
  <c r="E1566" i="14" s="1"/>
  <c r="B1566" i="14"/>
  <c r="A1567" i="14"/>
  <c r="D1567" i="14" l="1"/>
  <c r="C1567" i="14"/>
  <c r="E1567" i="14" s="1"/>
  <c r="B1567" i="14"/>
  <c r="A1568" i="14"/>
  <c r="B1568" i="14" l="1"/>
  <c r="D1568" i="14"/>
  <c r="C1568" i="14"/>
  <c r="E1568" i="14" s="1"/>
  <c r="A1569" i="14"/>
  <c r="D1569" i="14" l="1"/>
  <c r="C1569" i="14"/>
  <c r="E1569" i="14" s="1"/>
  <c r="B1569" i="14"/>
  <c r="A1570" i="14"/>
  <c r="D1570" i="14" l="1"/>
  <c r="C1570" i="14"/>
  <c r="E1570" i="14" s="1"/>
  <c r="B1570" i="14"/>
  <c r="A1571" i="14"/>
  <c r="C1571" i="14" l="1"/>
  <c r="E1571" i="14" s="1"/>
  <c r="B1571" i="14"/>
  <c r="D1571" i="14"/>
  <c r="A1572" i="14"/>
  <c r="D1572" i="14" l="1"/>
  <c r="C1572" i="14"/>
  <c r="E1572" i="14" s="1"/>
  <c r="B1572" i="14"/>
  <c r="A1573" i="14"/>
  <c r="D1573" i="14" l="1"/>
  <c r="C1573" i="14"/>
  <c r="E1573" i="14" s="1"/>
  <c r="B1573" i="14"/>
  <c r="A1574" i="14"/>
  <c r="D1574" i="14" l="1"/>
  <c r="C1574" i="14"/>
  <c r="E1574" i="14" s="1"/>
  <c r="B1574" i="14"/>
  <c r="A1575" i="14"/>
  <c r="D1575" i="14" l="1"/>
  <c r="C1575" i="14"/>
  <c r="E1575" i="14" s="1"/>
  <c r="B1575" i="14"/>
  <c r="A1576" i="14"/>
  <c r="B1576" i="14" l="1"/>
  <c r="D1576" i="14"/>
  <c r="C1576" i="14"/>
  <c r="E1576" i="14" s="1"/>
  <c r="A1577" i="14"/>
  <c r="D1577" i="14" l="1"/>
  <c r="C1577" i="14"/>
  <c r="E1577" i="14" s="1"/>
  <c r="B1577" i="14"/>
  <c r="A1578" i="14"/>
  <c r="D1578" i="14" l="1"/>
  <c r="C1578" i="14"/>
  <c r="E1578" i="14" s="1"/>
  <c r="B1578" i="14"/>
  <c r="A1579" i="14"/>
  <c r="C1579" i="14" l="1"/>
  <c r="E1579" i="14" s="1"/>
  <c r="B1579" i="14"/>
  <c r="D1579" i="14"/>
  <c r="A1580" i="14"/>
  <c r="D1580" i="14" l="1"/>
  <c r="C1580" i="14"/>
  <c r="E1580" i="14" s="1"/>
  <c r="B1580" i="14"/>
  <c r="A1581" i="14"/>
  <c r="D1581" i="14" l="1"/>
  <c r="C1581" i="14"/>
  <c r="E1581" i="14" s="1"/>
  <c r="B1581" i="14"/>
  <c r="A1582" i="14"/>
  <c r="D1582" i="14" l="1"/>
  <c r="C1582" i="14"/>
  <c r="E1582" i="14" s="1"/>
  <c r="B1582" i="14"/>
  <c r="A1583" i="14"/>
  <c r="D1583" i="14" l="1"/>
  <c r="C1583" i="14"/>
  <c r="E1583" i="14" s="1"/>
  <c r="B1583" i="14"/>
  <c r="A1584" i="14"/>
  <c r="B1584" i="14" l="1"/>
  <c r="D1584" i="14"/>
  <c r="C1584" i="14"/>
  <c r="E1584" i="14" s="1"/>
  <c r="A1585" i="14"/>
  <c r="D1585" i="14" l="1"/>
  <c r="C1585" i="14"/>
  <c r="E1585" i="14" s="1"/>
  <c r="B1585" i="14"/>
  <c r="A1586" i="14"/>
  <c r="D1586" i="14" l="1"/>
  <c r="C1586" i="14"/>
  <c r="E1586" i="14" s="1"/>
  <c r="B1586" i="14"/>
  <c r="A1587" i="14"/>
  <c r="C1587" i="14" l="1"/>
  <c r="E1587" i="14" s="1"/>
  <c r="B1587" i="14"/>
  <c r="D1587" i="14"/>
  <c r="A1588" i="14"/>
  <c r="D1588" i="14" l="1"/>
  <c r="C1588" i="14"/>
  <c r="E1588" i="14" s="1"/>
  <c r="B1588" i="14"/>
  <c r="A1589" i="14"/>
  <c r="D1589" i="14" l="1"/>
  <c r="C1589" i="14"/>
  <c r="E1589" i="14" s="1"/>
  <c r="B1589" i="14"/>
  <c r="A1590" i="14"/>
  <c r="D1590" i="14" l="1"/>
  <c r="C1590" i="14"/>
  <c r="E1590" i="14" s="1"/>
  <c r="B1590" i="14"/>
  <c r="A1591" i="14"/>
  <c r="D1591" i="14" l="1"/>
  <c r="C1591" i="14"/>
  <c r="E1591" i="14" s="1"/>
  <c r="B1591" i="14"/>
  <c r="A1592" i="14"/>
  <c r="B1592" i="14" l="1"/>
  <c r="D1592" i="14"/>
  <c r="C1592" i="14"/>
  <c r="E1592" i="14" s="1"/>
  <c r="A1593" i="14"/>
  <c r="D1593" i="14" l="1"/>
  <c r="C1593" i="14"/>
  <c r="E1593" i="14" s="1"/>
  <c r="B1593" i="14"/>
  <c r="A1594" i="14"/>
  <c r="D1594" i="14" l="1"/>
  <c r="C1594" i="14"/>
  <c r="E1594" i="14" s="1"/>
  <c r="B1594" i="14"/>
  <c r="A1595" i="14"/>
  <c r="C1595" i="14" l="1"/>
  <c r="E1595" i="14" s="1"/>
  <c r="B1595" i="14"/>
  <c r="D1595" i="14"/>
  <c r="A1596" i="14"/>
  <c r="D1596" i="14" l="1"/>
  <c r="C1596" i="14"/>
  <c r="E1596" i="14" s="1"/>
  <c r="B1596" i="14"/>
  <c r="A1597" i="14"/>
  <c r="D1597" i="14" l="1"/>
  <c r="C1597" i="14"/>
  <c r="E1597" i="14" s="1"/>
  <c r="B1597" i="14"/>
  <c r="A1598" i="14"/>
  <c r="D1598" i="14" l="1"/>
  <c r="C1598" i="14"/>
  <c r="E1598" i="14" s="1"/>
  <c r="B1598" i="14"/>
  <c r="A1599" i="14"/>
  <c r="D1599" i="14" l="1"/>
  <c r="C1599" i="14"/>
  <c r="E1599" i="14" s="1"/>
  <c r="B1599" i="14"/>
  <c r="A1600" i="14"/>
  <c r="B1600" i="14" l="1"/>
  <c r="D1600" i="14"/>
  <c r="C1600" i="14"/>
  <c r="E1600" i="14" s="1"/>
  <c r="A1601" i="14"/>
  <c r="D1601" i="14" l="1"/>
  <c r="C1601" i="14"/>
  <c r="E1601" i="14" s="1"/>
  <c r="B1601" i="14"/>
  <c r="A1602" i="14"/>
  <c r="D1602" i="14" l="1"/>
  <c r="C1602" i="14"/>
  <c r="E1602" i="14" s="1"/>
  <c r="B1602" i="14"/>
  <c r="A1603" i="14"/>
  <c r="C1603" i="14" l="1"/>
  <c r="E1603" i="14" s="1"/>
  <c r="B1603" i="14"/>
  <c r="D1603" i="14"/>
  <c r="A1604" i="14"/>
  <c r="D1604" i="14" l="1"/>
  <c r="C1604" i="14"/>
  <c r="E1604" i="14" s="1"/>
  <c r="B1604" i="14"/>
  <c r="A1605" i="14"/>
  <c r="D1605" i="14" l="1"/>
  <c r="C1605" i="14"/>
  <c r="E1605" i="14" s="1"/>
  <c r="B1605" i="14"/>
  <c r="A1606" i="14"/>
  <c r="D1606" i="14" l="1"/>
  <c r="C1606" i="14"/>
  <c r="E1606" i="14" s="1"/>
  <c r="B1606" i="14"/>
  <c r="A1607" i="14"/>
  <c r="D1607" i="14" l="1"/>
  <c r="C1607" i="14"/>
  <c r="E1607" i="14" s="1"/>
  <c r="B1607" i="14"/>
  <c r="A1608" i="14"/>
  <c r="B1608" i="14" l="1"/>
  <c r="D1608" i="14"/>
  <c r="C1608" i="14"/>
  <c r="E1608" i="14" s="1"/>
  <c r="A1609" i="14"/>
  <c r="D1609" i="14" l="1"/>
  <c r="C1609" i="14"/>
  <c r="E1609" i="14" s="1"/>
  <c r="B1609" i="14"/>
  <c r="A1610" i="14"/>
  <c r="D1610" i="14" l="1"/>
  <c r="C1610" i="14"/>
  <c r="E1610" i="14" s="1"/>
  <c r="B1610" i="14"/>
  <c r="A1611" i="14"/>
  <c r="C1611" i="14" l="1"/>
  <c r="E1611" i="14" s="1"/>
  <c r="B1611" i="14"/>
  <c r="D1611" i="14"/>
  <c r="A1612" i="14"/>
  <c r="D1612" i="14" l="1"/>
  <c r="C1612" i="14"/>
  <c r="E1612" i="14" s="1"/>
  <c r="B1612" i="14"/>
  <c r="A1613" i="14"/>
  <c r="D1613" i="14" l="1"/>
  <c r="C1613" i="14"/>
  <c r="E1613" i="14" s="1"/>
  <c r="B1613" i="14"/>
  <c r="A1614" i="14"/>
  <c r="D1614" i="14" l="1"/>
  <c r="C1614" i="14"/>
  <c r="E1614" i="14" s="1"/>
  <c r="B1614" i="14"/>
  <c r="A1615" i="14"/>
  <c r="D1615" i="14" l="1"/>
  <c r="C1615" i="14"/>
  <c r="E1615" i="14" s="1"/>
  <c r="B1615" i="14"/>
  <c r="A1616" i="14"/>
  <c r="B1616" i="14" l="1"/>
  <c r="D1616" i="14"/>
  <c r="C1616" i="14"/>
  <c r="E1616" i="14" s="1"/>
  <c r="A1617" i="14"/>
  <c r="D1617" i="14" l="1"/>
  <c r="C1617" i="14"/>
  <c r="E1617" i="14" s="1"/>
  <c r="B1617" i="14"/>
  <c r="A1618" i="14"/>
  <c r="D1618" i="14" l="1"/>
  <c r="C1618" i="14"/>
  <c r="E1618" i="14" s="1"/>
  <c r="B1618" i="14"/>
  <c r="A1619" i="14"/>
  <c r="C1619" i="14" l="1"/>
  <c r="E1619" i="14" s="1"/>
  <c r="B1619" i="14"/>
  <c r="D1619" i="14"/>
  <c r="A1620" i="14"/>
  <c r="D1620" i="14" l="1"/>
  <c r="C1620" i="14"/>
  <c r="E1620" i="14" s="1"/>
  <c r="B1620" i="14"/>
  <c r="A1621" i="14"/>
  <c r="D1621" i="14" l="1"/>
  <c r="C1621" i="14"/>
  <c r="E1621" i="14" s="1"/>
  <c r="B1621" i="14"/>
  <c r="A1622" i="14"/>
  <c r="D1622" i="14" l="1"/>
  <c r="C1622" i="14"/>
  <c r="E1622" i="14" s="1"/>
  <c r="B1622" i="14"/>
  <c r="A1623" i="14"/>
  <c r="D1623" i="14" l="1"/>
  <c r="C1623" i="14"/>
  <c r="E1623" i="14" s="1"/>
  <c r="B1623" i="14"/>
  <c r="A1624" i="14"/>
  <c r="B1624" i="14" l="1"/>
  <c r="D1624" i="14"/>
  <c r="C1624" i="14"/>
  <c r="E1624" i="14" s="1"/>
  <c r="A1625" i="14"/>
  <c r="D1625" i="14" l="1"/>
  <c r="C1625" i="14"/>
  <c r="E1625" i="14" s="1"/>
  <c r="B1625" i="14"/>
  <c r="A1626" i="14"/>
  <c r="D1626" i="14" l="1"/>
  <c r="C1626" i="14"/>
  <c r="E1626" i="14" s="1"/>
  <c r="B1626" i="14"/>
  <c r="A1627" i="14"/>
  <c r="C1627" i="14" l="1"/>
  <c r="E1627" i="14" s="1"/>
  <c r="B1627" i="14"/>
  <c r="D1627" i="14"/>
  <c r="A1628" i="14"/>
  <c r="D1628" i="14" l="1"/>
  <c r="C1628" i="14"/>
  <c r="E1628" i="14" s="1"/>
  <c r="B1628" i="14"/>
  <c r="A1629" i="14"/>
  <c r="D1629" i="14" l="1"/>
  <c r="C1629" i="14"/>
  <c r="E1629" i="14" s="1"/>
  <c r="B1629" i="14"/>
  <c r="A1630" i="14"/>
  <c r="D1630" i="14" l="1"/>
  <c r="C1630" i="14"/>
  <c r="E1630" i="14" s="1"/>
  <c r="B1630" i="14"/>
  <c r="A1631" i="14"/>
  <c r="D1631" i="14" l="1"/>
  <c r="C1631" i="14"/>
  <c r="E1631" i="14" s="1"/>
  <c r="B1631" i="14"/>
  <c r="A1632" i="14"/>
  <c r="B1632" i="14" l="1"/>
  <c r="D1632" i="14"/>
  <c r="C1632" i="14"/>
  <c r="E1632" i="14" s="1"/>
  <c r="A1633" i="14"/>
  <c r="D1633" i="14" l="1"/>
  <c r="C1633" i="14"/>
  <c r="E1633" i="14" s="1"/>
  <c r="B1633" i="14"/>
  <c r="A1634" i="14"/>
  <c r="D1634" i="14" l="1"/>
  <c r="C1634" i="14"/>
  <c r="E1634" i="14" s="1"/>
  <c r="B1634" i="14"/>
  <c r="A1635" i="14"/>
  <c r="C1635" i="14" l="1"/>
  <c r="E1635" i="14" s="1"/>
  <c r="B1635" i="14"/>
  <c r="D1635" i="14"/>
  <c r="A1636" i="14"/>
  <c r="D1636" i="14" l="1"/>
  <c r="C1636" i="14"/>
  <c r="E1636" i="14" s="1"/>
  <c r="B1636" i="14"/>
  <c r="A1637" i="14"/>
  <c r="D1637" i="14" l="1"/>
  <c r="C1637" i="14"/>
  <c r="E1637" i="14" s="1"/>
  <c r="B1637" i="14"/>
  <c r="A1638" i="14"/>
  <c r="D1638" i="14" l="1"/>
  <c r="C1638" i="14"/>
  <c r="E1638" i="14" s="1"/>
  <c r="B1638" i="14"/>
  <c r="A1639" i="14"/>
  <c r="D1639" i="14" l="1"/>
  <c r="C1639" i="14"/>
  <c r="E1639" i="14" s="1"/>
  <c r="B1639" i="14"/>
  <c r="A1640" i="14"/>
  <c r="B1640" i="14" l="1"/>
  <c r="D1640" i="14"/>
  <c r="C1640" i="14"/>
  <c r="E1640" i="14" s="1"/>
  <c r="A1641" i="14"/>
  <c r="D1641" i="14" l="1"/>
  <c r="C1641" i="14"/>
  <c r="E1641" i="14" s="1"/>
  <c r="B1641" i="14"/>
  <c r="A1642" i="14"/>
  <c r="D1642" i="14" l="1"/>
  <c r="C1642" i="14"/>
  <c r="E1642" i="14" s="1"/>
  <c r="B1642" i="14"/>
  <c r="A1643" i="14"/>
  <c r="C1643" i="14" l="1"/>
  <c r="E1643" i="14" s="1"/>
  <c r="B1643" i="14"/>
  <c r="D1643" i="14"/>
  <c r="A1644" i="14"/>
  <c r="D1644" i="14" l="1"/>
  <c r="C1644" i="14"/>
  <c r="E1644" i="14" s="1"/>
  <c r="B1644" i="14"/>
  <c r="A1645" i="14"/>
  <c r="D1645" i="14" l="1"/>
  <c r="C1645" i="14"/>
  <c r="E1645" i="14" s="1"/>
  <c r="B1645" i="14"/>
  <c r="A1646" i="14"/>
  <c r="D1646" i="14" l="1"/>
  <c r="C1646" i="14"/>
  <c r="E1646" i="14" s="1"/>
  <c r="B1646" i="14"/>
  <c r="A1647" i="14"/>
  <c r="D1647" i="14" l="1"/>
  <c r="C1647" i="14"/>
  <c r="E1647" i="14" s="1"/>
  <c r="B1647" i="14"/>
  <c r="A1648" i="14"/>
  <c r="B1648" i="14" l="1"/>
  <c r="D1648" i="14"/>
  <c r="C1648" i="14"/>
  <c r="E1648" i="14" s="1"/>
  <c r="A1649" i="14"/>
  <c r="D1649" i="14" l="1"/>
  <c r="C1649" i="14"/>
  <c r="E1649" i="14" s="1"/>
  <c r="B1649" i="14"/>
  <c r="A1650" i="14"/>
  <c r="D1650" i="14" l="1"/>
  <c r="C1650" i="14"/>
  <c r="E1650" i="14" s="1"/>
  <c r="B1650" i="14"/>
  <c r="A1651" i="14"/>
  <c r="C1651" i="14" l="1"/>
  <c r="E1651" i="14" s="1"/>
  <c r="B1651" i="14"/>
  <c r="D1651" i="14"/>
  <c r="A1652" i="14"/>
  <c r="D1652" i="14" l="1"/>
  <c r="C1652" i="14"/>
  <c r="E1652" i="14" s="1"/>
  <c r="B1652" i="14"/>
  <c r="A1653" i="14"/>
  <c r="D1653" i="14" l="1"/>
  <c r="C1653" i="14"/>
  <c r="E1653" i="14" s="1"/>
  <c r="B1653" i="14"/>
  <c r="A1654" i="14"/>
  <c r="D1654" i="14" l="1"/>
  <c r="C1654" i="14"/>
  <c r="E1654" i="14" s="1"/>
  <c r="B1654" i="14"/>
  <c r="A1655" i="14"/>
  <c r="D1655" i="14" l="1"/>
  <c r="C1655" i="14"/>
  <c r="E1655" i="14" s="1"/>
  <c r="B1655" i="14"/>
  <c r="A1656" i="14"/>
  <c r="B1656" i="14" l="1"/>
  <c r="D1656" i="14"/>
  <c r="C1656" i="14"/>
  <c r="E1656" i="14" s="1"/>
  <c r="A1657" i="14"/>
  <c r="D1657" i="14" l="1"/>
  <c r="C1657" i="14"/>
  <c r="E1657" i="14" s="1"/>
  <c r="B1657" i="14"/>
  <c r="A1658" i="14"/>
  <c r="D1658" i="14" l="1"/>
  <c r="C1658" i="14"/>
  <c r="E1658" i="14" s="1"/>
  <c r="B1658" i="14"/>
  <c r="A1659" i="14"/>
  <c r="C1659" i="14" l="1"/>
  <c r="E1659" i="14" s="1"/>
  <c r="B1659" i="14"/>
  <c r="D1659" i="14"/>
  <c r="A1660" i="14"/>
  <c r="D1660" i="14" l="1"/>
  <c r="C1660" i="14"/>
  <c r="E1660" i="14" s="1"/>
  <c r="B1660" i="14"/>
  <c r="A1661" i="14"/>
  <c r="D1661" i="14" l="1"/>
  <c r="C1661" i="14"/>
  <c r="E1661" i="14" s="1"/>
  <c r="B1661" i="14"/>
  <c r="A1662" i="14"/>
  <c r="D1662" i="14" l="1"/>
  <c r="C1662" i="14"/>
  <c r="E1662" i="14" s="1"/>
  <c r="B1662" i="14"/>
  <c r="A1663" i="14"/>
  <c r="D1663" i="14" l="1"/>
  <c r="C1663" i="14"/>
  <c r="E1663" i="14" s="1"/>
  <c r="B1663" i="14"/>
  <c r="A1664" i="14"/>
  <c r="B1664" i="14" l="1"/>
  <c r="D1664" i="14"/>
  <c r="C1664" i="14"/>
  <c r="E1664" i="14" s="1"/>
  <c r="A1665" i="14"/>
  <c r="D1665" i="14" l="1"/>
  <c r="C1665" i="14"/>
  <c r="E1665" i="14" s="1"/>
  <c r="B1665" i="14"/>
  <c r="A1666" i="14"/>
  <c r="D1666" i="14" l="1"/>
  <c r="C1666" i="14"/>
  <c r="E1666" i="14" s="1"/>
  <c r="B1666" i="14"/>
  <c r="A1667" i="14"/>
  <c r="C1667" i="14" l="1"/>
  <c r="E1667" i="14" s="1"/>
  <c r="B1667" i="14"/>
  <c r="D1667" i="14"/>
  <c r="A1668" i="14"/>
  <c r="D1668" i="14" l="1"/>
  <c r="C1668" i="14"/>
  <c r="E1668" i="14" s="1"/>
  <c r="B1668" i="14"/>
  <c r="A1669" i="14"/>
  <c r="D1669" i="14" l="1"/>
  <c r="C1669" i="14"/>
  <c r="E1669" i="14" s="1"/>
  <c r="B1669" i="14"/>
  <c r="A1670" i="14"/>
  <c r="D1670" i="14" l="1"/>
  <c r="C1670" i="14"/>
  <c r="E1670" i="14" s="1"/>
  <c r="B1670" i="14"/>
  <c r="A1671" i="14"/>
  <c r="D1671" i="14" l="1"/>
  <c r="C1671" i="14"/>
  <c r="E1671" i="14" s="1"/>
  <c r="B1671" i="14"/>
  <c r="A1672" i="14"/>
  <c r="B1672" i="14" l="1"/>
  <c r="D1672" i="14"/>
  <c r="C1672" i="14"/>
  <c r="E1672" i="14" s="1"/>
  <c r="A1673" i="14"/>
  <c r="D1673" i="14" l="1"/>
  <c r="C1673" i="14"/>
  <c r="E1673" i="14" s="1"/>
  <c r="B1673" i="14"/>
  <c r="A1674" i="14"/>
  <c r="D1674" i="14" l="1"/>
  <c r="C1674" i="14"/>
  <c r="E1674" i="14" s="1"/>
  <c r="B1674" i="14"/>
  <c r="A1675" i="14"/>
  <c r="C1675" i="14" l="1"/>
  <c r="E1675" i="14" s="1"/>
  <c r="B1675" i="14"/>
  <c r="D1675" i="14"/>
  <c r="A1676" i="14"/>
  <c r="D1676" i="14" l="1"/>
  <c r="C1676" i="14"/>
  <c r="E1676" i="14" s="1"/>
  <c r="B1676" i="14"/>
  <c r="A1677" i="14"/>
  <c r="D1677" i="14" l="1"/>
  <c r="C1677" i="14"/>
  <c r="E1677" i="14" s="1"/>
  <c r="B1677" i="14"/>
  <c r="A1678" i="14"/>
  <c r="D1678" i="14" l="1"/>
  <c r="C1678" i="14"/>
  <c r="E1678" i="14" s="1"/>
  <c r="B1678" i="14"/>
  <c r="A1679" i="14"/>
  <c r="D1679" i="14" l="1"/>
  <c r="C1679" i="14"/>
  <c r="E1679" i="14" s="1"/>
  <c r="B1679" i="14"/>
  <c r="A1680" i="14"/>
  <c r="B1680" i="14" l="1"/>
  <c r="D1680" i="14"/>
  <c r="C1680" i="14"/>
  <c r="E1680" i="14" s="1"/>
  <c r="A1681" i="14"/>
  <c r="D1681" i="14" l="1"/>
  <c r="C1681" i="14"/>
  <c r="E1681" i="14" s="1"/>
  <c r="B1681" i="14"/>
  <c r="A1682" i="14"/>
  <c r="D1682" i="14" l="1"/>
  <c r="C1682" i="14"/>
  <c r="E1682" i="14" s="1"/>
  <c r="B1682" i="14"/>
  <c r="A1683" i="14"/>
  <c r="C1683" i="14" l="1"/>
  <c r="E1683" i="14" s="1"/>
  <c r="B1683" i="14"/>
  <c r="D1683" i="14"/>
  <c r="A1684" i="14"/>
  <c r="D1684" i="14" l="1"/>
  <c r="C1684" i="14"/>
  <c r="E1684" i="14" s="1"/>
  <c r="B1684" i="14"/>
  <c r="A1685" i="14"/>
  <c r="D1685" i="14" l="1"/>
  <c r="C1685" i="14"/>
  <c r="E1685" i="14" s="1"/>
  <c r="B1685" i="14"/>
  <c r="A1686" i="14"/>
  <c r="D1686" i="14" l="1"/>
  <c r="C1686" i="14"/>
  <c r="E1686" i="14" s="1"/>
  <c r="B1686" i="14"/>
  <c r="A1687" i="14"/>
  <c r="D1687" i="14" l="1"/>
  <c r="C1687" i="14"/>
  <c r="E1687" i="14" s="1"/>
  <c r="B1687" i="14"/>
  <c r="A1688" i="14"/>
  <c r="B1688" i="14" l="1"/>
  <c r="D1688" i="14"/>
  <c r="C1688" i="14"/>
  <c r="E1688" i="14" s="1"/>
  <c r="A1689" i="14"/>
  <c r="D1689" i="14" l="1"/>
  <c r="C1689" i="14"/>
  <c r="E1689" i="14" s="1"/>
  <c r="B1689" i="14"/>
  <c r="A1690" i="14"/>
  <c r="D1690" i="14" l="1"/>
  <c r="C1690" i="14"/>
  <c r="E1690" i="14" s="1"/>
  <c r="B1690" i="14"/>
  <c r="A1691" i="14"/>
  <c r="C1691" i="14" l="1"/>
  <c r="E1691" i="14" s="1"/>
  <c r="B1691" i="14"/>
  <c r="D1691" i="14"/>
  <c r="A1692" i="14"/>
  <c r="D1692" i="14" l="1"/>
  <c r="C1692" i="14"/>
  <c r="E1692" i="14" s="1"/>
  <c r="B1692" i="14"/>
  <c r="A1693" i="14"/>
  <c r="D1693" i="14" l="1"/>
  <c r="C1693" i="14"/>
  <c r="E1693" i="14" s="1"/>
  <c r="B1693" i="14"/>
  <c r="A1694" i="14"/>
  <c r="D1694" i="14" l="1"/>
  <c r="C1694" i="14"/>
  <c r="E1694" i="14" s="1"/>
  <c r="B1694" i="14"/>
  <c r="A1695" i="14"/>
  <c r="D1695" i="14" l="1"/>
  <c r="C1695" i="14"/>
  <c r="E1695" i="14" s="1"/>
  <c r="B1695" i="14"/>
  <c r="A1696" i="14"/>
  <c r="B1696" i="14" l="1"/>
  <c r="D1696" i="14"/>
  <c r="C1696" i="14"/>
  <c r="E1696" i="14" s="1"/>
  <c r="A1697" i="14"/>
  <c r="D1697" i="14" l="1"/>
  <c r="C1697" i="14"/>
  <c r="E1697" i="14" s="1"/>
  <c r="B1697" i="14"/>
  <c r="A1698" i="14"/>
  <c r="D1698" i="14" l="1"/>
  <c r="C1698" i="14"/>
  <c r="E1698" i="14" s="1"/>
  <c r="B1698" i="14"/>
  <c r="A1699" i="14"/>
  <c r="C1699" i="14" l="1"/>
  <c r="E1699" i="14" s="1"/>
  <c r="B1699" i="14"/>
  <c r="D1699" i="14"/>
  <c r="A1700" i="14"/>
  <c r="D1700" i="14" l="1"/>
  <c r="C1700" i="14"/>
  <c r="E1700" i="14" s="1"/>
  <c r="B1700" i="14"/>
  <c r="A1701" i="14"/>
  <c r="D1701" i="14" l="1"/>
  <c r="C1701" i="14"/>
  <c r="E1701" i="14" s="1"/>
  <c r="B1701" i="14"/>
  <c r="A1702" i="14"/>
  <c r="D1702" i="14" l="1"/>
  <c r="C1702" i="14"/>
  <c r="E1702" i="14" s="1"/>
  <c r="B1702" i="14"/>
  <c r="A1703" i="14"/>
  <c r="D1703" i="14" l="1"/>
  <c r="C1703" i="14"/>
  <c r="E1703" i="14" s="1"/>
  <c r="B1703" i="14"/>
  <c r="A1704" i="14"/>
  <c r="B1704" i="14" l="1"/>
  <c r="D1704" i="14"/>
  <c r="C1704" i="14"/>
  <c r="E1704" i="14" s="1"/>
  <c r="A1705" i="14"/>
  <c r="D1705" i="14" l="1"/>
  <c r="C1705" i="14"/>
  <c r="E1705" i="14" s="1"/>
  <c r="B1705" i="14"/>
  <c r="A1706" i="14"/>
  <c r="D1706" i="14" l="1"/>
  <c r="C1706" i="14"/>
  <c r="E1706" i="14" s="1"/>
  <c r="B1706" i="14"/>
  <c r="A1707" i="14"/>
  <c r="C1707" i="14" l="1"/>
  <c r="E1707" i="14" s="1"/>
  <c r="B1707" i="14"/>
  <c r="D1707" i="14"/>
  <c r="A1708" i="14"/>
  <c r="D1708" i="14" l="1"/>
  <c r="C1708" i="14"/>
  <c r="E1708" i="14" s="1"/>
  <c r="B1708" i="14"/>
  <c r="A1709" i="14"/>
  <c r="D1709" i="14" l="1"/>
  <c r="C1709" i="14"/>
  <c r="E1709" i="14" s="1"/>
  <c r="B1709" i="14"/>
  <c r="A1710" i="14"/>
  <c r="D1710" i="14" l="1"/>
  <c r="C1710" i="14"/>
  <c r="E1710" i="14" s="1"/>
  <c r="B1710" i="14"/>
  <c r="A1711" i="14"/>
  <c r="D1711" i="14" l="1"/>
  <c r="C1711" i="14"/>
  <c r="E1711" i="14" s="1"/>
  <c r="B1711" i="14"/>
  <c r="A1712" i="14"/>
  <c r="B1712" i="14" l="1"/>
  <c r="D1712" i="14"/>
  <c r="C1712" i="14"/>
  <c r="E1712" i="14" s="1"/>
  <c r="A1713" i="14"/>
  <c r="D1713" i="14" l="1"/>
  <c r="C1713" i="14"/>
  <c r="E1713" i="14" s="1"/>
  <c r="B1713" i="14"/>
  <c r="A1714" i="14"/>
  <c r="D1714" i="14" l="1"/>
  <c r="C1714" i="14"/>
  <c r="E1714" i="14" s="1"/>
  <c r="B1714" i="14"/>
  <c r="A1715" i="14"/>
  <c r="C1715" i="14" l="1"/>
  <c r="E1715" i="14" s="1"/>
  <c r="B1715" i="14"/>
  <c r="D1715" i="14"/>
  <c r="A1716" i="14"/>
  <c r="D1716" i="14" l="1"/>
  <c r="C1716" i="14"/>
  <c r="E1716" i="14" s="1"/>
  <c r="B1716" i="14"/>
  <c r="A1717" i="14"/>
  <c r="D1717" i="14" l="1"/>
  <c r="C1717" i="14"/>
  <c r="E1717" i="14" s="1"/>
  <c r="B1717" i="14"/>
  <c r="A1718" i="14"/>
  <c r="D1718" i="14" l="1"/>
  <c r="C1718" i="14"/>
  <c r="E1718" i="14" s="1"/>
  <c r="B1718" i="14"/>
  <c r="A1719" i="14"/>
  <c r="D1719" i="14" l="1"/>
  <c r="C1719" i="14"/>
  <c r="E1719" i="14" s="1"/>
  <c r="B1719" i="14"/>
  <c r="A1720" i="14"/>
  <c r="B1720" i="14" l="1"/>
  <c r="D1720" i="14"/>
  <c r="C1720" i="14"/>
  <c r="E1720" i="14" s="1"/>
  <c r="A1721" i="14"/>
  <c r="D1721" i="14" l="1"/>
  <c r="C1721" i="14"/>
  <c r="E1721" i="14" s="1"/>
  <c r="B1721" i="14"/>
  <c r="A1722" i="14"/>
  <c r="D1722" i="14" l="1"/>
  <c r="C1722" i="14"/>
  <c r="E1722" i="14" s="1"/>
  <c r="B1722" i="14"/>
  <c r="A1723" i="14"/>
  <c r="C1723" i="14" l="1"/>
  <c r="E1723" i="14" s="1"/>
  <c r="B1723" i="14"/>
  <c r="D1723" i="14"/>
  <c r="A1724" i="14"/>
  <c r="D1724" i="14" l="1"/>
  <c r="C1724" i="14"/>
  <c r="E1724" i="14" s="1"/>
  <c r="B1724" i="14"/>
  <c r="A1725" i="14"/>
  <c r="D1725" i="14" l="1"/>
  <c r="C1725" i="14"/>
  <c r="E1725" i="14" s="1"/>
  <c r="B1725" i="14"/>
  <c r="A1726" i="14"/>
  <c r="D1726" i="14" l="1"/>
  <c r="C1726" i="14"/>
  <c r="E1726" i="14" s="1"/>
  <c r="B1726" i="14"/>
  <c r="A1727" i="14"/>
  <c r="D1727" i="14" l="1"/>
  <c r="C1727" i="14"/>
  <c r="E1727" i="14" s="1"/>
  <c r="B1727" i="14"/>
  <c r="A1728" i="14"/>
  <c r="B1728" i="14" l="1"/>
  <c r="D1728" i="14"/>
  <c r="C1728" i="14"/>
  <c r="E1728" i="14" s="1"/>
  <c r="A1729" i="14"/>
  <c r="D1729" i="14" l="1"/>
  <c r="C1729" i="14"/>
  <c r="E1729" i="14" s="1"/>
  <c r="B1729" i="14"/>
  <c r="A1730" i="14"/>
  <c r="D1730" i="14" l="1"/>
  <c r="C1730" i="14"/>
  <c r="E1730" i="14" s="1"/>
  <c r="B1730" i="14"/>
  <c r="A1731" i="14"/>
  <c r="C1731" i="14" l="1"/>
  <c r="E1731" i="14" s="1"/>
  <c r="B1731" i="14"/>
  <c r="D1731" i="14"/>
  <c r="A1732" i="14"/>
  <c r="D1732" i="14" l="1"/>
  <c r="C1732" i="14"/>
  <c r="E1732" i="14" s="1"/>
  <c r="B1732" i="14"/>
  <c r="A1733" i="14"/>
  <c r="D1733" i="14" l="1"/>
  <c r="C1733" i="14"/>
  <c r="E1733" i="14" s="1"/>
  <c r="B1733" i="14"/>
  <c r="A1734" i="14"/>
  <c r="D1734" i="14" l="1"/>
  <c r="C1734" i="14"/>
  <c r="E1734" i="14" s="1"/>
  <c r="B1734" i="14"/>
  <c r="A1735" i="14"/>
  <c r="D1735" i="14" l="1"/>
  <c r="C1735" i="14"/>
  <c r="E1735" i="14" s="1"/>
  <c r="B1735" i="14"/>
  <c r="A1736" i="14"/>
  <c r="B1736" i="14" l="1"/>
  <c r="D1736" i="14"/>
  <c r="C1736" i="14"/>
  <c r="E1736" i="14" s="1"/>
  <c r="A1737" i="14"/>
  <c r="D1737" i="14" l="1"/>
  <c r="C1737" i="14"/>
  <c r="E1737" i="14" s="1"/>
  <c r="B1737" i="14"/>
  <c r="A1738" i="14"/>
  <c r="D1738" i="14" l="1"/>
  <c r="C1738" i="14"/>
  <c r="E1738" i="14" s="1"/>
  <c r="B1738" i="14"/>
  <c r="A1739" i="14"/>
  <c r="C1739" i="14" l="1"/>
  <c r="E1739" i="14" s="1"/>
  <c r="B1739" i="14"/>
  <c r="D1739" i="14"/>
  <c r="A1740" i="14"/>
  <c r="D1740" i="14" l="1"/>
  <c r="C1740" i="14"/>
  <c r="E1740" i="14" s="1"/>
  <c r="B1740" i="14"/>
  <c r="A1741" i="14"/>
  <c r="D1741" i="14" l="1"/>
  <c r="C1741" i="14"/>
  <c r="E1741" i="14" s="1"/>
  <c r="B1741" i="14"/>
  <c r="A1742" i="14"/>
  <c r="D1742" i="14" l="1"/>
  <c r="C1742" i="14"/>
  <c r="E1742" i="14" s="1"/>
  <c r="B1742" i="14"/>
  <c r="A1743" i="14"/>
  <c r="D1743" i="14" l="1"/>
  <c r="C1743" i="14"/>
  <c r="E1743" i="14" s="1"/>
  <c r="B1743" i="14"/>
  <c r="A1744" i="14"/>
  <c r="B1744" i="14" l="1"/>
  <c r="D1744" i="14"/>
  <c r="C1744" i="14"/>
  <c r="E1744" i="14" s="1"/>
  <c r="A1745" i="14"/>
  <c r="D1745" i="14" l="1"/>
  <c r="C1745" i="14"/>
  <c r="E1745" i="14" s="1"/>
  <c r="B1745" i="14"/>
  <c r="A1746" i="14"/>
  <c r="D1746" i="14" l="1"/>
  <c r="C1746" i="14"/>
  <c r="E1746" i="14" s="1"/>
  <c r="B1746" i="14"/>
  <c r="A1747" i="14"/>
  <c r="C1747" i="14" l="1"/>
  <c r="E1747" i="14" s="1"/>
  <c r="B1747" i="14"/>
  <c r="D1747" i="14"/>
  <c r="A1748" i="14"/>
  <c r="D1748" i="14" l="1"/>
  <c r="C1748" i="14"/>
  <c r="E1748" i="14" s="1"/>
  <c r="B1748" i="14"/>
  <c r="A1749" i="14"/>
  <c r="D1749" i="14" l="1"/>
  <c r="C1749" i="14"/>
  <c r="E1749" i="14" s="1"/>
  <c r="B1749" i="14"/>
  <c r="A1750" i="14"/>
  <c r="D1750" i="14" l="1"/>
  <c r="C1750" i="14"/>
  <c r="E1750" i="14" s="1"/>
  <c r="B1750" i="14"/>
  <c r="A1751" i="14"/>
  <c r="D1751" i="14" l="1"/>
  <c r="C1751" i="14"/>
  <c r="E1751" i="14" s="1"/>
  <c r="B1751" i="14"/>
  <c r="A1752" i="14"/>
  <c r="B1752" i="14" l="1"/>
  <c r="D1752" i="14"/>
  <c r="C1752" i="14"/>
  <c r="E1752" i="14" s="1"/>
  <c r="A1753" i="14"/>
  <c r="D1753" i="14" l="1"/>
  <c r="C1753" i="14"/>
  <c r="E1753" i="14" s="1"/>
  <c r="B1753" i="14"/>
  <c r="A1754" i="14"/>
  <c r="D1754" i="14" l="1"/>
  <c r="C1754" i="14"/>
  <c r="E1754" i="14" s="1"/>
  <c r="B1754" i="14"/>
  <c r="A1755" i="14"/>
  <c r="C1755" i="14" l="1"/>
  <c r="E1755" i="14" s="1"/>
  <c r="B1755" i="14"/>
  <c r="D1755" i="14"/>
  <c r="A1756" i="14"/>
  <c r="D1756" i="14" l="1"/>
  <c r="C1756" i="14"/>
  <c r="E1756" i="14" s="1"/>
  <c r="B1756" i="14"/>
  <c r="A1757" i="14"/>
  <c r="D1757" i="14" l="1"/>
  <c r="C1757" i="14"/>
  <c r="E1757" i="14" s="1"/>
  <c r="B1757" i="14"/>
  <c r="A1758" i="14"/>
  <c r="D1758" i="14" l="1"/>
  <c r="C1758" i="14"/>
  <c r="E1758" i="14" s="1"/>
  <c r="B1758" i="14"/>
  <c r="A1759" i="14"/>
  <c r="D1759" i="14" l="1"/>
  <c r="C1759" i="14"/>
  <c r="E1759" i="14" s="1"/>
  <c r="B1759" i="14"/>
  <c r="A1760" i="14"/>
  <c r="B1760" i="14" l="1"/>
  <c r="D1760" i="14"/>
  <c r="C1760" i="14"/>
  <c r="E1760" i="14" s="1"/>
  <c r="A1761" i="14"/>
  <c r="D1761" i="14" l="1"/>
  <c r="C1761" i="14"/>
  <c r="E1761" i="14" s="1"/>
  <c r="B1761" i="14"/>
  <c r="A1762" i="14"/>
  <c r="D1762" i="14" l="1"/>
  <c r="C1762" i="14"/>
  <c r="E1762" i="14" s="1"/>
  <c r="B1762" i="14"/>
  <c r="A1763" i="14"/>
  <c r="C1763" i="14" l="1"/>
  <c r="E1763" i="14" s="1"/>
  <c r="D1763" i="14"/>
  <c r="B1763" i="14"/>
  <c r="A1764" i="14"/>
  <c r="D1764" i="14" l="1"/>
  <c r="C1764" i="14"/>
  <c r="E1764" i="14" s="1"/>
  <c r="B1764" i="14"/>
  <c r="A1765" i="14"/>
  <c r="D1765" i="14" l="1"/>
  <c r="C1765" i="14"/>
  <c r="E1765" i="14" s="1"/>
  <c r="B1765" i="14"/>
  <c r="A1766" i="14"/>
  <c r="D1766" i="14" l="1"/>
  <c r="C1766" i="14"/>
  <c r="E1766" i="14" s="1"/>
  <c r="B1766" i="14"/>
  <c r="A1767" i="14"/>
  <c r="C1767" i="14" l="1"/>
  <c r="E1767" i="14" s="1"/>
  <c r="B1767" i="14"/>
  <c r="D1767" i="14"/>
  <c r="A1768" i="14"/>
  <c r="B1768" i="14" l="1"/>
  <c r="D1768" i="14"/>
  <c r="C1768" i="14"/>
  <c r="E1768" i="14" s="1"/>
  <c r="A1769" i="14"/>
  <c r="B1769" i="14" l="1"/>
  <c r="D1769" i="14"/>
  <c r="C1769" i="14"/>
  <c r="E1769" i="14" s="1"/>
  <c r="A1770" i="14"/>
  <c r="D1770" i="14" l="1"/>
  <c r="C1770" i="14"/>
  <c r="E1770" i="14" s="1"/>
  <c r="B1770" i="14"/>
  <c r="A1771" i="14"/>
  <c r="C1771" i="14" l="1"/>
  <c r="E1771" i="14" s="1"/>
  <c r="B1771" i="14"/>
  <c r="D1771" i="14"/>
  <c r="A1772" i="14"/>
  <c r="B1772" i="14" l="1"/>
  <c r="D1772" i="14"/>
  <c r="C1772" i="14"/>
  <c r="E1772" i="14" s="1"/>
  <c r="A1773" i="14"/>
  <c r="C1773" i="14" l="1"/>
  <c r="E1773" i="14" s="1"/>
  <c r="B1773" i="14"/>
  <c r="D1773" i="14"/>
  <c r="A1774" i="14"/>
  <c r="D1774" i="14" l="1"/>
  <c r="C1774" i="14"/>
  <c r="E1774" i="14" s="1"/>
  <c r="B1774" i="14"/>
  <c r="A1775" i="14"/>
  <c r="C1775" i="14" l="1"/>
  <c r="E1775" i="14" s="1"/>
  <c r="D1775" i="14"/>
  <c r="B1775" i="14"/>
  <c r="A1776" i="14"/>
  <c r="B1776" i="14" l="1"/>
  <c r="D1776" i="14"/>
  <c r="C1776" i="14"/>
  <c r="E1776" i="14" s="1"/>
  <c r="A1777" i="14"/>
  <c r="D1777" i="14" l="1"/>
  <c r="C1777" i="14"/>
  <c r="E1777" i="14" s="1"/>
  <c r="B1777" i="14"/>
  <c r="A1778" i="14"/>
  <c r="D1778" i="14" l="1"/>
  <c r="C1778" i="14"/>
  <c r="E1778" i="14" s="1"/>
  <c r="B1778" i="14"/>
  <c r="A1779" i="14"/>
  <c r="C1779" i="14" l="1"/>
  <c r="E1779" i="14" s="1"/>
  <c r="D1779" i="14"/>
  <c r="B1779" i="14"/>
  <c r="A1780" i="14"/>
  <c r="B1780" i="14" l="1"/>
  <c r="D1780" i="14"/>
  <c r="C1780" i="14"/>
  <c r="E1780" i="14" s="1"/>
  <c r="A1781" i="14"/>
  <c r="D1781" i="14" l="1"/>
  <c r="C1781" i="14"/>
  <c r="E1781" i="14" s="1"/>
  <c r="B1781" i="14"/>
  <c r="A1782" i="14"/>
  <c r="D1782" i="14" l="1"/>
  <c r="C1782" i="14"/>
  <c r="E1782" i="14" s="1"/>
  <c r="B1782" i="14"/>
  <c r="A1783" i="14"/>
  <c r="C1783" i="14" l="1"/>
  <c r="E1783" i="14" s="1"/>
  <c r="D1783" i="14"/>
  <c r="B1783" i="14"/>
  <c r="A1784" i="14"/>
  <c r="B1784" i="14" l="1"/>
  <c r="D1784" i="14"/>
  <c r="C1784" i="14"/>
  <c r="E1784" i="14" s="1"/>
  <c r="A1785" i="14"/>
  <c r="D1785" i="14" l="1"/>
  <c r="C1785" i="14"/>
  <c r="E1785" i="14" s="1"/>
  <c r="B1785" i="14"/>
  <c r="A1786" i="14"/>
  <c r="D1786" i="14" l="1"/>
  <c r="B1786" i="14"/>
  <c r="C1786" i="14"/>
  <c r="E1786" i="14" s="1"/>
  <c r="A1787" i="14"/>
  <c r="C1787" i="14" l="1"/>
  <c r="E1787" i="14" s="1"/>
  <c r="D1787" i="14"/>
  <c r="B1787" i="14"/>
  <c r="A1788" i="14"/>
  <c r="B1788" i="14" l="1"/>
  <c r="C1788" i="14"/>
  <c r="E1788" i="14" s="1"/>
  <c r="D1788" i="14"/>
  <c r="A1789" i="14"/>
  <c r="D1789" i="14" l="1"/>
  <c r="C1789" i="14"/>
  <c r="E1789" i="14" s="1"/>
  <c r="B1789" i="14"/>
  <c r="A1790" i="14"/>
  <c r="D1790" i="14" l="1"/>
  <c r="C1790" i="14"/>
  <c r="E1790" i="14" s="1"/>
  <c r="B1790" i="14"/>
  <c r="A1791" i="14"/>
  <c r="C1791" i="14" l="1"/>
  <c r="E1791" i="14" s="1"/>
  <c r="D1791" i="14"/>
  <c r="B1791" i="14"/>
  <c r="A1792" i="14"/>
  <c r="B1792" i="14" l="1"/>
  <c r="D1792" i="14"/>
  <c r="C1792" i="14"/>
  <c r="E1792" i="14" s="1"/>
  <c r="A1793" i="14"/>
  <c r="D1793" i="14" l="1"/>
  <c r="C1793" i="14"/>
  <c r="E1793" i="14" s="1"/>
  <c r="B1793" i="14"/>
  <c r="A1794" i="14"/>
  <c r="D1794" i="14" l="1"/>
  <c r="C1794" i="14"/>
  <c r="E1794" i="14" s="1"/>
  <c r="B1794" i="14"/>
  <c r="A1795" i="14"/>
  <c r="C1795" i="14" l="1"/>
  <c r="E1795" i="14" s="1"/>
  <c r="D1795" i="14"/>
  <c r="B1795" i="14"/>
  <c r="A1796" i="14"/>
  <c r="C1796" i="14" l="1"/>
  <c r="E1796" i="14" s="1"/>
  <c r="B1796" i="14"/>
  <c r="D1796" i="14"/>
  <c r="A1797" i="14"/>
  <c r="B1797" i="14" l="1"/>
  <c r="D1797" i="14"/>
  <c r="C1797" i="14"/>
  <c r="E1797" i="14" s="1"/>
  <c r="A1798" i="14"/>
  <c r="D1798" i="14" l="1"/>
  <c r="C1798" i="14"/>
  <c r="E1798" i="14" s="1"/>
  <c r="B1798" i="14"/>
  <c r="A1799" i="14"/>
  <c r="D1799" i="14" l="1"/>
  <c r="C1799" i="14"/>
  <c r="E1799" i="14" s="1"/>
  <c r="B1799" i="14"/>
  <c r="A1800" i="14"/>
  <c r="B1800" i="14" l="1"/>
  <c r="D1800" i="14"/>
  <c r="C1800" i="14"/>
  <c r="E1800" i="14" s="1"/>
  <c r="A1801" i="14"/>
  <c r="B1801" i="14" l="1"/>
  <c r="D1801" i="14"/>
  <c r="C1801" i="14"/>
  <c r="E1801" i="14" s="1"/>
  <c r="A1802" i="14"/>
  <c r="D1802" i="14" l="1"/>
  <c r="C1802" i="14"/>
  <c r="E1802" i="14" s="1"/>
  <c r="B1802" i="14"/>
  <c r="A1803" i="14"/>
  <c r="C1803" i="14" l="1"/>
  <c r="E1803" i="14" s="1"/>
  <c r="B1803" i="14"/>
  <c r="D1803" i="14"/>
  <c r="A1804" i="14"/>
  <c r="C1804" i="14" l="1"/>
  <c r="E1804" i="14" s="1"/>
  <c r="B1804" i="14"/>
  <c r="D1804" i="14"/>
  <c r="A1805" i="14"/>
  <c r="D1805" i="14" l="1"/>
  <c r="C1805" i="14"/>
  <c r="E1805" i="14" s="1"/>
  <c r="B1805" i="14"/>
  <c r="A1806" i="14"/>
  <c r="D1806" i="14" l="1"/>
  <c r="C1806" i="14"/>
  <c r="E1806" i="14" s="1"/>
  <c r="B1806" i="14"/>
  <c r="A1807" i="14"/>
  <c r="D1807" i="14" l="1"/>
  <c r="C1807" i="14"/>
  <c r="E1807" i="14" s="1"/>
  <c r="B1807" i="14"/>
  <c r="A1808" i="14"/>
  <c r="B1808" i="14" l="1"/>
  <c r="D1808" i="14"/>
  <c r="C1808" i="14"/>
  <c r="E1808" i="14" s="1"/>
  <c r="A1809" i="14"/>
  <c r="D1809" i="14" l="1"/>
  <c r="B1809" i="14"/>
  <c r="C1809" i="14"/>
  <c r="E1809" i="14" s="1"/>
  <c r="A1810" i="14"/>
  <c r="D1810" i="14" l="1"/>
  <c r="C1810" i="14"/>
  <c r="E1810" i="14" s="1"/>
  <c r="B1810" i="14"/>
  <c r="A1811" i="14"/>
  <c r="B1811" i="14" l="1"/>
  <c r="C1811" i="14"/>
  <c r="E1811" i="14" s="1"/>
  <c r="D1811" i="14"/>
  <c r="A1812" i="14"/>
  <c r="C1812" i="14" l="1"/>
  <c r="E1812" i="14" s="1"/>
  <c r="B1812" i="14"/>
  <c r="D1812" i="14"/>
  <c r="A1813" i="14"/>
  <c r="D1813" i="14" l="1"/>
  <c r="C1813" i="14"/>
  <c r="E1813" i="14" s="1"/>
  <c r="B1813" i="14"/>
  <c r="A1814" i="14"/>
  <c r="C1814" i="14" l="1"/>
  <c r="E1814" i="14" s="1"/>
  <c r="D1814" i="14"/>
  <c r="B1814" i="14"/>
  <c r="A1815" i="14"/>
  <c r="D1815" i="14" l="1"/>
  <c r="C1815" i="14"/>
  <c r="E1815" i="14" s="1"/>
  <c r="B1815" i="14"/>
  <c r="A1816" i="14"/>
  <c r="B1816" i="14" l="1"/>
  <c r="D1816" i="14"/>
  <c r="C1816" i="14"/>
  <c r="E1816" i="14" s="1"/>
  <c r="A1817" i="14"/>
  <c r="D1817" i="14" l="1"/>
  <c r="B1817" i="14"/>
  <c r="C1817" i="14"/>
  <c r="E1817" i="14" s="1"/>
  <c r="A1818" i="14"/>
  <c r="D1818" i="14" l="1"/>
  <c r="C1818" i="14"/>
  <c r="E1818" i="14" s="1"/>
  <c r="B1818" i="14"/>
  <c r="A1819" i="14"/>
  <c r="B1819" i="14" l="1"/>
  <c r="C1819" i="14"/>
  <c r="E1819" i="14" s="1"/>
  <c r="D1819" i="14"/>
  <c r="A1820" i="14"/>
  <c r="D1820" i="14" l="1"/>
  <c r="C1820" i="14"/>
  <c r="E1820" i="14" s="1"/>
  <c r="B1820" i="14"/>
  <c r="A1821" i="14"/>
  <c r="D1821" i="14" l="1"/>
  <c r="C1821" i="14"/>
  <c r="E1821" i="14" s="1"/>
  <c r="B1821" i="14"/>
  <c r="A1822" i="14"/>
  <c r="C1822" i="14" l="1"/>
  <c r="E1822" i="14" s="1"/>
  <c r="B1822" i="14"/>
  <c r="D1822" i="14"/>
  <c r="A1823" i="14"/>
  <c r="D1823" i="14" l="1"/>
  <c r="C1823" i="14"/>
  <c r="E1823" i="14" s="1"/>
  <c r="B1823" i="14"/>
  <c r="A1824" i="14"/>
  <c r="B1824" i="14" l="1"/>
  <c r="C1824" i="14"/>
  <c r="E1824" i="14" s="1"/>
  <c r="D1824" i="14"/>
  <c r="A1825" i="14"/>
  <c r="D1825" i="14" l="1"/>
  <c r="C1825" i="14"/>
  <c r="E1825" i="14" s="1"/>
  <c r="B1825" i="14"/>
  <c r="A1826" i="14"/>
  <c r="D1826" i="14" l="1"/>
  <c r="C1826" i="14"/>
  <c r="E1826" i="14" s="1"/>
  <c r="B1826" i="14"/>
  <c r="A1827" i="14"/>
  <c r="B1827" i="14" l="1"/>
  <c r="C1827" i="14"/>
  <c r="E1827" i="14" s="1"/>
  <c r="D1827" i="14"/>
  <c r="A1828" i="14"/>
  <c r="D1828" i="14" l="1"/>
  <c r="C1828" i="14"/>
  <c r="E1828" i="14" s="1"/>
  <c r="B1828" i="14"/>
  <c r="A1829" i="14"/>
  <c r="D1829" i="14" l="1"/>
  <c r="C1829" i="14"/>
  <c r="E1829" i="14" s="1"/>
  <c r="B1829" i="14"/>
  <c r="A1830" i="14"/>
  <c r="C1830" i="14" l="1"/>
  <c r="E1830" i="14" s="1"/>
  <c r="B1830" i="14"/>
  <c r="D1830" i="14"/>
  <c r="A1831" i="14"/>
  <c r="D1831" i="14" l="1"/>
  <c r="C1831" i="14"/>
  <c r="E1831" i="14" s="1"/>
  <c r="B1831" i="14"/>
  <c r="A1832" i="14"/>
  <c r="B1832" i="14" l="1"/>
  <c r="D1832" i="14"/>
  <c r="C1832" i="14"/>
  <c r="E1832" i="14" s="1"/>
  <c r="A1833" i="14"/>
  <c r="D1833" i="14" l="1"/>
  <c r="C1833" i="14"/>
  <c r="E1833" i="14" s="1"/>
  <c r="B1833" i="14"/>
  <c r="A1834" i="14"/>
  <c r="D1834" i="14" l="1"/>
  <c r="C1834" i="14"/>
  <c r="E1834" i="14" s="1"/>
  <c r="B1834" i="14"/>
  <c r="A1835" i="14"/>
  <c r="B1835" i="14" l="1"/>
  <c r="C1835" i="14"/>
  <c r="E1835" i="14" s="1"/>
  <c r="D1835" i="14"/>
  <c r="A1836" i="14"/>
  <c r="D1836" i="14" l="1"/>
  <c r="C1836" i="14"/>
  <c r="E1836" i="14" s="1"/>
  <c r="B1836" i="14"/>
  <c r="A1837" i="14"/>
  <c r="D1837" i="14" l="1"/>
  <c r="B1837" i="14"/>
  <c r="C1837" i="14"/>
  <c r="E1837" i="14" s="1"/>
  <c r="A1838" i="14"/>
  <c r="C1838" i="14" l="1"/>
  <c r="E1838" i="14" s="1"/>
  <c r="B1838" i="14"/>
  <c r="D1838" i="14"/>
  <c r="A1839" i="14"/>
  <c r="D1839" i="14" l="1"/>
  <c r="C1839" i="14"/>
  <c r="E1839" i="14" s="1"/>
  <c r="B1839" i="14"/>
  <c r="A1840" i="14"/>
  <c r="B1840" i="14" l="1"/>
  <c r="D1840" i="14"/>
  <c r="C1840" i="14"/>
  <c r="E1840" i="14" s="1"/>
  <c r="A1841" i="14"/>
  <c r="D1841" i="14" l="1"/>
  <c r="C1841" i="14"/>
  <c r="E1841" i="14" s="1"/>
  <c r="B1841" i="14"/>
  <c r="A1842" i="14"/>
  <c r="D1842" i="14" l="1"/>
  <c r="C1842" i="14"/>
  <c r="E1842" i="14" s="1"/>
  <c r="B1842" i="14"/>
  <c r="A1843" i="14"/>
  <c r="B1843" i="14" l="1"/>
  <c r="C1843" i="14"/>
  <c r="E1843" i="14" s="1"/>
  <c r="D1843" i="14"/>
  <c r="A1844" i="14"/>
  <c r="D1844" i="14" l="1"/>
  <c r="C1844" i="14"/>
  <c r="E1844" i="14" s="1"/>
  <c r="B1844" i="14"/>
  <c r="A1845" i="14"/>
  <c r="D1845" i="14" l="1"/>
  <c r="C1845" i="14"/>
  <c r="E1845" i="14" s="1"/>
  <c r="B1845" i="14"/>
  <c r="A1846" i="14"/>
  <c r="C1846" i="14" l="1"/>
  <c r="E1846" i="14" s="1"/>
  <c r="B1846" i="14"/>
  <c r="D1846" i="14"/>
  <c r="A1847" i="14"/>
  <c r="D1847" i="14" l="1"/>
  <c r="C1847" i="14"/>
  <c r="E1847" i="14" s="1"/>
  <c r="B1847" i="14"/>
  <c r="A1848" i="14"/>
  <c r="B1848" i="14" l="1"/>
  <c r="D1848" i="14"/>
  <c r="C1848" i="14"/>
  <c r="E1848" i="14" s="1"/>
  <c r="A1849" i="14"/>
  <c r="D1849" i="14" l="1"/>
  <c r="C1849" i="14"/>
  <c r="E1849" i="14" s="1"/>
  <c r="B1849" i="14"/>
  <c r="A1850" i="14"/>
  <c r="D1850" i="14" l="1"/>
  <c r="C1850" i="14"/>
  <c r="E1850" i="14" s="1"/>
  <c r="B1850" i="14"/>
  <c r="A1851" i="14"/>
  <c r="B1851" i="14" l="1"/>
  <c r="C1851" i="14"/>
  <c r="E1851" i="14" s="1"/>
  <c r="D1851" i="14"/>
  <c r="A1852" i="14"/>
  <c r="D1852" i="14" l="1"/>
  <c r="C1852" i="14"/>
  <c r="E1852" i="14" s="1"/>
  <c r="B1852" i="14"/>
  <c r="A1853" i="14"/>
  <c r="D1853" i="14" l="1"/>
  <c r="C1853" i="14"/>
  <c r="E1853" i="14" s="1"/>
  <c r="B1853" i="14"/>
  <c r="A1854" i="14"/>
  <c r="C1854" i="14" l="1"/>
  <c r="E1854" i="14" s="1"/>
  <c r="B1854" i="14"/>
  <c r="D1854" i="14"/>
  <c r="A1855" i="14"/>
  <c r="D1855" i="14" l="1"/>
  <c r="C1855" i="14"/>
  <c r="E1855" i="14" s="1"/>
  <c r="B1855" i="14"/>
  <c r="A1856" i="14"/>
  <c r="B1856" i="14" l="1"/>
  <c r="C1856" i="14"/>
  <c r="E1856" i="14" s="1"/>
  <c r="D1856" i="14"/>
  <c r="A1857" i="14"/>
  <c r="D1857" i="14" l="1"/>
  <c r="C1857" i="14"/>
  <c r="E1857" i="14" s="1"/>
  <c r="B1857" i="14"/>
  <c r="A1858" i="14"/>
  <c r="D1858" i="14" l="1"/>
  <c r="C1858" i="14"/>
  <c r="E1858" i="14" s="1"/>
  <c r="B1858" i="14"/>
  <c r="A1859" i="14"/>
  <c r="B1859" i="14" l="1"/>
  <c r="C1859" i="14"/>
  <c r="E1859" i="14" s="1"/>
  <c r="D1859" i="14"/>
  <c r="A1860" i="14"/>
  <c r="D1860" i="14" l="1"/>
  <c r="C1860" i="14"/>
  <c r="E1860" i="14" s="1"/>
  <c r="B1860" i="14"/>
  <c r="A1861" i="14"/>
  <c r="D1861" i="14" l="1"/>
  <c r="C1861" i="14"/>
  <c r="E1861" i="14" s="1"/>
  <c r="B1861" i="14"/>
  <c r="A1862" i="14"/>
  <c r="C1862" i="14" l="1"/>
  <c r="E1862" i="14" s="1"/>
  <c r="B1862" i="14"/>
  <c r="D1862" i="14"/>
  <c r="A1863" i="14"/>
  <c r="D1863" i="14" l="1"/>
  <c r="C1863" i="14"/>
  <c r="E1863" i="14" s="1"/>
  <c r="B1863" i="14"/>
  <c r="A1864" i="14"/>
  <c r="C1864" i="14" l="1"/>
  <c r="E1864" i="14" s="1"/>
  <c r="B1864" i="14"/>
  <c r="D1864" i="14"/>
  <c r="A1865" i="14"/>
  <c r="D1865" i="14" l="1"/>
  <c r="C1865" i="14"/>
  <c r="E1865" i="14" s="1"/>
  <c r="B1865" i="14"/>
  <c r="A1866" i="14"/>
  <c r="D1866" i="14" l="1"/>
  <c r="C1866" i="14"/>
  <c r="E1866" i="14" s="1"/>
  <c r="B1866" i="14"/>
  <c r="A1867" i="14"/>
  <c r="B1867" i="14" l="1"/>
  <c r="D1867" i="14"/>
  <c r="C1867" i="14"/>
  <c r="E1867" i="14" s="1"/>
  <c r="A1868" i="14"/>
  <c r="D1868" i="14" l="1"/>
  <c r="C1868" i="14"/>
  <c r="E1868" i="14" s="1"/>
  <c r="B1868" i="14"/>
  <c r="A1869" i="14"/>
  <c r="D1869" i="14" l="1"/>
  <c r="B1869" i="14"/>
  <c r="C1869" i="14"/>
  <c r="E1869" i="14" s="1"/>
  <c r="A1870" i="14"/>
  <c r="C1870" i="14" l="1"/>
  <c r="E1870" i="14" s="1"/>
  <c r="B1870" i="14"/>
  <c r="D1870" i="14"/>
  <c r="A1871" i="14"/>
  <c r="D1871" i="14" l="1"/>
  <c r="C1871" i="14"/>
  <c r="E1871" i="14" s="1"/>
  <c r="B1871" i="14"/>
  <c r="A1872" i="14"/>
  <c r="C1872" i="14" l="1"/>
  <c r="E1872" i="14" s="1"/>
  <c r="B1872" i="14"/>
  <c r="D1872" i="14"/>
  <c r="A1873" i="14"/>
  <c r="D1873" i="14" l="1"/>
  <c r="C1873" i="14"/>
  <c r="E1873" i="14" s="1"/>
  <c r="B1873" i="14"/>
  <c r="A1874" i="14"/>
  <c r="D1874" i="14" l="1"/>
  <c r="C1874" i="14"/>
  <c r="E1874" i="14" s="1"/>
  <c r="B1874" i="14"/>
  <c r="A1875" i="14"/>
  <c r="B1875" i="14" l="1"/>
  <c r="D1875" i="14"/>
  <c r="C1875" i="14"/>
  <c r="E1875" i="14" s="1"/>
  <c r="A1876" i="14"/>
  <c r="D1876" i="14" l="1"/>
  <c r="C1876" i="14"/>
  <c r="E1876" i="14" s="1"/>
  <c r="B1876" i="14"/>
  <c r="A1877" i="14"/>
  <c r="D1877" i="14" l="1"/>
  <c r="B1877" i="14"/>
  <c r="C1877" i="14"/>
  <c r="E1877" i="14" s="1"/>
  <c r="A1878" i="14"/>
  <c r="C1878" i="14" l="1"/>
  <c r="E1878" i="14" s="1"/>
  <c r="B1878" i="14"/>
  <c r="D1878" i="14"/>
  <c r="A1879" i="14"/>
  <c r="D1879" i="14" l="1"/>
  <c r="C1879" i="14"/>
  <c r="E1879" i="14" s="1"/>
  <c r="B1879" i="14"/>
  <c r="A1880" i="14"/>
  <c r="C1880" i="14" l="1"/>
  <c r="E1880" i="14" s="1"/>
  <c r="B1880" i="14"/>
  <c r="D1880" i="14"/>
  <c r="A1881" i="14"/>
  <c r="D1881" i="14" l="1"/>
  <c r="C1881" i="14"/>
  <c r="E1881" i="14" s="1"/>
  <c r="B1881" i="14"/>
  <c r="A1882" i="14"/>
  <c r="D1882" i="14" l="1"/>
  <c r="C1882" i="14"/>
  <c r="E1882" i="14" s="1"/>
  <c r="B1882" i="14"/>
  <c r="A1883" i="14"/>
  <c r="B1883" i="14" l="1"/>
  <c r="D1883" i="14"/>
  <c r="C1883" i="14"/>
  <c r="E1883" i="14" s="1"/>
  <c r="A1884" i="14"/>
  <c r="D1884" i="14" l="1"/>
  <c r="C1884" i="14"/>
  <c r="E1884" i="14" s="1"/>
  <c r="B1884" i="14"/>
  <c r="A1885" i="14"/>
  <c r="D1885" i="14" l="1"/>
  <c r="B1885" i="14"/>
  <c r="C1885" i="14"/>
  <c r="E1885" i="14" s="1"/>
  <c r="A1886" i="14"/>
  <c r="C1886" i="14" l="1"/>
  <c r="E1886" i="14" s="1"/>
  <c r="B1886" i="14"/>
  <c r="D1886" i="14"/>
  <c r="A1887" i="14"/>
  <c r="D1887" i="14" l="1"/>
  <c r="C1887" i="14"/>
  <c r="E1887" i="14" s="1"/>
  <c r="B1887" i="14"/>
  <c r="A1888" i="14"/>
  <c r="C1888" i="14" l="1"/>
  <c r="E1888" i="14" s="1"/>
  <c r="B1888" i="14"/>
  <c r="D1888" i="14"/>
  <c r="A1889" i="14"/>
  <c r="D1889" i="14" l="1"/>
  <c r="C1889" i="14"/>
  <c r="E1889" i="14" s="1"/>
  <c r="B1889" i="14"/>
  <c r="A1890" i="14"/>
  <c r="D1890" i="14" l="1"/>
  <c r="C1890" i="14"/>
  <c r="E1890" i="14" s="1"/>
  <c r="B1890" i="14"/>
  <c r="A1891" i="14"/>
  <c r="B1891" i="14" l="1"/>
  <c r="D1891" i="14"/>
  <c r="C1891" i="14"/>
  <c r="E1891" i="14" s="1"/>
  <c r="A1892" i="14"/>
  <c r="D1892" i="14" l="1"/>
  <c r="C1892" i="14"/>
  <c r="E1892" i="14" s="1"/>
  <c r="B1892" i="14"/>
  <c r="A1893" i="14"/>
  <c r="D1893" i="14" l="1"/>
  <c r="B1893" i="14"/>
  <c r="C1893" i="14"/>
  <c r="E1893" i="14" s="1"/>
  <c r="A1894" i="14"/>
  <c r="C1894" i="14" l="1"/>
  <c r="E1894" i="14" s="1"/>
  <c r="B1894" i="14"/>
  <c r="D1894" i="14"/>
  <c r="A1895" i="14"/>
  <c r="D1895" i="14" l="1"/>
  <c r="C1895" i="14"/>
  <c r="E1895" i="14" s="1"/>
  <c r="B1895" i="14"/>
  <c r="A1896" i="14"/>
  <c r="D1896" i="14" l="1"/>
  <c r="C1896" i="14"/>
  <c r="E1896" i="14" s="1"/>
  <c r="B1896" i="14"/>
  <c r="A1897" i="14"/>
  <c r="D1897" i="14" l="1"/>
  <c r="C1897" i="14"/>
  <c r="E1897" i="14" s="1"/>
  <c r="B1897" i="14"/>
  <c r="A1898" i="14"/>
  <c r="D1898" i="14" l="1"/>
  <c r="C1898" i="14"/>
  <c r="E1898" i="14" s="1"/>
  <c r="B1898" i="14"/>
  <c r="A1899" i="14"/>
  <c r="B1899" i="14" l="1"/>
  <c r="D1899" i="14"/>
  <c r="C1899" i="14"/>
  <c r="E1899" i="14" s="1"/>
  <c r="A1900" i="14"/>
  <c r="D1900" i="14" l="1"/>
  <c r="C1900" i="14"/>
  <c r="E1900" i="14" s="1"/>
  <c r="B1900" i="14"/>
  <c r="A1901" i="14"/>
  <c r="D1901" i="14" l="1"/>
  <c r="C1901" i="14"/>
  <c r="E1901" i="14" s="1"/>
  <c r="B1901" i="14"/>
  <c r="A1902" i="14"/>
  <c r="C1902" i="14" l="1"/>
  <c r="E1902" i="14" s="1"/>
  <c r="B1902" i="14"/>
  <c r="D1902" i="14"/>
  <c r="A1903" i="14"/>
  <c r="D1903" i="14" l="1"/>
  <c r="C1903" i="14"/>
  <c r="E1903" i="14" s="1"/>
  <c r="B1903" i="14"/>
  <c r="A1904" i="14"/>
  <c r="D1904" i="14" l="1"/>
  <c r="C1904" i="14"/>
  <c r="E1904" i="14" s="1"/>
  <c r="B1904" i="14"/>
  <c r="A1905" i="14"/>
  <c r="D1905" i="14" l="1"/>
  <c r="C1905" i="14"/>
  <c r="E1905" i="14" s="1"/>
  <c r="B1905" i="14"/>
  <c r="A1906" i="14"/>
  <c r="D1906" i="14" l="1"/>
  <c r="C1906" i="14"/>
  <c r="E1906" i="14" s="1"/>
  <c r="B1906" i="14"/>
  <c r="A1907" i="14"/>
  <c r="B1907" i="14" l="1"/>
  <c r="D1907" i="14"/>
  <c r="C1907" i="14"/>
  <c r="E1907" i="14" s="1"/>
  <c r="A1908" i="14"/>
  <c r="D1908" i="14" l="1"/>
  <c r="C1908" i="14"/>
  <c r="E1908" i="14" s="1"/>
  <c r="B1908" i="14"/>
  <c r="A1909" i="14"/>
  <c r="D1909" i="14" l="1"/>
  <c r="C1909" i="14"/>
  <c r="E1909" i="14" s="1"/>
  <c r="B1909" i="14"/>
  <c r="A1910" i="14"/>
  <c r="C1910" i="14" l="1"/>
  <c r="E1910" i="14" s="1"/>
  <c r="B1910" i="14"/>
  <c r="D1910" i="14"/>
  <c r="A1911" i="14"/>
  <c r="D1911" i="14" l="1"/>
  <c r="C1911" i="14"/>
  <c r="E1911" i="14" s="1"/>
  <c r="B1911" i="14"/>
  <c r="A1912" i="14"/>
  <c r="D1912" i="14" l="1"/>
  <c r="C1912" i="14"/>
  <c r="E1912" i="14" s="1"/>
  <c r="B1912" i="14"/>
  <c r="A1913" i="14"/>
  <c r="D1913" i="14" l="1"/>
  <c r="C1913" i="14"/>
  <c r="E1913" i="14" s="1"/>
  <c r="B1913" i="14"/>
  <c r="A1914" i="14"/>
  <c r="D1914" i="14" l="1"/>
  <c r="C1914" i="14"/>
  <c r="E1914" i="14" s="1"/>
  <c r="B1914" i="14"/>
  <c r="A1915" i="14"/>
  <c r="B1915" i="14" l="1"/>
  <c r="D1915" i="14"/>
  <c r="C1915" i="14"/>
  <c r="E1915" i="14" s="1"/>
  <c r="A1916" i="14"/>
  <c r="D1916" i="14" l="1"/>
  <c r="C1916" i="14"/>
  <c r="E1916" i="14" s="1"/>
  <c r="B1916" i="14"/>
  <c r="A1917" i="14"/>
  <c r="D1917" i="14" l="1"/>
  <c r="C1917" i="14"/>
  <c r="E1917" i="14" s="1"/>
  <c r="B1917" i="14"/>
  <c r="A1918" i="14"/>
  <c r="C1918" i="14" l="1"/>
  <c r="E1918" i="14" s="1"/>
  <c r="B1918" i="14"/>
  <c r="D1918" i="14"/>
  <c r="A1919" i="14"/>
  <c r="D1919" i="14" l="1"/>
  <c r="C1919" i="14"/>
  <c r="E1919" i="14" s="1"/>
  <c r="B1919" i="14"/>
  <c r="A1920" i="14"/>
  <c r="E1920" i="14" l="1"/>
  <c r="D1920" i="14"/>
  <c r="C1920" i="14"/>
  <c r="B1920" i="14"/>
  <c r="A1921" i="14"/>
  <c r="D1921" i="14" l="1"/>
  <c r="C1921" i="14"/>
  <c r="E1921" i="14" s="1"/>
  <c r="B1921" i="14"/>
  <c r="A1922" i="14"/>
  <c r="D1922" i="14" l="1"/>
  <c r="C1922" i="14"/>
  <c r="E1922" i="14" s="1"/>
  <c r="B1922" i="14"/>
  <c r="A1923" i="14"/>
  <c r="B1923" i="14" l="1"/>
  <c r="D1923" i="14"/>
  <c r="C1923" i="14"/>
  <c r="E1923" i="14" s="1"/>
  <c r="A1924" i="14"/>
  <c r="D1924" i="14" l="1"/>
  <c r="C1924" i="14"/>
  <c r="E1924" i="14" s="1"/>
  <c r="B1924" i="14"/>
  <c r="A1925" i="14"/>
  <c r="D1925" i="14" l="1"/>
  <c r="C1925" i="14"/>
  <c r="E1925" i="14" s="1"/>
  <c r="B1925" i="14"/>
  <c r="A1926" i="14"/>
  <c r="C1926" i="14" l="1"/>
  <c r="E1926" i="14" s="1"/>
  <c r="B1926" i="14"/>
  <c r="D1926" i="14"/>
  <c r="A1927" i="14"/>
  <c r="D1927" i="14" l="1"/>
  <c r="C1927" i="14"/>
  <c r="E1927" i="14" s="1"/>
  <c r="B1927" i="14"/>
  <c r="A1928" i="14"/>
  <c r="D1928" i="14" l="1"/>
  <c r="C1928" i="14"/>
  <c r="E1928" i="14" s="1"/>
  <c r="B1928" i="14"/>
  <c r="A1929" i="14"/>
  <c r="D1929" i="14" l="1"/>
  <c r="C1929" i="14"/>
  <c r="E1929" i="14" s="1"/>
  <c r="B1929" i="14"/>
  <c r="A1930" i="14"/>
  <c r="D1930" i="14" l="1"/>
  <c r="C1930" i="14"/>
  <c r="E1930" i="14" s="1"/>
  <c r="B1930" i="14"/>
  <c r="A1931" i="14"/>
  <c r="B1931" i="14" l="1"/>
  <c r="D1931" i="14"/>
  <c r="C1931" i="14"/>
  <c r="E1931" i="14" s="1"/>
  <c r="A1932" i="14"/>
  <c r="D1932" i="14" l="1"/>
  <c r="C1932" i="14"/>
  <c r="E1932" i="14" s="1"/>
  <c r="B1932" i="14"/>
  <c r="A1933" i="14"/>
  <c r="D1933" i="14" l="1"/>
  <c r="C1933" i="14"/>
  <c r="E1933" i="14" s="1"/>
  <c r="B1933" i="14"/>
  <c r="A1934" i="14"/>
  <c r="C1934" i="14" l="1"/>
  <c r="E1934" i="14" s="1"/>
  <c r="B1934" i="14"/>
  <c r="D1934" i="14"/>
  <c r="A1935" i="14"/>
  <c r="D1935" i="14" l="1"/>
  <c r="C1935" i="14"/>
  <c r="E1935" i="14" s="1"/>
  <c r="B1935" i="14"/>
  <c r="A1936" i="14"/>
  <c r="D1936" i="14" l="1"/>
  <c r="C1936" i="14"/>
  <c r="E1936" i="14" s="1"/>
  <c r="B1936" i="14"/>
  <c r="A1937" i="14"/>
  <c r="D1937" i="14" l="1"/>
  <c r="C1937" i="14"/>
  <c r="E1937" i="14" s="1"/>
  <c r="B1937" i="14"/>
  <c r="A1938" i="14"/>
  <c r="D1938" i="14" l="1"/>
  <c r="C1938" i="14"/>
  <c r="E1938" i="14" s="1"/>
  <c r="B1938" i="14"/>
  <c r="A1939" i="14"/>
  <c r="B1939" i="14" l="1"/>
  <c r="D1939" i="14"/>
  <c r="C1939" i="14"/>
  <c r="E1939" i="14" s="1"/>
  <c r="A1940" i="14"/>
  <c r="D1940" i="14" l="1"/>
  <c r="C1940" i="14"/>
  <c r="E1940" i="14" s="1"/>
  <c r="B1940" i="14"/>
  <c r="A1941" i="14"/>
  <c r="D1941" i="14" l="1"/>
  <c r="C1941" i="14"/>
  <c r="E1941" i="14" s="1"/>
  <c r="B1941" i="14"/>
  <c r="A1942" i="14"/>
  <c r="C1942" i="14" l="1"/>
  <c r="E1942" i="14" s="1"/>
  <c r="B1942" i="14"/>
  <c r="D1942" i="14"/>
  <c r="A1943" i="14"/>
  <c r="D1943" i="14" l="1"/>
  <c r="C1943" i="14"/>
  <c r="E1943" i="14" s="1"/>
  <c r="B1943" i="14"/>
  <c r="A1944" i="14"/>
  <c r="D1944" i="14" l="1"/>
  <c r="C1944" i="14"/>
  <c r="E1944" i="14" s="1"/>
  <c r="B1944" i="14"/>
  <c r="A1945" i="14"/>
  <c r="D1945" i="14" l="1"/>
  <c r="C1945" i="14"/>
  <c r="E1945" i="14" s="1"/>
  <c r="B1945" i="14"/>
  <c r="A1946" i="14"/>
  <c r="D1946" i="14" l="1"/>
  <c r="C1946" i="14"/>
  <c r="E1946" i="14" s="1"/>
  <c r="B1946" i="14"/>
  <c r="A1947" i="14"/>
  <c r="B1947" i="14" l="1"/>
  <c r="D1947" i="14"/>
  <c r="C1947" i="14"/>
  <c r="E1947" i="14" s="1"/>
  <c r="A1948" i="14"/>
  <c r="D1948" i="14" l="1"/>
  <c r="C1948" i="14"/>
  <c r="E1948" i="14" s="1"/>
  <c r="B1948" i="14"/>
  <c r="A1949" i="14"/>
  <c r="D1949" i="14" l="1"/>
  <c r="C1949" i="14"/>
  <c r="E1949" i="14" s="1"/>
  <c r="B1949" i="14"/>
  <c r="A1950" i="14"/>
  <c r="C1950" i="14" l="1"/>
  <c r="E1950" i="14" s="1"/>
  <c r="B1950" i="14"/>
  <c r="D1950" i="14"/>
  <c r="A1951" i="14"/>
  <c r="D1951" i="14" l="1"/>
  <c r="C1951" i="14"/>
  <c r="E1951" i="14" s="1"/>
  <c r="B1951" i="14"/>
  <c r="A1952" i="14"/>
  <c r="D1952" i="14" l="1"/>
  <c r="C1952" i="14"/>
  <c r="E1952" i="14" s="1"/>
  <c r="B1952" i="14"/>
  <c r="A1953" i="14"/>
  <c r="D1953" i="14" l="1"/>
  <c r="C1953" i="14"/>
  <c r="E1953" i="14" s="1"/>
  <c r="B1953" i="14"/>
  <c r="A1954" i="14"/>
  <c r="D1954" i="14" l="1"/>
  <c r="C1954" i="14"/>
  <c r="E1954" i="14" s="1"/>
  <c r="B1954" i="14"/>
  <c r="A1955" i="14"/>
  <c r="B1955" i="14" l="1"/>
  <c r="D1955" i="14"/>
  <c r="C1955" i="14"/>
  <c r="E1955" i="14" s="1"/>
  <c r="A1956" i="14"/>
  <c r="D1956" i="14" l="1"/>
  <c r="C1956" i="14"/>
  <c r="E1956" i="14" s="1"/>
  <c r="B1956" i="14"/>
  <c r="A1957" i="14"/>
  <c r="D1957" i="14" l="1"/>
  <c r="C1957" i="14"/>
  <c r="E1957" i="14" s="1"/>
  <c r="B1957" i="14"/>
  <c r="A1958" i="14"/>
  <c r="C1958" i="14" l="1"/>
  <c r="E1958" i="14" s="1"/>
  <c r="B1958" i="14"/>
  <c r="D1958" i="14"/>
  <c r="A1959" i="14"/>
  <c r="D1959" i="14" l="1"/>
  <c r="C1959" i="14"/>
  <c r="E1959" i="14" s="1"/>
  <c r="B1959" i="14"/>
  <c r="A1960" i="14"/>
  <c r="D1960" i="14" l="1"/>
  <c r="C1960" i="14"/>
  <c r="E1960" i="14" s="1"/>
  <c r="B1960" i="14"/>
  <c r="A1961" i="14"/>
  <c r="D1961" i="14" l="1"/>
  <c r="C1961" i="14"/>
  <c r="E1961" i="14" s="1"/>
  <c r="B1961" i="14"/>
  <c r="A1962" i="14"/>
  <c r="D1962" i="14" l="1"/>
  <c r="C1962" i="14"/>
  <c r="E1962" i="14" s="1"/>
  <c r="B1962" i="14"/>
  <c r="A1963" i="14"/>
  <c r="B1963" i="14" l="1"/>
  <c r="D1963" i="14"/>
  <c r="C1963" i="14"/>
  <c r="E1963" i="14" s="1"/>
  <c r="A1964" i="14"/>
  <c r="D1964" i="14" l="1"/>
  <c r="C1964" i="14"/>
  <c r="E1964" i="14" s="1"/>
  <c r="B1964" i="14"/>
  <c r="A1965" i="14"/>
  <c r="D1965" i="14" l="1"/>
  <c r="C1965" i="14"/>
  <c r="E1965" i="14" s="1"/>
  <c r="B1965" i="14"/>
  <c r="A1966" i="14"/>
  <c r="C1966" i="14" l="1"/>
  <c r="E1966" i="14" s="1"/>
  <c r="B1966" i="14"/>
  <c r="D1966" i="14"/>
  <c r="A1967" i="14"/>
  <c r="D1967" i="14" l="1"/>
  <c r="C1967" i="14"/>
  <c r="E1967" i="14" s="1"/>
  <c r="B1967" i="14"/>
  <c r="A1968" i="14"/>
  <c r="D1968" i="14" l="1"/>
  <c r="C1968" i="14"/>
  <c r="E1968" i="14" s="1"/>
  <c r="B1968" i="14"/>
  <c r="A1969" i="14"/>
  <c r="D1969" i="14" l="1"/>
  <c r="C1969" i="14"/>
  <c r="E1969" i="14" s="1"/>
  <c r="B1969" i="14"/>
  <c r="A1970" i="14"/>
  <c r="D1970" i="14" l="1"/>
  <c r="C1970" i="14"/>
  <c r="E1970" i="14" s="1"/>
  <c r="B1970" i="14"/>
  <c r="A1971" i="14"/>
  <c r="B1971" i="14" l="1"/>
  <c r="D1971" i="14"/>
  <c r="C1971" i="14"/>
  <c r="E1971" i="14" s="1"/>
  <c r="A1972" i="14"/>
  <c r="D1972" i="14" l="1"/>
  <c r="C1972" i="14"/>
  <c r="E1972" i="14" s="1"/>
  <c r="B1972" i="14"/>
  <c r="A1973" i="14"/>
  <c r="D1973" i="14" l="1"/>
  <c r="C1973" i="14"/>
  <c r="E1973" i="14" s="1"/>
  <c r="B1973" i="14"/>
  <c r="A1974" i="14"/>
  <c r="C1974" i="14" l="1"/>
  <c r="E1974" i="14" s="1"/>
  <c r="B1974" i="14"/>
  <c r="D1974" i="14"/>
  <c r="A1975" i="14"/>
  <c r="D1975" i="14" l="1"/>
  <c r="C1975" i="14"/>
  <c r="E1975" i="14" s="1"/>
  <c r="B1975" i="14"/>
  <c r="A1976" i="14"/>
  <c r="D1976" i="14" l="1"/>
  <c r="C1976" i="14"/>
  <c r="E1976" i="14" s="1"/>
  <c r="B1976" i="14"/>
  <c r="A1977" i="14"/>
  <c r="D1977" i="14" l="1"/>
  <c r="C1977" i="14"/>
  <c r="E1977" i="14" s="1"/>
  <c r="B1977" i="14"/>
  <c r="A1978" i="14"/>
  <c r="D1978" i="14" l="1"/>
  <c r="C1978" i="14"/>
  <c r="E1978" i="14" s="1"/>
  <c r="B1978" i="14"/>
  <c r="A1979" i="14"/>
  <c r="B1979" i="14" l="1"/>
  <c r="D1979" i="14"/>
  <c r="C1979" i="14"/>
  <c r="E1979" i="14" s="1"/>
  <c r="A1980" i="14"/>
  <c r="D1980" i="14" l="1"/>
  <c r="C1980" i="14"/>
  <c r="E1980" i="14" s="1"/>
  <c r="B1980" i="14"/>
  <c r="A1981" i="14"/>
  <c r="D1981" i="14" l="1"/>
  <c r="C1981" i="14"/>
  <c r="E1981" i="14" s="1"/>
  <c r="B1981" i="14"/>
  <c r="A1982" i="14"/>
  <c r="C1982" i="14" l="1"/>
  <c r="E1982" i="14" s="1"/>
  <c r="B1982" i="14"/>
  <c r="D1982" i="14"/>
  <c r="A1983" i="14"/>
  <c r="D1983" i="14" l="1"/>
  <c r="C1983" i="14"/>
  <c r="E1983" i="14" s="1"/>
  <c r="B1983" i="14"/>
  <c r="A1984" i="14"/>
  <c r="D1984" i="14" l="1"/>
  <c r="C1984" i="14"/>
  <c r="E1984" i="14" s="1"/>
  <c r="B1984" i="14"/>
  <c r="A1985" i="14"/>
  <c r="D1985" i="14" l="1"/>
  <c r="C1985" i="14"/>
  <c r="E1985" i="14" s="1"/>
  <c r="B1985" i="14"/>
  <c r="A1986" i="14"/>
  <c r="D1986" i="14" l="1"/>
  <c r="C1986" i="14"/>
  <c r="E1986" i="14" s="1"/>
  <c r="B1986" i="14"/>
  <c r="A1987" i="14"/>
  <c r="B1987" i="14" l="1"/>
  <c r="D1987" i="14"/>
  <c r="C1987" i="14"/>
  <c r="E1987" i="14" s="1"/>
  <c r="A1988" i="14"/>
  <c r="D1988" i="14" l="1"/>
  <c r="C1988" i="14"/>
  <c r="E1988" i="14" s="1"/>
  <c r="B1988" i="14"/>
  <c r="A1989" i="14"/>
  <c r="D1989" i="14" l="1"/>
  <c r="C1989" i="14"/>
  <c r="E1989" i="14" s="1"/>
  <c r="B1989" i="14"/>
  <c r="A1990" i="14"/>
  <c r="C1990" i="14" l="1"/>
  <c r="E1990" i="14" s="1"/>
  <c r="B1990" i="14"/>
  <c r="D1990" i="14"/>
  <c r="A1991" i="14"/>
  <c r="D1991" i="14" l="1"/>
  <c r="C1991" i="14"/>
  <c r="E1991" i="14" s="1"/>
  <c r="B1991" i="14"/>
  <c r="A1992" i="14"/>
  <c r="D1992" i="14" l="1"/>
  <c r="C1992" i="14"/>
  <c r="E1992" i="14" s="1"/>
  <c r="B1992" i="14"/>
  <c r="A1993" i="14"/>
  <c r="D1993" i="14" l="1"/>
  <c r="C1993" i="14"/>
  <c r="E1993" i="14" s="1"/>
  <c r="B1993" i="14"/>
  <c r="A1994" i="14"/>
  <c r="D1994" i="14" l="1"/>
  <c r="C1994" i="14"/>
  <c r="E1994" i="14" s="1"/>
  <c r="B1994" i="14"/>
  <c r="A1995" i="14"/>
  <c r="B1995" i="14" l="1"/>
  <c r="D1995" i="14"/>
  <c r="C1995" i="14"/>
  <c r="E1995" i="14" s="1"/>
  <c r="A1996" i="14"/>
  <c r="D1996" i="14" l="1"/>
  <c r="C1996" i="14"/>
  <c r="E1996" i="14" s="1"/>
  <c r="B1996" i="14"/>
  <c r="A1997" i="14"/>
  <c r="D1997" i="14" l="1"/>
  <c r="C1997" i="14"/>
  <c r="E1997" i="14" s="1"/>
  <c r="B1997" i="14"/>
  <c r="A1998" i="14"/>
  <c r="C1998" i="14" l="1"/>
  <c r="E1998" i="14" s="1"/>
  <c r="B1998" i="14"/>
  <c r="D1998" i="14"/>
  <c r="A1999" i="14"/>
  <c r="D1999" i="14" l="1"/>
  <c r="C1999" i="14"/>
  <c r="E1999" i="14" s="1"/>
  <c r="B1999" i="14"/>
  <c r="A2000" i="14"/>
  <c r="D2000" i="14" l="1"/>
  <c r="C2000" i="14"/>
  <c r="E2000" i="14" s="1"/>
  <c r="B2000" i="14"/>
  <c r="A2001" i="14"/>
  <c r="D2001" i="14" l="1"/>
  <c r="C2001" i="14"/>
  <c r="E2001" i="14" s="1"/>
  <c r="B2001" i="14"/>
  <c r="A2002" i="14"/>
  <c r="D2002" i="14" l="1"/>
  <c r="C2002" i="14"/>
  <c r="E2002" i="14" s="1"/>
  <c r="B2002" i="14"/>
  <c r="A2003" i="14"/>
  <c r="B2003" i="14" l="1"/>
  <c r="D2003" i="14"/>
  <c r="C2003" i="14"/>
  <c r="E2003" i="14" s="1"/>
  <c r="A2004" i="14"/>
  <c r="D2004" i="14" l="1"/>
  <c r="C2004" i="14"/>
  <c r="E2004" i="14" s="1"/>
  <c r="B2004" i="14"/>
  <c r="A2005" i="14"/>
  <c r="D2005" i="14" l="1"/>
  <c r="C2005" i="14"/>
  <c r="E2005" i="14" s="1"/>
  <c r="B2005" i="14"/>
  <c r="A2006" i="14"/>
  <c r="C2006" i="14" l="1"/>
  <c r="E2006" i="14" s="1"/>
  <c r="B2006" i="14"/>
  <c r="D2006" i="14"/>
  <c r="A2007" i="14"/>
  <c r="D2007" i="14" l="1"/>
  <c r="C2007" i="14"/>
  <c r="E2007" i="14" s="1"/>
  <c r="B2007" i="14"/>
  <c r="A2008" i="14"/>
  <c r="D2008" i="14" l="1"/>
  <c r="C2008" i="14"/>
  <c r="E2008" i="14" s="1"/>
  <c r="B2008" i="14"/>
  <c r="A2009" i="14"/>
  <c r="D2009" i="14" l="1"/>
  <c r="C2009" i="14"/>
  <c r="E2009" i="14" s="1"/>
  <c r="B2009" i="14"/>
  <c r="A2010" i="14"/>
  <c r="D2010" i="14" l="1"/>
  <c r="C2010" i="14"/>
  <c r="E2010" i="14" s="1"/>
  <c r="B2010" i="14"/>
  <c r="A2011" i="14"/>
  <c r="B2011" i="14" l="1"/>
  <c r="D2011" i="14"/>
  <c r="C2011" i="14"/>
  <c r="E2011" i="14" s="1"/>
  <c r="A2012" i="14"/>
  <c r="D2012" i="14" l="1"/>
  <c r="C2012" i="14"/>
  <c r="E2012" i="14" s="1"/>
  <c r="B2012" i="14"/>
  <c r="A2013" i="14"/>
  <c r="D2013" i="14" l="1"/>
  <c r="C2013" i="14"/>
  <c r="E2013" i="14" s="1"/>
  <c r="B2013" i="14"/>
  <c r="A2014" i="14"/>
  <c r="C2014" i="14" l="1"/>
  <c r="E2014" i="14" s="1"/>
  <c r="B2014" i="14"/>
  <c r="D2014" i="14"/>
  <c r="A2015" i="14"/>
  <c r="D2015" i="14" l="1"/>
  <c r="C2015" i="14"/>
  <c r="E2015" i="14" s="1"/>
  <c r="B2015" i="14"/>
  <c r="A2016" i="14"/>
  <c r="D2016" i="14" l="1"/>
  <c r="C2016" i="14"/>
  <c r="E2016" i="14" s="1"/>
  <c r="B2016" i="14"/>
  <c r="A2017" i="14"/>
  <c r="D2017" i="14" l="1"/>
  <c r="C2017" i="14"/>
  <c r="E2017" i="14" s="1"/>
  <c r="B2017" i="14"/>
  <c r="A2018" i="14"/>
  <c r="D2018" i="14" l="1"/>
  <c r="C2018" i="14"/>
  <c r="E2018" i="14" s="1"/>
  <c r="B2018" i="14"/>
  <c r="A2019" i="14"/>
  <c r="B2019" i="14" l="1"/>
  <c r="D2019" i="14"/>
  <c r="C2019" i="14"/>
  <c r="E2019" i="14" s="1"/>
  <c r="A2020" i="14"/>
  <c r="D2020" i="14" l="1"/>
  <c r="C2020" i="14"/>
  <c r="E2020" i="14" s="1"/>
  <c r="B2020" i="14"/>
  <c r="A2021" i="14"/>
  <c r="D2021" i="14" l="1"/>
  <c r="C2021" i="14"/>
  <c r="E2021" i="14" s="1"/>
  <c r="B2021" i="14"/>
  <c r="A2022" i="14"/>
  <c r="C2022" i="14" l="1"/>
  <c r="E2022" i="14" s="1"/>
  <c r="B2022" i="14"/>
  <c r="D2022" i="14"/>
  <c r="A2023" i="14"/>
  <c r="D2023" i="14" l="1"/>
  <c r="C2023" i="14"/>
  <c r="E2023" i="14" s="1"/>
  <c r="B2023" i="14"/>
  <c r="A2024" i="14"/>
  <c r="D2024" i="14" l="1"/>
  <c r="C2024" i="14"/>
  <c r="E2024" i="14" s="1"/>
  <c r="B2024" i="14"/>
  <c r="A2025" i="14"/>
  <c r="D2025" i="14" l="1"/>
  <c r="C2025" i="14"/>
  <c r="E2025" i="14" s="1"/>
  <c r="B2025" i="14"/>
  <c r="A2026" i="14"/>
  <c r="D2026" i="14" l="1"/>
  <c r="C2026" i="14"/>
  <c r="E2026" i="14" s="1"/>
  <c r="B2026" i="14"/>
  <c r="A2027" i="14"/>
  <c r="B2027" i="14" l="1"/>
  <c r="D2027" i="14"/>
  <c r="C2027" i="14"/>
  <c r="E2027" i="14" s="1"/>
  <c r="A2028" i="14"/>
  <c r="D2028" i="14" l="1"/>
  <c r="C2028" i="14"/>
  <c r="E2028" i="14" s="1"/>
  <c r="B2028" i="14"/>
  <c r="A2029" i="14"/>
  <c r="D2029" i="14" l="1"/>
  <c r="C2029" i="14"/>
  <c r="E2029" i="14" s="1"/>
  <c r="B2029" i="14"/>
  <c r="A2030" i="14"/>
  <c r="C2030" i="14" l="1"/>
  <c r="E2030" i="14" s="1"/>
  <c r="B2030" i="14"/>
  <c r="D2030" i="14"/>
  <c r="A2031" i="14"/>
  <c r="D2031" i="14" l="1"/>
  <c r="C2031" i="14"/>
  <c r="E2031" i="14" s="1"/>
  <c r="B2031" i="14"/>
  <c r="A2032" i="14"/>
  <c r="D2032" i="14" l="1"/>
  <c r="C2032" i="14"/>
  <c r="E2032" i="14" s="1"/>
  <c r="B2032" i="14"/>
  <c r="A2033" i="14"/>
  <c r="D2033" i="14" l="1"/>
  <c r="C2033" i="14"/>
  <c r="E2033" i="14" s="1"/>
  <c r="B2033" i="14"/>
  <c r="A2034" i="14"/>
  <c r="D2034" i="14" l="1"/>
  <c r="C2034" i="14"/>
  <c r="E2034" i="14" s="1"/>
  <c r="B2034" i="14"/>
  <c r="A2035" i="14"/>
  <c r="B2035" i="14" l="1"/>
  <c r="D2035" i="14"/>
  <c r="C2035" i="14"/>
  <c r="E2035" i="14" s="1"/>
  <c r="A2036" i="14"/>
  <c r="D2036" i="14" l="1"/>
  <c r="C2036" i="14"/>
  <c r="E2036" i="14" s="1"/>
  <c r="B2036" i="14"/>
  <c r="A2037" i="14"/>
  <c r="D2037" i="14" l="1"/>
  <c r="C2037" i="14"/>
  <c r="E2037" i="14" s="1"/>
  <c r="B2037" i="14"/>
  <c r="A2038" i="14"/>
  <c r="C2038" i="14" l="1"/>
  <c r="E2038" i="14" s="1"/>
  <c r="B2038" i="14"/>
  <c r="D2038" i="14"/>
  <c r="A2039" i="14"/>
  <c r="D2039" i="14" l="1"/>
  <c r="C2039" i="14"/>
  <c r="E2039" i="14" s="1"/>
  <c r="B2039" i="14"/>
  <c r="A2040" i="14"/>
  <c r="D2040" i="14" l="1"/>
  <c r="C2040" i="14"/>
  <c r="E2040" i="14" s="1"/>
  <c r="B2040" i="14"/>
  <c r="A2041" i="14"/>
  <c r="D2041" i="14" l="1"/>
  <c r="C2041" i="14"/>
  <c r="E2041" i="14" s="1"/>
  <c r="B2041" i="14"/>
  <c r="A2042" i="14"/>
  <c r="D2042" i="14" l="1"/>
  <c r="C2042" i="14"/>
  <c r="E2042" i="14" s="1"/>
  <c r="B2042" i="14"/>
  <c r="A2043" i="14"/>
  <c r="B2043" i="14" l="1"/>
  <c r="D2043" i="14"/>
  <c r="C2043" i="14"/>
  <c r="E2043" i="14" s="1"/>
  <c r="A2044" i="14"/>
  <c r="D2044" i="14" l="1"/>
  <c r="C2044" i="14"/>
  <c r="E2044" i="14" s="1"/>
  <c r="B2044" i="14"/>
  <c r="A2045" i="14"/>
  <c r="D2045" i="14" l="1"/>
  <c r="C2045" i="14"/>
  <c r="E2045" i="14" s="1"/>
  <c r="B2045" i="14"/>
  <c r="A2046" i="14"/>
  <c r="C2046" i="14" l="1"/>
  <c r="E2046" i="14" s="1"/>
  <c r="B2046" i="14"/>
  <c r="D2046" i="14"/>
  <c r="A2047" i="14"/>
  <c r="D2047" i="14" l="1"/>
  <c r="C2047" i="14"/>
  <c r="E2047" i="14" s="1"/>
  <c r="B2047" i="14"/>
  <c r="A2048" i="14"/>
  <c r="D2048" i="14" l="1"/>
  <c r="C2048" i="14"/>
  <c r="E2048" i="14" s="1"/>
  <c r="B2048" i="14"/>
  <c r="A2049" i="14"/>
  <c r="D2049" i="14" l="1"/>
  <c r="C2049" i="14"/>
  <c r="E2049" i="14" s="1"/>
  <c r="B2049" i="14"/>
  <c r="A2050" i="14"/>
  <c r="D2050" i="14" l="1"/>
  <c r="C2050" i="14"/>
  <c r="E2050" i="14" s="1"/>
  <c r="B2050" i="14"/>
  <c r="A2051" i="14"/>
  <c r="B2051" i="14" l="1"/>
  <c r="D2051" i="14"/>
  <c r="C2051" i="14"/>
  <c r="E2051" i="14" s="1"/>
  <c r="A2052" i="14"/>
  <c r="D2052" i="14" l="1"/>
  <c r="C2052" i="14"/>
  <c r="E2052" i="14" s="1"/>
  <c r="B2052" i="14"/>
  <c r="A2053" i="14"/>
  <c r="D2053" i="14" l="1"/>
  <c r="C2053" i="14"/>
  <c r="E2053" i="14" s="1"/>
  <c r="B2053" i="14"/>
  <c r="A2054" i="14"/>
  <c r="C2054" i="14" l="1"/>
  <c r="E2054" i="14" s="1"/>
  <c r="B2054" i="14"/>
  <c r="D2054" i="14"/>
  <c r="A2055" i="14"/>
  <c r="D2055" i="14" l="1"/>
  <c r="C2055" i="14"/>
  <c r="E2055" i="14" s="1"/>
  <c r="B2055" i="14"/>
  <c r="A2056" i="14"/>
  <c r="D2056" i="14" l="1"/>
  <c r="C2056" i="14"/>
  <c r="E2056" i="14" s="1"/>
  <c r="B2056" i="14"/>
  <c r="A2057" i="14"/>
  <c r="D2057" i="14" l="1"/>
  <c r="C2057" i="14"/>
  <c r="E2057" i="14" s="1"/>
  <c r="B2057" i="14"/>
  <c r="A2058" i="14"/>
  <c r="D2058" i="14" l="1"/>
  <c r="C2058" i="14"/>
  <c r="E2058" i="14" s="1"/>
  <c r="B2058" i="14"/>
  <c r="A2059" i="14"/>
  <c r="B2059" i="14" l="1"/>
  <c r="D2059" i="14"/>
  <c r="C2059" i="14"/>
  <c r="E2059" i="14" s="1"/>
  <c r="A2060" i="14"/>
  <c r="D2060" i="14" l="1"/>
  <c r="C2060" i="14"/>
  <c r="E2060" i="14" s="1"/>
  <c r="B2060" i="14"/>
  <c r="A2061" i="14"/>
  <c r="D2061" i="14" l="1"/>
  <c r="C2061" i="14"/>
  <c r="E2061" i="14" s="1"/>
  <c r="B2061" i="14"/>
  <c r="A2062" i="14"/>
  <c r="C2062" i="14" l="1"/>
  <c r="E2062" i="14" s="1"/>
  <c r="B2062" i="14"/>
  <c r="D2062" i="14"/>
  <c r="A2063" i="14"/>
  <c r="D2063" i="14" l="1"/>
  <c r="C2063" i="14"/>
  <c r="E2063" i="14" s="1"/>
  <c r="B2063" i="14"/>
  <c r="A2064" i="14"/>
  <c r="D2064" i="14" l="1"/>
  <c r="C2064" i="14"/>
  <c r="E2064" i="14" s="1"/>
  <c r="B2064" i="14"/>
  <c r="A2065" i="14"/>
  <c r="D2065" i="14" l="1"/>
  <c r="C2065" i="14"/>
  <c r="E2065" i="14" s="1"/>
  <c r="B2065" i="14"/>
  <c r="A2066" i="14"/>
  <c r="D2066" i="14" l="1"/>
  <c r="C2066" i="14"/>
  <c r="E2066" i="14" s="1"/>
  <c r="B2066" i="14"/>
  <c r="A2067" i="14"/>
  <c r="B2067" i="14" l="1"/>
  <c r="D2067" i="14"/>
  <c r="C2067" i="14"/>
  <c r="E2067" i="14" s="1"/>
  <c r="A2068" i="14"/>
  <c r="D2068" i="14" l="1"/>
  <c r="C2068" i="14"/>
  <c r="E2068" i="14" s="1"/>
  <c r="B2068" i="14"/>
  <c r="A2069" i="14"/>
  <c r="D2069" i="14" l="1"/>
  <c r="C2069" i="14"/>
  <c r="E2069" i="14" s="1"/>
  <c r="B2069" i="14"/>
  <c r="A2070" i="14"/>
  <c r="C2070" i="14" l="1"/>
  <c r="E2070" i="14" s="1"/>
  <c r="B2070" i="14"/>
  <c r="D2070" i="14"/>
  <c r="A2071" i="14"/>
  <c r="D2071" i="14" l="1"/>
  <c r="C2071" i="14"/>
  <c r="E2071" i="14" s="1"/>
  <c r="B2071" i="14"/>
  <c r="A2072" i="14"/>
  <c r="D2072" i="14" l="1"/>
  <c r="C2072" i="14"/>
  <c r="E2072" i="14" s="1"/>
  <c r="B2072" i="14"/>
  <c r="A2073" i="14"/>
  <c r="D2073" i="14" l="1"/>
  <c r="C2073" i="14"/>
  <c r="E2073" i="14" s="1"/>
  <c r="B2073" i="14"/>
  <c r="A2074" i="14"/>
  <c r="D2074" i="14" l="1"/>
  <c r="C2074" i="14"/>
  <c r="E2074" i="14" s="1"/>
  <c r="B2074" i="14"/>
  <c r="A2075" i="14"/>
  <c r="B2075" i="14" l="1"/>
  <c r="D2075" i="14"/>
  <c r="C2075" i="14"/>
  <c r="E2075" i="14" s="1"/>
  <c r="A2076" i="14"/>
  <c r="D2076" i="14" l="1"/>
  <c r="C2076" i="14"/>
  <c r="E2076" i="14" s="1"/>
  <c r="B2076" i="14"/>
  <c r="A2077" i="14"/>
  <c r="D2077" i="14" l="1"/>
  <c r="C2077" i="14"/>
  <c r="E2077" i="14" s="1"/>
  <c r="B2077" i="14"/>
  <c r="A2078" i="14"/>
  <c r="C2078" i="14" l="1"/>
  <c r="E2078" i="14" s="1"/>
  <c r="B2078" i="14"/>
  <c r="D2078" i="14"/>
  <c r="A2079" i="14"/>
  <c r="D2079" i="14" l="1"/>
  <c r="C2079" i="14"/>
  <c r="E2079" i="14" s="1"/>
  <c r="B2079" i="14"/>
  <c r="A2080" i="14"/>
  <c r="D2080" i="14" l="1"/>
  <c r="C2080" i="14"/>
  <c r="E2080" i="14" s="1"/>
  <c r="B2080" i="14"/>
  <c r="A2081" i="14"/>
  <c r="D2081" i="14" l="1"/>
  <c r="C2081" i="14"/>
  <c r="E2081" i="14" s="1"/>
  <c r="B2081" i="14"/>
  <c r="A2082" i="14"/>
  <c r="D2082" i="14" l="1"/>
  <c r="C2082" i="14"/>
  <c r="E2082" i="14" s="1"/>
  <c r="B2082" i="14"/>
  <c r="A2083" i="14"/>
  <c r="B2083" i="14" l="1"/>
  <c r="D2083" i="14"/>
  <c r="C2083" i="14"/>
  <c r="E2083" i="14" s="1"/>
  <c r="A2084" i="14"/>
  <c r="D2084" i="14" l="1"/>
  <c r="C2084" i="14"/>
  <c r="E2084" i="14" s="1"/>
  <c r="B2084" i="14"/>
  <c r="A2085" i="14"/>
  <c r="D2085" i="14" l="1"/>
  <c r="C2085" i="14"/>
  <c r="E2085" i="14" s="1"/>
  <c r="B2085" i="14"/>
  <c r="A2086" i="14"/>
  <c r="C2086" i="14" l="1"/>
  <c r="E2086" i="14" s="1"/>
  <c r="B2086" i="14"/>
  <c r="D2086" i="14"/>
  <c r="A2087" i="14"/>
  <c r="D2087" i="14" l="1"/>
  <c r="C2087" i="14"/>
  <c r="E2087" i="14" s="1"/>
  <c r="B2087" i="14"/>
  <c r="A2088" i="14"/>
  <c r="D2088" i="14" l="1"/>
  <c r="C2088" i="14"/>
  <c r="E2088" i="14" s="1"/>
  <c r="B2088" i="14"/>
  <c r="A2089" i="14"/>
  <c r="D2089" i="14" l="1"/>
  <c r="C2089" i="14"/>
  <c r="E2089" i="14" s="1"/>
  <c r="B2089" i="14"/>
  <c r="A2090" i="14"/>
  <c r="D2090" i="14" l="1"/>
  <c r="C2090" i="14"/>
  <c r="E2090" i="14" s="1"/>
  <c r="B2090" i="14"/>
  <c r="A2091" i="14"/>
  <c r="B2091" i="14" l="1"/>
  <c r="D2091" i="14"/>
  <c r="C2091" i="14"/>
  <c r="E2091" i="14" s="1"/>
  <c r="A2092" i="14"/>
  <c r="D2092" i="14" l="1"/>
  <c r="C2092" i="14"/>
  <c r="E2092" i="14" s="1"/>
  <c r="B2092" i="14"/>
  <c r="A2093" i="14"/>
  <c r="D2093" i="14" l="1"/>
  <c r="C2093" i="14"/>
  <c r="E2093" i="14" s="1"/>
  <c r="B2093" i="14"/>
  <c r="A2094" i="14"/>
  <c r="C2094" i="14" l="1"/>
  <c r="E2094" i="14" s="1"/>
  <c r="B2094" i="14"/>
  <c r="D2094" i="14"/>
  <c r="A2095" i="14"/>
  <c r="D2095" i="14" l="1"/>
  <c r="C2095" i="14"/>
  <c r="E2095" i="14" s="1"/>
  <c r="B2095" i="14"/>
  <c r="A2096" i="14"/>
  <c r="D2096" i="14" l="1"/>
  <c r="C2096" i="14"/>
  <c r="E2096" i="14" s="1"/>
  <c r="B2096" i="14"/>
  <c r="A2097" i="14"/>
  <c r="D2097" i="14" l="1"/>
  <c r="C2097" i="14"/>
  <c r="E2097" i="14" s="1"/>
  <c r="B2097" i="14"/>
  <c r="A2098" i="14"/>
  <c r="D2098" i="14" l="1"/>
  <c r="C2098" i="14"/>
  <c r="E2098" i="14" s="1"/>
  <c r="B2098" i="14"/>
  <c r="A2099" i="14"/>
  <c r="B2099" i="14" l="1"/>
  <c r="D2099" i="14"/>
  <c r="C2099" i="14"/>
  <c r="E2099" i="14" s="1"/>
  <c r="A2100" i="14"/>
  <c r="D2100" i="14" l="1"/>
  <c r="C2100" i="14"/>
  <c r="E2100" i="14" s="1"/>
  <c r="B2100" i="14"/>
  <c r="A2101" i="14"/>
  <c r="D2101" i="14" l="1"/>
  <c r="C2101" i="14"/>
  <c r="E2101" i="14" s="1"/>
  <c r="B2101" i="14"/>
  <c r="A2102" i="14"/>
  <c r="C2102" i="14" l="1"/>
  <c r="E2102" i="14" s="1"/>
  <c r="B2102" i="14"/>
  <c r="D2102" i="14"/>
  <c r="A2103" i="14"/>
  <c r="D2103" i="14" l="1"/>
  <c r="C2103" i="14"/>
  <c r="E2103" i="14" s="1"/>
  <c r="B2103" i="14"/>
  <c r="A2104" i="14"/>
  <c r="D2104" i="14" l="1"/>
  <c r="C2104" i="14"/>
  <c r="E2104" i="14" s="1"/>
  <c r="B2104" i="14"/>
  <c r="A2105" i="14"/>
  <c r="D2105" i="14" l="1"/>
  <c r="C2105" i="14"/>
  <c r="E2105" i="14" s="1"/>
  <c r="B2105" i="14"/>
  <c r="A2106" i="14"/>
  <c r="D2106" i="14" l="1"/>
  <c r="C2106" i="14"/>
  <c r="E2106" i="14" s="1"/>
  <c r="B2106" i="14"/>
  <c r="A2107" i="14"/>
  <c r="B2107" i="14" l="1"/>
  <c r="D2107" i="14"/>
  <c r="C2107" i="14"/>
  <c r="E2107" i="14" s="1"/>
  <c r="A2108" i="14"/>
  <c r="D2108" i="14" l="1"/>
  <c r="C2108" i="14"/>
  <c r="E2108" i="14" s="1"/>
  <c r="B2108" i="14"/>
  <c r="A2109" i="14"/>
  <c r="D2109" i="14" l="1"/>
  <c r="C2109" i="14"/>
  <c r="E2109" i="14" s="1"/>
  <c r="B2109" i="14"/>
  <c r="A2110" i="14"/>
  <c r="C2110" i="14" l="1"/>
  <c r="E2110" i="14" s="1"/>
  <c r="B2110" i="14"/>
  <c r="D2110" i="14"/>
  <c r="A2111" i="14"/>
  <c r="D2111" i="14" l="1"/>
  <c r="C2111" i="14"/>
  <c r="E2111" i="14" s="1"/>
  <c r="B2111" i="14"/>
  <c r="A2112" i="14"/>
  <c r="D2112" i="14" l="1"/>
  <c r="C2112" i="14"/>
  <c r="E2112" i="14" s="1"/>
  <c r="B2112" i="14"/>
  <c r="A2113" i="14"/>
  <c r="D2113" i="14" l="1"/>
  <c r="C2113" i="14"/>
  <c r="E2113" i="14" s="1"/>
  <c r="B2113" i="14"/>
  <c r="A2114" i="14"/>
  <c r="D2114" i="14" l="1"/>
  <c r="C2114" i="14"/>
  <c r="E2114" i="14" s="1"/>
  <c r="B2114" i="14"/>
  <c r="A2115" i="14"/>
  <c r="B2115" i="14" l="1"/>
  <c r="D2115" i="14"/>
  <c r="C2115" i="14"/>
  <c r="E2115" i="14" s="1"/>
  <c r="A2116" i="14"/>
  <c r="D2116" i="14" l="1"/>
  <c r="C2116" i="14"/>
  <c r="E2116" i="14" s="1"/>
  <c r="B2116" i="14"/>
  <c r="A2117" i="14"/>
  <c r="D2117" i="14" l="1"/>
  <c r="C2117" i="14"/>
  <c r="E2117" i="14" s="1"/>
  <c r="B2117" i="14"/>
  <c r="A2118" i="14"/>
  <c r="C2118" i="14" l="1"/>
  <c r="E2118" i="14" s="1"/>
  <c r="B2118" i="14"/>
  <c r="D2118" i="14"/>
  <c r="A2119" i="14"/>
  <c r="D2119" i="14" l="1"/>
  <c r="C2119" i="14"/>
  <c r="E2119" i="14" s="1"/>
  <c r="B2119" i="14"/>
  <c r="A2120" i="14"/>
  <c r="D2120" i="14" l="1"/>
  <c r="C2120" i="14"/>
  <c r="E2120" i="14" s="1"/>
  <c r="B2120" i="14"/>
  <c r="A2121" i="14"/>
  <c r="D2121" i="14" l="1"/>
  <c r="C2121" i="14"/>
  <c r="E2121" i="14" s="1"/>
  <c r="B2121" i="14"/>
  <c r="A2122" i="14"/>
  <c r="D2122" i="14" l="1"/>
  <c r="C2122" i="14"/>
  <c r="E2122" i="14" s="1"/>
  <c r="B2122" i="14"/>
  <c r="A2123" i="14"/>
  <c r="B2123" i="14" l="1"/>
  <c r="D2123" i="14"/>
  <c r="C2123" i="14"/>
  <c r="E2123" i="14" s="1"/>
  <c r="A2124" i="14"/>
  <c r="D2124" i="14" l="1"/>
  <c r="C2124" i="14"/>
  <c r="E2124" i="14" s="1"/>
  <c r="B2124" i="14"/>
  <c r="A2125" i="14"/>
  <c r="D2125" i="14" l="1"/>
  <c r="C2125" i="14"/>
  <c r="E2125" i="14" s="1"/>
  <c r="B2125" i="14"/>
  <c r="A2126" i="14"/>
  <c r="C2126" i="14" l="1"/>
  <c r="E2126" i="14" s="1"/>
  <c r="B2126" i="14"/>
  <c r="D2126" i="14"/>
  <c r="A2127" i="14"/>
  <c r="D2127" i="14" l="1"/>
  <c r="C2127" i="14"/>
  <c r="E2127" i="14" s="1"/>
  <c r="B2127" i="14"/>
  <c r="A2128" i="14"/>
  <c r="D2128" i="14" l="1"/>
  <c r="C2128" i="14"/>
  <c r="E2128" i="14" s="1"/>
  <c r="B2128" i="14"/>
  <c r="A2129" i="14"/>
  <c r="D2129" i="14" l="1"/>
  <c r="C2129" i="14"/>
  <c r="E2129" i="14" s="1"/>
  <c r="B2129" i="14"/>
  <c r="A2130" i="14"/>
  <c r="D2130" i="14" l="1"/>
  <c r="C2130" i="14"/>
  <c r="E2130" i="14" s="1"/>
  <c r="B2130" i="14"/>
  <c r="A2131" i="14"/>
  <c r="B2131" i="14" l="1"/>
  <c r="D2131" i="14"/>
  <c r="C2131" i="14"/>
  <c r="E2131" i="14" s="1"/>
  <c r="A2132" i="14"/>
  <c r="D2132" i="14" l="1"/>
  <c r="C2132" i="14"/>
  <c r="E2132" i="14" s="1"/>
  <c r="B2132" i="14"/>
  <c r="A2133" i="14"/>
  <c r="D2133" i="14" l="1"/>
  <c r="C2133" i="14"/>
  <c r="E2133" i="14" s="1"/>
  <c r="B2133" i="14"/>
  <c r="A2134" i="14"/>
  <c r="C2134" i="14" l="1"/>
  <c r="E2134" i="14" s="1"/>
  <c r="B2134" i="14"/>
  <c r="D2134" i="14"/>
  <c r="A2135" i="14"/>
  <c r="D2135" i="14" l="1"/>
  <c r="C2135" i="14"/>
  <c r="E2135" i="14" s="1"/>
  <c r="B2135" i="14"/>
  <c r="A2136" i="14"/>
  <c r="D2136" i="14" l="1"/>
  <c r="C2136" i="14"/>
  <c r="E2136" i="14" s="1"/>
  <c r="B2136" i="14"/>
  <c r="A2137" i="14"/>
  <c r="D2137" i="14" l="1"/>
  <c r="C2137" i="14"/>
  <c r="E2137" i="14" s="1"/>
  <c r="B2137" i="14"/>
  <c r="A2138" i="14"/>
  <c r="D2138" i="14" l="1"/>
  <c r="C2138" i="14"/>
  <c r="E2138" i="14" s="1"/>
  <c r="B2138" i="14"/>
  <c r="A2139" i="14"/>
  <c r="B2139" i="14" l="1"/>
  <c r="D2139" i="14"/>
  <c r="C2139" i="14"/>
  <c r="E2139" i="14" s="1"/>
  <c r="A2140" i="14"/>
  <c r="D2140" i="14" l="1"/>
  <c r="C2140" i="14"/>
  <c r="E2140" i="14" s="1"/>
  <c r="B2140" i="14"/>
  <c r="A2141" i="14"/>
  <c r="D2141" i="14" l="1"/>
  <c r="C2141" i="14"/>
  <c r="E2141" i="14" s="1"/>
  <c r="B2141" i="14"/>
  <c r="A2142" i="14"/>
  <c r="C2142" i="14" l="1"/>
  <c r="E2142" i="14" s="1"/>
  <c r="B2142" i="14"/>
  <c r="D2142" i="14"/>
  <c r="A2143" i="14"/>
  <c r="D2143" i="14" l="1"/>
  <c r="C2143" i="14"/>
  <c r="E2143" i="14" s="1"/>
  <c r="B2143" i="14"/>
  <c r="A2144" i="14"/>
  <c r="D2144" i="14" l="1"/>
  <c r="C2144" i="14"/>
  <c r="E2144" i="14" s="1"/>
  <c r="B2144" i="14"/>
  <c r="A2145" i="14"/>
  <c r="D2145" i="14" l="1"/>
  <c r="C2145" i="14"/>
  <c r="E2145" i="14" s="1"/>
  <c r="B2145" i="14"/>
  <c r="A2146" i="14"/>
  <c r="E2146" i="14" l="1"/>
  <c r="D2146" i="14"/>
  <c r="C2146" i="14"/>
  <c r="B2146" i="14"/>
  <c r="A2147" i="14"/>
  <c r="B2147" i="14" l="1"/>
  <c r="D2147" i="14"/>
  <c r="C2147" i="14"/>
  <c r="A2148" i="14"/>
  <c r="E2147" i="14"/>
  <c r="D2148" i="14" l="1"/>
  <c r="C2148" i="14"/>
  <c r="E2148" i="14" s="1"/>
  <c r="B2148" i="14"/>
  <c r="A2149" i="14"/>
  <c r="D2149" i="14" l="1"/>
  <c r="C2149" i="14"/>
  <c r="E2149" i="14" s="1"/>
  <c r="B2149" i="14"/>
  <c r="A2150" i="14"/>
  <c r="C2150" i="14" l="1"/>
  <c r="E2150" i="14" s="1"/>
  <c r="B2150" i="14"/>
  <c r="D2150" i="14"/>
  <c r="A2151" i="14"/>
  <c r="D2151" i="14" l="1"/>
  <c r="C2151" i="14"/>
  <c r="E2151" i="14" s="1"/>
  <c r="B2151" i="14"/>
  <c r="A2152" i="14"/>
  <c r="D2152" i="14" l="1"/>
  <c r="C2152" i="14"/>
  <c r="E2152" i="14" s="1"/>
  <c r="B2152" i="14"/>
  <c r="A2153" i="14"/>
  <c r="D2153" i="14" l="1"/>
  <c r="C2153" i="14"/>
  <c r="E2153" i="14" s="1"/>
  <c r="B2153" i="14"/>
  <c r="A2154" i="14"/>
  <c r="D2154" i="14" l="1"/>
  <c r="C2154" i="14"/>
  <c r="E2154" i="14" s="1"/>
  <c r="B2154" i="14"/>
  <c r="A2155" i="14"/>
  <c r="B2155" i="14" l="1"/>
  <c r="D2155" i="14"/>
  <c r="C2155" i="14"/>
  <c r="E2155" i="14" s="1"/>
  <c r="A2156" i="14"/>
  <c r="D2156" i="14" l="1"/>
  <c r="C2156" i="14"/>
  <c r="E2156" i="14" s="1"/>
  <c r="B2156" i="14"/>
  <c r="A2157" i="14"/>
  <c r="D2157" i="14" l="1"/>
  <c r="C2157" i="14"/>
  <c r="E2157" i="14" s="1"/>
  <c r="B2157" i="14"/>
  <c r="A2158" i="14"/>
  <c r="C2158" i="14" l="1"/>
  <c r="E2158" i="14" s="1"/>
  <c r="B2158" i="14"/>
  <c r="D2158" i="14"/>
  <c r="A2159" i="14"/>
  <c r="D2159" i="14" l="1"/>
  <c r="C2159" i="14"/>
  <c r="E2159" i="14" s="1"/>
  <c r="B2159" i="14"/>
  <c r="A2160" i="14"/>
  <c r="D2160" i="14" l="1"/>
  <c r="C2160" i="14"/>
  <c r="E2160" i="14" s="1"/>
  <c r="B2160" i="14"/>
  <c r="A2161" i="14"/>
  <c r="D2161" i="14" l="1"/>
  <c r="C2161" i="14"/>
  <c r="E2161" i="14" s="1"/>
  <c r="B2161" i="14"/>
  <c r="A2162" i="14"/>
  <c r="D2162" i="14" l="1"/>
  <c r="C2162" i="14"/>
  <c r="E2162" i="14" s="1"/>
  <c r="B2162" i="14"/>
  <c r="A2163" i="14"/>
  <c r="B2163" i="14" l="1"/>
  <c r="D2163" i="14"/>
  <c r="C2163" i="14"/>
  <c r="E2163" i="14" s="1"/>
  <c r="A2164" i="14"/>
  <c r="D2164" i="14" l="1"/>
  <c r="C2164" i="14"/>
  <c r="E2164" i="14" s="1"/>
  <c r="B2164" i="14"/>
  <c r="A2165" i="14"/>
  <c r="D2165" i="14" l="1"/>
  <c r="C2165" i="14"/>
  <c r="E2165" i="14" s="1"/>
  <c r="B2165" i="14"/>
  <c r="A2166" i="14"/>
  <c r="C2166" i="14" l="1"/>
  <c r="E2166" i="14" s="1"/>
  <c r="B2166" i="14"/>
  <c r="D2166" i="14"/>
  <c r="A2167" i="14"/>
  <c r="D2167" i="14" l="1"/>
  <c r="C2167" i="14"/>
  <c r="E2167" i="14" s="1"/>
  <c r="B2167" i="14"/>
  <c r="A2168" i="14"/>
  <c r="D2168" i="14" l="1"/>
  <c r="C2168" i="14"/>
  <c r="E2168" i="14" s="1"/>
  <c r="B2168" i="14"/>
  <c r="A2169" i="14"/>
  <c r="D2169" i="14" l="1"/>
  <c r="C2169" i="14"/>
  <c r="E2169" i="14" s="1"/>
  <c r="B2169" i="14"/>
  <c r="A2170" i="14"/>
  <c r="D2170" i="14" l="1"/>
  <c r="C2170" i="14"/>
  <c r="E2170" i="14" s="1"/>
  <c r="B2170" i="14"/>
  <c r="A2171" i="14"/>
  <c r="B2171" i="14" l="1"/>
  <c r="D2171" i="14"/>
  <c r="C2171" i="14"/>
  <c r="E2171" i="14" s="1"/>
  <c r="A2172" i="14"/>
  <c r="D2172" i="14" l="1"/>
  <c r="C2172" i="14"/>
  <c r="E2172" i="14" s="1"/>
  <c r="B2172" i="14"/>
  <c r="A2173" i="14"/>
  <c r="D2173" i="14" l="1"/>
  <c r="C2173" i="14"/>
  <c r="E2173" i="14" s="1"/>
  <c r="B2173" i="14"/>
  <c r="A2174" i="14"/>
  <c r="C2174" i="14" l="1"/>
  <c r="E2174" i="14" s="1"/>
  <c r="B2174" i="14"/>
  <c r="D2174" i="14"/>
  <c r="A2175" i="14"/>
  <c r="D2175" i="14" l="1"/>
  <c r="C2175" i="14"/>
  <c r="E2175" i="14" s="1"/>
  <c r="B2175" i="14"/>
  <c r="A2176" i="14"/>
  <c r="D2176" i="14" l="1"/>
  <c r="C2176" i="14"/>
  <c r="E2176" i="14" s="1"/>
  <c r="B2176" i="14"/>
  <c r="A2177" i="14"/>
  <c r="D2177" i="14" l="1"/>
  <c r="C2177" i="14"/>
  <c r="E2177" i="14" s="1"/>
  <c r="B2177" i="14"/>
  <c r="A2178" i="14"/>
  <c r="D2178" i="14" l="1"/>
  <c r="C2178" i="14"/>
  <c r="E2178" i="14" s="1"/>
  <c r="B2178" i="14"/>
  <c r="A2179" i="14"/>
  <c r="C2179" i="14" l="1"/>
  <c r="E2179" i="14" s="1"/>
  <c r="B2179" i="14"/>
  <c r="D2179" i="14"/>
  <c r="A2180" i="14"/>
  <c r="C2180" i="14" l="1"/>
  <c r="E2180" i="14" s="1"/>
  <c r="D2180" i="14"/>
  <c r="B2180" i="14"/>
  <c r="A2181" i="14"/>
  <c r="B2181" i="14" l="1"/>
  <c r="D2181" i="14"/>
  <c r="C2181" i="14"/>
  <c r="E2181" i="14" s="1"/>
  <c r="A2182" i="14"/>
  <c r="D2182" i="14" l="1"/>
  <c r="C2182" i="14"/>
  <c r="E2182" i="14" s="1"/>
  <c r="B2182" i="14"/>
  <c r="A2183" i="14"/>
  <c r="D2183" i="14" l="1"/>
  <c r="C2183" i="14"/>
  <c r="E2183" i="14" s="1"/>
  <c r="B2183" i="14"/>
  <c r="A2184" i="14"/>
  <c r="D2184" i="14" l="1"/>
  <c r="C2184" i="14"/>
  <c r="E2184" i="14" s="1"/>
  <c r="B2184" i="14"/>
  <c r="A2185" i="14"/>
  <c r="B2185" i="14" l="1"/>
  <c r="D2185" i="14"/>
  <c r="C2185" i="14"/>
  <c r="E2185" i="14" s="1"/>
  <c r="A2186" i="14"/>
  <c r="D2186" i="14" l="1"/>
  <c r="C2186" i="14"/>
  <c r="E2186" i="14" s="1"/>
  <c r="B2186" i="14"/>
  <c r="A2187" i="14"/>
  <c r="D2187" i="14" l="1"/>
  <c r="C2187" i="14"/>
  <c r="E2187" i="14" s="1"/>
  <c r="B2187" i="14"/>
  <c r="A2188" i="14"/>
  <c r="C2188" i="14" l="1"/>
  <c r="E2188" i="14" s="1"/>
  <c r="D2188" i="14"/>
  <c r="B2188" i="14"/>
  <c r="A2189" i="14"/>
  <c r="D2189" i="14" l="1"/>
  <c r="C2189" i="14"/>
  <c r="E2189" i="14" s="1"/>
  <c r="B2189" i="14"/>
  <c r="A2190" i="14"/>
  <c r="C2190" i="14" l="1"/>
  <c r="E2190" i="14" s="1"/>
  <c r="B2190" i="14"/>
  <c r="D2190" i="14"/>
  <c r="A2191" i="14"/>
  <c r="D2191" i="14" l="1"/>
  <c r="C2191" i="14"/>
  <c r="E2191" i="14" s="1"/>
  <c r="B2191" i="14"/>
  <c r="A2192" i="14"/>
  <c r="B2192" i="14" l="1"/>
  <c r="D2192" i="14"/>
  <c r="C2192" i="14"/>
  <c r="E2192" i="14" s="1"/>
  <c r="A2193" i="14"/>
  <c r="B2193" i="14" l="1"/>
  <c r="D2193" i="14"/>
  <c r="C2193" i="14"/>
  <c r="E2193" i="14" s="1"/>
  <c r="A2194" i="14"/>
  <c r="D2194" i="14" l="1"/>
  <c r="C2194" i="14"/>
  <c r="E2194" i="14" s="1"/>
  <c r="B2194" i="14"/>
  <c r="A2195" i="14"/>
  <c r="D2195" i="14" l="1"/>
  <c r="C2195" i="14"/>
  <c r="E2195" i="14" s="1"/>
  <c r="B2195" i="14"/>
  <c r="A2196" i="14"/>
  <c r="C2196" i="14" l="1"/>
  <c r="E2196" i="14" s="1"/>
  <c r="D2196" i="14"/>
  <c r="B2196" i="14"/>
  <c r="A2197" i="14"/>
  <c r="D2197" i="14" l="1"/>
  <c r="C2197" i="14"/>
  <c r="E2197" i="14" s="1"/>
  <c r="B2197" i="14"/>
  <c r="A2198" i="14"/>
  <c r="D2198" i="14" l="1"/>
  <c r="C2198" i="14"/>
  <c r="E2198" i="14" s="1"/>
  <c r="B2198" i="14"/>
  <c r="A2199" i="14"/>
  <c r="D2199" i="14" l="1"/>
  <c r="C2199" i="14"/>
  <c r="E2199" i="14" s="1"/>
  <c r="B2199" i="14"/>
  <c r="A2200" i="14"/>
  <c r="D2200" i="14" l="1"/>
  <c r="C2200" i="14"/>
  <c r="E2200" i="14" s="1"/>
  <c r="B2200" i="14"/>
  <c r="A2201" i="14"/>
  <c r="B2201" i="14" l="1"/>
  <c r="C2201" i="14"/>
  <c r="E2201" i="14" s="1"/>
  <c r="D2201" i="14"/>
  <c r="A2202" i="14"/>
  <c r="D2202" i="14" l="1"/>
  <c r="C2202" i="14"/>
  <c r="E2202" i="14" s="1"/>
  <c r="B2202" i="14"/>
  <c r="A2203" i="14"/>
  <c r="B2203" i="14" l="1"/>
  <c r="D2203" i="14"/>
  <c r="C2203" i="14"/>
  <c r="E2203" i="14" s="1"/>
  <c r="A2204" i="14"/>
  <c r="C2204" i="14" l="1"/>
  <c r="E2204" i="14" s="1"/>
  <c r="D2204" i="14"/>
  <c r="B2204" i="14"/>
  <c r="A2205" i="14"/>
  <c r="D2205" i="14" l="1"/>
  <c r="C2205" i="14"/>
  <c r="E2205" i="14" s="1"/>
  <c r="B2205" i="14"/>
  <c r="A2206" i="14"/>
  <c r="D2206" i="14" l="1"/>
  <c r="C2206" i="14"/>
  <c r="E2206" i="14" s="1"/>
  <c r="B2206" i="14"/>
  <c r="A2207" i="14"/>
  <c r="D2207" i="14" l="1"/>
  <c r="C2207" i="14"/>
  <c r="E2207" i="14" s="1"/>
  <c r="B2207" i="14"/>
  <c r="A2208" i="14"/>
  <c r="D2208" i="14" l="1"/>
  <c r="C2208" i="14"/>
  <c r="E2208" i="14" s="1"/>
  <c r="B2208" i="14"/>
  <c r="A2209" i="14"/>
  <c r="B2209" i="14" l="1"/>
  <c r="D2209" i="14"/>
  <c r="C2209" i="14"/>
  <c r="E2209" i="14" s="1"/>
  <c r="A2210" i="14"/>
  <c r="C2210" i="14" l="1"/>
  <c r="E2210" i="14" s="1"/>
  <c r="B2210" i="14"/>
  <c r="D2210" i="14"/>
  <c r="A2211" i="14"/>
  <c r="B2211" i="14" l="1"/>
  <c r="D2211" i="14"/>
  <c r="C2211" i="14"/>
  <c r="E2211" i="14" s="1"/>
  <c r="A2212" i="14"/>
  <c r="C2212" i="14" l="1"/>
  <c r="E2212" i="14" s="1"/>
  <c r="D2212" i="14"/>
  <c r="B2212" i="14"/>
  <c r="A2213" i="14"/>
  <c r="D2213" i="14" l="1"/>
  <c r="C2213" i="14"/>
  <c r="E2213" i="14" s="1"/>
  <c r="B2213" i="14"/>
  <c r="A2214" i="14"/>
  <c r="C2214" i="14" l="1"/>
  <c r="E2214" i="14" s="1"/>
  <c r="D2214" i="14"/>
  <c r="B2214" i="14"/>
  <c r="A2215" i="14"/>
  <c r="D2215" i="14" l="1"/>
  <c r="C2215" i="14"/>
  <c r="E2215" i="14" s="1"/>
  <c r="B2215" i="14"/>
  <c r="A2216" i="14"/>
  <c r="D2216" i="14" l="1"/>
  <c r="C2216" i="14"/>
  <c r="E2216" i="14" s="1"/>
  <c r="B2216" i="14"/>
  <c r="A2217" i="14"/>
  <c r="B2217" i="14" l="1"/>
  <c r="D2217" i="14"/>
  <c r="C2217" i="14"/>
  <c r="E2217" i="14" s="1"/>
  <c r="A2218" i="14"/>
  <c r="D2218" i="14" l="1"/>
  <c r="C2218" i="14"/>
  <c r="E2218" i="14" s="1"/>
  <c r="B2218" i="14"/>
  <c r="A2219" i="14"/>
  <c r="B2219" i="14" l="1"/>
  <c r="D2219" i="14"/>
  <c r="C2219" i="14"/>
  <c r="E2219" i="14" s="1"/>
  <c r="A2220" i="14"/>
  <c r="C2220" i="14" l="1"/>
  <c r="E2220" i="14" s="1"/>
  <c r="D2220" i="14"/>
  <c r="B2220" i="14"/>
  <c r="A2221" i="14"/>
  <c r="B2221" i="14" l="1"/>
  <c r="D2221" i="14"/>
  <c r="C2221" i="14"/>
  <c r="E2221" i="14" s="1"/>
  <c r="A2222" i="14"/>
  <c r="C2222" i="14" l="1"/>
  <c r="E2222" i="14" s="1"/>
  <c r="D2222" i="14"/>
  <c r="B2222" i="14"/>
  <c r="A2223" i="14"/>
  <c r="D2223" i="14" l="1"/>
  <c r="B2223" i="14"/>
  <c r="C2223" i="14"/>
  <c r="E2223" i="14" s="1"/>
  <c r="A2224" i="14"/>
  <c r="D2224" i="14" l="1"/>
  <c r="C2224" i="14"/>
  <c r="E2224" i="14" s="1"/>
  <c r="B2224" i="14"/>
  <c r="A2225" i="14"/>
  <c r="B2225" i="14" l="1"/>
  <c r="D2225" i="14"/>
  <c r="C2225" i="14"/>
  <c r="E2225" i="14" s="1"/>
  <c r="A2226" i="14"/>
  <c r="D2226" i="14" l="1"/>
  <c r="C2226" i="14"/>
  <c r="E2226" i="14" s="1"/>
  <c r="B2226" i="14"/>
  <c r="A2227" i="14"/>
  <c r="B2227" i="14" l="1"/>
  <c r="D2227" i="14"/>
  <c r="C2227" i="14"/>
  <c r="E2227" i="14" s="1"/>
  <c r="A2228" i="14"/>
  <c r="C2228" i="14" l="1"/>
  <c r="E2228" i="14" s="1"/>
  <c r="D2228" i="14"/>
  <c r="B2228" i="14"/>
  <c r="A2229" i="14"/>
  <c r="D2229" i="14" l="1"/>
  <c r="C2229" i="14"/>
  <c r="E2229" i="14" s="1"/>
  <c r="B2229" i="14"/>
  <c r="A2230" i="14"/>
  <c r="C2230" i="14" l="1"/>
  <c r="E2230" i="14" s="1"/>
  <c r="D2230" i="14"/>
  <c r="B2230" i="14"/>
  <c r="A2231" i="14"/>
  <c r="D2231" i="14" l="1"/>
  <c r="C2231" i="14"/>
  <c r="E2231" i="14" s="1"/>
  <c r="B2231" i="14"/>
  <c r="A2232" i="14"/>
  <c r="D2232" i="14" l="1"/>
  <c r="C2232" i="14"/>
  <c r="E2232" i="14" s="1"/>
  <c r="B2232" i="14"/>
  <c r="A2233" i="14"/>
  <c r="B2233" i="14" l="1"/>
  <c r="D2233" i="14"/>
  <c r="C2233" i="14"/>
  <c r="E2233" i="14" s="1"/>
  <c r="A2234" i="14"/>
  <c r="D2234" i="14" l="1"/>
  <c r="C2234" i="14"/>
  <c r="E2234" i="14" s="1"/>
  <c r="B2234" i="14"/>
  <c r="A2235" i="14"/>
  <c r="B2235" i="14" l="1"/>
  <c r="D2235" i="14"/>
  <c r="C2235" i="14"/>
  <c r="E2235" i="14" s="1"/>
  <c r="A2236" i="14"/>
  <c r="C2236" i="14" l="1"/>
  <c r="E2236" i="14" s="1"/>
  <c r="D2236" i="14"/>
  <c r="B2236" i="14"/>
  <c r="A2237" i="14"/>
  <c r="D2237" i="14" l="1"/>
  <c r="C2237" i="14"/>
  <c r="E2237" i="14" s="1"/>
  <c r="B2237" i="14"/>
  <c r="A2238" i="14"/>
  <c r="C2238" i="14" l="1"/>
  <c r="E2238" i="14" s="1"/>
  <c r="B2238" i="14"/>
  <c r="D2238" i="14"/>
  <c r="A2239" i="14"/>
  <c r="D2239" i="14" l="1"/>
  <c r="C2239" i="14"/>
  <c r="E2239" i="14" s="1"/>
  <c r="B2239" i="14"/>
  <c r="A2240" i="14"/>
  <c r="C2240" i="14" l="1"/>
  <c r="E2240" i="14" s="1"/>
  <c r="B2240" i="14"/>
  <c r="D2240" i="14"/>
  <c r="A2241" i="14"/>
  <c r="B2241" i="14" l="1"/>
  <c r="D2241" i="14"/>
  <c r="C2241" i="14"/>
  <c r="E2241" i="14" s="1"/>
  <c r="A2242" i="14"/>
  <c r="C2242" i="14" l="1"/>
  <c r="E2242" i="14" s="1"/>
  <c r="B2242" i="14"/>
  <c r="D2242" i="14"/>
  <c r="A2243" i="14"/>
  <c r="B2243" i="14" l="1"/>
  <c r="D2243" i="14"/>
  <c r="C2243" i="14"/>
  <c r="E2243" i="14" s="1"/>
  <c r="A2244" i="14"/>
  <c r="C2244" i="14" l="1"/>
  <c r="E2244" i="14" s="1"/>
  <c r="D2244" i="14"/>
  <c r="B2244" i="14"/>
  <c r="A2245" i="14"/>
  <c r="D2245" i="14" l="1"/>
  <c r="C2245" i="14"/>
  <c r="E2245" i="14" s="1"/>
  <c r="B2245" i="14"/>
  <c r="A2246" i="14"/>
  <c r="C2246" i="14" l="1"/>
  <c r="E2246" i="14" s="1"/>
  <c r="D2246" i="14"/>
  <c r="B2246" i="14"/>
  <c r="A2247" i="14"/>
  <c r="D2247" i="14" l="1"/>
  <c r="C2247" i="14"/>
  <c r="E2247" i="14" s="1"/>
  <c r="B2247" i="14"/>
  <c r="A2248" i="14"/>
  <c r="D2248" i="14" l="1"/>
  <c r="C2248" i="14"/>
  <c r="E2248" i="14" s="1"/>
  <c r="B2248" i="14"/>
  <c r="A2249" i="14"/>
  <c r="B2249" i="14" l="1"/>
  <c r="D2249" i="14"/>
  <c r="C2249" i="14"/>
  <c r="E2249" i="14" s="1"/>
  <c r="A2250" i="14"/>
  <c r="D2250" i="14" l="1"/>
  <c r="C2250" i="14"/>
  <c r="E2250" i="14" s="1"/>
  <c r="B2250" i="14"/>
  <c r="A2251" i="14"/>
  <c r="B2251" i="14" l="1"/>
  <c r="D2251" i="14"/>
  <c r="C2251" i="14"/>
  <c r="E2251" i="14" s="1"/>
  <c r="A2252" i="14"/>
  <c r="C2252" i="14" l="1"/>
  <c r="E2252" i="14" s="1"/>
  <c r="D2252" i="14"/>
  <c r="B2252" i="14"/>
  <c r="A2253" i="14"/>
  <c r="B2253" i="14" l="1"/>
  <c r="D2253" i="14"/>
  <c r="C2253" i="14"/>
  <c r="E2253" i="14" s="1"/>
  <c r="A2254" i="14"/>
  <c r="C2254" i="14" l="1"/>
  <c r="E2254" i="14" s="1"/>
  <c r="D2254" i="14"/>
  <c r="B2254" i="14"/>
  <c r="A2255" i="14"/>
  <c r="D2255" i="14" l="1"/>
  <c r="B2255" i="14"/>
  <c r="C2255" i="14"/>
  <c r="E2255" i="14" s="1"/>
  <c r="A2256" i="14"/>
  <c r="D2256" i="14" l="1"/>
  <c r="C2256" i="14"/>
  <c r="E2256" i="14" s="1"/>
  <c r="B2256" i="14"/>
  <c r="A2257" i="14"/>
  <c r="B2257" i="14" l="1"/>
  <c r="D2257" i="14"/>
  <c r="C2257" i="14"/>
  <c r="E2257" i="14" s="1"/>
  <c r="A2258" i="14"/>
  <c r="D2258" i="14" l="1"/>
  <c r="C2258" i="14"/>
  <c r="E2258" i="14" s="1"/>
  <c r="B2258" i="14"/>
  <c r="A2259" i="14"/>
  <c r="B2259" i="14" l="1"/>
  <c r="D2259" i="14"/>
  <c r="C2259" i="14"/>
  <c r="E2259" i="14" s="1"/>
  <c r="A2260" i="14"/>
  <c r="C2260" i="14" l="1"/>
  <c r="E2260" i="14" s="1"/>
  <c r="D2260" i="14"/>
  <c r="B2260" i="14"/>
  <c r="A2261" i="14"/>
  <c r="D2261" i="14" l="1"/>
  <c r="C2261" i="14"/>
  <c r="E2261" i="14" s="1"/>
  <c r="B2261" i="14"/>
  <c r="A2262" i="14"/>
  <c r="C2262" i="14" l="1"/>
  <c r="E2262" i="14" s="1"/>
  <c r="D2262" i="14"/>
  <c r="B2262" i="14"/>
  <c r="A2263" i="14"/>
  <c r="D2263" i="14" l="1"/>
  <c r="C2263" i="14"/>
  <c r="E2263" i="14" s="1"/>
  <c r="B2263" i="14"/>
  <c r="A2264" i="14"/>
  <c r="D2264" i="14" l="1"/>
  <c r="C2264" i="14"/>
  <c r="E2264" i="14" s="1"/>
  <c r="B2264" i="14"/>
  <c r="A2265" i="14"/>
  <c r="B2265" i="14" l="1"/>
  <c r="D2265" i="14"/>
  <c r="C2265" i="14"/>
  <c r="E2265" i="14" s="1"/>
  <c r="A2266" i="14"/>
  <c r="D2266" i="14" l="1"/>
  <c r="C2266" i="14"/>
  <c r="E2266" i="14" s="1"/>
  <c r="B2266" i="14"/>
  <c r="A2267" i="14"/>
  <c r="B2267" i="14" l="1"/>
  <c r="D2267" i="14"/>
  <c r="C2267" i="14"/>
  <c r="E2267" i="14" s="1"/>
  <c r="A2268" i="14"/>
  <c r="C2268" i="14" l="1"/>
  <c r="E2268" i="14" s="1"/>
  <c r="B2268" i="14"/>
  <c r="D2268" i="14"/>
  <c r="A2269" i="14"/>
  <c r="D2269" i="14" l="1"/>
  <c r="C2269" i="14"/>
  <c r="E2269" i="14" s="1"/>
  <c r="B2269" i="14"/>
  <c r="A2270" i="14"/>
  <c r="C2270" i="14" l="1"/>
  <c r="E2270" i="14" s="1"/>
  <c r="D2270" i="14"/>
  <c r="B2270" i="14"/>
  <c r="A2271" i="14"/>
  <c r="D2271" i="14" l="1"/>
  <c r="C2271" i="14"/>
  <c r="E2271" i="14" s="1"/>
  <c r="B2271" i="14"/>
  <c r="A2272" i="14"/>
  <c r="D2272" i="14" l="1"/>
  <c r="C2272" i="14"/>
  <c r="E2272" i="14" s="1"/>
  <c r="B2272" i="14"/>
  <c r="A2273" i="14"/>
  <c r="B2273" i="14" l="1"/>
  <c r="D2273" i="14"/>
  <c r="C2273" i="14"/>
  <c r="E2273" i="14" s="1"/>
  <c r="A2274" i="14"/>
  <c r="D2274" i="14" l="1"/>
  <c r="C2274" i="14"/>
  <c r="E2274" i="14" s="1"/>
  <c r="B2274" i="14"/>
  <c r="A2275" i="14"/>
  <c r="B2275" i="14" l="1"/>
  <c r="D2275" i="14"/>
  <c r="C2275" i="14"/>
  <c r="E2275" i="14" s="1"/>
  <c r="A2276" i="14"/>
  <c r="C2276" i="14" l="1"/>
  <c r="E2276" i="14" s="1"/>
  <c r="B2276" i="14"/>
  <c r="D2276" i="14"/>
  <c r="A2277" i="14"/>
  <c r="D2277" i="14" l="1"/>
  <c r="C2277" i="14"/>
  <c r="E2277" i="14" s="1"/>
  <c r="B2277" i="14"/>
  <c r="A2278" i="14"/>
  <c r="C2278" i="14" l="1"/>
  <c r="E2278" i="14" s="1"/>
  <c r="D2278" i="14"/>
  <c r="B2278" i="14"/>
  <c r="A2279" i="14"/>
  <c r="D2279" i="14" l="1"/>
  <c r="C2279" i="14"/>
  <c r="E2279" i="14" s="1"/>
  <c r="B2279" i="14"/>
  <c r="A2280" i="14"/>
  <c r="D2280" i="14" l="1"/>
  <c r="C2280" i="14"/>
  <c r="E2280" i="14" s="1"/>
  <c r="B2280" i="14"/>
  <c r="A2281" i="14"/>
  <c r="C2281" i="14" l="1"/>
  <c r="E2281" i="14" s="1"/>
  <c r="B2281" i="14"/>
  <c r="D2281" i="14"/>
  <c r="A2282" i="14"/>
  <c r="D2282" i="14" l="1"/>
  <c r="C2282" i="14"/>
  <c r="E2282" i="14" s="1"/>
  <c r="B2282" i="14"/>
  <c r="A2283" i="14"/>
  <c r="B2283" i="14" l="1"/>
  <c r="D2283" i="14"/>
  <c r="C2283" i="14"/>
  <c r="E2283" i="14" s="1"/>
  <c r="A2284" i="14"/>
  <c r="D2284" i="14" l="1"/>
  <c r="C2284" i="14"/>
  <c r="E2284" i="14" s="1"/>
  <c r="B2284" i="14"/>
  <c r="A2285" i="14"/>
  <c r="D2285" i="14" l="1"/>
  <c r="C2285" i="14"/>
  <c r="E2285" i="14" s="1"/>
  <c r="B2285" i="14"/>
  <c r="A2286" i="14"/>
  <c r="B2286" i="14" l="1"/>
  <c r="C2286" i="14"/>
  <c r="E2286" i="14" s="1"/>
  <c r="D2286" i="14"/>
  <c r="A2287" i="14"/>
  <c r="D2287" i="14" l="1"/>
  <c r="C2287" i="14"/>
  <c r="E2287" i="14" s="1"/>
  <c r="B2287" i="14"/>
  <c r="A2288" i="14"/>
  <c r="D2288" i="14" l="1"/>
  <c r="C2288" i="14"/>
  <c r="E2288" i="14" s="1"/>
  <c r="B2288" i="14"/>
  <c r="A2289" i="14"/>
  <c r="C2289" i="14" l="1"/>
  <c r="E2289" i="14" s="1"/>
  <c r="B2289" i="14"/>
  <c r="D2289" i="14"/>
  <c r="A2290" i="14"/>
  <c r="D2290" i="14" l="1"/>
  <c r="C2290" i="14"/>
  <c r="E2290" i="14" s="1"/>
  <c r="B2290" i="14"/>
  <c r="A2291" i="14"/>
  <c r="B2291" i="14" l="1"/>
  <c r="D2291" i="14"/>
  <c r="C2291" i="14"/>
  <c r="E2291" i="14" s="1"/>
  <c r="A2292" i="14"/>
  <c r="D2292" i="14" l="1"/>
  <c r="C2292" i="14"/>
  <c r="E2292" i="14" s="1"/>
  <c r="B2292" i="14"/>
  <c r="A2293" i="14"/>
  <c r="D2293" i="14" l="1"/>
  <c r="C2293" i="14"/>
  <c r="E2293" i="14" s="1"/>
  <c r="B2293" i="14"/>
  <c r="A2294" i="14"/>
  <c r="B2294" i="14" l="1"/>
  <c r="C2294" i="14"/>
  <c r="E2294" i="14" s="1"/>
  <c r="D2294" i="14"/>
  <c r="A2295" i="14"/>
  <c r="D2295" i="14" l="1"/>
  <c r="C2295" i="14"/>
  <c r="E2295" i="14" s="1"/>
  <c r="B2295" i="14"/>
  <c r="A2296" i="14"/>
  <c r="D2296" i="14" l="1"/>
  <c r="C2296" i="14"/>
  <c r="E2296" i="14" s="1"/>
  <c r="B2296" i="14"/>
  <c r="A2297" i="14"/>
  <c r="C2297" i="14" l="1"/>
  <c r="E2297" i="14" s="1"/>
  <c r="B2297" i="14"/>
  <c r="D2297" i="14"/>
  <c r="A2298" i="14"/>
  <c r="D2298" i="14" l="1"/>
  <c r="C2298" i="14"/>
  <c r="E2298" i="14" s="1"/>
  <c r="B2298" i="14"/>
  <c r="A2299" i="14"/>
  <c r="B2299" i="14" l="1"/>
  <c r="D2299" i="14"/>
  <c r="C2299" i="14"/>
  <c r="E2299" i="14" s="1"/>
  <c r="A2300" i="14"/>
  <c r="D2300" i="14" l="1"/>
  <c r="C2300" i="14"/>
  <c r="E2300" i="14" s="1"/>
  <c r="B2300" i="14"/>
  <c r="A2301" i="14"/>
  <c r="D2301" i="14" l="1"/>
  <c r="C2301" i="14"/>
  <c r="E2301" i="14" s="1"/>
  <c r="B2301" i="14"/>
  <c r="A2302" i="14"/>
  <c r="B2302" i="14" l="1"/>
  <c r="C2302" i="14"/>
  <c r="E2302" i="14" s="1"/>
  <c r="D2302" i="14"/>
  <c r="A2303" i="14"/>
  <c r="D2303" i="14" l="1"/>
  <c r="C2303" i="14"/>
  <c r="E2303" i="14" s="1"/>
  <c r="B2303" i="14"/>
  <c r="A2304" i="14"/>
  <c r="D2304" i="14" l="1"/>
  <c r="C2304" i="14"/>
  <c r="E2304" i="14" s="1"/>
  <c r="B2304" i="14"/>
  <c r="A2305" i="14"/>
  <c r="C2305" i="14" l="1"/>
  <c r="E2305" i="14" s="1"/>
  <c r="B2305" i="14"/>
  <c r="D2305" i="14"/>
  <c r="A2306" i="14"/>
  <c r="D2306" i="14" l="1"/>
  <c r="C2306" i="14"/>
  <c r="E2306" i="14" s="1"/>
  <c r="B2306" i="14"/>
  <c r="A2307" i="14"/>
  <c r="B2307" i="14" l="1"/>
  <c r="D2307" i="14"/>
  <c r="C2307" i="14"/>
  <c r="E2307" i="14" s="1"/>
  <c r="A2308" i="14"/>
  <c r="D2308" i="14" l="1"/>
  <c r="C2308" i="14"/>
  <c r="E2308" i="14" s="1"/>
  <c r="B2308" i="14"/>
  <c r="A2309" i="14"/>
  <c r="D2309" i="14" l="1"/>
  <c r="C2309" i="14"/>
  <c r="E2309" i="14" s="1"/>
  <c r="B2309" i="14"/>
  <c r="A2310" i="14"/>
  <c r="B2310" i="14" l="1"/>
  <c r="C2310" i="14"/>
  <c r="E2310" i="14" s="1"/>
  <c r="D2310" i="14"/>
  <c r="A2311" i="14"/>
  <c r="D2311" i="14" l="1"/>
  <c r="C2311" i="14"/>
  <c r="E2311" i="14" s="1"/>
  <c r="B2311" i="14"/>
  <c r="A2312" i="14"/>
  <c r="D2312" i="14" l="1"/>
  <c r="C2312" i="14"/>
  <c r="E2312" i="14" s="1"/>
  <c r="B2312" i="14"/>
  <c r="A2313" i="14"/>
  <c r="C2313" i="14" l="1"/>
  <c r="E2313" i="14" s="1"/>
  <c r="B2313" i="14"/>
  <c r="D2313" i="14"/>
  <c r="A2314" i="14"/>
  <c r="D2314" i="14" l="1"/>
  <c r="C2314" i="14"/>
  <c r="E2314" i="14" s="1"/>
  <c r="B2314" i="14"/>
  <c r="A2315" i="14"/>
  <c r="B2315" i="14" l="1"/>
  <c r="D2315" i="14"/>
  <c r="C2315" i="14"/>
  <c r="E2315" i="14" s="1"/>
  <c r="A2316" i="14"/>
  <c r="D2316" i="14" l="1"/>
  <c r="C2316" i="14"/>
  <c r="E2316" i="14" s="1"/>
  <c r="B2316" i="14"/>
  <c r="A2317" i="14"/>
  <c r="D2317" i="14" l="1"/>
  <c r="C2317" i="14"/>
  <c r="E2317" i="14" s="1"/>
  <c r="B2317" i="14"/>
  <c r="A2318" i="14"/>
  <c r="B2318" i="14" l="1"/>
  <c r="C2318" i="14"/>
  <c r="E2318" i="14" s="1"/>
  <c r="D2318" i="14"/>
  <c r="A2319" i="14"/>
  <c r="D2319" i="14" l="1"/>
  <c r="C2319" i="14"/>
  <c r="E2319" i="14" s="1"/>
  <c r="B2319" i="14"/>
  <c r="A2320" i="14"/>
  <c r="D2320" i="14" l="1"/>
  <c r="C2320" i="14"/>
  <c r="E2320" i="14" s="1"/>
  <c r="B2320" i="14"/>
  <c r="A2321" i="14"/>
  <c r="C2321" i="14" l="1"/>
  <c r="E2321" i="14" s="1"/>
  <c r="B2321" i="14"/>
  <c r="D2321" i="14"/>
  <c r="A2322" i="14"/>
  <c r="D2322" i="14" l="1"/>
  <c r="C2322" i="14"/>
  <c r="E2322" i="14" s="1"/>
  <c r="B2322" i="14"/>
  <c r="A2323" i="14"/>
  <c r="B2323" i="14" l="1"/>
  <c r="D2323" i="14"/>
  <c r="C2323" i="14"/>
  <c r="E2323" i="14" s="1"/>
  <c r="A2324" i="14"/>
  <c r="D2324" i="14" l="1"/>
  <c r="C2324" i="14"/>
  <c r="E2324" i="14" s="1"/>
  <c r="B2324" i="14"/>
  <c r="A2325" i="14"/>
  <c r="D2325" i="14" l="1"/>
  <c r="C2325" i="14"/>
  <c r="E2325" i="14" s="1"/>
  <c r="B2325" i="14"/>
  <c r="A2326" i="14"/>
  <c r="B2326" i="14" l="1"/>
  <c r="C2326" i="14"/>
  <c r="E2326" i="14" s="1"/>
  <c r="D2326" i="14"/>
  <c r="A2327" i="14"/>
  <c r="D2327" i="14" l="1"/>
  <c r="C2327" i="14"/>
  <c r="E2327" i="14" s="1"/>
  <c r="B2327" i="14"/>
  <c r="A2328" i="14"/>
  <c r="D2328" i="14" l="1"/>
  <c r="C2328" i="14"/>
  <c r="E2328" i="14" s="1"/>
  <c r="B2328" i="14"/>
  <c r="A2329" i="14"/>
  <c r="C2329" i="14" l="1"/>
  <c r="E2329" i="14" s="1"/>
  <c r="B2329" i="14"/>
  <c r="D2329" i="14"/>
  <c r="A2330" i="14"/>
  <c r="D2330" i="14" l="1"/>
  <c r="C2330" i="14"/>
  <c r="E2330" i="14" s="1"/>
  <c r="B2330" i="14"/>
  <c r="A2331" i="14"/>
  <c r="B2331" i="14" l="1"/>
  <c r="D2331" i="14"/>
  <c r="C2331" i="14"/>
  <c r="E2331" i="14" s="1"/>
  <c r="A2332" i="14"/>
  <c r="D2332" i="14" l="1"/>
  <c r="C2332" i="14"/>
  <c r="E2332" i="14" s="1"/>
  <c r="B2332" i="14"/>
  <c r="A2333" i="14"/>
  <c r="D2333" i="14" l="1"/>
  <c r="C2333" i="14"/>
  <c r="E2333" i="14" s="1"/>
  <c r="B2333" i="14"/>
  <c r="A2334" i="14"/>
  <c r="B2334" i="14" l="1"/>
  <c r="C2334" i="14"/>
  <c r="E2334" i="14" s="1"/>
  <c r="D2334" i="14"/>
  <c r="A2335" i="14"/>
  <c r="D2335" i="14" l="1"/>
  <c r="C2335" i="14"/>
  <c r="E2335" i="14" s="1"/>
  <c r="B2335" i="14"/>
  <c r="A2336" i="14"/>
  <c r="D2336" i="14" l="1"/>
  <c r="C2336" i="14"/>
  <c r="E2336" i="14" s="1"/>
  <c r="B2336" i="14"/>
  <c r="A2337" i="14"/>
  <c r="C2337" i="14" l="1"/>
  <c r="E2337" i="14" s="1"/>
  <c r="B2337" i="14"/>
  <c r="D2337" i="14"/>
  <c r="A2338" i="14"/>
  <c r="D2338" i="14" l="1"/>
  <c r="C2338" i="14"/>
  <c r="E2338" i="14" s="1"/>
  <c r="B2338" i="14"/>
  <c r="A2339" i="14"/>
  <c r="B2339" i="14" l="1"/>
  <c r="D2339" i="14"/>
  <c r="C2339" i="14"/>
  <c r="E2339" i="14" s="1"/>
  <c r="A2340" i="14"/>
  <c r="D2340" i="14" l="1"/>
  <c r="C2340" i="14"/>
  <c r="E2340" i="14" s="1"/>
  <c r="B2340" i="14"/>
  <c r="A2341" i="14"/>
  <c r="D2341" i="14" l="1"/>
  <c r="C2341" i="14"/>
  <c r="E2341" i="14" s="1"/>
  <c r="B2341" i="14"/>
  <c r="A2342" i="14"/>
  <c r="B2342" i="14" l="1"/>
  <c r="C2342" i="14"/>
  <c r="E2342" i="14" s="1"/>
  <c r="D2342" i="14"/>
  <c r="A2343" i="14"/>
  <c r="D2343" i="14" l="1"/>
  <c r="C2343" i="14"/>
  <c r="E2343" i="14" s="1"/>
  <c r="B2343" i="14"/>
  <c r="A2344" i="14"/>
  <c r="D2344" i="14" l="1"/>
  <c r="C2344" i="14"/>
  <c r="E2344" i="14" s="1"/>
  <c r="B2344" i="14"/>
  <c r="A2345" i="14"/>
  <c r="C2345" i="14" l="1"/>
  <c r="E2345" i="14" s="1"/>
  <c r="B2345" i="14"/>
  <c r="D2345" i="14"/>
  <c r="A2346" i="14"/>
  <c r="D2346" i="14" l="1"/>
  <c r="C2346" i="14"/>
  <c r="E2346" i="14" s="1"/>
  <c r="B2346" i="14"/>
  <c r="A2347" i="14"/>
  <c r="D2347" i="14" l="1"/>
  <c r="B2347" i="14"/>
  <c r="C2347" i="14"/>
  <c r="E2347" i="14" s="1"/>
  <c r="A2348" i="14"/>
  <c r="D2348" i="14" l="1"/>
  <c r="C2348" i="14"/>
  <c r="E2348" i="14" s="1"/>
  <c r="B2348" i="14"/>
  <c r="A2349" i="14"/>
  <c r="D2349" i="14" l="1"/>
  <c r="C2349" i="14"/>
  <c r="E2349" i="14" s="1"/>
  <c r="B2349" i="14"/>
  <c r="A2350" i="14"/>
  <c r="B2350" i="14" l="1"/>
  <c r="C2350" i="14"/>
  <c r="E2350" i="14" s="1"/>
  <c r="D2350" i="14"/>
  <c r="A2351" i="14"/>
  <c r="D2351" i="14" l="1"/>
  <c r="C2351" i="14"/>
  <c r="E2351" i="14" s="1"/>
  <c r="B2351" i="14"/>
  <c r="A2352" i="14"/>
  <c r="D2352" i="14" l="1"/>
  <c r="C2352" i="14"/>
  <c r="E2352" i="14" s="1"/>
  <c r="B2352" i="14"/>
  <c r="A2353" i="14"/>
  <c r="C2353" i="14" l="1"/>
  <c r="E2353" i="14" s="1"/>
  <c r="B2353" i="14"/>
  <c r="D2353" i="14"/>
  <c r="A2354" i="14"/>
  <c r="D2354" i="14" l="1"/>
  <c r="C2354" i="14"/>
  <c r="E2354" i="14" s="1"/>
  <c r="B2354" i="14"/>
  <c r="A2355" i="14"/>
  <c r="D2355" i="14" l="1"/>
  <c r="B2355" i="14"/>
  <c r="C2355" i="14"/>
  <c r="E2355" i="14" s="1"/>
  <c r="A2356" i="14"/>
  <c r="D2356" i="14" l="1"/>
  <c r="C2356" i="14"/>
  <c r="E2356" i="14" s="1"/>
  <c r="B2356" i="14"/>
  <c r="A2357" i="14"/>
  <c r="D2357" i="14" l="1"/>
  <c r="C2357" i="14"/>
  <c r="E2357" i="14" s="1"/>
  <c r="B2357" i="14"/>
  <c r="A2358" i="14"/>
  <c r="B2358" i="14" l="1"/>
  <c r="C2358" i="14"/>
  <c r="E2358" i="14" s="1"/>
  <c r="D2358" i="14"/>
  <c r="A2359" i="14"/>
  <c r="D2359" i="14" l="1"/>
  <c r="C2359" i="14"/>
  <c r="E2359" i="14" s="1"/>
  <c r="B2359" i="14"/>
  <c r="A2360" i="14"/>
  <c r="D2360" i="14" l="1"/>
  <c r="C2360" i="14"/>
  <c r="E2360" i="14" s="1"/>
  <c r="B2360" i="14"/>
  <c r="A2361" i="14"/>
  <c r="C2361" i="14" l="1"/>
  <c r="E2361" i="14" s="1"/>
  <c r="B2361" i="14"/>
  <c r="D2361" i="14"/>
  <c r="A2362" i="14"/>
  <c r="D2362" i="14" l="1"/>
  <c r="C2362" i="14"/>
  <c r="E2362" i="14" s="1"/>
  <c r="B2362" i="14"/>
  <c r="A2363" i="14"/>
  <c r="D2363" i="14" l="1"/>
  <c r="B2363" i="14"/>
  <c r="C2363" i="14"/>
  <c r="E2363" i="14" s="1"/>
  <c r="A2364" i="14"/>
  <c r="D2364" i="14" l="1"/>
  <c r="C2364" i="14"/>
  <c r="E2364" i="14" s="1"/>
  <c r="B2364" i="14"/>
  <c r="A2365" i="14"/>
  <c r="D2365" i="14" l="1"/>
  <c r="C2365" i="14"/>
  <c r="E2365" i="14" s="1"/>
  <c r="B2365" i="14"/>
  <c r="A2366" i="14"/>
  <c r="B2366" i="14" l="1"/>
  <c r="C2366" i="14"/>
  <c r="E2366" i="14" s="1"/>
  <c r="D2366" i="14"/>
  <c r="A2367" i="14"/>
  <c r="D2367" i="14" l="1"/>
  <c r="C2367" i="14"/>
  <c r="E2367" i="14" s="1"/>
  <c r="B2367" i="14"/>
  <c r="A2368" i="14"/>
  <c r="D2368" i="14" l="1"/>
  <c r="C2368" i="14"/>
  <c r="E2368" i="14" s="1"/>
  <c r="B2368" i="14"/>
  <c r="A2369" i="14"/>
  <c r="C2369" i="14" l="1"/>
  <c r="E2369" i="14" s="1"/>
  <c r="B2369" i="14"/>
  <c r="D2369" i="14"/>
  <c r="A2370" i="14"/>
  <c r="D2370" i="14" l="1"/>
  <c r="C2370" i="14"/>
  <c r="E2370" i="14" s="1"/>
  <c r="B2370" i="14"/>
  <c r="A2371" i="14"/>
  <c r="D2371" i="14" l="1"/>
  <c r="B2371" i="14"/>
  <c r="C2371" i="14"/>
  <c r="E2371" i="14" s="1"/>
  <c r="A2372" i="14"/>
  <c r="D2372" i="14" l="1"/>
  <c r="C2372" i="14"/>
  <c r="E2372" i="14" s="1"/>
  <c r="B2372" i="14"/>
  <c r="A2373" i="14"/>
  <c r="D2373" i="14" l="1"/>
  <c r="C2373" i="14"/>
  <c r="E2373" i="14" s="1"/>
  <c r="B2373" i="14"/>
  <c r="A2374" i="14"/>
  <c r="B2374" i="14" l="1"/>
  <c r="C2374" i="14"/>
  <c r="E2374" i="14" s="1"/>
  <c r="D2374" i="14"/>
  <c r="A2375" i="14"/>
  <c r="D2375" i="14" l="1"/>
  <c r="C2375" i="14"/>
  <c r="E2375" i="14" s="1"/>
  <c r="B2375" i="14"/>
  <c r="A2376" i="14"/>
  <c r="D2376" i="14" l="1"/>
  <c r="C2376" i="14"/>
  <c r="E2376" i="14" s="1"/>
  <c r="B2376" i="14"/>
  <c r="A2377" i="14"/>
  <c r="C2377" i="14" l="1"/>
  <c r="E2377" i="14" s="1"/>
  <c r="B2377" i="14"/>
  <c r="D2377" i="14"/>
  <c r="A2378" i="14"/>
  <c r="D2378" i="14" l="1"/>
  <c r="C2378" i="14"/>
  <c r="E2378" i="14" s="1"/>
  <c r="B2378" i="14"/>
  <c r="A2379" i="14"/>
  <c r="D2379" i="14" l="1"/>
  <c r="B2379" i="14"/>
  <c r="C2379" i="14"/>
  <c r="E2379" i="14" s="1"/>
  <c r="A2380" i="14"/>
  <c r="D2380" i="14" l="1"/>
  <c r="C2380" i="14"/>
  <c r="E2380" i="14" s="1"/>
  <c r="B2380" i="14"/>
  <c r="A2381" i="14"/>
  <c r="D2381" i="14" l="1"/>
  <c r="C2381" i="14"/>
  <c r="E2381" i="14" s="1"/>
  <c r="B2381" i="14"/>
  <c r="A2382" i="14"/>
  <c r="B2382" i="14" l="1"/>
  <c r="C2382" i="14"/>
  <c r="E2382" i="14" s="1"/>
  <c r="D2382" i="14"/>
  <c r="A2383" i="14"/>
  <c r="D2383" i="14" l="1"/>
  <c r="C2383" i="14"/>
  <c r="E2383" i="14" s="1"/>
  <c r="B2383" i="14"/>
  <c r="A2384" i="14"/>
  <c r="D2384" i="14" l="1"/>
  <c r="C2384" i="14"/>
  <c r="E2384" i="14" s="1"/>
  <c r="B2384" i="14"/>
  <c r="A2385" i="14"/>
  <c r="C2385" i="14" l="1"/>
  <c r="E2385" i="14" s="1"/>
  <c r="B2385" i="14"/>
  <c r="D2385" i="14"/>
  <c r="A2386" i="14"/>
  <c r="D2386" i="14" l="1"/>
  <c r="C2386" i="14"/>
  <c r="E2386" i="14" s="1"/>
  <c r="B2386" i="14"/>
  <c r="A2387" i="14"/>
  <c r="D2387" i="14" l="1"/>
  <c r="B2387" i="14"/>
  <c r="C2387" i="14"/>
  <c r="E2387" i="14" s="1"/>
  <c r="A2388" i="14"/>
  <c r="D2388" i="14" l="1"/>
  <c r="C2388" i="14"/>
  <c r="E2388" i="14" s="1"/>
  <c r="B2388" i="14"/>
  <c r="A2389" i="14"/>
  <c r="D2389" i="14" l="1"/>
  <c r="C2389" i="14"/>
  <c r="E2389" i="14" s="1"/>
  <c r="B2389" i="14"/>
  <c r="A2390" i="14"/>
  <c r="B2390" i="14" l="1"/>
  <c r="C2390" i="14"/>
  <c r="E2390" i="14" s="1"/>
  <c r="D2390" i="14"/>
  <c r="A2391" i="14"/>
  <c r="D2391" i="14" l="1"/>
  <c r="C2391" i="14"/>
  <c r="E2391" i="14" s="1"/>
  <c r="B2391" i="14"/>
  <c r="A2392" i="14"/>
  <c r="D2392" i="14" l="1"/>
  <c r="C2392" i="14"/>
  <c r="E2392" i="14" s="1"/>
  <c r="B2392" i="14"/>
  <c r="A2393" i="14"/>
  <c r="C2393" i="14" l="1"/>
  <c r="E2393" i="14" s="1"/>
  <c r="B2393" i="14"/>
  <c r="D2393" i="14"/>
  <c r="A2394" i="14"/>
  <c r="D2394" i="14" l="1"/>
  <c r="C2394" i="14"/>
  <c r="E2394" i="14" s="1"/>
  <c r="B2394" i="14"/>
  <c r="A2395" i="14"/>
  <c r="D2395" i="14" l="1"/>
  <c r="B2395" i="14"/>
  <c r="C2395" i="14"/>
  <c r="E2395" i="14" s="1"/>
  <c r="A2396" i="14"/>
  <c r="D2396" i="14" l="1"/>
  <c r="C2396" i="14"/>
  <c r="E2396" i="14" s="1"/>
  <c r="B2396" i="14"/>
  <c r="A2397" i="14"/>
  <c r="D2397" i="14" l="1"/>
  <c r="C2397" i="14"/>
  <c r="E2397" i="14" s="1"/>
  <c r="B2397" i="14"/>
  <c r="A2398" i="14"/>
  <c r="B2398" i="14" l="1"/>
  <c r="C2398" i="14"/>
  <c r="E2398" i="14" s="1"/>
  <c r="D2398" i="14"/>
  <c r="A2399" i="14"/>
  <c r="D2399" i="14" l="1"/>
  <c r="C2399" i="14"/>
  <c r="E2399" i="14" s="1"/>
  <c r="B2399" i="14"/>
  <c r="A2400" i="14"/>
  <c r="D2400" i="14" l="1"/>
  <c r="C2400" i="14"/>
  <c r="E2400" i="14" s="1"/>
  <c r="B2400" i="14"/>
  <c r="A2401" i="14"/>
  <c r="C2401" i="14" l="1"/>
  <c r="E2401" i="14" s="1"/>
  <c r="B2401" i="14"/>
  <c r="D2401" i="14"/>
  <c r="A2402" i="14"/>
  <c r="D2402" i="14" l="1"/>
  <c r="C2402" i="14"/>
  <c r="E2402" i="14" s="1"/>
  <c r="B2402" i="14"/>
  <c r="A2403" i="14"/>
  <c r="D2403" i="14" l="1"/>
  <c r="B2403" i="14"/>
  <c r="C2403" i="14"/>
  <c r="E2403" i="14" s="1"/>
  <c r="A2404" i="14"/>
  <c r="D2404" i="14" l="1"/>
  <c r="C2404" i="14"/>
  <c r="E2404" i="14" s="1"/>
  <c r="B2404" i="14"/>
  <c r="A2405" i="14"/>
  <c r="D2405" i="14" l="1"/>
  <c r="C2405" i="14"/>
  <c r="E2405" i="14" s="1"/>
  <c r="B2405" i="14"/>
  <c r="A2406" i="14"/>
  <c r="B2406" i="14" l="1"/>
  <c r="C2406" i="14"/>
  <c r="E2406" i="14" s="1"/>
  <c r="D2406" i="14"/>
  <c r="A2407" i="14"/>
  <c r="D2407" i="14" l="1"/>
  <c r="C2407" i="14"/>
  <c r="E2407" i="14" s="1"/>
  <c r="B2407" i="14"/>
  <c r="A2408" i="14"/>
  <c r="D2408" i="14" l="1"/>
  <c r="C2408" i="14"/>
  <c r="E2408" i="14" s="1"/>
  <c r="B2408" i="14"/>
  <c r="A2409" i="14"/>
  <c r="C2409" i="14" l="1"/>
  <c r="E2409" i="14" s="1"/>
  <c r="B2409" i="14"/>
  <c r="D2409" i="14"/>
  <c r="A2410" i="14"/>
  <c r="D2410" i="14" l="1"/>
  <c r="C2410" i="14"/>
  <c r="E2410" i="14" s="1"/>
  <c r="B2410" i="14"/>
  <c r="A2411" i="14"/>
  <c r="D2411" i="14" l="1"/>
  <c r="B2411" i="14"/>
  <c r="C2411" i="14"/>
  <c r="E2411" i="14" s="1"/>
  <c r="A2412" i="14"/>
  <c r="D2412" i="14" l="1"/>
  <c r="C2412" i="14"/>
  <c r="E2412" i="14" s="1"/>
  <c r="B2412" i="14"/>
  <c r="A2413" i="14"/>
  <c r="D2413" i="14" l="1"/>
  <c r="C2413" i="14"/>
  <c r="E2413" i="14" s="1"/>
  <c r="B2413" i="14"/>
  <c r="A2414" i="14"/>
  <c r="B2414" i="14" l="1"/>
  <c r="C2414" i="14"/>
  <c r="E2414" i="14" s="1"/>
  <c r="D2414" i="14"/>
  <c r="A2415" i="14"/>
  <c r="D2415" i="14" l="1"/>
  <c r="C2415" i="14"/>
  <c r="E2415" i="14" s="1"/>
  <c r="B2415" i="14"/>
  <c r="A2416" i="14"/>
  <c r="D2416" i="14" l="1"/>
  <c r="C2416" i="14"/>
  <c r="E2416" i="14" s="1"/>
  <c r="B2416" i="14"/>
  <c r="A2417" i="14"/>
  <c r="C2417" i="14" l="1"/>
  <c r="E2417" i="14" s="1"/>
  <c r="B2417" i="14"/>
  <c r="D2417" i="14"/>
  <c r="A2418" i="14"/>
  <c r="D2418" i="14" l="1"/>
  <c r="C2418" i="14"/>
  <c r="E2418" i="14" s="1"/>
  <c r="B2418" i="14"/>
  <c r="A2419" i="14"/>
  <c r="D2419" i="14" l="1"/>
  <c r="B2419" i="14"/>
  <c r="C2419" i="14"/>
  <c r="E2419" i="14" s="1"/>
  <c r="A2420" i="14"/>
  <c r="D2420" i="14" l="1"/>
  <c r="C2420" i="14"/>
  <c r="E2420" i="14" s="1"/>
  <c r="B2420" i="14"/>
  <c r="A2421" i="14"/>
  <c r="D2421" i="14" l="1"/>
  <c r="C2421" i="14"/>
  <c r="E2421" i="14" s="1"/>
  <c r="B2421" i="14"/>
  <c r="A2422" i="14"/>
  <c r="B2422" i="14" l="1"/>
  <c r="C2422" i="14"/>
  <c r="E2422" i="14" s="1"/>
  <c r="D2422" i="14"/>
  <c r="A2423" i="14"/>
  <c r="D2423" i="14" l="1"/>
  <c r="C2423" i="14"/>
  <c r="E2423" i="14" s="1"/>
  <c r="B2423" i="14"/>
  <c r="A2424" i="14"/>
  <c r="D2424" i="14" l="1"/>
  <c r="C2424" i="14"/>
  <c r="E2424" i="14" s="1"/>
  <c r="B2424" i="14"/>
  <c r="A2425" i="14"/>
  <c r="C2425" i="14" l="1"/>
  <c r="E2425" i="14" s="1"/>
  <c r="B2425" i="14"/>
  <c r="D2425" i="14"/>
  <c r="A2426" i="14"/>
  <c r="D2426" i="14" l="1"/>
  <c r="C2426" i="14"/>
  <c r="E2426" i="14" s="1"/>
  <c r="B2426" i="14"/>
  <c r="A2427" i="14"/>
  <c r="D2427" i="14" l="1"/>
  <c r="B2427" i="14"/>
  <c r="C2427" i="14"/>
  <c r="E2427" i="14" s="1"/>
  <c r="A2428" i="14"/>
  <c r="D2428" i="14" l="1"/>
  <c r="C2428" i="14"/>
  <c r="E2428" i="14" s="1"/>
  <c r="B2428" i="14"/>
  <c r="A2429" i="14"/>
  <c r="D2429" i="14" l="1"/>
  <c r="C2429" i="14"/>
  <c r="E2429" i="14" s="1"/>
  <c r="B2429" i="14"/>
  <c r="A2430" i="14"/>
  <c r="B2430" i="14" l="1"/>
  <c r="C2430" i="14"/>
  <c r="E2430" i="14" s="1"/>
  <c r="D2430" i="14"/>
  <c r="A2431" i="14"/>
  <c r="D2431" i="14" l="1"/>
  <c r="C2431" i="14"/>
  <c r="E2431" i="14" s="1"/>
  <c r="B2431" i="14"/>
  <c r="A2432" i="14"/>
  <c r="D2432" i="14" l="1"/>
  <c r="C2432" i="14"/>
  <c r="E2432" i="14" s="1"/>
  <c r="B2432" i="14"/>
  <c r="A2433" i="14"/>
  <c r="C2433" i="14" l="1"/>
  <c r="E2433" i="14" s="1"/>
  <c r="B2433" i="14"/>
  <c r="D2433" i="14"/>
  <c r="A2434" i="14"/>
  <c r="D2434" i="14" l="1"/>
  <c r="C2434" i="14"/>
  <c r="E2434" i="14" s="1"/>
  <c r="B2434" i="14"/>
  <c r="A2435" i="14"/>
  <c r="D2435" i="14" l="1"/>
  <c r="B2435" i="14"/>
  <c r="C2435" i="14"/>
  <c r="E2435" i="14" s="1"/>
  <c r="A2436" i="14"/>
  <c r="D2436" i="14" l="1"/>
  <c r="C2436" i="14"/>
  <c r="E2436" i="14" s="1"/>
  <c r="B2436" i="14"/>
  <c r="A2437" i="14"/>
  <c r="D2437" i="14" l="1"/>
  <c r="C2437" i="14"/>
  <c r="E2437" i="14" s="1"/>
  <c r="B2437" i="14"/>
  <c r="A2438" i="14"/>
  <c r="B2438" i="14" l="1"/>
  <c r="C2438" i="14"/>
  <c r="E2438" i="14" s="1"/>
  <c r="D2438" i="14"/>
  <c r="A2439" i="14"/>
  <c r="D2439" i="14" l="1"/>
  <c r="C2439" i="14"/>
  <c r="E2439" i="14" s="1"/>
  <c r="B2439" i="14"/>
  <c r="A2440" i="14"/>
  <c r="D2440" i="14" l="1"/>
  <c r="C2440" i="14"/>
  <c r="E2440" i="14" s="1"/>
  <c r="B2440" i="14"/>
  <c r="A2441" i="14"/>
  <c r="C2441" i="14" l="1"/>
  <c r="E2441" i="14" s="1"/>
  <c r="B2441" i="14"/>
  <c r="D2441" i="14"/>
  <c r="A2442" i="14"/>
  <c r="D2442" i="14" l="1"/>
  <c r="C2442" i="14"/>
  <c r="E2442" i="14" s="1"/>
  <c r="B2442" i="14"/>
  <c r="A2443" i="14"/>
  <c r="D2443" i="14" l="1"/>
  <c r="B2443" i="14"/>
  <c r="C2443" i="14"/>
  <c r="E2443" i="14" s="1"/>
  <c r="A2444" i="14"/>
  <c r="D2444" i="14" l="1"/>
  <c r="C2444" i="14"/>
  <c r="E2444" i="14" s="1"/>
  <c r="B2444" i="14"/>
  <c r="A2445" i="14"/>
  <c r="D2445" i="14" l="1"/>
  <c r="C2445" i="14"/>
  <c r="E2445" i="14" s="1"/>
  <c r="B2445" i="14"/>
  <c r="A2446" i="14"/>
  <c r="B2446" i="14" l="1"/>
  <c r="C2446" i="14"/>
  <c r="E2446" i="14" s="1"/>
  <c r="D2446" i="14"/>
  <c r="A2447" i="14"/>
  <c r="D2447" i="14" l="1"/>
  <c r="C2447" i="14"/>
  <c r="E2447" i="14" s="1"/>
  <c r="B2447" i="14"/>
  <c r="A2448" i="14"/>
  <c r="D2448" i="14" l="1"/>
  <c r="C2448" i="14"/>
  <c r="E2448" i="14" s="1"/>
  <c r="B2448" i="14"/>
  <c r="A2449" i="14"/>
  <c r="C2449" i="14" l="1"/>
  <c r="E2449" i="14" s="1"/>
  <c r="B2449" i="14"/>
  <c r="D2449" i="14"/>
  <c r="A2450" i="14"/>
  <c r="D2450" i="14" l="1"/>
  <c r="C2450" i="14"/>
  <c r="E2450" i="14" s="1"/>
  <c r="B2450" i="14"/>
  <c r="A2451" i="14"/>
  <c r="D2451" i="14" l="1"/>
  <c r="B2451" i="14"/>
  <c r="C2451" i="14"/>
  <c r="E2451" i="14" s="1"/>
  <c r="A2452" i="14"/>
  <c r="D2452" i="14" l="1"/>
  <c r="C2452" i="14"/>
  <c r="E2452" i="14" s="1"/>
  <c r="B2452" i="14"/>
  <c r="A2453" i="14"/>
  <c r="D2453" i="14" l="1"/>
  <c r="C2453" i="14"/>
  <c r="E2453" i="14" s="1"/>
  <c r="B2453" i="14"/>
  <c r="A2454" i="14"/>
  <c r="B2454" i="14" l="1"/>
  <c r="C2454" i="14"/>
  <c r="E2454" i="14" s="1"/>
  <c r="D2454" i="14"/>
  <c r="A2455" i="14"/>
  <c r="D2455" i="14" l="1"/>
  <c r="C2455" i="14"/>
  <c r="E2455" i="14" s="1"/>
  <c r="B2455" i="14"/>
  <c r="A2456" i="14"/>
  <c r="D2456" i="14" l="1"/>
  <c r="C2456" i="14"/>
  <c r="E2456" i="14" s="1"/>
  <c r="B2456" i="14"/>
  <c r="A2457" i="14"/>
  <c r="C2457" i="14" l="1"/>
  <c r="E2457" i="14" s="1"/>
  <c r="B2457" i="14"/>
  <c r="D2457" i="14"/>
  <c r="A2458" i="14"/>
  <c r="D2458" i="14" l="1"/>
  <c r="C2458" i="14"/>
  <c r="E2458" i="14" s="1"/>
  <c r="B2458" i="14"/>
  <c r="A2459" i="14"/>
  <c r="D2459" i="14" l="1"/>
  <c r="B2459" i="14"/>
  <c r="C2459" i="14"/>
  <c r="E2459" i="14" s="1"/>
  <c r="A2460" i="14"/>
  <c r="D2460" i="14" l="1"/>
  <c r="C2460" i="14"/>
  <c r="E2460" i="14" s="1"/>
  <c r="B2460" i="14"/>
  <c r="A2461" i="14"/>
  <c r="D2461" i="14" l="1"/>
  <c r="C2461" i="14"/>
  <c r="E2461" i="14" s="1"/>
  <c r="B2461" i="14"/>
  <c r="A2462" i="14"/>
  <c r="B2462" i="14" l="1"/>
  <c r="C2462" i="14"/>
  <c r="E2462" i="14" s="1"/>
  <c r="D2462" i="14"/>
  <c r="A2463" i="14"/>
  <c r="D2463" i="14" l="1"/>
  <c r="C2463" i="14"/>
  <c r="E2463" i="14" s="1"/>
  <c r="B2463" i="14"/>
  <c r="A2464" i="14"/>
  <c r="D2464" i="14" l="1"/>
  <c r="C2464" i="14"/>
  <c r="E2464" i="14" s="1"/>
  <c r="B2464" i="14"/>
  <c r="A2465" i="14"/>
  <c r="C2465" i="14" l="1"/>
  <c r="E2465" i="14" s="1"/>
  <c r="B2465" i="14"/>
  <c r="D2465" i="14"/>
  <c r="A2466" i="14"/>
  <c r="D2466" i="14" l="1"/>
  <c r="C2466" i="14"/>
  <c r="E2466" i="14" s="1"/>
  <c r="B2466" i="14"/>
  <c r="A2467" i="14"/>
  <c r="D2467" i="14" l="1"/>
  <c r="B2467" i="14"/>
  <c r="C2467" i="14"/>
  <c r="E2467" i="14" s="1"/>
  <c r="A2468" i="14"/>
  <c r="D2468" i="14" l="1"/>
  <c r="C2468" i="14"/>
  <c r="E2468" i="14" s="1"/>
  <c r="B2468" i="14"/>
  <c r="A2469" i="14"/>
  <c r="D2469" i="14" l="1"/>
  <c r="C2469" i="14"/>
  <c r="E2469" i="14" s="1"/>
  <c r="B2469" i="14"/>
  <c r="A2470" i="14"/>
  <c r="B2470" i="14" l="1"/>
  <c r="C2470" i="14"/>
  <c r="E2470" i="14" s="1"/>
  <c r="D2470" i="14"/>
  <c r="A2471" i="14"/>
  <c r="D2471" i="14" l="1"/>
  <c r="C2471" i="14"/>
  <c r="E2471" i="14" s="1"/>
  <c r="B2471" i="14"/>
  <c r="A2472" i="14"/>
  <c r="D2472" i="14" l="1"/>
  <c r="C2472" i="14"/>
  <c r="E2472" i="14" s="1"/>
  <c r="B2472" i="14"/>
  <c r="A2473" i="14"/>
  <c r="C2473" i="14" l="1"/>
  <c r="E2473" i="14" s="1"/>
  <c r="B2473" i="14"/>
  <c r="D2473" i="14"/>
  <c r="A2474" i="14"/>
  <c r="D2474" i="14" l="1"/>
  <c r="C2474" i="14"/>
  <c r="E2474" i="14" s="1"/>
  <c r="B2474" i="14"/>
  <c r="A2475" i="14"/>
  <c r="D2475" i="14" l="1"/>
  <c r="B2475" i="14"/>
  <c r="C2475" i="14"/>
  <c r="E2475" i="14" s="1"/>
  <c r="A2476" i="14"/>
  <c r="D2476" i="14" l="1"/>
  <c r="C2476" i="14"/>
  <c r="E2476" i="14" s="1"/>
  <c r="B2476" i="14"/>
  <c r="A2477" i="14"/>
  <c r="D2477" i="14" l="1"/>
  <c r="C2477" i="14"/>
  <c r="E2477" i="14" s="1"/>
  <c r="B2477" i="14"/>
  <c r="A2478" i="14"/>
  <c r="B2478" i="14" l="1"/>
  <c r="C2478" i="14"/>
  <c r="E2478" i="14" s="1"/>
  <c r="D2478" i="14"/>
  <c r="A2479" i="14"/>
  <c r="D2479" i="14" l="1"/>
  <c r="C2479" i="14"/>
  <c r="E2479" i="14" s="1"/>
  <c r="B2479" i="14"/>
  <c r="A2480" i="14"/>
  <c r="D2480" i="14" l="1"/>
  <c r="C2480" i="14"/>
  <c r="E2480" i="14" s="1"/>
  <c r="B2480" i="14"/>
  <c r="A2481" i="14"/>
  <c r="C2481" i="14" l="1"/>
  <c r="E2481" i="14" s="1"/>
  <c r="B2481" i="14"/>
  <c r="D2481" i="14"/>
  <c r="A2482" i="14"/>
  <c r="D2482" i="14" l="1"/>
  <c r="C2482" i="14"/>
  <c r="E2482" i="14" s="1"/>
  <c r="B2482" i="14"/>
  <c r="A2483" i="14"/>
  <c r="D2483" i="14" l="1"/>
  <c r="B2483" i="14"/>
  <c r="C2483" i="14"/>
  <c r="E2483" i="14" s="1"/>
  <c r="A2484" i="14"/>
  <c r="D2484" i="14" l="1"/>
  <c r="C2484" i="14"/>
  <c r="E2484" i="14" s="1"/>
  <c r="B2484" i="14"/>
  <c r="A2485" i="14"/>
  <c r="D2485" i="14" l="1"/>
  <c r="C2485" i="14"/>
  <c r="E2485" i="14" s="1"/>
  <c r="B2485" i="14"/>
  <c r="A2486" i="14"/>
  <c r="B2486" i="14" l="1"/>
  <c r="C2486" i="14"/>
  <c r="E2486" i="14" s="1"/>
  <c r="D2486" i="14"/>
  <c r="A2487" i="14"/>
  <c r="D2487" i="14" l="1"/>
  <c r="C2487" i="14"/>
  <c r="E2487" i="14" s="1"/>
  <c r="B2487" i="14"/>
  <c r="A2488" i="14"/>
  <c r="D2488" i="14" l="1"/>
  <c r="C2488" i="14"/>
  <c r="E2488" i="14" s="1"/>
  <c r="B2488" i="14"/>
  <c r="A2489" i="14"/>
  <c r="C2489" i="14" l="1"/>
  <c r="E2489" i="14" s="1"/>
  <c r="B2489" i="14"/>
  <c r="D2489" i="14"/>
  <c r="A2490" i="14"/>
  <c r="D2490" i="14" l="1"/>
  <c r="C2490" i="14"/>
  <c r="E2490" i="14" s="1"/>
  <c r="B2490" i="14"/>
  <c r="A2491" i="14"/>
  <c r="D2491" i="14" l="1"/>
  <c r="B2491" i="14"/>
  <c r="C2491" i="14"/>
  <c r="E2491" i="14" s="1"/>
  <c r="A2492" i="14"/>
  <c r="D2492" i="14" l="1"/>
  <c r="C2492" i="14"/>
  <c r="E2492" i="14" s="1"/>
  <c r="B2492" i="14"/>
  <c r="A2493" i="14"/>
  <c r="D2493" i="14" l="1"/>
  <c r="C2493" i="14"/>
  <c r="E2493" i="14" s="1"/>
  <c r="B2493" i="14"/>
  <c r="A2494" i="14"/>
  <c r="B2494" i="14" l="1"/>
  <c r="C2494" i="14"/>
  <c r="E2494" i="14" s="1"/>
  <c r="D2494" i="14"/>
  <c r="A2495" i="14"/>
  <c r="D2495" i="14" l="1"/>
  <c r="C2495" i="14"/>
  <c r="E2495" i="14" s="1"/>
  <c r="B2495" i="14"/>
  <c r="A2496" i="14"/>
  <c r="D2496" i="14" l="1"/>
  <c r="C2496" i="14"/>
  <c r="E2496" i="14" s="1"/>
  <c r="B2496" i="14"/>
  <c r="A2497" i="14"/>
  <c r="C2497" i="14" l="1"/>
  <c r="E2497" i="14" s="1"/>
  <c r="B2497" i="14"/>
  <c r="D2497" i="14"/>
  <c r="A2498" i="14"/>
  <c r="D2498" i="14" l="1"/>
  <c r="C2498" i="14"/>
  <c r="E2498" i="14" s="1"/>
  <c r="B2498" i="14"/>
  <c r="A2499" i="14"/>
  <c r="D2499" i="14" l="1"/>
  <c r="B2499" i="14"/>
  <c r="C2499" i="14"/>
  <c r="E2499" i="14" s="1"/>
  <c r="A2500" i="14"/>
  <c r="D2500" i="14" l="1"/>
  <c r="C2500" i="14"/>
  <c r="E2500" i="14" s="1"/>
  <c r="B2500" i="14"/>
  <c r="A2501" i="14"/>
  <c r="D2501" i="14" l="1"/>
  <c r="C2501" i="14"/>
  <c r="E2501" i="14" s="1"/>
  <c r="B2501" i="14"/>
  <c r="A2502" i="14"/>
  <c r="B2502" i="14" l="1"/>
  <c r="C2502" i="14"/>
  <c r="E2502" i="14" s="1"/>
  <c r="D2502" i="14"/>
  <c r="A2503" i="14"/>
  <c r="D2503" i="14" l="1"/>
  <c r="C2503" i="14"/>
  <c r="E2503" i="14" s="1"/>
  <c r="B2503" i="14"/>
  <c r="A2504" i="14"/>
  <c r="D2504" i="14" l="1"/>
  <c r="C2504" i="14"/>
  <c r="E2504" i="14" s="1"/>
  <c r="B2504" i="14"/>
  <c r="A2505" i="14"/>
  <c r="C2505" i="14" l="1"/>
  <c r="E2505" i="14" s="1"/>
  <c r="B2505" i="14"/>
  <c r="D2505" i="14"/>
  <c r="A2506" i="14"/>
  <c r="D2506" i="14" l="1"/>
  <c r="C2506" i="14"/>
  <c r="E2506" i="14" s="1"/>
  <c r="B2506" i="14"/>
  <c r="A2507" i="14"/>
  <c r="D2507" i="14" l="1"/>
  <c r="B2507" i="14"/>
  <c r="C2507" i="14"/>
  <c r="E2507" i="14" s="1"/>
  <c r="A2508" i="14"/>
  <c r="D2508" i="14" l="1"/>
  <c r="C2508" i="14"/>
  <c r="E2508" i="14" s="1"/>
  <c r="B2508" i="14"/>
  <c r="A2509" i="14"/>
  <c r="D2509" i="14" l="1"/>
  <c r="C2509" i="14"/>
  <c r="E2509" i="14" s="1"/>
  <c r="B2509" i="14"/>
  <c r="A2510" i="14"/>
  <c r="B2510" i="14" l="1"/>
  <c r="C2510" i="14"/>
  <c r="E2510" i="14" s="1"/>
  <c r="D2510" i="14"/>
  <c r="A2511" i="14"/>
  <c r="D2511" i="14" l="1"/>
  <c r="C2511" i="14"/>
  <c r="E2511" i="14" s="1"/>
  <c r="B2511" i="14"/>
  <c r="A2512" i="14"/>
  <c r="D2512" i="14" l="1"/>
  <c r="C2512" i="14"/>
  <c r="E2512" i="14" s="1"/>
  <c r="B2512" i="14"/>
  <c r="A2513" i="14"/>
  <c r="C2513" i="14" l="1"/>
  <c r="E2513" i="14" s="1"/>
  <c r="B2513" i="14"/>
  <c r="D2513" i="14"/>
  <c r="A2514" i="14"/>
  <c r="D2514" i="14" l="1"/>
  <c r="C2514" i="14"/>
  <c r="E2514" i="14" s="1"/>
  <c r="B2514" i="14"/>
  <c r="A2515" i="14"/>
  <c r="D2515" i="14" l="1"/>
  <c r="B2515" i="14"/>
  <c r="C2515" i="14"/>
  <c r="E2515" i="14" s="1"/>
  <c r="A2516" i="14"/>
  <c r="D2516" i="14" l="1"/>
  <c r="C2516" i="14"/>
  <c r="E2516" i="14" s="1"/>
  <c r="B2516" i="14"/>
  <c r="A2517" i="14"/>
  <c r="D2517" i="14" l="1"/>
  <c r="C2517" i="14"/>
  <c r="E2517" i="14" s="1"/>
  <c r="B2517" i="14"/>
  <c r="A2518" i="14"/>
  <c r="B2518" i="14" l="1"/>
  <c r="C2518" i="14"/>
  <c r="E2518" i="14" s="1"/>
  <c r="D2518" i="14"/>
  <c r="A2519" i="14"/>
  <c r="D2519" i="14" l="1"/>
  <c r="C2519" i="14"/>
  <c r="E2519" i="14" s="1"/>
  <c r="B2519" i="14"/>
  <c r="A2520" i="14"/>
  <c r="D2520" i="14" l="1"/>
  <c r="C2520" i="14"/>
  <c r="E2520" i="14" s="1"/>
  <c r="B2520" i="14"/>
  <c r="A2521" i="14"/>
  <c r="C2521" i="14" l="1"/>
  <c r="E2521" i="14" s="1"/>
  <c r="B2521" i="14"/>
  <c r="D2521" i="14"/>
  <c r="A2522" i="14"/>
  <c r="D2522" i="14" l="1"/>
  <c r="C2522" i="14"/>
  <c r="E2522" i="14" s="1"/>
  <c r="B2522" i="14"/>
  <c r="A2523" i="14"/>
  <c r="D2523" i="14" l="1"/>
  <c r="B2523" i="14"/>
  <c r="C2523" i="14"/>
  <c r="E2523" i="14" s="1"/>
  <c r="A2524" i="14"/>
  <c r="D2524" i="14" l="1"/>
  <c r="C2524" i="14"/>
  <c r="E2524" i="14" s="1"/>
  <c r="B2524" i="14"/>
  <c r="A2525" i="14"/>
  <c r="D2525" i="14" l="1"/>
  <c r="C2525" i="14"/>
  <c r="E2525" i="14" s="1"/>
  <c r="B2525" i="14"/>
  <c r="A2526" i="14"/>
  <c r="B2526" i="14" l="1"/>
  <c r="C2526" i="14"/>
  <c r="E2526" i="14" s="1"/>
  <c r="D2526" i="14"/>
  <c r="A2527" i="14"/>
  <c r="D2527" i="14" l="1"/>
  <c r="C2527" i="14"/>
  <c r="E2527" i="14" s="1"/>
  <c r="B2527" i="14"/>
  <c r="A2528" i="14"/>
  <c r="D2528" i="14" l="1"/>
  <c r="C2528" i="14"/>
  <c r="E2528" i="14" s="1"/>
  <c r="B2528" i="14"/>
  <c r="A2529" i="14"/>
  <c r="C2529" i="14" l="1"/>
  <c r="E2529" i="14" s="1"/>
  <c r="B2529" i="14"/>
  <c r="D2529" i="14"/>
  <c r="A2530" i="14"/>
  <c r="D2530" i="14" l="1"/>
  <c r="C2530" i="14"/>
  <c r="E2530" i="14" s="1"/>
  <c r="B2530" i="14"/>
  <c r="A2531" i="14"/>
  <c r="D2531" i="14" l="1"/>
  <c r="B2531" i="14"/>
  <c r="C2531" i="14"/>
  <c r="E2531" i="14" s="1"/>
  <c r="A2532" i="14"/>
  <c r="D2532" i="14" l="1"/>
  <c r="C2532" i="14"/>
  <c r="E2532" i="14" s="1"/>
  <c r="B2532" i="14"/>
  <c r="A2533" i="14"/>
  <c r="D2533" i="14" l="1"/>
  <c r="C2533" i="14"/>
  <c r="E2533" i="14" s="1"/>
  <c r="B2533" i="14"/>
  <c r="A2534" i="14"/>
  <c r="B2534" i="14" l="1"/>
  <c r="C2534" i="14"/>
  <c r="E2534" i="14" s="1"/>
  <c r="D2534" i="14"/>
  <c r="A2535" i="14"/>
  <c r="D2535" i="14" l="1"/>
  <c r="C2535" i="14"/>
  <c r="E2535" i="14" s="1"/>
  <c r="B2535" i="14"/>
  <c r="A2536" i="14"/>
  <c r="D2536" i="14" l="1"/>
  <c r="C2536" i="14"/>
  <c r="E2536" i="14" s="1"/>
  <c r="B2536" i="14"/>
  <c r="A2537" i="14"/>
  <c r="C2537" i="14" l="1"/>
  <c r="E2537" i="14" s="1"/>
  <c r="B2537" i="14"/>
  <c r="D2537" i="14"/>
  <c r="A2538" i="14"/>
  <c r="D2538" i="14" l="1"/>
  <c r="C2538" i="14"/>
  <c r="E2538" i="14" s="1"/>
  <c r="B2538" i="14"/>
  <c r="A2539" i="14"/>
  <c r="D2539" i="14" l="1"/>
  <c r="B2539" i="14"/>
  <c r="C2539" i="14"/>
  <c r="E2539" i="14" s="1"/>
  <c r="A2540" i="14"/>
  <c r="D2540" i="14" l="1"/>
  <c r="C2540" i="14"/>
  <c r="E2540" i="14" s="1"/>
  <c r="B2540" i="14"/>
  <c r="A2541" i="14"/>
  <c r="D2541" i="14" l="1"/>
  <c r="C2541" i="14"/>
  <c r="E2541" i="14" s="1"/>
  <c r="B2541" i="14"/>
  <c r="A2542" i="14"/>
  <c r="B2542" i="14" l="1"/>
  <c r="C2542" i="14"/>
  <c r="E2542" i="14" s="1"/>
  <c r="D2542" i="14"/>
  <c r="A2543" i="14"/>
  <c r="D2543" i="14" l="1"/>
  <c r="C2543" i="14"/>
  <c r="E2543" i="14" s="1"/>
  <c r="B2543" i="14"/>
  <c r="A2544" i="14"/>
  <c r="D2544" i="14" l="1"/>
  <c r="C2544" i="14"/>
  <c r="E2544" i="14" s="1"/>
  <c r="B2544" i="14"/>
  <c r="A2545" i="14"/>
  <c r="C2545" i="14" l="1"/>
  <c r="E2545" i="14" s="1"/>
  <c r="B2545" i="14"/>
  <c r="D2545" i="14"/>
  <c r="A2546" i="14"/>
  <c r="D2546" i="14" l="1"/>
  <c r="C2546" i="14"/>
  <c r="E2546" i="14" s="1"/>
  <c r="B2546" i="14"/>
  <c r="A2547" i="14"/>
  <c r="D2547" i="14" l="1"/>
  <c r="B2547" i="14"/>
  <c r="C2547" i="14"/>
  <c r="E2547" i="14" s="1"/>
  <c r="A2548" i="14"/>
  <c r="D2548" i="14" l="1"/>
  <c r="C2548" i="14"/>
  <c r="E2548" i="14" s="1"/>
  <c r="B2548" i="14"/>
  <c r="A2549" i="14"/>
  <c r="D2549" i="14" l="1"/>
  <c r="C2549" i="14"/>
  <c r="E2549" i="14" s="1"/>
  <c r="B2549" i="14"/>
  <c r="A2550" i="14"/>
  <c r="B2550" i="14" l="1"/>
  <c r="C2550" i="14"/>
  <c r="E2550" i="14" s="1"/>
  <c r="D2550" i="14"/>
  <c r="A2551" i="14"/>
  <c r="D2551" i="14" l="1"/>
  <c r="C2551" i="14"/>
  <c r="E2551" i="14" s="1"/>
  <c r="B2551" i="14"/>
  <c r="A2552" i="14"/>
  <c r="D2552" i="14" l="1"/>
  <c r="C2552" i="14"/>
  <c r="E2552" i="14" s="1"/>
  <c r="B2552" i="14"/>
  <c r="A2553" i="14"/>
  <c r="C2553" i="14" l="1"/>
  <c r="E2553" i="14" s="1"/>
  <c r="B2553" i="14"/>
  <c r="D2553" i="14"/>
  <c r="A2554" i="14"/>
  <c r="D2554" i="14" l="1"/>
  <c r="C2554" i="14"/>
  <c r="E2554" i="14" s="1"/>
  <c r="B2554" i="14"/>
  <c r="A2555" i="14"/>
  <c r="D2555" i="14" l="1"/>
  <c r="B2555" i="14"/>
  <c r="C2555" i="14"/>
  <c r="E2555" i="14" s="1"/>
  <c r="A2556" i="14"/>
  <c r="D2556" i="14" l="1"/>
  <c r="C2556" i="14"/>
  <c r="E2556" i="14" s="1"/>
  <c r="B2556" i="14"/>
  <c r="A2557" i="14"/>
  <c r="D2557" i="14" l="1"/>
  <c r="C2557" i="14"/>
  <c r="E2557" i="14" s="1"/>
  <c r="B2557" i="14"/>
  <c r="A2558" i="14"/>
  <c r="B2558" i="14" l="1"/>
  <c r="C2558" i="14"/>
  <c r="E2558" i="14" s="1"/>
  <c r="D2558" i="14"/>
  <c r="A2559" i="14"/>
  <c r="D2559" i="14" l="1"/>
  <c r="C2559" i="14"/>
  <c r="E2559" i="14" s="1"/>
  <c r="B2559" i="14"/>
  <c r="A2560" i="14"/>
  <c r="D2560" i="14" l="1"/>
  <c r="C2560" i="14"/>
  <c r="E2560" i="14" s="1"/>
  <c r="B2560" i="14"/>
  <c r="A2561" i="14"/>
  <c r="C2561" i="14" l="1"/>
  <c r="E2561" i="14" s="1"/>
  <c r="B2561" i="14"/>
  <c r="D2561" i="14"/>
  <c r="A2562" i="14"/>
  <c r="D2562" i="14" l="1"/>
  <c r="C2562" i="14"/>
  <c r="E2562" i="14" s="1"/>
  <c r="B2562" i="14"/>
  <c r="A2563" i="14"/>
  <c r="D2563" i="14" l="1"/>
  <c r="B2563" i="14"/>
  <c r="C2563" i="14"/>
  <c r="E2563" i="14" s="1"/>
  <c r="A2564" i="14"/>
  <c r="D2564" i="14" l="1"/>
  <c r="C2564" i="14"/>
  <c r="E2564" i="14" s="1"/>
  <c r="B2564" i="14"/>
  <c r="A2565" i="14"/>
  <c r="D2565" i="14" l="1"/>
  <c r="C2565" i="14"/>
  <c r="E2565" i="14" s="1"/>
  <c r="B2565" i="14"/>
  <c r="A2566" i="14"/>
  <c r="B2566" i="14" l="1"/>
  <c r="C2566" i="14"/>
  <c r="E2566" i="14" s="1"/>
  <c r="D2566" i="14"/>
  <c r="A2567" i="14"/>
  <c r="D2567" i="14" l="1"/>
  <c r="C2567" i="14"/>
  <c r="E2567" i="14" s="1"/>
  <c r="B2567" i="14"/>
  <c r="A2568" i="14"/>
  <c r="D2568" i="14" l="1"/>
  <c r="C2568" i="14"/>
  <c r="E2568" i="14" s="1"/>
  <c r="B2568" i="14"/>
  <c r="A2569" i="14"/>
  <c r="C2569" i="14" l="1"/>
  <c r="E2569" i="14" s="1"/>
  <c r="B2569" i="14"/>
  <c r="D2569" i="14"/>
  <c r="A2570" i="14"/>
  <c r="D2570" i="14" l="1"/>
  <c r="C2570" i="14"/>
  <c r="E2570" i="14" s="1"/>
  <c r="B2570" i="14"/>
  <c r="A2571" i="14"/>
  <c r="D2571" i="14" l="1"/>
  <c r="B2571" i="14"/>
  <c r="C2571" i="14"/>
  <c r="E2571" i="14" s="1"/>
  <c r="A2572" i="14"/>
  <c r="D2572" i="14" l="1"/>
  <c r="C2572" i="14"/>
  <c r="E2572" i="14" s="1"/>
  <c r="B2572" i="14"/>
  <c r="A2573" i="14"/>
  <c r="D2573" i="14" l="1"/>
  <c r="C2573" i="14"/>
  <c r="E2573" i="14" s="1"/>
  <c r="B2573" i="14"/>
  <c r="A2574" i="14"/>
  <c r="B2574" i="14" l="1"/>
  <c r="C2574" i="14"/>
  <c r="E2574" i="14" s="1"/>
  <c r="D2574" i="14"/>
  <c r="A2575" i="14"/>
  <c r="D2575" i="14" l="1"/>
  <c r="C2575" i="14"/>
  <c r="E2575" i="14" s="1"/>
  <c r="B2575" i="14"/>
  <c r="A2576" i="14"/>
  <c r="D2576" i="14" l="1"/>
  <c r="C2576" i="14"/>
  <c r="E2576" i="14" s="1"/>
  <c r="B2576" i="14"/>
  <c r="A2577" i="14"/>
  <c r="C2577" i="14" l="1"/>
  <c r="E2577" i="14" s="1"/>
  <c r="B2577" i="14"/>
  <c r="D2577" i="14"/>
  <c r="A2578" i="14"/>
  <c r="D2578" i="14" l="1"/>
  <c r="C2578" i="14"/>
  <c r="E2578" i="14" s="1"/>
  <c r="B2578" i="14"/>
  <c r="A2579" i="14"/>
  <c r="D2579" i="14" l="1"/>
  <c r="B2579" i="14"/>
  <c r="C2579" i="14"/>
  <c r="E2579" i="14" s="1"/>
  <c r="A2580" i="14"/>
  <c r="D2580" i="14" l="1"/>
  <c r="C2580" i="14"/>
  <c r="E2580" i="14" s="1"/>
  <c r="B2580" i="14"/>
  <c r="A2581" i="14"/>
  <c r="D2581" i="14" l="1"/>
  <c r="C2581" i="14"/>
  <c r="E2581" i="14" s="1"/>
  <c r="B2581" i="14"/>
  <c r="A2582" i="14"/>
  <c r="B2582" i="14" l="1"/>
  <c r="C2582" i="14"/>
  <c r="E2582" i="14" s="1"/>
  <c r="D2582" i="14"/>
  <c r="A2583" i="14"/>
  <c r="D2583" i="14" l="1"/>
  <c r="C2583" i="14"/>
  <c r="E2583" i="14" s="1"/>
  <c r="B2583" i="14"/>
  <c r="A2584" i="14"/>
  <c r="C2584" i="14" l="1"/>
  <c r="E2584" i="14" s="1"/>
  <c r="B2584" i="14"/>
  <c r="D2584" i="14"/>
  <c r="A2585" i="14"/>
  <c r="D2585" i="14" l="1"/>
  <c r="C2585" i="14"/>
  <c r="E2585" i="14" s="1"/>
  <c r="B2585" i="14"/>
  <c r="A2586" i="14"/>
  <c r="D2586" i="14" l="1"/>
  <c r="B2586" i="14"/>
  <c r="C2586" i="14"/>
  <c r="E2586" i="14" s="1"/>
  <c r="A2587" i="14"/>
  <c r="D2587" i="14" l="1"/>
  <c r="C2587" i="14"/>
  <c r="E2587" i="14" s="1"/>
  <c r="B2587" i="14"/>
  <c r="A2588" i="14"/>
  <c r="D2588" i="14" l="1"/>
  <c r="C2588" i="14"/>
  <c r="E2588" i="14" s="1"/>
  <c r="B2588" i="14"/>
  <c r="A2589" i="14"/>
  <c r="B2589" i="14" l="1"/>
  <c r="D2589" i="14"/>
  <c r="C2589" i="14"/>
  <c r="E2589" i="14" s="1"/>
  <c r="A2590" i="14"/>
  <c r="D2590" i="14" l="1"/>
  <c r="C2590" i="14"/>
  <c r="E2590" i="14" s="1"/>
  <c r="B2590" i="14"/>
  <c r="A2591" i="14"/>
  <c r="C2591" i="14" l="1"/>
  <c r="E2591" i="14" s="1"/>
  <c r="B2591" i="14"/>
  <c r="D2591" i="14"/>
  <c r="A2592" i="14"/>
  <c r="C2592" i="14" l="1"/>
  <c r="E2592" i="14" s="1"/>
  <c r="D2592" i="14"/>
  <c r="B2592" i="14"/>
  <c r="A2593" i="14"/>
  <c r="B2593" i="14" l="1"/>
  <c r="C2593" i="14"/>
  <c r="E2593" i="14" s="1"/>
  <c r="D2593" i="14"/>
  <c r="A2594" i="14"/>
  <c r="D2594" i="14" l="1"/>
  <c r="C2594" i="14"/>
  <c r="E2594" i="14" s="1"/>
  <c r="B2594" i="14"/>
  <c r="A2595" i="14"/>
  <c r="D2595" i="14" l="1"/>
  <c r="B2595" i="14"/>
  <c r="C2595" i="14"/>
  <c r="E2595" i="14" s="1"/>
  <c r="A2596" i="14"/>
  <c r="D2596" i="14" l="1"/>
  <c r="C2596" i="14"/>
  <c r="E2596" i="14" s="1"/>
  <c r="B2596" i="14"/>
  <c r="A2597" i="14"/>
  <c r="B2597" i="14" l="1"/>
  <c r="D2597" i="14"/>
  <c r="C2597" i="14"/>
  <c r="E2597" i="14" s="1"/>
  <c r="A2598" i="14"/>
  <c r="D2598" i="14" l="1"/>
  <c r="C2598" i="14"/>
  <c r="E2598" i="14" s="1"/>
  <c r="B2598" i="14"/>
  <c r="A2599" i="14"/>
  <c r="D2599" i="14" l="1"/>
  <c r="C2599" i="14"/>
  <c r="E2599" i="14" s="1"/>
  <c r="B2599" i="14"/>
  <c r="A2600" i="14"/>
  <c r="C2600" i="14" l="1"/>
  <c r="E2600" i="14" s="1"/>
  <c r="D2600" i="14"/>
  <c r="B2600" i="14"/>
  <c r="A2601" i="14"/>
  <c r="D2601" i="14" l="1"/>
  <c r="C2601" i="14"/>
  <c r="E2601" i="14" s="1"/>
  <c r="B2601" i="14"/>
  <c r="A2602" i="14"/>
  <c r="B2602" i="14" l="1"/>
  <c r="D2602" i="14"/>
  <c r="C2602" i="14"/>
  <c r="E2602" i="14" s="1"/>
  <c r="A2603" i="14"/>
  <c r="D2603" i="14" l="1"/>
  <c r="C2603" i="14"/>
  <c r="E2603" i="14" s="1"/>
  <c r="B2603" i="14"/>
  <c r="A2604" i="14"/>
  <c r="D2604" i="14" l="1"/>
  <c r="C2604" i="14"/>
  <c r="E2604" i="14" s="1"/>
  <c r="B2604" i="14"/>
  <c r="A2605" i="14"/>
  <c r="B2605" i="14" l="1"/>
  <c r="C2605" i="14"/>
  <c r="E2605" i="14" s="1"/>
  <c r="D2605" i="14"/>
  <c r="A2606" i="14"/>
  <c r="D2606" i="14" l="1"/>
  <c r="C2606" i="14"/>
  <c r="E2606" i="14" s="1"/>
  <c r="B2606" i="14"/>
  <c r="A2607" i="14"/>
  <c r="B2607" i="14" l="1"/>
  <c r="C2607" i="14"/>
  <c r="E2607" i="14" s="1"/>
  <c r="D2607" i="14"/>
  <c r="A2608" i="14"/>
  <c r="C2608" i="14" l="1"/>
  <c r="E2608" i="14" s="1"/>
  <c r="D2608" i="14"/>
  <c r="B2608" i="14"/>
  <c r="A2609" i="14"/>
  <c r="B2609" i="14" l="1"/>
  <c r="C2609" i="14"/>
  <c r="E2609" i="14" s="1"/>
  <c r="D2609" i="14"/>
  <c r="A2610" i="14"/>
  <c r="B2610" i="14" l="1"/>
  <c r="D2610" i="14"/>
  <c r="C2610" i="14"/>
  <c r="E2610" i="14" s="1"/>
  <c r="A2611" i="14"/>
  <c r="D2611" i="14" l="1"/>
  <c r="B2611" i="14"/>
  <c r="C2611" i="14"/>
  <c r="E2611" i="14" s="1"/>
  <c r="A2612" i="14"/>
  <c r="D2612" i="14" l="1"/>
  <c r="C2612" i="14"/>
  <c r="E2612" i="14" s="1"/>
  <c r="B2612" i="14"/>
  <c r="A2613" i="14"/>
  <c r="B2613" i="14" l="1"/>
  <c r="C2613" i="14"/>
  <c r="E2613" i="14" s="1"/>
  <c r="D2613" i="14"/>
  <c r="A2614" i="14"/>
  <c r="D2614" i="14" l="1"/>
  <c r="C2614" i="14"/>
  <c r="E2614" i="14" s="1"/>
  <c r="B2614" i="14"/>
  <c r="A2615" i="14"/>
  <c r="D2615" i="14" l="1"/>
  <c r="C2615" i="14"/>
  <c r="E2615" i="14" s="1"/>
  <c r="B2615" i="14"/>
  <c r="A2616" i="14"/>
  <c r="C2616" i="14" l="1"/>
  <c r="E2616" i="14" s="1"/>
  <c r="D2616" i="14"/>
  <c r="B2616" i="14"/>
  <c r="A2617" i="14"/>
  <c r="D2617" i="14" l="1"/>
  <c r="C2617" i="14"/>
  <c r="E2617" i="14" s="1"/>
  <c r="B2617" i="14"/>
  <c r="A2618" i="14"/>
  <c r="B2618" i="14" l="1"/>
  <c r="D2618" i="14"/>
  <c r="C2618" i="14"/>
  <c r="E2618" i="14" s="1"/>
  <c r="A2619" i="14"/>
  <c r="D2619" i="14" l="1"/>
  <c r="C2619" i="14"/>
  <c r="E2619" i="14" s="1"/>
  <c r="B2619" i="14"/>
  <c r="A2620" i="14"/>
  <c r="D2620" i="14" l="1"/>
  <c r="B2620" i="14"/>
  <c r="C2620" i="14"/>
  <c r="E2620" i="14" s="1"/>
  <c r="A2621" i="14"/>
  <c r="B2621" i="14" l="1"/>
  <c r="C2621" i="14"/>
  <c r="E2621" i="14" s="1"/>
  <c r="D2621" i="14"/>
  <c r="A2622" i="14"/>
  <c r="D2622" i="14" l="1"/>
  <c r="B2622" i="14"/>
  <c r="C2622" i="14"/>
  <c r="E2622" i="14" s="1"/>
  <c r="A2623" i="14"/>
  <c r="D2623" i="14" l="1"/>
  <c r="C2623" i="14"/>
  <c r="E2623" i="14" s="1"/>
  <c r="B2623" i="14"/>
  <c r="A2624" i="14"/>
  <c r="C2624" i="14" l="1"/>
  <c r="E2624" i="14" s="1"/>
  <c r="D2624" i="14"/>
  <c r="B2624" i="14"/>
  <c r="A2625" i="14"/>
  <c r="D2625" i="14" l="1"/>
  <c r="C2625" i="14"/>
  <c r="E2625" i="14" s="1"/>
  <c r="B2625" i="14"/>
  <c r="A2626" i="14"/>
  <c r="B2626" i="14" l="1"/>
  <c r="C2626" i="14"/>
  <c r="E2626" i="14" s="1"/>
  <c r="D2626" i="14"/>
  <c r="A2627" i="14"/>
  <c r="D2627" i="14" l="1"/>
  <c r="C2627" i="14"/>
  <c r="E2627" i="14" s="1"/>
  <c r="B2627" i="14"/>
  <c r="A2628" i="14"/>
  <c r="C2628" i="14" l="1"/>
  <c r="E2628" i="14" s="1"/>
  <c r="B2628" i="14"/>
  <c r="D2628" i="14"/>
  <c r="A2629" i="14"/>
  <c r="B2629" i="14" l="1"/>
  <c r="C2629" i="14"/>
  <c r="E2629" i="14" s="1"/>
  <c r="D2629" i="14"/>
  <c r="A2630" i="14"/>
  <c r="C2630" i="14" l="1"/>
  <c r="E2630" i="14" s="1"/>
  <c r="B2630" i="14"/>
  <c r="D2630" i="14"/>
  <c r="A2631" i="14"/>
  <c r="D2631" i="14" l="1"/>
  <c r="C2631" i="14"/>
  <c r="E2631" i="14" s="1"/>
  <c r="B2631" i="14"/>
  <c r="A2632" i="14"/>
  <c r="C2632" i="14" l="1"/>
  <c r="E2632" i="14" s="1"/>
  <c r="D2632" i="14"/>
  <c r="B2632" i="14"/>
  <c r="A2633" i="14"/>
  <c r="D2633" i="14" l="1"/>
  <c r="C2633" i="14"/>
  <c r="E2633" i="14" s="1"/>
  <c r="B2633" i="14"/>
  <c r="A2634" i="14"/>
  <c r="B2634" i="14" l="1"/>
  <c r="D2634" i="14"/>
  <c r="C2634" i="14"/>
  <c r="E2634" i="14" s="1"/>
  <c r="A2635" i="14"/>
  <c r="D2635" i="14" l="1"/>
  <c r="C2635" i="14"/>
  <c r="E2635" i="14" s="1"/>
  <c r="B2635" i="14"/>
  <c r="A2636" i="14"/>
  <c r="D2636" i="14" l="1"/>
  <c r="C2636" i="14"/>
  <c r="E2636" i="14" s="1"/>
  <c r="B2636" i="14"/>
  <c r="A2637" i="14"/>
  <c r="B2637" i="14" l="1"/>
  <c r="C2637" i="14"/>
  <c r="E2637" i="14" s="1"/>
  <c r="D2637" i="14"/>
  <c r="A2638" i="14"/>
  <c r="D2638" i="14" l="1"/>
  <c r="C2638" i="14"/>
  <c r="E2638" i="14" s="1"/>
  <c r="B2638" i="14"/>
  <c r="A2639" i="14"/>
  <c r="B2639" i="14" l="1"/>
  <c r="C2639" i="14"/>
  <c r="E2639" i="14" s="1"/>
  <c r="D2639" i="14"/>
  <c r="A2640" i="14"/>
  <c r="C2640" i="14" l="1"/>
  <c r="E2640" i="14" s="1"/>
  <c r="D2640" i="14"/>
  <c r="B2640" i="14"/>
  <c r="A2641" i="14"/>
  <c r="C2641" i="14" l="1"/>
  <c r="E2641" i="14" s="1"/>
  <c r="D2641" i="14"/>
  <c r="B2641" i="14"/>
  <c r="A2642" i="14"/>
  <c r="B2642" i="14" l="1"/>
  <c r="D2642" i="14"/>
  <c r="C2642" i="14"/>
  <c r="E2642" i="14" s="1"/>
  <c r="A2643" i="14"/>
  <c r="D2643" i="14" l="1"/>
  <c r="C2643" i="14"/>
  <c r="E2643" i="14" s="1"/>
  <c r="B2643" i="14"/>
  <c r="A2644" i="14"/>
  <c r="D2644" i="14" l="1"/>
  <c r="B2644" i="14"/>
  <c r="C2644" i="14"/>
  <c r="E2644" i="14" s="1"/>
  <c r="A2645" i="14"/>
  <c r="B2645" i="14" l="1"/>
  <c r="C2645" i="14"/>
  <c r="E2645" i="14" s="1"/>
  <c r="D2645" i="14"/>
  <c r="A2646" i="14"/>
  <c r="B2646" i="14" l="1"/>
  <c r="D2646" i="14"/>
  <c r="C2646" i="14"/>
  <c r="E2646" i="14" s="1"/>
  <c r="A2647" i="14"/>
  <c r="D2647" i="14" l="1"/>
  <c r="B2647" i="14"/>
  <c r="C2647" i="14"/>
  <c r="E2647" i="14" s="1"/>
  <c r="A2648" i="14"/>
  <c r="C2648" i="14" l="1"/>
  <c r="E2648" i="14" s="1"/>
  <c r="D2648" i="14"/>
  <c r="B2648" i="14"/>
  <c r="A2649" i="14"/>
  <c r="D2649" i="14" l="1"/>
  <c r="C2649" i="14"/>
  <c r="E2649" i="14" s="1"/>
  <c r="B2649" i="14"/>
  <c r="A2650" i="14"/>
  <c r="B2650" i="14" l="1"/>
  <c r="C2650" i="14"/>
  <c r="E2650" i="14" s="1"/>
  <c r="D2650" i="14"/>
  <c r="A2651" i="14"/>
  <c r="D2651" i="14" l="1"/>
  <c r="B2651" i="14"/>
  <c r="C2651" i="14"/>
  <c r="E2651" i="14" s="1"/>
  <c r="A2652" i="14"/>
  <c r="D2652" i="14" l="1"/>
  <c r="C2652" i="14"/>
  <c r="E2652" i="14" s="1"/>
  <c r="B2652" i="14"/>
  <c r="A2653" i="14"/>
  <c r="B2653" i="14" l="1"/>
  <c r="C2653" i="14"/>
  <c r="E2653" i="14" s="1"/>
  <c r="D2653" i="14"/>
  <c r="A2654" i="14"/>
  <c r="C2654" i="14" l="1"/>
  <c r="E2654" i="14" s="1"/>
  <c r="B2654" i="14"/>
  <c r="D2654" i="14"/>
  <c r="A2655" i="14"/>
  <c r="D2655" i="14" l="1"/>
  <c r="C2655" i="14"/>
  <c r="E2655" i="14" s="1"/>
  <c r="B2655" i="14"/>
  <c r="A2656" i="14"/>
  <c r="C2656" i="14" l="1"/>
  <c r="E2656" i="14" s="1"/>
  <c r="D2656" i="14"/>
  <c r="B2656" i="14"/>
  <c r="A2657" i="14"/>
  <c r="D2657" i="14" l="1"/>
  <c r="C2657" i="14"/>
  <c r="E2657" i="14" s="1"/>
  <c r="B2657" i="14"/>
  <c r="A2658" i="14"/>
  <c r="B2658" i="14" l="1"/>
  <c r="D2658" i="14"/>
  <c r="C2658" i="14"/>
  <c r="E2658" i="14" s="1"/>
  <c r="A2659" i="14"/>
  <c r="D2659" i="14" l="1"/>
  <c r="C2659" i="14"/>
  <c r="E2659" i="14" s="1"/>
  <c r="B2659" i="14"/>
  <c r="A2660" i="14"/>
  <c r="D2660" i="14" l="1"/>
  <c r="B2660" i="14"/>
  <c r="C2660" i="14"/>
  <c r="E2660" i="14" s="1"/>
  <c r="A2661" i="14"/>
  <c r="B2661" i="14" l="1"/>
  <c r="C2661" i="14"/>
  <c r="E2661" i="14" s="1"/>
  <c r="D2661" i="14"/>
  <c r="A2662" i="14"/>
  <c r="D2662" i="14" l="1"/>
  <c r="C2662" i="14"/>
  <c r="E2662" i="14" s="1"/>
  <c r="B2662" i="14"/>
  <c r="A2663" i="14"/>
  <c r="D2663" i="14" l="1"/>
  <c r="C2663" i="14"/>
  <c r="E2663" i="14" s="1"/>
  <c r="B2663" i="14"/>
  <c r="A2664" i="14"/>
  <c r="C2664" i="14" l="1"/>
  <c r="E2664" i="14" s="1"/>
  <c r="B2664" i="14"/>
  <c r="D2664" i="14"/>
  <c r="A2665" i="14"/>
  <c r="D2665" i="14" l="1"/>
  <c r="C2665" i="14"/>
  <c r="E2665" i="14" s="1"/>
  <c r="B2665" i="14"/>
  <c r="A2666" i="14"/>
  <c r="B2666" i="14" l="1"/>
  <c r="D2666" i="14"/>
  <c r="C2666" i="14"/>
  <c r="E2666" i="14" s="1"/>
  <c r="A2667" i="14"/>
  <c r="D2667" i="14" l="1"/>
  <c r="C2667" i="14"/>
  <c r="E2667" i="14" s="1"/>
  <c r="B2667" i="14"/>
  <c r="A2668" i="14"/>
  <c r="D2668" i="14" l="1"/>
  <c r="C2668" i="14"/>
  <c r="E2668" i="14" s="1"/>
  <c r="B2668" i="14"/>
  <c r="A2669" i="14"/>
  <c r="B2669" i="14" l="1"/>
  <c r="C2669" i="14"/>
  <c r="E2669" i="14" s="1"/>
  <c r="D2669" i="14"/>
  <c r="A2670" i="14"/>
  <c r="D2670" i="14" l="1"/>
  <c r="C2670" i="14"/>
  <c r="E2670" i="14" s="1"/>
  <c r="B2670" i="14"/>
  <c r="A2671" i="14"/>
  <c r="D2671" i="14" l="1"/>
  <c r="C2671" i="14"/>
  <c r="E2671" i="14" s="1"/>
  <c r="B2671" i="14"/>
  <c r="A2672" i="14"/>
  <c r="C2672" i="14" l="1"/>
  <c r="E2672" i="14" s="1"/>
  <c r="B2672" i="14"/>
  <c r="D2672" i="14"/>
  <c r="A2673" i="14"/>
  <c r="D2673" i="14" l="1"/>
  <c r="C2673" i="14"/>
  <c r="E2673" i="14" s="1"/>
  <c r="B2673" i="14"/>
  <c r="A2674" i="14"/>
  <c r="B2674" i="14" l="1"/>
  <c r="D2674" i="14"/>
  <c r="C2674" i="14"/>
  <c r="E2674" i="14" s="1"/>
  <c r="A2675" i="14"/>
  <c r="D2675" i="14" l="1"/>
  <c r="C2675" i="14"/>
  <c r="E2675" i="14" s="1"/>
  <c r="B2675" i="14"/>
  <c r="A2676" i="14"/>
  <c r="D2676" i="14" l="1"/>
  <c r="C2676" i="14"/>
  <c r="E2676" i="14" s="1"/>
  <c r="B2676" i="14"/>
  <c r="A2677" i="14"/>
  <c r="B2677" i="14" l="1"/>
  <c r="C2677" i="14"/>
  <c r="E2677" i="14" s="1"/>
  <c r="D2677" i="14"/>
  <c r="A2678" i="14"/>
  <c r="D2678" i="14" l="1"/>
  <c r="C2678" i="14"/>
  <c r="E2678" i="14" s="1"/>
  <c r="B2678" i="14"/>
  <c r="A2679" i="14"/>
  <c r="D2679" i="14" l="1"/>
  <c r="C2679" i="14"/>
  <c r="E2679" i="14" s="1"/>
  <c r="B2679" i="14"/>
  <c r="A2680" i="14"/>
  <c r="C2680" i="14" l="1"/>
  <c r="E2680" i="14" s="1"/>
  <c r="B2680" i="14"/>
  <c r="D2680" i="14"/>
  <c r="A2681" i="14"/>
  <c r="D2681" i="14" l="1"/>
  <c r="C2681" i="14"/>
  <c r="E2681" i="14" s="1"/>
  <c r="B2681" i="14"/>
  <c r="A2682" i="14"/>
  <c r="B2682" i="14" l="1"/>
  <c r="C2682" i="14"/>
  <c r="E2682" i="14" s="1"/>
  <c r="D2682" i="14"/>
  <c r="A2683" i="14"/>
  <c r="D2683" i="14" l="1"/>
  <c r="C2683" i="14"/>
  <c r="E2683" i="14" s="1"/>
  <c r="B2683" i="14"/>
  <c r="A2684" i="14"/>
  <c r="D2684" i="14" l="1"/>
  <c r="C2684" i="14"/>
  <c r="E2684" i="14" s="1"/>
  <c r="B2684" i="14"/>
  <c r="A2685" i="14"/>
  <c r="B2685" i="14" l="1"/>
  <c r="C2685" i="14"/>
  <c r="E2685" i="14" s="1"/>
  <c r="D2685" i="14"/>
  <c r="A2686" i="14"/>
  <c r="D2686" i="14" l="1"/>
  <c r="C2686" i="14"/>
  <c r="E2686" i="14" s="1"/>
  <c r="B2686" i="14"/>
  <c r="A2687" i="14"/>
  <c r="D2687" i="14" l="1"/>
  <c r="C2687" i="14"/>
  <c r="E2687" i="14" s="1"/>
  <c r="B2687" i="14"/>
  <c r="A2688" i="14"/>
  <c r="C2688" i="14" l="1"/>
  <c r="E2688" i="14" s="1"/>
  <c r="B2688" i="14"/>
  <c r="D2688" i="14"/>
  <c r="A2689" i="14"/>
  <c r="D2689" i="14" l="1"/>
  <c r="C2689" i="14"/>
  <c r="E2689" i="14" s="1"/>
  <c r="B2689" i="14"/>
  <c r="A2690" i="14"/>
  <c r="B2690" i="14" l="1"/>
  <c r="C2690" i="14"/>
  <c r="E2690" i="14" s="1"/>
  <c r="D2690" i="14"/>
  <c r="A2691" i="14"/>
  <c r="D2691" i="14" l="1"/>
  <c r="C2691" i="14"/>
  <c r="E2691" i="14" s="1"/>
  <c r="B2691" i="14"/>
  <c r="A2692" i="14"/>
  <c r="D2692" i="14" l="1"/>
  <c r="C2692" i="14"/>
  <c r="E2692" i="14" s="1"/>
  <c r="B2692" i="14"/>
  <c r="A2693" i="14"/>
  <c r="B2693" i="14" l="1"/>
  <c r="C2693" i="14"/>
  <c r="E2693" i="14" s="1"/>
  <c r="D2693" i="14"/>
  <c r="A2694" i="14"/>
  <c r="D2694" i="14" l="1"/>
  <c r="C2694" i="14"/>
  <c r="E2694" i="14" s="1"/>
  <c r="B2694" i="14"/>
  <c r="A2695" i="14"/>
  <c r="D2695" i="14" l="1"/>
  <c r="B2695" i="14"/>
  <c r="C2695" i="14"/>
  <c r="E2695" i="14" s="1"/>
  <c r="A2696" i="14"/>
  <c r="C2696" i="14" l="1"/>
  <c r="E2696" i="14" s="1"/>
  <c r="B2696" i="14"/>
  <c r="D2696" i="14"/>
  <c r="A2697" i="14"/>
  <c r="D2697" i="14" l="1"/>
  <c r="C2697" i="14"/>
  <c r="E2697" i="14" s="1"/>
  <c r="B2697" i="14"/>
  <c r="A2698" i="14"/>
  <c r="B2698" i="14" l="1"/>
  <c r="D2698" i="14"/>
  <c r="C2698" i="14"/>
  <c r="E2698" i="14" s="1"/>
  <c r="A2699" i="14"/>
  <c r="D2699" i="14" l="1"/>
  <c r="C2699" i="14"/>
  <c r="E2699" i="14" s="1"/>
  <c r="B2699" i="14"/>
  <c r="A2700" i="14"/>
  <c r="D2700" i="14" l="1"/>
  <c r="C2700" i="14"/>
  <c r="E2700" i="14" s="1"/>
  <c r="B2700" i="14"/>
  <c r="A2701" i="14"/>
  <c r="B2701" i="14" l="1"/>
  <c r="C2701" i="14"/>
  <c r="E2701" i="14" s="1"/>
  <c r="D2701" i="14"/>
  <c r="A2702" i="14"/>
  <c r="D2702" i="14" l="1"/>
  <c r="C2702" i="14"/>
  <c r="E2702" i="14" s="1"/>
  <c r="B2702" i="14"/>
  <c r="A2703" i="14"/>
  <c r="D2703" i="14" l="1"/>
  <c r="C2703" i="14"/>
  <c r="E2703" i="14" s="1"/>
  <c r="B2703" i="14"/>
  <c r="A2704" i="14"/>
  <c r="C2704" i="14" l="1"/>
  <c r="E2704" i="14" s="1"/>
  <c r="B2704" i="14"/>
  <c r="D2704" i="14"/>
  <c r="A2705" i="14"/>
  <c r="D2705" i="14" l="1"/>
  <c r="C2705" i="14"/>
  <c r="E2705" i="14" s="1"/>
  <c r="B2705" i="14"/>
  <c r="A2706" i="14"/>
  <c r="B2706" i="14" l="1"/>
  <c r="D2706" i="14"/>
  <c r="C2706" i="14"/>
  <c r="E2706" i="14" s="1"/>
  <c r="A2707" i="14"/>
  <c r="D2707" i="14" l="1"/>
  <c r="C2707" i="14"/>
  <c r="E2707" i="14" s="1"/>
  <c r="B2707" i="14"/>
  <c r="A2708" i="14"/>
  <c r="D2708" i="14" l="1"/>
  <c r="C2708" i="14"/>
  <c r="E2708" i="14" s="1"/>
  <c r="B2708" i="14"/>
  <c r="A2709" i="14"/>
  <c r="B2709" i="14" l="1"/>
  <c r="C2709" i="14"/>
  <c r="E2709" i="14" s="1"/>
  <c r="D2709" i="14"/>
  <c r="A2710" i="14"/>
  <c r="D2710" i="14" l="1"/>
  <c r="C2710" i="14"/>
  <c r="E2710" i="14" s="1"/>
  <c r="B2710" i="14"/>
  <c r="A2711" i="14"/>
  <c r="D2711" i="14" l="1"/>
  <c r="B2711" i="14"/>
  <c r="C2711" i="14"/>
  <c r="E2711" i="14" s="1"/>
  <c r="A2712" i="14"/>
  <c r="C2712" i="14" l="1"/>
  <c r="E2712" i="14" s="1"/>
  <c r="B2712" i="14"/>
  <c r="D2712" i="14"/>
  <c r="A2713" i="14"/>
  <c r="D2713" i="14" l="1"/>
  <c r="C2713" i="14"/>
  <c r="E2713" i="14" s="1"/>
  <c r="B2713" i="14"/>
  <c r="A2714" i="14"/>
  <c r="B2714" i="14" l="1"/>
  <c r="D2714" i="14"/>
  <c r="C2714" i="14"/>
  <c r="E2714" i="14" s="1"/>
  <c r="A2715" i="14"/>
  <c r="D2715" i="14" l="1"/>
  <c r="C2715" i="14"/>
  <c r="E2715" i="14" s="1"/>
  <c r="B2715" i="14"/>
  <c r="A2716" i="14"/>
  <c r="D2716" i="14" l="1"/>
  <c r="C2716" i="14"/>
  <c r="E2716" i="14" s="1"/>
  <c r="B2716" i="14"/>
  <c r="A2717" i="14"/>
  <c r="B2717" i="14" l="1"/>
  <c r="C2717" i="14"/>
  <c r="E2717" i="14" s="1"/>
  <c r="D2717" i="14"/>
  <c r="A2718" i="14"/>
  <c r="D2718" i="14" l="1"/>
  <c r="C2718" i="14"/>
  <c r="E2718" i="14" s="1"/>
  <c r="B2718" i="14"/>
  <c r="A2719" i="14"/>
  <c r="D2719" i="14" l="1"/>
  <c r="C2719" i="14"/>
  <c r="E2719" i="14" s="1"/>
  <c r="B2719" i="14"/>
  <c r="A2720" i="14"/>
  <c r="C2720" i="14" l="1"/>
  <c r="E2720" i="14" s="1"/>
  <c r="B2720" i="14"/>
  <c r="D2720" i="14"/>
  <c r="A2721" i="14"/>
  <c r="D2721" i="14" l="1"/>
  <c r="C2721" i="14"/>
  <c r="E2721" i="14" s="1"/>
  <c r="B2721" i="14"/>
  <c r="A2722" i="14"/>
  <c r="B2722" i="14" l="1"/>
  <c r="D2722" i="14"/>
  <c r="C2722" i="14"/>
  <c r="E2722" i="14" s="1"/>
  <c r="A2723" i="14"/>
  <c r="D2723" i="14" l="1"/>
  <c r="C2723" i="14"/>
  <c r="E2723" i="14" s="1"/>
  <c r="B2723" i="14"/>
  <c r="A2724" i="14"/>
  <c r="D2724" i="14" l="1"/>
  <c r="C2724" i="14"/>
  <c r="E2724" i="14" s="1"/>
  <c r="B2724" i="14"/>
  <c r="A2725" i="14"/>
  <c r="B2725" i="14" l="1"/>
  <c r="C2725" i="14"/>
  <c r="E2725" i="14" s="1"/>
  <c r="D2725" i="14"/>
  <c r="A2726" i="14"/>
  <c r="D2726" i="14" l="1"/>
  <c r="C2726" i="14"/>
  <c r="E2726" i="14" s="1"/>
  <c r="B2726" i="14"/>
  <c r="A2727" i="14"/>
  <c r="D2727" i="14" l="1"/>
  <c r="C2727" i="14"/>
  <c r="E2727" i="14" s="1"/>
  <c r="B2727" i="14"/>
  <c r="A2728" i="14"/>
  <c r="E2728" i="14" l="1"/>
  <c r="C2728" i="14"/>
  <c r="B2728" i="14"/>
  <c r="D2728" i="14"/>
  <c r="A2729" i="14"/>
  <c r="D2729" i="14" l="1"/>
  <c r="C2729" i="14"/>
  <c r="E2729" i="14" s="1"/>
  <c r="B2729" i="14"/>
  <c r="A2730" i="14"/>
  <c r="B2730" i="14" l="1"/>
  <c r="C2730" i="14"/>
  <c r="E2730" i="14" s="1"/>
  <c r="D2730" i="14"/>
  <c r="A2731" i="14"/>
  <c r="D2731" i="14" l="1"/>
  <c r="C2731" i="14"/>
  <c r="E2731" i="14" s="1"/>
  <c r="B2731" i="14"/>
  <c r="A2732" i="14"/>
  <c r="D2732" i="14" l="1"/>
  <c r="C2732" i="14"/>
  <c r="E2732" i="14" s="1"/>
  <c r="B2732" i="14"/>
  <c r="A2733" i="14"/>
  <c r="B2733" i="14" l="1"/>
  <c r="C2733" i="14"/>
  <c r="E2733" i="14" s="1"/>
  <c r="D2733" i="14"/>
  <c r="A2734" i="14"/>
  <c r="D2734" i="14" l="1"/>
  <c r="C2734" i="14"/>
  <c r="E2734" i="14" s="1"/>
  <c r="B2734" i="14"/>
  <c r="A2735" i="14"/>
  <c r="D2735" i="14" l="1"/>
  <c r="C2735" i="14"/>
  <c r="E2735" i="14" s="1"/>
  <c r="B2735" i="14"/>
  <c r="A2736" i="14"/>
  <c r="C2736" i="14" l="1"/>
  <c r="E2736" i="14" s="1"/>
  <c r="B2736" i="14"/>
  <c r="D2736" i="14"/>
  <c r="A2737" i="14"/>
  <c r="D2737" i="14" l="1"/>
  <c r="C2737" i="14"/>
  <c r="E2737" i="14" s="1"/>
  <c r="B2737" i="14"/>
  <c r="A2738" i="14"/>
  <c r="B2738" i="14" l="1"/>
  <c r="D2738" i="14"/>
  <c r="C2738" i="14"/>
  <c r="E2738" i="14" s="1"/>
  <c r="A2739" i="14"/>
  <c r="D2739" i="14" l="1"/>
  <c r="C2739" i="14"/>
  <c r="E2739" i="14" s="1"/>
  <c r="B2739" i="14"/>
  <c r="A2740" i="14"/>
  <c r="D2740" i="14" l="1"/>
  <c r="C2740" i="14"/>
  <c r="E2740" i="14" s="1"/>
  <c r="B2740" i="14"/>
  <c r="A2741" i="14"/>
  <c r="B2741" i="14" l="1"/>
  <c r="C2741" i="14"/>
  <c r="E2741" i="14" s="1"/>
  <c r="D2741" i="14"/>
  <c r="A2742" i="14"/>
  <c r="D2742" i="14" l="1"/>
  <c r="C2742" i="14"/>
  <c r="E2742" i="14" s="1"/>
  <c r="B2742" i="14"/>
  <c r="A2743" i="14"/>
  <c r="D2743" i="14" l="1"/>
  <c r="B2743" i="14"/>
  <c r="C2743" i="14"/>
  <c r="E2743" i="14" s="1"/>
  <c r="A2744" i="14"/>
  <c r="C2744" i="14" l="1"/>
  <c r="E2744" i="14" s="1"/>
  <c r="B2744" i="14"/>
  <c r="D2744" i="14"/>
  <c r="A2745" i="14"/>
  <c r="D2745" i="14" l="1"/>
  <c r="C2745" i="14"/>
  <c r="E2745" i="14" s="1"/>
  <c r="B2745" i="14"/>
  <c r="A2746" i="14"/>
  <c r="B2746" i="14" l="1"/>
  <c r="D2746" i="14"/>
  <c r="C2746" i="14"/>
  <c r="E2746" i="14" s="1"/>
  <c r="A2747" i="14"/>
  <c r="D2747" i="14" l="1"/>
  <c r="C2747" i="14"/>
  <c r="E2747" i="14" s="1"/>
  <c r="B2747" i="14"/>
  <c r="A2748" i="14"/>
  <c r="D2748" i="14" l="1"/>
  <c r="C2748" i="14"/>
  <c r="E2748" i="14" s="1"/>
  <c r="B2748" i="14"/>
  <c r="A2749" i="14"/>
  <c r="B2749" i="14" l="1"/>
  <c r="C2749" i="14"/>
  <c r="E2749" i="14" s="1"/>
  <c r="D2749" i="14"/>
  <c r="A2750" i="14"/>
  <c r="D2750" i="14" l="1"/>
  <c r="C2750" i="14"/>
  <c r="E2750" i="14" s="1"/>
  <c r="B2750" i="14"/>
  <c r="A2751" i="14"/>
  <c r="D2751" i="14" l="1"/>
  <c r="C2751" i="14"/>
  <c r="E2751" i="14" s="1"/>
  <c r="B2751" i="14"/>
  <c r="A2752" i="14"/>
  <c r="C2752" i="14" l="1"/>
  <c r="E2752" i="14" s="1"/>
  <c r="B2752" i="14"/>
  <c r="D2752" i="14"/>
  <c r="A2753" i="14"/>
  <c r="D2753" i="14" l="1"/>
  <c r="C2753" i="14"/>
  <c r="E2753" i="14" s="1"/>
  <c r="B2753" i="14"/>
  <c r="A2754" i="14"/>
  <c r="B2754" i="14" l="1"/>
  <c r="D2754" i="14"/>
  <c r="C2754" i="14"/>
  <c r="E2754" i="14" s="1"/>
  <c r="A2755" i="14"/>
  <c r="D2755" i="14" l="1"/>
  <c r="C2755" i="14"/>
  <c r="E2755" i="14" s="1"/>
  <c r="B2755" i="14"/>
  <c r="A2756" i="14"/>
  <c r="D2756" i="14" l="1"/>
  <c r="C2756" i="14"/>
  <c r="E2756" i="14" s="1"/>
  <c r="B2756" i="14"/>
  <c r="A2757" i="14"/>
  <c r="B2757" i="14" l="1"/>
  <c r="C2757" i="14"/>
  <c r="E2757" i="14" s="1"/>
  <c r="D2757" i="14"/>
  <c r="A2758" i="14"/>
  <c r="D2758" i="14" l="1"/>
  <c r="C2758" i="14"/>
  <c r="E2758" i="14" s="1"/>
  <c r="B2758" i="14"/>
  <c r="A2759" i="14"/>
  <c r="D2759" i="14" l="1"/>
  <c r="C2759" i="14"/>
  <c r="E2759" i="14" s="1"/>
  <c r="B2759" i="14"/>
  <c r="A2760" i="14"/>
  <c r="C2760" i="14" l="1"/>
  <c r="E2760" i="14" s="1"/>
  <c r="B2760" i="14"/>
  <c r="D2760" i="14"/>
  <c r="A2761" i="14"/>
  <c r="D2761" i="14" l="1"/>
  <c r="C2761" i="14"/>
  <c r="E2761" i="14" s="1"/>
  <c r="B2761" i="14"/>
  <c r="A2762" i="14"/>
  <c r="B2762" i="14" l="1"/>
  <c r="C2762" i="14"/>
  <c r="E2762" i="14" s="1"/>
  <c r="D2762" i="14"/>
  <c r="A2763" i="14"/>
  <c r="D2763" i="14" l="1"/>
  <c r="C2763" i="14"/>
  <c r="E2763" i="14" s="1"/>
  <c r="B2763" i="14"/>
  <c r="A2764" i="14"/>
  <c r="D2764" i="14" l="1"/>
  <c r="C2764" i="14"/>
  <c r="E2764" i="14" s="1"/>
  <c r="B2764" i="14"/>
  <c r="A2765" i="14"/>
  <c r="B2765" i="14" l="1"/>
  <c r="C2765" i="14"/>
  <c r="E2765" i="14" s="1"/>
  <c r="D2765" i="14"/>
  <c r="A2766" i="14"/>
  <c r="D2766" i="14" l="1"/>
  <c r="C2766" i="14"/>
  <c r="E2766" i="14" s="1"/>
  <c r="B2766" i="14"/>
  <c r="A2767" i="14"/>
  <c r="D2767" i="14" l="1"/>
  <c r="C2767" i="14"/>
  <c r="E2767" i="14" s="1"/>
  <c r="B2767" i="14"/>
  <c r="A2768" i="14"/>
  <c r="C2768" i="14" l="1"/>
  <c r="E2768" i="14" s="1"/>
  <c r="B2768" i="14"/>
  <c r="D2768" i="14"/>
  <c r="A2769" i="14"/>
  <c r="D2769" i="14" l="1"/>
  <c r="C2769" i="14"/>
  <c r="E2769" i="14" s="1"/>
  <c r="B2769" i="14"/>
  <c r="A2770" i="14"/>
  <c r="B2770" i="14" l="1"/>
  <c r="D2770" i="14"/>
  <c r="C2770" i="14"/>
  <c r="E2770" i="14" s="1"/>
  <c r="A2771" i="14"/>
  <c r="D2771" i="14" l="1"/>
  <c r="C2771" i="14"/>
  <c r="E2771" i="14" s="1"/>
  <c r="B2771" i="14"/>
  <c r="A2772" i="14"/>
  <c r="D2772" i="14" l="1"/>
  <c r="C2772" i="14"/>
  <c r="E2772" i="14" s="1"/>
  <c r="B2772" i="14"/>
  <c r="A2773" i="14"/>
  <c r="B2773" i="14" l="1"/>
  <c r="C2773" i="14"/>
  <c r="E2773" i="14" s="1"/>
  <c r="D2773" i="14"/>
  <c r="A2774" i="14"/>
  <c r="D2774" i="14" l="1"/>
  <c r="C2774" i="14"/>
  <c r="E2774" i="14" s="1"/>
  <c r="B2774" i="14"/>
  <c r="A2775" i="14"/>
  <c r="D2775" i="14" l="1"/>
  <c r="B2775" i="14"/>
  <c r="C2775" i="14"/>
  <c r="E2775" i="14" s="1"/>
  <c r="A2776" i="14"/>
  <c r="C2776" i="14" l="1"/>
  <c r="E2776" i="14" s="1"/>
  <c r="B2776" i="14"/>
  <c r="D2776" i="14"/>
  <c r="A2777" i="14"/>
  <c r="D2777" i="14" l="1"/>
  <c r="C2777" i="14"/>
  <c r="E2777" i="14" s="1"/>
  <c r="B2777" i="14"/>
  <c r="A2778" i="14"/>
  <c r="B2778" i="14" l="1"/>
  <c r="D2778" i="14"/>
  <c r="C2778" i="14"/>
  <c r="E2778" i="14" s="1"/>
  <c r="A2779" i="14"/>
  <c r="D2779" i="14" l="1"/>
  <c r="C2779" i="14"/>
  <c r="E2779" i="14" s="1"/>
  <c r="B2779" i="14"/>
  <c r="A2780" i="14"/>
  <c r="D2780" i="14" l="1"/>
  <c r="C2780" i="14"/>
  <c r="E2780" i="14" s="1"/>
  <c r="B2780" i="14"/>
  <c r="A2781" i="14"/>
  <c r="B2781" i="14" l="1"/>
  <c r="C2781" i="14"/>
  <c r="E2781" i="14" s="1"/>
  <c r="D2781" i="14"/>
  <c r="A2782" i="14"/>
  <c r="D2782" i="14" l="1"/>
  <c r="C2782" i="14"/>
  <c r="E2782" i="14" s="1"/>
  <c r="B2782" i="14"/>
  <c r="A2783" i="14"/>
  <c r="D2783" i="14" l="1"/>
  <c r="C2783" i="14"/>
  <c r="E2783" i="14" s="1"/>
  <c r="B2783" i="14"/>
  <c r="A2784" i="14"/>
  <c r="C2784" i="14" l="1"/>
  <c r="E2784" i="14" s="1"/>
  <c r="B2784" i="14"/>
  <c r="D2784" i="14"/>
  <c r="A2785" i="14"/>
  <c r="D2785" i="14" l="1"/>
  <c r="C2785" i="14"/>
  <c r="E2785" i="14" s="1"/>
  <c r="B2785" i="14"/>
  <c r="A2786" i="14"/>
  <c r="B2786" i="14" l="1"/>
  <c r="D2786" i="14"/>
  <c r="C2786" i="14"/>
  <c r="E2786" i="14" s="1"/>
  <c r="A2787" i="14"/>
  <c r="D2787" i="14" l="1"/>
  <c r="C2787" i="14"/>
  <c r="E2787" i="14" s="1"/>
  <c r="B2787" i="14"/>
  <c r="A2788" i="14"/>
  <c r="D2788" i="14" l="1"/>
  <c r="C2788" i="14"/>
  <c r="E2788" i="14" s="1"/>
  <c r="B2788" i="14"/>
  <c r="A2789" i="14"/>
  <c r="B2789" i="14" l="1"/>
  <c r="C2789" i="14"/>
  <c r="E2789" i="14" s="1"/>
  <c r="D2789" i="14"/>
  <c r="A2790" i="14"/>
  <c r="D2790" i="14" l="1"/>
  <c r="C2790" i="14"/>
  <c r="E2790" i="14" s="1"/>
  <c r="B2790" i="14"/>
  <c r="A2791" i="14"/>
  <c r="D2791" i="14" l="1"/>
  <c r="C2791" i="14"/>
  <c r="E2791" i="14" s="1"/>
  <c r="B2791" i="14"/>
  <c r="A2792" i="14"/>
  <c r="C2792" i="14" l="1"/>
  <c r="E2792" i="14" s="1"/>
  <c r="B2792" i="14"/>
  <c r="D2792" i="14"/>
  <c r="A2793" i="14"/>
  <c r="D2793" i="14" l="1"/>
  <c r="C2793" i="14"/>
  <c r="E2793" i="14" s="1"/>
  <c r="B2793" i="14"/>
  <c r="A2794" i="14"/>
  <c r="B2794" i="14" l="1"/>
  <c r="C2794" i="14"/>
  <c r="E2794" i="14" s="1"/>
  <c r="D2794" i="14"/>
  <c r="A2795" i="14"/>
  <c r="D2795" i="14" l="1"/>
  <c r="C2795" i="14"/>
  <c r="E2795" i="14" s="1"/>
  <c r="B2795" i="14"/>
  <c r="A2796" i="14"/>
  <c r="D2796" i="14" l="1"/>
  <c r="C2796" i="14"/>
  <c r="E2796" i="14" s="1"/>
  <c r="B2796" i="14"/>
  <c r="A2797" i="14"/>
  <c r="B2797" i="14" l="1"/>
  <c r="C2797" i="14"/>
  <c r="E2797" i="14" s="1"/>
  <c r="D2797" i="14"/>
  <c r="A2798" i="14"/>
  <c r="D2798" i="14" l="1"/>
  <c r="C2798" i="14"/>
  <c r="E2798" i="14" s="1"/>
  <c r="B2798" i="14"/>
  <c r="A2799" i="14"/>
  <c r="D2799" i="14" l="1"/>
  <c r="C2799" i="14"/>
  <c r="E2799" i="14" s="1"/>
  <c r="B2799" i="14"/>
  <c r="A2800" i="14"/>
  <c r="C2800" i="14" l="1"/>
  <c r="E2800" i="14" s="1"/>
  <c r="B2800" i="14"/>
  <c r="D2800" i="14"/>
  <c r="A2801" i="14"/>
  <c r="D2801" i="14" l="1"/>
  <c r="C2801" i="14"/>
  <c r="E2801" i="14" s="1"/>
  <c r="B2801" i="14"/>
  <c r="A2802" i="14"/>
  <c r="B2802" i="14" l="1"/>
  <c r="D2802" i="14"/>
  <c r="C2802" i="14"/>
  <c r="E2802" i="14" s="1"/>
  <c r="A2803" i="14"/>
  <c r="D2803" i="14" l="1"/>
  <c r="C2803" i="14"/>
  <c r="E2803" i="14" s="1"/>
  <c r="B2803" i="14"/>
  <c r="A2804" i="14"/>
  <c r="D2804" i="14" l="1"/>
  <c r="C2804" i="14"/>
  <c r="E2804" i="14" s="1"/>
  <c r="B2804" i="14"/>
  <c r="A2805" i="14"/>
  <c r="B2805" i="14" l="1"/>
  <c r="C2805" i="14"/>
  <c r="E2805" i="14" s="1"/>
  <c r="D2805" i="14"/>
  <c r="A2806" i="14"/>
  <c r="D2806" i="14" l="1"/>
  <c r="C2806" i="14"/>
  <c r="E2806" i="14" s="1"/>
  <c r="B2806" i="14"/>
  <c r="A2807" i="14"/>
  <c r="D2807" i="14" l="1"/>
  <c r="B2807" i="14"/>
  <c r="C2807" i="14"/>
  <c r="E2807" i="14" s="1"/>
  <c r="A2808" i="14"/>
  <c r="C2808" i="14" l="1"/>
  <c r="E2808" i="14" s="1"/>
  <c r="B2808" i="14"/>
  <c r="D2808" i="14"/>
  <c r="A2809" i="14"/>
  <c r="D2809" i="14" l="1"/>
  <c r="C2809" i="14"/>
  <c r="E2809" i="14" s="1"/>
  <c r="B2809" i="14"/>
  <c r="A2810" i="14"/>
  <c r="B2810" i="14" l="1"/>
  <c r="D2810" i="14"/>
  <c r="C2810" i="14"/>
  <c r="E2810" i="14" s="1"/>
  <c r="A2811" i="14"/>
  <c r="D2811" i="14" l="1"/>
  <c r="C2811" i="14"/>
  <c r="E2811" i="14" s="1"/>
  <c r="B2811" i="14"/>
  <c r="A2812" i="14"/>
  <c r="D2812" i="14" l="1"/>
  <c r="C2812" i="14"/>
  <c r="E2812" i="14" s="1"/>
  <c r="B2812" i="14"/>
  <c r="A2813" i="14"/>
  <c r="B2813" i="14" l="1"/>
  <c r="C2813" i="14"/>
  <c r="E2813" i="14" s="1"/>
  <c r="D2813" i="14"/>
  <c r="A2814" i="14"/>
  <c r="D2814" i="14" l="1"/>
  <c r="C2814" i="14"/>
  <c r="E2814" i="14" s="1"/>
  <c r="B2814" i="14"/>
  <c r="A2815" i="14"/>
  <c r="D2815" i="14" l="1"/>
  <c r="C2815" i="14"/>
  <c r="E2815" i="14" s="1"/>
  <c r="B2815" i="14"/>
  <c r="A2816" i="14"/>
  <c r="C2816" i="14" l="1"/>
  <c r="E2816" i="14" s="1"/>
  <c r="B2816" i="14"/>
  <c r="D2816" i="14"/>
  <c r="A2817" i="14"/>
  <c r="D2817" i="14" l="1"/>
  <c r="C2817" i="14"/>
  <c r="E2817" i="14" s="1"/>
  <c r="B2817" i="14"/>
  <c r="A2818" i="14"/>
  <c r="B2818" i="14" l="1"/>
  <c r="D2818" i="14"/>
  <c r="C2818" i="14"/>
  <c r="E2818" i="14" s="1"/>
  <c r="A2819" i="14"/>
  <c r="D2819" i="14" l="1"/>
  <c r="C2819" i="14"/>
  <c r="E2819" i="14" s="1"/>
  <c r="B2819" i="14"/>
  <c r="A2820" i="14"/>
  <c r="D2820" i="14" l="1"/>
  <c r="C2820" i="14"/>
  <c r="E2820" i="14" s="1"/>
  <c r="B2820" i="14"/>
  <c r="A2821" i="14"/>
  <c r="B2821" i="14" l="1"/>
  <c r="C2821" i="14"/>
  <c r="E2821" i="14" s="1"/>
  <c r="D2821" i="14"/>
  <c r="A2822" i="14"/>
  <c r="D2822" i="14" l="1"/>
  <c r="C2822" i="14"/>
  <c r="E2822" i="14" s="1"/>
  <c r="B2822" i="14"/>
  <c r="A2823" i="14"/>
  <c r="D2823" i="14" l="1"/>
  <c r="C2823" i="14"/>
  <c r="E2823" i="14" s="1"/>
  <c r="B2823" i="14"/>
  <c r="A2824" i="14"/>
  <c r="C2824" i="14" l="1"/>
  <c r="E2824" i="14" s="1"/>
  <c r="B2824" i="14"/>
  <c r="D2824" i="14"/>
  <c r="A2825" i="14"/>
  <c r="D2825" i="14" l="1"/>
  <c r="C2825" i="14"/>
  <c r="E2825" i="14" s="1"/>
  <c r="B2825" i="14"/>
  <c r="A2826" i="14"/>
  <c r="D2826" i="14" l="1"/>
  <c r="B2826" i="14"/>
  <c r="C2826" i="14"/>
  <c r="E2826" i="14" s="1"/>
  <c r="A2827" i="14"/>
  <c r="D2827" i="14" l="1"/>
  <c r="C2827" i="14"/>
  <c r="E2827" i="14" s="1"/>
  <c r="B2827" i="14"/>
  <c r="A2828" i="14"/>
  <c r="D2828" i="14" l="1"/>
  <c r="C2828" i="14"/>
  <c r="E2828" i="14" s="1"/>
  <c r="B2828" i="14"/>
  <c r="A2829" i="14"/>
  <c r="B2829" i="14" l="1"/>
  <c r="C2829" i="14"/>
  <c r="E2829" i="14" s="1"/>
  <c r="D2829" i="14"/>
  <c r="A2830" i="14"/>
  <c r="D2830" i="14" l="1"/>
  <c r="C2830" i="14"/>
  <c r="E2830" i="14" s="1"/>
  <c r="B2830" i="14"/>
  <c r="A2831" i="14"/>
  <c r="D2831" i="14" l="1"/>
  <c r="C2831" i="14"/>
  <c r="E2831" i="14" s="1"/>
  <c r="B2831" i="14"/>
  <c r="A2832" i="14"/>
  <c r="C2832" i="14" l="1"/>
  <c r="E2832" i="14" s="1"/>
  <c r="B2832" i="14"/>
  <c r="D2832" i="14"/>
  <c r="A2833" i="14"/>
  <c r="D2833" i="14" l="1"/>
  <c r="C2833" i="14"/>
  <c r="E2833" i="14" s="1"/>
  <c r="B2833" i="14"/>
  <c r="A2834" i="14"/>
  <c r="D2834" i="14" l="1"/>
  <c r="B2834" i="14"/>
  <c r="C2834" i="14"/>
  <c r="E2834" i="14" s="1"/>
  <c r="A2835" i="14"/>
  <c r="D2835" i="14" l="1"/>
  <c r="C2835" i="14"/>
  <c r="E2835" i="14" s="1"/>
  <c r="B2835" i="14"/>
  <c r="A2836" i="14"/>
  <c r="D2836" i="14" l="1"/>
  <c r="C2836" i="14"/>
  <c r="E2836" i="14" s="1"/>
  <c r="B2836" i="14"/>
  <c r="A2837" i="14"/>
  <c r="B2837" i="14" l="1"/>
  <c r="C2837" i="14"/>
  <c r="E2837" i="14" s="1"/>
  <c r="D2837" i="14"/>
  <c r="A2838" i="14"/>
  <c r="D2838" i="14" l="1"/>
  <c r="C2838" i="14"/>
  <c r="E2838" i="14" s="1"/>
  <c r="B2838" i="14"/>
  <c r="A2839" i="14"/>
  <c r="D2839" i="14" l="1"/>
  <c r="C2839" i="14"/>
  <c r="E2839" i="14" s="1"/>
  <c r="B2839" i="14"/>
  <c r="A2840" i="14"/>
  <c r="C2840" i="14" l="1"/>
  <c r="E2840" i="14" s="1"/>
  <c r="B2840" i="14"/>
  <c r="D2840" i="14"/>
  <c r="A2841" i="14"/>
  <c r="D2841" i="14" l="1"/>
  <c r="C2841" i="14"/>
  <c r="E2841" i="14" s="1"/>
  <c r="B2841" i="14"/>
  <c r="A2842" i="14"/>
  <c r="D2842" i="14" l="1"/>
  <c r="B2842" i="14"/>
  <c r="C2842" i="14"/>
  <c r="E2842" i="14" s="1"/>
  <c r="A2843" i="14"/>
  <c r="D2843" i="14" l="1"/>
  <c r="C2843" i="14"/>
  <c r="E2843" i="14" s="1"/>
  <c r="B2843" i="14"/>
  <c r="A2844" i="14"/>
  <c r="D2844" i="14" l="1"/>
  <c r="C2844" i="14"/>
  <c r="E2844" i="14" s="1"/>
  <c r="B2844" i="14"/>
  <c r="A2845" i="14"/>
  <c r="B2845" i="14" l="1"/>
  <c r="C2845" i="14"/>
  <c r="E2845" i="14" s="1"/>
  <c r="D2845" i="14"/>
  <c r="A2846" i="14"/>
  <c r="D2846" i="14" l="1"/>
  <c r="C2846" i="14"/>
  <c r="E2846" i="14" s="1"/>
  <c r="B2846" i="14"/>
  <c r="A2847" i="14"/>
  <c r="D2847" i="14" l="1"/>
  <c r="C2847" i="14"/>
  <c r="E2847" i="14" s="1"/>
  <c r="B2847" i="14"/>
  <c r="A2848" i="14"/>
  <c r="C2848" i="14" l="1"/>
  <c r="E2848" i="14" s="1"/>
  <c r="B2848" i="14"/>
  <c r="D2848" i="14"/>
  <c r="A2849" i="14"/>
  <c r="D2849" i="14" l="1"/>
  <c r="C2849" i="14"/>
  <c r="E2849" i="14" s="1"/>
  <c r="B2849" i="14"/>
  <c r="A2850" i="14"/>
  <c r="D2850" i="14" l="1"/>
  <c r="B2850" i="14"/>
  <c r="C2850" i="14"/>
  <c r="E2850" i="14" s="1"/>
  <c r="A2851" i="14"/>
  <c r="D2851" i="14" l="1"/>
  <c r="C2851" i="14"/>
  <c r="E2851" i="14" s="1"/>
  <c r="B2851" i="14"/>
  <c r="A2852" i="14"/>
  <c r="D2852" i="14" l="1"/>
  <c r="C2852" i="14"/>
  <c r="E2852" i="14" s="1"/>
  <c r="B2852" i="14"/>
  <c r="A2853" i="14"/>
  <c r="B2853" i="14" l="1"/>
  <c r="C2853" i="14"/>
  <c r="E2853" i="14" s="1"/>
  <c r="D2853" i="14"/>
  <c r="A2854" i="14"/>
  <c r="D2854" i="14" l="1"/>
  <c r="C2854" i="14"/>
  <c r="E2854" i="14" s="1"/>
  <c r="B2854" i="14"/>
  <c r="A2855" i="14"/>
  <c r="D2855" i="14" l="1"/>
  <c r="C2855" i="14"/>
  <c r="E2855" i="14" s="1"/>
  <c r="B2855" i="14"/>
  <c r="A2856" i="14"/>
  <c r="C2856" i="14" l="1"/>
  <c r="E2856" i="14" s="1"/>
  <c r="B2856" i="14"/>
  <c r="D2856" i="14"/>
  <c r="A2857" i="14"/>
  <c r="D2857" i="14" l="1"/>
  <c r="C2857" i="14"/>
  <c r="E2857" i="14" s="1"/>
  <c r="B2857" i="14"/>
  <c r="A2858" i="14"/>
  <c r="D2858" i="14" l="1"/>
  <c r="B2858" i="14"/>
  <c r="C2858" i="14"/>
  <c r="E2858" i="14" s="1"/>
  <c r="A2859" i="14"/>
  <c r="D2859" i="14" l="1"/>
  <c r="C2859" i="14"/>
  <c r="E2859" i="14" s="1"/>
  <c r="B2859" i="14"/>
  <c r="A2860" i="14"/>
  <c r="D2860" i="14" l="1"/>
  <c r="C2860" i="14"/>
  <c r="E2860" i="14" s="1"/>
  <c r="B2860" i="14"/>
  <c r="A2861" i="14"/>
  <c r="B2861" i="14" l="1"/>
  <c r="C2861" i="14"/>
  <c r="E2861" i="14" s="1"/>
  <c r="D2861" i="14"/>
  <c r="A2862" i="14"/>
  <c r="D2862" i="14" l="1"/>
  <c r="C2862" i="14"/>
  <c r="E2862" i="14" s="1"/>
  <c r="B2862" i="14"/>
  <c r="A2863" i="14"/>
  <c r="D2863" i="14" l="1"/>
  <c r="C2863" i="14"/>
  <c r="E2863" i="14" s="1"/>
  <c r="B2863" i="14"/>
  <c r="A2864" i="14"/>
  <c r="C2864" i="14" l="1"/>
  <c r="E2864" i="14" s="1"/>
  <c r="B2864" i="14"/>
  <c r="D2864" i="14"/>
  <c r="A2865" i="14"/>
  <c r="D2865" i="14" l="1"/>
  <c r="C2865" i="14"/>
  <c r="E2865" i="14" s="1"/>
  <c r="B2865" i="14"/>
  <c r="A2866" i="14"/>
  <c r="D2866" i="14" l="1"/>
  <c r="B2866" i="14"/>
  <c r="C2866" i="14"/>
  <c r="E2866" i="14" s="1"/>
  <c r="A2867" i="14"/>
  <c r="D2867" i="14" l="1"/>
  <c r="C2867" i="14"/>
  <c r="E2867" i="14" s="1"/>
  <c r="B2867" i="14"/>
  <c r="A2868" i="14"/>
  <c r="D2868" i="14" l="1"/>
  <c r="C2868" i="14"/>
  <c r="E2868" i="14" s="1"/>
  <c r="B2868" i="14"/>
  <c r="A2869" i="14"/>
  <c r="B2869" i="14" l="1"/>
  <c r="C2869" i="14"/>
  <c r="E2869" i="14" s="1"/>
  <c r="D2869" i="14"/>
  <c r="A2870" i="14"/>
  <c r="D2870" i="14" l="1"/>
  <c r="C2870" i="14"/>
  <c r="E2870" i="14" s="1"/>
  <c r="B2870" i="14"/>
  <c r="A2871" i="14"/>
  <c r="D2871" i="14" l="1"/>
  <c r="C2871" i="14"/>
  <c r="E2871" i="14" s="1"/>
  <c r="B2871" i="14"/>
  <c r="A2872" i="14"/>
  <c r="C2872" i="14" l="1"/>
  <c r="E2872" i="14" s="1"/>
  <c r="B2872" i="14"/>
  <c r="D2872" i="14"/>
  <c r="A2873" i="14"/>
  <c r="D2873" i="14" l="1"/>
  <c r="C2873" i="14"/>
  <c r="E2873" i="14" s="1"/>
  <c r="B2873" i="14"/>
  <c r="A2874" i="14"/>
  <c r="D2874" i="14" l="1"/>
  <c r="B2874" i="14"/>
  <c r="C2874" i="14"/>
  <c r="E2874" i="14" s="1"/>
  <c r="A2875" i="14"/>
  <c r="D2875" i="14" l="1"/>
  <c r="C2875" i="14"/>
  <c r="E2875" i="14" s="1"/>
  <c r="B2875" i="14"/>
  <c r="A2876" i="14"/>
  <c r="D2876" i="14" l="1"/>
  <c r="C2876" i="14"/>
  <c r="E2876" i="14" s="1"/>
  <c r="B2876" i="14"/>
  <c r="A2877" i="14"/>
  <c r="B2877" i="14" l="1"/>
  <c r="C2877" i="14"/>
  <c r="E2877" i="14" s="1"/>
  <c r="D2877" i="14"/>
  <c r="A2878" i="14"/>
  <c r="D2878" i="14" l="1"/>
  <c r="C2878" i="14"/>
  <c r="E2878" i="14" s="1"/>
  <c r="B2878" i="14"/>
  <c r="A2879" i="14"/>
  <c r="D2879" i="14" l="1"/>
  <c r="C2879" i="14"/>
  <c r="E2879" i="14" s="1"/>
  <c r="B2879" i="14"/>
  <c r="A2880" i="14"/>
  <c r="C2880" i="14" l="1"/>
  <c r="E2880" i="14" s="1"/>
  <c r="B2880" i="14"/>
  <c r="D2880" i="14"/>
  <c r="A2881" i="14"/>
  <c r="D2881" i="14" l="1"/>
  <c r="C2881" i="14"/>
  <c r="E2881" i="14" s="1"/>
  <c r="B2881" i="14"/>
  <c r="A2882" i="14"/>
  <c r="D2882" i="14" l="1"/>
  <c r="B2882" i="14"/>
  <c r="C2882" i="14"/>
  <c r="E2882" i="14" s="1"/>
  <c r="A2883" i="14"/>
  <c r="D2883" i="14" l="1"/>
  <c r="C2883" i="14"/>
  <c r="E2883" i="14" s="1"/>
  <c r="B2883" i="14"/>
  <c r="A2884" i="14"/>
  <c r="D2884" i="14" l="1"/>
  <c r="C2884" i="14"/>
  <c r="E2884" i="14" s="1"/>
  <c r="B2884" i="14"/>
  <c r="A2885" i="14"/>
  <c r="B2885" i="14" l="1"/>
  <c r="C2885" i="14"/>
  <c r="E2885" i="14" s="1"/>
  <c r="D2885" i="14"/>
  <c r="A2886" i="14"/>
  <c r="D2886" i="14" l="1"/>
  <c r="C2886" i="14"/>
  <c r="E2886" i="14" s="1"/>
  <c r="B2886" i="14"/>
  <c r="A2887" i="14"/>
  <c r="D2887" i="14" l="1"/>
  <c r="C2887" i="14"/>
  <c r="E2887" i="14" s="1"/>
  <c r="B2887" i="14"/>
  <c r="A2888" i="14"/>
  <c r="C2888" i="14" l="1"/>
  <c r="E2888" i="14" s="1"/>
  <c r="B2888" i="14"/>
  <c r="D2888" i="14"/>
  <c r="A2889" i="14"/>
  <c r="D2889" i="14" l="1"/>
  <c r="C2889" i="14"/>
  <c r="E2889" i="14" s="1"/>
  <c r="B2889" i="14"/>
  <c r="A2890" i="14"/>
  <c r="D2890" i="14" l="1"/>
  <c r="B2890" i="14"/>
  <c r="C2890" i="14"/>
  <c r="E2890" i="14" s="1"/>
  <c r="A2891" i="14"/>
  <c r="D2891" i="14" l="1"/>
  <c r="C2891" i="14"/>
  <c r="E2891" i="14" s="1"/>
  <c r="B2891" i="14"/>
  <c r="A2892" i="14"/>
  <c r="D2892" i="14" l="1"/>
  <c r="C2892" i="14"/>
  <c r="E2892" i="14" s="1"/>
  <c r="B2892" i="14"/>
  <c r="A2893" i="14"/>
  <c r="B2893" i="14" l="1"/>
  <c r="C2893" i="14"/>
  <c r="E2893" i="14" s="1"/>
  <c r="D2893" i="14"/>
  <c r="A2894" i="14"/>
  <c r="D2894" i="14" l="1"/>
  <c r="C2894" i="14"/>
  <c r="E2894" i="14" s="1"/>
  <c r="B2894" i="14"/>
  <c r="A2895" i="14"/>
  <c r="D2895" i="14" l="1"/>
  <c r="C2895" i="14"/>
  <c r="E2895" i="14" s="1"/>
  <c r="B2895" i="14"/>
  <c r="A2896" i="14"/>
  <c r="C2896" i="14" l="1"/>
  <c r="E2896" i="14" s="1"/>
  <c r="B2896" i="14"/>
  <c r="D2896" i="14"/>
  <c r="A2897" i="14"/>
  <c r="D2897" i="14" l="1"/>
  <c r="C2897" i="14"/>
  <c r="E2897" i="14" s="1"/>
  <c r="B2897" i="14"/>
  <c r="A2898" i="14"/>
  <c r="D2898" i="14" l="1"/>
  <c r="B2898" i="14"/>
  <c r="C2898" i="14"/>
  <c r="E2898" i="14" s="1"/>
  <c r="A2899" i="14"/>
  <c r="D2899" i="14" l="1"/>
  <c r="C2899" i="14"/>
  <c r="E2899" i="14" s="1"/>
  <c r="B2899" i="14"/>
  <c r="A2900" i="14"/>
  <c r="D2900" i="14" l="1"/>
  <c r="C2900" i="14"/>
  <c r="E2900" i="14" s="1"/>
  <c r="B2900" i="14"/>
  <c r="A2901" i="14"/>
  <c r="B2901" i="14" l="1"/>
  <c r="C2901" i="14"/>
  <c r="E2901" i="14" s="1"/>
  <c r="D2901" i="14"/>
  <c r="A2902" i="14"/>
  <c r="D2902" i="14" l="1"/>
  <c r="C2902" i="14"/>
  <c r="E2902" i="14" s="1"/>
  <c r="B2902" i="14"/>
  <c r="A2903" i="14"/>
  <c r="D2903" i="14" l="1"/>
  <c r="C2903" i="14"/>
  <c r="E2903" i="14" s="1"/>
  <c r="B2903" i="14"/>
  <c r="A2904" i="14"/>
  <c r="C2904" i="14" l="1"/>
  <c r="E2904" i="14" s="1"/>
  <c r="B2904" i="14"/>
  <c r="D2904" i="14"/>
  <c r="A2905" i="14"/>
  <c r="D2905" i="14" l="1"/>
  <c r="C2905" i="14"/>
  <c r="E2905" i="14" s="1"/>
  <c r="B2905" i="14"/>
  <c r="A2906" i="14"/>
  <c r="D2906" i="14" l="1"/>
  <c r="B2906" i="14"/>
  <c r="C2906" i="14"/>
  <c r="E2906" i="14" s="1"/>
  <c r="A2907" i="14"/>
  <c r="D2907" i="14" l="1"/>
  <c r="C2907" i="14"/>
  <c r="E2907" i="14" s="1"/>
  <c r="B2907" i="14"/>
  <c r="A2908" i="14"/>
  <c r="D2908" i="14" l="1"/>
  <c r="C2908" i="14"/>
  <c r="E2908" i="14" s="1"/>
  <c r="B2908" i="14"/>
  <c r="A2909" i="14"/>
  <c r="B2909" i="14" l="1"/>
  <c r="C2909" i="14"/>
  <c r="E2909" i="14" s="1"/>
  <c r="D2909" i="14"/>
  <c r="A2910" i="14"/>
  <c r="D2910" i="14" l="1"/>
  <c r="C2910" i="14"/>
  <c r="E2910" i="14" s="1"/>
  <c r="B2910" i="14"/>
  <c r="A2911" i="14"/>
  <c r="D2911" i="14" l="1"/>
  <c r="C2911" i="14"/>
  <c r="E2911" i="14" s="1"/>
  <c r="B2911" i="14"/>
  <c r="A2912" i="14"/>
  <c r="C2912" i="14" l="1"/>
  <c r="E2912" i="14" s="1"/>
  <c r="B2912" i="14"/>
  <c r="D2912" i="14"/>
  <c r="A2913" i="14"/>
  <c r="D2913" i="14" l="1"/>
  <c r="C2913" i="14"/>
  <c r="E2913" i="14" s="1"/>
  <c r="B2913" i="14"/>
  <c r="A2914" i="14"/>
  <c r="D2914" i="14" l="1"/>
  <c r="B2914" i="14"/>
  <c r="C2914" i="14"/>
  <c r="E2914" i="14" s="1"/>
  <c r="A2915" i="14"/>
  <c r="D2915" i="14" l="1"/>
  <c r="C2915" i="14"/>
  <c r="E2915" i="14" s="1"/>
  <c r="B2915" i="14"/>
  <c r="A2916" i="14"/>
  <c r="D2916" i="14" l="1"/>
  <c r="C2916" i="14"/>
  <c r="E2916" i="14" s="1"/>
  <c r="B2916" i="14"/>
  <c r="A2917" i="14"/>
  <c r="B2917" i="14" l="1"/>
  <c r="C2917" i="14"/>
  <c r="E2917" i="14" s="1"/>
  <c r="D2917" i="14"/>
  <c r="A2918" i="14"/>
  <c r="D2918" i="14" l="1"/>
  <c r="C2918" i="14"/>
  <c r="E2918" i="14" s="1"/>
  <c r="B2918" i="14"/>
  <c r="A2919" i="14"/>
  <c r="D2919" i="14" l="1"/>
  <c r="C2919" i="14"/>
  <c r="E2919" i="14" s="1"/>
  <c r="B2919" i="14"/>
  <c r="A2920" i="14"/>
  <c r="C2920" i="14" l="1"/>
  <c r="E2920" i="14" s="1"/>
  <c r="B2920" i="14"/>
  <c r="D2920" i="14"/>
  <c r="A2921" i="14"/>
  <c r="D2921" i="14" l="1"/>
  <c r="C2921" i="14"/>
  <c r="E2921" i="14" s="1"/>
  <c r="B2921" i="14"/>
  <c r="A2922" i="14"/>
  <c r="D2922" i="14" l="1"/>
  <c r="B2922" i="14"/>
  <c r="C2922" i="14"/>
  <c r="E2922" i="14" s="1"/>
  <c r="A2923" i="14"/>
  <c r="D2923" i="14" l="1"/>
  <c r="C2923" i="14"/>
  <c r="E2923" i="14" s="1"/>
  <c r="B2923" i="14"/>
  <c r="A2924" i="14"/>
  <c r="D2924" i="14" l="1"/>
  <c r="C2924" i="14"/>
  <c r="E2924" i="14" s="1"/>
  <c r="B2924" i="14"/>
  <c r="A2925" i="14"/>
  <c r="B2925" i="14" l="1"/>
  <c r="C2925" i="14"/>
  <c r="E2925" i="14" s="1"/>
  <c r="D2925" i="14"/>
  <c r="A2926" i="14"/>
  <c r="D2926" i="14" l="1"/>
  <c r="C2926" i="14"/>
  <c r="E2926" i="14" s="1"/>
  <c r="B2926" i="14"/>
  <c r="A2927" i="14"/>
  <c r="D2927" i="14" l="1"/>
  <c r="C2927" i="14"/>
  <c r="E2927" i="14" s="1"/>
  <c r="B2927" i="14"/>
  <c r="A2928" i="14"/>
  <c r="C2928" i="14" l="1"/>
  <c r="E2928" i="14" s="1"/>
  <c r="B2928" i="14"/>
  <c r="D2928" i="14"/>
  <c r="A2929" i="14"/>
  <c r="D2929" i="14" l="1"/>
  <c r="C2929" i="14"/>
  <c r="E2929" i="14" s="1"/>
  <c r="B2929" i="14"/>
  <c r="A2930" i="14"/>
  <c r="D2930" i="14" l="1"/>
  <c r="B2930" i="14"/>
  <c r="C2930" i="14"/>
  <c r="E2930" i="14" s="1"/>
  <c r="A2931" i="14"/>
  <c r="D2931" i="14" l="1"/>
  <c r="C2931" i="14"/>
  <c r="E2931" i="14" s="1"/>
  <c r="B2931" i="14"/>
  <c r="A2932" i="14"/>
  <c r="D2932" i="14" l="1"/>
  <c r="C2932" i="14"/>
  <c r="E2932" i="14" s="1"/>
  <c r="B2932" i="14"/>
  <c r="A2933" i="14"/>
  <c r="B2933" i="14" l="1"/>
  <c r="C2933" i="14"/>
  <c r="E2933" i="14" s="1"/>
  <c r="D2933" i="14"/>
  <c r="A2934" i="14"/>
  <c r="D2934" i="14" l="1"/>
  <c r="C2934" i="14"/>
  <c r="E2934" i="14" s="1"/>
  <c r="B2934" i="14"/>
  <c r="A2935" i="14"/>
  <c r="D2935" i="14" l="1"/>
  <c r="C2935" i="14"/>
  <c r="E2935" i="14" s="1"/>
  <c r="B2935" i="14"/>
  <c r="A2936" i="14"/>
  <c r="C2936" i="14" l="1"/>
  <c r="E2936" i="14" s="1"/>
  <c r="B2936" i="14"/>
  <c r="D2936" i="14"/>
  <c r="A2937" i="14"/>
  <c r="D2937" i="14" l="1"/>
  <c r="C2937" i="14"/>
  <c r="E2937" i="14" s="1"/>
  <c r="B2937" i="14"/>
  <c r="A2938" i="14"/>
  <c r="D2938" i="14" l="1"/>
  <c r="B2938" i="14"/>
  <c r="C2938" i="14"/>
  <c r="E2938" i="14" s="1"/>
  <c r="A2939" i="14"/>
  <c r="D2939" i="14" l="1"/>
  <c r="C2939" i="14"/>
  <c r="E2939" i="14" s="1"/>
  <c r="B2939" i="14"/>
  <c r="A2940" i="14"/>
  <c r="D2940" i="14" l="1"/>
  <c r="C2940" i="14"/>
  <c r="E2940" i="14" s="1"/>
  <c r="B2940" i="14"/>
  <c r="A2941" i="14"/>
  <c r="E2941" i="14" l="1"/>
  <c r="B2941" i="14"/>
  <c r="C2941" i="14"/>
  <c r="D2941" i="14"/>
  <c r="A2942" i="14"/>
  <c r="D2942" i="14" l="1"/>
  <c r="C2942" i="14"/>
  <c r="B2942" i="14"/>
  <c r="A2943" i="14"/>
  <c r="E2942" i="14"/>
  <c r="D2943" i="14" l="1"/>
  <c r="C2943" i="14"/>
  <c r="B2943" i="14"/>
  <c r="A2944" i="14"/>
  <c r="E2943" i="14"/>
  <c r="C2944" i="14" l="1"/>
  <c r="E2944" i="14" s="1"/>
  <c r="B2944" i="14"/>
  <c r="D2944" i="14"/>
  <c r="A2945" i="14"/>
  <c r="D2945" i="14" l="1"/>
  <c r="C2945" i="14"/>
  <c r="E2945" i="14" s="1"/>
  <c r="B2945" i="14"/>
  <c r="A2946" i="14"/>
  <c r="D2946" i="14" l="1"/>
  <c r="B2946" i="14"/>
  <c r="C2946" i="14"/>
  <c r="E2946" i="14" s="1"/>
  <c r="A2947" i="14"/>
  <c r="D2947" i="14" l="1"/>
  <c r="C2947" i="14"/>
  <c r="E2947" i="14" s="1"/>
  <c r="B2947" i="14"/>
  <c r="A2948" i="14"/>
  <c r="D2948" i="14" l="1"/>
  <c r="C2948" i="14"/>
  <c r="E2948" i="14" s="1"/>
  <c r="B2948" i="14"/>
  <c r="A2949" i="14"/>
  <c r="B2949" i="14" l="1"/>
  <c r="C2949" i="14"/>
  <c r="E2949" i="14" s="1"/>
  <c r="D2949" i="14"/>
  <c r="A2950" i="14"/>
  <c r="D2950" i="14" l="1"/>
  <c r="C2950" i="14"/>
  <c r="E2950" i="14" s="1"/>
  <c r="B2950" i="14"/>
  <c r="A2951" i="14"/>
  <c r="D2951" i="14" l="1"/>
  <c r="C2951" i="14"/>
  <c r="E2951" i="14" s="1"/>
  <c r="B2951" i="14"/>
  <c r="A2952" i="14"/>
  <c r="C2952" i="14" l="1"/>
  <c r="E2952" i="14" s="1"/>
  <c r="B2952" i="14"/>
  <c r="D2952" i="14"/>
  <c r="A2953" i="14"/>
  <c r="D2953" i="14" l="1"/>
  <c r="C2953" i="14"/>
  <c r="E2953" i="14" s="1"/>
  <c r="B2953" i="14"/>
  <c r="A2954" i="14"/>
  <c r="D2954" i="14" l="1"/>
  <c r="B2954" i="14"/>
  <c r="C2954" i="14"/>
  <c r="E2954" i="14" s="1"/>
  <c r="A2955" i="14"/>
  <c r="D2955" i="14" l="1"/>
  <c r="C2955" i="14"/>
  <c r="E2955" i="14" s="1"/>
  <c r="B2955" i="14"/>
  <c r="A2956" i="14"/>
  <c r="D2956" i="14" l="1"/>
  <c r="C2956" i="14"/>
  <c r="E2956" i="14" s="1"/>
  <c r="B2956" i="14"/>
  <c r="A2957" i="14"/>
  <c r="B2957" i="14" l="1"/>
  <c r="C2957" i="14"/>
  <c r="E2957" i="14" s="1"/>
  <c r="D2957" i="14"/>
  <c r="A2958" i="14"/>
  <c r="D2958" i="14" l="1"/>
  <c r="C2958" i="14"/>
  <c r="E2958" i="14" s="1"/>
  <c r="B2958" i="14"/>
  <c r="A2959" i="14"/>
  <c r="D2959" i="14" l="1"/>
  <c r="C2959" i="14"/>
  <c r="E2959" i="14" s="1"/>
  <c r="B2959" i="14"/>
  <c r="A2960" i="14"/>
  <c r="C2960" i="14" l="1"/>
  <c r="E2960" i="14" s="1"/>
  <c r="B2960" i="14"/>
  <c r="D2960" i="14"/>
  <c r="A2961" i="14"/>
  <c r="D2961" i="14" l="1"/>
  <c r="C2961" i="14"/>
  <c r="E2961" i="14" s="1"/>
  <c r="B2961" i="14"/>
  <c r="A2962" i="14"/>
  <c r="D2962" i="14" l="1"/>
  <c r="B2962" i="14"/>
  <c r="C2962" i="14"/>
  <c r="E2962" i="14" s="1"/>
  <c r="A2963" i="14"/>
  <c r="D2963" i="14" l="1"/>
  <c r="C2963" i="14"/>
  <c r="E2963" i="14" s="1"/>
  <c r="B2963" i="14"/>
  <c r="A2964" i="14"/>
  <c r="D2964" i="14" l="1"/>
  <c r="C2964" i="14"/>
  <c r="E2964" i="14" s="1"/>
  <c r="B2964" i="14"/>
  <c r="A2965" i="14"/>
  <c r="B2965" i="14" l="1"/>
  <c r="C2965" i="14"/>
  <c r="E2965" i="14" s="1"/>
  <c r="D2965" i="14"/>
  <c r="A2966" i="14"/>
  <c r="D2966" i="14" l="1"/>
  <c r="C2966" i="14"/>
  <c r="E2966" i="14" s="1"/>
  <c r="B2966" i="14"/>
  <c r="A2967" i="14"/>
  <c r="D2967" i="14" l="1"/>
  <c r="C2967" i="14"/>
  <c r="E2967" i="14" s="1"/>
  <c r="B2967" i="14"/>
  <c r="A2968" i="14"/>
  <c r="C2968" i="14" l="1"/>
  <c r="E2968" i="14" s="1"/>
  <c r="B2968" i="14"/>
  <c r="D2968" i="14"/>
  <c r="A2969" i="14"/>
  <c r="D2969" i="14" l="1"/>
  <c r="C2969" i="14"/>
  <c r="E2969" i="14" s="1"/>
  <c r="B2969" i="14"/>
  <c r="A2970" i="14"/>
  <c r="D2970" i="14" l="1"/>
  <c r="B2970" i="14"/>
  <c r="C2970" i="14"/>
  <c r="E2970" i="14" s="1"/>
  <c r="A2971" i="14"/>
  <c r="D2971" i="14" l="1"/>
  <c r="C2971" i="14"/>
  <c r="E2971" i="14" s="1"/>
  <c r="B2971" i="14"/>
  <c r="A2972" i="14"/>
  <c r="D2972" i="14" l="1"/>
  <c r="C2972" i="14"/>
  <c r="E2972" i="14" s="1"/>
  <c r="B2972" i="14"/>
  <c r="A2973" i="14"/>
  <c r="B2973" i="14" l="1"/>
  <c r="C2973" i="14"/>
  <c r="E2973" i="14" s="1"/>
  <c r="D2973" i="14"/>
  <c r="A2974" i="14"/>
  <c r="D2974" i="14" l="1"/>
  <c r="C2974" i="14"/>
  <c r="E2974" i="14" s="1"/>
  <c r="B2974" i="14"/>
  <c r="A2975" i="14"/>
  <c r="D2975" i="14" l="1"/>
  <c r="C2975" i="14"/>
  <c r="E2975" i="14" s="1"/>
  <c r="B2975" i="14"/>
  <c r="A2976" i="14"/>
  <c r="C2976" i="14" l="1"/>
  <c r="E2976" i="14" s="1"/>
  <c r="B2976" i="14"/>
  <c r="D2976" i="14"/>
  <c r="A2977" i="14"/>
  <c r="D2977" i="14" l="1"/>
  <c r="C2977" i="14"/>
  <c r="E2977" i="14" s="1"/>
  <c r="B2977" i="14"/>
  <c r="A2978" i="14"/>
  <c r="D2978" i="14" l="1"/>
  <c r="B2978" i="14"/>
  <c r="C2978" i="14"/>
  <c r="E2978" i="14" s="1"/>
  <c r="A2979" i="14"/>
  <c r="D2979" i="14" l="1"/>
  <c r="C2979" i="14"/>
  <c r="E2979" i="14" s="1"/>
  <c r="B2979" i="14"/>
  <c r="A2980" i="14"/>
  <c r="D2980" i="14" l="1"/>
  <c r="C2980" i="14"/>
  <c r="E2980" i="14" s="1"/>
  <c r="B2980" i="14"/>
  <c r="A2981" i="14"/>
  <c r="B2981" i="14" l="1"/>
  <c r="C2981" i="14"/>
  <c r="E2981" i="14" s="1"/>
  <c r="D2981" i="14"/>
  <c r="A2982" i="14"/>
  <c r="D2982" i="14" l="1"/>
  <c r="C2982" i="14"/>
  <c r="E2982" i="14" s="1"/>
  <c r="B2982" i="14"/>
  <c r="A2983" i="14"/>
  <c r="D2983" i="14" l="1"/>
  <c r="C2983" i="14"/>
  <c r="E2983" i="14" s="1"/>
  <c r="B2983" i="14"/>
  <c r="A2984" i="14"/>
  <c r="C2984" i="14" l="1"/>
  <c r="E2984" i="14" s="1"/>
  <c r="B2984" i="14"/>
  <c r="D2984" i="14"/>
  <c r="A2985" i="14"/>
  <c r="D2985" i="14" l="1"/>
  <c r="C2985" i="14"/>
  <c r="E2985" i="14" s="1"/>
  <c r="B2985" i="14"/>
  <c r="A2986" i="14"/>
  <c r="D2986" i="14" l="1"/>
  <c r="B2986" i="14"/>
  <c r="C2986" i="14"/>
  <c r="E2986" i="14" s="1"/>
  <c r="A2987" i="14"/>
  <c r="D2987" i="14" l="1"/>
  <c r="C2987" i="14"/>
  <c r="E2987" i="14" s="1"/>
  <c r="B2987" i="14"/>
  <c r="A2988" i="14"/>
  <c r="D2988" i="14" l="1"/>
  <c r="C2988" i="14"/>
  <c r="E2988" i="14" s="1"/>
  <c r="B2988" i="14"/>
  <c r="A2989" i="14"/>
  <c r="B2989" i="14" l="1"/>
  <c r="C2989" i="14"/>
  <c r="E2989" i="14" s="1"/>
  <c r="D2989" i="14"/>
  <c r="A2990" i="14"/>
  <c r="D2990" i="14" l="1"/>
  <c r="C2990" i="14"/>
  <c r="E2990" i="14" s="1"/>
  <c r="B2990" i="14"/>
  <c r="A2991" i="14"/>
  <c r="D2991" i="14" l="1"/>
  <c r="C2991" i="14"/>
  <c r="E2991" i="14" s="1"/>
  <c r="B2991" i="14"/>
  <c r="A2992" i="14"/>
  <c r="C2992" i="14" l="1"/>
  <c r="E2992" i="14" s="1"/>
  <c r="B2992" i="14"/>
  <c r="D2992" i="14"/>
  <c r="A2993" i="14"/>
  <c r="D2993" i="14" l="1"/>
  <c r="C2993" i="14"/>
  <c r="E2993" i="14" s="1"/>
  <c r="B2993" i="14"/>
  <c r="A2994" i="14"/>
  <c r="D2994" i="14" l="1"/>
  <c r="B2994" i="14"/>
  <c r="C2994" i="14"/>
  <c r="E2994" i="14" s="1"/>
  <c r="A2995" i="14"/>
  <c r="D2995" i="14" l="1"/>
  <c r="C2995" i="14"/>
  <c r="E2995" i="14" s="1"/>
  <c r="B2995" i="14"/>
  <c r="A2996" i="14"/>
  <c r="D2996" i="14" l="1"/>
  <c r="C2996" i="14"/>
  <c r="E2996" i="14" s="1"/>
  <c r="B2996" i="14"/>
  <c r="A2997" i="14"/>
  <c r="B2997" i="14" l="1"/>
  <c r="C2997" i="14"/>
  <c r="E2997" i="14" s="1"/>
  <c r="D2997" i="14"/>
  <c r="A2998" i="14"/>
  <c r="D2998" i="14" l="1"/>
  <c r="C2998" i="14"/>
  <c r="E2998" i="14" s="1"/>
  <c r="B2998" i="14"/>
  <c r="A2999" i="14"/>
  <c r="D2999" i="14" l="1"/>
  <c r="C2999" i="14"/>
  <c r="E2999" i="14" s="1"/>
  <c r="B2999" i="14"/>
  <c r="A3000" i="14"/>
  <c r="C3000" i="14" l="1"/>
  <c r="E3000" i="14" s="1"/>
  <c r="B3000" i="14"/>
  <c r="D3000" i="14"/>
  <c r="A3001" i="14"/>
  <c r="D3001" i="14" l="1"/>
  <c r="C3001" i="14"/>
  <c r="E3001" i="14" s="1"/>
  <c r="B3001" i="14"/>
  <c r="A3002" i="14"/>
  <c r="D3002" i="14" l="1"/>
  <c r="B3002" i="14"/>
  <c r="C3002" i="14"/>
  <c r="E3002" i="14" s="1"/>
  <c r="A3003" i="14"/>
  <c r="D3003" i="14" l="1"/>
  <c r="C3003" i="14"/>
  <c r="E3003" i="14" s="1"/>
  <c r="B3003" i="14"/>
  <c r="A3004" i="14"/>
  <c r="D3004" i="14" l="1"/>
  <c r="C3004" i="14"/>
  <c r="E3004" i="14" s="1"/>
  <c r="B3004" i="14"/>
  <c r="A3005" i="14"/>
  <c r="B3005" i="14" l="1"/>
  <c r="C3005" i="14"/>
  <c r="E3005" i="14" s="1"/>
  <c r="D3005" i="14"/>
  <c r="A3006" i="14"/>
  <c r="D3006" i="14" l="1"/>
  <c r="C3006" i="14"/>
  <c r="E3006" i="14" s="1"/>
  <c r="B3006" i="14"/>
  <c r="A3007" i="14"/>
  <c r="D3007" i="14" l="1"/>
  <c r="C3007" i="14"/>
  <c r="E3007" i="14" s="1"/>
  <c r="B3007" i="14"/>
  <c r="A3008" i="14"/>
  <c r="C3008" i="14" l="1"/>
  <c r="E3008" i="14" s="1"/>
  <c r="B3008" i="14"/>
  <c r="D3008" i="14"/>
  <c r="A3009" i="14"/>
  <c r="D3009" i="14" l="1"/>
  <c r="C3009" i="14"/>
  <c r="E3009" i="14" s="1"/>
  <c r="B3009" i="14"/>
  <c r="A3010" i="14"/>
  <c r="D3010" i="14" l="1"/>
  <c r="B3010" i="14"/>
  <c r="C3010" i="14"/>
  <c r="E3010" i="14" s="1"/>
  <c r="A3011" i="14"/>
  <c r="D3011" i="14" l="1"/>
  <c r="C3011" i="14"/>
  <c r="E3011" i="14" s="1"/>
  <c r="B3011" i="14"/>
  <c r="A3012" i="14"/>
  <c r="D3012" i="14" l="1"/>
  <c r="C3012" i="14"/>
  <c r="E3012" i="14" s="1"/>
  <c r="B3012" i="14"/>
  <c r="A3013" i="14"/>
  <c r="B3013" i="14" l="1"/>
  <c r="C3013" i="14"/>
  <c r="E3013" i="14" s="1"/>
  <c r="D3013" i="14"/>
  <c r="A3014" i="14"/>
  <c r="D3014" i="14" l="1"/>
  <c r="C3014" i="14"/>
  <c r="E3014" i="14" s="1"/>
  <c r="B3014" i="14"/>
  <c r="A3015" i="14"/>
  <c r="D3015" i="14" l="1"/>
  <c r="C3015" i="14"/>
  <c r="E3015" i="14" s="1"/>
  <c r="B3015" i="14"/>
  <c r="A3016" i="14"/>
  <c r="C3016" i="14" l="1"/>
  <c r="E3016" i="14" s="1"/>
  <c r="B3016" i="14"/>
  <c r="D3016" i="14"/>
  <c r="A3017" i="14"/>
  <c r="D3017" i="14" l="1"/>
  <c r="C3017" i="14"/>
  <c r="E3017" i="14" s="1"/>
  <c r="B3017" i="14"/>
  <c r="A3018" i="14"/>
  <c r="D3018" i="14" l="1"/>
  <c r="B3018" i="14"/>
  <c r="C3018" i="14"/>
  <c r="E3018" i="14" s="1"/>
  <c r="A3019" i="14"/>
  <c r="D3019" i="14" l="1"/>
  <c r="C3019" i="14"/>
  <c r="E3019" i="14" s="1"/>
  <c r="B3019" i="14"/>
  <c r="A3020" i="14"/>
  <c r="D3020" i="14" l="1"/>
  <c r="C3020" i="14"/>
  <c r="E3020" i="14" s="1"/>
  <c r="B3020" i="14"/>
  <c r="A3021" i="14"/>
  <c r="B3021" i="14" l="1"/>
  <c r="C3021" i="14"/>
  <c r="E3021" i="14" s="1"/>
  <c r="D3021" i="14"/>
  <c r="A3022" i="14"/>
  <c r="D3022" i="14" l="1"/>
  <c r="C3022" i="14"/>
  <c r="E3022" i="14" s="1"/>
  <c r="B3022" i="14"/>
  <c r="A3023" i="14"/>
  <c r="D3023" i="14" l="1"/>
  <c r="C3023" i="14"/>
  <c r="E3023" i="14" s="1"/>
  <c r="B3023" i="14"/>
  <c r="A3024" i="14"/>
  <c r="C3024" i="14" l="1"/>
  <c r="E3024" i="14" s="1"/>
  <c r="B3024" i="14"/>
  <c r="D3024" i="14"/>
  <c r="A3025" i="14"/>
  <c r="D3025" i="14" l="1"/>
  <c r="C3025" i="14"/>
  <c r="E3025" i="14" s="1"/>
  <c r="B3025" i="14"/>
  <c r="A3026" i="14"/>
  <c r="D3026" i="14" l="1"/>
  <c r="B3026" i="14"/>
  <c r="C3026" i="14"/>
  <c r="E3026" i="14" s="1"/>
  <c r="A3027" i="14"/>
  <c r="D3027" i="14" l="1"/>
  <c r="C3027" i="14"/>
  <c r="E3027" i="14" s="1"/>
  <c r="B3027" i="14"/>
  <c r="A3028" i="14"/>
  <c r="D3028" i="14" l="1"/>
  <c r="C3028" i="14"/>
  <c r="E3028" i="14" s="1"/>
  <c r="B3028" i="14"/>
  <c r="A3029" i="14"/>
  <c r="B3029" i="14" l="1"/>
  <c r="C3029" i="14"/>
  <c r="E3029" i="14" s="1"/>
  <c r="D3029" i="14"/>
  <c r="A3030" i="14"/>
  <c r="D3030" i="14" l="1"/>
  <c r="C3030" i="14"/>
  <c r="E3030" i="14" s="1"/>
  <c r="B3030" i="14"/>
  <c r="A3031" i="14"/>
  <c r="D3031" i="14" l="1"/>
  <c r="C3031" i="14"/>
  <c r="E3031" i="14" s="1"/>
  <c r="B3031" i="14"/>
  <c r="A3032" i="14"/>
  <c r="C3032" i="14" l="1"/>
  <c r="E3032" i="14" s="1"/>
  <c r="B3032" i="14"/>
  <c r="D3032" i="14"/>
  <c r="A3033" i="14"/>
  <c r="D3033" i="14" l="1"/>
  <c r="C3033" i="14"/>
  <c r="E3033" i="14" s="1"/>
  <c r="B3033" i="14"/>
  <c r="A3034" i="14"/>
  <c r="D3034" i="14" l="1"/>
  <c r="B3034" i="14"/>
  <c r="C3034" i="14"/>
  <c r="E3034" i="14" s="1"/>
  <c r="A3035" i="14"/>
  <c r="D3035" i="14" l="1"/>
  <c r="C3035" i="14"/>
  <c r="E3035" i="14" s="1"/>
  <c r="B3035" i="14"/>
  <c r="A3036" i="14"/>
  <c r="D3036" i="14" l="1"/>
  <c r="C3036" i="14"/>
  <c r="E3036" i="14" s="1"/>
  <c r="B3036" i="14"/>
  <c r="A3037" i="14"/>
  <c r="B3037" i="14" l="1"/>
  <c r="C3037" i="14"/>
  <c r="E3037" i="14" s="1"/>
  <c r="D3037" i="14"/>
  <c r="A3038" i="14"/>
  <c r="D3038" i="14" l="1"/>
  <c r="C3038" i="14"/>
  <c r="E3038" i="14" s="1"/>
  <c r="B3038" i="14"/>
  <c r="A3039" i="14"/>
  <c r="D3039" i="14" l="1"/>
  <c r="C3039" i="14"/>
  <c r="E3039" i="14" s="1"/>
  <c r="B3039" i="14"/>
  <c r="A3040" i="14"/>
  <c r="C3040" i="14" l="1"/>
  <c r="E3040" i="14" s="1"/>
  <c r="B3040" i="14"/>
  <c r="D3040" i="14"/>
  <c r="A3041" i="14"/>
  <c r="D3041" i="14" l="1"/>
  <c r="C3041" i="14"/>
  <c r="E3041" i="14" s="1"/>
  <c r="B3041" i="14"/>
  <c r="A3042" i="14"/>
  <c r="D3042" i="14" l="1"/>
  <c r="B3042" i="14"/>
  <c r="C3042" i="14"/>
  <c r="E3042" i="14" s="1"/>
  <c r="A3043" i="14"/>
  <c r="D3043" i="14" l="1"/>
  <c r="C3043" i="14"/>
  <c r="E3043" i="14" s="1"/>
  <c r="B3043" i="14"/>
  <c r="A3044" i="14"/>
  <c r="D3044" i="14" l="1"/>
  <c r="C3044" i="14"/>
  <c r="E3044" i="14" s="1"/>
  <c r="B3044" i="14"/>
  <c r="A3045" i="14"/>
  <c r="B3045" i="14" l="1"/>
  <c r="C3045" i="14"/>
  <c r="E3045" i="14" s="1"/>
  <c r="D3045" i="14"/>
  <c r="A3046" i="14"/>
  <c r="D3046" i="14" l="1"/>
  <c r="C3046" i="14"/>
  <c r="E3046" i="14" s="1"/>
  <c r="B3046" i="14"/>
  <c r="A3047" i="14"/>
  <c r="D3047" i="14" l="1"/>
  <c r="C3047" i="14"/>
  <c r="E3047" i="14" s="1"/>
  <c r="B3047" i="14"/>
  <c r="A3048" i="14"/>
  <c r="C3048" i="14" l="1"/>
  <c r="E3048" i="14" s="1"/>
  <c r="B3048" i="14"/>
  <c r="D3048" i="14"/>
  <c r="A3049" i="14"/>
  <c r="D3049" i="14" l="1"/>
  <c r="C3049" i="14"/>
  <c r="E3049" i="14" s="1"/>
  <c r="B3049" i="14"/>
  <c r="A3050" i="14"/>
  <c r="D3050" i="14" l="1"/>
  <c r="B3050" i="14"/>
  <c r="C3050" i="14"/>
  <c r="E3050" i="14" s="1"/>
  <c r="A3051" i="14"/>
  <c r="D3051" i="14" l="1"/>
  <c r="C3051" i="14"/>
  <c r="E3051" i="14" s="1"/>
  <c r="B3051" i="14"/>
  <c r="A3052" i="14"/>
  <c r="D3052" i="14" l="1"/>
  <c r="C3052" i="14"/>
  <c r="E3052" i="14" s="1"/>
  <c r="B3052" i="14"/>
  <c r="A3053" i="14"/>
  <c r="B3053" i="14" l="1"/>
  <c r="C3053" i="14"/>
  <c r="E3053" i="14" s="1"/>
  <c r="D3053" i="14"/>
  <c r="A3054" i="14"/>
  <c r="D3054" i="14" l="1"/>
  <c r="C3054" i="14"/>
  <c r="E3054" i="14" s="1"/>
  <c r="B3054" i="14"/>
  <c r="A3055" i="14"/>
  <c r="D3055" i="14" l="1"/>
  <c r="C3055" i="14"/>
  <c r="E3055" i="14" s="1"/>
  <c r="B3055" i="14"/>
  <c r="A3056" i="14"/>
  <c r="C3056" i="14" l="1"/>
  <c r="E3056" i="14" s="1"/>
  <c r="B3056" i="14"/>
  <c r="D3056" i="14"/>
  <c r="A3057" i="14"/>
  <c r="D3057" i="14" l="1"/>
  <c r="C3057" i="14"/>
  <c r="E3057" i="14" s="1"/>
  <c r="B3057" i="14"/>
  <c r="A3058" i="14"/>
  <c r="D3058" i="14" l="1"/>
  <c r="B3058" i="14"/>
  <c r="C3058" i="14"/>
  <c r="E3058" i="14" s="1"/>
  <c r="A3059" i="14"/>
  <c r="D3059" i="14" l="1"/>
  <c r="C3059" i="14"/>
  <c r="E3059" i="14" s="1"/>
  <c r="B3059" i="14"/>
  <c r="A3060" i="14"/>
  <c r="D3060" i="14" l="1"/>
  <c r="C3060" i="14"/>
  <c r="E3060" i="14" s="1"/>
  <c r="B3060" i="14"/>
  <c r="A3061" i="14"/>
  <c r="B3061" i="14" l="1"/>
  <c r="C3061" i="14"/>
  <c r="E3061" i="14" s="1"/>
  <c r="D3061" i="14"/>
  <c r="A3062" i="14"/>
  <c r="D3062" i="14" l="1"/>
  <c r="C3062" i="14"/>
  <c r="E3062" i="14" s="1"/>
  <c r="B3062" i="14"/>
  <c r="A3063" i="14"/>
  <c r="D3063" i="14" l="1"/>
  <c r="C3063" i="14"/>
  <c r="E3063" i="14" s="1"/>
  <c r="B3063" i="14"/>
  <c r="A3064" i="14"/>
  <c r="C3064" i="14" l="1"/>
  <c r="E3064" i="14" s="1"/>
  <c r="B3064" i="14"/>
  <c r="D3064" i="14"/>
  <c r="A3065" i="14"/>
  <c r="D3065" i="14" l="1"/>
  <c r="C3065" i="14"/>
  <c r="E3065" i="14" s="1"/>
  <c r="B3065" i="14"/>
  <c r="A3066" i="14"/>
  <c r="D3066" i="14" l="1"/>
  <c r="B3066" i="14"/>
  <c r="C3066" i="14"/>
  <c r="E3066" i="14" s="1"/>
  <c r="A3067" i="14"/>
  <c r="D3067" i="14" l="1"/>
  <c r="C3067" i="14"/>
  <c r="E3067" i="14" s="1"/>
  <c r="B3067" i="14"/>
  <c r="A3068" i="14"/>
  <c r="D3068" i="14" l="1"/>
  <c r="C3068" i="14"/>
  <c r="E3068" i="14" s="1"/>
  <c r="B3068" i="14"/>
  <c r="A3069" i="14"/>
  <c r="B3069" i="14" l="1"/>
  <c r="C3069" i="14"/>
  <c r="E3069" i="14" s="1"/>
  <c r="D3069" i="14"/>
  <c r="A3070" i="14"/>
  <c r="D3070" i="14" l="1"/>
  <c r="C3070" i="14"/>
  <c r="E3070" i="14" s="1"/>
  <c r="B3070" i="14"/>
  <c r="A3071" i="14"/>
  <c r="D3071" i="14" l="1"/>
  <c r="C3071" i="14"/>
  <c r="E3071" i="14" s="1"/>
  <c r="B3071" i="14"/>
  <c r="A3072" i="14"/>
  <c r="C3072" i="14" l="1"/>
  <c r="E3072" i="14" s="1"/>
  <c r="B3072" i="14"/>
  <c r="D3072" i="14"/>
  <c r="A3073" i="14"/>
  <c r="D3073" i="14" l="1"/>
  <c r="C3073" i="14"/>
  <c r="E3073" i="14" s="1"/>
  <c r="B3073" i="14"/>
  <c r="A3074" i="14"/>
  <c r="D3074" i="14" l="1"/>
  <c r="B3074" i="14"/>
  <c r="C3074" i="14"/>
  <c r="E3074" i="14" s="1"/>
  <c r="A3075" i="14"/>
  <c r="D3075" i="14" l="1"/>
  <c r="C3075" i="14"/>
  <c r="E3075" i="14" s="1"/>
  <c r="B3075" i="14"/>
  <c r="A3076" i="14"/>
  <c r="D3076" i="14" l="1"/>
  <c r="C3076" i="14"/>
  <c r="E3076" i="14" s="1"/>
  <c r="B3076" i="14"/>
  <c r="A3077" i="14"/>
  <c r="B3077" i="14" l="1"/>
  <c r="C3077" i="14"/>
  <c r="E3077" i="14" s="1"/>
  <c r="D3077" i="14"/>
  <c r="A3078" i="14"/>
  <c r="D3078" i="14" l="1"/>
  <c r="C3078" i="14"/>
  <c r="E3078" i="14" s="1"/>
  <c r="B3078" i="14"/>
  <c r="A3079" i="14"/>
  <c r="C3079" i="14" l="1"/>
  <c r="E3079" i="14" s="1"/>
  <c r="B3079" i="14"/>
  <c r="D3079" i="14"/>
  <c r="A3080" i="14"/>
  <c r="D3080" i="14" l="1"/>
  <c r="C3080" i="14"/>
  <c r="E3080" i="14" s="1"/>
  <c r="B3080" i="14"/>
  <c r="A3081" i="14"/>
  <c r="B3081" i="14" l="1"/>
  <c r="C3081" i="14"/>
  <c r="E3081" i="14" s="1"/>
  <c r="D3081" i="14"/>
  <c r="A3082" i="14"/>
  <c r="D3082" i="14" l="1"/>
  <c r="B3082" i="14"/>
  <c r="C3082" i="14"/>
  <c r="E3082" i="14" s="1"/>
  <c r="A3083" i="14"/>
  <c r="B3083" i="14" l="1"/>
  <c r="C3083" i="14"/>
  <c r="E3083" i="14" s="1"/>
  <c r="D3083" i="14"/>
  <c r="A3084" i="14"/>
  <c r="B3084" i="14" l="1"/>
  <c r="D3084" i="14"/>
  <c r="C3084" i="14"/>
  <c r="E3084" i="14" s="1"/>
  <c r="A3085" i="14"/>
  <c r="C3085" i="14" l="1"/>
  <c r="E3085" i="14" s="1"/>
  <c r="B3085" i="14"/>
  <c r="D3085" i="14"/>
  <c r="A3086" i="14"/>
  <c r="D3086" i="14" l="1"/>
  <c r="C3086" i="14"/>
  <c r="E3086" i="14" s="1"/>
  <c r="B3086" i="14"/>
  <c r="A3087" i="14"/>
  <c r="C3087" i="14" l="1"/>
  <c r="E3087" i="14" s="1"/>
  <c r="D3087" i="14"/>
  <c r="B3087" i="14"/>
  <c r="A3088" i="14"/>
  <c r="D3088" i="14" l="1"/>
  <c r="C3088" i="14"/>
  <c r="E3088" i="14" s="1"/>
  <c r="B3088" i="14"/>
  <c r="A3089" i="14"/>
  <c r="E3089" i="14" l="1"/>
  <c r="D3089" i="14"/>
  <c r="C3089" i="14"/>
  <c r="B3089" i="14"/>
  <c r="A3090" i="14"/>
  <c r="D3090" i="14" l="1"/>
  <c r="B3090" i="14"/>
  <c r="C3090" i="14"/>
  <c r="A3091" i="14"/>
  <c r="E3090" i="14"/>
  <c r="D3091" i="14" l="1"/>
  <c r="C3091" i="14"/>
  <c r="E3091" i="14" s="1"/>
  <c r="B3091" i="14"/>
  <c r="A3092" i="14"/>
  <c r="B3092" i="14" l="1"/>
  <c r="D3092" i="14"/>
  <c r="C3092" i="14"/>
  <c r="E3092" i="14" s="1"/>
  <c r="A3093" i="14"/>
  <c r="C3093" i="14" l="1"/>
  <c r="E3093" i="14" s="1"/>
  <c r="D3093" i="14"/>
  <c r="B3093" i="14"/>
  <c r="A3094" i="14"/>
  <c r="D3094" i="14" l="1"/>
  <c r="B3094" i="14"/>
  <c r="C3094" i="14"/>
  <c r="E3094" i="14" s="1"/>
  <c r="A3095" i="14"/>
  <c r="C3095" i="14" l="1"/>
  <c r="E3095" i="14" s="1"/>
  <c r="D3095" i="14"/>
  <c r="B3095" i="14"/>
  <c r="A3096" i="14"/>
  <c r="D3096" i="14" l="1"/>
  <c r="B3096" i="14"/>
  <c r="C3096" i="14"/>
  <c r="E3096" i="14" s="1"/>
  <c r="A3097" i="14"/>
  <c r="D3097" i="14" l="1"/>
  <c r="C3097" i="14"/>
  <c r="E3097" i="14" s="1"/>
  <c r="B3097" i="14"/>
  <c r="A3098" i="14"/>
  <c r="D3098" i="14" l="1"/>
  <c r="B3098" i="14"/>
  <c r="C3098" i="14"/>
  <c r="E3098" i="14" s="1"/>
  <c r="A3099" i="14"/>
  <c r="D3099" i="14" l="1"/>
  <c r="C3099" i="14"/>
  <c r="E3099" i="14" s="1"/>
  <c r="B3099" i="14"/>
  <c r="A3100" i="14"/>
  <c r="B3100" i="14" l="1"/>
  <c r="C3100" i="14"/>
  <c r="E3100" i="14" s="1"/>
  <c r="D3100" i="14"/>
  <c r="A3101" i="14"/>
  <c r="D3101" i="14" l="1"/>
  <c r="C3101" i="14"/>
  <c r="E3101" i="14" s="1"/>
  <c r="B3101" i="14"/>
  <c r="A3102" i="14"/>
  <c r="D3102" i="14" l="1"/>
  <c r="C3102" i="14"/>
  <c r="E3102" i="14" s="1"/>
  <c r="B3102" i="14"/>
  <c r="A3103" i="14"/>
  <c r="C3103" i="14" l="1"/>
  <c r="E3103" i="14" s="1"/>
  <c r="B3103" i="14"/>
  <c r="D3103" i="14"/>
  <c r="A3104" i="14"/>
  <c r="D3104" i="14" l="1"/>
  <c r="C3104" i="14"/>
  <c r="E3104" i="14" s="1"/>
  <c r="B3104" i="14"/>
  <c r="A3105" i="14"/>
  <c r="D3105" i="14" l="1"/>
  <c r="C3105" i="14"/>
  <c r="E3105" i="14" s="1"/>
  <c r="B3105" i="14"/>
  <c r="A3106" i="14"/>
  <c r="D3106" i="14" l="1"/>
  <c r="C3106" i="14"/>
  <c r="E3106" i="14" s="1"/>
  <c r="B3106" i="14"/>
  <c r="A3107" i="14"/>
  <c r="D3107" i="14" l="1"/>
  <c r="C3107" i="14"/>
  <c r="E3107" i="14" s="1"/>
  <c r="B3107" i="14"/>
  <c r="A3108" i="14"/>
  <c r="B3108" i="14" l="1"/>
  <c r="D3108" i="14"/>
  <c r="C3108" i="14"/>
  <c r="E3108" i="14" s="1"/>
  <c r="A3109" i="14"/>
  <c r="D3109" i="14" l="1"/>
  <c r="C3109" i="14"/>
  <c r="E3109" i="14" s="1"/>
  <c r="B3109" i="14"/>
  <c r="A3110" i="14"/>
  <c r="D3110" i="14" l="1"/>
  <c r="C3110" i="14"/>
  <c r="E3110" i="14" s="1"/>
  <c r="B3110" i="14"/>
  <c r="A3111" i="14"/>
  <c r="C3111" i="14" l="1"/>
  <c r="E3111" i="14" s="1"/>
  <c r="B3111" i="14"/>
  <c r="D3111" i="14"/>
  <c r="A3112" i="14"/>
  <c r="D3112" i="14" l="1"/>
  <c r="C3112" i="14"/>
  <c r="E3112" i="14" s="1"/>
  <c r="B3112" i="14"/>
  <c r="A3113" i="14"/>
  <c r="D3113" i="14" l="1"/>
  <c r="B3113" i="14"/>
  <c r="C3113" i="14"/>
  <c r="E3113" i="14" s="1"/>
  <c r="A3114" i="14"/>
  <c r="D3114" i="14" l="1"/>
  <c r="C3114" i="14"/>
  <c r="E3114" i="14" s="1"/>
  <c r="B3114" i="14"/>
  <c r="A3115" i="14"/>
  <c r="D3115" i="14" l="1"/>
  <c r="C3115" i="14"/>
  <c r="E3115" i="14" s="1"/>
  <c r="B3115" i="14"/>
  <c r="A3116" i="14"/>
  <c r="B3116" i="14" l="1"/>
  <c r="C3116" i="14"/>
  <c r="E3116" i="14" s="1"/>
  <c r="D3116" i="14"/>
  <c r="A3117" i="14"/>
  <c r="D3117" i="14" l="1"/>
  <c r="C3117" i="14"/>
  <c r="E3117" i="14" s="1"/>
  <c r="B3117" i="14"/>
  <c r="A3118" i="14"/>
  <c r="D3118" i="14" l="1"/>
  <c r="C3118" i="14"/>
  <c r="E3118" i="14" s="1"/>
  <c r="B3118" i="14"/>
  <c r="A3119" i="14"/>
  <c r="C3119" i="14" l="1"/>
  <c r="E3119" i="14" s="1"/>
  <c r="B3119" i="14"/>
  <c r="D3119" i="14"/>
  <c r="A3120" i="14"/>
  <c r="D3120" i="14" l="1"/>
  <c r="C3120" i="14"/>
  <c r="E3120" i="14" s="1"/>
  <c r="B3120" i="14"/>
  <c r="A3121" i="14"/>
  <c r="D3121" i="14" l="1"/>
  <c r="C3121" i="14"/>
  <c r="E3121" i="14" s="1"/>
  <c r="B3121" i="14"/>
  <c r="A3122" i="14"/>
  <c r="D3122" i="14" l="1"/>
  <c r="C3122" i="14"/>
  <c r="E3122" i="14" s="1"/>
  <c r="B3122" i="14"/>
  <c r="A3123" i="14"/>
  <c r="D3123" i="14" l="1"/>
  <c r="C3123" i="14"/>
  <c r="E3123" i="14" s="1"/>
  <c r="B3123" i="14"/>
  <c r="A3124" i="14"/>
  <c r="B3124" i="14" l="1"/>
  <c r="D3124" i="14"/>
  <c r="C3124" i="14"/>
  <c r="E3124" i="14" s="1"/>
  <c r="A3125" i="14"/>
  <c r="D3125" i="14" l="1"/>
  <c r="C3125" i="14"/>
  <c r="E3125" i="14" s="1"/>
  <c r="B3125" i="14"/>
  <c r="A3126" i="14"/>
  <c r="D3126" i="14" l="1"/>
  <c r="C3126" i="14"/>
  <c r="E3126" i="14" s="1"/>
  <c r="B3126" i="14"/>
  <c r="A3127" i="14"/>
  <c r="C3127" i="14" l="1"/>
  <c r="E3127" i="14" s="1"/>
  <c r="B3127" i="14"/>
  <c r="D3127" i="14"/>
  <c r="A3128" i="14"/>
  <c r="D3128" i="14" l="1"/>
  <c r="C3128" i="14"/>
  <c r="E3128" i="14" s="1"/>
  <c r="B3128" i="14"/>
  <c r="A3129" i="14"/>
  <c r="D3129" i="14" l="1"/>
  <c r="B3129" i="14"/>
  <c r="C3129" i="14"/>
  <c r="E3129" i="14" s="1"/>
  <c r="A3130" i="14"/>
  <c r="D3130" i="14" l="1"/>
  <c r="C3130" i="14"/>
  <c r="E3130" i="14" s="1"/>
  <c r="B3130" i="14"/>
  <c r="A3131" i="14"/>
  <c r="D3131" i="14" l="1"/>
  <c r="C3131" i="14"/>
  <c r="E3131" i="14" s="1"/>
  <c r="B3131" i="14"/>
  <c r="A3132" i="14"/>
  <c r="B3132" i="14" l="1"/>
  <c r="C3132" i="14"/>
  <c r="E3132" i="14" s="1"/>
  <c r="D3132" i="14"/>
  <c r="A3133" i="14"/>
  <c r="D3133" i="14" l="1"/>
  <c r="C3133" i="14"/>
  <c r="E3133" i="14" s="1"/>
  <c r="B3133" i="14"/>
  <c r="A3134" i="14"/>
  <c r="D3134" i="14" l="1"/>
  <c r="C3134" i="14"/>
  <c r="E3134" i="14" s="1"/>
  <c r="B3134" i="14"/>
  <c r="A3135" i="14"/>
  <c r="C3135" i="14" l="1"/>
  <c r="E3135" i="14" s="1"/>
  <c r="B3135" i="14"/>
  <c r="D3135" i="14"/>
  <c r="A3136" i="14"/>
  <c r="D3136" i="14" l="1"/>
  <c r="C3136" i="14"/>
  <c r="E3136" i="14" s="1"/>
  <c r="B3136" i="14"/>
  <c r="A3137" i="14"/>
  <c r="B3137" i="14" l="1"/>
  <c r="D3137" i="14"/>
  <c r="C3137" i="14"/>
  <c r="E3137" i="14" s="1"/>
  <c r="A3138" i="14"/>
  <c r="D3138" i="14" l="1"/>
  <c r="C3138" i="14"/>
  <c r="E3138" i="14" s="1"/>
  <c r="B3138" i="14"/>
  <c r="A3139" i="14"/>
  <c r="D3139" i="14" l="1"/>
  <c r="B3139" i="14"/>
  <c r="C3139" i="14"/>
  <c r="E3139" i="14" s="1"/>
  <c r="A3140" i="14"/>
  <c r="B3140" i="14" l="1"/>
  <c r="C3140" i="14"/>
  <c r="E3140" i="14" s="1"/>
  <c r="D3140" i="14"/>
  <c r="A3141" i="14"/>
  <c r="D3141" i="14" l="1"/>
  <c r="C3141" i="14"/>
  <c r="E3141" i="14" s="1"/>
  <c r="B3141" i="14"/>
  <c r="A3142" i="14"/>
  <c r="D3142" i="14" l="1"/>
  <c r="C3142" i="14"/>
  <c r="E3142" i="14" s="1"/>
  <c r="B3142" i="14"/>
  <c r="A3143" i="14"/>
  <c r="C3143" i="14" l="1"/>
  <c r="E3143" i="14" s="1"/>
  <c r="B3143" i="14"/>
  <c r="D3143" i="14"/>
  <c r="A3144" i="14"/>
  <c r="D3144" i="14" l="1"/>
  <c r="C3144" i="14"/>
  <c r="E3144" i="14" s="1"/>
  <c r="B3144" i="14"/>
  <c r="A3145" i="14"/>
  <c r="B3145" i="14" l="1"/>
  <c r="D3145" i="14"/>
  <c r="C3145" i="14"/>
  <c r="E3145" i="14" s="1"/>
  <c r="A3146" i="14"/>
  <c r="D3146" i="14" l="1"/>
  <c r="C3146" i="14"/>
  <c r="E3146" i="14" s="1"/>
  <c r="B3146" i="14"/>
  <c r="A3147" i="14"/>
  <c r="D3147" i="14" l="1"/>
  <c r="C3147" i="14"/>
  <c r="E3147" i="14" s="1"/>
  <c r="B3147" i="14"/>
  <c r="A3148" i="14"/>
  <c r="B3148" i="14" l="1"/>
  <c r="C3148" i="14"/>
  <c r="E3148" i="14" s="1"/>
  <c r="D3148" i="14"/>
  <c r="A3149" i="14"/>
  <c r="D3149" i="14" l="1"/>
  <c r="C3149" i="14"/>
  <c r="E3149" i="14" s="1"/>
  <c r="B3149" i="14"/>
  <c r="A3150" i="14"/>
  <c r="D3150" i="14" l="1"/>
  <c r="C3150" i="14"/>
  <c r="E3150" i="14" s="1"/>
  <c r="B3150" i="14"/>
  <c r="A3151" i="14"/>
  <c r="C3151" i="14" l="1"/>
  <c r="E3151" i="14" s="1"/>
  <c r="B3151" i="14"/>
  <c r="D3151" i="14"/>
  <c r="A3152" i="14"/>
  <c r="D3152" i="14" l="1"/>
  <c r="C3152" i="14"/>
  <c r="E3152" i="14" s="1"/>
  <c r="B3152" i="14"/>
  <c r="A3153" i="14"/>
  <c r="B3153" i="14" l="1"/>
  <c r="D3153" i="14"/>
  <c r="C3153" i="14"/>
  <c r="E3153" i="14" s="1"/>
  <c r="A3154" i="14"/>
  <c r="D3154" i="14" l="1"/>
  <c r="C3154" i="14"/>
  <c r="E3154" i="14" s="1"/>
  <c r="B3154" i="14"/>
  <c r="A3155" i="14"/>
  <c r="D3155" i="14" l="1"/>
  <c r="C3155" i="14"/>
  <c r="E3155" i="14" s="1"/>
  <c r="B3155" i="14"/>
  <c r="A3156" i="14"/>
  <c r="B3156" i="14" l="1"/>
  <c r="C3156" i="14"/>
  <c r="E3156" i="14" s="1"/>
  <c r="D3156" i="14"/>
  <c r="A3157" i="14"/>
  <c r="D3157" i="14" l="1"/>
  <c r="C3157" i="14"/>
  <c r="E3157" i="14" s="1"/>
  <c r="B3157" i="14"/>
  <c r="A3158" i="14"/>
  <c r="D3158" i="14" l="1"/>
  <c r="C3158" i="14"/>
  <c r="E3158" i="14" s="1"/>
  <c r="B3158" i="14"/>
  <c r="A3159" i="14"/>
  <c r="C3159" i="14" l="1"/>
  <c r="E3159" i="14" s="1"/>
  <c r="B3159" i="14"/>
  <c r="D3159" i="14"/>
  <c r="A3160" i="14"/>
  <c r="D3160" i="14" l="1"/>
  <c r="C3160" i="14"/>
  <c r="E3160" i="14" s="1"/>
  <c r="B3160" i="14"/>
  <c r="A3161" i="14"/>
  <c r="B3161" i="14" l="1"/>
  <c r="C3161" i="14"/>
  <c r="E3161" i="14" s="1"/>
  <c r="D3161" i="14"/>
  <c r="A3162" i="14"/>
  <c r="D3162" i="14" l="1"/>
  <c r="C3162" i="14"/>
  <c r="E3162" i="14" s="1"/>
  <c r="B3162" i="14"/>
  <c r="A3163" i="14"/>
  <c r="D3163" i="14" l="1"/>
  <c r="C3163" i="14"/>
  <c r="E3163" i="14" s="1"/>
  <c r="B3163" i="14"/>
  <c r="A3164" i="14"/>
  <c r="B3164" i="14" l="1"/>
  <c r="C3164" i="14"/>
  <c r="E3164" i="14" s="1"/>
  <c r="D3164" i="14"/>
  <c r="A3165" i="14"/>
  <c r="D3165" i="14" l="1"/>
  <c r="C3165" i="14"/>
  <c r="E3165" i="14" s="1"/>
  <c r="B3165" i="14"/>
  <c r="A3166" i="14"/>
  <c r="D3166" i="14" l="1"/>
  <c r="C3166" i="14"/>
  <c r="E3166" i="14" s="1"/>
  <c r="B3166" i="14"/>
  <c r="A3167" i="14"/>
  <c r="C3167" i="14" l="1"/>
  <c r="E3167" i="14" s="1"/>
  <c r="B3167" i="14"/>
  <c r="D3167" i="14"/>
  <c r="A3168" i="14"/>
  <c r="D3168" i="14" l="1"/>
  <c r="C3168" i="14"/>
  <c r="E3168" i="14" s="1"/>
  <c r="B3168" i="14"/>
  <c r="A3169" i="14"/>
  <c r="B3169" i="14" l="1"/>
  <c r="C3169" i="14"/>
  <c r="E3169" i="14" s="1"/>
  <c r="D3169" i="14"/>
  <c r="A3170" i="14"/>
  <c r="E3170" i="14" l="1"/>
  <c r="D3170" i="14"/>
  <c r="C3170" i="14"/>
  <c r="B3170" i="14"/>
  <c r="A3171" i="14"/>
  <c r="D3171" i="14" l="1"/>
  <c r="C3171" i="14"/>
  <c r="E3171" i="14" s="1"/>
  <c r="B3171" i="14"/>
  <c r="A3172" i="14"/>
  <c r="B3172" i="14" l="1"/>
  <c r="C3172" i="14"/>
  <c r="E3172" i="14" s="1"/>
  <c r="D3172" i="14"/>
  <c r="A3173" i="14"/>
  <c r="D3173" i="14" l="1"/>
  <c r="C3173" i="14"/>
  <c r="E3173" i="14" s="1"/>
  <c r="B3173" i="14"/>
  <c r="A3174" i="14"/>
  <c r="D3174" i="14" l="1"/>
  <c r="B3174" i="14"/>
  <c r="C3174" i="14"/>
  <c r="E3174" i="14" s="1"/>
  <c r="A3175" i="14"/>
  <c r="C3175" i="14" l="1"/>
  <c r="E3175" i="14" s="1"/>
  <c r="B3175" i="14"/>
  <c r="D3175" i="14"/>
  <c r="A3176" i="14"/>
  <c r="D3176" i="14" l="1"/>
  <c r="C3176" i="14"/>
  <c r="E3176" i="14" s="1"/>
  <c r="B3176" i="14"/>
  <c r="A3177" i="14"/>
  <c r="B3177" i="14" l="1"/>
  <c r="D3177" i="14"/>
  <c r="C3177" i="14"/>
  <c r="E3177" i="14" s="1"/>
  <c r="A3178" i="14"/>
  <c r="D3178" i="14" l="1"/>
  <c r="C3178" i="14"/>
  <c r="E3178" i="14" s="1"/>
  <c r="B3178" i="14"/>
  <c r="A3179" i="14"/>
  <c r="D3179" i="14" l="1"/>
  <c r="C3179" i="14"/>
  <c r="E3179" i="14" s="1"/>
  <c r="B3179" i="14"/>
  <c r="A3180" i="14"/>
  <c r="B3180" i="14" l="1"/>
  <c r="C3180" i="14"/>
  <c r="E3180" i="14" s="1"/>
  <c r="D3180" i="14"/>
  <c r="A3181" i="14"/>
  <c r="D3181" i="14" l="1"/>
  <c r="C3181" i="14"/>
  <c r="E3181" i="14" s="1"/>
  <c r="B3181" i="14"/>
  <c r="A3182" i="14"/>
  <c r="B3182" i="14" l="1"/>
  <c r="C3182" i="14"/>
  <c r="E3182" i="14" s="1"/>
  <c r="D3182" i="14"/>
  <c r="A3183" i="14"/>
  <c r="C3183" i="14" l="1"/>
  <c r="E3183" i="14" s="1"/>
  <c r="B3183" i="14"/>
  <c r="D3183" i="14"/>
  <c r="A3184" i="14"/>
  <c r="D3184" i="14" l="1"/>
  <c r="C3184" i="14"/>
  <c r="E3184" i="14" s="1"/>
  <c r="B3184" i="14"/>
  <c r="A3185" i="14"/>
  <c r="C3185" i="14" l="1"/>
  <c r="E3185" i="14" s="1"/>
  <c r="B3185" i="14"/>
  <c r="D3185" i="14"/>
  <c r="A3186" i="14"/>
  <c r="D3186" i="14" l="1"/>
  <c r="C3186" i="14"/>
  <c r="E3186" i="14" s="1"/>
  <c r="B3186" i="14"/>
  <c r="A3187" i="14"/>
  <c r="D3187" i="14" l="1"/>
  <c r="B3187" i="14"/>
  <c r="C3187" i="14"/>
  <c r="E3187" i="14" s="1"/>
  <c r="A3188" i="14"/>
  <c r="B3188" i="14" l="1"/>
  <c r="D3188" i="14"/>
  <c r="C3188" i="14"/>
  <c r="E3188" i="14" s="1"/>
  <c r="A3189" i="14"/>
  <c r="D3189" i="14" l="1"/>
  <c r="C3189" i="14"/>
  <c r="E3189" i="14" s="1"/>
  <c r="B3189" i="14"/>
  <c r="A3190" i="14"/>
  <c r="B3190" i="14" l="1"/>
  <c r="D3190" i="14"/>
  <c r="C3190" i="14"/>
  <c r="E3190" i="14" s="1"/>
  <c r="A3191" i="14"/>
  <c r="C3191" i="14" l="1"/>
  <c r="E3191" i="14" s="1"/>
  <c r="B3191" i="14"/>
  <c r="D3191" i="14"/>
  <c r="A3192" i="14"/>
  <c r="D3192" i="14" l="1"/>
  <c r="C3192" i="14"/>
  <c r="E3192" i="14" s="1"/>
  <c r="B3192" i="14"/>
  <c r="A3193" i="14"/>
  <c r="C3193" i="14" l="1"/>
  <c r="E3193" i="14" s="1"/>
  <c r="B3193" i="14"/>
  <c r="D3193" i="14"/>
  <c r="A3194" i="14"/>
  <c r="D3194" i="14" l="1"/>
  <c r="C3194" i="14"/>
  <c r="E3194" i="14" s="1"/>
  <c r="B3194" i="14"/>
  <c r="A3195" i="14"/>
  <c r="D3195" i="14" l="1"/>
  <c r="C3195" i="14"/>
  <c r="E3195" i="14" s="1"/>
  <c r="B3195" i="14"/>
  <c r="A3196" i="14"/>
  <c r="B3196" i="14" l="1"/>
  <c r="D3196" i="14"/>
  <c r="C3196" i="14"/>
  <c r="E3196" i="14" s="1"/>
  <c r="A3197" i="14"/>
  <c r="D3197" i="14" l="1"/>
  <c r="C3197" i="14"/>
  <c r="E3197" i="14" s="1"/>
  <c r="B3197" i="14"/>
  <c r="A3198" i="14"/>
  <c r="B3198" i="14" l="1"/>
  <c r="D3198" i="14"/>
  <c r="C3198" i="14"/>
  <c r="E3198" i="14" s="1"/>
  <c r="A3199" i="14"/>
  <c r="C3199" i="14" l="1"/>
  <c r="E3199" i="14" s="1"/>
  <c r="B3199" i="14"/>
  <c r="D3199" i="14"/>
  <c r="A3200" i="14"/>
  <c r="D3200" i="14" l="1"/>
  <c r="C3200" i="14"/>
  <c r="E3200" i="14" s="1"/>
  <c r="B3200" i="14"/>
  <c r="A3201" i="14"/>
  <c r="C3201" i="14" l="1"/>
  <c r="E3201" i="14" s="1"/>
  <c r="B3201" i="14"/>
  <c r="D3201" i="14"/>
  <c r="A3202" i="14"/>
  <c r="D3202" i="14" l="1"/>
  <c r="C3202" i="14"/>
  <c r="E3202" i="14" s="1"/>
  <c r="B3202" i="14"/>
  <c r="A3203" i="14"/>
  <c r="D3203" i="14" l="1"/>
  <c r="C3203" i="14"/>
  <c r="E3203" i="14" s="1"/>
  <c r="B3203" i="14"/>
  <c r="A3204" i="14"/>
  <c r="B3204" i="14" l="1"/>
  <c r="D3204" i="14"/>
  <c r="C3204" i="14"/>
  <c r="E3204" i="14" s="1"/>
  <c r="A3205" i="14"/>
  <c r="D3205" i="14" l="1"/>
  <c r="C3205" i="14"/>
  <c r="E3205" i="14" s="1"/>
  <c r="B3205" i="14"/>
  <c r="A3206" i="14"/>
  <c r="B3206" i="14" l="1"/>
  <c r="C3206" i="14"/>
  <c r="E3206" i="14" s="1"/>
  <c r="D3206" i="14"/>
  <c r="A3207" i="14"/>
  <c r="C3207" i="14" l="1"/>
  <c r="E3207" i="14" s="1"/>
  <c r="B3207" i="14"/>
  <c r="D3207" i="14"/>
  <c r="A3208" i="14"/>
  <c r="D3208" i="14" l="1"/>
  <c r="C3208" i="14"/>
  <c r="E3208" i="14" s="1"/>
  <c r="B3208" i="14"/>
  <c r="A3209" i="14"/>
  <c r="C3209" i="14" l="1"/>
  <c r="E3209" i="14" s="1"/>
  <c r="B3209" i="14"/>
  <c r="D3209" i="14"/>
  <c r="A3210" i="14"/>
  <c r="D3210" i="14" l="1"/>
  <c r="C3210" i="14"/>
  <c r="E3210" i="14" s="1"/>
  <c r="B3210" i="14"/>
  <c r="A3211" i="14"/>
  <c r="D3211" i="14" l="1"/>
  <c r="C3211" i="14"/>
  <c r="E3211" i="14" s="1"/>
  <c r="B3211" i="14"/>
  <c r="A3212" i="14"/>
  <c r="B3212" i="14" l="1"/>
  <c r="D3212" i="14"/>
  <c r="C3212" i="14"/>
  <c r="E3212" i="14" s="1"/>
  <c r="A3213" i="14"/>
  <c r="D3213" i="14" l="1"/>
  <c r="C3213" i="14"/>
  <c r="E3213" i="14" s="1"/>
  <c r="B3213" i="14"/>
  <c r="A3214" i="14"/>
  <c r="B3214" i="14" l="1"/>
  <c r="D3214" i="14"/>
  <c r="C3214" i="14"/>
  <c r="E3214" i="14" s="1"/>
  <c r="A3215" i="14"/>
  <c r="C3215" i="14" l="1"/>
  <c r="E3215" i="14" s="1"/>
  <c r="B3215" i="14"/>
  <c r="D3215" i="14"/>
  <c r="A3216" i="14"/>
  <c r="D3216" i="14" l="1"/>
  <c r="C3216" i="14"/>
  <c r="E3216" i="14" s="1"/>
  <c r="B3216" i="14"/>
  <c r="A3217" i="14"/>
  <c r="C3217" i="14" l="1"/>
  <c r="E3217" i="14" s="1"/>
  <c r="B3217" i="14"/>
  <c r="D3217" i="14"/>
  <c r="A3218" i="14"/>
  <c r="D3218" i="14" l="1"/>
  <c r="C3218" i="14"/>
  <c r="E3218" i="14" s="1"/>
  <c r="B3218" i="14"/>
  <c r="A3219" i="14"/>
  <c r="D3219" i="14" l="1"/>
  <c r="B3219" i="14"/>
  <c r="C3219" i="14"/>
  <c r="E3219" i="14" s="1"/>
  <c r="A3220" i="14"/>
  <c r="B3220" i="14" l="1"/>
  <c r="D3220" i="14"/>
  <c r="C3220" i="14"/>
  <c r="E3220" i="14" s="1"/>
  <c r="A3221" i="14"/>
  <c r="D3221" i="14" l="1"/>
  <c r="C3221" i="14"/>
  <c r="E3221" i="14" s="1"/>
  <c r="B3221" i="14"/>
  <c r="A3222" i="14"/>
  <c r="B3222" i="14" l="1"/>
  <c r="D3222" i="14"/>
  <c r="C3222" i="14"/>
  <c r="E3222" i="14" s="1"/>
  <c r="A3223" i="14"/>
  <c r="C3223" i="14" l="1"/>
  <c r="E3223" i="14" s="1"/>
  <c r="B3223" i="14"/>
  <c r="D3223" i="14"/>
  <c r="A3224" i="14"/>
  <c r="D3224" i="14" l="1"/>
  <c r="C3224" i="14"/>
  <c r="E3224" i="14" s="1"/>
  <c r="B3224" i="14"/>
  <c r="A3225" i="14"/>
  <c r="C3225" i="14" l="1"/>
  <c r="E3225" i="14" s="1"/>
  <c r="B3225" i="14"/>
  <c r="D3225" i="14"/>
  <c r="A3226" i="14"/>
  <c r="D3226" i="14" l="1"/>
  <c r="C3226" i="14"/>
  <c r="E3226" i="14" s="1"/>
  <c r="B3226" i="14"/>
  <c r="A3227" i="14"/>
  <c r="D3227" i="14" l="1"/>
  <c r="C3227" i="14"/>
  <c r="E3227" i="14" s="1"/>
  <c r="B3227" i="14"/>
  <c r="A3228" i="14"/>
  <c r="B3228" i="14" l="1"/>
  <c r="D3228" i="14"/>
  <c r="C3228" i="14"/>
  <c r="E3228" i="14" s="1"/>
  <c r="A3229" i="14"/>
  <c r="D3229" i="14" l="1"/>
  <c r="C3229" i="14"/>
  <c r="E3229" i="14" s="1"/>
  <c r="B3229" i="14"/>
  <c r="A3230" i="14"/>
  <c r="B3230" i="14" l="1"/>
  <c r="D3230" i="14"/>
  <c r="C3230" i="14"/>
  <c r="E3230" i="14" s="1"/>
  <c r="A3231" i="14"/>
  <c r="C3231" i="14" l="1"/>
  <c r="E3231" i="14" s="1"/>
  <c r="B3231" i="14"/>
  <c r="D3231" i="14"/>
  <c r="A3232" i="14"/>
  <c r="D3232" i="14" l="1"/>
  <c r="C3232" i="14"/>
  <c r="E3232" i="14" s="1"/>
  <c r="B3232" i="14"/>
  <c r="A3233" i="14"/>
  <c r="C3233" i="14" l="1"/>
  <c r="E3233" i="14" s="1"/>
  <c r="B3233" i="14"/>
  <c r="D3233" i="14"/>
  <c r="A3234" i="14"/>
  <c r="D3234" i="14" l="1"/>
  <c r="C3234" i="14"/>
  <c r="E3234" i="14" s="1"/>
  <c r="B3234" i="14"/>
  <c r="A3235" i="14"/>
  <c r="D3235" i="14" l="1"/>
  <c r="C3235" i="14"/>
  <c r="E3235" i="14" s="1"/>
  <c r="B3235" i="14"/>
  <c r="A3236" i="14"/>
  <c r="B3236" i="14" l="1"/>
  <c r="D3236" i="14"/>
  <c r="C3236" i="14"/>
  <c r="E3236" i="14" s="1"/>
  <c r="A3237" i="14"/>
  <c r="D3237" i="14" l="1"/>
  <c r="C3237" i="14"/>
  <c r="E3237" i="14" s="1"/>
  <c r="B3237" i="14"/>
  <c r="A3238" i="14"/>
  <c r="B3238" i="14" l="1"/>
  <c r="C3238" i="14"/>
  <c r="E3238" i="14" s="1"/>
  <c r="D3238" i="14"/>
  <c r="A3239" i="14"/>
  <c r="C3239" i="14" l="1"/>
  <c r="E3239" i="14" s="1"/>
  <c r="B3239" i="14"/>
  <c r="D3239" i="14"/>
  <c r="A3240" i="14"/>
  <c r="D3240" i="14" l="1"/>
  <c r="C3240" i="14"/>
  <c r="E3240" i="14" s="1"/>
  <c r="B3240" i="14"/>
  <c r="A3241" i="14"/>
  <c r="D3241" i="14" l="1"/>
  <c r="C3241" i="14"/>
  <c r="E3241" i="14" s="1"/>
  <c r="B3241" i="14"/>
  <c r="A3242" i="14"/>
  <c r="D3242" i="14" l="1"/>
  <c r="C3242" i="14"/>
  <c r="E3242" i="14" s="1"/>
  <c r="B3242" i="14"/>
  <c r="A3243" i="14"/>
  <c r="D3243" i="14" l="1"/>
  <c r="C3243" i="14"/>
  <c r="E3243" i="14" s="1"/>
  <c r="B3243" i="14"/>
  <c r="A3244" i="14"/>
  <c r="B3244" i="14" l="1"/>
  <c r="D3244" i="14"/>
  <c r="C3244" i="14"/>
  <c r="E3244" i="14" s="1"/>
  <c r="A3245" i="14"/>
  <c r="D3245" i="14" l="1"/>
  <c r="C3245" i="14"/>
  <c r="E3245" i="14" s="1"/>
  <c r="B3245" i="14"/>
  <c r="A3246" i="14"/>
  <c r="D3246" i="14" l="1"/>
  <c r="C3246" i="14"/>
  <c r="E3246" i="14" s="1"/>
  <c r="B3246" i="14"/>
  <c r="A3247" i="14"/>
  <c r="C3247" i="14" l="1"/>
  <c r="E3247" i="14" s="1"/>
  <c r="B3247" i="14"/>
  <c r="D3247" i="14"/>
  <c r="A3248" i="14"/>
  <c r="D3248" i="14" l="1"/>
  <c r="C3248" i="14"/>
  <c r="E3248" i="14" s="1"/>
  <c r="B3248" i="14"/>
  <c r="A3249" i="14"/>
  <c r="D3249" i="14" l="1"/>
  <c r="C3249" i="14"/>
  <c r="E3249" i="14" s="1"/>
  <c r="B3249" i="14"/>
  <c r="A3250" i="14"/>
  <c r="D3250" i="14" l="1"/>
  <c r="C3250" i="14"/>
  <c r="E3250" i="14" s="1"/>
  <c r="B3250" i="14"/>
  <c r="A3251" i="14"/>
  <c r="D3251" i="14" l="1"/>
  <c r="C3251" i="14"/>
  <c r="E3251" i="14" s="1"/>
  <c r="B3251" i="14"/>
  <c r="A3252" i="14"/>
  <c r="B3252" i="14" l="1"/>
  <c r="D3252" i="14"/>
  <c r="C3252" i="14"/>
  <c r="E3252" i="14" s="1"/>
  <c r="A3253" i="14"/>
  <c r="D3253" i="14" l="1"/>
  <c r="C3253" i="14"/>
  <c r="E3253" i="14" s="1"/>
  <c r="B3253" i="14"/>
  <c r="A3254" i="14"/>
  <c r="D3254" i="14" l="1"/>
  <c r="C3254" i="14"/>
  <c r="E3254" i="14" s="1"/>
  <c r="B3254" i="14"/>
  <c r="A3255" i="14"/>
  <c r="C3255" i="14" l="1"/>
  <c r="E3255" i="14" s="1"/>
  <c r="B3255" i="14"/>
  <c r="D3255" i="14"/>
  <c r="A3256" i="14"/>
  <c r="D3256" i="14" l="1"/>
  <c r="C3256" i="14"/>
  <c r="E3256" i="14" s="1"/>
  <c r="B3256" i="14"/>
  <c r="A3257" i="14"/>
  <c r="D3257" i="14" l="1"/>
  <c r="C3257" i="14"/>
  <c r="E3257" i="14" s="1"/>
  <c r="B3257" i="14"/>
  <c r="A3258" i="14"/>
  <c r="D3258" i="14" l="1"/>
  <c r="C3258" i="14"/>
  <c r="E3258" i="14" s="1"/>
  <c r="B3258" i="14"/>
  <c r="A3259" i="14"/>
  <c r="D3259" i="14" l="1"/>
  <c r="C3259" i="14"/>
  <c r="E3259" i="14" s="1"/>
  <c r="B3259" i="14"/>
  <c r="A3260" i="14"/>
  <c r="B3260" i="14" l="1"/>
  <c r="D3260" i="14"/>
  <c r="C3260" i="14"/>
  <c r="E3260" i="14" s="1"/>
  <c r="A3261" i="14"/>
  <c r="D3261" i="14" l="1"/>
  <c r="C3261" i="14"/>
  <c r="E3261" i="14" s="1"/>
  <c r="B3261" i="14"/>
  <c r="A3262" i="14"/>
  <c r="D3262" i="14" l="1"/>
  <c r="C3262" i="14"/>
  <c r="E3262" i="14" s="1"/>
  <c r="B3262" i="14"/>
  <c r="A3263" i="14"/>
  <c r="C3263" i="14" l="1"/>
  <c r="E3263" i="14" s="1"/>
  <c r="B3263" i="14"/>
  <c r="D3263" i="14"/>
  <c r="A3264" i="14"/>
  <c r="D3264" i="14" l="1"/>
  <c r="C3264" i="14"/>
  <c r="E3264" i="14" s="1"/>
  <c r="B3264" i="14"/>
  <c r="A3265" i="14"/>
  <c r="D3265" i="14" l="1"/>
  <c r="C3265" i="14"/>
  <c r="E3265" i="14" s="1"/>
  <c r="B3265" i="14"/>
  <c r="A3266" i="14"/>
  <c r="D3266" i="14" l="1"/>
  <c r="C3266" i="14"/>
  <c r="E3266" i="14" s="1"/>
  <c r="B3266" i="14"/>
  <c r="A3267" i="14"/>
  <c r="D3267" i="14" l="1"/>
  <c r="C3267" i="14"/>
  <c r="E3267" i="14" s="1"/>
  <c r="B3267" i="14"/>
  <c r="A3268" i="14"/>
  <c r="B3268" i="14" l="1"/>
  <c r="D3268" i="14"/>
  <c r="C3268" i="14"/>
  <c r="E3268" i="14" s="1"/>
  <c r="A3269" i="14"/>
  <c r="D3269" i="14" l="1"/>
  <c r="C3269" i="14"/>
  <c r="E3269" i="14" s="1"/>
  <c r="B3269" i="14"/>
  <c r="A3270" i="14"/>
  <c r="D3270" i="14" l="1"/>
  <c r="C3270" i="14"/>
  <c r="E3270" i="14" s="1"/>
  <c r="B3270" i="14"/>
  <c r="A3271" i="14"/>
  <c r="C3271" i="14" l="1"/>
  <c r="E3271" i="14" s="1"/>
  <c r="B3271" i="14"/>
  <c r="D3271" i="14"/>
  <c r="A3272" i="14"/>
  <c r="D3272" i="14" l="1"/>
  <c r="C3272" i="14"/>
  <c r="E3272" i="14" s="1"/>
  <c r="B3272" i="14"/>
  <c r="A3273" i="14"/>
  <c r="D3273" i="14" l="1"/>
  <c r="C3273" i="14"/>
  <c r="E3273" i="14" s="1"/>
  <c r="B3273" i="14"/>
  <c r="A3274" i="14"/>
  <c r="D3274" i="14" l="1"/>
  <c r="C3274" i="14"/>
  <c r="E3274" i="14" s="1"/>
  <c r="B3274" i="14"/>
  <c r="A3275" i="14"/>
  <c r="D3275" i="14" l="1"/>
  <c r="C3275" i="14"/>
  <c r="E3275" i="14" s="1"/>
  <c r="B3275" i="14"/>
  <c r="A3276" i="14"/>
  <c r="B3276" i="14" l="1"/>
  <c r="D3276" i="14"/>
  <c r="C3276" i="14"/>
  <c r="E3276" i="14" s="1"/>
  <c r="A3277" i="14"/>
  <c r="D3277" i="14" l="1"/>
  <c r="C3277" i="14"/>
  <c r="E3277" i="14" s="1"/>
  <c r="B3277" i="14"/>
  <c r="A3278" i="14"/>
  <c r="D3278" i="14" l="1"/>
  <c r="C3278" i="14"/>
  <c r="E3278" i="14" s="1"/>
  <c r="B3278" i="14"/>
  <c r="A3279" i="14"/>
  <c r="C3279" i="14" l="1"/>
  <c r="E3279" i="14" s="1"/>
  <c r="B3279" i="14"/>
  <c r="D3279" i="14"/>
  <c r="A3280" i="14"/>
  <c r="D3280" i="14" l="1"/>
  <c r="C3280" i="14"/>
  <c r="E3280" i="14" s="1"/>
  <c r="B3280" i="14"/>
  <c r="A3281" i="14"/>
  <c r="D3281" i="14" l="1"/>
  <c r="C3281" i="14"/>
  <c r="E3281" i="14" s="1"/>
  <c r="B3281" i="14"/>
  <c r="A3282" i="14"/>
  <c r="D3282" i="14" l="1"/>
  <c r="C3282" i="14"/>
  <c r="E3282" i="14" s="1"/>
  <c r="B3282" i="14"/>
  <c r="A3283" i="14"/>
  <c r="D3283" i="14" l="1"/>
  <c r="C3283" i="14"/>
  <c r="E3283" i="14" s="1"/>
  <c r="B3283" i="14"/>
  <c r="A3284" i="14"/>
  <c r="B3284" i="14" l="1"/>
  <c r="D3284" i="14"/>
  <c r="C3284" i="14"/>
  <c r="E3284" i="14" s="1"/>
  <c r="A3285" i="14"/>
  <c r="D3285" i="14" l="1"/>
  <c r="C3285" i="14"/>
  <c r="E3285" i="14" s="1"/>
  <c r="B3285" i="14"/>
  <c r="A3286" i="14"/>
  <c r="B3286" i="14" l="1"/>
  <c r="D3286" i="14"/>
  <c r="C3286" i="14"/>
  <c r="E3286" i="14" s="1"/>
  <c r="A3287" i="14"/>
  <c r="D3287" i="14" l="1"/>
  <c r="C3287" i="14"/>
  <c r="E3287" i="14" s="1"/>
  <c r="B3287" i="14"/>
  <c r="A3288" i="14"/>
  <c r="B3288" i="14" l="1"/>
  <c r="C3288" i="14"/>
  <c r="E3288" i="14" s="1"/>
  <c r="D3288" i="14"/>
  <c r="A3289" i="14"/>
  <c r="C3289" i="14" l="1"/>
  <c r="E3289" i="14" s="1"/>
  <c r="D3289" i="14"/>
  <c r="B3289" i="14"/>
  <c r="A3290" i="14"/>
  <c r="C3290" i="14" l="1"/>
  <c r="E3290" i="14" s="1"/>
  <c r="B3290" i="14"/>
  <c r="D3290" i="14"/>
  <c r="A3291" i="14"/>
  <c r="C3291" i="14" l="1"/>
  <c r="E3291" i="14" s="1"/>
  <c r="D3291" i="14"/>
  <c r="B3291" i="14"/>
  <c r="A3292" i="14"/>
  <c r="D3292" i="14" l="1"/>
  <c r="C3292" i="14"/>
  <c r="E3292" i="14" s="1"/>
  <c r="B3292" i="14"/>
  <c r="A3293" i="14"/>
  <c r="D3293" i="14" l="1"/>
  <c r="C3293" i="14"/>
  <c r="E3293" i="14" s="1"/>
  <c r="B3293" i="14"/>
  <c r="A3294" i="14"/>
  <c r="B3294" i="14" l="1"/>
  <c r="D3294" i="14"/>
  <c r="C3294" i="14"/>
  <c r="E3294" i="14" s="1"/>
  <c r="A3295" i="14"/>
  <c r="D3295" i="14" l="1"/>
  <c r="C3295" i="14"/>
  <c r="E3295" i="14" s="1"/>
  <c r="B3295" i="14"/>
  <c r="A3296" i="14"/>
  <c r="B3296" i="14" l="1"/>
  <c r="D3296" i="14"/>
  <c r="C3296" i="14"/>
  <c r="E3296" i="14" s="1"/>
  <c r="A3297" i="14"/>
  <c r="C3297" i="14" l="1"/>
  <c r="E3297" i="14" s="1"/>
  <c r="D3297" i="14"/>
  <c r="B3297" i="14"/>
  <c r="A3298" i="14"/>
  <c r="D3298" i="14" l="1"/>
  <c r="C3298" i="14"/>
  <c r="E3298" i="14" s="1"/>
  <c r="B3298" i="14"/>
  <c r="A3299" i="14"/>
  <c r="C3299" i="14" l="1"/>
  <c r="E3299" i="14" s="1"/>
  <c r="D3299" i="14"/>
  <c r="B3299" i="14"/>
  <c r="A3300" i="14"/>
  <c r="D3300" i="14" l="1"/>
  <c r="C3300" i="14"/>
  <c r="E3300" i="14" s="1"/>
  <c r="B3300" i="14"/>
  <c r="A3301" i="14"/>
  <c r="B3301" i="14" l="1"/>
  <c r="D3301" i="14"/>
  <c r="C3301" i="14"/>
  <c r="E3301" i="14" s="1"/>
  <c r="A3302" i="14"/>
  <c r="B3302" i="14" l="1"/>
  <c r="D3302" i="14"/>
  <c r="C3302" i="14"/>
  <c r="E3302" i="14" s="1"/>
  <c r="A3303" i="14"/>
  <c r="B3303" i="14" l="1"/>
  <c r="D3303" i="14"/>
  <c r="C3303" i="14"/>
  <c r="E3303" i="14" s="1"/>
  <c r="A3304" i="14"/>
  <c r="B3304" i="14" l="1"/>
  <c r="D3304" i="14"/>
  <c r="C3304" i="14"/>
  <c r="E3304" i="14" s="1"/>
  <c r="A3305" i="14"/>
  <c r="C3305" i="14" l="1"/>
  <c r="E3305" i="14" s="1"/>
  <c r="B3305" i="14"/>
  <c r="D3305" i="14"/>
  <c r="A3306" i="14"/>
  <c r="D3306" i="14" l="1"/>
  <c r="C3306" i="14"/>
  <c r="E3306" i="14" s="1"/>
  <c r="B3306" i="14"/>
  <c r="A3307" i="14"/>
  <c r="C3307" i="14" l="1"/>
  <c r="E3307" i="14" s="1"/>
  <c r="D3307" i="14"/>
  <c r="B3307" i="14"/>
  <c r="A3308" i="14"/>
  <c r="D3308" i="14" l="1"/>
  <c r="C3308" i="14"/>
  <c r="E3308" i="14" s="1"/>
  <c r="B3308" i="14"/>
  <c r="A3309" i="14"/>
  <c r="D3309" i="14" l="1"/>
  <c r="C3309" i="14"/>
  <c r="E3309" i="14" s="1"/>
  <c r="B3309" i="14"/>
  <c r="A3310" i="14"/>
  <c r="B3310" i="14" l="1"/>
  <c r="D3310" i="14"/>
  <c r="C3310" i="14"/>
  <c r="E3310" i="14" s="1"/>
  <c r="A3311" i="14"/>
  <c r="D3311" i="14" l="1"/>
  <c r="C3311" i="14"/>
  <c r="E3311" i="14" s="1"/>
  <c r="B3311" i="14"/>
  <c r="A3312" i="14"/>
  <c r="B3312" i="14" l="1"/>
  <c r="D3312" i="14"/>
  <c r="C3312" i="14"/>
  <c r="E3312" i="14" s="1"/>
  <c r="A3313" i="14"/>
  <c r="C3313" i="14" l="1"/>
  <c r="E3313" i="14" s="1"/>
  <c r="D3313" i="14"/>
  <c r="B3313" i="14"/>
  <c r="A3314" i="14"/>
  <c r="D3314" i="14" l="1"/>
  <c r="C3314" i="14"/>
  <c r="E3314" i="14" s="1"/>
  <c r="B3314" i="14"/>
  <c r="A3315" i="14"/>
  <c r="C3315" i="14" l="1"/>
  <c r="E3315" i="14" s="1"/>
  <c r="D3315" i="14"/>
  <c r="B3315" i="14"/>
  <c r="A3316" i="14"/>
  <c r="D3316" i="14" l="1"/>
  <c r="C3316" i="14"/>
  <c r="E3316" i="14" s="1"/>
  <c r="B3316" i="14"/>
  <c r="A3317" i="14"/>
  <c r="D3317" i="14" l="1"/>
  <c r="C3317" i="14"/>
  <c r="E3317" i="14" s="1"/>
  <c r="B3317" i="14"/>
  <c r="A3318" i="14"/>
  <c r="B3318" i="14" l="1"/>
  <c r="D3318" i="14"/>
  <c r="C3318" i="14"/>
  <c r="E3318" i="14" s="1"/>
  <c r="A3319" i="14"/>
  <c r="D3319" i="14" l="1"/>
  <c r="C3319" i="14"/>
  <c r="E3319" i="14" s="1"/>
  <c r="B3319" i="14"/>
  <c r="A3320" i="14"/>
  <c r="B3320" i="14" l="1"/>
  <c r="C3320" i="14"/>
  <c r="E3320" i="14" s="1"/>
  <c r="D3320" i="14"/>
  <c r="A3321" i="14"/>
  <c r="C3321" i="14" l="1"/>
  <c r="E3321" i="14" s="1"/>
  <c r="D3321" i="14"/>
  <c r="B3321" i="14"/>
  <c r="A3322" i="14"/>
  <c r="C3322" i="14" l="1"/>
  <c r="E3322" i="14" s="1"/>
  <c r="B3322" i="14"/>
  <c r="D3322" i="14"/>
  <c r="A3323" i="14"/>
  <c r="C3323" i="14" l="1"/>
  <c r="E3323" i="14" s="1"/>
  <c r="D3323" i="14"/>
  <c r="B3323" i="14"/>
  <c r="A3324" i="14"/>
  <c r="D3324" i="14" l="1"/>
  <c r="C3324" i="14"/>
  <c r="E3324" i="14" s="1"/>
  <c r="B3324" i="14"/>
  <c r="A3325" i="14"/>
  <c r="D3325" i="14" l="1"/>
  <c r="C3325" i="14"/>
  <c r="E3325" i="14" s="1"/>
  <c r="B3325" i="14"/>
  <c r="A3326" i="14"/>
  <c r="B3326" i="14" l="1"/>
  <c r="D3326" i="14"/>
  <c r="C3326" i="14"/>
  <c r="E3326" i="14" s="1"/>
  <c r="A3327" i="14"/>
  <c r="D3327" i="14" l="1"/>
  <c r="C3327" i="14"/>
  <c r="E3327" i="14" s="1"/>
  <c r="B3327" i="14"/>
  <c r="A3328" i="14"/>
  <c r="B3328" i="14" l="1"/>
  <c r="D3328" i="14"/>
  <c r="C3328" i="14"/>
  <c r="E3328" i="14" s="1"/>
  <c r="A3329" i="14"/>
  <c r="C3329" i="14" l="1"/>
  <c r="E3329" i="14" s="1"/>
  <c r="D3329" i="14"/>
  <c r="B3329" i="14"/>
  <c r="A3330" i="14"/>
  <c r="D3330" i="14" l="1"/>
  <c r="C3330" i="14"/>
  <c r="E3330" i="14" s="1"/>
  <c r="B3330" i="14"/>
  <c r="A3331" i="14"/>
  <c r="C3331" i="14" l="1"/>
  <c r="E3331" i="14" s="1"/>
  <c r="D3331" i="14"/>
  <c r="B3331" i="14"/>
  <c r="A3332" i="14"/>
  <c r="D3332" i="14" l="1"/>
  <c r="C3332" i="14"/>
  <c r="E3332" i="14" s="1"/>
  <c r="B3332" i="14"/>
  <c r="A3333" i="14"/>
  <c r="D3333" i="14" l="1"/>
  <c r="C3333" i="14"/>
  <c r="E3333" i="14" s="1"/>
  <c r="B3333" i="14"/>
  <c r="A3334" i="14"/>
  <c r="B3334" i="14" l="1"/>
  <c r="D3334" i="14"/>
  <c r="C3334" i="14"/>
  <c r="E3334" i="14" s="1"/>
  <c r="A3335" i="14"/>
  <c r="B3335" i="14" l="1"/>
  <c r="D3335" i="14"/>
  <c r="C3335" i="14"/>
  <c r="E3335" i="14" s="1"/>
  <c r="A3336" i="14"/>
  <c r="B3336" i="14" l="1"/>
  <c r="D3336" i="14"/>
  <c r="C3336" i="14"/>
  <c r="E3336" i="14" s="1"/>
  <c r="A3337" i="14"/>
  <c r="C3337" i="14" l="1"/>
  <c r="E3337" i="14" s="1"/>
  <c r="D3337" i="14"/>
  <c r="B3337" i="14"/>
  <c r="A3338" i="14"/>
  <c r="C3338" i="14" l="1"/>
  <c r="E3338" i="14" s="1"/>
  <c r="D3338" i="14"/>
  <c r="B3338" i="14"/>
  <c r="A3339" i="14"/>
  <c r="E3339" i="14" l="1"/>
  <c r="C3339" i="14"/>
  <c r="D3339" i="14"/>
  <c r="B3339" i="14"/>
  <c r="A3340" i="14"/>
  <c r="D3340" i="14" l="1"/>
  <c r="C3340" i="14"/>
  <c r="E3340" i="14" s="1"/>
  <c r="B3340" i="14"/>
  <c r="A3341" i="14"/>
  <c r="D3341" i="14" l="1"/>
  <c r="B3341" i="14"/>
  <c r="C3341" i="14"/>
  <c r="E3341" i="14" s="1"/>
  <c r="A3342" i="14"/>
  <c r="B3342" i="14" l="1"/>
  <c r="D3342" i="14"/>
  <c r="C3342" i="14"/>
  <c r="E3342" i="14" s="1"/>
  <c r="A3343" i="14"/>
  <c r="B3343" i="14" l="1"/>
  <c r="D3343" i="14"/>
  <c r="C3343" i="14"/>
  <c r="E3343" i="14" s="1"/>
  <c r="A3344" i="14"/>
  <c r="B3344" i="14" l="1"/>
  <c r="D3344" i="14"/>
  <c r="C3344" i="14"/>
  <c r="E3344" i="14" s="1"/>
  <c r="A3345" i="14"/>
  <c r="C3345" i="14" l="1"/>
  <c r="E3345" i="14" s="1"/>
  <c r="D3345" i="14"/>
  <c r="B3345" i="14"/>
  <c r="A3346" i="14"/>
  <c r="C3346" i="14" l="1"/>
  <c r="E3346" i="14" s="1"/>
  <c r="B3346" i="14"/>
  <c r="D3346" i="14"/>
  <c r="A3347" i="14"/>
  <c r="C3347" i="14" l="1"/>
  <c r="E3347" i="14" s="1"/>
  <c r="D3347" i="14"/>
  <c r="B3347" i="14"/>
  <c r="A3348" i="14"/>
  <c r="D3348" i="14" l="1"/>
  <c r="C3348" i="14"/>
  <c r="E3348" i="14" s="1"/>
  <c r="B3348" i="14"/>
  <c r="A3349" i="14"/>
  <c r="D3349" i="14" l="1"/>
  <c r="C3349" i="14"/>
  <c r="E3349" i="14" s="1"/>
  <c r="B3349" i="14"/>
  <c r="A3350" i="14"/>
  <c r="B3350" i="14" l="1"/>
  <c r="D3350" i="14"/>
  <c r="C3350" i="14"/>
  <c r="E3350" i="14" s="1"/>
  <c r="A3351" i="14"/>
  <c r="B3351" i="14" l="1"/>
  <c r="C3351" i="14"/>
  <c r="E3351" i="14" s="1"/>
  <c r="D3351" i="14"/>
  <c r="A3352" i="14"/>
  <c r="B3352" i="14" l="1"/>
  <c r="D3352" i="14"/>
  <c r="C3352" i="14"/>
  <c r="E3352" i="14" s="1"/>
  <c r="A3353" i="14"/>
  <c r="E3353" i="14" l="1"/>
  <c r="C3353" i="14"/>
  <c r="B3353" i="14"/>
  <c r="D3353" i="14"/>
  <c r="A3354" i="14"/>
  <c r="D3354" i="14" l="1"/>
  <c r="C3354" i="14"/>
  <c r="B3354" i="14"/>
  <c r="A3355" i="14"/>
  <c r="E3354" i="14"/>
  <c r="C3355" i="14" l="1"/>
  <c r="E3355" i="14" s="1"/>
  <c r="D3355" i="14"/>
  <c r="B3355" i="14"/>
  <c r="A3356" i="14"/>
  <c r="D3356" i="14" l="1"/>
  <c r="C3356" i="14"/>
  <c r="E3356" i="14" s="1"/>
  <c r="B3356" i="14"/>
  <c r="A3357" i="14"/>
  <c r="D3357" i="14" l="1"/>
  <c r="C3357" i="14"/>
  <c r="E3357" i="14" s="1"/>
  <c r="B3357" i="14"/>
  <c r="A3358" i="14"/>
  <c r="B3358" i="14" l="1"/>
  <c r="D3358" i="14"/>
  <c r="C3358" i="14"/>
  <c r="E3358" i="14" s="1"/>
  <c r="A3359" i="14"/>
  <c r="D3359" i="14" l="1"/>
  <c r="C3359" i="14"/>
  <c r="E3359" i="14" s="1"/>
  <c r="B3359" i="14"/>
  <c r="A3360" i="14"/>
  <c r="B3360" i="14" l="1"/>
  <c r="D3360" i="14"/>
  <c r="C3360" i="14"/>
  <c r="E3360" i="14" s="1"/>
  <c r="A3361" i="14"/>
  <c r="E3361" i="14" l="1"/>
  <c r="C3361" i="14"/>
  <c r="B3361" i="14"/>
  <c r="D3361" i="14"/>
  <c r="A3362" i="14"/>
  <c r="D3362" i="14" l="1"/>
  <c r="C3362" i="14"/>
  <c r="B3362" i="14"/>
  <c r="A3363" i="14"/>
  <c r="E3362" i="14"/>
  <c r="C3363" i="14" l="1"/>
  <c r="E3363" i="14" s="1"/>
  <c r="B3363" i="14"/>
  <c r="D3363" i="14"/>
  <c r="A3364" i="14"/>
  <c r="D3364" i="14" l="1"/>
  <c r="C3364" i="14"/>
  <c r="E3364" i="14" s="1"/>
  <c r="B3364" i="14"/>
  <c r="A3365" i="14"/>
  <c r="D3365" i="14" l="1"/>
  <c r="C3365" i="14"/>
  <c r="E3365" i="14" s="1"/>
  <c r="B3365" i="14"/>
  <c r="A3366" i="14"/>
  <c r="B3366" i="14" l="1"/>
  <c r="D3366" i="14"/>
  <c r="C3366" i="14"/>
  <c r="E3366" i="14" s="1"/>
  <c r="A3367" i="14"/>
  <c r="D3367" i="14" l="1"/>
  <c r="C3367" i="14"/>
  <c r="E3367" i="14" s="1"/>
  <c r="B3367" i="14"/>
  <c r="A3368" i="14"/>
  <c r="B3368" i="14" l="1"/>
  <c r="D3368" i="14"/>
  <c r="C3368" i="14"/>
  <c r="E3368" i="14" s="1"/>
  <c r="A3369" i="14"/>
  <c r="C3369" i="14" l="1"/>
  <c r="E3369" i="14" s="1"/>
  <c r="B3369" i="14"/>
  <c r="D3369" i="14"/>
  <c r="A3370" i="14"/>
  <c r="D3370" i="14" l="1"/>
  <c r="C3370" i="14"/>
  <c r="E3370" i="14" s="1"/>
  <c r="B3370" i="14"/>
  <c r="A3371" i="14"/>
  <c r="C3371" i="14" l="1"/>
  <c r="E3371" i="14" s="1"/>
  <c r="D3371" i="14"/>
  <c r="B3371" i="14"/>
  <c r="A3372" i="14"/>
  <c r="D3372" i="14" l="1"/>
  <c r="C3372" i="14"/>
  <c r="E3372" i="14" s="1"/>
  <c r="B3372" i="14"/>
  <c r="A3373" i="14"/>
  <c r="D3373" i="14" l="1"/>
  <c r="C3373" i="14"/>
  <c r="E3373" i="14" s="1"/>
  <c r="B3373" i="14"/>
  <c r="A3374" i="14"/>
  <c r="B3374" i="14" l="1"/>
  <c r="D3374" i="14"/>
  <c r="C3374" i="14"/>
  <c r="E3374" i="14" s="1"/>
  <c r="A3375" i="14"/>
  <c r="D3375" i="14" l="1"/>
  <c r="C3375" i="14"/>
  <c r="E3375" i="14" s="1"/>
  <c r="B3375" i="14"/>
  <c r="A3376" i="14"/>
  <c r="B3376" i="14" l="1"/>
  <c r="D3376" i="14"/>
  <c r="C3376" i="14"/>
  <c r="E3376" i="14" s="1"/>
  <c r="A3377" i="14"/>
  <c r="C3377" i="14" l="1"/>
  <c r="E3377" i="14" s="1"/>
  <c r="B3377" i="14"/>
  <c r="D3377" i="14"/>
  <c r="A3378" i="14"/>
  <c r="D3378" i="14" l="1"/>
  <c r="C3378" i="14"/>
  <c r="E3378" i="14" s="1"/>
  <c r="B3378" i="14"/>
  <c r="A3379" i="14"/>
  <c r="C3379" i="14" l="1"/>
  <c r="E3379" i="14" s="1"/>
  <c r="D3379" i="14"/>
  <c r="B3379" i="14"/>
  <c r="A3380" i="14"/>
  <c r="D3380" i="14" l="1"/>
  <c r="C3380" i="14"/>
  <c r="E3380" i="14" s="1"/>
  <c r="B3380" i="14"/>
  <c r="A3381" i="14"/>
  <c r="D3381" i="14" l="1"/>
  <c r="C3381" i="14"/>
  <c r="E3381" i="14" s="1"/>
  <c r="B3381" i="14"/>
  <c r="A3382" i="14"/>
  <c r="B3382" i="14" l="1"/>
  <c r="D3382" i="14"/>
  <c r="C3382" i="14"/>
  <c r="E3382" i="14" s="1"/>
  <c r="A3383" i="14"/>
  <c r="D3383" i="14" l="1"/>
  <c r="C3383" i="14"/>
  <c r="E3383" i="14" s="1"/>
  <c r="B3383" i="14"/>
  <c r="A3384" i="14"/>
  <c r="B3384" i="14" l="1"/>
  <c r="C3384" i="14"/>
  <c r="E3384" i="14" s="1"/>
  <c r="D3384" i="14"/>
  <c r="A3385" i="14"/>
  <c r="C3385" i="14" l="1"/>
  <c r="E3385" i="14" s="1"/>
  <c r="B3385" i="14"/>
  <c r="D3385" i="14"/>
  <c r="A3386" i="14"/>
  <c r="D3386" i="14" l="1"/>
  <c r="C3386" i="14"/>
  <c r="E3386" i="14" s="1"/>
  <c r="B3386" i="14"/>
  <c r="A3387" i="14"/>
  <c r="C3387" i="14" l="1"/>
  <c r="E3387" i="14" s="1"/>
  <c r="D3387" i="14"/>
  <c r="B3387" i="14"/>
  <c r="A3388" i="14"/>
  <c r="D3388" i="14" l="1"/>
  <c r="C3388" i="14"/>
  <c r="E3388" i="14" s="1"/>
  <c r="B3388" i="14"/>
  <c r="A3389" i="14"/>
  <c r="D3389" i="14" l="1"/>
  <c r="B3389" i="14"/>
  <c r="C3389" i="14"/>
  <c r="E3389" i="14" s="1"/>
  <c r="A3390" i="14"/>
  <c r="B3390" i="14" l="1"/>
  <c r="D3390" i="14"/>
  <c r="C3390" i="14"/>
  <c r="E3390" i="14" s="1"/>
  <c r="A3391" i="14"/>
  <c r="D3391" i="14" l="1"/>
  <c r="C3391" i="14"/>
  <c r="E3391" i="14" s="1"/>
  <c r="B3391" i="14"/>
  <c r="A3392" i="14"/>
  <c r="C3392" i="14" l="1"/>
  <c r="E3392" i="14" s="1"/>
  <c r="B3392" i="14"/>
  <c r="D3392" i="14"/>
  <c r="A3393" i="14"/>
  <c r="C3393" i="14" l="1"/>
  <c r="E3393" i="14" s="1"/>
  <c r="B3393" i="14"/>
  <c r="D3393" i="14"/>
  <c r="A3394" i="14"/>
  <c r="D3394" i="14" l="1"/>
  <c r="C3394" i="14"/>
  <c r="E3394" i="14" s="1"/>
  <c r="B3394" i="14"/>
  <c r="A3395" i="14"/>
  <c r="D3395" i="14" l="1"/>
  <c r="C3395" i="14"/>
  <c r="E3395" i="14" s="1"/>
  <c r="B3395" i="14"/>
  <c r="A3396" i="14"/>
  <c r="D3396" i="14" l="1"/>
  <c r="C3396" i="14"/>
  <c r="E3396" i="14" s="1"/>
  <c r="B3396" i="14"/>
  <c r="A3397" i="14"/>
  <c r="D3397" i="14" l="1"/>
  <c r="B3397" i="14"/>
  <c r="C3397" i="14"/>
  <c r="E3397" i="14" s="1"/>
  <c r="A3398" i="14"/>
  <c r="B3398" i="14" l="1"/>
  <c r="D3398" i="14"/>
  <c r="C3398" i="14"/>
  <c r="E3398" i="14" s="1"/>
  <c r="A3399" i="14"/>
  <c r="D3399" i="14" l="1"/>
  <c r="C3399" i="14"/>
  <c r="E3399" i="14" s="1"/>
  <c r="B3399" i="14"/>
  <c r="A3400" i="14"/>
  <c r="C3400" i="14" l="1"/>
  <c r="E3400" i="14" s="1"/>
  <c r="B3400" i="14"/>
  <c r="D3400" i="14"/>
  <c r="A3401" i="14"/>
  <c r="C3401" i="14" l="1"/>
  <c r="E3401" i="14" s="1"/>
  <c r="B3401" i="14"/>
  <c r="D3401" i="14"/>
  <c r="A3402" i="14"/>
  <c r="D3402" i="14" l="1"/>
  <c r="C3402" i="14"/>
  <c r="E3402" i="14" s="1"/>
  <c r="B3402" i="14"/>
  <c r="A3403" i="14"/>
  <c r="D3403" i="14" l="1"/>
  <c r="C3403" i="14"/>
  <c r="E3403" i="14" s="1"/>
  <c r="B3403" i="14"/>
  <c r="A3404" i="14"/>
  <c r="D3404" i="14" l="1"/>
  <c r="C3404" i="14"/>
  <c r="E3404" i="14" s="1"/>
  <c r="B3404" i="14"/>
  <c r="A3405" i="14"/>
  <c r="D3405" i="14" l="1"/>
  <c r="B3405" i="14"/>
  <c r="C3405" i="14"/>
  <c r="E3405" i="14" s="1"/>
  <c r="A3406" i="14"/>
  <c r="B3406" i="14" l="1"/>
  <c r="D3406" i="14"/>
  <c r="C3406" i="14"/>
  <c r="E3406" i="14" s="1"/>
  <c r="A3407" i="14"/>
  <c r="D3407" i="14" l="1"/>
  <c r="C3407" i="14"/>
  <c r="E3407" i="14" s="1"/>
  <c r="B3407" i="14"/>
  <c r="A3408" i="14"/>
  <c r="C3408" i="14" l="1"/>
  <c r="E3408" i="14" s="1"/>
  <c r="B3408" i="14"/>
  <c r="D3408" i="14"/>
  <c r="A3409" i="14"/>
  <c r="C3409" i="14" l="1"/>
  <c r="E3409" i="14" s="1"/>
  <c r="B3409" i="14"/>
  <c r="D3409" i="14"/>
  <c r="A3410" i="14"/>
  <c r="D3410" i="14" l="1"/>
  <c r="C3410" i="14"/>
  <c r="E3410" i="14" s="1"/>
  <c r="B3410" i="14"/>
  <c r="A3411" i="14"/>
  <c r="D3411" i="14" l="1"/>
  <c r="C3411" i="14"/>
  <c r="E3411" i="14" s="1"/>
  <c r="B3411" i="14"/>
  <c r="A3412" i="14"/>
  <c r="D3412" i="14" l="1"/>
  <c r="C3412" i="14"/>
  <c r="E3412" i="14" s="1"/>
  <c r="B3412" i="14"/>
  <c r="A3413" i="14"/>
  <c r="D3413" i="14" l="1"/>
  <c r="B3413" i="14"/>
  <c r="C3413" i="14"/>
  <c r="E3413" i="14" s="1"/>
  <c r="A3414" i="14"/>
  <c r="B3414" i="14" l="1"/>
  <c r="D3414" i="14"/>
  <c r="C3414" i="14"/>
  <c r="E3414" i="14" s="1"/>
  <c r="A3415" i="14"/>
  <c r="D3415" i="14" l="1"/>
  <c r="C3415" i="14"/>
  <c r="E3415" i="14" s="1"/>
  <c r="B3415" i="14"/>
  <c r="A3416" i="14"/>
  <c r="C3416" i="14" l="1"/>
  <c r="E3416" i="14" s="1"/>
  <c r="B3416" i="14"/>
  <c r="D3416" i="14"/>
  <c r="A3417" i="14"/>
  <c r="C3417" i="14" l="1"/>
  <c r="E3417" i="14" s="1"/>
  <c r="B3417" i="14"/>
  <c r="D3417" i="14"/>
  <c r="A3418" i="14"/>
  <c r="D3418" i="14" l="1"/>
  <c r="C3418" i="14"/>
  <c r="E3418" i="14" s="1"/>
  <c r="B3418" i="14"/>
  <c r="A3419" i="14"/>
  <c r="D3419" i="14" l="1"/>
  <c r="C3419" i="14"/>
  <c r="E3419" i="14" s="1"/>
  <c r="B3419" i="14"/>
  <c r="A3420" i="14"/>
  <c r="D3420" i="14" l="1"/>
  <c r="C3420" i="14"/>
  <c r="E3420" i="14" s="1"/>
  <c r="B3420" i="14"/>
  <c r="A3421" i="14"/>
  <c r="D3421" i="14" l="1"/>
  <c r="B3421" i="14"/>
  <c r="C3421" i="14"/>
  <c r="E3421" i="14" s="1"/>
  <c r="A3422" i="14"/>
  <c r="B3422" i="14" l="1"/>
  <c r="D3422" i="14"/>
  <c r="C3422" i="14"/>
  <c r="E3422" i="14" s="1"/>
  <c r="A3423" i="14"/>
  <c r="D3423" i="14" l="1"/>
  <c r="C3423" i="14"/>
  <c r="E3423" i="14" s="1"/>
  <c r="B3423" i="14"/>
  <c r="A3424" i="14"/>
  <c r="C3424" i="14" l="1"/>
  <c r="E3424" i="14" s="1"/>
  <c r="B3424" i="14"/>
  <c r="D3424" i="14"/>
  <c r="A3425" i="14"/>
  <c r="C3425" i="14" l="1"/>
  <c r="E3425" i="14" s="1"/>
  <c r="B3425" i="14"/>
  <c r="D3425" i="14"/>
  <c r="A3426" i="14"/>
  <c r="D3426" i="14" l="1"/>
  <c r="C3426" i="14"/>
  <c r="E3426" i="14" s="1"/>
  <c r="B3426" i="14"/>
  <c r="A3427" i="14"/>
  <c r="D3427" i="14" l="1"/>
  <c r="C3427" i="14"/>
  <c r="E3427" i="14" s="1"/>
  <c r="B3427" i="14"/>
  <c r="A3428" i="14"/>
  <c r="D3428" i="14" l="1"/>
  <c r="C3428" i="14"/>
  <c r="E3428" i="14" s="1"/>
  <c r="B3428" i="14"/>
  <c r="A3429" i="14"/>
  <c r="D3429" i="14" l="1"/>
  <c r="C3429" i="14"/>
  <c r="E3429" i="14" s="1"/>
  <c r="B3429" i="14"/>
  <c r="A3430" i="14"/>
  <c r="B3430" i="14" l="1"/>
  <c r="D3430" i="14"/>
  <c r="C3430" i="14"/>
  <c r="E3430" i="14" s="1"/>
  <c r="A3431" i="14"/>
  <c r="D3431" i="14" l="1"/>
  <c r="C3431" i="14"/>
  <c r="E3431" i="14" s="1"/>
  <c r="B3431" i="14"/>
  <c r="A3432" i="14"/>
  <c r="D3432" i="14" l="1"/>
  <c r="C3432" i="14"/>
  <c r="E3432" i="14" s="1"/>
  <c r="B3432" i="14"/>
  <c r="A3433" i="14"/>
  <c r="C3433" i="14" l="1"/>
  <c r="E3433" i="14" s="1"/>
  <c r="B3433" i="14"/>
  <c r="D3433" i="14"/>
  <c r="A3434" i="14"/>
  <c r="D3434" i="14" l="1"/>
  <c r="C3434" i="14"/>
  <c r="E3434" i="14" s="1"/>
  <c r="B3434" i="14"/>
  <c r="A3435" i="14"/>
  <c r="D3435" i="14" l="1"/>
  <c r="C3435" i="14"/>
  <c r="E3435" i="14" s="1"/>
  <c r="B3435" i="14"/>
  <c r="A3436" i="14"/>
  <c r="D3436" i="14" l="1"/>
  <c r="C3436" i="14"/>
  <c r="E3436" i="14" s="1"/>
  <c r="B3436" i="14"/>
  <c r="A3437" i="14"/>
  <c r="D3437" i="14" l="1"/>
  <c r="C3437" i="14"/>
  <c r="E3437" i="14" s="1"/>
  <c r="B3437" i="14"/>
  <c r="A3438" i="14"/>
  <c r="B3438" i="14" l="1"/>
  <c r="D3438" i="14"/>
  <c r="C3438" i="14"/>
  <c r="E3438" i="14" s="1"/>
  <c r="A3439" i="14"/>
  <c r="D3439" i="14" l="1"/>
  <c r="C3439" i="14"/>
  <c r="E3439" i="14" s="1"/>
  <c r="B3439" i="14"/>
  <c r="A3440" i="14"/>
  <c r="D3440" i="14" l="1"/>
  <c r="C3440" i="14"/>
  <c r="E3440" i="14" s="1"/>
  <c r="B3440" i="14"/>
  <c r="A3441" i="14"/>
  <c r="C3441" i="14" l="1"/>
  <c r="E3441" i="14" s="1"/>
  <c r="B3441" i="14"/>
  <c r="D3441" i="14"/>
  <c r="A3442" i="14"/>
  <c r="D3442" i="14" l="1"/>
  <c r="C3442" i="14"/>
  <c r="E3442" i="14" s="1"/>
  <c r="B3442" i="14"/>
  <c r="A3443" i="14"/>
  <c r="D3443" i="14" l="1"/>
  <c r="C3443" i="14"/>
  <c r="E3443" i="14" s="1"/>
  <c r="B3443" i="14"/>
  <c r="A3444" i="14"/>
  <c r="D3444" i="14" l="1"/>
  <c r="C3444" i="14"/>
  <c r="E3444" i="14" s="1"/>
  <c r="B3444" i="14"/>
  <c r="A3445" i="14"/>
  <c r="D3445" i="14" l="1"/>
  <c r="C3445" i="14"/>
  <c r="E3445" i="14" s="1"/>
  <c r="B3445" i="14"/>
  <c r="A3446" i="14"/>
  <c r="B3446" i="14" l="1"/>
  <c r="D3446" i="14"/>
  <c r="C3446" i="14"/>
  <c r="E3446" i="14" s="1"/>
  <c r="A3447" i="14"/>
  <c r="D3447" i="14" l="1"/>
  <c r="C3447" i="14"/>
  <c r="E3447" i="14" s="1"/>
  <c r="B3447" i="14"/>
  <c r="A3448" i="14"/>
  <c r="D3448" i="14" l="1"/>
  <c r="C3448" i="14"/>
  <c r="E3448" i="14" s="1"/>
  <c r="B3448" i="14"/>
  <c r="A3449" i="14"/>
  <c r="C3449" i="14" l="1"/>
  <c r="E3449" i="14" s="1"/>
  <c r="B3449" i="14"/>
  <c r="D3449" i="14"/>
  <c r="A3450" i="14"/>
  <c r="D3450" i="14" l="1"/>
  <c r="C3450" i="14"/>
  <c r="E3450" i="14" s="1"/>
  <c r="B3450" i="14"/>
  <c r="A3451" i="14"/>
  <c r="D3451" i="14" l="1"/>
  <c r="C3451" i="14"/>
  <c r="E3451" i="14" s="1"/>
  <c r="B3451" i="14"/>
  <c r="A3452" i="14"/>
  <c r="D3452" i="14" l="1"/>
  <c r="C3452" i="14"/>
  <c r="E3452" i="14" s="1"/>
  <c r="B3452" i="14"/>
  <c r="A3453" i="14"/>
  <c r="D3453" i="14" l="1"/>
  <c r="C3453" i="14"/>
  <c r="E3453" i="14" s="1"/>
  <c r="B3453" i="14"/>
  <c r="A3454" i="14"/>
  <c r="B3454" i="14" l="1"/>
  <c r="D3454" i="14"/>
  <c r="C3454" i="14"/>
  <c r="E3454" i="14" s="1"/>
  <c r="A3455" i="14"/>
  <c r="D3455" i="14" l="1"/>
  <c r="C3455" i="14"/>
  <c r="E3455" i="14" s="1"/>
  <c r="B3455" i="14"/>
  <c r="A3456" i="14"/>
  <c r="D3456" i="14" l="1"/>
  <c r="C3456" i="14"/>
  <c r="E3456" i="14" s="1"/>
  <c r="B3456" i="14"/>
  <c r="A3457" i="14"/>
  <c r="C3457" i="14" l="1"/>
  <c r="E3457" i="14" s="1"/>
  <c r="B3457" i="14"/>
  <c r="D3457" i="14"/>
  <c r="A3458" i="14"/>
  <c r="D3458" i="14" l="1"/>
  <c r="C3458" i="14"/>
  <c r="E3458" i="14" s="1"/>
  <c r="B3458" i="14"/>
  <c r="A3459" i="14"/>
  <c r="D3459" i="14" l="1"/>
  <c r="C3459" i="14"/>
  <c r="E3459" i="14" s="1"/>
  <c r="B3459" i="14"/>
  <c r="A3460" i="14"/>
  <c r="D3460" i="14" l="1"/>
  <c r="C3460" i="14"/>
  <c r="E3460" i="14" s="1"/>
  <c r="B3460" i="14"/>
  <c r="A3461" i="14"/>
  <c r="D3461" i="14" l="1"/>
  <c r="C3461" i="14"/>
  <c r="E3461" i="14" s="1"/>
  <c r="B3461" i="14"/>
  <c r="A3462" i="14"/>
  <c r="B3462" i="14" l="1"/>
  <c r="D3462" i="14"/>
  <c r="C3462" i="14"/>
  <c r="E3462" i="14" s="1"/>
  <c r="A3463" i="14"/>
  <c r="D3463" i="14" l="1"/>
  <c r="C3463" i="14"/>
  <c r="E3463" i="14" s="1"/>
  <c r="B3463" i="14"/>
  <c r="A3464" i="14"/>
  <c r="D3464" i="14" l="1"/>
  <c r="C3464" i="14"/>
  <c r="E3464" i="14" s="1"/>
  <c r="B3464" i="14"/>
  <c r="A3465" i="14"/>
  <c r="C3465" i="14" l="1"/>
  <c r="E3465" i="14" s="1"/>
  <c r="B3465" i="14"/>
  <c r="D3465" i="14"/>
  <c r="A3466" i="14"/>
  <c r="D3466" i="14" l="1"/>
  <c r="C3466" i="14"/>
  <c r="E3466" i="14" s="1"/>
  <c r="B3466" i="14"/>
  <c r="A3467" i="14"/>
  <c r="D3467" i="14" l="1"/>
  <c r="C3467" i="14"/>
  <c r="E3467" i="14" s="1"/>
  <c r="B3467" i="14"/>
  <c r="A3468" i="14"/>
  <c r="D3468" i="14" l="1"/>
  <c r="C3468" i="14"/>
  <c r="E3468" i="14" s="1"/>
  <c r="B3468" i="14"/>
  <c r="A3469" i="14"/>
  <c r="D3469" i="14" l="1"/>
  <c r="C3469" i="14"/>
  <c r="E3469" i="14" s="1"/>
  <c r="B3469" i="14"/>
  <c r="A3470" i="14"/>
  <c r="B3470" i="14" l="1"/>
  <c r="D3470" i="14"/>
  <c r="C3470" i="14"/>
  <c r="E3470" i="14" s="1"/>
  <c r="A3471" i="14"/>
  <c r="D3471" i="14" l="1"/>
  <c r="C3471" i="14"/>
  <c r="E3471" i="14" s="1"/>
  <c r="B3471" i="14"/>
  <c r="A3472" i="14"/>
  <c r="D3472" i="14" l="1"/>
  <c r="C3472" i="14"/>
  <c r="E3472" i="14" s="1"/>
  <c r="B3472" i="14"/>
  <c r="A3473" i="14"/>
  <c r="C3473" i="14" l="1"/>
  <c r="E3473" i="14" s="1"/>
  <c r="B3473" i="14"/>
  <c r="D3473" i="14"/>
  <c r="A3474" i="14"/>
  <c r="D3474" i="14" l="1"/>
  <c r="C3474" i="14"/>
  <c r="E3474" i="14" s="1"/>
  <c r="B3474" i="14"/>
  <c r="A3475" i="14"/>
  <c r="D3475" i="14" l="1"/>
  <c r="C3475" i="14"/>
  <c r="E3475" i="14" s="1"/>
  <c r="B3475" i="14"/>
  <c r="A3476" i="14"/>
  <c r="D3476" i="14" l="1"/>
  <c r="C3476" i="14"/>
  <c r="E3476" i="14" s="1"/>
  <c r="B3476" i="14"/>
  <c r="A3477" i="14"/>
  <c r="D3477" i="14" l="1"/>
  <c r="C3477" i="14"/>
  <c r="E3477" i="14" s="1"/>
  <c r="B3477" i="14"/>
  <c r="A3478" i="14"/>
  <c r="B3478" i="14" l="1"/>
  <c r="D3478" i="14"/>
  <c r="C3478" i="14"/>
  <c r="E3478" i="14" s="1"/>
  <c r="A3479" i="14"/>
  <c r="D3479" i="14" l="1"/>
  <c r="C3479" i="14"/>
  <c r="E3479" i="14" s="1"/>
  <c r="B3479" i="14"/>
  <c r="A3480" i="14"/>
  <c r="D3480" i="14" l="1"/>
  <c r="C3480" i="14"/>
  <c r="E3480" i="14" s="1"/>
  <c r="B3480" i="14"/>
  <c r="A3481" i="14"/>
  <c r="C3481" i="14" l="1"/>
  <c r="E3481" i="14" s="1"/>
  <c r="B3481" i="14"/>
  <c r="D3481" i="14"/>
  <c r="A3482" i="14"/>
  <c r="D3482" i="14" l="1"/>
  <c r="C3482" i="14"/>
  <c r="E3482" i="14" s="1"/>
  <c r="B3482" i="14"/>
  <c r="A3483" i="14"/>
  <c r="D3483" i="14" l="1"/>
  <c r="C3483" i="14"/>
  <c r="E3483" i="14" s="1"/>
  <c r="B3483" i="14"/>
  <c r="A3484" i="14"/>
  <c r="D3484" i="14" l="1"/>
  <c r="C3484" i="14"/>
  <c r="E3484" i="14" s="1"/>
  <c r="B3484" i="14"/>
  <c r="A3485" i="14"/>
  <c r="D3485" i="14" l="1"/>
  <c r="C3485" i="14"/>
  <c r="E3485" i="14" s="1"/>
  <c r="B3485" i="14"/>
  <c r="A3486" i="14"/>
  <c r="B3486" i="14" l="1"/>
  <c r="D3486" i="14"/>
  <c r="C3486" i="14"/>
  <c r="E3486" i="14" s="1"/>
  <c r="A3487" i="14"/>
  <c r="D3487" i="14" l="1"/>
  <c r="C3487" i="14"/>
  <c r="E3487" i="14" s="1"/>
  <c r="B3487" i="14"/>
  <c r="A3488" i="14"/>
  <c r="D3488" i="14" l="1"/>
  <c r="C3488" i="14"/>
  <c r="E3488" i="14" s="1"/>
  <c r="B3488" i="14"/>
  <c r="A3489" i="14"/>
  <c r="C3489" i="14" l="1"/>
  <c r="E3489" i="14" s="1"/>
  <c r="B3489" i="14"/>
  <c r="D3489" i="14"/>
  <c r="A3490" i="14"/>
  <c r="D3490" i="14" l="1"/>
  <c r="C3490" i="14"/>
  <c r="E3490" i="14" s="1"/>
  <c r="B3490" i="14"/>
  <c r="A3491" i="14"/>
  <c r="D3491" i="14" l="1"/>
  <c r="C3491" i="14"/>
  <c r="E3491" i="14" s="1"/>
  <c r="B3491" i="14"/>
  <c r="A3492" i="14"/>
  <c r="D3492" i="14" l="1"/>
  <c r="C3492" i="14"/>
  <c r="E3492" i="14" s="1"/>
  <c r="B3492" i="14"/>
  <c r="A3493" i="14"/>
  <c r="D3493" i="14" l="1"/>
  <c r="C3493" i="14"/>
  <c r="E3493" i="14" s="1"/>
  <c r="B3493" i="14"/>
  <c r="A3494" i="14"/>
  <c r="B3494" i="14" l="1"/>
  <c r="D3494" i="14"/>
  <c r="C3494" i="14"/>
  <c r="E3494" i="14" s="1"/>
  <c r="A3495" i="14"/>
  <c r="D3495" i="14" l="1"/>
  <c r="C3495" i="14"/>
  <c r="E3495" i="14" s="1"/>
  <c r="B3495" i="14"/>
  <c r="A3496" i="14"/>
  <c r="D3496" i="14" l="1"/>
  <c r="C3496" i="14"/>
  <c r="E3496" i="14" s="1"/>
  <c r="B3496" i="14"/>
  <c r="A3497" i="14"/>
  <c r="C3497" i="14" l="1"/>
  <c r="E3497" i="14" s="1"/>
  <c r="B3497" i="14"/>
  <c r="D3497" i="14"/>
  <c r="A3498" i="14"/>
  <c r="D3498" i="14" l="1"/>
  <c r="C3498" i="14"/>
  <c r="E3498" i="14" s="1"/>
  <c r="B3498" i="14"/>
  <c r="A3499" i="14"/>
  <c r="D3499" i="14" l="1"/>
  <c r="C3499" i="14"/>
  <c r="E3499" i="14" s="1"/>
  <c r="B3499" i="14"/>
  <c r="A3500" i="14"/>
  <c r="D3500" i="14" l="1"/>
  <c r="C3500" i="14"/>
  <c r="E3500" i="14" s="1"/>
  <c r="B3500" i="14"/>
  <c r="A3501" i="14"/>
  <c r="D3501" i="14" l="1"/>
  <c r="C3501" i="14"/>
  <c r="E3501" i="14" s="1"/>
  <c r="B3501" i="14"/>
  <c r="A3502" i="14"/>
  <c r="B3502" i="14" l="1"/>
  <c r="D3502" i="14"/>
  <c r="C3502" i="14"/>
  <c r="E3502" i="14" s="1"/>
  <c r="A3503" i="14"/>
  <c r="D3503" i="14" l="1"/>
  <c r="C3503" i="14"/>
  <c r="E3503" i="14" s="1"/>
  <c r="B3503" i="14"/>
  <c r="A3504" i="14"/>
  <c r="D3504" i="14" l="1"/>
  <c r="C3504" i="14"/>
  <c r="E3504" i="14" s="1"/>
  <c r="B3504" i="14"/>
  <c r="A3505" i="14"/>
  <c r="C3505" i="14" l="1"/>
  <c r="E3505" i="14" s="1"/>
  <c r="B3505" i="14"/>
  <c r="D3505" i="14"/>
  <c r="A3506" i="14"/>
  <c r="D3506" i="14" l="1"/>
  <c r="C3506" i="14"/>
  <c r="E3506" i="14" s="1"/>
  <c r="B3506" i="14"/>
  <c r="A3507" i="14"/>
  <c r="D3507" i="14" l="1"/>
  <c r="C3507" i="14"/>
  <c r="E3507" i="14" s="1"/>
  <c r="B3507" i="14"/>
  <c r="A3508" i="14"/>
  <c r="D3508" i="14" l="1"/>
  <c r="C3508" i="14"/>
  <c r="E3508" i="14" s="1"/>
  <c r="B3508" i="14"/>
  <c r="A3509" i="14"/>
  <c r="D3509" i="14" l="1"/>
  <c r="C3509" i="14"/>
  <c r="E3509" i="14" s="1"/>
  <c r="B3509" i="14"/>
  <c r="A3510" i="14"/>
  <c r="B3510" i="14" l="1"/>
  <c r="D3510" i="14"/>
  <c r="C3510" i="14"/>
  <c r="E3510" i="14" s="1"/>
  <c r="A3511" i="14"/>
  <c r="D3511" i="14" l="1"/>
  <c r="C3511" i="14"/>
  <c r="E3511" i="14" s="1"/>
  <c r="B3511" i="14"/>
  <c r="A3512" i="14"/>
  <c r="D3512" i="14" l="1"/>
  <c r="C3512" i="14"/>
  <c r="E3512" i="14" s="1"/>
  <c r="B3512" i="14"/>
  <c r="A3513" i="14"/>
  <c r="C3513" i="14" l="1"/>
  <c r="E3513" i="14" s="1"/>
  <c r="B3513" i="14"/>
  <c r="D3513" i="14"/>
  <c r="A3514" i="14"/>
  <c r="D3514" i="14" l="1"/>
  <c r="C3514" i="14"/>
  <c r="E3514" i="14" s="1"/>
  <c r="B3514" i="14"/>
  <c r="A3515" i="14"/>
  <c r="D3515" i="14" l="1"/>
  <c r="C3515" i="14"/>
  <c r="E3515" i="14" s="1"/>
  <c r="B3515" i="14"/>
  <c r="A3516" i="14"/>
  <c r="D3516" i="14" l="1"/>
  <c r="C3516" i="14"/>
  <c r="E3516" i="14" s="1"/>
  <c r="B3516" i="14"/>
  <c r="A3517" i="14"/>
  <c r="D3517" i="14" l="1"/>
  <c r="C3517" i="14"/>
  <c r="E3517" i="14" s="1"/>
  <c r="B3517" i="14"/>
  <c r="A3518" i="14"/>
  <c r="B3518" i="14" l="1"/>
  <c r="D3518" i="14"/>
  <c r="C3518" i="14"/>
  <c r="E3518" i="14" s="1"/>
  <c r="A3519" i="14"/>
  <c r="D3519" i="14" l="1"/>
  <c r="C3519" i="14"/>
  <c r="E3519" i="14" s="1"/>
  <c r="B3519" i="14"/>
  <c r="A3520" i="14"/>
  <c r="D3520" i="14" l="1"/>
  <c r="C3520" i="14"/>
  <c r="E3520" i="14" s="1"/>
  <c r="B3520" i="14"/>
  <c r="A3521" i="14"/>
  <c r="C3521" i="14" l="1"/>
  <c r="E3521" i="14" s="1"/>
  <c r="B3521" i="14"/>
  <c r="D3521" i="14"/>
  <c r="A3522" i="14"/>
  <c r="D3522" i="14" l="1"/>
  <c r="C3522" i="14"/>
  <c r="E3522" i="14" s="1"/>
  <c r="B3522" i="14"/>
  <c r="A3523" i="14"/>
  <c r="D3523" i="14" l="1"/>
  <c r="C3523" i="14"/>
  <c r="E3523" i="14" s="1"/>
  <c r="B3523" i="14"/>
  <c r="A3524" i="14"/>
  <c r="D3524" i="14" l="1"/>
  <c r="C3524" i="14"/>
  <c r="E3524" i="14" s="1"/>
  <c r="B3524" i="14"/>
  <c r="A3525" i="14"/>
  <c r="D3525" i="14" l="1"/>
  <c r="C3525" i="14"/>
  <c r="E3525" i="14" s="1"/>
  <c r="B3525" i="14"/>
  <c r="A3526" i="14"/>
  <c r="B3526" i="14" l="1"/>
  <c r="D3526" i="14"/>
  <c r="C3526" i="14"/>
  <c r="E3526" i="14" s="1"/>
  <c r="A3527" i="14"/>
  <c r="D3527" i="14" l="1"/>
  <c r="C3527" i="14"/>
  <c r="E3527" i="14" s="1"/>
  <c r="B3527" i="14"/>
  <c r="A3528" i="14"/>
  <c r="D3528" i="14" l="1"/>
  <c r="C3528" i="14"/>
  <c r="E3528" i="14" s="1"/>
  <c r="B3528" i="14"/>
  <c r="A3529" i="14"/>
  <c r="C3529" i="14" l="1"/>
  <c r="E3529" i="14" s="1"/>
  <c r="B3529" i="14"/>
  <c r="D3529" i="14"/>
  <c r="A3530" i="14"/>
  <c r="D3530" i="14" l="1"/>
  <c r="C3530" i="14"/>
  <c r="E3530" i="14" s="1"/>
  <c r="B3530" i="14"/>
  <c r="A3531" i="14"/>
  <c r="D3531" i="14" l="1"/>
  <c r="C3531" i="14"/>
  <c r="E3531" i="14" s="1"/>
  <c r="B3531" i="14"/>
  <c r="A3532" i="14"/>
  <c r="D3532" i="14" l="1"/>
  <c r="C3532" i="14"/>
  <c r="E3532" i="14" s="1"/>
  <c r="B3532" i="14"/>
  <c r="A3533" i="14"/>
  <c r="D3533" i="14" l="1"/>
  <c r="C3533" i="14"/>
  <c r="E3533" i="14" s="1"/>
  <c r="B3533" i="14"/>
  <c r="A3534" i="14"/>
  <c r="B3534" i="14" l="1"/>
  <c r="D3534" i="14"/>
  <c r="C3534" i="14"/>
  <c r="E3534" i="14" s="1"/>
  <c r="A3535" i="14"/>
  <c r="D3535" i="14" l="1"/>
  <c r="C3535" i="14"/>
  <c r="E3535" i="14" s="1"/>
  <c r="B3535" i="14"/>
  <c r="A3536" i="14"/>
  <c r="D3536" i="14" l="1"/>
  <c r="C3536" i="14"/>
  <c r="E3536" i="14" s="1"/>
  <c r="B3536" i="14"/>
  <c r="A3537" i="14"/>
  <c r="C3537" i="14" l="1"/>
  <c r="E3537" i="14" s="1"/>
  <c r="B3537" i="14"/>
  <c r="D3537" i="14"/>
  <c r="A3538" i="14"/>
  <c r="D3538" i="14" l="1"/>
  <c r="C3538" i="14"/>
  <c r="E3538" i="14" s="1"/>
  <c r="B3538" i="14"/>
  <c r="A3539" i="14"/>
  <c r="D3539" i="14" l="1"/>
  <c r="C3539" i="14"/>
  <c r="E3539" i="14" s="1"/>
  <c r="B3539" i="14"/>
  <c r="A3540" i="14"/>
  <c r="D3540" i="14" l="1"/>
  <c r="C3540" i="14"/>
  <c r="E3540" i="14" s="1"/>
  <c r="B3540" i="14"/>
  <c r="A3541" i="14"/>
  <c r="D3541" i="14" l="1"/>
  <c r="C3541" i="14"/>
  <c r="E3541" i="14" s="1"/>
  <c r="B3541" i="14"/>
  <c r="A3542" i="14"/>
  <c r="B3542" i="14" l="1"/>
  <c r="D3542" i="14"/>
  <c r="C3542" i="14"/>
  <c r="E3542" i="14" s="1"/>
  <c r="A3543" i="14"/>
  <c r="D3543" i="14" l="1"/>
  <c r="C3543" i="14"/>
  <c r="E3543" i="14" s="1"/>
  <c r="B3543" i="14"/>
  <c r="A3544" i="14"/>
  <c r="D3544" i="14" l="1"/>
  <c r="C3544" i="14"/>
  <c r="E3544" i="14" s="1"/>
  <c r="B3544" i="14"/>
  <c r="A3545" i="14"/>
  <c r="C3545" i="14" l="1"/>
  <c r="E3545" i="14" s="1"/>
  <c r="B3545" i="14"/>
  <c r="D3545" i="14"/>
  <c r="A3546" i="14"/>
  <c r="D3546" i="14" l="1"/>
  <c r="C3546" i="14"/>
  <c r="E3546" i="14" s="1"/>
  <c r="B3546" i="14"/>
  <c r="A3547" i="14"/>
  <c r="D3547" i="14" l="1"/>
  <c r="C3547" i="14"/>
  <c r="E3547" i="14" s="1"/>
  <c r="B3547" i="14"/>
  <c r="A3548" i="14"/>
  <c r="D3548" i="14" l="1"/>
  <c r="C3548" i="14"/>
  <c r="E3548" i="14" s="1"/>
  <c r="B3548" i="14"/>
  <c r="A3549" i="14"/>
  <c r="D3549" i="14" l="1"/>
  <c r="C3549" i="14"/>
  <c r="E3549" i="14" s="1"/>
  <c r="B3549" i="14"/>
  <c r="A3550" i="14"/>
  <c r="B3550" i="14" l="1"/>
  <c r="D3550" i="14"/>
  <c r="C3550" i="14"/>
  <c r="E3550" i="14" s="1"/>
  <c r="A3551" i="14"/>
  <c r="D3551" i="14" l="1"/>
  <c r="C3551" i="14"/>
  <c r="E3551" i="14" s="1"/>
  <c r="B3551" i="14"/>
  <c r="A3552" i="14"/>
  <c r="D3552" i="14" l="1"/>
  <c r="C3552" i="14"/>
  <c r="E3552" i="14" s="1"/>
  <c r="B3552" i="14"/>
  <c r="A3553" i="14"/>
  <c r="C3553" i="14" l="1"/>
  <c r="E3553" i="14" s="1"/>
  <c r="B3553" i="14"/>
  <c r="D3553" i="14"/>
  <c r="A3554" i="14"/>
  <c r="D3554" i="14" l="1"/>
  <c r="C3554" i="14"/>
  <c r="E3554" i="14" s="1"/>
  <c r="B3554" i="14"/>
  <c r="A3555" i="14"/>
  <c r="D3555" i="14" l="1"/>
  <c r="C3555" i="14"/>
  <c r="E3555" i="14" s="1"/>
  <c r="B3555" i="14"/>
  <c r="A3556" i="14"/>
  <c r="D3556" i="14" l="1"/>
  <c r="C3556" i="14"/>
  <c r="E3556" i="14" s="1"/>
  <c r="B3556" i="14"/>
  <c r="A3557" i="14"/>
  <c r="D3557" i="14" l="1"/>
  <c r="C3557" i="14"/>
  <c r="E3557" i="14" s="1"/>
  <c r="B3557" i="14"/>
  <c r="A3558" i="14"/>
  <c r="B3558" i="14" l="1"/>
  <c r="D3558" i="14"/>
  <c r="C3558" i="14"/>
  <c r="E3558" i="14" s="1"/>
  <c r="A3559" i="14"/>
  <c r="D3559" i="14" l="1"/>
  <c r="C3559" i="14"/>
  <c r="E3559" i="14" s="1"/>
  <c r="B3559" i="14"/>
  <c r="A3560" i="14"/>
  <c r="D3560" i="14" l="1"/>
  <c r="C3560" i="14"/>
  <c r="E3560" i="14" s="1"/>
  <c r="B3560" i="14"/>
  <c r="A3561" i="14"/>
  <c r="C3561" i="14" l="1"/>
  <c r="E3561" i="14" s="1"/>
  <c r="B3561" i="14"/>
  <c r="D3561" i="14"/>
  <c r="A3562" i="14"/>
  <c r="D3562" i="14" l="1"/>
  <c r="C3562" i="14"/>
  <c r="E3562" i="14" s="1"/>
  <c r="B3562" i="14"/>
  <c r="A3563" i="14"/>
  <c r="D3563" i="14" l="1"/>
  <c r="C3563" i="14"/>
  <c r="E3563" i="14" s="1"/>
  <c r="B3563" i="14"/>
  <c r="A3564" i="14"/>
  <c r="D3564" i="14" l="1"/>
  <c r="C3564" i="14"/>
  <c r="E3564" i="14" s="1"/>
  <c r="B3564" i="14"/>
  <c r="A3565" i="14"/>
  <c r="D3565" i="14" l="1"/>
  <c r="C3565" i="14"/>
  <c r="E3565" i="14" s="1"/>
  <c r="B3565" i="14"/>
  <c r="A3566" i="14"/>
  <c r="B3566" i="14" l="1"/>
  <c r="D3566" i="14"/>
  <c r="C3566" i="14"/>
  <c r="E3566" i="14" s="1"/>
  <c r="A3567" i="14"/>
  <c r="D3567" i="14" l="1"/>
  <c r="C3567" i="14"/>
  <c r="E3567" i="14" s="1"/>
  <c r="B3567" i="14"/>
  <c r="A3568" i="14"/>
  <c r="D3568" i="14" l="1"/>
  <c r="C3568" i="14"/>
  <c r="E3568" i="14" s="1"/>
  <c r="B3568" i="14"/>
  <c r="A3569" i="14"/>
  <c r="C3569" i="14" l="1"/>
  <c r="E3569" i="14" s="1"/>
  <c r="B3569" i="14"/>
  <c r="D3569" i="14"/>
  <c r="A3570" i="14"/>
  <c r="D3570" i="14" l="1"/>
  <c r="C3570" i="14"/>
  <c r="E3570" i="14" s="1"/>
  <c r="B3570" i="14"/>
  <c r="A3571" i="14"/>
  <c r="D3571" i="14" l="1"/>
  <c r="C3571" i="14"/>
  <c r="E3571" i="14" s="1"/>
  <c r="B3571" i="14"/>
  <c r="A3572" i="14"/>
  <c r="D3572" i="14" l="1"/>
  <c r="C3572" i="14"/>
  <c r="E3572" i="14" s="1"/>
  <c r="B3572" i="14"/>
  <c r="A3573" i="14"/>
  <c r="D3573" i="14" l="1"/>
  <c r="C3573" i="14"/>
  <c r="E3573" i="14" s="1"/>
  <c r="B3573" i="14"/>
  <c r="A3574" i="14"/>
  <c r="B3574" i="14" l="1"/>
  <c r="D3574" i="14"/>
  <c r="C3574" i="14"/>
  <c r="E3574" i="14" s="1"/>
  <c r="A3575" i="14"/>
  <c r="D3575" i="14" l="1"/>
  <c r="C3575" i="14"/>
  <c r="E3575" i="14" s="1"/>
  <c r="B3575" i="14"/>
  <c r="A3576" i="14"/>
  <c r="D3576" i="14" l="1"/>
  <c r="C3576" i="14"/>
  <c r="E3576" i="14" s="1"/>
  <c r="B3576" i="14"/>
  <c r="A3577" i="14"/>
  <c r="C3577" i="14" l="1"/>
  <c r="E3577" i="14" s="1"/>
  <c r="B3577" i="14"/>
  <c r="D3577" i="14"/>
  <c r="A3578" i="14"/>
  <c r="D3578" i="14" l="1"/>
  <c r="C3578" i="14"/>
  <c r="E3578" i="14" s="1"/>
  <c r="B3578" i="14"/>
  <c r="A3579" i="14"/>
  <c r="D3579" i="14" l="1"/>
  <c r="C3579" i="14"/>
  <c r="E3579" i="14" s="1"/>
  <c r="B3579" i="14"/>
  <c r="A3580" i="14"/>
  <c r="D3580" i="14" l="1"/>
  <c r="C3580" i="14"/>
  <c r="E3580" i="14" s="1"/>
  <c r="B3580" i="14"/>
  <c r="A3581" i="14"/>
  <c r="D3581" i="14" l="1"/>
  <c r="C3581" i="14"/>
  <c r="E3581" i="14" s="1"/>
  <c r="B3581" i="14"/>
  <c r="A3582" i="14"/>
  <c r="B3582" i="14" l="1"/>
  <c r="D3582" i="14"/>
  <c r="C3582" i="14"/>
  <c r="E3582" i="14" s="1"/>
  <c r="A3583" i="14"/>
  <c r="D3583" i="14" l="1"/>
  <c r="C3583" i="14"/>
  <c r="E3583" i="14" s="1"/>
  <c r="B3583" i="14"/>
  <c r="A3584" i="14"/>
  <c r="D3584" i="14" l="1"/>
  <c r="C3584" i="14"/>
  <c r="E3584" i="14" s="1"/>
  <c r="B3584" i="14"/>
  <c r="A3585" i="14"/>
  <c r="C3585" i="14" l="1"/>
  <c r="E3585" i="14" s="1"/>
  <c r="B3585" i="14"/>
  <c r="D3585" i="14"/>
  <c r="A3586" i="14"/>
  <c r="D3586" i="14" l="1"/>
  <c r="C3586" i="14"/>
  <c r="E3586" i="14" s="1"/>
  <c r="B3586" i="14"/>
  <c r="A3587" i="14"/>
  <c r="D3587" i="14" l="1"/>
  <c r="C3587" i="14"/>
  <c r="E3587" i="14" s="1"/>
  <c r="B3587" i="14"/>
  <c r="A3588" i="14"/>
  <c r="D3588" i="14" l="1"/>
  <c r="C3588" i="14"/>
  <c r="E3588" i="14" s="1"/>
  <c r="B3588" i="14"/>
  <c r="A3589" i="14"/>
  <c r="D3589" i="14" l="1"/>
  <c r="C3589" i="14"/>
  <c r="E3589" i="14" s="1"/>
  <c r="B3589" i="14"/>
  <c r="A3590" i="14"/>
  <c r="B3590" i="14" l="1"/>
  <c r="D3590" i="14"/>
  <c r="C3590" i="14"/>
  <c r="E3590" i="14" s="1"/>
  <c r="A3591" i="14"/>
  <c r="D3591" i="14" l="1"/>
  <c r="C3591" i="14"/>
  <c r="E3591" i="14" s="1"/>
  <c r="B3591" i="14"/>
  <c r="A3592" i="14"/>
  <c r="D3592" i="14" l="1"/>
  <c r="C3592" i="14"/>
  <c r="E3592" i="14" s="1"/>
  <c r="B3592" i="14"/>
  <c r="A3593" i="14"/>
  <c r="C3593" i="14" l="1"/>
  <c r="E3593" i="14" s="1"/>
  <c r="B3593" i="14"/>
  <c r="D3593" i="14"/>
  <c r="A3594" i="14"/>
  <c r="D3594" i="14" l="1"/>
  <c r="C3594" i="14"/>
  <c r="E3594" i="14" s="1"/>
  <c r="B3594" i="14"/>
  <c r="A3595" i="14"/>
  <c r="D3595" i="14" l="1"/>
  <c r="C3595" i="14"/>
  <c r="E3595" i="14" s="1"/>
  <c r="B3595" i="14"/>
  <c r="A3596" i="14"/>
  <c r="D3596" i="14" l="1"/>
  <c r="C3596" i="14"/>
  <c r="E3596" i="14" s="1"/>
  <c r="B3596" i="14"/>
  <c r="A3597" i="14"/>
  <c r="D3597" i="14" l="1"/>
  <c r="C3597" i="14"/>
  <c r="E3597" i="14" s="1"/>
  <c r="B3597" i="14"/>
  <c r="A3598" i="14"/>
  <c r="B3598" i="14" l="1"/>
  <c r="D3598" i="14"/>
  <c r="C3598" i="14"/>
  <c r="E3598" i="14" s="1"/>
  <c r="A3599" i="14"/>
  <c r="D3599" i="14" l="1"/>
  <c r="C3599" i="14"/>
  <c r="E3599" i="14" s="1"/>
  <c r="B3599" i="14"/>
  <c r="A3600" i="14"/>
  <c r="D3600" i="14" l="1"/>
  <c r="C3600" i="14"/>
  <c r="E3600" i="14" s="1"/>
  <c r="B3600" i="14"/>
  <c r="A3601" i="14"/>
  <c r="C3601" i="14" l="1"/>
  <c r="E3601" i="14" s="1"/>
  <c r="B3601" i="14"/>
  <c r="D3601" i="14"/>
  <c r="A3602" i="14"/>
  <c r="D3602" i="14" l="1"/>
  <c r="C3602" i="14"/>
  <c r="E3602" i="14" s="1"/>
  <c r="B3602" i="14"/>
  <c r="A3603" i="14"/>
  <c r="D3603" i="14" l="1"/>
  <c r="C3603" i="14"/>
  <c r="E3603" i="14" s="1"/>
  <c r="B3603" i="14"/>
  <c r="A3604" i="14"/>
  <c r="D3604" i="14" l="1"/>
  <c r="C3604" i="14"/>
  <c r="E3604" i="14" s="1"/>
  <c r="B3604" i="14"/>
  <c r="A3605" i="14"/>
  <c r="D3605" i="14" l="1"/>
  <c r="C3605" i="14"/>
  <c r="E3605" i="14" s="1"/>
  <c r="B3605" i="14"/>
  <c r="A3606" i="14"/>
  <c r="B3606" i="14" l="1"/>
  <c r="D3606" i="14"/>
  <c r="C3606" i="14"/>
  <c r="E3606" i="14" s="1"/>
  <c r="A3607" i="14"/>
  <c r="D3607" i="14" l="1"/>
  <c r="C3607" i="14"/>
  <c r="E3607" i="14" s="1"/>
  <c r="B3607" i="14"/>
  <c r="A3608" i="14"/>
  <c r="D3608" i="14" l="1"/>
  <c r="C3608" i="14"/>
  <c r="E3608" i="14" s="1"/>
  <c r="B3608" i="14"/>
  <c r="A3609" i="14"/>
  <c r="C3609" i="14" l="1"/>
  <c r="E3609" i="14" s="1"/>
  <c r="B3609" i="14"/>
  <c r="D3609" i="14"/>
  <c r="A3610" i="14"/>
  <c r="D3610" i="14" l="1"/>
  <c r="C3610" i="14"/>
  <c r="E3610" i="14" s="1"/>
  <c r="B3610" i="14"/>
  <c r="A3611" i="14"/>
  <c r="D3611" i="14" l="1"/>
  <c r="C3611" i="14"/>
  <c r="E3611" i="14" s="1"/>
  <c r="B3611" i="14"/>
  <c r="A3612" i="14"/>
  <c r="D3612" i="14" l="1"/>
  <c r="C3612" i="14"/>
  <c r="E3612" i="14" s="1"/>
  <c r="B3612" i="14"/>
  <c r="A3613" i="14"/>
  <c r="D3613" i="14" l="1"/>
  <c r="C3613" i="14"/>
  <c r="E3613" i="14" s="1"/>
  <c r="B3613" i="14"/>
  <c r="A3614" i="14"/>
  <c r="B3614" i="14" l="1"/>
  <c r="D3614" i="14"/>
  <c r="C3614" i="14"/>
  <c r="E3614" i="14" s="1"/>
  <c r="A3615" i="14"/>
  <c r="D3615" i="14" l="1"/>
  <c r="C3615" i="14"/>
  <c r="E3615" i="14" s="1"/>
  <c r="B3615" i="14"/>
  <c r="A3616" i="14"/>
  <c r="D3616" i="14" l="1"/>
  <c r="C3616" i="14"/>
  <c r="E3616" i="14" s="1"/>
  <c r="B3616" i="14"/>
  <c r="A3617" i="14"/>
  <c r="C3617" i="14" l="1"/>
  <c r="E3617" i="14" s="1"/>
  <c r="B3617" i="14"/>
  <c r="D3617" i="14"/>
  <c r="A3618" i="14"/>
  <c r="D3618" i="14" l="1"/>
  <c r="C3618" i="14"/>
  <c r="E3618" i="14" s="1"/>
  <c r="B3618" i="14"/>
  <c r="A3619" i="14"/>
  <c r="D3619" i="14" l="1"/>
  <c r="C3619" i="14"/>
  <c r="E3619" i="14" s="1"/>
  <c r="B3619" i="14"/>
  <c r="A3620" i="14"/>
  <c r="D3620" i="14" l="1"/>
  <c r="C3620" i="14"/>
  <c r="E3620" i="14" s="1"/>
  <c r="B3620" i="14"/>
  <c r="A3621" i="14"/>
  <c r="D3621" i="14" l="1"/>
  <c r="C3621" i="14"/>
  <c r="E3621" i="14" s="1"/>
  <c r="B3621" i="14"/>
  <c r="A3622" i="14"/>
  <c r="B3622" i="14" l="1"/>
  <c r="D3622" i="14"/>
  <c r="C3622" i="14"/>
  <c r="E3622" i="14" s="1"/>
  <c r="A3623" i="14"/>
  <c r="D3623" i="14" l="1"/>
  <c r="C3623" i="14"/>
  <c r="E3623" i="14" s="1"/>
  <c r="B3623" i="14"/>
  <c r="A3624" i="14"/>
  <c r="D3624" i="14" l="1"/>
  <c r="C3624" i="14"/>
  <c r="E3624" i="14" s="1"/>
  <c r="B3624" i="14"/>
  <c r="A3625" i="14"/>
  <c r="C3625" i="14" l="1"/>
  <c r="E3625" i="14" s="1"/>
  <c r="B3625" i="14"/>
  <c r="D3625" i="14"/>
  <c r="A3626" i="14"/>
  <c r="D3626" i="14" l="1"/>
  <c r="C3626" i="14"/>
  <c r="E3626" i="14" s="1"/>
  <c r="B3626" i="14"/>
  <c r="A3627" i="14"/>
  <c r="D3627" i="14" l="1"/>
  <c r="C3627" i="14"/>
  <c r="E3627" i="14" s="1"/>
  <c r="B3627" i="14"/>
  <c r="A3628" i="14"/>
  <c r="D3628" i="14" l="1"/>
  <c r="C3628" i="14"/>
  <c r="E3628" i="14" s="1"/>
  <c r="B3628" i="14"/>
  <c r="A3629" i="14"/>
  <c r="D3629" i="14" l="1"/>
  <c r="C3629" i="14"/>
  <c r="E3629" i="14" s="1"/>
  <c r="B3629" i="14"/>
  <c r="A3630" i="14"/>
  <c r="B3630" i="14" l="1"/>
  <c r="D3630" i="14"/>
  <c r="C3630" i="14"/>
  <c r="E3630" i="14" s="1"/>
  <c r="A3631" i="14"/>
  <c r="D3631" i="14" l="1"/>
  <c r="C3631" i="14"/>
  <c r="E3631" i="14" s="1"/>
  <c r="B3631" i="14"/>
  <c r="A3632" i="14"/>
  <c r="D3632" i="14" l="1"/>
  <c r="C3632" i="14"/>
  <c r="E3632" i="14" s="1"/>
  <c r="B3632" i="14"/>
  <c r="A3633" i="14"/>
  <c r="C3633" i="14" l="1"/>
  <c r="E3633" i="14" s="1"/>
  <c r="B3633" i="14"/>
  <c r="D3633" i="14"/>
  <c r="A3634" i="14"/>
  <c r="D3634" i="14" l="1"/>
  <c r="C3634" i="14"/>
  <c r="E3634" i="14" s="1"/>
  <c r="B3634" i="14"/>
  <c r="A3635" i="14"/>
  <c r="D3635" i="14" l="1"/>
  <c r="C3635" i="14"/>
  <c r="E3635" i="14" s="1"/>
  <c r="B3635" i="14"/>
  <c r="A3636" i="14"/>
  <c r="D3636" i="14" l="1"/>
  <c r="C3636" i="14"/>
  <c r="E3636" i="14" s="1"/>
  <c r="B3636" i="14"/>
  <c r="A3637" i="14"/>
  <c r="D3637" i="14" l="1"/>
  <c r="C3637" i="14"/>
  <c r="E3637" i="14" s="1"/>
  <c r="B3637" i="14"/>
  <c r="A3638" i="14"/>
  <c r="B3638" i="14" l="1"/>
  <c r="D3638" i="14"/>
  <c r="C3638" i="14"/>
  <c r="E3638" i="14" s="1"/>
  <c r="A3639" i="14"/>
  <c r="D3639" i="14" l="1"/>
  <c r="C3639" i="14"/>
  <c r="E3639" i="14" s="1"/>
  <c r="B3639" i="14"/>
  <c r="A3640" i="14"/>
  <c r="D3640" i="14" l="1"/>
  <c r="C3640" i="14"/>
  <c r="E3640" i="14" s="1"/>
  <c r="B3640" i="14"/>
  <c r="A3641" i="14"/>
  <c r="C3641" i="14" l="1"/>
  <c r="E3641" i="14" s="1"/>
  <c r="B3641" i="14"/>
  <c r="D3641" i="14"/>
  <c r="A3642" i="14"/>
  <c r="D3642" i="14" l="1"/>
  <c r="C3642" i="14"/>
  <c r="E3642" i="14" s="1"/>
  <c r="B3642" i="14"/>
  <c r="A3643" i="14"/>
  <c r="D3643" i="14" l="1"/>
  <c r="C3643" i="14"/>
  <c r="E3643" i="14" s="1"/>
  <c r="B3643" i="14"/>
  <c r="A3644" i="14"/>
  <c r="D3644" i="14" l="1"/>
  <c r="C3644" i="14"/>
  <c r="E3644" i="14" s="1"/>
  <c r="B3644" i="14"/>
  <c r="A3645" i="14"/>
  <c r="D3645" i="14" l="1"/>
  <c r="C3645" i="14"/>
  <c r="E3645" i="14" s="1"/>
  <c r="B3645" i="14"/>
  <c r="A3646" i="14"/>
  <c r="B3646" i="14" l="1"/>
  <c r="D3646" i="14"/>
  <c r="C3646" i="14"/>
  <c r="E3646" i="14" s="1"/>
  <c r="A3647" i="14"/>
  <c r="D3647" i="14" l="1"/>
  <c r="C3647" i="14"/>
  <c r="E3647" i="14" s="1"/>
  <c r="B3647" i="14"/>
  <c r="A3648" i="14"/>
  <c r="D3648" i="14" l="1"/>
  <c r="C3648" i="14"/>
  <c r="E3648" i="14" s="1"/>
  <c r="B3648" i="14"/>
  <c r="A3649" i="14"/>
  <c r="C3649" i="14" l="1"/>
  <c r="E3649" i="14" s="1"/>
  <c r="B3649" i="14"/>
  <c r="D3649" i="14"/>
  <c r="A3650" i="14"/>
  <c r="D3650" i="14" l="1"/>
  <c r="C3650" i="14"/>
  <c r="E3650" i="14" s="1"/>
  <c r="B3650" i="14"/>
  <c r="A3651" i="14"/>
  <c r="D3651" i="14" l="1"/>
  <c r="C3651" i="14"/>
  <c r="E3651" i="14" s="1"/>
  <c r="B3651" i="14"/>
  <c r="A3652" i="14"/>
  <c r="E3652" i="14" l="1"/>
  <c r="D3652" i="14"/>
  <c r="C3652" i="14"/>
  <c r="B3652" i="14"/>
  <c r="A3653" i="14"/>
  <c r="D3653" i="14" l="1"/>
  <c r="C3653" i="14"/>
  <c r="E3653" i="14" s="1"/>
  <c r="B3653" i="14"/>
  <c r="A3654" i="14"/>
  <c r="E3654" i="14" l="1"/>
  <c r="B3654" i="14"/>
  <c r="D3654" i="14"/>
  <c r="C3654" i="14"/>
  <c r="A3655" i="14"/>
  <c r="D3655" i="14" l="1"/>
  <c r="C3655" i="14"/>
  <c r="E3655" i="14" s="1"/>
  <c r="B3655" i="14"/>
  <c r="A3656" i="14"/>
  <c r="D3656" i="14" l="1"/>
  <c r="C3656" i="14"/>
  <c r="E3656" i="14" s="1"/>
  <c r="B3656" i="14"/>
  <c r="A3657" i="14"/>
  <c r="C3657" i="14" l="1"/>
  <c r="E3657" i="14" s="1"/>
  <c r="B3657" i="14"/>
  <c r="D3657" i="14"/>
  <c r="A3658" i="14"/>
  <c r="D3658" i="14" l="1"/>
  <c r="C3658" i="14"/>
  <c r="E3658" i="14" s="1"/>
  <c r="B3658" i="14"/>
  <c r="A3659" i="14"/>
  <c r="D3659" i="14" l="1"/>
  <c r="C3659" i="14"/>
  <c r="E3659" i="14" s="1"/>
  <c r="B3659" i="14"/>
  <c r="A3660" i="14"/>
  <c r="D3660" i="14" l="1"/>
  <c r="C3660" i="14"/>
  <c r="E3660" i="14" s="1"/>
  <c r="B3660" i="14"/>
  <c r="A3661" i="14"/>
  <c r="D3661" i="14" l="1"/>
  <c r="C3661" i="14"/>
  <c r="E3661" i="14" s="1"/>
  <c r="B3661" i="14"/>
  <c r="A3662" i="14"/>
  <c r="B3662" i="14" l="1"/>
  <c r="D3662" i="14"/>
  <c r="C3662" i="14"/>
  <c r="E3662" i="14" s="1"/>
  <c r="A3663" i="14"/>
  <c r="D3663" i="14" l="1"/>
  <c r="C3663" i="14"/>
  <c r="E3663" i="14" s="1"/>
  <c r="B3663" i="14"/>
  <c r="A3664" i="14"/>
  <c r="D3664" i="14" l="1"/>
  <c r="C3664" i="14"/>
  <c r="E3664" i="14" s="1"/>
  <c r="B3664" i="14"/>
  <c r="A3665" i="14"/>
  <c r="C3665" i="14" l="1"/>
  <c r="E3665" i="14" s="1"/>
  <c r="B3665" i="14"/>
  <c r="D3665" i="14"/>
  <c r="A3666" i="14"/>
  <c r="D3666" i="14" l="1"/>
  <c r="C3666" i="14"/>
  <c r="E3666" i="14" s="1"/>
  <c r="B3666" i="14"/>
  <c r="A3667" i="14"/>
  <c r="B3667" i="14" l="1"/>
  <c r="D3667" i="14"/>
  <c r="C3667" i="14"/>
  <c r="E3667" i="14" s="1"/>
  <c r="A3668" i="14"/>
  <c r="D3668" i="14" l="1"/>
  <c r="C3668" i="14"/>
  <c r="E3668" i="14" s="1"/>
  <c r="B3668" i="14"/>
  <c r="A3669" i="14"/>
  <c r="D3669" i="14" l="1"/>
  <c r="C3669" i="14"/>
  <c r="E3669" i="14" s="1"/>
  <c r="B3669" i="14"/>
  <c r="A3670" i="14"/>
  <c r="C3670" i="14" l="1"/>
  <c r="E3670" i="14" s="1"/>
  <c r="D3670" i="14"/>
  <c r="B3670" i="14"/>
  <c r="A3671" i="14"/>
  <c r="D3671" i="14" l="1"/>
  <c r="C3671" i="14"/>
  <c r="E3671" i="14" s="1"/>
  <c r="B3671" i="14"/>
  <c r="A3672" i="14"/>
  <c r="D3672" i="14" l="1"/>
  <c r="C3672" i="14"/>
  <c r="E3672" i="14" s="1"/>
  <c r="B3672" i="14"/>
  <c r="A3673" i="14"/>
  <c r="D3673" i="14" l="1"/>
  <c r="C3673" i="14"/>
  <c r="E3673" i="14" s="1"/>
  <c r="B3673" i="14"/>
  <c r="A3674" i="14"/>
  <c r="C3674" i="14" l="1"/>
  <c r="E3674" i="14" s="1"/>
  <c r="B3674" i="14"/>
  <c r="D3674" i="14"/>
  <c r="A3675" i="14"/>
  <c r="B3675" i="14" l="1"/>
  <c r="D3675" i="14"/>
  <c r="C3675" i="14"/>
  <c r="E3675" i="14" s="1"/>
  <c r="A3676" i="14"/>
  <c r="B3676" i="14" l="1"/>
  <c r="D3676" i="14"/>
  <c r="C3676" i="14"/>
  <c r="E3676" i="14" s="1"/>
  <c r="A3677" i="14"/>
  <c r="D3677" i="14" l="1"/>
  <c r="C3677" i="14"/>
  <c r="E3677" i="14" s="1"/>
  <c r="B3677" i="14"/>
  <c r="A3678" i="14"/>
  <c r="C3678" i="14" l="1"/>
  <c r="E3678" i="14" s="1"/>
  <c r="D3678" i="14"/>
  <c r="B3678" i="14"/>
  <c r="A3679" i="14"/>
  <c r="D3679" i="14" l="1"/>
  <c r="C3679" i="14"/>
  <c r="E3679" i="14" s="1"/>
  <c r="B3679" i="14"/>
  <c r="A3680" i="14"/>
  <c r="D3680" i="14" l="1"/>
  <c r="C3680" i="14"/>
  <c r="E3680" i="14" s="1"/>
  <c r="B3680" i="14"/>
  <c r="A3681" i="14"/>
  <c r="D3681" i="14" l="1"/>
  <c r="C3681" i="14"/>
  <c r="E3681" i="14" s="1"/>
  <c r="B3681" i="14"/>
  <c r="A3682" i="14"/>
  <c r="D3682" i="14" l="1"/>
  <c r="C3682" i="14"/>
  <c r="E3682" i="14" s="1"/>
  <c r="B3682" i="14"/>
  <c r="A3683" i="14"/>
  <c r="B3683" i="14" l="1"/>
  <c r="D3683" i="14"/>
  <c r="C3683" i="14"/>
  <c r="E3683" i="14" s="1"/>
  <c r="A3684" i="14"/>
  <c r="D3684" i="14" l="1"/>
  <c r="C3684" i="14"/>
  <c r="E3684" i="14" s="1"/>
  <c r="B3684" i="14"/>
  <c r="A3685" i="14"/>
  <c r="C3685" i="14" l="1"/>
  <c r="E3685" i="14" s="1"/>
  <c r="B3685" i="14"/>
  <c r="D3685" i="14"/>
  <c r="A3686" i="14"/>
  <c r="C3686" i="14" l="1"/>
  <c r="E3686" i="14" s="1"/>
  <c r="D3686" i="14"/>
  <c r="B3686" i="14"/>
  <c r="A3687" i="14"/>
  <c r="B3687" i="14" l="1"/>
  <c r="D3687" i="14"/>
  <c r="C3687" i="14"/>
  <c r="E3687" i="14" s="1"/>
  <c r="A3688" i="14"/>
  <c r="D3688" i="14" l="1"/>
  <c r="C3688" i="14"/>
  <c r="E3688" i="14" s="1"/>
  <c r="B3688" i="14"/>
  <c r="A3689" i="14"/>
  <c r="D3689" i="14" l="1"/>
  <c r="C3689" i="14"/>
  <c r="E3689" i="14" s="1"/>
  <c r="B3689" i="14"/>
  <c r="A3690" i="14"/>
  <c r="D3690" i="14" l="1"/>
  <c r="C3690" i="14"/>
  <c r="E3690" i="14" s="1"/>
  <c r="B3690" i="14"/>
  <c r="A3691" i="14"/>
  <c r="B3691" i="14" l="1"/>
  <c r="D3691" i="14"/>
  <c r="C3691" i="14"/>
  <c r="E3691" i="14" s="1"/>
  <c r="A3692" i="14"/>
  <c r="D3692" i="14" l="1"/>
  <c r="C3692" i="14"/>
  <c r="E3692" i="14" s="1"/>
  <c r="B3692" i="14"/>
  <c r="A3693" i="14"/>
  <c r="D3693" i="14" l="1"/>
  <c r="C3693" i="14"/>
  <c r="E3693" i="14" s="1"/>
  <c r="B3693" i="14"/>
  <c r="A3694" i="14"/>
  <c r="C3694" i="14" l="1"/>
  <c r="E3694" i="14" s="1"/>
  <c r="D3694" i="14"/>
  <c r="B3694" i="14"/>
  <c r="A3695" i="14"/>
  <c r="D3695" i="14" l="1"/>
  <c r="C3695" i="14"/>
  <c r="E3695" i="14" s="1"/>
  <c r="B3695" i="14"/>
  <c r="A3696" i="14"/>
  <c r="C3696" i="14" l="1"/>
  <c r="E3696" i="14" s="1"/>
  <c r="B3696" i="14"/>
  <c r="D3696" i="14"/>
  <c r="A3697" i="14"/>
  <c r="D3697" i="14" l="1"/>
  <c r="C3697" i="14"/>
  <c r="E3697" i="14" s="1"/>
  <c r="B3697" i="14"/>
  <c r="A3698" i="14"/>
  <c r="B3698" i="14" l="1"/>
  <c r="D3698" i="14"/>
  <c r="C3698" i="14"/>
  <c r="E3698" i="14" s="1"/>
  <c r="A3699" i="14"/>
  <c r="B3699" i="14" l="1"/>
  <c r="D3699" i="14"/>
  <c r="C3699" i="14"/>
  <c r="E3699" i="14" s="1"/>
  <c r="A3700" i="14"/>
  <c r="D3700" i="14" l="1"/>
  <c r="C3700" i="14"/>
  <c r="E3700" i="14" s="1"/>
  <c r="B3700" i="14"/>
  <c r="A3701" i="14"/>
  <c r="D3701" i="14" l="1"/>
  <c r="C3701" i="14"/>
  <c r="E3701" i="14" s="1"/>
  <c r="B3701" i="14"/>
  <c r="A3702" i="14"/>
  <c r="C3702" i="14" l="1"/>
  <c r="E3702" i="14" s="1"/>
  <c r="D3702" i="14"/>
  <c r="B3702" i="14"/>
  <c r="A3703" i="14"/>
  <c r="D3703" i="14" l="1"/>
  <c r="C3703" i="14"/>
  <c r="E3703" i="14" s="1"/>
  <c r="B3703" i="14"/>
  <c r="A3704" i="14"/>
  <c r="D3704" i="14" l="1"/>
  <c r="C3704" i="14"/>
  <c r="E3704" i="14" s="1"/>
  <c r="B3704" i="14"/>
  <c r="A3705" i="14"/>
  <c r="D3705" i="14" l="1"/>
  <c r="C3705" i="14"/>
  <c r="E3705" i="14" s="1"/>
  <c r="B3705" i="14"/>
  <c r="A3706" i="14"/>
  <c r="D3706" i="14" l="1"/>
  <c r="C3706" i="14"/>
  <c r="E3706" i="14" s="1"/>
  <c r="B3706" i="14"/>
  <c r="A3707" i="14"/>
  <c r="B3707" i="14" l="1"/>
  <c r="C3707" i="14"/>
  <c r="E3707" i="14" s="1"/>
  <c r="D3707" i="14"/>
  <c r="A3708" i="14"/>
  <c r="D3708" i="14" l="1"/>
  <c r="C3708" i="14"/>
  <c r="E3708" i="14" s="1"/>
  <c r="B3708" i="14"/>
  <c r="A3709" i="14"/>
  <c r="B3709" i="14" l="1"/>
  <c r="D3709" i="14"/>
  <c r="C3709" i="14"/>
  <c r="E3709" i="14" s="1"/>
  <c r="A3710" i="14"/>
  <c r="C3710" i="14" l="1"/>
  <c r="E3710" i="14" s="1"/>
  <c r="D3710" i="14"/>
  <c r="B3710" i="14"/>
  <c r="A3711" i="14"/>
  <c r="D3711" i="14" l="1"/>
  <c r="C3711" i="14"/>
  <c r="E3711" i="14" s="1"/>
  <c r="B3711" i="14"/>
  <c r="A3712" i="14"/>
  <c r="D3712" i="14" l="1"/>
  <c r="C3712" i="14"/>
  <c r="E3712" i="14" s="1"/>
  <c r="B3712" i="14"/>
  <c r="A3713" i="14"/>
  <c r="D3713" i="14" l="1"/>
  <c r="C3713" i="14"/>
  <c r="E3713" i="14" s="1"/>
  <c r="B3713" i="14"/>
  <c r="A3714" i="14"/>
  <c r="D3714" i="14" l="1"/>
  <c r="C3714" i="14"/>
  <c r="E3714" i="14" s="1"/>
  <c r="B3714" i="14"/>
  <c r="A3715" i="14"/>
  <c r="B3715" i="14" l="1"/>
  <c r="D3715" i="14"/>
  <c r="C3715" i="14"/>
  <c r="E3715" i="14" s="1"/>
  <c r="A3716" i="14"/>
  <c r="C3716" i="14" l="1"/>
  <c r="E3716" i="14" s="1"/>
  <c r="B3716" i="14"/>
  <c r="D3716" i="14"/>
  <c r="A3717" i="14"/>
  <c r="D3717" i="14" l="1"/>
  <c r="C3717" i="14"/>
  <c r="E3717" i="14" s="1"/>
  <c r="B3717" i="14"/>
  <c r="A3718" i="14"/>
  <c r="C3718" i="14" l="1"/>
  <c r="E3718" i="14" s="1"/>
  <c r="B3718" i="14"/>
  <c r="D3718" i="14"/>
  <c r="A3719" i="14"/>
  <c r="D3719" i="14" l="1"/>
  <c r="C3719" i="14"/>
  <c r="E3719" i="14" s="1"/>
  <c r="B3719" i="14"/>
  <c r="A3720" i="14"/>
  <c r="B3720" i="14" l="1"/>
  <c r="D3720" i="14"/>
  <c r="C3720" i="14"/>
  <c r="E3720" i="14" s="1"/>
  <c r="A3721" i="14"/>
  <c r="D3721" i="14" l="1"/>
  <c r="C3721" i="14"/>
  <c r="E3721" i="14" s="1"/>
  <c r="B3721" i="14"/>
  <c r="A3722" i="14"/>
  <c r="D3722" i="14" l="1"/>
  <c r="C3722" i="14"/>
  <c r="E3722" i="14" s="1"/>
  <c r="B3722" i="14"/>
  <c r="A3723" i="14"/>
  <c r="B3723" i="14" l="1"/>
  <c r="D3723" i="14"/>
  <c r="C3723" i="14"/>
  <c r="E3723" i="14" s="1"/>
  <c r="A3724" i="14"/>
  <c r="D3724" i="14" l="1"/>
  <c r="C3724" i="14"/>
  <c r="E3724" i="14" s="1"/>
  <c r="B3724" i="14"/>
  <c r="A3725" i="14"/>
  <c r="D3725" i="14" l="1"/>
  <c r="C3725" i="14"/>
  <c r="E3725" i="14" s="1"/>
  <c r="B3725" i="14"/>
  <c r="A3726" i="14"/>
  <c r="C3726" i="14" l="1"/>
  <c r="E3726" i="14" s="1"/>
  <c r="D3726" i="14"/>
  <c r="B3726" i="14"/>
  <c r="A3727" i="14"/>
  <c r="C3727" i="14" l="1"/>
  <c r="E3727" i="14" s="1"/>
  <c r="B3727" i="14"/>
  <c r="D3727" i="14"/>
  <c r="A3728" i="14"/>
  <c r="D3728" i="14" l="1"/>
  <c r="C3728" i="14"/>
  <c r="E3728" i="14" s="1"/>
  <c r="B3728" i="14"/>
  <c r="A3729" i="14"/>
  <c r="D3729" i="14" l="1"/>
  <c r="B3729" i="14"/>
  <c r="C3729" i="14"/>
  <c r="E3729" i="14" s="1"/>
  <c r="A3730" i="14"/>
  <c r="D3730" i="14" l="1"/>
  <c r="C3730" i="14"/>
  <c r="E3730" i="14" s="1"/>
  <c r="B3730" i="14"/>
  <c r="A3731" i="14"/>
  <c r="B3731" i="14" l="1"/>
  <c r="D3731" i="14"/>
  <c r="C3731" i="14"/>
  <c r="E3731" i="14" s="1"/>
  <c r="A3732" i="14"/>
  <c r="D3732" i="14" l="1"/>
  <c r="C3732" i="14"/>
  <c r="E3732" i="14" s="1"/>
  <c r="B3732" i="14"/>
  <c r="A3733" i="14"/>
  <c r="D3733" i="14" l="1"/>
  <c r="C3733" i="14"/>
  <c r="E3733" i="14" s="1"/>
  <c r="B3733" i="14"/>
  <c r="A3734" i="14"/>
  <c r="C3734" i="14" l="1"/>
  <c r="E3734" i="14" s="1"/>
  <c r="D3734" i="14"/>
  <c r="B3734" i="14"/>
  <c r="A3735" i="14"/>
  <c r="D3735" i="14" l="1"/>
  <c r="C3735" i="14"/>
  <c r="E3735" i="14" s="1"/>
  <c r="B3735" i="14"/>
  <c r="A3736" i="14"/>
  <c r="D3736" i="14" l="1"/>
  <c r="C3736" i="14"/>
  <c r="E3736" i="14" s="1"/>
  <c r="B3736" i="14"/>
  <c r="A3737" i="14"/>
  <c r="D3737" i="14" l="1"/>
  <c r="C3737" i="14"/>
  <c r="E3737" i="14" s="1"/>
  <c r="B3737" i="14"/>
  <c r="A3738" i="14"/>
  <c r="C3738" i="14" l="1"/>
  <c r="E3738" i="14" s="1"/>
  <c r="B3738" i="14"/>
  <c r="D3738" i="14"/>
  <c r="A3739" i="14"/>
  <c r="B3739" i="14" l="1"/>
  <c r="D3739" i="14"/>
  <c r="C3739" i="14"/>
  <c r="E3739" i="14" s="1"/>
  <c r="A3740" i="14"/>
  <c r="B3740" i="14" l="1"/>
  <c r="D3740" i="14"/>
  <c r="C3740" i="14"/>
  <c r="E3740" i="14" s="1"/>
  <c r="A3741" i="14"/>
  <c r="D3741" i="14" l="1"/>
  <c r="C3741" i="14"/>
  <c r="E3741" i="14" s="1"/>
  <c r="B3741" i="14"/>
  <c r="A3742" i="14"/>
  <c r="C3742" i="14" l="1"/>
  <c r="E3742" i="14" s="1"/>
  <c r="D3742" i="14"/>
  <c r="B3742" i="14"/>
  <c r="A3743" i="14"/>
  <c r="D3743" i="14" l="1"/>
  <c r="C3743" i="14"/>
  <c r="E3743" i="14" s="1"/>
  <c r="B3743" i="14"/>
  <c r="A3744" i="14"/>
  <c r="D3744" i="14" l="1"/>
  <c r="C3744" i="14"/>
  <c r="E3744" i="14" s="1"/>
  <c r="B3744" i="14"/>
  <c r="A3745" i="14"/>
  <c r="D3745" i="14" l="1"/>
  <c r="C3745" i="14"/>
  <c r="E3745" i="14" s="1"/>
  <c r="B3745" i="14"/>
  <c r="A3746" i="14"/>
  <c r="D3746" i="14" l="1"/>
  <c r="C3746" i="14"/>
  <c r="E3746" i="14" s="1"/>
  <c r="B3746" i="14"/>
  <c r="A3747" i="14"/>
  <c r="B3747" i="14" l="1"/>
  <c r="D3747" i="14"/>
  <c r="C3747" i="14"/>
  <c r="E3747" i="14" s="1"/>
  <c r="A3748" i="14"/>
  <c r="D3748" i="14" l="1"/>
  <c r="C3748" i="14"/>
  <c r="E3748" i="14" s="1"/>
  <c r="B3748" i="14"/>
  <c r="A3749" i="14"/>
  <c r="C3749" i="14" l="1"/>
  <c r="E3749" i="14" s="1"/>
  <c r="B3749" i="14"/>
  <c r="D3749" i="14"/>
  <c r="A3750" i="14"/>
  <c r="C3750" i="14" l="1"/>
  <c r="E3750" i="14" s="1"/>
  <c r="D3750" i="14"/>
  <c r="B3750" i="14"/>
  <c r="A3751" i="14"/>
  <c r="B3751" i="14" l="1"/>
  <c r="D3751" i="14"/>
  <c r="C3751" i="14"/>
  <c r="E3751" i="14" s="1"/>
  <c r="A3752" i="14"/>
  <c r="D3752" i="14" l="1"/>
  <c r="C3752" i="14"/>
  <c r="E3752" i="14" s="1"/>
  <c r="B3752" i="14"/>
  <c r="A3753" i="14"/>
  <c r="D3753" i="14" l="1"/>
  <c r="C3753" i="14"/>
  <c r="E3753" i="14" s="1"/>
  <c r="B3753" i="14"/>
  <c r="A3754" i="14"/>
  <c r="D3754" i="14" l="1"/>
  <c r="C3754" i="14"/>
  <c r="E3754" i="14" s="1"/>
  <c r="B3754" i="14"/>
  <c r="A3755" i="14"/>
  <c r="B3755" i="14" l="1"/>
  <c r="D3755" i="14"/>
  <c r="C3755" i="14"/>
  <c r="E3755" i="14" s="1"/>
  <c r="A3756" i="14"/>
  <c r="D3756" i="14" l="1"/>
  <c r="C3756" i="14"/>
  <c r="E3756" i="14" s="1"/>
  <c r="B3756" i="14"/>
  <c r="A3757" i="14"/>
  <c r="D3757" i="14" l="1"/>
  <c r="C3757" i="14"/>
  <c r="E3757" i="14" s="1"/>
  <c r="B3757" i="14"/>
  <c r="A3758" i="14"/>
  <c r="C3758" i="14" l="1"/>
  <c r="E3758" i="14" s="1"/>
  <c r="D3758" i="14"/>
  <c r="B3758" i="14"/>
  <c r="A3759" i="14"/>
  <c r="D3759" i="14" l="1"/>
  <c r="C3759" i="14"/>
  <c r="E3759" i="14" s="1"/>
  <c r="B3759" i="14"/>
  <c r="A3760" i="14"/>
  <c r="C3760" i="14" l="1"/>
  <c r="E3760" i="14" s="1"/>
  <c r="B3760" i="14"/>
  <c r="D3760" i="14"/>
  <c r="A3761" i="14"/>
  <c r="D3761" i="14" l="1"/>
  <c r="C3761" i="14"/>
  <c r="E3761" i="14" s="1"/>
  <c r="B3761" i="14"/>
  <c r="A3762" i="14"/>
  <c r="B3762" i="14" l="1"/>
  <c r="D3762" i="14"/>
  <c r="C3762" i="14"/>
  <c r="E3762" i="14" s="1"/>
  <c r="A3763" i="14"/>
  <c r="B3763" i="14" l="1"/>
  <c r="D3763" i="14"/>
  <c r="C3763" i="14"/>
  <c r="E3763" i="14" s="1"/>
  <c r="A3764" i="14"/>
  <c r="D3764" i="14" l="1"/>
  <c r="C3764" i="14"/>
  <c r="E3764" i="14" s="1"/>
  <c r="B3764" i="14"/>
  <c r="A3765" i="14"/>
  <c r="D3765" i="14" l="1"/>
  <c r="C3765" i="14"/>
  <c r="E3765" i="14" s="1"/>
  <c r="B3765" i="14"/>
  <c r="A3766" i="14"/>
  <c r="C3766" i="14" l="1"/>
  <c r="E3766" i="14" s="1"/>
  <c r="D3766" i="14"/>
  <c r="B3766" i="14"/>
  <c r="A3767" i="14"/>
  <c r="D3767" i="14" l="1"/>
  <c r="C3767" i="14"/>
  <c r="E3767" i="14" s="1"/>
  <c r="B3767" i="14"/>
  <c r="A3768" i="14"/>
  <c r="D3768" i="14" l="1"/>
  <c r="C3768" i="14"/>
  <c r="E3768" i="14" s="1"/>
  <c r="B3768" i="14"/>
  <c r="A3769" i="14"/>
  <c r="D3769" i="14" l="1"/>
  <c r="C3769" i="14"/>
  <c r="E3769" i="14" s="1"/>
  <c r="B3769" i="14"/>
  <c r="A3770" i="14"/>
  <c r="D3770" i="14" l="1"/>
  <c r="C3770" i="14"/>
  <c r="E3770" i="14" s="1"/>
  <c r="B3770" i="14"/>
  <c r="A3771" i="14"/>
  <c r="B3771" i="14" l="1"/>
  <c r="C3771" i="14"/>
  <c r="E3771" i="14" s="1"/>
  <c r="D3771" i="14"/>
  <c r="A3772" i="14"/>
  <c r="D3772" i="14" l="1"/>
  <c r="C3772" i="14"/>
  <c r="E3772" i="14" s="1"/>
  <c r="B3772" i="14"/>
  <c r="A3773" i="14"/>
  <c r="B3773" i="14" l="1"/>
  <c r="D3773" i="14"/>
  <c r="C3773" i="14"/>
  <c r="E3773" i="14" s="1"/>
  <c r="A3774" i="14"/>
  <c r="C3774" i="14" l="1"/>
  <c r="E3774" i="14" s="1"/>
  <c r="D3774" i="14"/>
  <c r="B3774" i="14"/>
  <c r="A3775" i="14"/>
  <c r="D3775" i="14" l="1"/>
  <c r="C3775" i="14"/>
  <c r="E3775" i="14" s="1"/>
  <c r="B3775" i="14"/>
  <c r="A3776" i="14"/>
  <c r="D3776" i="14" l="1"/>
  <c r="C3776" i="14"/>
  <c r="E3776" i="14" s="1"/>
  <c r="B3776" i="14"/>
  <c r="A3777" i="14"/>
  <c r="D3777" i="14" l="1"/>
  <c r="C3777" i="14"/>
  <c r="E3777" i="14" s="1"/>
  <c r="B3777" i="14"/>
  <c r="A3778" i="14"/>
  <c r="D3778" i="14" l="1"/>
  <c r="C3778" i="14"/>
  <c r="E3778" i="14" s="1"/>
  <c r="B3778" i="14"/>
  <c r="A3779" i="14"/>
  <c r="B3779" i="14" l="1"/>
  <c r="D3779" i="14"/>
  <c r="C3779" i="14"/>
  <c r="E3779" i="14" s="1"/>
  <c r="A3780" i="14"/>
  <c r="C3780" i="14" l="1"/>
  <c r="E3780" i="14" s="1"/>
  <c r="B3780" i="14"/>
  <c r="D3780" i="14"/>
  <c r="A3781" i="14"/>
  <c r="D3781" i="14" l="1"/>
  <c r="C3781" i="14"/>
  <c r="E3781" i="14" s="1"/>
  <c r="B3781" i="14"/>
  <c r="A3782" i="14"/>
  <c r="C3782" i="14" l="1"/>
  <c r="E3782" i="14" s="1"/>
  <c r="B3782" i="14"/>
  <c r="D3782" i="14"/>
  <c r="A3783" i="14"/>
  <c r="D3783" i="14" l="1"/>
  <c r="C3783" i="14"/>
  <c r="E3783" i="14" s="1"/>
  <c r="B3783" i="14"/>
  <c r="A3784" i="14"/>
  <c r="B3784" i="14" l="1"/>
  <c r="D3784" i="14"/>
  <c r="C3784" i="14"/>
  <c r="E3784" i="14" s="1"/>
  <c r="A3785" i="14"/>
  <c r="D3785" i="14" l="1"/>
  <c r="C3785" i="14"/>
  <c r="E3785" i="14" s="1"/>
  <c r="B3785" i="14"/>
  <c r="A3786" i="14"/>
  <c r="D3786" i="14" l="1"/>
  <c r="C3786" i="14"/>
  <c r="E3786" i="14" s="1"/>
  <c r="B3786" i="14"/>
  <c r="A3787" i="14"/>
  <c r="B3787" i="14" l="1"/>
  <c r="D3787" i="14"/>
  <c r="C3787" i="14"/>
  <c r="E3787" i="14" s="1"/>
  <c r="A3788" i="14"/>
  <c r="D3788" i="14" l="1"/>
  <c r="C3788" i="14"/>
  <c r="E3788" i="14" s="1"/>
  <c r="B3788" i="14"/>
  <c r="A3789" i="14"/>
  <c r="D3789" i="14" l="1"/>
  <c r="C3789" i="14"/>
  <c r="E3789" i="14" s="1"/>
  <c r="B3789" i="14"/>
  <c r="A3790" i="14"/>
  <c r="C3790" i="14" l="1"/>
  <c r="E3790" i="14" s="1"/>
  <c r="D3790" i="14"/>
  <c r="B3790" i="14"/>
  <c r="A3791" i="14"/>
  <c r="C3791" i="14" l="1"/>
  <c r="E3791" i="14" s="1"/>
  <c r="B3791" i="14"/>
  <c r="D3791" i="14"/>
  <c r="A3792" i="14"/>
  <c r="D3792" i="14" l="1"/>
  <c r="C3792" i="14"/>
  <c r="E3792" i="14" s="1"/>
  <c r="B3792" i="14"/>
  <c r="A3793" i="14"/>
  <c r="D3793" i="14" l="1"/>
  <c r="B3793" i="14"/>
  <c r="C3793" i="14"/>
  <c r="E3793" i="14" s="1"/>
  <c r="A3794" i="14"/>
  <c r="D3794" i="14" l="1"/>
  <c r="B3794" i="14"/>
  <c r="C3794" i="14"/>
  <c r="E3794" i="14" s="1"/>
  <c r="A3795" i="14"/>
  <c r="B3795" i="14" l="1"/>
  <c r="D3795" i="14"/>
  <c r="C3795" i="14"/>
  <c r="E3795" i="14" s="1"/>
  <c r="A3796" i="14"/>
  <c r="C3796" i="14" l="1"/>
  <c r="E3796" i="14" s="1"/>
  <c r="B3796" i="14"/>
  <c r="D3796" i="14"/>
  <c r="A3797" i="14"/>
  <c r="D3797" i="14" l="1"/>
  <c r="C3797" i="14"/>
  <c r="E3797" i="14" s="1"/>
  <c r="B3797" i="14"/>
  <c r="A3798" i="14"/>
  <c r="D3798" i="14" l="1"/>
  <c r="C3798" i="14"/>
  <c r="E3798" i="14" s="1"/>
  <c r="B3798" i="14"/>
  <c r="A3799" i="14"/>
  <c r="D3799" i="14" l="1"/>
  <c r="C3799" i="14"/>
  <c r="E3799" i="14" s="1"/>
  <c r="B3799" i="14"/>
  <c r="A3800" i="14"/>
  <c r="D3800" i="14" l="1"/>
  <c r="C3800" i="14"/>
  <c r="E3800" i="14" s="1"/>
  <c r="B3800" i="14"/>
  <c r="A3801" i="14"/>
  <c r="B3801" i="14" l="1"/>
  <c r="D3801" i="14"/>
  <c r="C3801" i="14"/>
  <c r="E3801" i="14" s="1"/>
  <c r="A3802" i="14"/>
  <c r="D3802" i="14" l="1"/>
  <c r="C3802" i="14"/>
  <c r="E3802" i="14" s="1"/>
  <c r="B3802" i="14"/>
  <c r="A3803" i="14"/>
  <c r="D3803" i="14" l="1"/>
  <c r="C3803" i="14"/>
  <c r="E3803" i="14" s="1"/>
  <c r="B3803" i="14"/>
  <c r="A3804" i="14"/>
  <c r="C3804" i="14" l="1"/>
  <c r="E3804" i="14" s="1"/>
  <c r="B3804" i="14"/>
  <c r="D3804" i="14"/>
  <c r="A3805" i="14"/>
  <c r="D3805" i="14" l="1"/>
  <c r="C3805" i="14"/>
  <c r="E3805" i="14" s="1"/>
  <c r="B3805" i="14"/>
  <c r="A3806" i="14"/>
  <c r="D3806" i="14" l="1"/>
  <c r="C3806" i="14"/>
  <c r="E3806" i="14" s="1"/>
  <c r="B3806" i="14"/>
  <c r="A3807" i="14"/>
  <c r="D3807" i="14" l="1"/>
  <c r="C3807" i="14"/>
  <c r="E3807" i="14" s="1"/>
  <c r="B3807" i="14"/>
  <c r="A3808" i="14"/>
  <c r="D3808" i="14" l="1"/>
  <c r="C3808" i="14"/>
  <c r="E3808" i="14" s="1"/>
  <c r="B3808" i="14"/>
  <c r="A3809" i="14"/>
  <c r="B3809" i="14" l="1"/>
  <c r="D3809" i="14"/>
  <c r="C3809" i="14"/>
  <c r="E3809" i="14" s="1"/>
  <c r="A3810" i="14"/>
  <c r="D3810" i="14" l="1"/>
  <c r="C3810" i="14"/>
  <c r="E3810" i="14" s="1"/>
  <c r="B3810" i="14"/>
  <c r="A3811" i="14"/>
  <c r="D3811" i="14" l="1"/>
  <c r="C3811" i="14"/>
  <c r="E3811" i="14" s="1"/>
  <c r="B3811" i="14"/>
  <c r="A3812" i="14"/>
  <c r="C3812" i="14" l="1"/>
  <c r="E3812" i="14" s="1"/>
  <c r="B3812" i="14"/>
  <c r="D3812" i="14"/>
  <c r="A3813" i="14"/>
  <c r="D3813" i="14" l="1"/>
  <c r="C3813" i="14"/>
  <c r="E3813" i="14" s="1"/>
  <c r="B3813" i="14"/>
  <c r="A3814" i="14"/>
  <c r="D3814" i="14" l="1"/>
  <c r="C3814" i="14"/>
  <c r="E3814" i="14" s="1"/>
  <c r="B3814" i="14"/>
  <c r="A3815" i="14"/>
  <c r="D3815" i="14" l="1"/>
  <c r="C3815" i="14"/>
  <c r="E3815" i="14" s="1"/>
  <c r="B3815" i="14"/>
  <c r="A3816" i="14"/>
  <c r="D3816" i="14" l="1"/>
  <c r="C3816" i="14"/>
  <c r="E3816" i="14" s="1"/>
  <c r="B3816" i="14"/>
  <c r="A3817" i="14"/>
  <c r="B3817" i="14" l="1"/>
  <c r="D3817" i="14"/>
  <c r="C3817" i="14"/>
  <c r="E3817" i="14" s="1"/>
  <c r="A3818" i="14"/>
  <c r="D3818" i="14" l="1"/>
  <c r="C3818" i="14"/>
  <c r="E3818" i="14" s="1"/>
  <c r="B3818" i="14"/>
  <c r="A3819" i="14"/>
  <c r="D3819" i="14" l="1"/>
  <c r="C3819" i="14"/>
  <c r="E3819" i="14" s="1"/>
  <c r="B3819" i="14"/>
  <c r="A3820" i="14"/>
  <c r="C3820" i="14" l="1"/>
  <c r="E3820" i="14" s="1"/>
  <c r="B3820" i="14"/>
  <c r="D3820" i="14"/>
  <c r="A3821" i="14"/>
  <c r="D3821" i="14" l="1"/>
  <c r="C3821" i="14"/>
  <c r="E3821" i="14" s="1"/>
  <c r="B3821" i="14"/>
  <c r="A3822" i="14"/>
  <c r="D3822" i="14" l="1"/>
  <c r="C3822" i="14"/>
  <c r="E3822" i="14" s="1"/>
  <c r="B3822" i="14"/>
  <c r="A3823" i="14"/>
  <c r="D3823" i="14" l="1"/>
  <c r="C3823" i="14"/>
  <c r="E3823" i="14" s="1"/>
  <c r="B3823" i="14"/>
  <c r="A3824" i="14"/>
  <c r="D3824" i="14" l="1"/>
  <c r="C3824" i="14"/>
  <c r="E3824" i="14" s="1"/>
  <c r="B3824" i="14"/>
  <c r="A3825" i="14"/>
  <c r="B3825" i="14" l="1"/>
  <c r="D3825" i="14"/>
  <c r="C3825" i="14"/>
  <c r="E3825" i="14" s="1"/>
  <c r="A3826" i="14"/>
  <c r="D3826" i="14" l="1"/>
  <c r="C3826" i="14"/>
  <c r="E3826" i="14" s="1"/>
  <c r="B3826" i="14"/>
  <c r="A3827" i="14"/>
  <c r="D3827" i="14" l="1"/>
  <c r="C3827" i="14"/>
  <c r="E3827" i="14" s="1"/>
  <c r="B3827" i="14"/>
  <c r="A3828" i="14"/>
  <c r="C3828" i="14" l="1"/>
  <c r="E3828" i="14" s="1"/>
  <c r="B3828" i="14"/>
  <c r="D3828" i="14"/>
  <c r="A3829" i="14"/>
  <c r="D3829" i="14" l="1"/>
  <c r="C3829" i="14"/>
  <c r="E3829" i="14" s="1"/>
  <c r="B3829" i="14"/>
  <c r="A3830" i="14"/>
  <c r="D3830" i="14" l="1"/>
  <c r="C3830" i="14"/>
  <c r="E3830" i="14" s="1"/>
  <c r="B3830" i="14"/>
  <c r="A3831" i="14"/>
  <c r="D3831" i="14" l="1"/>
  <c r="C3831" i="14"/>
  <c r="E3831" i="14" s="1"/>
  <c r="B3831" i="14"/>
  <c r="A3832" i="14"/>
  <c r="D3832" i="14" l="1"/>
  <c r="C3832" i="14"/>
  <c r="E3832" i="14" s="1"/>
  <c r="B3832" i="14"/>
  <c r="A3833" i="14"/>
  <c r="B3833" i="14" l="1"/>
  <c r="D3833" i="14"/>
  <c r="C3833" i="14"/>
  <c r="E3833" i="14" s="1"/>
  <c r="A3834" i="14"/>
  <c r="D3834" i="14" l="1"/>
  <c r="C3834" i="14"/>
  <c r="E3834" i="14" s="1"/>
  <c r="B3834" i="14"/>
  <c r="A3835" i="14"/>
  <c r="D3835" i="14" l="1"/>
  <c r="C3835" i="14"/>
  <c r="E3835" i="14" s="1"/>
  <c r="B3835" i="14"/>
  <c r="A3836" i="14"/>
  <c r="C3836" i="14" l="1"/>
  <c r="E3836" i="14" s="1"/>
  <c r="B3836" i="14"/>
  <c r="D3836" i="14"/>
  <c r="A3837" i="14"/>
  <c r="D3837" i="14" l="1"/>
  <c r="C3837" i="14"/>
  <c r="E3837" i="14" s="1"/>
  <c r="B3837" i="14"/>
  <c r="A3838" i="14"/>
  <c r="D3838" i="14" l="1"/>
  <c r="C3838" i="14"/>
  <c r="E3838" i="14" s="1"/>
  <c r="B3838" i="14"/>
  <c r="A3839" i="14"/>
  <c r="D3839" i="14" l="1"/>
  <c r="C3839" i="14"/>
  <c r="E3839" i="14" s="1"/>
  <c r="B3839" i="14"/>
  <c r="A3840" i="14"/>
  <c r="D3840" i="14" l="1"/>
  <c r="C3840" i="14"/>
  <c r="E3840" i="14" s="1"/>
  <c r="B3840" i="14"/>
  <c r="A3841" i="14"/>
  <c r="B3841" i="14" l="1"/>
  <c r="D3841" i="14"/>
  <c r="C3841" i="14"/>
  <c r="E3841" i="14" s="1"/>
  <c r="A3842" i="14"/>
  <c r="D3842" i="14" l="1"/>
  <c r="C3842" i="14"/>
  <c r="E3842" i="14" s="1"/>
  <c r="B3842" i="14"/>
  <c r="A3843" i="14"/>
  <c r="D3843" i="14" l="1"/>
  <c r="C3843" i="14"/>
  <c r="E3843" i="14" s="1"/>
  <c r="B3843" i="14"/>
  <c r="A3844" i="14"/>
  <c r="C3844" i="14" l="1"/>
  <c r="E3844" i="14" s="1"/>
  <c r="B3844" i="14"/>
  <c r="D3844" i="14"/>
  <c r="A3845" i="14"/>
  <c r="D3845" i="14" l="1"/>
  <c r="C3845" i="14"/>
  <c r="E3845" i="14" s="1"/>
  <c r="B3845" i="14"/>
  <c r="A3846" i="14"/>
  <c r="D3846" i="14" l="1"/>
  <c r="C3846" i="14"/>
  <c r="E3846" i="14" s="1"/>
  <c r="B3846" i="14"/>
  <c r="A3847" i="14"/>
  <c r="D3847" i="14" l="1"/>
  <c r="C3847" i="14"/>
  <c r="E3847" i="14" s="1"/>
  <c r="B3847" i="14"/>
  <c r="A3848" i="14"/>
  <c r="D3848" i="14" l="1"/>
  <c r="C3848" i="14"/>
  <c r="E3848" i="14" s="1"/>
  <c r="B3848" i="14"/>
  <c r="A3849" i="14"/>
  <c r="B3849" i="14" l="1"/>
  <c r="D3849" i="14"/>
  <c r="C3849" i="14"/>
  <c r="E3849" i="14" s="1"/>
  <c r="A3850" i="14"/>
  <c r="D3850" i="14" l="1"/>
  <c r="C3850" i="14"/>
  <c r="E3850" i="14" s="1"/>
  <c r="B3850" i="14"/>
  <c r="A3851" i="14"/>
  <c r="D3851" i="14" l="1"/>
  <c r="C3851" i="14"/>
  <c r="E3851" i="14" s="1"/>
  <c r="B3851" i="14"/>
  <c r="A3852" i="14"/>
  <c r="C3852" i="14" l="1"/>
  <c r="E3852" i="14" s="1"/>
  <c r="B3852" i="14"/>
  <c r="D3852" i="14"/>
  <c r="A3853" i="14"/>
  <c r="D3853" i="14" l="1"/>
  <c r="C3853" i="14"/>
  <c r="E3853" i="14" s="1"/>
  <c r="B3853" i="14"/>
  <c r="A3854" i="14"/>
  <c r="D3854" i="14" l="1"/>
  <c r="C3854" i="14"/>
  <c r="E3854" i="14" s="1"/>
  <c r="B3854" i="14"/>
  <c r="A3855" i="14"/>
  <c r="D3855" i="14" l="1"/>
  <c r="C3855" i="14"/>
  <c r="E3855" i="14" s="1"/>
  <c r="B3855" i="14"/>
  <c r="A3856" i="14"/>
  <c r="D3856" i="14" l="1"/>
  <c r="C3856" i="14"/>
  <c r="E3856" i="14" s="1"/>
  <c r="B3856" i="14"/>
  <c r="A3857" i="14"/>
  <c r="B3857" i="14" l="1"/>
  <c r="D3857" i="14"/>
  <c r="C3857" i="14"/>
  <c r="E3857" i="14" s="1"/>
  <c r="A3858" i="14"/>
  <c r="D3858" i="14" l="1"/>
  <c r="C3858" i="14"/>
  <c r="E3858" i="14" s="1"/>
  <c r="B3858" i="14"/>
  <c r="A3859" i="14"/>
  <c r="D3859" i="14" l="1"/>
  <c r="C3859" i="14"/>
  <c r="E3859" i="14" s="1"/>
  <c r="B3859" i="14"/>
  <c r="A3860" i="14"/>
  <c r="C3860" i="14" l="1"/>
  <c r="E3860" i="14" s="1"/>
  <c r="B3860" i="14"/>
  <c r="D3860" i="14"/>
  <c r="A3861" i="14"/>
  <c r="D3861" i="14" l="1"/>
  <c r="C3861" i="14"/>
  <c r="E3861" i="14" s="1"/>
  <c r="B3861" i="14"/>
  <c r="A3862" i="14"/>
  <c r="D3862" i="14" l="1"/>
  <c r="C3862" i="14"/>
  <c r="E3862" i="14" s="1"/>
  <c r="B3862" i="14"/>
  <c r="A3863" i="14"/>
  <c r="D3863" i="14" l="1"/>
  <c r="C3863" i="14"/>
  <c r="E3863" i="14" s="1"/>
  <c r="B3863" i="14"/>
  <c r="A3864" i="14"/>
  <c r="D3864" i="14" l="1"/>
  <c r="C3864" i="14"/>
  <c r="E3864" i="14" s="1"/>
  <c r="B3864" i="14"/>
  <c r="A3865" i="14"/>
  <c r="B3865" i="14" l="1"/>
  <c r="D3865" i="14"/>
  <c r="C3865" i="14"/>
  <c r="E3865" i="14" s="1"/>
  <c r="A3866" i="14"/>
  <c r="D3866" i="14" l="1"/>
  <c r="C3866" i="14"/>
  <c r="E3866" i="14" s="1"/>
  <c r="B3866" i="14"/>
  <c r="A3867" i="14"/>
  <c r="D3867" i="14" l="1"/>
  <c r="C3867" i="14"/>
  <c r="E3867" i="14" s="1"/>
  <c r="B3867" i="14"/>
  <c r="A3868" i="14"/>
  <c r="C3868" i="14" l="1"/>
  <c r="E3868" i="14" s="1"/>
  <c r="B3868" i="14"/>
  <c r="D3868" i="14"/>
  <c r="A3869" i="14"/>
  <c r="D3869" i="14" l="1"/>
  <c r="C3869" i="14"/>
  <c r="E3869" i="14" s="1"/>
  <c r="B3869" i="14"/>
  <c r="A3870" i="14"/>
  <c r="D3870" i="14" l="1"/>
  <c r="C3870" i="14"/>
  <c r="E3870" i="14" s="1"/>
  <c r="B3870" i="14"/>
  <c r="A3871" i="14"/>
  <c r="D3871" i="14" l="1"/>
  <c r="C3871" i="14"/>
  <c r="E3871" i="14" s="1"/>
  <c r="B3871" i="14"/>
  <c r="A3872" i="14"/>
  <c r="D3872" i="14" l="1"/>
  <c r="C3872" i="14"/>
  <c r="E3872" i="14" s="1"/>
  <c r="B3872" i="14"/>
  <c r="A3873" i="14"/>
  <c r="B3873" i="14" l="1"/>
  <c r="D3873" i="14"/>
  <c r="C3873" i="14"/>
  <c r="E3873" i="14" s="1"/>
  <c r="A3874" i="14"/>
  <c r="D3874" i="14" l="1"/>
  <c r="C3874" i="14"/>
  <c r="E3874" i="14" s="1"/>
  <c r="B3874" i="14"/>
  <c r="A3875" i="14"/>
  <c r="D3875" i="14" l="1"/>
  <c r="C3875" i="14"/>
  <c r="E3875" i="14" s="1"/>
  <c r="B3875" i="14"/>
  <c r="A3876" i="14"/>
  <c r="C3876" i="14" l="1"/>
  <c r="E3876" i="14" s="1"/>
  <c r="B3876" i="14"/>
  <c r="D3876" i="14"/>
  <c r="A3877" i="14"/>
  <c r="D3877" i="14" l="1"/>
  <c r="C3877" i="14"/>
  <c r="E3877" i="14" s="1"/>
  <c r="B3877" i="14"/>
  <c r="A3878" i="14"/>
  <c r="D3878" i="14" l="1"/>
  <c r="C3878" i="14"/>
  <c r="E3878" i="14" s="1"/>
  <c r="B3878" i="14"/>
  <c r="A3879" i="14"/>
  <c r="D3879" i="14" l="1"/>
  <c r="C3879" i="14"/>
  <c r="E3879" i="14" s="1"/>
  <c r="B3879" i="14"/>
  <c r="A3880" i="14"/>
  <c r="D3880" i="14" l="1"/>
  <c r="C3880" i="14"/>
  <c r="E3880" i="14" s="1"/>
  <c r="B3880" i="14"/>
  <c r="A3881" i="14"/>
  <c r="B3881" i="14" l="1"/>
  <c r="D3881" i="14"/>
  <c r="C3881" i="14"/>
  <c r="E3881" i="14" s="1"/>
  <c r="A3882" i="14"/>
  <c r="D3882" i="14" l="1"/>
  <c r="C3882" i="14"/>
  <c r="E3882" i="14" s="1"/>
  <c r="B3882" i="14"/>
  <c r="A3883" i="14"/>
  <c r="D3883" i="14" l="1"/>
  <c r="C3883" i="14"/>
  <c r="E3883" i="14" s="1"/>
  <c r="B3883" i="14"/>
  <c r="A3884" i="14"/>
  <c r="C3884" i="14" l="1"/>
  <c r="E3884" i="14" s="1"/>
  <c r="B3884" i="14"/>
  <c r="D3884" i="14"/>
  <c r="A3885" i="14"/>
  <c r="D3885" i="14" l="1"/>
  <c r="C3885" i="14"/>
  <c r="E3885" i="14" s="1"/>
  <c r="B3885" i="14"/>
  <c r="A3886" i="14"/>
  <c r="D3886" i="14" l="1"/>
  <c r="C3886" i="14"/>
  <c r="E3886" i="14" s="1"/>
  <c r="B3886" i="14"/>
  <c r="A3887" i="14"/>
  <c r="D3887" i="14" l="1"/>
  <c r="C3887" i="14"/>
  <c r="E3887" i="14" s="1"/>
  <c r="B3887" i="14"/>
  <c r="A3888" i="14"/>
  <c r="E3888" i="14" l="1"/>
  <c r="D3888" i="14"/>
  <c r="C3888" i="14"/>
  <c r="B3888" i="14"/>
  <c r="A3889" i="14"/>
  <c r="B3889" i="14" l="1"/>
  <c r="D3889" i="14"/>
  <c r="C3889" i="14"/>
  <c r="E3889" i="14" s="1"/>
  <c r="A3890" i="14"/>
  <c r="E3890" i="14" l="1"/>
  <c r="D3890" i="14"/>
  <c r="C3890" i="14"/>
  <c r="B3890" i="14"/>
  <c r="A3891" i="14"/>
  <c r="D3891" i="14" l="1"/>
  <c r="C3891" i="14"/>
  <c r="E3891" i="14" s="1"/>
  <c r="B3891" i="14"/>
  <c r="A3892" i="14"/>
  <c r="C3892" i="14" l="1"/>
  <c r="E3892" i="14" s="1"/>
  <c r="B3892" i="14"/>
  <c r="D3892" i="14"/>
  <c r="A3893" i="14"/>
  <c r="D3893" i="14" l="1"/>
  <c r="C3893" i="14"/>
  <c r="E3893" i="14" s="1"/>
  <c r="B3893" i="14"/>
  <c r="A3894" i="14"/>
  <c r="D3894" i="14" l="1"/>
  <c r="C3894" i="14"/>
  <c r="E3894" i="14" s="1"/>
  <c r="B3894" i="14"/>
  <c r="A3895" i="14"/>
  <c r="D3895" i="14" l="1"/>
  <c r="C3895" i="14"/>
  <c r="E3895" i="14" s="1"/>
  <c r="B3895" i="14"/>
  <c r="A3896" i="14"/>
  <c r="D3896" i="14" l="1"/>
  <c r="C3896" i="14"/>
  <c r="E3896" i="14" s="1"/>
  <c r="B3896" i="14"/>
  <c r="A3897" i="14"/>
  <c r="B3897" i="14" l="1"/>
  <c r="D3897" i="14"/>
  <c r="C3897" i="14"/>
  <c r="E3897" i="14" s="1"/>
  <c r="A3898" i="14"/>
  <c r="D3898" i="14" l="1"/>
  <c r="C3898" i="14"/>
  <c r="E3898" i="14" s="1"/>
  <c r="B3898" i="14"/>
  <c r="A3899" i="14"/>
  <c r="D3899" i="14" l="1"/>
  <c r="C3899" i="14"/>
  <c r="E3899" i="14" s="1"/>
  <c r="B3899" i="14"/>
  <c r="A3900" i="14"/>
  <c r="C3900" i="14" l="1"/>
  <c r="E3900" i="14" s="1"/>
  <c r="B3900" i="14"/>
  <c r="D3900" i="14"/>
  <c r="A3901" i="14"/>
  <c r="D3901" i="14" l="1"/>
  <c r="C3901" i="14"/>
  <c r="E3901" i="14" s="1"/>
  <c r="B3901" i="14"/>
  <c r="A3902" i="14"/>
  <c r="D3902" i="14" l="1"/>
  <c r="C3902" i="14"/>
  <c r="E3902" i="14" s="1"/>
  <c r="B3902" i="14"/>
  <c r="A3903" i="14"/>
  <c r="D3903" i="14" l="1"/>
  <c r="C3903" i="14"/>
  <c r="E3903" i="14" s="1"/>
  <c r="B3903" i="14"/>
  <c r="A3904" i="14"/>
  <c r="D3904" i="14" l="1"/>
  <c r="C3904" i="14"/>
  <c r="E3904" i="14" s="1"/>
  <c r="B3904" i="14"/>
  <c r="A3905" i="14"/>
  <c r="B3905" i="14" l="1"/>
  <c r="D3905" i="14"/>
  <c r="C3905" i="14"/>
  <c r="E3905" i="14" s="1"/>
  <c r="A3906" i="14"/>
  <c r="D3906" i="14" l="1"/>
  <c r="C3906" i="14"/>
  <c r="E3906" i="14" s="1"/>
  <c r="B3906" i="14"/>
  <c r="A3907" i="14"/>
  <c r="D3907" i="14" l="1"/>
  <c r="C3907" i="14"/>
  <c r="E3907" i="14" s="1"/>
  <c r="B3907" i="14"/>
  <c r="A3908" i="14"/>
  <c r="C3908" i="14" l="1"/>
  <c r="E3908" i="14" s="1"/>
  <c r="B3908" i="14"/>
  <c r="D3908" i="14"/>
  <c r="A3909" i="14"/>
  <c r="D3909" i="14" l="1"/>
  <c r="C3909" i="14"/>
  <c r="E3909" i="14" s="1"/>
  <c r="B3909" i="14"/>
  <c r="A3910" i="14"/>
  <c r="D3910" i="14" l="1"/>
  <c r="C3910" i="14"/>
  <c r="E3910" i="14" s="1"/>
  <c r="B3910" i="14"/>
  <c r="A3911" i="14"/>
  <c r="D3911" i="14" l="1"/>
  <c r="C3911" i="14"/>
  <c r="E3911" i="14" s="1"/>
  <c r="B3911" i="14"/>
  <c r="A3912" i="14"/>
  <c r="D3912" i="14" l="1"/>
  <c r="C3912" i="14"/>
  <c r="E3912" i="14" s="1"/>
  <c r="B3912" i="14"/>
  <c r="A3913" i="14"/>
  <c r="B3913" i="14" l="1"/>
  <c r="D3913" i="14"/>
  <c r="C3913" i="14"/>
  <c r="E3913" i="14" s="1"/>
  <c r="A3914" i="14"/>
  <c r="D3914" i="14" l="1"/>
  <c r="C3914" i="14"/>
  <c r="E3914" i="14" s="1"/>
  <c r="B3914" i="14"/>
  <c r="A3915" i="14"/>
  <c r="D3915" i="14" l="1"/>
  <c r="C3915" i="14"/>
  <c r="E3915" i="14" s="1"/>
  <c r="B3915" i="14"/>
  <c r="A3916" i="14"/>
  <c r="C3916" i="14" l="1"/>
  <c r="E3916" i="14" s="1"/>
  <c r="B3916" i="14"/>
  <c r="D3916" i="14"/>
  <c r="A3917" i="14"/>
  <c r="D3917" i="14" l="1"/>
  <c r="C3917" i="14"/>
  <c r="E3917" i="14" s="1"/>
  <c r="B3917" i="14"/>
  <c r="A3918" i="14"/>
  <c r="D3918" i="14" l="1"/>
  <c r="C3918" i="14"/>
  <c r="E3918" i="14" s="1"/>
  <c r="B3918" i="14"/>
  <c r="A3919" i="14"/>
  <c r="D3919" i="14" l="1"/>
  <c r="C3919" i="14"/>
  <c r="E3919" i="14" s="1"/>
  <c r="B3919" i="14"/>
  <c r="A3920" i="14"/>
  <c r="D3920" i="14" l="1"/>
  <c r="C3920" i="14"/>
  <c r="E3920" i="14" s="1"/>
  <c r="B3920" i="14"/>
  <c r="A3921" i="14"/>
  <c r="B3921" i="14" l="1"/>
  <c r="D3921" i="14"/>
  <c r="C3921" i="14"/>
  <c r="E3921" i="14" s="1"/>
  <c r="A3922" i="14"/>
  <c r="D3922" i="14" l="1"/>
  <c r="C3922" i="14"/>
  <c r="E3922" i="14" s="1"/>
  <c r="B3922" i="14"/>
  <c r="A3923" i="14"/>
  <c r="D3923" i="14" l="1"/>
  <c r="C3923" i="14"/>
  <c r="E3923" i="14" s="1"/>
  <c r="B3923" i="14"/>
  <c r="A3924" i="14"/>
  <c r="C3924" i="14" l="1"/>
  <c r="E3924" i="14" s="1"/>
  <c r="B3924" i="14"/>
  <c r="D3924" i="14"/>
  <c r="A3925" i="14"/>
  <c r="D3925" i="14" l="1"/>
  <c r="C3925" i="14"/>
  <c r="E3925" i="14" s="1"/>
  <c r="B3925" i="14"/>
  <c r="A3926" i="14"/>
  <c r="D3926" i="14" l="1"/>
  <c r="C3926" i="14"/>
  <c r="E3926" i="14" s="1"/>
  <c r="B3926" i="14"/>
  <c r="A3927" i="14"/>
  <c r="D3927" i="14" l="1"/>
  <c r="C3927" i="14"/>
  <c r="E3927" i="14" s="1"/>
  <c r="B3927" i="14"/>
  <c r="A3928" i="14"/>
  <c r="D3928" i="14" l="1"/>
  <c r="C3928" i="14"/>
  <c r="E3928" i="14" s="1"/>
  <c r="B3928" i="14"/>
  <c r="A3929" i="14"/>
  <c r="B3929" i="14" l="1"/>
  <c r="D3929" i="14"/>
  <c r="C3929" i="14"/>
  <c r="E3929" i="14" s="1"/>
  <c r="A3930" i="14"/>
  <c r="D3930" i="14" l="1"/>
  <c r="C3930" i="14"/>
  <c r="E3930" i="14" s="1"/>
  <c r="B3930" i="14"/>
  <c r="A3931" i="14"/>
  <c r="D3931" i="14" l="1"/>
  <c r="C3931" i="14"/>
  <c r="E3931" i="14" s="1"/>
  <c r="B3931" i="14"/>
  <c r="A3932" i="14"/>
  <c r="C3932" i="14" l="1"/>
  <c r="E3932" i="14" s="1"/>
  <c r="B3932" i="14"/>
  <c r="D3932" i="14"/>
  <c r="A3933" i="14"/>
  <c r="D3933" i="14" l="1"/>
  <c r="C3933" i="14"/>
  <c r="E3933" i="14" s="1"/>
  <c r="B3933" i="14"/>
  <c r="A3934" i="14"/>
  <c r="D3934" i="14" l="1"/>
  <c r="C3934" i="14"/>
  <c r="E3934" i="14" s="1"/>
  <c r="B3934" i="14"/>
  <c r="A3935" i="14"/>
  <c r="D3935" i="14" l="1"/>
  <c r="C3935" i="14"/>
  <c r="E3935" i="14" s="1"/>
  <c r="B3935" i="14"/>
  <c r="A3936" i="14"/>
  <c r="D3936" i="14" l="1"/>
  <c r="C3936" i="14"/>
  <c r="E3936" i="14" s="1"/>
  <c r="B3936" i="14"/>
  <c r="A3937" i="14"/>
  <c r="B3937" i="14" l="1"/>
  <c r="D3937" i="14"/>
  <c r="C3937" i="14"/>
  <c r="E3937" i="14" s="1"/>
  <c r="A3938" i="14"/>
  <c r="D3938" i="14" l="1"/>
  <c r="C3938" i="14"/>
  <c r="E3938" i="14" s="1"/>
  <c r="B3938" i="14"/>
  <c r="A3939" i="14"/>
  <c r="D3939" i="14" l="1"/>
  <c r="C3939" i="14"/>
  <c r="E3939" i="14" s="1"/>
  <c r="B3939" i="14"/>
  <c r="A3940" i="14"/>
  <c r="C3940" i="14" l="1"/>
  <c r="E3940" i="14" s="1"/>
  <c r="B3940" i="14"/>
  <c r="D3940" i="14"/>
  <c r="A3941" i="14"/>
  <c r="D3941" i="14" l="1"/>
  <c r="C3941" i="14"/>
  <c r="E3941" i="14" s="1"/>
  <c r="B3941" i="14"/>
  <c r="A3942" i="14"/>
  <c r="D3942" i="14" l="1"/>
  <c r="C3942" i="14"/>
  <c r="E3942" i="14" s="1"/>
  <c r="B3942" i="14"/>
  <c r="A3943" i="14"/>
  <c r="D3943" i="14" l="1"/>
  <c r="C3943" i="14"/>
  <c r="E3943" i="14" s="1"/>
  <c r="B3943" i="14"/>
  <c r="A3944" i="14"/>
  <c r="D3944" i="14" l="1"/>
  <c r="C3944" i="14"/>
  <c r="E3944" i="14" s="1"/>
  <c r="B3944" i="14"/>
  <c r="A3945" i="14"/>
  <c r="B3945" i="14" l="1"/>
  <c r="D3945" i="14"/>
  <c r="C3945" i="14"/>
  <c r="E3945" i="14" s="1"/>
  <c r="A3946" i="14"/>
  <c r="D3946" i="14" l="1"/>
  <c r="C3946" i="14"/>
  <c r="E3946" i="14" s="1"/>
  <c r="B3946" i="14"/>
  <c r="A3947" i="14"/>
  <c r="D3947" i="14" l="1"/>
  <c r="C3947" i="14"/>
  <c r="E3947" i="14" s="1"/>
  <c r="B3947" i="14"/>
  <c r="A3948" i="14"/>
  <c r="C3948" i="14" l="1"/>
  <c r="E3948" i="14" s="1"/>
  <c r="B3948" i="14"/>
  <c r="D3948" i="14"/>
  <c r="A3949" i="14"/>
  <c r="D3949" i="14" l="1"/>
  <c r="C3949" i="14"/>
  <c r="E3949" i="14" s="1"/>
  <c r="B3949" i="14"/>
  <c r="A3950" i="14"/>
  <c r="D3950" i="14" l="1"/>
  <c r="C3950" i="14"/>
  <c r="E3950" i="14" s="1"/>
  <c r="B3950" i="14"/>
  <c r="A3951" i="14"/>
  <c r="D3951" i="14" l="1"/>
  <c r="C3951" i="14"/>
  <c r="E3951" i="14" s="1"/>
  <c r="B3951" i="14"/>
  <c r="A3952" i="14"/>
  <c r="D3952" i="14" l="1"/>
  <c r="C3952" i="14"/>
  <c r="E3952" i="14" s="1"/>
  <c r="B3952" i="14"/>
  <c r="A3953" i="14"/>
  <c r="B3953" i="14" l="1"/>
  <c r="D3953" i="14"/>
  <c r="C3953" i="14"/>
  <c r="E3953" i="14" s="1"/>
  <c r="A3954" i="14"/>
  <c r="D3954" i="14" l="1"/>
  <c r="C3954" i="14"/>
  <c r="E3954" i="14" s="1"/>
  <c r="B3954" i="14"/>
  <c r="A3955" i="14"/>
  <c r="D3955" i="14" l="1"/>
  <c r="C3955" i="14"/>
  <c r="E3955" i="14" s="1"/>
  <c r="B3955" i="14"/>
  <c r="A3956" i="14"/>
  <c r="C3956" i="14" l="1"/>
  <c r="E3956" i="14" s="1"/>
  <c r="B3956" i="14"/>
  <c r="D3956" i="14"/>
  <c r="A3957" i="14"/>
  <c r="D3957" i="14" l="1"/>
  <c r="C3957" i="14"/>
  <c r="E3957" i="14" s="1"/>
  <c r="B3957" i="14"/>
  <c r="A3958" i="14"/>
  <c r="D3958" i="14" l="1"/>
  <c r="C3958" i="14"/>
  <c r="E3958" i="14" s="1"/>
  <c r="B3958" i="14"/>
  <c r="A3959" i="14"/>
  <c r="D3959" i="14" l="1"/>
  <c r="C3959" i="14"/>
  <c r="E3959" i="14" s="1"/>
  <c r="B3959" i="14"/>
  <c r="A3960" i="14"/>
  <c r="D3960" i="14" l="1"/>
  <c r="C3960" i="14"/>
  <c r="E3960" i="14" s="1"/>
  <c r="B3960" i="14"/>
  <c r="A3961" i="14"/>
  <c r="B3961" i="14" l="1"/>
  <c r="D3961" i="14"/>
  <c r="C3961" i="14"/>
  <c r="E3961" i="14" s="1"/>
  <c r="A3962" i="14"/>
  <c r="D3962" i="14" l="1"/>
  <c r="C3962" i="14"/>
  <c r="E3962" i="14" s="1"/>
  <c r="B3962" i="14"/>
  <c r="A3963" i="14"/>
  <c r="D3963" i="14" l="1"/>
  <c r="C3963" i="14"/>
  <c r="E3963" i="14" s="1"/>
  <c r="B3963" i="14"/>
  <c r="A3964" i="14"/>
  <c r="C3964" i="14" l="1"/>
  <c r="E3964" i="14" s="1"/>
  <c r="B3964" i="14"/>
  <c r="D3964" i="14"/>
  <c r="A3965" i="14"/>
  <c r="D3965" i="14" l="1"/>
  <c r="C3965" i="14"/>
  <c r="E3965" i="14" s="1"/>
  <c r="B3965" i="14"/>
  <c r="A3966" i="14"/>
  <c r="D3966" i="14" l="1"/>
  <c r="C3966" i="14"/>
  <c r="E3966" i="14" s="1"/>
  <c r="B3966" i="14"/>
  <c r="A3967" i="14"/>
  <c r="D3967" i="14" l="1"/>
  <c r="C3967" i="14"/>
  <c r="E3967" i="14" s="1"/>
  <c r="B3967" i="14"/>
  <c r="A3968" i="14"/>
  <c r="D3968" i="14" l="1"/>
  <c r="C3968" i="14"/>
  <c r="E3968" i="14" s="1"/>
  <c r="B3968" i="14"/>
  <c r="A3969" i="14"/>
  <c r="B3969" i="14" l="1"/>
  <c r="D3969" i="14"/>
  <c r="C3969" i="14"/>
  <c r="E3969" i="14" s="1"/>
  <c r="A3970" i="14"/>
  <c r="D3970" i="14" l="1"/>
  <c r="C3970" i="14"/>
  <c r="E3970" i="14" s="1"/>
  <c r="B3970" i="14"/>
  <c r="A3971" i="14"/>
  <c r="D3971" i="14" l="1"/>
  <c r="C3971" i="14"/>
  <c r="E3971" i="14" s="1"/>
  <c r="B3971" i="14"/>
  <c r="A3972" i="14"/>
  <c r="C3972" i="14" l="1"/>
  <c r="E3972" i="14" s="1"/>
  <c r="B3972" i="14"/>
  <c r="D3972" i="14"/>
  <c r="A3973" i="14"/>
  <c r="D3973" i="14" l="1"/>
  <c r="C3973" i="14"/>
  <c r="E3973" i="14" s="1"/>
  <c r="B3973" i="14"/>
  <c r="A3974" i="14"/>
  <c r="D3974" i="14" l="1"/>
  <c r="C3974" i="14"/>
  <c r="E3974" i="14" s="1"/>
  <c r="B3974" i="14"/>
  <c r="A3975" i="14"/>
  <c r="D3975" i="14" l="1"/>
  <c r="C3975" i="14"/>
  <c r="E3975" i="14" s="1"/>
  <c r="B3975" i="14"/>
  <c r="A3976" i="14"/>
  <c r="D3976" i="14" l="1"/>
  <c r="C3976" i="14"/>
  <c r="E3976" i="14" s="1"/>
  <c r="B3976" i="14"/>
  <c r="A3977" i="14"/>
  <c r="B3977" i="14" l="1"/>
  <c r="D3977" i="14"/>
  <c r="C3977" i="14"/>
  <c r="E3977" i="14" s="1"/>
  <c r="A3978" i="14"/>
  <c r="D3978" i="14" l="1"/>
  <c r="C3978" i="14"/>
  <c r="E3978" i="14" s="1"/>
  <c r="B3978" i="14"/>
  <c r="A3979" i="14"/>
  <c r="D3979" i="14" l="1"/>
  <c r="C3979" i="14"/>
  <c r="E3979" i="14" s="1"/>
  <c r="B3979" i="14"/>
  <c r="A3980" i="14"/>
  <c r="C3980" i="14" l="1"/>
  <c r="E3980" i="14" s="1"/>
  <c r="B3980" i="14"/>
  <c r="D3980" i="14"/>
  <c r="A3981" i="14"/>
  <c r="D3981" i="14" l="1"/>
  <c r="C3981" i="14"/>
  <c r="E3981" i="14" s="1"/>
  <c r="B3981" i="14"/>
  <c r="A3982" i="14"/>
  <c r="D3982" i="14" l="1"/>
  <c r="C3982" i="14"/>
  <c r="E3982" i="14" s="1"/>
  <c r="B3982" i="14"/>
  <c r="A3983" i="14"/>
  <c r="D3983" i="14" l="1"/>
  <c r="C3983" i="14"/>
  <c r="E3983" i="14" s="1"/>
  <c r="B3983" i="14"/>
  <c r="A3984" i="14"/>
  <c r="D3984" i="14" l="1"/>
  <c r="C3984" i="14"/>
  <c r="E3984" i="14" s="1"/>
  <c r="B3984" i="14"/>
  <c r="A3985" i="14"/>
  <c r="B3985" i="14" l="1"/>
  <c r="D3985" i="14"/>
  <c r="C3985" i="14"/>
  <c r="E3985" i="14" s="1"/>
  <c r="A3986" i="14"/>
  <c r="D3986" i="14" l="1"/>
  <c r="C3986" i="14"/>
  <c r="E3986" i="14" s="1"/>
  <c r="B3986" i="14"/>
  <c r="A3987" i="14"/>
  <c r="D3987" i="14" l="1"/>
  <c r="C3987" i="14"/>
  <c r="E3987" i="14" s="1"/>
  <c r="B3987" i="14"/>
  <c r="A3988" i="14"/>
  <c r="C3988" i="14" l="1"/>
  <c r="E3988" i="14" s="1"/>
  <c r="B3988" i="14"/>
  <c r="D3988" i="14"/>
  <c r="A3989" i="14"/>
  <c r="D3989" i="14" l="1"/>
  <c r="C3989" i="14"/>
  <c r="E3989" i="14" s="1"/>
  <c r="B3989" i="14"/>
  <c r="A3990" i="14"/>
  <c r="D3990" i="14" l="1"/>
  <c r="C3990" i="14"/>
  <c r="E3990" i="14" s="1"/>
  <c r="B3990" i="14"/>
  <c r="A3991" i="14"/>
  <c r="D3991" i="14" l="1"/>
  <c r="C3991" i="14"/>
  <c r="E3991" i="14" s="1"/>
  <c r="B3991" i="14"/>
  <c r="A3992" i="14"/>
  <c r="D3992" i="14" l="1"/>
  <c r="C3992" i="14"/>
  <c r="E3992" i="14" s="1"/>
  <c r="B3992" i="14"/>
  <c r="A3993" i="14"/>
  <c r="B3993" i="14" l="1"/>
  <c r="D3993" i="14"/>
  <c r="C3993" i="14"/>
  <c r="E3993" i="14" s="1"/>
  <c r="A3994" i="14"/>
  <c r="D3994" i="14" l="1"/>
  <c r="C3994" i="14"/>
  <c r="E3994" i="14" s="1"/>
  <c r="B3994" i="14"/>
  <c r="A3995" i="14"/>
  <c r="D3995" i="14" l="1"/>
  <c r="C3995" i="14"/>
  <c r="E3995" i="14" s="1"/>
  <c r="B3995" i="14"/>
  <c r="A3996" i="14"/>
  <c r="C3996" i="14" l="1"/>
  <c r="E3996" i="14" s="1"/>
  <c r="B3996" i="14"/>
  <c r="D3996" i="14"/>
  <c r="A3997" i="14"/>
  <c r="D3997" i="14" l="1"/>
  <c r="C3997" i="14"/>
  <c r="E3997" i="14" s="1"/>
  <c r="B3997" i="14"/>
  <c r="A3998" i="14"/>
  <c r="D3998" i="14" l="1"/>
  <c r="C3998" i="14"/>
  <c r="E3998" i="14" s="1"/>
  <c r="B3998" i="14"/>
  <c r="A3999" i="14"/>
  <c r="D3999" i="14" l="1"/>
  <c r="C3999" i="14"/>
  <c r="E3999" i="14" s="1"/>
  <c r="B3999" i="14"/>
  <c r="A4000" i="14"/>
  <c r="D4000" i="14" l="1"/>
  <c r="C4000" i="14"/>
  <c r="E4000" i="14" s="1"/>
  <c r="B4000" i="14"/>
  <c r="A4001" i="14"/>
  <c r="B4001" i="14" l="1"/>
  <c r="D4001" i="14"/>
  <c r="C4001" i="14"/>
  <c r="E4001" i="14" s="1"/>
  <c r="A4002" i="14"/>
  <c r="D4002" i="14" l="1"/>
  <c r="C4002" i="14"/>
  <c r="E4002" i="14" s="1"/>
  <c r="B4002" i="14"/>
  <c r="A4003" i="14"/>
  <c r="D4003" i="14" l="1"/>
  <c r="C4003" i="14"/>
  <c r="E4003" i="14" s="1"/>
  <c r="B4003" i="14"/>
  <c r="A4004" i="14"/>
  <c r="C4004" i="14" l="1"/>
  <c r="E4004" i="14" s="1"/>
  <c r="B4004" i="14"/>
  <c r="D4004" i="14"/>
  <c r="A4005" i="14"/>
  <c r="D4005" i="14" l="1"/>
  <c r="C4005" i="14"/>
  <c r="E4005" i="14" s="1"/>
  <c r="B4005" i="14"/>
  <c r="A4006" i="14"/>
  <c r="D4006" i="14" l="1"/>
  <c r="C4006" i="14"/>
  <c r="E4006" i="14" s="1"/>
  <c r="B4006" i="14"/>
  <c r="A4007" i="14"/>
  <c r="D4007" i="14" l="1"/>
  <c r="C4007" i="14"/>
  <c r="E4007" i="14" s="1"/>
  <c r="B4007" i="14"/>
  <c r="A4008" i="14"/>
  <c r="D4008" i="14" l="1"/>
  <c r="C4008" i="14"/>
  <c r="E4008" i="14" s="1"/>
  <c r="B4008" i="14"/>
  <c r="A4009" i="14"/>
  <c r="B4009" i="14" l="1"/>
  <c r="D4009" i="14"/>
  <c r="C4009" i="14"/>
  <c r="E4009" i="14" s="1"/>
  <c r="A4010" i="14"/>
  <c r="D4010" i="14" l="1"/>
  <c r="C4010" i="14"/>
  <c r="E4010" i="14" s="1"/>
  <c r="B4010" i="14"/>
  <c r="A4011" i="14"/>
  <c r="D4011" i="14" l="1"/>
  <c r="C4011" i="14"/>
  <c r="E4011" i="14" s="1"/>
  <c r="B4011" i="14"/>
  <c r="A4012" i="14"/>
  <c r="C4012" i="14" l="1"/>
  <c r="E4012" i="14" s="1"/>
  <c r="B4012" i="14"/>
  <c r="D4012" i="14"/>
  <c r="A4013" i="14"/>
  <c r="D4013" i="14" l="1"/>
  <c r="C4013" i="14"/>
  <c r="E4013" i="14" s="1"/>
  <c r="B4013" i="14"/>
  <c r="A4014" i="14"/>
  <c r="D4014" i="14" l="1"/>
  <c r="C4014" i="14"/>
  <c r="E4014" i="14" s="1"/>
  <c r="B4014" i="14"/>
  <c r="A4015" i="14"/>
  <c r="D4015" i="14" l="1"/>
  <c r="C4015" i="14"/>
  <c r="E4015" i="14" s="1"/>
  <c r="B4015" i="14"/>
  <c r="A4016" i="14"/>
  <c r="D4016" i="14" l="1"/>
  <c r="C4016" i="14"/>
  <c r="E4016" i="14" s="1"/>
  <c r="B4016" i="14"/>
  <c r="A4017" i="14"/>
  <c r="B4017" i="14" l="1"/>
  <c r="D4017" i="14"/>
  <c r="C4017" i="14"/>
  <c r="E4017" i="14" s="1"/>
  <c r="A4018" i="14"/>
  <c r="D4018" i="14" l="1"/>
  <c r="C4018" i="14"/>
  <c r="E4018" i="14" s="1"/>
  <c r="B4018" i="14"/>
  <c r="A4019" i="14"/>
  <c r="D4019" i="14" l="1"/>
  <c r="C4019" i="14"/>
  <c r="E4019" i="14" s="1"/>
  <c r="B4019" i="14"/>
  <c r="A4020" i="14"/>
  <c r="C4020" i="14" l="1"/>
  <c r="E4020" i="14" s="1"/>
  <c r="B4020" i="14"/>
  <c r="D4020" i="14"/>
  <c r="A4021" i="14"/>
  <c r="D4021" i="14" l="1"/>
  <c r="C4021" i="14"/>
  <c r="E4021" i="14" s="1"/>
  <c r="B4021" i="14"/>
  <c r="A4022" i="14"/>
  <c r="D4022" i="14" l="1"/>
  <c r="C4022" i="14"/>
  <c r="E4022" i="14" s="1"/>
  <c r="B4022" i="14"/>
  <c r="A4023" i="14"/>
  <c r="D4023" i="14" l="1"/>
  <c r="C4023" i="14"/>
  <c r="E4023" i="14" s="1"/>
  <c r="B4023" i="14"/>
  <c r="A4024" i="14"/>
  <c r="D4024" i="14" l="1"/>
  <c r="C4024" i="14"/>
  <c r="E4024" i="14" s="1"/>
  <c r="B4024" i="14"/>
  <c r="A4025" i="14"/>
  <c r="B4025" i="14" l="1"/>
  <c r="D4025" i="14"/>
  <c r="C4025" i="14"/>
  <c r="E4025" i="14" s="1"/>
  <c r="A4026" i="14"/>
  <c r="D4026" i="14" l="1"/>
  <c r="C4026" i="14"/>
  <c r="E4026" i="14" s="1"/>
  <c r="B4026" i="14"/>
  <c r="A4027" i="14"/>
  <c r="D4027" i="14" l="1"/>
  <c r="C4027" i="14"/>
  <c r="E4027" i="14" s="1"/>
  <c r="B4027" i="14"/>
  <c r="A4028" i="14"/>
  <c r="C4028" i="14" l="1"/>
  <c r="E4028" i="14" s="1"/>
  <c r="B4028" i="14"/>
  <c r="D4028" i="14"/>
  <c r="A4029" i="14"/>
  <c r="D4029" i="14" l="1"/>
  <c r="C4029" i="14"/>
  <c r="E4029" i="14" s="1"/>
  <c r="B4029" i="14"/>
  <c r="A4030" i="14"/>
  <c r="D4030" i="14" l="1"/>
  <c r="C4030" i="14"/>
  <c r="E4030" i="14" s="1"/>
  <c r="B4030" i="14"/>
  <c r="A4031" i="14"/>
  <c r="D4031" i="14" l="1"/>
  <c r="C4031" i="14"/>
  <c r="E4031" i="14" s="1"/>
  <c r="B4031" i="14"/>
  <c r="A4032" i="14"/>
  <c r="D4032" i="14" l="1"/>
  <c r="C4032" i="14"/>
  <c r="E4032" i="14" s="1"/>
  <c r="B4032" i="14"/>
  <c r="A4033" i="14"/>
  <c r="B4033" i="14" l="1"/>
  <c r="D4033" i="14"/>
  <c r="C4033" i="14"/>
  <c r="E4033" i="14" s="1"/>
  <c r="A4034" i="14"/>
  <c r="D4034" i="14" l="1"/>
  <c r="C4034" i="14"/>
  <c r="E4034" i="14" s="1"/>
  <c r="B4034" i="14"/>
  <c r="A4035" i="14"/>
  <c r="D4035" i="14" l="1"/>
  <c r="C4035" i="14"/>
  <c r="E4035" i="14" s="1"/>
  <c r="B4035" i="14"/>
  <c r="A4036" i="14"/>
  <c r="C4036" i="14" l="1"/>
  <c r="E4036" i="14" s="1"/>
  <c r="B4036" i="14"/>
  <c r="D4036" i="14"/>
  <c r="A4037" i="14"/>
  <c r="D4037" i="14" l="1"/>
  <c r="C4037" i="14"/>
  <c r="E4037" i="14" s="1"/>
  <c r="B4037" i="14"/>
  <c r="A4038" i="14"/>
  <c r="D4038" i="14" l="1"/>
  <c r="C4038" i="14"/>
  <c r="E4038" i="14" s="1"/>
  <c r="B4038" i="14"/>
  <c r="A4039" i="14"/>
  <c r="D4039" i="14" l="1"/>
  <c r="C4039" i="14"/>
  <c r="E4039" i="14" s="1"/>
  <c r="B4039" i="14"/>
  <c r="A4040" i="14"/>
  <c r="D4040" i="14" l="1"/>
  <c r="C4040" i="14"/>
  <c r="E4040" i="14" s="1"/>
  <c r="B4040" i="14"/>
  <c r="A4041" i="14"/>
  <c r="B4041" i="14" l="1"/>
  <c r="D4041" i="14"/>
  <c r="C4041" i="14"/>
  <c r="E4041" i="14" s="1"/>
  <c r="A4042" i="14"/>
  <c r="D4042" i="14" l="1"/>
  <c r="C4042" i="14"/>
  <c r="E4042" i="14" s="1"/>
  <c r="B4042" i="14"/>
  <c r="A4043" i="14"/>
  <c r="D4043" i="14" l="1"/>
  <c r="C4043" i="14"/>
  <c r="E4043" i="14" s="1"/>
  <c r="B4043" i="14"/>
  <c r="A4044" i="14"/>
  <c r="C4044" i="14" l="1"/>
  <c r="E4044" i="14" s="1"/>
  <c r="B4044" i="14"/>
  <c r="D4044" i="14"/>
  <c r="A4045" i="14"/>
  <c r="D4045" i="14" l="1"/>
  <c r="C4045" i="14"/>
  <c r="E4045" i="14" s="1"/>
  <c r="B4045" i="14"/>
  <c r="A4046" i="14"/>
  <c r="D4046" i="14" l="1"/>
  <c r="C4046" i="14"/>
  <c r="E4046" i="14" s="1"/>
  <c r="B4046" i="14"/>
  <c r="A4047" i="14"/>
  <c r="D4047" i="14" l="1"/>
  <c r="C4047" i="14"/>
  <c r="E4047" i="14" s="1"/>
  <c r="B4047" i="14"/>
  <c r="A4048" i="14"/>
  <c r="D4048" i="14" l="1"/>
  <c r="C4048" i="14"/>
  <c r="E4048" i="14" s="1"/>
  <c r="B4048" i="14"/>
  <c r="A4049" i="14"/>
  <c r="B4049" i="14" l="1"/>
  <c r="D4049" i="14"/>
  <c r="C4049" i="14"/>
  <c r="E4049" i="14" s="1"/>
  <c r="A4050" i="14"/>
  <c r="D4050" i="14" l="1"/>
  <c r="C4050" i="14"/>
  <c r="E4050" i="14" s="1"/>
  <c r="B4050" i="14"/>
  <c r="A4051" i="14"/>
  <c r="D4051" i="14" l="1"/>
  <c r="C4051" i="14"/>
  <c r="E4051" i="14" s="1"/>
  <c r="B4051" i="14"/>
  <c r="A4052" i="14"/>
  <c r="C4052" i="14" l="1"/>
  <c r="E4052" i="14" s="1"/>
  <c r="B4052" i="14"/>
  <c r="D4052" i="14"/>
  <c r="A4053" i="14"/>
  <c r="D4053" i="14" l="1"/>
  <c r="C4053" i="14"/>
  <c r="E4053" i="14" s="1"/>
  <c r="B4053" i="14"/>
  <c r="A4054" i="14"/>
  <c r="D4054" i="14" l="1"/>
  <c r="C4054" i="14"/>
  <c r="E4054" i="14" s="1"/>
  <c r="B4054" i="14"/>
  <c r="A4055" i="14"/>
  <c r="D4055" i="14" l="1"/>
  <c r="C4055" i="14"/>
  <c r="E4055" i="14" s="1"/>
  <c r="B4055" i="14"/>
  <c r="A4056" i="14"/>
  <c r="D4056" i="14" l="1"/>
  <c r="C4056" i="14"/>
  <c r="E4056" i="14" s="1"/>
  <c r="B4056" i="14"/>
  <c r="A4057" i="14"/>
  <c r="B4057" i="14" l="1"/>
  <c r="D4057" i="14"/>
  <c r="C4057" i="14"/>
  <c r="E4057" i="14" s="1"/>
  <c r="A4058" i="14"/>
  <c r="D4058" i="14" l="1"/>
  <c r="C4058" i="14"/>
  <c r="E4058" i="14" s="1"/>
  <c r="B4058" i="14"/>
  <c r="A4059" i="14"/>
  <c r="D4059" i="14" l="1"/>
  <c r="C4059" i="14"/>
  <c r="E4059" i="14" s="1"/>
  <c r="B4059" i="14"/>
  <c r="A4060" i="14"/>
  <c r="C4060" i="14" l="1"/>
  <c r="E4060" i="14" s="1"/>
  <c r="B4060" i="14"/>
  <c r="D4060" i="14"/>
  <c r="A4061" i="14"/>
  <c r="D4061" i="14" l="1"/>
  <c r="C4061" i="14"/>
  <c r="E4061" i="14" s="1"/>
  <c r="B4061" i="14"/>
  <c r="A4062" i="14"/>
  <c r="D4062" i="14" l="1"/>
  <c r="C4062" i="14"/>
  <c r="E4062" i="14" s="1"/>
  <c r="B4062" i="14"/>
  <c r="A4063" i="14"/>
  <c r="D4063" i="14" l="1"/>
  <c r="C4063" i="14"/>
  <c r="E4063" i="14" s="1"/>
  <c r="B4063" i="14"/>
  <c r="A4064" i="14"/>
  <c r="D4064" i="14" l="1"/>
  <c r="C4064" i="14"/>
  <c r="E4064" i="14" s="1"/>
  <c r="B4064" i="14"/>
  <c r="A4065" i="14"/>
  <c r="B4065" i="14" l="1"/>
  <c r="D4065" i="14"/>
  <c r="C4065" i="14"/>
  <c r="E4065" i="14" s="1"/>
  <c r="A4066" i="14"/>
  <c r="D4066" i="14" l="1"/>
  <c r="C4066" i="14"/>
  <c r="E4066" i="14" s="1"/>
  <c r="B4066" i="14"/>
  <c r="A4067" i="14"/>
  <c r="D4067" i="14" l="1"/>
  <c r="C4067" i="14"/>
  <c r="E4067" i="14" s="1"/>
  <c r="B4067" i="14"/>
  <c r="A4068" i="14"/>
  <c r="C4068" i="14" l="1"/>
  <c r="E4068" i="14" s="1"/>
  <c r="B4068" i="14"/>
  <c r="D4068" i="14"/>
  <c r="A4069" i="14"/>
  <c r="D4069" i="14" l="1"/>
  <c r="C4069" i="14"/>
  <c r="E4069" i="14" s="1"/>
  <c r="B4069" i="14"/>
  <c r="A4070" i="14"/>
  <c r="D4070" i="14" l="1"/>
  <c r="C4070" i="14"/>
  <c r="E4070" i="14" s="1"/>
  <c r="B4070" i="14"/>
  <c r="A4071" i="14"/>
  <c r="D4071" i="14" l="1"/>
  <c r="C4071" i="14"/>
  <c r="E4071" i="14" s="1"/>
  <c r="B4071" i="14"/>
  <c r="A4072" i="14"/>
  <c r="D4072" i="14" l="1"/>
  <c r="C4072" i="14"/>
  <c r="E4072" i="14" s="1"/>
  <c r="B4072" i="14"/>
  <c r="A4073" i="14"/>
  <c r="B4073" i="14" l="1"/>
  <c r="D4073" i="14"/>
  <c r="C4073" i="14"/>
  <c r="E4073" i="14" s="1"/>
  <c r="A4074" i="14"/>
  <c r="D4074" i="14" l="1"/>
  <c r="C4074" i="14"/>
  <c r="E4074" i="14" s="1"/>
  <c r="B4074" i="14"/>
  <c r="A4075" i="14"/>
  <c r="D4075" i="14" l="1"/>
  <c r="C4075" i="14"/>
  <c r="E4075" i="14" s="1"/>
  <c r="B4075" i="14"/>
  <c r="A4076" i="14"/>
  <c r="C4076" i="14" l="1"/>
  <c r="E4076" i="14" s="1"/>
  <c r="B4076" i="14"/>
  <c r="D4076" i="14"/>
  <c r="A4077" i="14"/>
  <c r="D4077" i="14" l="1"/>
  <c r="C4077" i="14"/>
  <c r="E4077" i="14" s="1"/>
  <c r="B4077" i="14"/>
  <c r="A4078" i="14"/>
  <c r="D4078" i="14" l="1"/>
  <c r="C4078" i="14"/>
  <c r="E4078" i="14" s="1"/>
  <c r="B4078" i="14"/>
  <c r="A4079" i="14"/>
  <c r="D4079" i="14" l="1"/>
  <c r="C4079" i="14"/>
  <c r="E4079" i="14" s="1"/>
  <c r="B4079" i="14"/>
  <c r="A4080" i="14"/>
  <c r="D4080" i="14" l="1"/>
  <c r="C4080" i="14"/>
  <c r="E4080" i="14" s="1"/>
  <c r="B4080" i="14"/>
  <c r="A4081" i="14"/>
  <c r="B4081" i="14" l="1"/>
  <c r="D4081" i="14"/>
  <c r="C4081" i="14"/>
  <c r="E4081" i="14" s="1"/>
  <c r="A4082" i="14"/>
  <c r="D4082" i="14" l="1"/>
  <c r="C4082" i="14"/>
  <c r="E4082" i="14" s="1"/>
  <c r="B4082" i="14"/>
  <c r="A4083" i="14"/>
  <c r="D4083" i="14" l="1"/>
  <c r="C4083" i="14"/>
  <c r="E4083" i="14" s="1"/>
  <c r="B4083" i="14"/>
  <c r="A4084" i="14"/>
  <c r="C4084" i="14" l="1"/>
  <c r="E4084" i="14" s="1"/>
  <c r="B4084" i="14"/>
  <c r="D4084" i="14"/>
  <c r="A4085" i="14"/>
  <c r="D4085" i="14" l="1"/>
  <c r="C4085" i="14"/>
  <c r="E4085" i="14" s="1"/>
  <c r="B4085" i="14"/>
  <c r="A4086" i="14"/>
  <c r="D4086" i="14" l="1"/>
  <c r="C4086" i="14"/>
  <c r="E4086" i="14" s="1"/>
  <c r="B4086" i="14"/>
  <c r="A4087" i="14"/>
  <c r="D4087" i="14" l="1"/>
  <c r="C4087" i="14"/>
  <c r="E4087" i="14" s="1"/>
  <c r="B4087" i="14"/>
  <c r="A4088" i="14"/>
  <c r="D4088" i="14" l="1"/>
  <c r="C4088" i="14"/>
  <c r="E4088" i="14" s="1"/>
  <c r="B4088" i="14"/>
  <c r="A4089" i="14"/>
  <c r="B4089" i="14" l="1"/>
  <c r="D4089" i="14"/>
  <c r="C4089" i="14"/>
  <c r="E4089" i="14" s="1"/>
  <c r="A4090" i="14"/>
  <c r="D4090" i="14" l="1"/>
  <c r="C4090" i="14"/>
  <c r="E4090" i="14" s="1"/>
  <c r="B4090" i="14"/>
  <c r="A4091" i="14"/>
  <c r="D4091" i="14" l="1"/>
  <c r="C4091" i="14"/>
  <c r="E4091" i="14" s="1"/>
  <c r="B4091" i="14"/>
  <c r="A4092" i="14"/>
  <c r="C4092" i="14" l="1"/>
  <c r="E4092" i="14" s="1"/>
  <c r="B4092" i="14"/>
  <c r="D4092" i="14"/>
  <c r="A4093" i="14"/>
  <c r="D4093" i="14" l="1"/>
  <c r="C4093" i="14"/>
  <c r="E4093" i="14" s="1"/>
  <c r="B4093" i="14"/>
  <c r="A4094" i="14"/>
  <c r="D4094" i="14" l="1"/>
  <c r="C4094" i="14"/>
  <c r="E4094" i="14" s="1"/>
  <c r="B4094" i="14"/>
  <c r="A4095" i="14"/>
  <c r="D4095" i="14" l="1"/>
  <c r="C4095" i="14"/>
  <c r="E4095" i="14" s="1"/>
  <c r="B4095" i="14"/>
  <c r="A4096" i="14"/>
  <c r="D4096" i="14" l="1"/>
  <c r="C4096" i="14"/>
  <c r="E4096" i="14" s="1"/>
  <c r="B4096" i="14"/>
  <c r="A4097" i="14"/>
  <c r="B4097" i="14" l="1"/>
  <c r="D4097" i="14"/>
  <c r="C4097" i="14"/>
  <c r="E4097" i="14" s="1"/>
  <c r="A4098" i="14"/>
  <c r="D4098" i="14" l="1"/>
  <c r="C4098" i="14"/>
  <c r="E4098" i="14" s="1"/>
  <c r="B4098" i="14"/>
  <c r="A4099" i="14"/>
  <c r="D4099" i="14" l="1"/>
  <c r="C4099" i="14"/>
  <c r="E4099" i="14" s="1"/>
  <c r="B4099" i="14"/>
  <c r="A4100" i="14"/>
  <c r="C4100" i="14" l="1"/>
  <c r="E4100" i="14" s="1"/>
  <c r="B4100" i="14"/>
  <c r="D4100" i="14"/>
  <c r="A4101" i="14"/>
  <c r="D4101" i="14" l="1"/>
  <c r="C4101" i="14"/>
  <c r="E4101" i="14" s="1"/>
  <c r="B4101" i="14"/>
  <c r="A4102" i="14"/>
  <c r="D4102" i="14" l="1"/>
  <c r="C4102" i="14"/>
  <c r="E4102" i="14" s="1"/>
  <c r="B4102" i="14"/>
  <c r="A4103" i="14"/>
  <c r="D4103" i="14" l="1"/>
  <c r="C4103" i="14"/>
  <c r="E4103" i="14" s="1"/>
  <c r="B4103" i="14"/>
  <c r="A4104" i="14"/>
  <c r="D4104" i="14" l="1"/>
  <c r="C4104" i="14"/>
  <c r="E4104" i="14" s="1"/>
  <c r="B4104" i="14"/>
  <c r="A4105" i="14"/>
  <c r="B4105" i="14" l="1"/>
  <c r="D4105" i="14"/>
  <c r="C4105" i="14"/>
  <c r="E4105" i="14" s="1"/>
  <c r="A4106" i="14"/>
  <c r="D4106" i="14" l="1"/>
  <c r="C4106" i="14"/>
  <c r="E4106" i="14" s="1"/>
  <c r="B4106" i="14"/>
  <c r="A4107" i="14"/>
  <c r="D4107" i="14" l="1"/>
  <c r="C4107" i="14"/>
  <c r="E4107" i="14" s="1"/>
  <c r="B4107" i="14"/>
  <c r="A4108" i="14"/>
  <c r="C4108" i="14" l="1"/>
  <c r="E4108" i="14" s="1"/>
  <c r="B4108" i="14"/>
  <c r="D4108" i="14"/>
  <c r="A4109" i="14"/>
  <c r="D4109" i="14" l="1"/>
  <c r="C4109" i="14"/>
  <c r="E4109" i="14" s="1"/>
  <c r="B4109" i="14"/>
  <c r="A4110" i="14"/>
  <c r="D4110" i="14" l="1"/>
  <c r="C4110" i="14"/>
  <c r="E4110" i="14" s="1"/>
  <c r="B4110" i="14"/>
  <c r="A4111" i="14"/>
  <c r="D4111" i="14" l="1"/>
  <c r="C4111" i="14"/>
  <c r="E4111" i="14" s="1"/>
  <c r="B4111" i="14"/>
  <c r="A4112" i="14"/>
  <c r="D4112" i="14" l="1"/>
  <c r="C4112" i="14"/>
  <c r="E4112" i="14" s="1"/>
  <c r="B4112" i="14"/>
  <c r="A4113" i="14"/>
  <c r="B4113" i="14" l="1"/>
  <c r="D4113" i="14"/>
  <c r="C4113" i="14"/>
  <c r="E4113" i="14" s="1"/>
  <c r="A4114" i="14"/>
  <c r="D4114" i="14" l="1"/>
  <c r="C4114" i="14"/>
  <c r="E4114" i="14" s="1"/>
  <c r="B4114" i="14"/>
  <c r="A4115" i="14"/>
  <c r="D4115" i="14" l="1"/>
  <c r="C4115" i="14"/>
  <c r="E4115" i="14" s="1"/>
  <c r="B4115" i="14"/>
  <c r="A4116" i="14"/>
  <c r="C4116" i="14" l="1"/>
  <c r="E4116" i="14" s="1"/>
  <c r="B4116" i="14"/>
  <c r="D4116" i="14"/>
  <c r="A4117" i="14"/>
  <c r="D4117" i="14" l="1"/>
  <c r="C4117" i="14"/>
  <c r="E4117" i="14" s="1"/>
  <c r="B4117" i="14"/>
  <c r="A4118" i="14"/>
  <c r="D4118" i="14" l="1"/>
  <c r="C4118" i="14"/>
  <c r="E4118" i="14" s="1"/>
  <c r="B4118" i="14"/>
  <c r="A4119" i="14"/>
  <c r="D4119" i="14" l="1"/>
  <c r="C4119" i="14"/>
  <c r="E4119" i="14" s="1"/>
  <c r="B4119" i="14"/>
  <c r="A4120" i="14"/>
  <c r="D4120" i="14" l="1"/>
  <c r="C4120" i="14"/>
  <c r="E4120" i="14" s="1"/>
  <c r="B4120" i="14"/>
  <c r="A4121" i="14"/>
  <c r="B4121" i="14" l="1"/>
  <c r="D4121" i="14"/>
  <c r="C4121" i="14"/>
  <c r="E4121" i="14" s="1"/>
  <c r="A4122" i="14"/>
  <c r="D4122" i="14" l="1"/>
  <c r="C4122" i="14"/>
  <c r="E4122" i="14" s="1"/>
  <c r="B4122" i="14"/>
  <c r="A4123" i="14"/>
  <c r="D4123" i="14" l="1"/>
  <c r="C4123" i="14"/>
  <c r="E4123" i="14" s="1"/>
  <c r="B4123" i="14"/>
  <c r="A4124" i="14"/>
  <c r="C4124" i="14" l="1"/>
  <c r="E4124" i="14" s="1"/>
  <c r="B4124" i="14"/>
  <c r="D4124" i="14"/>
  <c r="A4125" i="14"/>
  <c r="D4125" i="14" l="1"/>
  <c r="C4125" i="14"/>
  <c r="E4125" i="14" s="1"/>
  <c r="B4125" i="14"/>
  <c r="A4126" i="14"/>
  <c r="D4126" i="14" l="1"/>
  <c r="C4126" i="14"/>
  <c r="E4126" i="14" s="1"/>
  <c r="B4126" i="14"/>
  <c r="A4127" i="14"/>
  <c r="D4127" i="14" l="1"/>
  <c r="C4127" i="14"/>
  <c r="E4127" i="14" s="1"/>
  <c r="B4127" i="14"/>
  <c r="A4128" i="14"/>
  <c r="D4128" i="14" l="1"/>
  <c r="C4128" i="14"/>
  <c r="E4128" i="14" s="1"/>
  <c r="B4128" i="14"/>
  <c r="A4129" i="14"/>
  <c r="B4129" i="14" l="1"/>
  <c r="D4129" i="14"/>
  <c r="C4129" i="14"/>
  <c r="E4129" i="14" s="1"/>
  <c r="A4130" i="14"/>
  <c r="D4130" i="14" l="1"/>
  <c r="C4130" i="14"/>
  <c r="E4130" i="14" s="1"/>
  <c r="B4130" i="14"/>
  <c r="A4131" i="14"/>
  <c r="D4131" i="14" l="1"/>
  <c r="C4131" i="14"/>
  <c r="E4131" i="14" s="1"/>
  <c r="B4131" i="14"/>
  <c r="A4132" i="14"/>
  <c r="C4132" i="14" l="1"/>
  <c r="E4132" i="14" s="1"/>
  <c r="B4132" i="14"/>
  <c r="D4132" i="14"/>
  <c r="A4133" i="14"/>
  <c r="D4133" i="14" l="1"/>
  <c r="C4133" i="14"/>
  <c r="E4133" i="14" s="1"/>
  <c r="B4133" i="14"/>
  <c r="A4134" i="14"/>
  <c r="D4134" i="14" l="1"/>
  <c r="C4134" i="14"/>
  <c r="E4134" i="14" s="1"/>
  <c r="B4134" i="14"/>
  <c r="A4135" i="14"/>
  <c r="D4135" i="14" l="1"/>
  <c r="C4135" i="14"/>
  <c r="E4135" i="14" s="1"/>
  <c r="B4135" i="14"/>
  <c r="A4136" i="14"/>
  <c r="D4136" i="14" l="1"/>
  <c r="C4136" i="14"/>
  <c r="E4136" i="14" s="1"/>
  <c r="B4136" i="14"/>
  <c r="A4137" i="14"/>
  <c r="B4137" i="14" l="1"/>
  <c r="D4137" i="14"/>
  <c r="C4137" i="14"/>
  <c r="E4137" i="14" s="1"/>
  <c r="A4138" i="14"/>
  <c r="D4138" i="14" l="1"/>
  <c r="C4138" i="14"/>
  <c r="E4138" i="14" s="1"/>
  <c r="B4138" i="14"/>
  <c r="A4139" i="14"/>
  <c r="D4139" i="14" l="1"/>
  <c r="C4139" i="14"/>
  <c r="E4139" i="14" s="1"/>
  <c r="B4139" i="14"/>
  <c r="A4140" i="14"/>
  <c r="C4140" i="14" l="1"/>
  <c r="E4140" i="14" s="1"/>
  <c r="B4140" i="14"/>
  <c r="D4140" i="14"/>
  <c r="A4141" i="14"/>
  <c r="D4141" i="14" l="1"/>
  <c r="C4141" i="14"/>
  <c r="E4141" i="14" s="1"/>
  <c r="B4141" i="14"/>
  <c r="A4142" i="14"/>
  <c r="D4142" i="14" l="1"/>
  <c r="C4142" i="14"/>
  <c r="E4142" i="14" s="1"/>
  <c r="B4142" i="14"/>
  <c r="A4143" i="14"/>
  <c r="D4143" i="14" l="1"/>
  <c r="C4143" i="14"/>
  <c r="E4143" i="14" s="1"/>
  <c r="B4143" i="14"/>
  <c r="A4144" i="14"/>
  <c r="D4144" i="14" l="1"/>
  <c r="C4144" i="14"/>
  <c r="E4144" i="14" s="1"/>
  <c r="B4144" i="14"/>
  <c r="A4145" i="14"/>
  <c r="B4145" i="14" l="1"/>
  <c r="D4145" i="14"/>
  <c r="C4145" i="14"/>
  <c r="E4145" i="14" s="1"/>
  <c r="A4146" i="14"/>
  <c r="D4146" i="14" l="1"/>
  <c r="C4146" i="14"/>
  <c r="E4146" i="14" s="1"/>
  <c r="B4146" i="14"/>
  <c r="A4147" i="14"/>
  <c r="D4147" i="14" l="1"/>
  <c r="C4147" i="14"/>
  <c r="E4147" i="14" s="1"/>
  <c r="B4147" i="14"/>
  <c r="A4148" i="14"/>
  <c r="C4148" i="14" l="1"/>
  <c r="E4148" i="14" s="1"/>
  <c r="B4148" i="14"/>
  <c r="D4148" i="14"/>
  <c r="A4149" i="14"/>
  <c r="D4149" i="14" l="1"/>
  <c r="C4149" i="14"/>
  <c r="E4149" i="14" s="1"/>
  <c r="B4149" i="14"/>
  <c r="A4150" i="14"/>
  <c r="D4150" i="14" l="1"/>
  <c r="C4150" i="14"/>
  <c r="E4150" i="14" s="1"/>
  <c r="B4150" i="14"/>
  <c r="A4151" i="14"/>
  <c r="D4151" i="14" l="1"/>
  <c r="C4151" i="14"/>
  <c r="E4151" i="14" s="1"/>
  <c r="B4151" i="14"/>
  <c r="A4152" i="14"/>
  <c r="D4152" i="14" l="1"/>
  <c r="C4152" i="14"/>
  <c r="E4152" i="14" s="1"/>
  <c r="B4152" i="14"/>
  <c r="A4153" i="14"/>
  <c r="B4153" i="14" l="1"/>
  <c r="D4153" i="14"/>
  <c r="C4153" i="14"/>
  <c r="E4153" i="14" s="1"/>
  <c r="A4154" i="14"/>
  <c r="D4154" i="14" l="1"/>
  <c r="C4154" i="14"/>
  <c r="E4154" i="14" s="1"/>
  <c r="B4154" i="14"/>
  <c r="A4155" i="14"/>
  <c r="D4155" i="14" l="1"/>
  <c r="C4155" i="14"/>
  <c r="E4155" i="14" s="1"/>
  <c r="B4155" i="14"/>
  <c r="A4156" i="14"/>
  <c r="C4156" i="14" l="1"/>
  <c r="E4156" i="14" s="1"/>
  <c r="B4156" i="14"/>
  <c r="D4156" i="14"/>
  <c r="A4157" i="14"/>
  <c r="D4157" i="14" l="1"/>
  <c r="C4157" i="14"/>
  <c r="E4157" i="14" s="1"/>
  <c r="B4157" i="14"/>
  <c r="A4158" i="14"/>
  <c r="D4158" i="14" l="1"/>
  <c r="C4158" i="14"/>
  <c r="E4158" i="14" s="1"/>
  <c r="B4158" i="14"/>
  <c r="A4159" i="14"/>
  <c r="D4159" i="14" l="1"/>
  <c r="C4159" i="14"/>
  <c r="E4159" i="14" s="1"/>
  <c r="B4159" i="14"/>
  <c r="A4160" i="14"/>
  <c r="D4160" i="14" l="1"/>
  <c r="C4160" i="14"/>
  <c r="E4160" i="14" s="1"/>
  <c r="B4160" i="14"/>
  <c r="A4161" i="14"/>
  <c r="B4161" i="14" l="1"/>
  <c r="D4161" i="14"/>
  <c r="C4161" i="14"/>
  <c r="E4161" i="14" s="1"/>
  <c r="A4162" i="14"/>
  <c r="B4162" i="14" l="1"/>
  <c r="D4162" i="14"/>
  <c r="C4162" i="14"/>
  <c r="E4162" i="14" s="1"/>
  <c r="A4163" i="14"/>
  <c r="D4163" i="14" l="1"/>
  <c r="C4163" i="14"/>
  <c r="E4163" i="14" s="1"/>
  <c r="B4163" i="14"/>
  <c r="A4164" i="14"/>
  <c r="C4164" i="14" l="1"/>
  <c r="E4164" i="14" s="1"/>
  <c r="D4164" i="14"/>
  <c r="B4164" i="14"/>
  <c r="A4165" i="14"/>
  <c r="E4165" i="14" l="1"/>
  <c r="C4165" i="14"/>
  <c r="B4165" i="14"/>
  <c r="D4165" i="14"/>
  <c r="A4166" i="14"/>
  <c r="D4166" i="14" l="1"/>
  <c r="B4166" i="14"/>
  <c r="C4166" i="14"/>
  <c r="E4166" i="14" s="1"/>
  <c r="A4167" i="14"/>
  <c r="D4167" i="14" l="1"/>
  <c r="C4167" i="14"/>
  <c r="E4167" i="14" s="1"/>
  <c r="B4167" i="14"/>
  <c r="A4168" i="14"/>
  <c r="D4168" i="14" l="1"/>
  <c r="C4168" i="14"/>
  <c r="E4168" i="14" s="1"/>
  <c r="B4168" i="14"/>
  <c r="A4169" i="14"/>
  <c r="B4169" i="14" l="1"/>
  <c r="C4169" i="14"/>
  <c r="E4169" i="14" s="1"/>
  <c r="D4169" i="14"/>
  <c r="A4170" i="14"/>
  <c r="C4170" i="14" l="1"/>
  <c r="E4170" i="14" s="1"/>
  <c r="B4170" i="14"/>
  <c r="D4170" i="14"/>
  <c r="A4171" i="14"/>
  <c r="D4171" i="14" l="1"/>
  <c r="C4171" i="14"/>
  <c r="E4171" i="14" s="1"/>
  <c r="B4171" i="14"/>
  <c r="A4172" i="14"/>
  <c r="C4172" i="14" l="1"/>
  <c r="E4172" i="14" s="1"/>
  <c r="D4172" i="14"/>
  <c r="B4172" i="14"/>
  <c r="A4173" i="14"/>
  <c r="D4173" i="14" l="1"/>
  <c r="C4173" i="14"/>
  <c r="E4173" i="14" s="1"/>
  <c r="B4173" i="14"/>
  <c r="A4174" i="14"/>
  <c r="D4174" i="14" l="1"/>
  <c r="C4174" i="14"/>
  <c r="E4174" i="14" s="1"/>
  <c r="B4174" i="14"/>
  <c r="A4175" i="14"/>
  <c r="B4175" i="14" l="1"/>
  <c r="D4175" i="14"/>
  <c r="C4175" i="14"/>
  <c r="E4175" i="14" s="1"/>
  <c r="A4176" i="14"/>
  <c r="D4176" i="14" l="1"/>
  <c r="C4176" i="14"/>
  <c r="E4176" i="14" s="1"/>
  <c r="B4176" i="14"/>
  <c r="A4177" i="14"/>
  <c r="B4177" i="14" l="1"/>
  <c r="D4177" i="14"/>
  <c r="C4177" i="14"/>
  <c r="E4177" i="14" s="1"/>
  <c r="A4178" i="14"/>
  <c r="C4178" i="14" l="1"/>
  <c r="E4178" i="14" s="1"/>
  <c r="B4178" i="14"/>
  <c r="D4178" i="14"/>
  <c r="A4179" i="14"/>
  <c r="D4179" i="14" l="1"/>
  <c r="C4179" i="14"/>
  <c r="E4179" i="14" s="1"/>
  <c r="B4179" i="14"/>
  <c r="A4180" i="14"/>
  <c r="C4180" i="14" l="1"/>
  <c r="E4180" i="14" s="1"/>
  <c r="D4180" i="14"/>
  <c r="B4180" i="14"/>
  <c r="A4181" i="14"/>
  <c r="D4181" i="14" l="1"/>
  <c r="C4181" i="14"/>
  <c r="E4181" i="14" s="1"/>
  <c r="B4181" i="14"/>
  <c r="A4182" i="14"/>
  <c r="D4182" i="14" l="1"/>
  <c r="B4182" i="14"/>
  <c r="C4182" i="14"/>
  <c r="E4182" i="14" s="1"/>
  <c r="A4183" i="14"/>
  <c r="B4183" i="14" l="1"/>
  <c r="D4183" i="14"/>
  <c r="C4183" i="14"/>
  <c r="E4183" i="14" s="1"/>
  <c r="A4184" i="14"/>
  <c r="D4184" i="14" l="1"/>
  <c r="C4184" i="14"/>
  <c r="E4184" i="14" s="1"/>
  <c r="B4184" i="14"/>
  <c r="A4185" i="14"/>
  <c r="B4185" i="14" l="1"/>
  <c r="D4185" i="14"/>
  <c r="C4185" i="14"/>
  <c r="E4185" i="14" s="1"/>
  <c r="A4186" i="14"/>
  <c r="C4186" i="14" l="1"/>
  <c r="E4186" i="14" s="1"/>
  <c r="B4186" i="14"/>
  <c r="D4186" i="14"/>
  <c r="A4187" i="14"/>
  <c r="D4187" i="14" l="1"/>
  <c r="C4187" i="14"/>
  <c r="E4187" i="14" s="1"/>
  <c r="B4187" i="14"/>
  <c r="A4188" i="14"/>
  <c r="C4188" i="14" l="1"/>
  <c r="E4188" i="14" s="1"/>
  <c r="D4188" i="14"/>
  <c r="B4188" i="14"/>
  <c r="A4189" i="14"/>
  <c r="D4189" i="14" l="1"/>
  <c r="C4189" i="14"/>
  <c r="E4189" i="14" s="1"/>
  <c r="B4189" i="14"/>
  <c r="A4190" i="14"/>
  <c r="D4190" i="14" l="1"/>
  <c r="C4190" i="14"/>
  <c r="E4190" i="14" s="1"/>
  <c r="B4190" i="14"/>
  <c r="A4191" i="14"/>
  <c r="B4191" i="14" l="1"/>
  <c r="D4191" i="14"/>
  <c r="C4191" i="14"/>
  <c r="E4191" i="14" s="1"/>
  <c r="A4192" i="14"/>
  <c r="D4192" i="14" l="1"/>
  <c r="C4192" i="14"/>
  <c r="E4192" i="14" s="1"/>
  <c r="B4192" i="14"/>
  <c r="A4193" i="14"/>
  <c r="D4193" i="14" l="1"/>
  <c r="B4193" i="14"/>
  <c r="C4193" i="14"/>
  <c r="E4193" i="14" s="1"/>
  <c r="A4194" i="14"/>
  <c r="C4194" i="14" l="1"/>
  <c r="E4194" i="14" s="1"/>
  <c r="B4194" i="14"/>
  <c r="D4194" i="14"/>
  <c r="A4195" i="14"/>
  <c r="D4195" i="14" l="1"/>
  <c r="C4195" i="14"/>
  <c r="E4195" i="14" s="1"/>
  <c r="B4195" i="14"/>
  <c r="A4196" i="14"/>
  <c r="C4196" i="14" l="1"/>
  <c r="E4196" i="14" s="1"/>
  <c r="D4196" i="14"/>
  <c r="B4196" i="14"/>
  <c r="A4197" i="14"/>
  <c r="D4197" i="14" l="1"/>
  <c r="C4197" i="14"/>
  <c r="E4197" i="14" s="1"/>
  <c r="B4197" i="14"/>
  <c r="A4198" i="14"/>
  <c r="D4198" i="14" l="1"/>
  <c r="C4198" i="14"/>
  <c r="E4198" i="14" s="1"/>
  <c r="B4198" i="14"/>
  <c r="A4199" i="14"/>
  <c r="B4199" i="14" l="1"/>
  <c r="D4199" i="14"/>
  <c r="C4199" i="14"/>
  <c r="E4199" i="14" s="1"/>
  <c r="A4200" i="14"/>
  <c r="D4200" i="14" l="1"/>
  <c r="C4200" i="14"/>
  <c r="E4200" i="14" s="1"/>
  <c r="B4200" i="14"/>
  <c r="A4201" i="14"/>
  <c r="D4201" i="14" l="1"/>
  <c r="B4201" i="14"/>
  <c r="C4201" i="14"/>
  <c r="E4201" i="14" s="1"/>
  <c r="A4202" i="14"/>
  <c r="C4202" i="14" l="1"/>
  <c r="E4202" i="14" s="1"/>
  <c r="B4202" i="14"/>
  <c r="D4202" i="14"/>
  <c r="A4203" i="14"/>
  <c r="D4203" i="14" l="1"/>
  <c r="C4203" i="14"/>
  <c r="E4203" i="14" s="1"/>
  <c r="B4203" i="14"/>
  <c r="A4204" i="14"/>
  <c r="C4204" i="14" l="1"/>
  <c r="E4204" i="14" s="1"/>
  <c r="B4204" i="14"/>
  <c r="D4204" i="14"/>
  <c r="A4205" i="14"/>
  <c r="D4205" i="14" l="1"/>
  <c r="C4205" i="14"/>
  <c r="E4205" i="14" s="1"/>
  <c r="B4205" i="14"/>
  <c r="A4206" i="14"/>
  <c r="D4206" i="14" l="1"/>
  <c r="C4206" i="14"/>
  <c r="E4206" i="14" s="1"/>
  <c r="B4206" i="14"/>
  <c r="A4207" i="14"/>
  <c r="B4207" i="14" l="1"/>
  <c r="D4207" i="14"/>
  <c r="C4207" i="14"/>
  <c r="E4207" i="14" s="1"/>
  <c r="A4208" i="14"/>
  <c r="D4208" i="14" l="1"/>
  <c r="C4208" i="14"/>
  <c r="E4208" i="14" s="1"/>
  <c r="B4208" i="14"/>
  <c r="A4209" i="14"/>
  <c r="D4209" i="14" l="1"/>
  <c r="B4209" i="14"/>
  <c r="C4209" i="14"/>
  <c r="E4209" i="14" s="1"/>
  <c r="A4210" i="14"/>
  <c r="C4210" i="14" l="1"/>
  <c r="E4210" i="14" s="1"/>
  <c r="B4210" i="14"/>
  <c r="D4210" i="14"/>
  <c r="A4211" i="14"/>
  <c r="D4211" i="14" l="1"/>
  <c r="C4211" i="14"/>
  <c r="E4211" i="14" s="1"/>
  <c r="B4211" i="14"/>
  <c r="A4212" i="14"/>
  <c r="D4212" i="14" l="1"/>
  <c r="C4212" i="14"/>
  <c r="E4212" i="14" s="1"/>
  <c r="B4212" i="14"/>
  <c r="A4213" i="14"/>
  <c r="D4213" i="14" l="1"/>
  <c r="C4213" i="14"/>
  <c r="E4213" i="14" s="1"/>
  <c r="B4213" i="14"/>
  <c r="A4214" i="14"/>
  <c r="D4214" i="14" l="1"/>
  <c r="C4214" i="14"/>
  <c r="E4214" i="14" s="1"/>
  <c r="B4214" i="14"/>
  <c r="A4215" i="14"/>
  <c r="B4215" i="14" l="1"/>
  <c r="D4215" i="14"/>
  <c r="C4215" i="14"/>
  <c r="E4215" i="14" s="1"/>
  <c r="A4216" i="14"/>
  <c r="D4216" i="14" l="1"/>
  <c r="C4216" i="14"/>
  <c r="E4216" i="14" s="1"/>
  <c r="B4216" i="14"/>
  <c r="A4217" i="14"/>
  <c r="D4217" i="14" l="1"/>
  <c r="C4217" i="14"/>
  <c r="E4217" i="14" s="1"/>
  <c r="B4217" i="14"/>
  <c r="A4218" i="14"/>
  <c r="C4218" i="14" l="1"/>
  <c r="E4218" i="14" s="1"/>
  <c r="B4218" i="14"/>
  <c r="D4218" i="14"/>
  <c r="A4219" i="14"/>
  <c r="D4219" i="14" l="1"/>
  <c r="C4219" i="14"/>
  <c r="E4219" i="14" s="1"/>
  <c r="B4219" i="14"/>
  <c r="A4220" i="14"/>
  <c r="D4220" i="14" l="1"/>
  <c r="C4220" i="14"/>
  <c r="E4220" i="14" s="1"/>
  <c r="B4220" i="14"/>
  <c r="A4221" i="14"/>
  <c r="D4221" i="14" l="1"/>
  <c r="C4221" i="14"/>
  <c r="E4221" i="14" s="1"/>
  <c r="B4221" i="14"/>
  <c r="A4222" i="14"/>
  <c r="D4222" i="14" l="1"/>
  <c r="C4222" i="14"/>
  <c r="E4222" i="14" s="1"/>
  <c r="B4222" i="14"/>
  <c r="A4223" i="14"/>
  <c r="B4223" i="14" l="1"/>
  <c r="D4223" i="14"/>
  <c r="C4223" i="14"/>
  <c r="E4223" i="14" s="1"/>
  <c r="A4224" i="14"/>
  <c r="D4224" i="14" l="1"/>
  <c r="C4224" i="14"/>
  <c r="E4224" i="14" s="1"/>
  <c r="B4224" i="14"/>
  <c r="A4225" i="14"/>
  <c r="D4225" i="14" l="1"/>
  <c r="C4225" i="14"/>
  <c r="E4225" i="14" s="1"/>
  <c r="B4225" i="14"/>
  <c r="A4226" i="14"/>
  <c r="C4226" i="14" l="1"/>
  <c r="E4226" i="14" s="1"/>
  <c r="B4226" i="14"/>
  <c r="D4226" i="14"/>
  <c r="A4227" i="14"/>
  <c r="D4227" i="14" l="1"/>
  <c r="C4227" i="14"/>
  <c r="E4227" i="14" s="1"/>
  <c r="B4227" i="14"/>
  <c r="A4228" i="14"/>
  <c r="D4228" i="14" l="1"/>
  <c r="C4228" i="14"/>
  <c r="E4228" i="14" s="1"/>
  <c r="B4228" i="14"/>
  <c r="A4229" i="14"/>
  <c r="E4229" i="14" l="1"/>
  <c r="D4229" i="14"/>
  <c r="C4229" i="14"/>
  <c r="B4229" i="14"/>
  <c r="A4230" i="14"/>
  <c r="D4230" i="14" l="1"/>
  <c r="C4230" i="14"/>
  <c r="E4230" i="14" s="1"/>
  <c r="B4230" i="14"/>
  <c r="A4231" i="14"/>
  <c r="B4231" i="14" l="1"/>
  <c r="D4231" i="14"/>
  <c r="C4231" i="14"/>
  <c r="E4231" i="14" s="1"/>
  <c r="A4232" i="14"/>
  <c r="D4232" i="14" l="1"/>
  <c r="C4232" i="14"/>
  <c r="E4232" i="14" s="1"/>
  <c r="B4232" i="14"/>
  <c r="A4233" i="14"/>
  <c r="D4233" i="14" l="1"/>
  <c r="C4233" i="14"/>
  <c r="E4233" i="14" s="1"/>
  <c r="B4233" i="14"/>
  <c r="A4234" i="14"/>
  <c r="C4234" i="14" l="1"/>
  <c r="E4234" i="14" s="1"/>
  <c r="B4234" i="14"/>
  <c r="D4234" i="14"/>
  <c r="A4235" i="14"/>
  <c r="D4235" i="14" l="1"/>
  <c r="C4235" i="14"/>
  <c r="E4235" i="14" s="1"/>
  <c r="B4235" i="14"/>
  <c r="A4236" i="14"/>
  <c r="D4236" i="14" l="1"/>
  <c r="C4236" i="14"/>
  <c r="E4236" i="14" s="1"/>
  <c r="B4236" i="14"/>
  <c r="A4237" i="14"/>
  <c r="D4237" i="14" l="1"/>
  <c r="C4237" i="14"/>
  <c r="E4237" i="14" s="1"/>
  <c r="B4237" i="14"/>
  <c r="A4238" i="14"/>
  <c r="D4238" i="14" l="1"/>
  <c r="C4238" i="14"/>
  <c r="E4238" i="14" s="1"/>
  <c r="B4238" i="14"/>
  <c r="A4239" i="14"/>
  <c r="B4239" i="14" l="1"/>
  <c r="D4239" i="14"/>
  <c r="C4239" i="14"/>
  <c r="E4239" i="14" s="1"/>
  <c r="A4240" i="14"/>
  <c r="D4240" i="14" l="1"/>
  <c r="C4240" i="14"/>
  <c r="E4240" i="14" s="1"/>
  <c r="B4240" i="14"/>
  <c r="A4241" i="14"/>
  <c r="D4241" i="14" l="1"/>
  <c r="C4241" i="14"/>
  <c r="E4241" i="14" s="1"/>
  <c r="B4241" i="14"/>
  <c r="A4242" i="14"/>
  <c r="C4242" i="14" l="1"/>
  <c r="E4242" i="14" s="1"/>
  <c r="B4242" i="14"/>
  <c r="D4242" i="14"/>
  <c r="A4243" i="14"/>
  <c r="D4243" i="14" l="1"/>
  <c r="C4243" i="14"/>
  <c r="E4243" i="14" s="1"/>
  <c r="B4243" i="14"/>
  <c r="A4244" i="14"/>
  <c r="D4244" i="14" l="1"/>
  <c r="C4244" i="14"/>
  <c r="E4244" i="14" s="1"/>
  <c r="B4244" i="14"/>
  <c r="A4245" i="14"/>
  <c r="D4245" i="14" l="1"/>
  <c r="C4245" i="14"/>
  <c r="E4245" i="14" s="1"/>
  <c r="B4245" i="14"/>
  <c r="A4246" i="14"/>
  <c r="D4246" i="14" l="1"/>
  <c r="C4246" i="14"/>
  <c r="E4246" i="14" s="1"/>
  <c r="B4246" i="14"/>
  <c r="A4247" i="14"/>
  <c r="B4247" i="14" l="1"/>
  <c r="D4247" i="14"/>
  <c r="C4247" i="14"/>
  <c r="E4247" i="14" s="1"/>
  <c r="A4248" i="14"/>
  <c r="D4248" i="14" l="1"/>
  <c r="C4248" i="14"/>
  <c r="E4248" i="14" s="1"/>
  <c r="B4248" i="14"/>
  <c r="A4249" i="14"/>
  <c r="D4249" i="14" l="1"/>
  <c r="C4249" i="14"/>
  <c r="E4249" i="14" s="1"/>
  <c r="B4249" i="14"/>
  <c r="A4250" i="14"/>
  <c r="C4250" i="14" l="1"/>
  <c r="E4250" i="14" s="1"/>
  <c r="B4250" i="14"/>
  <c r="D4250" i="14"/>
  <c r="A4251" i="14"/>
  <c r="D4251" i="14" l="1"/>
  <c r="C4251" i="14"/>
  <c r="E4251" i="14" s="1"/>
  <c r="B4251" i="14"/>
  <c r="A4252" i="14"/>
  <c r="D4252" i="14" l="1"/>
  <c r="C4252" i="14"/>
  <c r="E4252" i="14" s="1"/>
  <c r="B4252" i="14"/>
  <c r="A4253" i="14"/>
  <c r="D4253" i="14" l="1"/>
  <c r="C4253" i="14"/>
  <c r="E4253" i="14" s="1"/>
  <c r="B4253" i="14"/>
  <c r="A4254" i="14"/>
  <c r="D4254" i="14" l="1"/>
  <c r="C4254" i="14"/>
  <c r="E4254" i="14" s="1"/>
  <c r="B4254" i="14"/>
  <c r="A4255" i="14"/>
  <c r="B4255" i="14" l="1"/>
  <c r="D4255" i="14"/>
  <c r="C4255" i="14"/>
  <c r="E4255" i="14" s="1"/>
  <c r="A4256" i="14"/>
  <c r="D4256" i="14" l="1"/>
  <c r="C4256" i="14"/>
  <c r="E4256" i="14" s="1"/>
  <c r="B4256" i="14"/>
  <c r="A4257" i="14"/>
  <c r="D4257" i="14" l="1"/>
  <c r="C4257" i="14"/>
  <c r="E4257" i="14" s="1"/>
  <c r="B4257" i="14"/>
  <c r="A4258" i="14"/>
  <c r="C4258" i="14" l="1"/>
  <c r="E4258" i="14" s="1"/>
  <c r="B4258" i="14"/>
  <c r="D4258" i="14"/>
  <c r="A4259" i="14"/>
  <c r="D4259" i="14" l="1"/>
  <c r="C4259" i="14"/>
  <c r="E4259" i="14" s="1"/>
  <c r="B4259" i="14"/>
  <c r="A4260" i="14"/>
  <c r="D4260" i="14" l="1"/>
  <c r="C4260" i="14"/>
  <c r="E4260" i="14" s="1"/>
  <c r="B4260" i="14"/>
  <c r="A4261" i="14"/>
  <c r="D4261" i="14" l="1"/>
  <c r="C4261" i="14"/>
  <c r="E4261" i="14" s="1"/>
  <c r="B4261" i="14"/>
  <c r="A4262" i="14"/>
  <c r="D4262" i="14" l="1"/>
  <c r="C4262" i="14"/>
  <c r="E4262" i="14" s="1"/>
  <c r="B4262" i="14"/>
  <c r="A4263" i="14"/>
  <c r="B4263" i="14" l="1"/>
  <c r="D4263" i="14"/>
  <c r="C4263" i="14"/>
  <c r="E4263" i="14" s="1"/>
  <c r="A4264" i="14"/>
  <c r="D4264" i="14" l="1"/>
  <c r="C4264" i="14"/>
  <c r="E4264" i="14" s="1"/>
  <c r="B4264" i="14"/>
  <c r="A4265" i="14"/>
  <c r="D4265" i="14" l="1"/>
  <c r="C4265" i="14"/>
  <c r="E4265" i="14" s="1"/>
  <c r="B4265" i="14"/>
  <c r="A4266" i="14"/>
  <c r="C4266" i="14" l="1"/>
  <c r="E4266" i="14" s="1"/>
  <c r="B4266" i="14"/>
  <c r="D4266" i="14"/>
  <c r="A4267" i="14"/>
  <c r="D4267" i="14" l="1"/>
  <c r="C4267" i="14"/>
  <c r="E4267" i="14" s="1"/>
  <c r="B4267" i="14"/>
  <c r="A4268" i="14"/>
  <c r="D4268" i="14" l="1"/>
  <c r="C4268" i="14"/>
  <c r="E4268" i="14" s="1"/>
  <c r="B4268" i="14"/>
  <c r="A4269" i="14"/>
  <c r="D4269" i="14" l="1"/>
  <c r="C4269" i="14"/>
  <c r="E4269" i="14" s="1"/>
  <c r="B4269" i="14"/>
  <c r="A4270" i="14"/>
  <c r="D4270" i="14" l="1"/>
  <c r="C4270" i="14"/>
  <c r="E4270" i="14" s="1"/>
  <c r="B4270" i="14"/>
  <c r="A4271" i="14"/>
  <c r="B4271" i="14" l="1"/>
  <c r="D4271" i="14"/>
  <c r="C4271" i="14"/>
  <c r="E4271" i="14" s="1"/>
  <c r="A4272" i="14"/>
  <c r="D4272" i="14" l="1"/>
  <c r="C4272" i="14"/>
  <c r="E4272" i="14" s="1"/>
  <c r="B4272" i="14"/>
  <c r="A4273" i="14"/>
  <c r="D4273" i="14" l="1"/>
  <c r="C4273" i="14"/>
  <c r="E4273" i="14" s="1"/>
  <c r="B4273" i="14"/>
  <c r="A4274" i="14"/>
  <c r="C4274" i="14" l="1"/>
  <c r="E4274" i="14" s="1"/>
  <c r="B4274" i="14"/>
  <c r="D4274" i="14"/>
  <c r="A4275" i="14"/>
  <c r="D4275" i="14" l="1"/>
  <c r="C4275" i="14"/>
  <c r="E4275" i="14" s="1"/>
  <c r="B4275" i="14"/>
  <c r="A4276" i="14"/>
  <c r="D4276" i="14" l="1"/>
  <c r="C4276" i="14"/>
  <c r="E4276" i="14" s="1"/>
  <c r="B4276" i="14"/>
  <c r="A4277" i="14"/>
  <c r="D4277" i="14" l="1"/>
  <c r="C4277" i="14"/>
  <c r="E4277" i="14" s="1"/>
  <c r="B4277" i="14"/>
  <c r="A4278" i="14"/>
  <c r="D4278" i="14" l="1"/>
  <c r="C4278" i="14"/>
  <c r="E4278" i="14" s="1"/>
  <c r="B4278" i="14"/>
  <c r="A4279" i="14"/>
  <c r="B4279" i="14" l="1"/>
  <c r="D4279" i="14"/>
  <c r="C4279" i="14"/>
  <c r="E4279" i="14" s="1"/>
  <c r="A4280" i="14"/>
  <c r="D4280" i="14" l="1"/>
  <c r="C4280" i="14"/>
  <c r="E4280" i="14" s="1"/>
  <c r="B4280" i="14"/>
  <c r="A4281" i="14"/>
  <c r="D4281" i="14" l="1"/>
  <c r="C4281" i="14"/>
  <c r="E4281" i="14" s="1"/>
  <c r="B4281" i="14"/>
  <c r="A4282" i="14"/>
  <c r="C4282" i="14" l="1"/>
  <c r="E4282" i="14" s="1"/>
  <c r="B4282" i="14"/>
  <c r="D4282" i="14"/>
  <c r="A4283" i="14"/>
  <c r="D4283" i="14" l="1"/>
  <c r="C4283" i="14"/>
  <c r="E4283" i="14" s="1"/>
  <c r="B4283" i="14"/>
  <c r="A4284" i="14"/>
  <c r="D4284" i="14" l="1"/>
  <c r="C4284" i="14"/>
  <c r="E4284" i="14" s="1"/>
  <c r="B4284" i="14"/>
  <c r="A4285" i="14"/>
  <c r="D4285" i="14" l="1"/>
  <c r="C4285" i="14"/>
  <c r="E4285" i="14" s="1"/>
  <c r="B4285" i="14"/>
  <c r="A4286" i="14"/>
  <c r="D4286" i="14" l="1"/>
  <c r="C4286" i="14"/>
  <c r="E4286" i="14" s="1"/>
  <c r="B4286" i="14"/>
  <c r="A4287" i="14"/>
  <c r="B4287" i="14" l="1"/>
  <c r="D4287" i="14"/>
  <c r="C4287" i="14"/>
  <c r="E4287" i="14" s="1"/>
  <c r="A4288" i="14"/>
  <c r="D4288" i="14" l="1"/>
  <c r="C4288" i="14"/>
  <c r="E4288" i="14" s="1"/>
  <c r="B4288" i="14"/>
  <c r="A4289" i="14"/>
  <c r="D4289" i="14" l="1"/>
  <c r="C4289" i="14"/>
  <c r="E4289" i="14" s="1"/>
  <c r="B4289" i="14"/>
  <c r="A4290" i="14"/>
  <c r="C4290" i="14" l="1"/>
  <c r="E4290" i="14" s="1"/>
  <c r="B4290" i="14"/>
  <c r="D4290" i="14"/>
  <c r="A4291" i="14"/>
  <c r="D4291" i="14" l="1"/>
  <c r="C4291" i="14"/>
  <c r="E4291" i="14" s="1"/>
  <c r="B4291" i="14"/>
  <c r="A4292" i="14"/>
  <c r="D4292" i="14" l="1"/>
  <c r="C4292" i="14"/>
  <c r="E4292" i="14" s="1"/>
  <c r="B4292" i="14"/>
  <c r="A4293" i="14"/>
  <c r="D4293" i="14" l="1"/>
  <c r="C4293" i="14"/>
  <c r="E4293" i="14" s="1"/>
  <c r="B4293" i="14"/>
  <c r="A4294" i="14"/>
  <c r="D4294" i="14" l="1"/>
  <c r="C4294" i="14"/>
  <c r="E4294" i="14" s="1"/>
  <c r="B4294" i="14"/>
  <c r="A4295" i="14"/>
  <c r="B4295" i="14" l="1"/>
  <c r="D4295" i="14"/>
  <c r="C4295" i="14"/>
  <c r="E4295" i="14" s="1"/>
  <c r="A4296" i="14"/>
  <c r="D4296" i="14" l="1"/>
  <c r="C4296" i="14"/>
  <c r="E4296" i="14" s="1"/>
  <c r="B4296" i="14"/>
  <c r="A4297" i="14"/>
  <c r="D4297" i="14" l="1"/>
  <c r="C4297" i="14"/>
  <c r="E4297" i="14" s="1"/>
  <c r="B4297" i="14"/>
  <c r="A4298" i="14"/>
  <c r="C4298" i="14" l="1"/>
  <c r="E4298" i="14" s="1"/>
  <c r="B4298" i="14"/>
  <c r="D4298" i="14"/>
  <c r="A4299" i="14"/>
  <c r="D4299" i="14" l="1"/>
  <c r="C4299" i="14"/>
  <c r="E4299" i="14" s="1"/>
  <c r="B4299" i="14"/>
  <c r="A4300" i="14"/>
  <c r="D4300" i="14" l="1"/>
  <c r="C4300" i="14"/>
  <c r="E4300" i="14" s="1"/>
  <c r="B4300" i="14"/>
  <c r="A4301" i="14"/>
  <c r="D4301" i="14" l="1"/>
  <c r="C4301" i="14"/>
  <c r="E4301" i="14" s="1"/>
  <c r="B4301" i="14"/>
  <c r="A4302" i="14"/>
  <c r="D4302" i="14" l="1"/>
  <c r="C4302" i="14"/>
  <c r="E4302" i="14" s="1"/>
  <c r="B4302" i="14"/>
  <c r="A4303" i="14"/>
  <c r="B4303" i="14" l="1"/>
  <c r="D4303" i="14"/>
  <c r="C4303" i="14"/>
  <c r="E4303" i="14" s="1"/>
  <c r="A4304" i="14"/>
  <c r="D4304" i="14" l="1"/>
  <c r="C4304" i="14"/>
  <c r="E4304" i="14" s="1"/>
  <c r="B4304" i="14"/>
  <c r="A4305" i="14"/>
  <c r="D4305" i="14" l="1"/>
  <c r="C4305" i="14"/>
  <c r="E4305" i="14" s="1"/>
  <c r="B4305" i="14"/>
  <c r="A4306" i="14"/>
  <c r="C4306" i="14" l="1"/>
  <c r="E4306" i="14" s="1"/>
  <c r="B4306" i="14"/>
  <c r="D4306" i="14"/>
  <c r="A4307" i="14"/>
  <c r="D4307" i="14" l="1"/>
  <c r="C4307" i="14"/>
  <c r="E4307" i="14" s="1"/>
  <c r="B4307" i="14"/>
  <c r="A4308" i="14"/>
  <c r="D4308" i="14" l="1"/>
  <c r="C4308" i="14"/>
  <c r="E4308" i="14" s="1"/>
  <c r="B4308" i="14"/>
  <c r="A4309" i="14"/>
  <c r="D4309" i="14" l="1"/>
  <c r="C4309" i="14"/>
  <c r="E4309" i="14" s="1"/>
  <c r="B4309" i="14"/>
  <c r="A4310" i="14"/>
  <c r="D4310" i="14" l="1"/>
  <c r="C4310" i="14"/>
  <c r="E4310" i="14" s="1"/>
  <c r="B4310" i="14"/>
  <c r="A4311" i="14"/>
  <c r="B4311" i="14" l="1"/>
  <c r="D4311" i="14"/>
  <c r="C4311" i="14"/>
  <c r="E4311" i="14" s="1"/>
  <c r="A4312" i="14"/>
  <c r="D4312" i="14" l="1"/>
  <c r="C4312" i="14"/>
  <c r="E4312" i="14" s="1"/>
  <c r="B4312" i="14"/>
  <c r="A4313" i="14"/>
  <c r="D4313" i="14" l="1"/>
  <c r="C4313" i="14"/>
  <c r="E4313" i="14" s="1"/>
  <c r="B4313" i="14"/>
  <c r="A4314" i="14"/>
  <c r="C4314" i="14" l="1"/>
  <c r="E4314" i="14" s="1"/>
  <c r="B4314" i="14"/>
  <c r="D4314" i="14"/>
  <c r="A4315" i="14"/>
  <c r="D4315" i="14" l="1"/>
  <c r="C4315" i="14"/>
  <c r="E4315" i="14" s="1"/>
  <c r="B4315" i="14"/>
  <c r="A4316" i="14"/>
  <c r="D4316" i="14" l="1"/>
  <c r="C4316" i="14"/>
  <c r="E4316" i="14" s="1"/>
  <c r="B4316" i="14"/>
  <c r="A4317" i="14"/>
  <c r="D4317" i="14" l="1"/>
  <c r="C4317" i="14"/>
  <c r="E4317" i="14" s="1"/>
  <c r="B4317" i="14"/>
  <c r="A4318" i="14"/>
  <c r="D4318" i="14" l="1"/>
  <c r="C4318" i="14"/>
  <c r="E4318" i="14" s="1"/>
  <c r="B4318" i="14"/>
  <c r="A4319" i="14"/>
  <c r="B4319" i="14" l="1"/>
  <c r="D4319" i="14"/>
  <c r="C4319" i="14"/>
  <c r="E4319" i="14" s="1"/>
  <c r="A4320" i="14"/>
  <c r="D4320" i="14" l="1"/>
  <c r="C4320" i="14"/>
  <c r="E4320" i="14" s="1"/>
  <c r="B4320" i="14"/>
  <c r="A4321" i="14"/>
  <c r="D4321" i="14" l="1"/>
  <c r="C4321" i="14"/>
  <c r="E4321" i="14" s="1"/>
  <c r="B4321" i="14"/>
  <c r="A4322" i="14"/>
  <c r="C4322" i="14" l="1"/>
  <c r="E4322" i="14" s="1"/>
  <c r="B4322" i="14"/>
  <c r="D4322" i="14"/>
  <c r="A4323" i="14"/>
  <c r="D4323" i="14" l="1"/>
  <c r="C4323" i="14"/>
  <c r="E4323" i="14" s="1"/>
  <c r="B4323" i="14"/>
  <c r="A4324" i="14"/>
  <c r="D4324" i="14" l="1"/>
  <c r="C4324" i="14"/>
  <c r="E4324" i="14" s="1"/>
  <c r="B4324" i="14"/>
  <c r="A4325" i="14"/>
  <c r="D4325" i="14" l="1"/>
  <c r="C4325" i="14"/>
  <c r="E4325" i="14" s="1"/>
  <c r="B4325" i="14"/>
  <c r="A4326" i="14"/>
  <c r="D4326" i="14" l="1"/>
  <c r="C4326" i="14"/>
  <c r="E4326" i="14" s="1"/>
  <c r="B4326" i="14"/>
  <c r="A4327" i="14"/>
  <c r="B4327" i="14" l="1"/>
  <c r="D4327" i="14"/>
  <c r="C4327" i="14"/>
  <c r="E4327" i="14" s="1"/>
  <c r="A4328" i="14"/>
  <c r="D4328" i="14" l="1"/>
  <c r="C4328" i="14"/>
  <c r="E4328" i="14" s="1"/>
  <c r="B4328" i="14"/>
  <c r="A4329" i="14"/>
  <c r="D4329" i="14" l="1"/>
  <c r="C4329" i="14"/>
  <c r="E4329" i="14" s="1"/>
  <c r="B4329" i="14"/>
  <c r="A4330" i="14"/>
  <c r="C4330" i="14" l="1"/>
  <c r="E4330" i="14" s="1"/>
  <c r="B4330" i="14"/>
  <c r="D4330" i="14"/>
  <c r="A4331" i="14"/>
  <c r="D4331" i="14" l="1"/>
  <c r="C4331" i="14"/>
  <c r="E4331" i="14" s="1"/>
  <c r="B4331" i="14"/>
  <c r="A4332" i="14"/>
  <c r="D4332" i="14" l="1"/>
  <c r="C4332" i="14"/>
  <c r="E4332" i="14" s="1"/>
  <c r="B4332" i="14"/>
  <c r="A4333" i="14"/>
  <c r="D4333" i="14" l="1"/>
  <c r="C4333" i="14"/>
  <c r="E4333" i="14" s="1"/>
  <c r="B4333" i="14"/>
  <c r="A4334" i="14"/>
  <c r="D4334" i="14" l="1"/>
  <c r="C4334" i="14"/>
  <c r="E4334" i="14" s="1"/>
  <c r="B4334" i="14"/>
  <c r="A4335" i="14"/>
  <c r="B4335" i="14" l="1"/>
  <c r="D4335" i="14"/>
  <c r="C4335" i="14"/>
  <c r="E4335" i="14" s="1"/>
  <c r="A4336" i="14"/>
  <c r="D4336" i="14" l="1"/>
  <c r="C4336" i="14"/>
  <c r="E4336" i="14" s="1"/>
  <c r="B4336" i="14"/>
  <c r="A4337" i="14"/>
  <c r="D4337" i="14" l="1"/>
  <c r="C4337" i="14"/>
  <c r="E4337" i="14" s="1"/>
  <c r="B4337" i="14"/>
  <c r="A4338" i="14"/>
  <c r="C4338" i="14" l="1"/>
  <c r="E4338" i="14" s="1"/>
  <c r="B4338" i="14"/>
  <c r="D4338" i="14"/>
  <c r="A4339" i="14"/>
  <c r="D4339" i="14" l="1"/>
  <c r="C4339" i="14"/>
  <c r="E4339" i="14" s="1"/>
  <c r="B4339" i="14"/>
  <c r="A4340" i="14"/>
  <c r="D4340" i="14" l="1"/>
  <c r="C4340" i="14"/>
  <c r="E4340" i="14" s="1"/>
  <c r="B4340" i="14"/>
  <c r="A4341" i="14"/>
  <c r="D4341" i="14" l="1"/>
  <c r="C4341" i="14"/>
  <c r="E4341" i="14" s="1"/>
  <c r="B4341" i="14"/>
  <c r="A4342" i="14"/>
  <c r="D4342" i="14" l="1"/>
  <c r="C4342" i="14"/>
  <c r="E4342" i="14" s="1"/>
  <c r="B4342" i="14"/>
  <c r="A4343" i="14"/>
  <c r="B4343" i="14" l="1"/>
  <c r="D4343" i="14"/>
  <c r="C4343" i="14"/>
  <c r="E4343" i="14" s="1"/>
  <c r="A4344" i="14"/>
  <c r="D4344" i="14" l="1"/>
  <c r="C4344" i="14"/>
  <c r="E4344" i="14" s="1"/>
  <c r="B4344" i="14"/>
  <c r="A4345" i="14"/>
  <c r="D4345" i="14" l="1"/>
  <c r="C4345" i="14"/>
  <c r="E4345" i="14" s="1"/>
  <c r="B4345" i="14"/>
  <c r="A4346" i="14"/>
  <c r="C4346" i="14" l="1"/>
  <c r="E4346" i="14" s="1"/>
  <c r="B4346" i="14"/>
  <c r="D4346" i="14"/>
  <c r="A4347" i="14"/>
  <c r="D4347" i="14" l="1"/>
  <c r="C4347" i="14"/>
  <c r="E4347" i="14" s="1"/>
  <c r="B4347" i="14"/>
  <c r="A4348" i="14"/>
  <c r="D4348" i="14" l="1"/>
  <c r="C4348" i="14"/>
  <c r="E4348" i="14" s="1"/>
  <c r="B4348" i="14"/>
  <c r="A4349" i="14"/>
  <c r="D4349" i="14" l="1"/>
  <c r="C4349" i="14"/>
  <c r="E4349" i="14" s="1"/>
  <c r="B4349" i="14"/>
  <c r="A4350" i="14"/>
  <c r="D4350" i="14" l="1"/>
  <c r="C4350" i="14"/>
  <c r="E4350" i="14" s="1"/>
  <c r="B4350" i="14"/>
  <c r="A4351" i="14"/>
  <c r="B4351" i="14" l="1"/>
  <c r="D4351" i="14"/>
  <c r="C4351" i="14"/>
  <c r="E4351" i="14" s="1"/>
  <c r="A4352" i="14"/>
  <c r="D4352" i="14" l="1"/>
  <c r="C4352" i="14"/>
  <c r="E4352" i="14" s="1"/>
  <c r="B4352" i="14"/>
  <c r="A4353" i="14"/>
  <c r="D4353" i="14" l="1"/>
  <c r="C4353" i="14"/>
  <c r="E4353" i="14" s="1"/>
  <c r="B4353" i="14"/>
  <c r="A4354" i="14"/>
  <c r="C4354" i="14" l="1"/>
  <c r="E4354" i="14" s="1"/>
  <c r="B4354" i="14"/>
  <c r="D4354" i="14"/>
  <c r="A4355" i="14"/>
  <c r="D4355" i="14" l="1"/>
  <c r="C4355" i="14"/>
  <c r="E4355" i="14" s="1"/>
  <c r="B4355" i="14"/>
  <c r="A4356" i="14"/>
  <c r="D4356" i="14" l="1"/>
  <c r="C4356" i="14"/>
  <c r="E4356" i="14" s="1"/>
  <c r="B4356" i="14"/>
  <c r="A4357" i="14"/>
  <c r="D4357" i="14" l="1"/>
  <c r="C4357" i="14"/>
  <c r="E4357" i="14" s="1"/>
  <c r="B4357" i="14"/>
  <c r="A4358" i="14"/>
  <c r="D4358" i="14" l="1"/>
  <c r="C4358" i="14"/>
  <c r="E4358" i="14" s="1"/>
  <c r="B4358" i="14"/>
  <c r="A4359" i="14"/>
  <c r="B4359" i="14" l="1"/>
  <c r="D4359" i="14"/>
  <c r="C4359" i="14"/>
  <c r="E4359" i="14" s="1"/>
  <c r="A4360" i="14"/>
  <c r="D4360" i="14" l="1"/>
  <c r="C4360" i="14"/>
  <c r="E4360" i="14" s="1"/>
  <c r="B4360" i="14"/>
  <c r="A4361" i="14"/>
  <c r="D4361" i="14" l="1"/>
  <c r="C4361" i="14"/>
  <c r="E4361" i="14" s="1"/>
  <c r="B4361" i="14"/>
  <c r="A4362" i="14"/>
  <c r="C4362" i="14" l="1"/>
  <c r="E4362" i="14" s="1"/>
  <c r="B4362" i="14"/>
  <c r="D4362" i="14"/>
  <c r="A4363" i="14"/>
  <c r="D4363" i="14" l="1"/>
  <c r="C4363" i="14"/>
  <c r="E4363" i="14" s="1"/>
  <c r="B4363" i="14"/>
  <c r="A4364" i="14"/>
  <c r="D4364" i="14" l="1"/>
  <c r="C4364" i="14"/>
  <c r="E4364" i="14" s="1"/>
  <c r="B4364" i="14"/>
  <c r="A4365" i="14"/>
  <c r="D4365" i="14" l="1"/>
  <c r="C4365" i="14"/>
  <c r="E4365" i="14" s="1"/>
  <c r="B4365" i="14"/>
  <c r="A4366" i="14"/>
  <c r="D4366" i="14" l="1"/>
  <c r="C4366" i="14"/>
  <c r="E4366" i="14" s="1"/>
  <c r="B4366" i="14"/>
  <c r="A4367" i="14"/>
  <c r="B4367" i="14" l="1"/>
  <c r="D4367" i="14"/>
  <c r="C4367" i="14"/>
  <c r="E4367" i="14" s="1"/>
  <c r="A4368" i="14"/>
  <c r="D4368" i="14" l="1"/>
  <c r="C4368" i="14"/>
  <c r="E4368" i="14" s="1"/>
  <c r="B4368" i="14"/>
  <c r="A4369" i="14"/>
  <c r="D4369" i="14" l="1"/>
  <c r="C4369" i="14"/>
  <c r="E4369" i="14" s="1"/>
  <c r="B4369" i="14"/>
  <c r="A4370" i="14"/>
  <c r="C4370" i="14" l="1"/>
  <c r="E4370" i="14" s="1"/>
  <c r="B4370" i="14"/>
  <c r="D4370" i="14"/>
  <c r="A4371" i="14"/>
  <c r="D4371" i="14" l="1"/>
  <c r="C4371" i="14"/>
  <c r="E4371" i="14" s="1"/>
  <c r="B4371" i="14"/>
  <c r="A4372" i="14"/>
  <c r="D4372" i="14" l="1"/>
  <c r="C4372" i="14"/>
  <c r="E4372" i="14" s="1"/>
  <c r="B4372" i="14"/>
  <c r="A4373" i="14"/>
  <c r="D4373" i="14" l="1"/>
  <c r="C4373" i="14"/>
  <c r="E4373" i="14" s="1"/>
  <c r="B4373" i="14"/>
  <c r="A4374" i="14"/>
  <c r="D4374" i="14" l="1"/>
  <c r="C4374" i="14"/>
  <c r="E4374" i="14" s="1"/>
  <c r="B4374" i="14"/>
  <c r="A4375" i="14"/>
  <c r="B4375" i="14" l="1"/>
  <c r="D4375" i="14"/>
  <c r="C4375" i="14"/>
  <c r="E4375" i="14" s="1"/>
  <c r="A4376" i="14"/>
  <c r="D4376" i="14" l="1"/>
  <c r="C4376" i="14"/>
  <c r="E4376" i="14" s="1"/>
  <c r="B4376" i="14"/>
  <c r="A4377" i="14"/>
  <c r="D4377" i="14" l="1"/>
  <c r="C4377" i="14"/>
  <c r="E4377" i="14" s="1"/>
  <c r="B4377" i="14"/>
  <c r="A4378" i="14"/>
  <c r="C4378" i="14" l="1"/>
  <c r="E4378" i="14" s="1"/>
  <c r="B4378" i="14"/>
  <c r="D4378" i="14"/>
  <c r="A4379" i="14"/>
  <c r="D4379" i="14" l="1"/>
  <c r="C4379" i="14"/>
  <c r="E4379" i="14" s="1"/>
  <c r="B4379" i="14"/>
  <c r="A4380" i="14"/>
  <c r="D4380" i="14" l="1"/>
  <c r="C4380" i="14"/>
  <c r="E4380" i="14" s="1"/>
  <c r="B4380" i="14"/>
  <c r="A4381" i="14"/>
  <c r="D4381" i="14" l="1"/>
  <c r="C4381" i="14"/>
  <c r="E4381" i="14" s="1"/>
  <c r="B4381" i="14"/>
  <c r="A4382" i="14"/>
  <c r="D4382" i="14" l="1"/>
  <c r="C4382" i="14"/>
  <c r="E4382" i="14" s="1"/>
  <c r="B4382" i="14"/>
  <c r="A4383" i="14"/>
  <c r="B4383" i="14" l="1"/>
  <c r="D4383" i="14"/>
  <c r="C4383" i="14"/>
  <c r="E4383" i="14" s="1"/>
  <c r="A4384" i="14"/>
  <c r="D4384" i="14" l="1"/>
  <c r="C4384" i="14"/>
  <c r="E4384" i="14" s="1"/>
  <c r="B4384" i="14"/>
  <c r="A4385" i="14"/>
  <c r="D4385" i="14" l="1"/>
  <c r="C4385" i="14"/>
  <c r="E4385" i="14" s="1"/>
  <c r="B4385" i="14"/>
  <c r="A4386" i="14"/>
  <c r="C4386" i="14" l="1"/>
  <c r="E4386" i="14" s="1"/>
  <c r="B4386" i="14"/>
  <c r="D4386" i="14"/>
  <c r="A4387" i="14"/>
  <c r="D4387" i="14" l="1"/>
  <c r="C4387" i="14"/>
  <c r="E4387" i="14" s="1"/>
  <c r="B4387" i="14"/>
  <c r="A4388" i="14"/>
  <c r="D4388" i="14" l="1"/>
  <c r="C4388" i="14"/>
  <c r="E4388" i="14" s="1"/>
  <c r="B4388" i="14"/>
  <c r="A4389" i="14"/>
  <c r="D4389" i="14" l="1"/>
  <c r="C4389" i="14"/>
  <c r="E4389" i="14" s="1"/>
  <c r="B4389" i="14"/>
  <c r="A4390" i="14"/>
  <c r="D4390" i="14" l="1"/>
  <c r="C4390" i="14"/>
  <c r="E4390" i="14" s="1"/>
  <c r="B4390" i="14"/>
  <c r="A4391" i="14"/>
  <c r="B4391" i="14" l="1"/>
  <c r="D4391" i="14"/>
  <c r="C4391" i="14"/>
  <c r="E4391" i="14" s="1"/>
  <c r="A4392" i="14"/>
  <c r="D4392" i="14" l="1"/>
  <c r="C4392" i="14"/>
  <c r="E4392" i="14" s="1"/>
  <c r="B4392" i="14"/>
  <c r="A4393" i="14"/>
  <c r="D4393" i="14" l="1"/>
  <c r="C4393" i="14"/>
  <c r="E4393" i="14" s="1"/>
  <c r="B4393" i="14"/>
  <c r="A4394" i="14"/>
  <c r="C4394" i="14" l="1"/>
  <c r="E4394" i="14" s="1"/>
  <c r="B4394" i="14"/>
  <c r="D4394" i="14"/>
  <c r="A4395" i="14"/>
  <c r="D4395" i="14" l="1"/>
  <c r="C4395" i="14"/>
  <c r="E4395" i="14" s="1"/>
  <c r="B4395" i="14"/>
  <c r="A4396" i="14"/>
  <c r="D4396" i="14" l="1"/>
  <c r="C4396" i="14"/>
  <c r="E4396" i="14" s="1"/>
  <c r="B4396" i="14"/>
  <c r="A4397" i="14"/>
  <c r="D4397" i="14" l="1"/>
  <c r="C4397" i="14"/>
  <c r="E4397" i="14" s="1"/>
  <c r="B4397" i="14"/>
  <c r="A4398" i="14"/>
  <c r="D4398" i="14" l="1"/>
  <c r="C4398" i="14"/>
  <c r="E4398" i="14" s="1"/>
  <c r="B4398" i="14"/>
  <c r="A4399" i="14"/>
  <c r="B4399" i="14" l="1"/>
  <c r="D4399" i="14"/>
  <c r="C4399" i="14"/>
  <c r="E4399" i="14" s="1"/>
  <c r="A4400" i="14"/>
  <c r="D4400" i="14" l="1"/>
  <c r="C4400" i="14"/>
  <c r="E4400" i="14" s="1"/>
  <c r="B4400" i="14"/>
  <c r="A4401" i="14"/>
  <c r="D4401" i="14" l="1"/>
  <c r="C4401" i="14"/>
  <c r="E4401" i="14" s="1"/>
  <c r="B4401" i="14"/>
  <c r="A4402" i="14"/>
  <c r="C4402" i="14" l="1"/>
  <c r="E4402" i="14" s="1"/>
  <c r="B4402" i="14"/>
  <c r="D4402" i="14"/>
  <c r="A4403" i="14"/>
  <c r="D4403" i="14" l="1"/>
  <c r="C4403" i="14"/>
  <c r="E4403" i="14" s="1"/>
  <c r="B4403" i="14"/>
  <c r="A4404" i="14"/>
  <c r="D4404" i="14" l="1"/>
  <c r="C4404" i="14"/>
  <c r="E4404" i="14" s="1"/>
  <c r="B4404" i="14"/>
  <c r="A4405" i="14"/>
  <c r="D4405" i="14" l="1"/>
  <c r="C4405" i="14"/>
  <c r="E4405" i="14" s="1"/>
  <c r="B4405" i="14"/>
  <c r="A4406" i="14"/>
  <c r="D4406" i="14" l="1"/>
  <c r="C4406" i="14"/>
  <c r="E4406" i="14" s="1"/>
  <c r="B4406" i="14"/>
  <c r="A4407" i="14"/>
  <c r="B4407" i="14" l="1"/>
  <c r="D4407" i="14"/>
  <c r="C4407" i="14"/>
  <c r="E4407" i="14" s="1"/>
  <c r="A4408" i="14"/>
  <c r="D4408" i="14" l="1"/>
  <c r="C4408" i="14"/>
  <c r="E4408" i="14" s="1"/>
  <c r="B4408" i="14"/>
  <c r="A4409" i="14"/>
  <c r="D4409" i="14" l="1"/>
  <c r="C4409" i="14"/>
  <c r="E4409" i="14" s="1"/>
  <c r="B4409" i="14"/>
  <c r="A4410" i="14"/>
  <c r="C4410" i="14" l="1"/>
  <c r="E4410" i="14" s="1"/>
  <c r="B4410" i="14"/>
  <c r="D4410" i="14"/>
  <c r="A4411" i="14"/>
  <c r="D4411" i="14" l="1"/>
  <c r="C4411" i="14"/>
  <c r="E4411" i="14" s="1"/>
  <c r="B4411" i="14"/>
  <c r="A4412" i="14"/>
  <c r="D4412" i="14" l="1"/>
  <c r="C4412" i="14"/>
  <c r="E4412" i="14" s="1"/>
  <c r="B4412" i="14"/>
  <c r="A4413" i="14"/>
  <c r="D4413" i="14" l="1"/>
  <c r="C4413" i="14"/>
  <c r="E4413" i="14" s="1"/>
  <c r="B4413" i="14"/>
  <c r="A4414" i="14"/>
  <c r="D4414" i="14" l="1"/>
  <c r="C4414" i="14"/>
  <c r="E4414" i="14" s="1"/>
  <c r="B4414" i="14"/>
  <c r="A4415" i="14"/>
  <c r="B4415" i="14" l="1"/>
  <c r="D4415" i="14"/>
  <c r="C4415" i="14"/>
  <c r="E4415" i="14" s="1"/>
  <c r="A4416" i="14"/>
  <c r="D4416" i="14" l="1"/>
  <c r="C4416" i="14"/>
  <c r="E4416" i="14" s="1"/>
  <c r="B4416" i="14"/>
  <c r="A4417" i="14"/>
  <c r="D4417" i="14" l="1"/>
  <c r="C4417" i="14"/>
  <c r="E4417" i="14" s="1"/>
  <c r="B4417" i="14"/>
  <c r="A4418" i="14"/>
  <c r="C4418" i="14" l="1"/>
  <c r="E4418" i="14" s="1"/>
  <c r="B4418" i="14"/>
  <c r="D4418" i="14"/>
  <c r="A4419" i="14"/>
  <c r="D4419" i="14" l="1"/>
  <c r="C4419" i="14"/>
  <c r="E4419" i="14" s="1"/>
  <c r="B4419" i="14"/>
  <c r="A4420" i="14"/>
  <c r="D4420" i="14" l="1"/>
  <c r="C4420" i="14"/>
  <c r="E4420" i="14" s="1"/>
  <c r="B4420" i="14"/>
  <c r="A4421" i="14"/>
  <c r="D4421" i="14" l="1"/>
  <c r="C4421" i="14"/>
  <c r="E4421" i="14" s="1"/>
  <c r="B4421" i="14"/>
  <c r="A4422" i="14"/>
  <c r="D4422" i="14" l="1"/>
  <c r="C4422" i="14"/>
  <c r="E4422" i="14" s="1"/>
  <c r="B4422" i="14"/>
  <c r="A4423" i="14"/>
  <c r="D4423" i="14" l="1"/>
  <c r="B4423" i="14"/>
  <c r="C4423" i="14"/>
  <c r="E4423" i="14" s="1"/>
  <c r="A4424" i="14"/>
  <c r="D4424" i="14" l="1"/>
  <c r="C4424" i="14"/>
  <c r="E4424" i="14" s="1"/>
  <c r="B4424" i="14"/>
  <c r="A4425" i="14"/>
  <c r="B4425" i="14" l="1"/>
  <c r="C4425" i="14"/>
  <c r="E4425" i="14" s="1"/>
  <c r="D4425" i="14"/>
  <c r="A4426" i="14"/>
  <c r="D4426" i="14" l="1"/>
  <c r="C4426" i="14"/>
  <c r="E4426" i="14" s="1"/>
  <c r="B4426" i="14"/>
  <c r="A4427" i="14"/>
  <c r="D4427" i="14" l="1"/>
  <c r="C4427" i="14"/>
  <c r="E4427" i="14" s="1"/>
  <c r="B4427" i="14"/>
  <c r="A4428" i="14"/>
  <c r="C4428" i="14" l="1"/>
  <c r="E4428" i="14" s="1"/>
  <c r="B4428" i="14"/>
  <c r="D4428" i="14"/>
  <c r="A4429" i="14"/>
  <c r="D4429" i="14" l="1"/>
  <c r="C4429" i="14"/>
  <c r="E4429" i="14" s="1"/>
  <c r="B4429" i="14"/>
  <c r="A4430" i="14"/>
  <c r="C4430" i="14" l="1"/>
  <c r="E4430" i="14" s="1"/>
  <c r="B4430" i="14"/>
  <c r="D4430" i="14"/>
  <c r="A4431" i="14"/>
  <c r="D4431" i="14" l="1"/>
  <c r="C4431" i="14"/>
  <c r="E4431" i="14" s="1"/>
  <c r="B4431" i="14"/>
  <c r="A4432" i="14"/>
  <c r="D4432" i="14" l="1"/>
  <c r="C4432" i="14"/>
  <c r="E4432" i="14" s="1"/>
  <c r="B4432" i="14"/>
  <c r="A4433" i="14"/>
  <c r="B4433" i="14" l="1"/>
  <c r="D4433" i="14"/>
  <c r="C4433" i="14"/>
  <c r="E4433" i="14" s="1"/>
  <c r="A4434" i="14"/>
  <c r="D4434" i="14" l="1"/>
  <c r="C4434" i="14"/>
  <c r="E4434" i="14" s="1"/>
  <c r="B4434" i="14"/>
  <c r="A4435" i="14"/>
  <c r="C4435" i="14" l="1"/>
  <c r="E4435" i="14" s="1"/>
  <c r="B4435" i="14"/>
  <c r="D4435" i="14"/>
  <c r="A4436" i="14"/>
  <c r="C4436" i="14" l="1"/>
  <c r="E4436" i="14" s="1"/>
  <c r="B4436" i="14"/>
  <c r="D4436" i="14"/>
  <c r="A4437" i="14"/>
  <c r="D4437" i="14" l="1"/>
  <c r="C4437" i="14"/>
  <c r="E4437" i="14" s="1"/>
  <c r="B4437" i="14"/>
  <c r="A4438" i="14"/>
  <c r="B4438" i="14" l="1"/>
  <c r="D4438" i="14"/>
  <c r="C4438" i="14"/>
  <c r="E4438" i="14" s="1"/>
  <c r="A4439" i="14"/>
  <c r="D4439" i="14" l="1"/>
  <c r="C4439" i="14"/>
  <c r="E4439" i="14" s="1"/>
  <c r="B4439" i="14"/>
  <c r="A4440" i="14"/>
  <c r="C4440" i="14" l="1"/>
  <c r="E4440" i="14" s="1"/>
  <c r="B4440" i="14"/>
  <c r="D4440" i="14"/>
  <c r="A4441" i="14"/>
  <c r="B4441" i="14" l="1"/>
  <c r="D4441" i="14"/>
  <c r="C4441" i="14"/>
  <c r="E4441" i="14" s="1"/>
  <c r="A4442" i="14"/>
  <c r="D4442" i="14" l="1"/>
  <c r="C4442" i="14"/>
  <c r="E4442" i="14" s="1"/>
  <c r="B4442" i="14"/>
  <c r="A4443" i="14"/>
  <c r="C4443" i="14" l="1"/>
  <c r="E4443" i="14" s="1"/>
  <c r="D4443" i="14"/>
  <c r="B4443" i="14"/>
  <c r="A4444" i="14"/>
  <c r="C4444" i="14" l="1"/>
  <c r="E4444" i="14" s="1"/>
  <c r="B4444" i="14"/>
  <c r="D4444" i="14"/>
  <c r="A4445" i="14"/>
  <c r="D4445" i="14" l="1"/>
  <c r="C4445" i="14"/>
  <c r="E4445" i="14" s="1"/>
  <c r="B4445" i="14"/>
  <c r="A4446" i="14"/>
  <c r="D4446" i="14" l="1"/>
  <c r="C4446" i="14"/>
  <c r="E4446" i="14" s="1"/>
  <c r="B4446" i="14"/>
  <c r="A4447" i="14"/>
  <c r="D4447" i="14" l="1"/>
  <c r="C4447" i="14"/>
  <c r="E4447" i="14" s="1"/>
  <c r="B4447" i="14"/>
  <c r="A4448" i="14"/>
  <c r="B4448" i="14" l="1"/>
  <c r="D4448" i="14"/>
  <c r="C4448" i="14"/>
  <c r="E4448" i="14" s="1"/>
  <c r="A4449" i="14"/>
  <c r="B4449" i="14" l="1"/>
  <c r="D4449" i="14"/>
  <c r="C4449" i="14"/>
  <c r="E4449" i="14" s="1"/>
  <c r="A4450" i="14"/>
  <c r="D4450" i="14" l="1"/>
  <c r="C4450" i="14"/>
  <c r="E4450" i="14" s="1"/>
  <c r="B4450" i="14"/>
  <c r="A4451" i="14"/>
  <c r="C4451" i="14" l="1"/>
  <c r="E4451" i="14" s="1"/>
  <c r="D4451" i="14"/>
  <c r="B4451" i="14"/>
  <c r="A4452" i="14"/>
  <c r="C4452" i="14" l="1"/>
  <c r="E4452" i="14" s="1"/>
  <c r="B4452" i="14"/>
  <c r="D4452" i="14"/>
  <c r="A4453" i="14"/>
  <c r="D4453" i="14" l="1"/>
  <c r="B4453" i="14"/>
  <c r="C4453" i="14"/>
  <c r="E4453" i="14" s="1"/>
  <c r="A4454" i="14"/>
  <c r="D4454" i="14" l="1"/>
  <c r="C4454" i="14"/>
  <c r="E4454" i="14" s="1"/>
  <c r="B4454" i="14"/>
  <c r="A4455" i="14"/>
  <c r="D4455" i="14" l="1"/>
  <c r="C4455" i="14"/>
  <c r="E4455" i="14" s="1"/>
  <c r="B4455" i="14"/>
  <c r="A4456" i="14"/>
  <c r="B4456" i="14" l="1"/>
  <c r="D4456" i="14"/>
  <c r="C4456" i="14"/>
  <c r="E4456" i="14" s="1"/>
  <c r="A4457" i="14"/>
  <c r="C4457" i="14" l="1"/>
  <c r="E4457" i="14" s="1"/>
  <c r="B4457" i="14"/>
  <c r="D4457" i="14"/>
  <c r="A4458" i="14"/>
  <c r="D4458" i="14" l="1"/>
  <c r="C4458" i="14"/>
  <c r="E4458" i="14" s="1"/>
  <c r="B4458" i="14"/>
  <c r="A4459" i="14"/>
  <c r="C4459" i="14" l="1"/>
  <c r="E4459" i="14" s="1"/>
  <c r="D4459" i="14"/>
  <c r="B4459" i="14"/>
  <c r="A4460" i="14"/>
  <c r="D4460" i="14" l="1"/>
  <c r="C4460" i="14"/>
  <c r="E4460" i="14" s="1"/>
  <c r="B4460" i="14"/>
  <c r="A4461" i="14"/>
  <c r="D4461" i="14" l="1"/>
  <c r="B4461" i="14"/>
  <c r="C4461" i="14"/>
  <c r="E4461" i="14" s="1"/>
  <c r="A4462" i="14"/>
  <c r="B4462" i="14" l="1"/>
  <c r="D4462" i="14"/>
  <c r="C4462" i="14"/>
  <c r="E4462" i="14" s="1"/>
  <c r="A4463" i="14"/>
  <c r="D4463" i="14" l="1"/>
  <c r="C4463" i="14"/>
  <c r="E4463" i="14" s="1"/>
  <c r="B4463" i="14"/>
  <c r="A4464" i="14"/>
  <c r="D4464" i="14" l="1"/>
  <c r="B4464" i="14"/>
  <c r="C4464" i="14"/>
  <c r="E4464" i="14" s="1"/>
  <c r="A4465" i="14"/>
  <c r="C4465" i="14" l="1"/>
  <c r="E4465" i="14" s="1"/>
  <c r="B4465" i="14"/>
  <c r="D4465" i="14"/>
  <c r="A4466" i="14"/>
  <c r="D4466" i="14" l="1"/>
  <c r="C4466" i="14"/>
  <c r="E4466" i="14" s="1"/>
  <c r="B4466" i="14"/>
  <c r="A4467" i="14"/>
  <c r="C4467" i="14" l="1"/>
  <c r="E4467" i="14" s="1"/>
  <c r="B4467" i="14"/>
  <c r="D4467" i="14"/>
  <c r="A4468" i="14"/>
  <c r="D4468" i="14" l="1"/>
  <c r="C4468" i="14"/>
  <c r="E4468" i="14" s="1"/>
  <c r="B4468" i="14"/>
  <c r="A4469" i="14"/>
  <c r="D4469" i="14" l="1"/>
  <c r="C4469" i="14"/>
  <c r="E4469" i="14" s="1"/>
  <c r="B4469" i="14"/>
  <c r="A4470" i="14"/>
  <c r="B4470" i="14" l="1"/>
  <c r="D4470" i="14"/>
  <c r="C4470" i="14"/>
  <c r="E4470" i="14" s="1"/>
  <c r="A4471" i="14"/>
  <c r="D4471" i="14" l="1"/>
  <c r="C4471" i="14"/>
  <c r="E4471" i="14" s="1"/>
  <c r="B4471" i="14"/>
  <c r="A4472" i="14"/>
  <c r="D4472" i="14" l="1"/>
  <c r="B4472" i="14"/>
  <c r="C4472" i="14"/>
  <c r="E4472" i="14" s="1"/>
  <c r="A4473" i="14"/>
  <c r="C4473" i="14" l="1"/>
  <c r="E4473" i="14" s="1"/>
  <c r="B4473" i="14"/>
  <c r="D4473" i="14"/>
  <c r="A4474" i="14"/>
  <c r="D4474" i="14" l="1"/>
  <c r="C4474" i="14"/>
  <c r="E4474" i="14" s="1"/>
  <c r="B4474" i="14"/>
  <c r="A4475" i="14"/>
  <c r="C4475" i="14" l="1"/>
  <c r="E4475" i="14" s="1"/>
  <c r="D4475" i="14"/>
  <c r="B4475" i="14"/>
  <c r="A4476" i="14"/>
  <c r="D4476" i="14" l="1"/>
  <c r="C4476" i="14"/>
  <c r="E4476" i="14" s="1"/>
  <c r="B4476" i="14"/>
  <c r="A4477" i="14"/>
  <c r="D4477" i="14" l="1"/>
  <c r="C4477" i="14"/>
  <c r="E4477" i="14" s="1"/>
  <c r="B4477" i="14"/>
  <c r="A4478" i="14"/>
  <c r="B4478" i="14" l="1"/>
  <c r="D4478" i="14"/>
  <c r="C4478" i="14"/>
  <c r="E4478" i="14" s="1"/>
  <c r="A4479" i="14"/>
  <c r="D4479" i="14" l="1"/>
  <c r="C4479" i="14"/>
  <c r="E4479" i="14" s="1"/>
  <c r="B4479" i="14"/>
  <c r="A4480" i="14"/>
  <c r="D4480" i="14" l="1"/>
  <c r="B4480" i="14"/>
  <c r="C4480" i="14"/>
  <c r="E4480" i="14" s="1"/>
  <c r="A4481" i="14"/>
  <c r="C4481" i="14" l="1"/>
  <c r="E4481" i="14" s="1"/>
  <c r="B4481" i="14"/>
  <c r="D4481" i="14"/>
  <c r="A4482" i="14"/>
  <c r="D4482" i="14" l="1"/>
  <c r="C4482" i="14"/>
  <c r="E4482" i="14" s="1"/>
  <c r="B4482" i="14"/>
  <c r="A4483" i="14"/>
  <c r="C4483" i="14" l="1"/>
  <c r="E4483" i="14" s="1"/>
  <c r="D4483" i="14"/>
  <c r="B4483" i="14"/>
  <c r="A4484" i="14"/>
  <c r="D4484" i="14" l="1"/>
  <c r="C4484" i="14"/>
  <c r="E4484" i="14" s="1"/>
  <c r="B4484" i="14"/>
  <c r="A4485" i="14"/>
  <c r="D4485" i="14" l="1"/>
  <c r="C4485" i="14"/>
  <c r="E4485" i="14" s="1"/>
  <c r="B4485" i="14"/>
  <c r="A4486" i="14"/>
  <c r="B4486" i="14" l="1"/>
  <c r="D4486" i="14"/>
  <c r="C4486" i="14"/>
  <c r="E4486" i="14" s="1"/>
  <c r="A4487" i="14"/>
  <c r="D4487" i="14" l="1"/>
  <c r="C4487" i="14"/>
  <c r="E4487" i="14" s="1"/>
  <c r="B4487" i="14"/>
  <c r="A4488" i="14"/>
  <c r="D4488" i="14" l="1"/>
  <c r="B4488" i="14"/>
  <c r="C4488" i="14"/>
  <c r="E4488" i="14" s="1"/>
  <c r="A4489" i="14"/>
  <c r="C4489" i="14" l="1"/>
  <c r="E4489" i="14" s="1"/>
  <c r="B4489" i="14"/>
  <c r="D4489" i="14"/>
  <c r="A4490" i="14"/>
  <c r="D4490" i="14" l="1"/>
  <c r="C4490" i="14"/>
  <c r="E4490" i="14" s="1"/>
  <c r="B4490" i="14"/>
  <c r="A4491" i="14"/>
  <c r="C4491" i="14" l="1"/>
  <c r="E4491" i="14" s="1"/>
  <c r="D4491" i="14"/>
  <c r="B4491" i="14"/>
  <c r="A4492" i="14"/>
  <c r="D4492" i="14" l="1"/>
  <c r="C4492" i="14"/>
  <c r="E4492" i="14" s="1"/>
  <c r="B4492" i="14"/>
  <c r="A4493" i="14"/>
  <c r="D4493" i="14" l="1"/>
  <c r="C4493" i="14"/>
  <c r="E4493" i="14" s="1"/>
  <c r="B4493" i="14"/>
  <c r="A4494" i="14"/>
  <c r="B4494" i="14" l="1"/>
  <c r="D4494" i="14"/>
  <c r="C4494" i="14"/>
  <c r="E4494" i="14" s="1"/>
  <c r="A4495" i="14"/>
  <c r="D4495" i="14" l="1"/>
  <c r="C4495" i="14"/>
  <c r="E4495" i="14" s="1"/>
  <c r="B4495" i="14"/>
  <c r="A4496" i="14"/>
  <c r="D4496" i="14" l="1"/>
  <c r="B4496" i="14"/>
  <c r="C4496" i="14"/>
  <c r="E4496" i="14" s="1"/>
  <c r="A4497" i="14"/>
  <c r="C4497" i="14" l="1"/>
  <c r="E4497" i="14" s="1"/>
  <c r="B4497" i="14"/>
  <c r="D4497" i="14"/>
  <c r="A4498" i="14"/>
  <c r="D4498" i="14" l="1"/>
  <c r="C4498" i="14"/>
  <c r="E4498" i="14" s="1"/>
  <c r="B4498" i="14"/>
  <c r="A4499" i="14"/>
  <c r="D4499" i="14" l="1"/>
  <c r="C4499" i="14"/>
  <c r="E4499" i="14" s="1"/>
  <c r="B4499" i="14"/>
  <c r="A4500" i="14"/>
  <c r="D4500" i="14" l="1"/>
  <c r="C4500" i="14"/>
  <c r="E4500" i="14" s="1"/>
  <c r="B4500" i="14"/>
  <c r="A4501" i="14"/>
  <c r="D4501" i="14" l="1"/>
  <c r="C4501" i="14"/>
  <c r="E4501" i="14" s="1"/>
  <c r="B4501" i="14"/>
  <c r="A4502" i="14"/>
  <c r="B4502" i="14" l="1"/>
  <c r="D4502" i="14"/>
  <c r="C4502" i="14"/>
  <c r="E4502" i="14" s="1"/>
  <c r="A4503" i="14"/>
  <c r="D4503" i="14" l="1"/>
  <c r="C4503" i="14"/>
  <c r="E4503" i="14" s="1"/>
  <c r="B4503" i="14"/>
  <c r="A4504" i="14"/>
  <c r="D4504" i="14" l="1"/>
  <c r="C4504" i="14"/>
  <c r="E4504" i="14" s="1"/>
  <c r="B4504" i="14"/>
  <c r="A4505" i="14"/>
  <c r="C4505" i="14" l="1"/>
  <c r="E4505" i="14" s="1"/>
  <c r="B4505" i="14"/>
  <c r="D4505" i="14"/>
  <c r="A4506" i="14"/>
  <c r="D4506" i="14" l="1"/>
  <c r="C4506" i="14"/>
  <c r="E4506" i="14" s="1"/>
  <c r="B4506" i="14"/>
  <c r="A4507" i="14"/>
  <c r="D4507" i="14" l="1"/>
  <c r="C4507" i="14"/>
  <c r="E4507" i="14" s="1"/>
  <c r="B4507" i="14"/>
  <c r="A4508" i="14"/>
  <c r="D4508" i="14" l="1"/>
  <c r="C4508" i="14"/>
  <c r="E4508" i="14" s="1"/>
  <c r="B4508" i="14"/>
  <c r="A4509" i="14"/>
  <c r="D4509" i="14" l="1"/>
  <c r="C4509" i="14"/>
  <c r="E4509" i="14" s="1"/>
  <c r="B4509" i="14"/>
  <c r="A4510" i="14"/>
  <c r="B4510" i="14" l="1"/>
  <c r="D4510" i="14"/>
  <c r="C4510" i="14"/>
  <c r="E4510" i="14" s="1"/>
  <c r="A4511" i="14"/>
  <c r="D4511" i="14" l="1"/>
  <c r="C4511" i="14"/>
  <c r="E4511" i="14" s="1"/>
  <c r="B4511" i="14"/>
  <c r="A4512" i="14"/>
  <c r="D4512" i="14" l="1"/>
  <c r="C4512" i="14"/>
  <c r="E4512" i="14" s="1"/>
  <c r="B4512" i="14"/>
  <c r="A4513" i="14"/>
  <c r="C4513" i="14" l="1"/>
  <c r="E4513" i="14" s="1"/>
  <c r="B4513" i="14"/>
  <c r="D4513" i="14"/>
  <c r="A4514" i="14"/>
  <c r="D4514" i="14" l="1"/>
  <c r="C4514" i="14"/>
  <c r="E4514" i="14" s="1"/>
  <c r="B4514" i="14"/>
  <c r="A4515" i="14"/>
  <c r="D4515" i="14" l="1"/>
  <c r="C4515" i="14"/>
  <c r="E4515" i="14" s="1"/>
  <c r="B4515" i="14"/>
  <c r="A4516" i="14"/>
  <c r="D4516" i="14" l="1"/>
  <c r="C4516" i="14"/>
  <c r="E4516" i="14" s="1"/>
  <c r="B4516" i="14"/>
  <c r="A4517" i="14"/>
  <c r="D4517" i="14" l="1"/>
  <c r="C4517" i="14"/>
  <c r="E4517" i="14" s="1"/>
  <c r="B4517" i="14"/>
  <c r="A4518" i="14"/>
  <c r="B4518" i="14" l="1"/>
  <c r="D4518" i="14"/>
  <c r="C4518" i="14"/>
  <c r="E4518" i="14" s="1"/>
  <c r="A4519" i="14"/>
  <c r="D4519" i="14" l="1"/>
  <c r="C4519" i="14"/>
  <c r="E4519" i="14" s="1"/>
  <c r="B4519" i="14"/>
  <c r="A4520" i="14"/>
  <c r="D4520" i="14" l="1"/>
  <c r="C4520" i="14"/>
  <c r="E4520" i="14" s="1"/>
  <c r="B4520" i="14"/>
  <c r="A4521" i="14"/>
  <c r="C4521" i="14" l="1"/>
  <c r="E4521" i="14" s="1"/>
  <c r="B4521" i="14"/>
  <c r="D4521" i="14"/>
  <c r="A4522" i="14"/>
  <c r="D4522" i="14" l="1"/>
  <c r="C4522" i="14"/>
  <c r="E4522" i="14" s="1"/>
  <c r="B4522" i="14"/>
  <c r="A4523" i="14"/>
  <c r="D4523" i="14" l="1"/>
  <c r="C4523" i="14"/>
  <c r="E4523" i="14" s="1"/>
  <c r="B4523" i="14"/>
  <c r="A4524" i="14"/>
  <c r="D4524" i="14" l="1"/>
  <c r="C4524" i="14"/>
  <c r="E4524" i="14" s="1"/>
  <c r="B4524" i="14"/>
  <c r="A4525" i="14"/>
  <c r="D4525" i="14" l="1"/>
  <c r="C4525" i="14"/>
  <c r="E4525" i="14" s="1"/>
  <c r="B4525" i="14"/>
  <c r="A4526" i="14"/>
  <c r="B4526" i="14" l="1"/>
  <c r="D4526" i="14"/>
  <c r="C4526" i="14"/>
  <c r="E4526" i="14" s="1"/>
  <c r="A4527" i="14"/>
  <c r="D4527" i="14" l="1"/>
  <c r="C4527" i="14"/>
  <c r="E4527" i="14" s="1"/>
  <c r="B4527" i="14"/>
  <c r="A4528" i="14"/>
  <c r="D4528" i="14" l="1"/>
  <c r="C4528" i="14"/>
  <c r="E4528" i="14" s="1"/>
  <c r="B4528" i="14"/>
  <c r="A4529" i="14"/>
  <c r="C4529" i="14" l="1"/>
  <c r="E4529" i="14" s="1"/>
  <c r="B4529" i="14"/>
  <c r="D4529" i="14"/>
  <c r="A4530" i="14"/>
  <c r="D4530" i="14" l="1"/>
  <c r="C4530" i="14"/>
  <c r="E4530" i="14" s="1"/>
  <c r="B4530" i="14"/>
  <c r="A4531" i="14"/>
  <c r="D4531" i="14" l="1"/>
  <c r="C4531" i="14"/>
  <c r="E4531" i="14" s="1"/>
  <c r="B4531" i="14"/>
  <c r="A4532" i="14"/>
  <c r="D4532" i="14" l="1"/>
  <c r="C4532" i="14"/>
  <c r="E4532" i="14" s="1"/>
  <c r="B4532" i="14"/>
  <c r="A4533" i="14"/>
  <c r="D4533" i="14" l="1"/>
  <c r="C4533" i="14"/>
  <c r="E4533" i="14" s="1"/>
  <c r="B4533" i="14"/>
  <c r="A4534" i="14"/>
  <c r="B4534" i="14" l="1"/>
  <c r="D4534" i="14"/>
  <c r="C4534" i="14"/>
  <c r="E4534" i="14" s="1"/>
  <c r="A4535" i="14"/>
  <c r="D4535" i="14" l="1"/>
  <c r="C4535" i="14"/>
  <c r="E4535" i="14" s="1"/>
  <c r="B4535" i="14"/>
  <c r="A4536" i="14"/>
  <c r="D4536" i="14" l="1"/>
  <c r="C4536" i="14"/>
  <c r="E4536" i="14" s="1"/>
  <c r="B4536" i="14"/>
  <c r="A4537" i="14"/>
  <c r="C4537" i="14" l="1"/>
  <c r="E4537" i="14" s="1"/>
  <c r="B4537" i="14"/>
  <c r="D4537" i="14"/>
  <c r="A4538" i="14"/>
  <c r="D4538" i="14" l="1"/>
  <c r="C4538" i="14"/>
  <c r="E4538" i="14" s="1"/>
  <c r="B4538" i="14"/>
  <c r="A4539" i="14"/>
  <c r="D4539" i="14" l="1"/>
  <c r="C4539" i="14"/>
  <c r="E4539" i="14" s="1"/>
  <c r="B4539" i="14"/>
  <c r="A4540" i="14"/>
  <c r="D4540" i="14" l="1"/>
  <c r="C4540" i="14"/>
  <c r="E4540" i="14" s="1"/>
  <c r="B4540" i="14"/>
  <c r="A4541" i="14"/>
  <c r="D4541" i="14" l="1"/>
  <c r="C4541" i="14"/>
  <c r="E4541" i="14" s="1"/>
  <c r="B4541" i="14"/>
  <c r="A4542" i="14"/>
  <c r="B4542" i="14" l="1"/>
  <c r="D4542" i="14"/>
  <c r="C4542" i="14"/>
  <c r="E4542" i="14" s="1"/>
  <c r="A4543" i="14"/>
  <c r="D4543" i="14" l="1"/>
  <c r="C4543" i="14"/>
  <c r="E4543" i="14" s="1"/>
  <c r="B4543" i="14"/>
  <c r="A4544" i="14"/>
  <c r="D4544" i="14" l="1"/>
  <c r="C4544" i="14"/>
  <c r="E4544" i="14" s="1"/>
  <c r="B4544" i="14"/>
  <c r="A4545" i="14"/>
  <c r="C4545" i="14" l="1"/>
  <c r="E4545" i="14" s="1"/>
  <c r="B4545" i="14"/>
  <c r="D4545" i="14"/>
  <c r="A4546" i="14"/>
  <c r="D4546" i="14" l="1"/>
  <c r="C4546" i="14"/>
  <c r="E4546" i="14" s="1"/>
  <c r="B4546" i="14"/>
  <c r="A4547" i="14"/>
  <c r="D4547" i="14" l="1"/>
  <c r="C4547" i="14"/>
  <c r="E4547" i="14" s="1"/>
  <c r="B4547" i="14"/>
  <c r="A4548" i="14"/>
  <c r="D4548" i="14" l="1"/>
  <c r="C4548" i="14"/>
  <c r="E4548" i="14" s="1"/>
  <c r="B4548" i="14"/>
  <c r="A4549" i="14"/>
  <c r="D4549" i="14" l="1"/>
  <c r="C4549" i="14"/>
  <c r="E4549" i="14" s="1"/>
  <c r="B4549" i="14"/>
  <c r="A4550" i="14"/>
  <c r="B4550" i="14" l="1"/>
  <c r="D4550" i="14"/>
  <c r="C4550" i="14"/>
  <c r="E4550" i="14" s="1"/>
  <c r="A4551" i="14"/>
  <c r="D4551" i="14" l="1"/>
  <c r="C4551" i="14"/>
  <c r="E4551" i="14" s="1"/>
  <c r="B4551" i="14"/>
  <c r="A4552" i="14"/>
  <c r="D4552" i="14" l="1"/>
  <c r="C4552" i="14"/>
  <c r="E4552" i="14" s="1"/>
  <c r="B4552" i="14"/>
  <c r="A4553" i="14"/>
  <c r="C4553" i="14" l="1"/>
  <c r="E4553" i="14" s="1"/>
  <c r="B4553" i="14"/>
  <c r="D4553" i="14"/>
  <c r="A4554" i="14"/>
  <c r="D4554" i="14" l="1"/>
  <c r="C4554" i="14"/>
  <c r="E4554" i="14" s="1"/>
  <c r="B4554" i="14"/>
  <c r="A4555" i="14"/>
  <c r="D4555" i="14" l="1"/>
  <c r="C4555" i="14"/>
  <c r="E4555" i="14" s="1"/>
  <c r="B4555" i="14"/>
  <c r="A4556" i="14"/>
  <c r="D4556" i="14" l="1"/>
  <c r="C4556" i="14"/>
  <c r="E4556" i="14" s="1"/>
  <c r="B4556" i="14"/>
  <c r="A4557" i="14"/>
  <c r="D4557" i="14" l="1"/>
  <c r="C4557" i="14"/>
  <c r="E4557" i="14" s="1"/>
  <c r="B4557" i="14"/>
  <c r="A4558" i="14"/>
  <c r="B4558" i="14" l="1"/>
  <c r="D4558" i="14"/>
  <c r="C4558" i="14"/>
  <c r="E4558" i="14" s="1"/>
  <c r="A4559" i="14"/>
  <c r="D4559" i="14" l="1"/>
  <c r="C4559" i="14"/>
  <c r="E4559" i="14" s="1"/>
  <c r="B4559" i="14"/>
  <c r="A4560" i="14"/>
  <c r="D4560" i="14" l="1"/>
  <c r="C4560" i="14"/>
  <c r="E4560" i="14" s="1"/>
  <c r="B4560" i="14"/>
  <c r="A4561" i="14"/>
  <c r="C4561" i="14" l="1"/>
  <c r="E4561" i="14" s="1"/>
  <c r="B4561" i="14"/>
  <c r="D4561" i="14"/>
  <c r="A4562" i="14"/>
  <c r="D4562" i="14" l="1"/>
  <c r="C4562" i="14"/>
  <c r="E4562" i="14" s="1"/>
  <c r="B4562" i="14"/>
  <c r="A4563" i="14"/>
  <c r="D4563" i="14" l="1"/>
  <c r="C4563" i="14"/>
  <c r="E4563" i="14" s="1"/>
  <c r="B4563" i="14"/>
  <c r="A4564" i="14"/>
  <c r="D4564" i="14" l="1"/>
  <c r="C4564" i="14"/>
  <c r="E4564" i="14" s="1"/>
  <c r="B4564" i="14"/>
  <c r="A4565" i="14"/>
  <c r="D4565" i="14" l="1"/>
  <c r="C4565" i="14"/>
  <c r="E4565" i="14" s="1"/>
  <c r="B4565" i="14"/>
  <c r="A4566" i="14"/>
  <c r="B4566" i="14" l="1"/>
  <c r="D4566" i="14"/>
  <c r="C4566" i="14"/>
  <c r="E4566" i="14" s="1"/>
  <c r="A4567" i="14"/>
  <c r="D4567" i="14" l="1"/>
  <c r="C4567" i="14"/>
  <c r="E4567" i="14" s="1"/>
  <c r="B4567" i="14"/>
  <c r="A4568" i="14"/>
  <c r="D4568" i="14" l="1"/>
  <c r="C4568" i="14"/>
  <c r="E4568" i="14" s="1"/>
  <c r="B4568" i="14"/>
  <c r="A4569" i="14"/>
  <c r="C4569" i="14" l="1"/>
  <c r="E4569" i="14" s="1"/>
  <c r="B4569" i="14"/>
  <c r="D4569" i="14"/>
  <c r="A4570" i="14"/>
  <c r="D4570" i="14" l="1"/>
  <c r="C4570" i="14"/>
  <c r="E4570" i="14" s="1"/>
  <c r="B4570" i="14"/>
  <c r="A4571" i="14"/>
  <c r="D4571" i="14" l="1"/>
  <c r="C4571" i="14"/>
  <c r="E4571" i="14" s="1"/>
  <c r="B4571" i="14"/>
  <c r="A4572" i="14"/>
  <c r="E4572" i="14" l="1"/>
  <c r="D4572" i="14"/>
  <c r="C4572" i="14"/>
  <c r="B4572" i="14"/>
  <c r="A4573" i="14"/>
  <c r="D4573" i="14" l="1"/>
  <c r="C4573" i="14"/>
  <c r="B4573" i="14"/>
  <c r="A4574" i="14"/>
  <c r="E4573" i="14"/>
  <c r="B4574" i="14" l="1"/>
  <c r="D4574" i="14"/>
  <c r="C4574" i="14"/>
  <c r="E4574" i="14" s="1"/>
  <c r="A4575" i="14"/>
  <c r="D4575" i="14" l="1"/>
  <c r="C4575" i="14"/>
  <c r="E4575" i="14" s="1"/>
  <c r="B4575" i="14"/>
  <c r="A4576" i="14"/>
  <c r="D4576" i="14" l="1"/>
  <c r="C4576" i="14"/>
  <c r="E4576" i="14" s="1"/>
  <c r="B4576" i="14"/>
  <c r="A4577" i="14"/>
  <c r="C4577" i="14" l="1"/>
  <c r="E4577" i="14" s="1"/>
  <c r="B4577" i="14"/>
  <c r="D4577" i="14"/>
  <c r="A4578" i="14"/>
  <c r="D4578" i="14" l="1"/>
  <c r="C4578" i="14"/>
  <c r="E4578" i="14" s="1"/>
  <c r="B4578" i="14"/>
  <c r="A4579" i="14"/>
  <c r="D4579" i="14" l="1"/>
  <c r="C4579" i="14"/>
  <c r="E4579" i="14" s="1"/>
  <c r="B4579" i="14"/>
  <c r="A4580" i="14"/>
  <c r="D4580" i="14" l="1"/>
  <c r="C4580" i="14"/>
  <c r="E4580" i="14" s="1"/>
  <c r="B4580" i="14"/>
  <c r="A4581" i="14"/>
  <c r="D4581" i="14" l="1"/>
  <c r="C4581" i="14"/>
  <c r="E4581" i="14" s="1"/>
  <c r="B4581" i="14"/>
  <c r="A4582" i="14"/>
  <c r="B4582" i="14" l="1"/>
  <c r="D4582" i="14"/>
  <c r="C4582" i="14"/>
  <c r="E4582" i="14" s="1"/>
  <c r="A4583" i="14"/>
  <c r="D4583" i="14" l="1"/>
  <c r="C4583" i="14"/>
  <c r="E4583" i="14" s="1"/>
  <c r="B4583" i="14"/>
  <c r="A4584" i="14"/>
  <c r="D4584" i="14" l="1"/>
  <c r="C4584" i="14"/>
  <c r="E4584" i="14" s="1"/>
  <c r="B4584" i="14"/>
  <c r="A4585" i="14"/>
  <c r="C4585" i="14" l="1"/>
  <c r="E4585" i="14" s="1"/>
  <c r="B4585" i="14"/>
  <c r="D4585" i="14"/>
  <c r="A4586" i="14"/>
  <c r="D4586" i="14" l="1"/>
  <c r="C4586" i="14"/>
  <c r="E4586" i="14" s="1"/>
  <c r="B4586" i="14"/>
  <c r="A4587" i="14"/>
  <c r="D4587" i="14" l="1"/>
  <c r="C4587" i="14"/>
  <c r="E4587" i="14" s="1"/>
  <c r="B4587" i="14"/>
  <c r="A4588" i="14"/>
  <c r="D4588" i="14" l="1"/>
  <c r="C4588" i="14"/>
  <c r="E4588" i="14" s="1"/>
  <c r="B4588" i="14"/>
  <c r="A4589" i="14"/>
  <c r="D4589" i="14" l="1"/>
  <c r="C4589" i="14"/>
  <c r="E4589" i="14" s="1"/>
  <c r="B4589" i="14"/>
  <c r="A4590" i="14"/>
  <c r="B4590" i="14" l="1"/>
  <c r="D4590" i="14"/>
  <c r="C4590" i="14"/>
  <c r="E4590" i="14" s="1"/>
  <c r="A4591" i="14"/>
  <c r="D4591" i="14" l="1"/>
  <c r="C4591" i="14"/>
  <c r="E4591" i="14" s="1"/>
  <c r="B4591" i="14"/>
  <c r="A4592" i="14"/>
  <c r="D4592" i="14" l="1"/>
  <c r="C4592" i="14"/>
  <c r="E4592" i="14" s="1"/>
  <c r="B4592" i="14"/>
  <c r="A4593" i="14"/>
  <c r="C4593" i="14" l="1"/>
  <c r="E4593" i="14" s="1"/>
  <c r="B4593" i="14"/>
  <c r="D4593" i="14"/>
  <c r="A4594" i="14"/>
  <c r="D4594" i="14" l="1"/>
  <c r="C4594" i="14"/>
  <c r="E4594" i="14" s="1"/>
  <c r="B4594" i="14"/>
  <c r="A4595" i="14"/>
  <c r="D4595" i="14" l="1"/>
  <c r="C4595" i="14"/>
  <c r="E4595" i="14" s="1"/>
  <c r="B4595" i="14"/>
  <c r="A4596" i="14"/>
  <c r="D4596" i="14" l="1"/>
  <c r="C4596" i="14"/>
  <c r="E4596" i="14" s="1"/>
  <c r="B4596" i="14"/>
  <c r="A4597" i="14"/>
  <c r="D4597" i="14" l="1"/>
  <c r="C4597" i="14"/>
  <c r="E4597" i="14" s="1"/>
  <c r="B4597" i="14"/>
  <c r="A4598" i="14"/>
  <c r="B4598" i="14" l="1"/>
  <c r="D4598" i="14"/>
  <c r="C4598" i="14"/>
  <c r="E4598" i="14" s="1"/>
  <c r="A4599" i="14"/>
  <c r="D4599" i="14" l="1"/>
  <c r="C4599" i="14"/>
  <c r="E4599" i="14" s="1"/>
  <c r="B4599" i="14"/>
  <c r="A4600" i="14"/>
  <c r="D4600" i="14" l="1"/>
  <c r="C4600" i="14"/>
  <c r="E4600" i="14" s="1"/>
  <c r="B4600" i="14"/>
  <c r="A4601" i="14"/>
  <c r="C4601" i="14" l="1"/>
  <c r="E4601" i="14" s="1"/>
  <c r="B4601" i="14"/>
  <c r="D4601" i="14"/>
  <c r="A4602" i="14"/>
  <c r="D4602" i="14" l="1"/>
  <c r="C4602" i="14"/>
  <c r="E4602" i="14" s="1"/>
  <c r="B4602" i="14"/>
  <c r="A4603" i="14"/>
  <c r="D4603" i="14" l="1"/>
  <c r="C4603" i="14"/>
  <c r="E4603" i="14" s="1"/>
  <c r="B4603" i="14"/>
  <c r="A4604" i="14"/>
  <c r="D4604" i="14" l="1"/>
  <c r="C4604" i="14"/>
  <c r="E4604" i="14" s="1"/>
  <c r="B4604" i="14"/>
  <c r="A4605" i="14"/>
  <c r="D4605" i="14" l="1"/>
  <c r="C4605" i="14"/>
  <c r="E4605" i="14" s="1"/>
  <c r="B4605" i="14"/>
  <c r="A4606" i="14"/>
  <c r="B4606" i="14" l="1"/>
  <c r="D4606" i="14"/>
  <c r="C4606" i="14"/>
  <c r="E4606" i="14" s="1"/>
  <c r="A4607" i="14"/>
  <c r="D4607" i="14" l="1"/>
  <c r="C4607" i="14"/>
  <c r="E4607" i="14" s="1"/>
  <c r="B4607" i="14"/>
  <c r="A4608" i="14"/>
  <c r="D4608" i="14" l="1"/>
  <c r="C4608" i="14"/>
  <c r="E4608" i="14" s="1"/>
  <c r="B4608" i="14"/>
  <c r="A4609" i="14"/>
  <c r="C4609" i="14" l="1"/>
  <c r="E4609" i="14" s="1"/>
  <c r="B4609" i="14"/>
  <c r="D4609" i="14"/>
  <c r="A4610" i="14"/>
  <c r="D4610" i="14" l="1"/>
  <c r="C4610" i="14"/>
  <c r="E4610" i="14" s="1"/>
  <c r="B4610" i="14"/>
  <c r="A4611" i="14"/>
  <c r="D4611" i="14" l="1"/>
  <c r="C4611" i="14"/>
  <c r="E4611" i="14" s="1"/>
  <c r="B4611" i="14"/>
  <c r="A4612" i="14"/>
  <c r="D4612" i="14" l="1"/>
  <c r="C4612" i="14"/>
  <c r="E4612" i="14" s="1"/>
  <c r="B4612" i="14"/>
  <c r="A4613" i="14"/>
  <c r="D4613" i="14" l="1"/>
  <c r="C4613" i="14"/>
  <c r="E4613" i="14" s="1"/>
  <c r="B4613" i="14"/>
  <c r="A4614" i="14"/>
  <c r="C4614" i="14" l="1"/>
  <c r="E4614" i="14" s="1"/>
  <c r="B4614" i="14"/>
  <c r="D4614" i="14"/>
  <c r="A4615" i="14"/>
  <c r="C4615" i="14" l="1"/>
  <c r="E4615" i="14" s="1"/>
  <c r="D4615" i="14"/>
  <c r="B4615" i="14"/>
  <c r="A4616" i="14"/>
  <c r="B4616" i="14" l="1"/>
  <c r="D4616" i="14"/>
  <c r="C4616" i="14"/>
  <c r="E4616" i="14" s="1"/>
  <c r="A4617" i="14"/>
  <c r="D4617" i="14" l="1"/>
  <c r="C4617" i="14"/>
  <c r="E4617" i="14" s="1"/>
  <c r="B4617" i="14"/>
  <c r="A4618" i="14"/>
  <c r="D4618" i="14" l="1"/>
  <c r="C4618" i="14"/>
  <c r="E4618" i="14" s="1"/>
  <c r="B4618" i="14"/>
  <c r="A4619" i="14"/>
  <c r="D4619" i="14" l="1"/>
  <c r="C4619" i="14"/>
  <c r="E4619" i="14" s="1"/>
  <c r="B4619" i="14"/>
  <c r="A4620" i="14"/>
  <c r="B4620" i="14" l="1"/>
  <c r="D4620" i="14"/>
  <c r="C4620" i="14"/>
  <c r="E4620" i="14" s="1"/>
  <c r="A4621" i="14"/>
  <c r="D4621" i="14" l="1"/>
  <c r="C4621" i="14"/>
  <c r="E4621" i="14" s="1"/>
  <c r="B4621" i="14"/>
  <c r="A4622" i="14"/>
  <c r="D4622" i="14" l="1"/>
  <c r="C4622" i="14"/>
  <c r="E4622" i="14" s="1"/>
  <c r="B4622" i="14"/>
  <c r="A4623" i="14"/>
  <c r="C4623" i="14" l="1"/>
  <c r="E4623" i="14" s="1"/>
  <c r="D4623" i="14"/>
  <c r="B4623" i="14"/>
  <c r="A4624" i="14"/>
  <c r="D4624" i="14" l="1"/>
  <c r="C4624" i="14"/>
  <c r="E4624" i="14" s="1"/>
  <c r="B4624" i="14"/>
  <c r="A4625" i="14"/>
  <c r="C4625" i="14" l="1"/>
  <c r="E4625" i="14" s="1"/>
  <c r="B4625" i="14"/>
  <c r="D4625" i="14"/>
  <c r="A4626" i="14"/>
  <c r="D4626" i="14" l="1"/>
  <c r="C4626" i="14"/>
  <c r="E4626" i="14" s="1"/>
  <c r="B4626" i="14"/>
  <c r="A4627" i="14"/>
  <c r="B4627" i="14" l="1"/>
  <c r="D4627" i="14"/>
  <c r="C4627" i="14"/>
  <c r="E4627" i="14" s="1"/>
  <c r="A4628" i="14"/>
  <c r="B4628" i="14" l="1"/>
  <c r="D4628" i="14"/>
  <c r="C4628" i="14"/>
  <c r="E4628" i="14" s="1"/>
  <c r="A4629" i="14"/>
  <c r="D4629" i="14" l="1"/>
  <c r="C4629" i="14"/>
  <c r="E4629" i="14" s="1"/>
  <c r="B4629" i="14"/>
  <c r="A4630" i="14"/>
  <c r="D4630" i="14" l="1"/>
  <c r="C4630" i="14"/>
  <c r="E4630" i="14" s="1"/>
  <c r="B4630" i="14"/>
  <c r="A4631" i="14"/>
  <c r="C4631" i="14" l="1"/>
  <c r="E4631" i="14" s="1"/>
  <c r="D4631" i="14"/>
  <c r="B4631" i="14"/>
  <c r="A4632" i="14"/>
  <c r="D4632" i="14" l="1"/>
  <c r="C4632" i="14"/>
  <c r="E4632" i="14" s="1"/>
  <c r="B4632" i="14"/>
  <c r="A4633" i="14"/>
  <c r="D4633" i="14" l="1"/>
  <c r="C4633" i="14"/>
  <c r="E4633" i="14" s="1"/>
  <c r="B4633" i="14"/>
  <c r="A4634" i="14"/>
  <c r="D4634" i="14" l="1"/>
  <c r="C4634" i="14"/>
  <c r="E4634" i="14" s="1"/>
  <c r="B4634" i="14"/>
  <c r="A4635" i="14"/>
  <c r="D4635" i="14" l="1"/>
  <c r="C4635" i="14"/>
  <c r="E4635" i="14" s="1"/>
  <c r="B4635" i="14"/>
  <c r="A4636" i="14"/>
  <c r="B4636" i="14" l="1"/>
  <c r="C4636" i="14"/>
  <c r="E4636" i="14" s="1"/>
  <c r="D4636" i="14"/>
  <c r="A4637" i="14"/>
  <c r="D4637" i="14" l="1"/>
  <c r="C4637" i="14"/>
  <c r="E4637" i="14" s="1"/>
  <c r="B4637" i="14"/>
  <c r="A4638" i="14"/>
  <c r="B4638" i="14" l="1"/>
  <c r="D4638" i="14"/>
  <c r="C4638" i="14"/>
  <c r="E4638" i="14" s="1"/>
  <c r="A4639" i="14"/>
  <c r="C4639" i="14" l="1"/>
  <c r="E4639" i="14" s="1"/>
  <c r="D4639" i="14"/>
  <c r="B4639" i="14"/>
  <c r="A4640" i="14"/>
  <c r="D4640" i="14" l="1"/>
  <c r="C4640" i="14"/>
  <c r="E4640" i="14" s="1"/>
  <c r="B4640" i="14"/>
  <c r="A4641" i="14"/>
  <c r="D4641" i="14" l="1"/>
  <c r="C4641" i="14"/>
  <c r="E4641" i="14" s="1"/>
  <c r="B4641" i="14"/>
  <c r="A4642" i="14"/>
  <c r="D4642" i="14" l="1"/>
  <c r="C4642" i="14"/>
  <c r="E4642" i="14" s="1"/>
  <c r="B4642" i="14"/>
  <c r="A4643" i="14"/>
  <c r="D4643" i="14" l="1"/>
  <c r="C4643" i="14"/>
  <c r="E4643" i="14" s="1"/>
  <c r="B4643" i="14"/>
  <c r="A4644" i="14"/>
  <c r="B4644" i="14" l="1"/>
  <c r="D4644" i="14"/>
  <c r="C4644" i="14"/>
  <c r="E4644" i="14" s="1"/>
  <c r="A4645" i="14"/>
  <c r="C4645" i="14" l="1"/>
  <c r="E4645" i="14" s="1"/>
  <c r="B4645" i="14"/>
  <c r="D4645" i="14"/>
  <c r="A4646" i="14"/>
  <c r="D4646" i="14" l="1"/>
  <c r="C4646" i="14"/>
  <c r="E4646" i="14" s="1"/>
  <c r="B4646" i="14"/>
  <c r="A4647" i="14"/>
  <c r="C4647" i="14" l="1"/>
  <c r="E4647" i="14" s="1"/>
  <c r="B4647" i="14"/>
  <c r="D4647" i="14"/>
  <c r="A4648" i="14"/>
  <c r="D4648" i="14" l="1"/>
  <c r="C4648" i="14"/>
  <c r="E4648" i="14" s="1"/>
  <c r="B4648" i="14"/>
  <c r="A4649" i="14"/>
  <c r="B4649" i="14" l="1"/>
  <c r="D4649" i="14"/>
  <c r="C4649" i="14"/>
  <c r="E4649" i="14" s="1"/>
  <c r="A4650" i="14"/>
  <c r="D4650" i="14" l="1"/>
  <c r="C4650" i="14"/>
  <c r="E4650" i="14" s="1"/>
  <c r="B4650" i="14"/>
  <c r="A4651" i="14"/>
  <c r="D4651" i="14" l="1"/>
  <c r="C4651" i="14"/>
  <c r="E4651" i="14" s="1"/>
  <c r="B4651" i="14"/>
  <c r="A4652" i="14"/>
  <c r="B4652" i="14" l="1"/>
  <c r="D4652" i="14"/>
  <c r="C4652" i="14"/>
  <c r="E4652" i="14" s="1"/>
  <c r="A4653" i="14"/>
  <c r="D4653" i="14" l="1"/>
  <c r="C4653" i="14"/>
  <c r="E4653" i="14" s="1"/>
  <c r="B4653" i="14"/>
  <c r="A4654" i="14"/>
  <c r="D4654" i="14" l="1"/>
  <c r="C4654" i="14"/>
  <c r="E4654" i="14" s="1"/>
  <c r="B4654" i="14"/>
  <c r="A4655" i="14"/>
  <c r="C4655" i="14" l="1"/>
  <c r="E4655" i="14" s="1"/>
  <c r="D4655" i="14"/>
  <c r="B4655" i="14"/>
  <c r="A4656" i="14"/>
  <c r="C4656" i="14" l="1"/>
  <c r="E4656" i="14" s="1"/>
  <c r="B4656" i="14"/>
  <c r="D4656" i="14"/>
  <c r="A4657" i="14"/>
  <c r="D4657" i="14" l="1"/>
  <c r="C4657" i="14"/>
  <c r="E4657" i="14" s="1"/>
  <c r="B4657" i="14"/>
  <c r="A4658" i="14"/>
  <c r="D4658" i="14" l="1"/>
  <c r="B4658" i="14"/>
  <c r="C4658" i="14"/>
  <c r="E4658" i="14" s="1"/>
  <c r="A4659" i="14"/>
  <c r="D4659" i="14" l="1"/>
  <c r="C4659" i="14"/>
  <c r="E4659" i="14" s="1"/>
  <c r="B4659" i="14"/>
  <c r="A4660" i="14"/>
  <c r="B4660" i="14" l="1"/>
  <c r="D4660" i="14"/>
  <c r="C4660" i="14"/>
  <c r="E4660" i="14" s="1"/>
  <c r="A4661" i="14"/>
  <c r="D4661" i="14" l="1"/>
  <c r="C4661" i="14"/>
  <c r="E4661" i="14" s="1"/>
  <c r="B4661" i="14"/>
  <c r="A4662" i="14"/>
  <c r="D4662" i="14" l="1"/>
  <c r="C4662" i="14"/>
  <c r="E4662" i="14" s="1"/>
  <c r="B4662" i="14"/>
  <c r="A4663" i="14"/>
  <c r="C4663" i="14" l="1"/>
  <c r="E4663" i="14" s="1"/>
  <c r="D4663" i="14"/>
  <c r="B4663" i="14"/>
  <c r="A4664" i="14"/>
  <c r="D4664" i="14" l="1"/>
  <c r="C4664" i="14"/>
  <c r="E4664" i="14" s="1"/>
  <c r="B4664" i="14"/>
  <c r="A4665" i="14"/>
  <c r="D4665" i="14" l="1"/>
  <c r="C4665" i="14"/>
  <c r="E4665" i="14" s="1"/>
  <c r="B4665" i="14"/>
  <c r="A4666" i="14"/>
  <c r="D4666" i="14" l="1"/>
  <c r="C4666" i="14"/>
  <c r="E4666" i="14" s="1"/>
  <c r="B4666" i="14"/>
  <c r="A4667" i="14"/>
  <c r="C4667" i="14" l="1"/>
  <c r="E4667" i="14" s="1"/>
  <c r="B4667" i="14"/>
  <c r="D4667" i="14"/>
  <c r="A4668" i="14"/>
  <c r="B4668" i="14" l="1"/>
  <c r="D4668" i="14"/>
  <c r="C4668" i="14"/>
  <c r="E4668" i="14" s="1"/>
  <c r="A4669" i="14"/>
  <c r="B4669" i="14" l="1"/>
  <c r="D4669" i="14"/>
  <c r="C4669" i="14"/>
  <c r="E4669" i="14" s="1"/>
  <c r="A4670" i="14"/>
  <c r="D4670" i="14" l="1"/>
  <c r="C4670" i="14"/>
  <c r="E4670" i="14" s="1"/>
  <c r="B4670" i="14"/>
  <c r="A4671" i="14"/>
  <c r="C4671" i="14" l="1"/>
  <c r="E4671" i="14" s="1"/>
  <c r="D4671" i="14"/>
  <c r="B4671" i="14"/>
  <c r="A4672" i="14"/>
  <c r="D4672" i="14" l="1"/>
  <c r="C4672" i="14"/>
  <c r="E4672" i="14" s="1"/>
  <c r="B4672" i="14"/>
  <c r="A4673" i="14"/>
  <c r="D4673" i="14" l="1"/>
  <c r="C4673" i="14"/>
  <c r="E4673" i="14" s="1"/>
  <c r="B4673" i="14"/>
  <c r="A4674" i="14"/>
  <c r="D4674" i="14" l="1"/>
  <c r="C4674" i="14"/>
  <c r="E4674" i="14" s="1"/>
  <c r="B4674" i="14"/>
  <c r="A4675" i="14"/>
  <c r="D4675" i="14" l="1"/>
  <c r="C4675" i="14"/>
  <c r="E4675" i="14" s="1"/>
  <c r="B4675" i="14"/>
  <c r="A4676" i="14"/>
  <c r="B4676" i="14" l="1"/>
  <c r="D4676" i="14"/>
  <c r="C4676" i="14"/>
  <c r="E4676" i="14" s="1"/>
  <c r="A4677" i="14"/>
  <c r="D4677" i="14" l="1"/>
  <c r="C4677" i="14"/>
  <c r="E4677" i="14" s="1"/>
  <c r="B4677" i="14"/>
  <c r="A4678" i="14"/>
  <c r="C4678" i="14" l="1"/>
  <c r="E4678" i="14" s="1"/>
  <c r="B4678" i="14"/>
  <c r="D4678" i="14"/>
  <c r="A4679" i="14"/>
  <c r="C4679" i="14" l="1"/>
  <c r="E4679" i="14" s="1"/>
  <c r="D4679" i="14"/>
  <c r="B4679" i="14"/>
  <c r="A4680" i="14"/>
  <c r="B4680" i="14" l="1"/>
  <c r="D4680" i="14"/>
  <c r="C4680" i="14"/>
  <c r="E4680" i="14" s="1"/>
  <c r="A4681" i="14"/>
  <c r="D4681" i="14" l="1"/>
  <c r="C4681" i="14"/>
  <c r="E4681" i="14" s="1"/>
  <c r="B4681" i="14"/>
  <c r="A4682" i="14"/>
  <c r="D4682" i="14" l="1"/>
  <c r="C4682" i="14"/>
  <c r="E4682" i="14" s="1"/>
  <c r="B4682" i="14"/>
  <c r="A4683" i="14"/>
  <c r="D4683" i="14" l="1"/>
  <c r="C4683" i="14"/>
  <c r="E4683" i="14" s="1"/>
  <c r="B4683" i="14"/>
  <c r="A4684" i="14"/>
  <c r="B4684" i="14" l="1"/>
  <c r="D4684" i="14"/>
  <c r="C4684" i="14"/>
  <c r="E4684" i="14" s="1"/>
  <c r="A4685" i="14"/>
  <c r="D4685" i="14" l="1"/>
  <c r="C4685" i="14"/>
  <c r="E4685" i="14" s="1"/>
  <c r="B4685" i="14"/>
  <c r="A4686" i="14"/>
  <c r="D4686" i="14" l="1"/>
  <c r="C4686" i="14"/>
  <c r="E4686" i="14" s="1"/>
  <c r="B4686" i="14"/>
  <c r="A4687" i="14"/>
  <c r="C4687" i="14" l="1"/>
  <c r="E4687" i="14" s="1"/>
  <c r="D4687" i="14"/>
  <c r="B4687" i="14"/>
  <c r="A4688" i="14"/>
  <c r="D4688" i="14" l="1"/>
  <c r="C4688" i="14"/>
  <c r="E4688" i="14" s="1"/>
  <c r="B4688" i="14"/>
  <c r="A4689" i="14"/>
  <c r="C4689" i="14" l="1"/>
  <c r="E4689" i="14" s="1"/>
  <c r="B4689" i="14"/>
  <c r="D4689" i="14"/>
  <c r="A4690" i="14"/>
  <c r="D4690" i="14" l="1"/>
  <c r="C4690" i="14"/>
  <c r="E4690" i="14" s="1"/>
  <c r="B4690" i="14"/>
  <c r="A4691" i="14"/>
  <c r="B4691" i="14" l="1"/>
  <c r="D4691" i="14"/>
  <c r="C4691" i="14"/>
  <c r="E4691" i="14" s="1"/>
  <c r="A4692" i="14"/>
  <c r="B4692" i="14" l="1"/>
  <c r="D4692" i="14"/>
  <c r="C4692" i="14"/>
  <c r="E4692" i="14" s="1"/>
  <c r="A4693" i="14"/>
  <c r="C4693" i="14" l="1"/>
  <c r="E4693" i="14" s="1"/>
  <c r="D4693" i="14"/>
  <c r="B4693" i="14"/>
  <c r="A4694" i="14"/>
  <c r="B4694" i="14" l="1"/>
  <c r="D4694" i="14"/>
  <c r="C4694" i="14"/>
  <c r="E4694" i="14" s="1"/>
  <c r="A4695" i="14"/>
  <c r="C4695" i="14" l="1"/>
  <c r="E4695" i="14" s="1"/>
  <c r="D4695" i="14"/>
  <c r="B4695" i="14"/>
  <c r="A4696" i="14"/>
  <c r="D4696" i="14" l="1"/>
  <c r="B4696" i="14"/>
  <c r="C4696" i="14"/>
  <c r="E4696" i="14" s="1"/>
  <c r="A4697" i="14"/>
  <c r="C4697" i="14" l="1"/>
  <c r="E4697" i="14" s="1"/>
  <c r="D4697" i="14"/>
  <c r="B4697" i="14"/>
  <c r="A4698" i="14"/>
  <c r="D4698" i="14" l="1"/>
  <c r="B4698" i="14"/>
  <c r="C4698" i="14"/>
  <c r="E4698" i="14" s="1"/>
  <c r="A4699" i="14"/>
  <c r="D4699" i="14" l="1"/>
  <c r="C4699" i="14"/>
  <c r="E4699" i="14" s="1"/>
  <c r="B4699" i="14"/>
  <c r="A4700" i="14"/>
  <c r="B4700" i="14" l="1"/>
  <c r="D4700" i="14"/>
  <c r="C4700" i="14"/>
  <c r="E4700" i="14" s="1"/>
  <c r="A4701" i="14"/>
  <c r="C4701" i="14" l="1"/>
  <c r="E4701" i="14" s="1"/>
  <c r="B4701" i="14"/>
  <c r="D4701" i="14"/>
  <c r="A4702" i="14"/>
  <c r="B4702" i="14" l="1"/>
  <c r="D4702" i="14"/>
  <c r="C4702" i="14"/>
  <c r="E4702" i="14" s="1"/>
  <c r="A4703" i="14"/>
  <c r="C4703" i="14" l="1"/>
  <c r="E4703" i="14" s="1"/>
  <c r="D4703" i="14"/>
  <c r="B4703" i="14"/>
  <c r="A4704" i="14"/>
  <c r="D4704" i="14" l="1"/>
  <c r="C4704" i="14"/>
  <c r="E4704" i="14" s="1"/>
  <c r="B4704" i="14"/>
  <c r="A4705" i="14"/>
  <c r="C4705" i="14" l="1"/>
  <c r="E4705" i="14" s="1"/>
  <c r="D4705" i="14"/>
  <c r="B4705" i="14"/>
  <c r="A4706" i="14"/>
  <c r="D4706" i="14" l="1"/>
  <c r="B4706" i="14"/>
  <c r="C4706" i="14"/>
  <c r="E4706" i="14" s="1"/>
  <c r="A4707" i="14"/>
  <c r="D4707" i="14" l="1"/>
  <c r="C4707" i="14"/>
  <c r="E4707" i="14" s="1"/>
  <c r="B4707" i="14"/>
  <c r="A4708" i="14"/>
  <c r="B4708" i="14" l="1"/>
  <c r="D4708" i="14"/>
  <c r="C4708" i="14"/>
  <c r="E4708" i="14" s="1"/>
  <c r="A4709" i="14"/>
  <c r="D4709" i="14" l="1"/>
  <c r="C4709" i="14"/>
  <c r="E4709" i="14" s="1"/>
  <c r="B4709" i="14"/>
  <c r="A4710" i="14"/>
  <c r="B4710" i="14" l="1"/>
  <c r="D4710" i="14"/>
  <c r="C4710" i="14"/>
  <c r="E4710" i="14" s="1"/>
  <c r="A4711" i="14"/>
  <c r="C4711" i="14" l="1"/>
  <c r="E4711" i="14" s="1"/>
  <c r="B4711" i="14"/>
  <c r="D4711" i="14"/>
  <c r="A4712" i="14"/>
  <c r="D4712" i="14" l="1"/>
  <c r="C4712" i="14"/>
  <c r="E4712" i="14" s="1"/>
  <c r="B4712" i="14"/>
  <c r="A4713" i="14"/>
  <c r="C4713" i="14" l="1"/>
  <c r="E4713" i="14" s="1"/>
  <c r="B4713" i="14"/>
  <c r="D4713" i="14"/>
  <c r="A4714" i="14"/>
  <c r="D4714" i="14" l="1"/>
  <c r="C4714" i="14"/>
  <c r="E4714" i="14" s="1"/>
  <c r="B4714" i="14"/>
  <c r="A4715" i="14"/>
  <c r="D4715" i="14" l="1"/>
  <c r="C4715" i="14"/>
  <c r="E4715" i="14" s="1"/>
  <c r="B4715" i="14"/>
  <c r="A4716" i="14"/>
  <c r="B4716" i="14" l="1"/>
  <c r="D4716" i="14"/>
  <c r="C4716" i="14"/>
  <c r="E4716" i="14" s="1"/>
  <c r="A4717" i="14"/>
  <c r="D4717" i="14" l="1"/>
  <c r="C4717" i="14"/>
  <c r="E4717" i="14" s="1"/>
  <c r="B4717" i="14"/>
  <c r="A4718" i="14"/>
  <c r="B4718" i="14" l="1"/>
  <c r="D4718" i="14"/>
  <c r="C4718" i="14"/>
  <c r="E4718" i="14" s="1"/>
  <c r="A4719" i="14"/>
  <c r="C4719" i="14" l="1"/>
  <c r="E4719" i="14" s="1"/>
  <c r="B4719" i="14"/>
  <c r="D4719" i="14"/>
  <c r="A4720" i="14"/>
  <c r="D4720" i="14" l="1"/>
  <c r="C4720" i="14"/>
  <c r="E4720" i="14" s="1"/>
  <c r="B4720" i="14"/>
  <c r="A4721" i="14"/>
  <c r="C4721" i="14" l="1"/>
  <c r="E4721" i="14" s="1"/>
  <c r="D4721" i="14"/>
  <c r="B4721" i="14"/>
  <c r="A4722" i="14"/>
  <c r="D4722" i="14" l="1"/>
  <c r="C4722" i="14"/>
  <c r="E4722" i="14" s="1"/>
  <c r="B4722" i="14"/>
  <c r="A4723" i="14"/>
  <c r="D4723" i="14" l="1"/>
  <c r="C4723" i="14"/>
  <c r="E4723" i="14" s="1"/>
  <c r="B4723" i="14"/>
  <c r="A4724" i="14"/>
  <c r="B4724" i="14" l="1"/>
  <c r="D4724" i="14"/>
  <c r="C4724" i="14"/>
  <c r="E4724" i="14" s="1"/>
  <c r="A4725" i="14"/>
  <c r="D4725" i="14" l="1"/>
  <c r="C4725" i="14"/>
  <c r="E4725" i="14" s="1"/>
  <c r="B4725" i="14"/>
  <c r="A4726" i="14"/>
  <c r="D4726" i="14" l="1"/>
  <c r="B4726" i="14"/>
  <c r="C4726" i="14"/>
  <c r="E4726" i="14" s="1"/>
  <c r="A4727" i="14"/>
  <c r="C4727" i="14" l="1"/>
  <c r="E4727" i="14" s="1"/>
  <c r="B4727" i="14"/>
  <c r="D4727" i="14"/>
  <c r="A4728" i="14"/>
  <c r="D4728" i="14" l="1"/>
  <c r="C4728" i="14"/>
  <c r="E4728" i="14" s="1"/>
  <c r="B4728" i="14"/>
  <c r="A4729" i="14"/>
  <c r="C4729" i="14" l="1"/>
  <c r="E4729" i="14" s="1"/>
  <c r="B4729" i="14"/>
  <c r="D4729" i="14"/>
  <c r="A4730" i="14"/>
  <c r="D4730" i="14" l="1"/>
  <c r="C4730" i="14"/>
  <c r="E4730" i="14" s="1"/>
  <c r="B4730" i="14"/>
  <c r="A4731" i="14"/>
  <c r="D4731" i="14" l="1"/>
  <c r="C4731" i="14"/>
  <c r="E4731" i="14" s="1"/>
  <c r="B4731" i="14"/>
  <c r="A4732" i="14"/>
  <c r="B4732" i="14" l="1"/>
  <c r="D4732" i="14"/>
  <c r="C4732" i="14"/>
  <c r="E4732" i="14" s="1"/>
  <c r="A4733" i="14"/>
  <c r="D4733" i="14" l="1"/>
  <c r="C4733" i="14"/>
  <c r="E4733" i="14" s="1"/>
  <c r="B4733" i="14"/>
  <c r="A4734" i="14"/>
  <c r="D4734" i="14" l="1"/>
  <c r="B4734" i="14"/>
  <c r="C4734" i="14"/>
  <c r="E4734" i="14" s="1"/>
  <c r="A4735" i="14"/>
  <c r="C4735" i="14" l="1"/>
  <c r="E4735" i="14" s="1"/>
  <c r="B4735" i="14"/>
  <c r="D4735" i="14"/>
  <c r="A4736" i="14"/>
  <c r="D4736" i="14" l="1"/>
  <c r="C4736" i="14"/>
  <c r="E4736" i="14" s="1"/>
  <c r="B4736" i="14"/>
  <c r="A4737" i="14"/>
  <c r="C4737" i="14" l="1"/>
  <c r="E4737" i="14" s="1"/>
  <c r="D4737" i="14"/>
  <c r="B4737" i="14"/>
  <c r="A4738" i="14"/>
  <c r="D4738" i="14" l="1"/>
  <c r="C4738" i="14"/>
  <c r="E4738" i="14" s="1"/>
  <c r="B4738" i="14"/>
  <c r="A4739" i="14"/>
  <c r="D4739" i="14" l="1"/>
  <c r="C4739" i="14"/>
  <c r="E4739" i="14" s="1"/>
  <c r="B4739" i="14"/>
  <c r="A4740" i="14"/>
  <c r="B4740" i="14" l="1"/>
  <c r="D4740" i="14"/>
  <c r="C4740" i="14"/>
  <c r="E4740" i="14" s="1"/>
  <c r="A4741" i="14"/>
  <c r="D4741" i="14" l="1"/>
  <c r="C4741" i="14"/>
  <c r="E4741" i="14" s="1"/>
  <c r="B4741" i="14"/>
  <c r="A4742" i="14"/>
  <c r="D4742" i="14" l="1"/>
  <c r="B4742" i="14"/>
  <c r="C4742" i="14"/>
  <c r="E4742" i="14" s="1"/>
  <c r="A4743" i="14"/>
  <c r="C4743" i="14" l="1"/>
  <c r="E4743" i="14" s="1"/>
  <c r="B4743" i="14"/>
  <c r="D4743" i="14"/>
  <c r="A4744" i="14"/>
  <c r="D4744" i="14" l="1"/>
  <c r="C4744" i="14"/>
  <c r="E4744" i="14" s="1"/>
  <c r="B4744" i="14"/>
  <c r="A4745" i="14"/>
  <c r="C4745" i="14" l="1"/>
  <c r="E4745" i="14" s="1"/>
  <c r="D4745" i="14"/>
  <c r="B4745" i="14"/>
  <c r="A4746" i="14"/>
  <c r="D4746" i="14" l="1"/>
  <c r="C4746" i="14"/>
  <c r="E4746" i="14" s="1"/>
  <c r="B4746" i="14"/>
  <c r="A4747" i="14"/>
  <c r="D4747" i="14" l="1"/>
  <c r="C4747" i="14"/>
  <c r="E4747" i="14" s="1"/>
  <c r="B4747" i="14"/>
  <c r="A4748" i="14"/>
  <c r="B4748" i="14" l="1"/>
  <c r="D4748" i="14"/>
  <c r="C4748" i="14"/>
  <c r="E4748" i="14" s="1"/>
  <c r="A4749" i="14"/>
  <c r="D4749" i="14" l="1"/>
  <c r="C4749" i="14"/>
  <c r="E4749" i="14" s="1"/>
  <c r="B4749" i="14"/>
  <c r="A4750" i="14"/>
  <c r="D4750" i="14" l="1"/>
  <c r="B4750" i="14"/>
  <c r="C4750" i="14"/>
  <c r="E4750" i="14" s="1"/>
  <c r="A4751" i="14"/>
  <c r="C4751" i="14" l="1"/>
  <c r="E4751" i="14" s="1"/>
  <c r="B4751" i="14"/>
  <c r="D4751" i="14"/>
  <c r="A4752" i="14"/>
  <c r="D4752" i="14" l="1"/>
  <c r="C4752" i="14"/>
  <c r="E4752" i="14" s="1"/>
  <c r="B4752" i="14"/>
  <c r="A4753" i="14"/>
  <c r="C4753" i="14" l="1"/>
  <c r="E4753" i="14" s="1"/>
  <c r="D4753" i="14"/>
  <c r="B4753" i="14"/>
  <c r="A4754" i="14"/>
  <c r="D4754" i="14" l="1"/>
  <c r="C4754" i="14"/>
  <c r="E4754" i="14" s="1"/>
  <c r="B4754" i="14"/>
  <c r="A4755" i="14"/>
  <c r="D4755" i="14" l="1"/>
  <c r="C4755" i="14"/>
  <c r="E4755" i="14" s="1"/>
  <c r="B4755" i="14"/>
  <c r="A4756" i="14"/>
  <c r="B4756" i="14" l="1"/>
  <c r="D4756" i="14"/>
  <c r="C4756" i="14"/>
  <c r="E4756" i="14" s="1"/>
  <c r="A4757" i="14"/>
  <c r="D4757" i="14" l="1"/>
  <c r="C4757" i="14"/>
  <c r="E4757" i="14" s="1"/>
  <c r="B4757" i="14"/>
  <c r="A4758" i="14"/>
  <c r="D4758" i="14" l="1"/>
  <c r="B4758" i="14"/>
  <c r="C4758" i="14"/>
  <c r="E4758" i="14" s="1"/>
  <c r="A4759" i="14"/>
  <c r="C4759" i="14" l="1"/>
  <c r="E4759" i="14" s="1"/>
  <c r="B4759" i="14"/>
  <c r="D4759" i="14"/>
  <c r="A4760" i="14"/>
  <c r="D4760" i="14" l="1"/>
  <c r="C4760" i="14"/>
  <c r="E4760" i="14" s="1"/>
  <c r="B4760" i="14"/>
  <c r="A4761" i="14"/>
  <c r="C4761" i="14" l="1"/>
  <c r="E4761" i="14" s="1"/>
  <c r="B4761" i="14"/>
  <c r="D4761" i="14"/>
  <c r="A4762" i="14"/>
  <c r="D4762" i="14" l="1"/>
  <c r="C4762" i="14"/>
  <c r="E4762" i="14" s="1"/>
  <c r="B4762" i="14"/>
  <c r="A4763" i="14"/>
  <c r="D4763" i="14" l="1"/>
  <c r="C4763" i="14"/>
  <c r="E4763" i="14" s="1"/>
  <c r="B4763" i="14"/>
  <c r="A4764" i="14"/>
  <c r="B4764" i="14" l="1"/>
  <c r="D4764" i="14"/>
  <c r="C4764" i="14"/>
  <c r="E4764" i="14" s="1"/>
  <c r="A4765" i="14"/>
  <c r="D4765" i="14" l="1"/>
  <c r="C4765" i="14"/>
  <c r="E4765" i="14" s="1"/>
  <c r="B4765" i="14"/>
  <c r="A4766" i="14"/>
  <c r="D4766" i="14" l="1"/>
  <c r="B4766" i="14"/>
  <c r="C4766" i="14"/>
  <c r="E4766" i="14" s="1"/>
  <c r="A4767" i="14"/>
  <c r="C4767" i="14" l="1"/>
  <c r="E4767" i="14" s="1"/>
  <c r="B4767" i="14"/>
  <c r="D4767" i="14"/>
  <c r="A4768" i="14"/>
  <c r="D4768" i="14" l="1"/>
  <c r="C4768" i="14"/>
  <c r="E4768" i="14" s="1"/>
  <c r="B4768" i="14"/>
  <c r="A4769" i="14"/>
  <c r="C4769" i="14" l="1"/>
  <c r="E4769" i="14" s="1"/>
  <c r="D4769" i="14"/>
  <c r="B4769" i="14"/>
  <c r="A4770" i="14"/>
  <c r="D4770" i="14" l="1"/>
  <c r="C4770" i="14"/>
  <c r="E4770" i="14" s="1"/>
  <c r="B4770" i="14"/>
  <c r="A4771" i="14"/>
  <c r="D4771" i="14" l="1"/>
  <c r="C4771" i="14"/>
  <c r="E4771" i="14" s="1"/>
  <c r="B4771" i="14"/>
  <c r="A4772" i="14"/>
  <c r="B4772" i="14" l="1"/>
  <c r="D4772" i="14"/>
  <c r="C4772" i="14"/>
  <c r="E4772" i="14" s="1"/>
  <c r="A4773" i="14"/>
  <c r="D4773" i="14" l="1"/>
  <c r="C4773" i="14"/>
  <c r="E4773" i="14" s="1"/>
  <c r="B4773" i="14"/>
  <c r="A4774" i="14"/>
  <c r="D4774" i="14" l="1"/>
  <c r="B4774" i="14"/>
  <c r="C4774" i="14"/>
  <c r="E4774" i="14" s="1"/>
  <c r="A4775" i="14"/>
  <c r="C4775" i="14" l="1"/>
  <c r="E4775" i="14" s="1"/>
  <c r="B4775" i="14"/>
  <c r="D4775" i="14"/>
  <c r="A4776" i="14"/>
  <c r="D4776" i="14" l="1"/>
  <c r="C4776" i="14"/>
  <c r="E4776" i="14" s="1"/>
  <c r="B4776" i="14"/>
  <c r="A4777" i="14"/>
  <c r="C4777" i="14" l="1"/>
  <c r="E4777" i="14" s="1"/>
  <c r="D4777" i="14"/>
  <c r="B4777" i="14"/>
  <c r="A4778" i="14"/>
  <c r="D4778" i="14" l="1"/>
  <c r="C4778" i="14"/>
  <c r="E4778" i="14" s="1"/>
  <c r="B4778" i="14"/>
  <c r="A4779" i="14"/>
  <c r="D4779" i="14" l="1"/>
  <c r="C4779" i="14"/>
  <c r="E4779" i="14" s="1"/>
  <c r="B4779" i="14"/>
  <c r="A4780" i="14"/>
  <c r="B4780" i="14" l="1"/>
  <c r="D4780" i="14"/>
  <c r="C4780" i="14"/>
  <c r="E4780" i="14" s="1"/>
  <c r="A4781" i="14"/>
  <c r="D4781" i="14" l="1"/>
  <c r="C4781" i="14"/>
  <c r="E4781" i="14" s="1"/>
  <c r="B4781" i="14"/>
  <c r="A4782" i="14"/>
  <c r="D4782" i="14" l="1"/>
  <c r="C4782" i="14"/>
  <c r="E4782" i="14" s="1"/>
  <c r="B4782" i="14"/>
  <c r="A4783" i="14"/>
  <c r="C4783" i="14" l="1"/>
  <c r="E4783" i="14" s="1"/>
  <c r="B4783" i="14"/>
  <c r="D4783" i="14"/>
  <c r="A4784" i="14"/>
  <c r="D4784" i="14" l="1"/>
  <c r="C4784" i="14"/>
  <c r="E4784" i="14" s="1"/>
  <c r="B4784" i="14"/>
  <c r="A4785" i="14"/>
  <c r="D4785" i="14" l="1"/>
  <c r="C4785" i="14"/>
  <c r="E4785" i="14" s="1"/>
  <c r="B4785" i="14"/>
  <c r="A4786" i="14"/>
  <c r="D4786" i="14" l="1"/>
  <c r="C4786" i="14"/>
  <c r="E4786" i="14" s="1"/>
  <c r="B4786" i="14"/>
  <c r="A4787" i="14"/>
  <c r="D4787" i="14" l="1"/>
  <c r="C4787" i="14"/>
  <c r="E4787" i="14" s="1"/>
  <c r="B4787" i="14"/>
  <c r="A4788" i="14"/>
  <c r="B4788" i="14" l="1"/>
  <c r="D4788" i="14"/>
  <c r="C4788" i="14"/>
  <c r="E4788" i="14" s="1"/>
  <c r="A4789" i="14"/>
  <c r="D4789" i="14" l="1"/>
  <c r="C4789" i="14"/>
  <c r="E4789" i="14" s="1"/>
  <c r="B4789" i="14"/>
  <c r="A4790" i="14"/>
  <c r="D4790" i="14" l="1"/>
  <c r="C4790" i="14"/>
  <c r="E4790" i="14" s="1"/>
  <c r="B4790" i="14"/>
  <c r="A4791" i="14"/>
  <c r="C4791" i="14" l="1"/>
  <c r="E4791" i="14" s="1"/>
  <c r="B4791" i="14"/>
  <c r="D4791" i="14"/>
  <c r="A4792" i="14"/>
  <c r="D4792" i="14" l="1"/>
  <c r="C4792" i="14"/>
  <c r="E4792" i="14" s="1"/>
  <c r="B4792" i="14"/>
  <c r="A4793" i="14"/>
  <c r="D4793" i="14" l="1"/>
  <c r="C4793" i="14"/>
  <c r="E4793" i="14" s="1"/>
  <c r="B4793" i="14"/>
  <c r="A4794" i="14"/>
  <c r="D4794" i="14" l="1"/>
  <c r="C4794" i="14"/>
  <c r="E4794" i="14" s="1"/>
  <c r="B4794" i="14"/>
  <c r="A4795" i="14"/>
  <c r="D4795" i="14" l="1"/>
  <c r="C4795" i="14"/>
  <c r="E4795" i="14" s="1"/>
  <c r="B4795" i="14"/>
  <c r="A4796" i="14"/>
  <c r="B4796" i="14" l="1"/>
  <c r="D4796" i="14"/>
  <c r="C4796" i="14"/>
  <c r="E4796" i="14" s="1"/>
  <c r="A4797" i="14"/>
  <c r="D4797" i="14" l="1"/>
  <c r="C4797" i="14"/>
  <c r="E4797" i="14" s="1"/>
  <c r="B4797" i="14"/>
  <c r="A4798" i="14"/>
  <c r="D4798" i="14" l="1"/>
  <c r="C4798" i="14"/>
  <c r="E4798" i="14" s="1"/>
  <c r="B4798" i="14"/>
  <c r="A4799" i="14"/>
  <c r="C4799" i="14" l="1"/>
  <c r="E4799" i="14" s="1"/>
  <c r="B4799" i="14"/>
  <c r="D4799" i="14"/>
  <c r="A4800" i="14"/>
  <c r="D4800" i="14" l="1"/>
  <c r="C4800" i="14"/>
  <c r="E4800" i="14" s="1"/>
  <c r="B4800" i="14"/>
  <c r="A4801" i="14"/>
  <c r="D4801" i="14" l="1"/>
  <c r="C4801" i="14"/>
  <c r="E4801" i="14" s="1"/>
  <c r="B4801" i="14"/>
  <c r="A4802" i="14"/>
  <c r="D4802" i="14" l="1"/>
  <c r="C4802" i="14"/>
  <c r="E4802" i="14" s="1"/>
  <c r="B4802" i="14"/>
  <c r="A4803" i="14"/>
  <c r="D4803" i="14" l="1"/>
  <c r="C4803" i="14"/>
  <c r="E4803" i="14" s="1"/>
  <c r="B4803" i="14"/>
  <c r="A4804" i="14"/>
  <c r="B4804" i="14" l="1"/>
  <c r="D4804" i="14"/>
  <c r="C4804" i="14"/>
  <c r="E4804" i="14" s="1"/>
  <c r="A4805" i="14"/>
  <c r="D4805" i="14" l="1"/>
  <c r="C4805" i="14"/>
  <c r="E4805" i="14" s="1"/>
  <c r="B4805" i="14"/>
  <c r="A4806" i="14"/>
  <c r="D4806" i="14" l="1"/>
  <c r="C4806" i="14"/>
  <c r="E4806" i="14" s="1"/>
  <c r="B4806" i="14"/>
  <c r="A4807" i="14"/>
  <c r="C4807" i="14" l="1"/>
  <c r="E4807" i="14" s="1"/>
  <c r="B4807" i="14"/>
  <c r="D4807" i="14"/>
  <c r="A4808" i="14"/>
  <c r="D4808" i="14" l="1"/>
  <c r="C4808" i="14"/>
  <c r="E4808" i="14" s="1"/>
  <c r="B4808" i="14"/>
  <c r="A4809" i="14"/>
  <c r="D4809" i="14" l="1"/>
  <c r="C4809" i="14"/>
  <c r="E4809" i="14" s="1"/>
  <c r="B4809" i="14"/>
  <c r="A4810" i="14"/>
  <c r="D4810" i="14" l="1"/>
  <c r="C4810" i="14"/>
  <c r="E4810" i="14" s="1"/>
  <c r="B4810" i="14"/>
  <c r="A4811" i="14"/>
  <c r="D4811" i="14" l="1"/>
  <c r="C4811" i="14"/>
  <c r="E4811" i="14" s="1"/>
  <c r="B4811" i="14"/>
  <c r="A4812" i="14"/>
  <c r="B4812" i="14" l="1"/>
  <c r="D4812" i="14"/>
  <c r="C4812" i="14"/>
  <c r="E4812" i="14" s="1"/>
  <c r="A4813" i="14"/>
  <c r="D4813" i="14" l="1"/>
  <c r="C4813" i="14"/>
  <c r="E4813" i="14" s="1"/>
  <c r="B4813" i="14"/>
  <c r="A4814" i="14"/>
  <c r="D4814" i="14" l="1"/>
  <c r="C4814" i="14"/>
  <c r="E4814" i="14" s="1"/>
  <c r="B4814" i="14"/>
  <c r="A4815" i="14"/>
  <c r="C4815" i="14" l="1"/>
  <c r="E4815" i="14" s="1"/>
  <c r="B4815" i="14"/>
  <c r="D4815" i="14"/>
  <c r="A4816" i="14"/>
  <c r="D4816" i="14" l="1"/>
  <c r="C4816" i="14"/>
  <c r="E4816" i="14" s="1"/>
  <c r="B4816" i="14"/>
  <c r="A4817" i="14"/>
  <c r="D4817" i="14" l="1"/>
  <c r="C4817" i="14"/>
  <c r="E4817" i="14" s="1"/>
  <c r="B4817" i="14"/>
  <c r="A4818" i="14"/>
  <c r="D4818" i="14" l="1"/>
  <c r="C4818" i="14"/>
  <c r="E4818" i="14" s="1"/>
  <c r="B4818" i="14"/>
  <c r="A4819" i="14"/>
  <c r="D4819" i="14" l="1"/>
  <c r="C4819" i="14"/>
  <c r="E4819" i="14" s="1"/>
  <c r="B4819" i="14"/>
  <c r="A4820" i="14"/>
  <c r="B4820" i="14" l="1"/>
  <c r="D4820" i="14"/>
  <c r="C4820" i="14"/>
  <c r="E4820" i="14" s="1"/>
  <c r="A4821" i="14"/>
  <c r="D4821" i="14" l="1"/>
  <c r="C4821" i="14"/>
  <c r="E4821" i="14" s="1"/>
  <c r="B4821" i="14"/>
  <c r="A4822" i="14"/>
  <c r="D4822" i="14" l="1"/>
  <c r="C4822" i="14"/>
  <c r="E4822" i="14" s="1"/>
  <c r="B4822" i="14"/>
  <c r="A4823" i="14"/>
  <c r="C4823" i="14" l="1"/>
  <c r="E4823" i="14" s="1"/>
  <c r="B4823" i="14"/>
  <c r="D4823" i="14"/>
  <c r="A4824" i="14"/>
  <c r="D4824" i="14" l="1"/>
  <c r="C4824" i="14"/>
  <c r="E4824" i="14" s="1"/>
  <c r="B4824" i="14"/>
  <c r="A4825" i="14"/>
  <c r="D4825" i="14" l="1"/>
  <c r="C4825" i="14"/>
  <c r="E4825" i="14" s="1"/>
  <c r="B4825" i="14"/>
  <c r="A4826" i="14"/>
  <c r="D4826" i="14" l="1"/>
  <c r="C4826" i="14"/>
  <c r="E4826" i="14" s="1"/>
  <c r="B4826" i="14"/>
  <c r="A4827" i="14"/>
  <c r="D4827" i="14" l="1"/>
  <c r="C4827" i="14"/>
  <c r="E4827" i="14" s="1"/>
  <c r="B4827" i="14"/>
  <c r="A4828" i="14"/>
  <c r="B4828" i="14" l="1"/>
  <c r="D4828" i="14"/>
  <c r="C4828" i="14"/>
  <c r="E4828" i="14" s="1"/>
  <c r="A4829" i="14"/>
  <c r="D4829" i="14" l="1"/>
  <c r="C4829" i="14"/>
  <c r="E4829" i="14" s="1"/>
  <c r="B4829" i="14"/>
  <c r="A4830" i="14"/>
  <c r="D4830" i="14" l="1"/>
  <c r="C4830" i="14"/>
  <c r="E4830" i="14" s="1"/>
  <c r="B4830" i="14"/>
  <c r="A4831" i="14"/>
  <c r="C4831" i="14" l="1"/>
  <c r="E4831" i="14" s="1"/>
  <c r="B4831" i="14"/>
  <c r="D4831" i="14"/>
  <c r="A4832" i="14"/>
  <c r="D4832" i="14" l="1"/>
  <c r="C4832" i="14"/>
  <c r="E4832" i="14" s="1"/>
  <c r="B4832" i="14"/>
  <c r="A4833" i="14"/>
  <c r="D4833" i="14" l="1"/>
  <c r="C4833" i="14"/>
  <c r="E4833" i="14" s="1"/>
  <c r="B4833" i="14"/>
  <c r="A4834" i="14"/>
  <c r="D4834" i="14" l="1"/>
  <c r="C4834" i="14"/>
  <c r="E4834" i="14" s="1"/>
  <c r="B4834" i="14"/>
  <c r="A4835" i="14"/>
  <c r="D4835" i="14" l="1"/>
  <c r="C4835" i="14"/>
  <c r="E4835" i="14" s="1"/>
  <c r="B4835" i="14"/>
  <c r="A4836" i="14"/>
  <c r="B4836" i="14" l="1"/>
  <c r="D4836" i="14"/>
  <c r="C4836" i="14"/>
  <c r="E4836" i="14" s="1"/>
  <c r="A4837" i="14"/>
  <c r="D4837" i="14" l="1"/>
  <c r="C4837" i="14"/>
  <c r="E4837" i="14" s="1"/>
  <c r="B4837" i="14"/>
  <c r="A4838" i="14"/>
  <c r="D4838" i="14" l="1"/>
  <c r="C4838" i="14"/>
  <c r="E4838" i="14" s="1"/>
  <c r="B4838" i="14"/>
  <c r="A4839" i="14"/>
  <c r="C4839" i="14" l="1"/>
  <c r="E4839" i="14" s="1"/>
  <c r="B4839" i="14"/>
  <c r="D4839" i="14"/>
  <c r="A4840" i="14"/>
  <c r="D4840" i="14" l="1"/>
  <c r="C4840" i="14"/>
  <c r="E4840" i="14" s="1"/>
  <c r="B4840" i="14"/>
  <c r="A4841" i="14"/>
  <c r="D4841" i="14" l="1"/>
  <c r="C4841" i="14"/>
  <c r="E4841" i="14" s="1"/>
  <c r="B4841" i="14"/>
  <c r="A4842" i="14"/>
  <c r="D4842" i="14" l="1"/>
  <c r="C4842" i="14"/>
  <c r="E4842" i="14" s="1"/>
  <c r="B4842" i="14"/>
  <c r="A4843" i="14"/>
  <c r="D4843" i="14" l="1"/>
  <c r="C4843" i="14"/>
  <c r="E4843" i="14" s="1"/>
  <c r="B4843" i="14"/>
  <c r="A4844" i="14"/>
  <c r="B4844" i="14" l="1"/>
  <c r="D4844" i="14"/>
  <c r="C4844" i="14"/>
  <c r="E4844" i="14" s="1"/>
  <c r="A4845" i="14"/>
  <c r="D4845" i="14" l="1"/>
  <c r="C4845" i="14"/>
  <c r="E4845" i="14" s="1"/>
  <c r="B4845" i="14"/>
  <c r="A4846" i="14"/>
  <c r="D4846" i="14" l="1"/>
  <c r="C4846" i="14"/>
  <c r="E4846" i="14" s="1"/>
  <c r="B4846" i="14"/>
  <c r="A4847" i="14"/>
  <c r="C4847" i="14" l="1"/>
  <c r="E4847" i="14" s="1"/>
  <c r="B4847" i="14"/>
  <c r="D4847" i="14"/>
  <c r="A4848" i="14"/>
  <c r="D4848" i="14" l="1"/>
  <c r="C4848" i="14"/>
  <c r="E4848" i="14" s="1"/>
  <c r="B4848" i="14"/>
  <c r="A4849" i="14"/>
  <c r="D4849" i="14" l="1"/>
  <c r="C4849" i="14"/>
  <c r="E4849" i="14" s="1"/>
  <c r="B4849" i="14"/>
  <c r="A4850" i="14"/>
  <c r="D4850" i="14" l="1"/>
  <c r="C4850" i="14"/>
  <c r="E4850" i="14" s="1"/>
  <c r="B4850" i="14"/>
  <c r="A4851" i="14"/>
  <c r="D4851" i="14" l="1"/>
  <c r="C4851" i="14"/>
  <c r="E4851" i="14" s="1"/>
  <c r="B4851" i="14"/>
  <c r="A4852" i="14"/>
  <c r="B4852" i="14" l="1"/>
  <c r="D4852" i="14"/>
  <c r="C4852" i="14"/>
  <c r="E4852" i="14" s="1"/>
  <c r="A4853" i="14"/>
  <c r="D4853" i="14" l="1"/>
  <c r="C4853" i="14"/>
  <c r="E4853" i="14" s="1"/>
  <c r="B4853" i="14"/>
  <c r="A4854" i="14"/>
  <c r="D4854" i="14" l="1"/>
  <c r="C4854" i="14"/>
  <c r="E4854" i="14" s="1"/>
  <c r="B4854" i="14"/>
  <c r="A4855" i="14"/>
  <c r="C4855" i="14" l="1"/>
  <c r="E4855" i="14" s="1"/>
  <c r="B4855" i="14"/>
  <c r="D4855" i="14"/>
  <c r="A4856" i="14"/>
  <c r="D4856" i="14" l="1"/>
  <c r="C4856" i="14"/>
  <c r="E4856" i="14" s="1"/>
  <c r="B4856" i="14"/>
  <c r="A4857" i="14"/>
  <c r="D4857" i="14" l="1"/>
  <c r="C4857" i="14"/>
  <c r="E4857" i="14" s="1"/>
  <c r="B4857" i="14"/>
  <c r="A4858" i="14"/>
  <c r="D4858" i="14" l="1"/>
  <c r="C4858" i="14"/>
  <c r="E4858" i="14" s="1"/>
  <c r="B4858" i="14"/>
  <c r="A4859" i="14"/>
  <c r="C4859" i="14" l="1"/>
  <c r="E4859" i="14" s="1"/>
  <c r="D4859" i="14"/>
  <c r="B4859" i="14"/>
  <c r="A4860" i="14"/>
  <c r="D4860" i="14" l="1"/>
  <c r="C4860" i="14"/>
  <c r="E4860" i="14" s="1"/>
  <c r="B4860" i="14"/>
  <c r="A4861" i="14"/>
  <c r="D4861" i="14" l="1"/>
  <c r="C4861" i="14"/>
  <c r="E4861" i="14" s="1"/>
  <c r="B4861" i="14"/>
  <c r="A4862" i="14"/>
  <c r="D4862" i="14" l="1"/>
  <c r="C4862" i="14"/>
  <c r="E4862" i="14" s="1"/>
  <c r="B4862" i="14"/>
  <c r="A4863" i="14"/>
  <c r="D4863" i="14" l="1"/>
  <c r="C4863" i="14"/>
  <c r="E4863" i="14" s="1"/>
  <c r="B4863" i="14"/>
  <c r="A4864" i="14"/>
  <c r="B4864" i="14" l="1"/>
  <c r="C4864" i="14"/>
  <c r="E4864" i="14" s="1"/>
  <c r="D4864" i="14"/>
  <c r="A4865" i="14"/>
  <c r="D4865" i="14" l="1"/>
  <c r="C4865" i="14"/>
  <c r="E4865" i="14" s="1"/>
  <c r="B4865" i="14"/>
  <c r="A4866" i="14"/>
  <c r="B4866" i="14" l="1"/>
  <c r="D4866" i="14"/>
  <c r="C4866" i="14"/>
  <c r="E4866" i="14" s="1"/>
  <c r="A4867" i="14"/>
  <c r="C4867" i="14" l="1"/>
  <c r="E4867" i="14" s="1"/>
  <c r="D4867" i="14"/>
  <c r="B4867" i="14"/>
  <c r="A4868" i="14"/>
  <c r="D4868" i="14" l="1"/>
  <c r="C4868" i="14"/>
  <c r="E4868" i="14" s="1"/>
  <c r="B4868" i="14"/>
  <c r="A4869" i="14"/>
  <c r="D4869" i="14" l="1"/>
  <c r="C4869" i="14"/>
  <c r="E4869" i="14" s="1"/>
  <c r="B4869" i="14"/>
  <c r="A4870" i="14"/>
  <c r="D4870" i="14" l="1"/>
  <c r="C4870" i="14"/>
  <c r="E4870" i="14" s="1"/>
  <c r="B4870" i="14"/>
  <c r="A4871" i="14"/>
  <c r="D4871" i="14" l="1"/>
  <c r="C4871" i="14"/>
  <c r="E4871" i="14" s="1"/>
  <c r="B4871" i="14"/>
  <c r="A4872" i="14"/>
  <c r="B4872" i="14" l="1"/>
  <c r="D4872" i="14"/>
  <c r="C4872" i="14"/>
  <c r="E4872" i="14" s="1"/>
  <c r="A4873" i="14"/>
  <c r="C4873" i="14" l="1"/>
  <c r="E4873" i="14" s="1"/>
  <c r="B4873" i="14"/>
  <c r="D4873" i="14"/>
  <c r="A4874" i="14"/>
  <c r="D4874" i="14" l="1"/>
  <c r="C4874" i="14"/>
  <c r="E4874" i="14" s="1"/>
  <c r="B4874" i="14"/>
  <c r="A4875" i="14"/>
  <c r="D4875" i="14" l="1"/>
  <c r="C4875" i="14"/>
  <c r="E4875" i="14" s="1"/>
  <c r="B4875" i="14"/>
  <c r="A4876" i="14"/>
  <c r="D4876" i="14" l="1"/>
  <c r="C4876" i="14"/>
  <c r="E4876" i="14" s="1"/>
  <c r="B4876" i="14"/>
  <c r="A4877" i="14"/>
  <c r="B4877" i="14" l="1"/>
  <c r="D4877" i="14"/>
  <c r="C4877" i="14"/>
  <c r="E4877" i="14" s="1"/>
  <c r="A4878" i="14"/>
  <c r="D4878" i="14" l="1"/>
  <c r="C4878" i="14"/>
  <c r="E4878" i="14" s="1"/>
  <c r="B4878" i="14"/>
  <c r="A4879" i="14"/>
  <c r="D4879" i="14" l="1"/>
  <c r="C4879" i="14"/>
  <c r="E4879" i="14" s="1"/>
  <c r="B4879" i="14"/>
  <c r="A4880" i="14"/>
  <c r="C4880" i="14" l="1"/>
  <c r="E4880" i="14" s="1"/>
  <c r="B4880" i="14"/>
  <c r="D4880" i="14"/>
  <c r="A4881" i="14"/>
  <c r="D4881" i="14" l="1"/>
  <c r="C4881" i="14"/>
  <c r="E4881" i="14" s="1"/>
  <c r="B4881" i="14"/>
  <c r="A4882" i="14"/>
  <c r="D4882" i="14" l="1"/>
  <c r="C4882" i="14"/>
  <c r="E4882" i="14" s="1"/>
  <c r="B4882" i="14"/>
  <c r="A4883" i="14"/>
  <c r="D4883" i="14" l="1"/>
  <c r="C4883" i="14"/>
  <c r="E4883" i="14" s="1"/>
  <c r="B4883" i="14"/>
  <c r="A4884" i="14"/>
  <c r="D4884" i="14" l="1"/>
  <c r="C4884" i="14"/>
  <c r="E4884" i="14" s="1"/>
  <c r="B4884" i="14"/>
  <c r="A4885" i="14"/>
  <c r="B4885" i="14" l="1"/>
  <c r="D4885" i="14"/>
  <c r="C4885" i="14"/>
  <c r="E4885" i="14" s="1"/>
  <c r="A4886" i="14"/>
  <c r="D4886" i="14" l="1"/>
  <c r="C4886" i="14"/>
  <c r="E4886" i="14" s="1"/>
  <c r="B4886" i="14"/>
  <c r="A4887" i="14"/>
  <c r="D4887" i="14" l="1"/>
  <c r="C4887" i="14"/>
  <c r="E4887" i="14" s="1"/>
  <c r="B4887" i="14"/>
  <c r="A4888" i="14"/>
  <c r="C4888" i="14" l="1"/>
  <c r="E4888" i="14" s="1"/>
  <c r="B4888" i="14"/>
  <c r="D4888" i="14"/>
  <c r="A4889" i="14"/>
  <c r="D4889" i="14" l="1"/>
  <c r="C4889" i="14"/>
  <c r="E4889" i="14" s="1"/>
  <c r="B4889" i="14"/>
  <c r="A4890" i="14"/>
  <c r="C4890" i="14" l="1"/>
  <c r="E4890" i="14" s="1"/>
  <c r="B4890" i="14"/>
  <c r="D4890" i="14"/>
  <c r="A4891" i="14"/>
  <c r="D4891" i="14" l="1"/>
  <c r="C4891" i="14"/>
  <c r="E4891" i="14" s="1"/>
  <c r="B4891" i="14"/>
  <c r="A4892" i="14"/>
  <c r="C4892" i="14" l="1"/>
  <c r="E4892" i="14" s="1"/>
  <c r="B4892" i="14"/>
  <c r="D4892" i="14"/>
  <c r="A4893" i="14"/>
  <c r="B4893" i="14" l="1"/>
  <c r="D4893" i="14"/>
  <c r="C4893" i="14"/>
  <c r="E4893" i="14" s="1"/>
  <c r="A4894" i="14"/>
  <c r="D4894" i="14" l="1"/>
  <c r="C4894" i="14"/>
  <c r="E4894" i="14" s="1"/>
  <c r="B4894" i="14"/>
  <c r="A4895" i="14"/>
  <c r="D4895" i="14" l="1"/>
  <c r="C4895" i="14"/>
  <c r="E4895" i="14" s="1"/>
  <c r="B4895" i="14"/>
  <c r="A4896" i="14"/>
  <c r="C4896" i="14" l="1"/>
  <c r="E4896" i="14" s="1"/>
  <c r="B4896" i="14"/>
  <c r="D4896" i="14"/>
  <c r="A4897" i="14"/>
  <c r="D4897" i="14" l="1"/>
  <c r="C4897" i="14"/>
  <c r="E4897" i="14" s="1"/>
  <c r="B4897" i="14"/>
  <c r="A4898" i="14"/>
  <c r="D4898" i="14" l="1"/>
  <c r="C4898" i="14"/>
  <c r="E4898" i="14" s="1"/>
  <c r="B4898" i="14"/>
  <c r="A4899" i="14"/>
  <c r="D4899" i="14" l="1"/>
  <c r="C4899" i="14"/>
  <c r="E4899" i="14" s="1"/>
  <c r="B4899" i="14"/>
  <c r="A4900" i="14"/>
  <c r="D4900" i="14" l="1"/>
  <c r="C4900" i="14"/>
  <c r="E4900" i="14" s="1"/>
  <c r="B4900" i="14"/>
  <c r="A4901" i="14"/>
  <c r="B4901" i="14" l="1"/>
  <c r="D4901" i="14"/>
  <c r="C4901" i="14"/>
  <c r="E4901" i="14" s="1"/>
  <c r="A4902" i="14"/>
  <c r="D4902" i="14" l="1"/>
  <c r="C4902" i="14"/>
  <c r="E4902" i="14" s="1"/>
  <c r="B4902" i="14"/>
  <c r="A4903" i="14"/>
  <c r="B4903" i="14" l="1"/>
  <c r="D4903" i="14"/>
  <c r="C4903" i="14"/>
  <c r="E4903" i="14" s="1"/>
  <c r="A4904" i="14"/>
  <c r="C4904" i="14" l="1"/>
  <c r="E4904" i="14" s="1"/>
  <c r="B4904" i="14"/>
  <c r="D4904" i="14"/>
  <c r="A4905" i="14"/>
  <c r="C4905" i="14" l="1"/>
  <c r="E4905" i="14" s="1"/>
  <c r="B4905" i="14"/>
  <c r="D4905" i="14"/>
  <c r="A4906" i="14"/>
  <c r="D4906" i="14" l="1"/>
  <c r="C4906" i="14"/>
  <c r="E4906" i="14" s="1"/>
  <c r="B4906" i="14"/>
  <c r="A4907" i="14"/>
  <c r="D4907" i="14" l="1"/>
  <c r="C4907" i="14"/>
  <c r="E4907" i="14" s="1"/>
  <c r="B4907" i="14"/>
  <c r="A4908" i="14"/>
  <c r="D4908" i="14" l="1"/>
  <c r="C4908" i="14"/>
  <c r="E4908" i="14" s="1"/>
  <c r="B4908" i="14"/>
  <c r="A4909" i="14"/>
  <c r="B4909" i="14" l="1"/>
  <c r="D4909" i="14"/>
  <c r="C4909" i="14"/>
  <c r="E4909" i="14" s="1"/>
  <c r="A4910" i="14"/>
  <c r="E4910" i="14" l="1"/>
  <c r="D4910" i="14"/>
  <c r="B4910" i="14"/>
  <c r="C4910" i="14"/>
  <c r="A4911" i="14"/>
  <c r="D4911" i="14" l="1"/>
  <c r="C4911" i="14"/>
  <c r="B4911" i="14"/>
  <c r="A4912" i="14"/>
  <c r="E4911" i="14"/>
  <c r="C4912" i="14" l="1"/>
  <c r="B4912" i="14"/>
  <c r="D4912" i="14"/>
  <c r="A4913" i="14"/>
  <c r="E4912" i="14"/>
  <c r="C4913" i="14" l="1"/>
  <c r="D4913" i="14"/>
  <c r="B4913" i="14"/>
  <c r="A4914" i="14"/>
  <c r="E4913" i="14"/>
  <c r="D4914" i="14" l="1"/>
  <c r="C4914" i="14"/>
  <c r="B4914" i="14"/>
  <c r="A4915" i="14"/>
  <c r="E4914" i="14"/>
  <c r="D4915" i="14" l="1"/>
  <c r="C4915" i="14"/>
  <c r="E4915" i="14" s="1"/>
  <c r="B4915" i="14"/>
  <c r="A4916" i="14"/>
  <c r="D4916" i="14" l="1"/>
  <c r="C4916" i="14"/>
  <c r="E4916" i="14" s="1"/>
  <c r="B4916" i="14"/>
  <c r="A4917" i="14"/>
  <c r="E4917" i="14" l="1"/>
  <c r="B4917" i="14"/>
  <c r="D4917" i="14"/>
  <c r="C4917" i="14"/>
  <c r="A4918" i="14"/>
  <c r="D4918" i="14" l="1"/>
  <c r="B4918" i="14"/>
  <c r="C4918" i="14"/>
  <c r="A4919" i="14"/>
  <c r="E4918" i="14"/>
  <c r="D4919" i="14" l="1"/>
  <c r="C4919" i="14"/>
  <c r="B4919" i="14"/>
  <c r="A4920" i="14"/>
  <c r="E4919" i="14"/>
  <c r="C4920" i="14" l="1"/>
  <c r="E4920" i="14" s="1"/>
  <c r="B4920" i="14"/>
  <c r="D4920" i="14"/>
  <c r="A4921" i="14"/>
  <c r="C4921" i="14" l="1"/>
  <c r="E4921" i="14" s="1"/>
  <c r="D4921" i="14"/>
  <c r="B4921" i="14"/>
  <c r="A4922" i="14"/>
  <c r="D4922" i="14" l="1"/>
  <c r="C4922" i="14"/>
  <c r="E4922" i="14" s="1"/>
  <c r="B4922" i="14"/>
  <c r="A4923" i="14"/>
  <c r="D4923" i="14" l="1"/>
  <c r="C4923" i="14"/>
  <c r="E4923" i="14" s="1"/>
  <c r="B4923" i="14"/>
  <c r="A4924" i="14"/>
  <c r="D4924" i="14" l="1"/>
  <c r="C4924" i="14"/>
  <c r="E4924" i="14" s="1"/>
  <c r="B4924" i="14"/>
  <c r="A4925" i="14"/>
  <c r="B4925" i="14" l="1"/>
  <c r="D4925" i="14"/>
  <c r="C4925" i="14"/>
  <c r="E4925" i="14" s="1"/>
  <c r="A4926" i="14"/>
  <c r="D4926" i="14" l="1"/>
  <c r="B4926" i="14"/>
  <c r="C4926" i="14"/>
  <c r="E4926" i="14" s="1"/>
  <c r="A4927" i="14"/>
  <c r="D4927" i="14" l="1"/>
  <c r="C4927" i="14"/>
  <c r="E4927" i="14" s="1"/>
  <c r="B4927" i="14"/>
  <c r="A4928" i="14"/>
  <c r="C4928" i="14" l="1"/>
  <c r="E4928" i="14" s="1"/>
  <c r="B4928" i="14"/>
  <c r="D4928" i="14"/>
  <c r="A4929" i="14"/>
  <c r="C4929" i="14" l="1"/>
  <c r="E4929" i="14" s="1"/>
  <c r="D4929" i="14"/>
  <c r="B4929" i="14"/>
  <c r="A4930" i="14"/>
  <c r="D4930" i="14" l="1"/>
  <c r="C4930" i="14"/>
  <c r="E4930" i="14" s="1"/>
  <c r="B4930" i="14"/>
  <c r="A4931" i="14"/>
  <c r="D4931" i="14" l="1"/>
  <c r="C4931" i="14"/>
  <c r="E4931" i="14" s="1"/>
  <c r="B4931" i="14"/>
  <c r="A4932" i="14"/>
  <c r="D4932" i="14" l="1"/>
  <c r="C4932" i="14"/>
  <c r="E4932" i="14" s="1"/>
  <c r="B4932" i="14"/>
  <c r="A4933" i="14"/>
  <c r="B4933" i="14" l="1"/>
  <c r="D4933" i="14"/>
  <c r="C4933" i="14"/>
  <c r="E4933" i="14" s="1"/>
  <c r="A4934" i="14"/>
  <c r="D4934" i="14" l="1"/>
  <c r="B4934" i="14"/>
  <c r="C4934" i="14"/>
  <c r="E4934" i="14" s="1"/>
  <c r="A4935" i="14"/>
  <c r="D4935" i="14" l="1"/>
  <c r="C4935" i="14"/>
  <c r="E4935" i="14" s="1"/>
  <c r="B4935" i="14"/>
  <c r="A4936" i="14"/>
  <c r="C4936" i="14" l="1"/>
  <c r="E4936" i="14" s="1"/>
  <c r="B4936" i="14"/>
  <c r="D4936" i="14"/>
  <c r="A4937" i="14"/>
  <c r="C4937" i="14" l="1"/>
  <c r="E4937" i="14" s="1"/>
  <c r="D4937" i="14"/>
  <c r="B4937" i="14"/>
  <c r="A4938" i="14"/>
  <c r="C4938" i="14" l="1"/>
  <c r="E4938" i="14" s="1"/>
  <c r="D4938" i="14"/>
  <c r="B4938" i="14"/>
  <c r="A4939" i="14"/>
  <c r="D4939" i="14" l="1"/>
  <c r="C4939" i="14"/>
  <c r="E4939" i="14" s="1"/>
  <c r="B4939" i="14"/>
  <c r="A4940" i="14"/>
  <c r="D4940" i="14" l="1"/>
  <c r="C4940" i="14"/>
  <c r="E4940" i="14" s="1"/>
  <c r="B4940" i="14"/>
  <c r="A4941" i="14"/>
  <c r="B4941" i="14" l="1"/>
  <c r="D4941" i="14"/>
  <c r="C4941" i="14"/>
  <c r="E4941" i="14" s="1"/>
  <c r="A4942" i="14"/>
  <c r="D4942" i="14" l="1"/>
  <c r="B4942" i="14"/>
  <c r="C4942" i="14"/>
  <c r="E4942" i="14" s="1"/>
  <c r="A4943" i="14"/>
  <c r="B4943" i="14" l="1"/>
  <c r="D4943" i="14"/>
  <c r="C4943" i="14"/>
  <c r="E4943" i="14" s="1"/>
  <c r="A4944" i="14"/>
  <c r="C4944" i="14" l="1"/>
  <c r="E4944" i="14" s="1"/>
  <c r="B4944" i="14"/>
  <c r="D4944" i="14"/>
  <c r="A4945" i="14"/>
  <c r="C4945" i="14" l="1"/>
  <c r="E4945" i="14" s="1"/>
  <c r="D4945" i="14"/>
  <c r="B4945" i="14"/>
  <c r="A4946" i="14"/>
  <c r="C4946" i="14" l="1"/>
  <c r="E4946" i="14" s="1"/>
  <c r="D4946" i="14"/>
  <c r="B4946" i="14"/>
  <c r="A4947" i="14"/>
  <c r="D4947" i="14" l="1"/>
  <c r="C4947" i="14"/>
  <c r="E4947" i="14" s="1"/>
  <c r="B4947" i="14"/>
  <c r="A4948" i="14"/>
  <c r="D4948" i="14" l="1"/>
  <c r="C4948" i="14"/>
  <c r="E4948" i="14" s="1"/>
  <c r="B4948" i="14"/>
  <c r="A4949" i="14"/>
  <c r="B4949" i="14" l="1"/>
  <c r="D4949" i="14"/>
  <c r="C4949" i="14"/>
  <c r="E4949" i="14" s="1"/>
  <c r="A4950" i="14"/>
  <c r="D4950" i="14" l="1"/>
  <c r="B4950" i="14"/>
  <c r="C4950" i="14"/>
  <c r="E4950" i="14" s="1"/>
  <c r="A4951" i="14"/>
  <c r="B4951" i="14" l="1"/>
  <c r="D4951" i="14"/>
  <c r="C4951" i="14"/>
  <c r="E4951" i="14" s="1"/>
  <c r="A4952" i="14"/>
  <c r="C4952" i="14" l="1"/>
  <c r="E4952" i="14" s="1"/>
  <c r="B4952" i="14"/>
  <c r="D4952" i="14"/>
  <c r="A4953" i="14"/>
  <c r="C4953" i="14" l="1"/>
  <c r="E4953" i="14" s="1"/>
  <c r="D4953" i="14"/>
  <c r="B4953" i="14"/>
  <c r="A4954" i="14"/>
  <c r="C4954" i="14" l="1"/>
  <c r="E4954" i="14" s="1"/>
  <c r="D4954" i="14"/>
  <c r="B4954" i="14"/>
  <c r="A4955" i="14"/>
  <c r="D4955" i="14" l="1"/>
  <c r="C4955" i="14"/>
  <c r="E4955" i="14" s="1"/>
  <c r="B4955" i="14"/>
  <c r="A4956" i="14"/>
  <c r="D4956" i="14" l="1"/>
  <c r="C4956" i="14"/>
  <c r="E4956" i="14" s="1"/>
  <c r="B4956" i="14"/>
  <c r="A4957" i="14"/>
  <c r="B4957" i="14" l="1"/>
  <c r="D4957" i="14"/>
  <c r="C4957" i="14"/>
  <c r="E4957" i="14" s="1"/>
  <c r="A4958" i="14"/>
  <c r="D4958" i="14" l="1"/>
  <c r="C4958" i="14"/>
  <c r="E4958" i="14" s="1"/>
  <c r="B4958" i="14"/>
  <c r="A4959" i="14"/>
  <c r="B4959" i="14" l="1"/>
  <c r="C4959" i="14"/>
  <c r="E4959" i="14" s="1"/>
  <c r="D4959" i="14"/>
  <c r="A4960" i="14"/>
  <c r="C4960" i="14" l="1"/>
  <c r="E4960" i="14" s="1"/>
  <c r="B4960" i="14"/>
  <c r="D4960" i="14"/>
  <c r="A4961" i="14"/>
  <c r="D4961" i="14" l="1"/>
  <c r="C4961" i="14"/>
  <c r="E4961" i="14" s="1"/>
  <c r="B4961" i="14"/>
  <c r="A4962" i="14"/>
  <c r="C4962" i="14" l="1"/>
  <c r="E4962" i="14" s="1"/>
  <c r="D4962" i="14"/>
  <c r="B4962" i="14"/>
  <c r="A4963" i="14"/>
  <c r="D4963" i="14" l="1"/>
  <c r="C4963" i="14"/>
  <c r="E4963" i="14" s="1"/>
  <c r="B4963" i="14"/>
  <c r="A4964" i="14"/>
  <c r="D4964" i="14" l="1"/>
  <c r="C4964" i="14"/>
  <c r="E4964" i="14" s="1"/>
  <c r="B4964" i="14"/>
  <c r="A4965" i="14"/>
  <c r="B4965" i="14" l="1"/>
  <c r="D4965" i="14"/>
  <c r="C4965" i="14"/>
  <c r="E4965" i="14" s="1"/>
  <c r="A4966" i="14"/>
  <c r="D4966" i="14" l="1"/>
  <c r="C4966" i="14"/>
  <c r="E4966" i="14" s="1"/>
  <c r="B4966" i="14"/>
  <c r="A4967" i="14"/>
  <c r="B4967" i="14" l="1"/>
  <c r="D4967" i="14"/>
  <c r="C4967" i="14"/>
  <c r="E4967" i="14" s="1"/>
  <c r="A4968" i="14"/>
  <c r="C4968" i="14" l="1"/>
  <c r="E4968" i="14" s="1"/>
  <c r="B4968" i="14"/>
  <c r="D4968" i="14"/>
  <c r="A4969" i="14"/>
  <c r="D4969" i="14" l="1"/>
  <c r="C4969" i="14"/>
  <c r="E4969" i="14" s="1"/>
  <c r="B4969" i="14"/>
  <c r="A4970" i="14"/>
  <c r="C4970" i="14" l="1"/>
  <c r="E4970" i="14" s="1"/>
  <c r="D4970" i="14"/>
  <c r="B4970" i="14"/>
  <c r="A4971" i="14"/>
  <c r="D4971" i="14" l="1"/>
  <c r="C4971" i="14"/>
  <c r="E4971" i="14" s="1"/>
  <c r="B4971" i="14"/>
  <c r="A4972" i="14"/>
  <c r="D4972" i="14" l="1"/>
  <c r="B4972" i="14"/>
  <c r="C4972" i="14"/>
  <c r="E4972" i="14" s="1"/>
  <c r="A4973" i="14"/>
  <c r="B4973" i="14" l="1"/>
  <c r="D4973" i="14"/>
  <c r="C4973" i="14"/>
  <c r="E4973" i="14" s="1"/>
  <c r="A4974" i="14"/>
  <c r="D4974" i="14" l="1"/>
  <c r="C4974" i="14"/>
  <c r="E4974" i="14" s="1"/>
  <c r="B4974" i="14"/>
  <c r="A4975" i="14"/>
  <c r="B4975" i="14" l="1"/>
  <c r="D4975" i="14"/>
  <c r="C4975" i="14"/>
  <c r="E4975" i="14" s="1"/>
  <c r="A4976" i="14"/>
  <c r="C4976" i="14" l="1"/>
  <c r="E4976" i="14" s="1"/>
  <c r="B4976" i="14"/>
  <c r="D4976" i="14"/>
  <c r="A4977" i="14"/>
  <c r="D4977" i="14" l="1"/>
  <c r="C4977" i="14"/>
  <c r="E4977" i="14" s="1"/>
  <c r="B4977" i="14"/>
  <c r="A4978" i="14"/>
  <c r="C4978" i="14" l="1"/>
  <c r="E4978" i="14" s="1"/>
  <c r="D4978" i="14"/>
  <c r="B4978" i="14"/>
  <c r="A4979" i="14"/>
  <c r="D4979" i="14" l="1"/>
  <c r="C4979" i="14"/>
  <c r="E4979" i="14" s="1"/>
  <c r="B4979" i="14"/>
  <c r="A4980" i="14"/>
  <c r="D4980" i="14" l="1"/>
  <c r="C4980" i="14"/>
  <c r="E4980" i="14" s="1"/>
  <c r="B4980" i="14"/>
  <c r="A4981" i="14"/>
  <c r="B4981" i="14" l="1"/>
  <c r="D4981" i="14"/>
  <c r="C4981" i="14"/>
  <c r="E4981" i="14" s="1"/>
  <c r="A4982" i="14"/>
  <c r="D4982" i="14" l="1"/>
  <c r="C4982" i="14"/>
  <c r="E4982" i="14" s="1"/>
  <c r="B4982" i="14"/>
  <c r="A4983" i="14"/>
  <c r="B4983" i="14" l="1"/>
  <c r="D4983" i="14"/>
  <c r="C4983" i="14"/>
  <c r="E4983" i="14" s="1"/>
  <c r="A4984" i="14"/>
  <c r="C4984" i="14" l="1"/>
  <c r="E4984" i="14" s="1"/>
  <c r="B4984" i="14"/>
  <c r="D4984" i="14"/>
  <c r="A4985" i="14"/>
  <c r="D4985" i="14" l="1"/>
  <c r="C4985" i="14"/>
  <c r="E4985" i="14" s="1"/>
  <c r="B4985" i="14"/>
  <c r="A4986" i="14"/>
  <c r="C4986" i="14" l="1"/>
  <c r="E4986" i="14" s="1"/>
  <c r="D4986" i="14"/>
  <c r="B4986" i="14"/>
  <c r="A4987" i="14"/>
  <c r="D4987" i="14" l="1"/>
  <c r="C4987" i="14"/>
  <c r="E4987" i="14" s="1"/>
  <c r="B4987" i="14"/>
  <c r="A4988" i="14"/>
  <c r="D4988" i="14" l="1"/>
  <c r="C4988" i="14"/>
  <c r="E4988" i="14" s="1"/>
  <c r="B4988" i="14"/>
  <c r="A4989" i="14"/>
  <c r="B4989" i="14" l="1"/>
  <c r="D4989" i="14"/>
  <c r="C4989" i="14"/>
  <c r="E4989" i="14" s="1"/>
  <c r="A4990" i="14"/>
  <c r="D4990" i="14" l="1"/>
  <c r="C4990" i="14"/>
  <c r="E4990" i="14" s="1"/>
  <c r="B4990" i="14"/>
  <c r="A4991" i="14"/>
  <c r="B4991" i="14" l="1"/>
  <c r="D4991" i="14"/>
  <c r="C4991" i="14"/>
  <c r="E4991" i="14" s="1"/>
  <c r="A4992" i="14"/>
  <c r="C4992" i="14" l="1"/>
  <c r="E4992" i="14" s="1"/>
  <c r="B4992" i="14"/>
  <c r="D4992" i="14"/>
  <c r="A4993" i="14"/>
  <c r="D4993" i="14" l="1"/>
  <c r="C4993" i="14"/>
  <c r="E4993" i="14" s="1"/>
  <c r="B4993" i="14"/>
  <c r="A4994" i="14"/>
  <c r="C4994" i="14" l="1"/>
  <c r="E4994" i="14" s="1"/>
  <c r="D4994" i="14"/>
  <c r="B4994" i="14"/>
  <c r="A4995" i="14"/>
  <c r="D4995" i="14" l="1"/>
  <c r="C4995" i="14"/>
  <c r="E4995" i="14" s="1"/>
  <c r="B4995" i="14"/>
  <c r="A4996" i="14"/>
  <c r="D4996" i="14" l="1"/>
  <c r="C4996" i="14"/>
  <c r="E4996" i="14" s="1"/>
  <c r="B4996" i="14"/>
  <c r="A4997" i="14"/>
  <c r="B4997" i="14" l="1"/>
  <c r="D4997" i="14"/>
  <c r="C4997" i="14"/>
  <c r="E4997" i="14" s="1"/>
  <c r="A4998" i="14"/>
  <c r="D4998" i="14" l="1"/>
  <c r="C4998" i="14"/>
  <c r="E4998" i="14" s="1"/>
  <c r="B4998" i="14"/>
  <c r="A4999" i="14"/>
  <c r="D4999" i="14" l="1"/>
  <c r="B4999" i="14"/>
  <c r="C4999" i="14"/>
  <c r="E4999" i="14" s="1"/>
  <c r="A5000" i="14"/>
  <c r="C5000" i="14" l="1"/>
  <c r="E5000" i="14" s="1"/>
  <c r="B5000" i="14"/>
  <c r="D5000" i="14"/>
  <c r="A5001" i="14"/>
  <c r="D5001" i="14" l="1"/>
  <c r="C5001" i="14"/>
  <c r="E5001" i="14" s="1"/>
  <c r="B5001" i="14"/>
  <c r="A5002" i="14"/>
  <c r="C5002" i="14" l="1"/>
  <c r="E5002" i="14" s="1"/>
  <c r="D5002" i="14"/>
  <c r="B5002" i="14"/>
  <c r="A5003" i="14"/>
  <c r="D5003" i="14" l="1"/>
  <c r="C5003" i="14"/>
  <c r="E5003" i="14" s="1"/>
  <c r="B5003" i="14"/>
  <c r="A5004" i="14"/>
  <c r="D5004" i="14" l="1"/>
  <c r="C5004" i="14"/>
  <c r="E5004" i="14" s="1"/>
  <c r="B5004" i="14"/>
  <c r="A5005" i="14"/>
  <c r="B5005" i="14" l="1"/>
  <c r="D5005" i="14"/>
  <c r="C5005" i="14"/>
  <c r="E5005" i="14" s="1"/>
  <c r="A5006" i="14"/>
  <c r="D5006" i="14" l="1"/>
  <c r="C5006" i="14"/>
  <c r="E5006" i="14" s="1"/>
  <c r="B5006" i="14"/>
  <c r="A5007" i="14"/>
  <c r="D5007" i="14" l="1"/>
  <c r="C5007" i="14"/>
  <c r="E5007" i="14" s="1"/>
  <c r="B5007" i="14"/>
  <c r="A5008" i="14"/>
  <c r="C5008" i="14" l="1"/>
  <c r="E5008" i="14" s="1"/>
  <c r="B5008" i="14"/>
  <c r="D5008" i="14"/>
  <c r="A5009" i="14"/>
  <c r="D5009" i="14" l="1"/>
  <c r="C5009" i="14"/>
  <c r="E5009" i="14" s="1"/>
  <c r="B5009" i="14"/>
  <c r="A5010" i="14"/>
  <c r="D5010" i="14" l="1"/>
  <c r="C5010" i="14"/>
  <c r="E5010" i="14" s="1"/>
  <c r="B5010" i="14"/>
  <c r="A5011" i="14"/>
  <c r="D5011" i="14" l="1"/>
  <c r="C5011" i="14"/>
  <c r="E5011" i="14" s="1"/>
  <c r="B5011" i="14"/>
  <c r="A5012" i="14"/>
  <c r="D5012" i="14" l="1"/>
  <c r="C5012" i="14"/>
  <c r="E5012" i="14" s="1"/>
  <c r="B5012" i="14"/>
  <c r="A5013" i="14"/>
  <c r="B5013" i="14" l="1"/>
  <c r="D5013" i="14"/>
  <c r="C5013" i="14"/>
  <c r="E5013" i="14" s="1"/>
  <c r="A5014" i="14"/>
  <c r="D5014" i="14" l="1"/>
  <c r="C5014" i="14"/>
  <c r="E5014" i="14" s="1"/>
  <c r="B5014" i="14"/>
  <c r="A5015" i="14"/>
  <c r="D5015" i="14" l="1"/>
  <c r="C5015" i="14"/>
  <c r="E5015" i="14" s="1"/>
  <c r="B5015" i="14"/>
  <c r="A5016" i="14"/>
  <c r="C5016" i="14" l="1"/>
  <c r="E5016" i="14" s="1"/>
  <c r="B5016" i="14"/>
  <c r="D5016" i="14"/>
  <c r="A5017" i="14"/>
  <c r="D5017" i="14" l="1"/>
  <c r="C5017" i="14"/>
  <c r="E5017" i="14" s="1"/>
  <c r="B5017" i="14"/>
  <c r="A5018" i="14"/>
  <c r="D5018" i="14" l="1"/>
  <c r="C5018" i="14"/>
  <c r="E5018" i="14" s="1"/>
  <c r="B5018" i="14"/>
  <c r="A5019" i="14"/>
  <c r="D5019" i="14" l="1"/>
  <c r="C5019" i="14"/>
  <c r="E5019" i="14" s="1"/>
  <c r="B5019" i="14"/>
  <c r="A5020" i="14"/>
  <c r="D5020" i="14" l="1"/>
  <c r="C5020" i="14"/>
  <c r="E5020" i="14" s="1"/>
  <c r="B5020" i="14"/>
  <c r="A5021" i="14"/>
  <c r="B5021" i="14" l="1"/>
  <c r="D5021" i="14"/>
  <c r="C5021" i="14"/>
  <c r="E5021" i="14" s="1"/>
  <c r="A5022" i="14"/>
  <c r="D5022" i="14" l="1"/>
  <c r="C5022" i="14"/>
  <c r="E5022" i="14" s="1"/>
  <c r="B5022" i="14"/>
  <c r="A5023" i="14"/>
  <c r="D5023" i="14" l="1"/>
  <c r="C5023" i="14"/>
  <c r="E5023" i="14" s="1"/>
  <c r="B5023" i="14"/>
  <c r="A5024" i="14"/>
  <c r="C5024" i="14" l="1"/>
  <c r="E5024" i="14" s="1"/>
  <c r="B5024" i="14"/>
  <c r="D5024" i="14"/>
  <c r="A5025" i="14"/>
  <c r="D5025" i="14" l="1"/>
  <c r="C5025" i="14"/>
  <c r="E5025" i="14" s="1"/>
  <c r="B5025" i="14"/>
  <c r="A5026" i="14"/>
  <c r="D5026" i="14" l="1"/>
  <c r="C5026" i="14"/>
  <c r="E5026" i="14" s="1"/>
  <c r="B5026" i="14"/>
  <c r="A5027" i="14"/>
  <c r="D5027" i="14" l="1"/>
  <c r="C5027" i="14"/>
  <c r="E5027" i="14" s="1"/>
  <c r="B5027" i="14"/>
  <c r="A5028" i="14"/>
  <c r="D5028" i="14" l="1"/>
  <c r="C5028" i="14"/>
  <c r="E5028" i="14" s="1"/>
  <c r="B5028" i="14"/>
  <c r="A5029" i="14"/>
  <c r="B5029" i="14" l="1"/>
  <c r="D5029" i="14"/>
  <c r="C5029" i="14"/>
  <c r="E5029" i="14" s="1"/>
  <c r="A5030" i="14"/>
  <c r="D5030" i="14" l="1"/>
  <c r="C5030" i="14"/>
  <c r="E5030" i="14" s="1"/>
  <c r="B5030" i="14"/>
  <c r="A5031" i="14"/>
  <c r="D5031" i="14" l="1"/>
  <c r="C5031" i="14"/>
  <c r="E5031" i="14" s="1"/>
  <c r="B5031" i="14"/>
  <c r="A5032" i="14"/>
  <c r="C5032" i="14" l="1"/>
  <c r="E5032" i="14" s="1"/>
  <c r="B5032" i="14"/>
  <c r="D5032" i="14"/>
  <c r="A5033" i="14"/>
  <c r="D5033" i="14" l="1"/>
  <c r="C5033" i="14"/>
  <c r="E5033" i="14" s="1"/>
  <c r="B5033" i="14"/>
  <c r="A5034" i="14"/>
  <c r="D5034" i="14" l="1"/>
  <c r="C5034" i="14"/>
  <c r="E5034" i="14" s="1"/>
  <c r="B5034" i="14"/>
  <c r="A5035" i="14"/>
  <c r="D5035" i="14" l="1"/>
  <c r="C5035" i="14"/>
  <c r="E5035" i="14" s="1"/>
  <c r="B5035" i="14"/>
  <c r="A5036" i="14"/>
  <c r="D5036" i="14" l="1"/>
  <c r="C5036" i="14"/>
  <c r="E5036" i="14" s="1"/>
  <c r="B5036" i="14"/>
  <c r="A5037" i="14"/>
  <c r="B5037" i="14" l="1"/>
  <c r="D5037" i="14"/>
  <c r="C5037" i="14"/>
  <c r="E5037" i="14" s="1"/>
  <c r="A5038" i="14"/>
  <c r="D5038" i="14" l="1"/>
  <c r="C5038" i="14"/>
  <c r="E5038" i="14" s="1"/>
  <c r="B5038" i="14"/>
  <c r="A5039" i="14"/>
  <c r="D5039" i="14" l="1"/>
  <c r="C5039" i="14"/>
  <c r="E5039" i="14" s="1"/>
  <c r="B5039" i="14"/>
  <c r="A5040" i="14"/>
  <c r="C5040" i="14" l="1"/>
  <c r="E5040" i="14" s="1"/>
  <c r="B5040" i="14"/>
  <c r="D5040" i="14"/>
  <c r="A5041" i="14"/>
  <c r="D5041" i="14" l="1"/>
  <c r="C5041" i="14"/>
  <c r="E5041" i="14" s="1"/>
  <c r="B5041" i="14"/>
  <c r="A5042" i="14"/>
  <c r="D5042" i="14" l="1"/>
  <c r="C5042" i="14"/>
  <c r="E5042" i="14" s="1"/>
  <c r="B5042" i="14"/>
  <c r="A5043" i="14"/>
  <c r="D5043" i="14" l="1"/>
  <c r="C5043" i="14"/>
  <c r="E5043" i="14" s="1"/>
  <c r="B5043" i="14"/>
  <c r="A5044" i="14"/>
  <c r="D5044" i="14" l="1"/>
  <c r="C5044" i="14"/>
  <c r="E5044" i="14" s="1"/>
  <c r="B5044" i="14"/>
  <c r="A5045" i="14"/>
  <c r="B5045" i="14" l="1"/>
  <c r="D5045" i="14"/>
  <c r="C5045" i="14"/>
  <c r="E5045" i="14" s="1"/>
  <c r="A5046" i="14"/>
  <c r="D5046" i="14" l="1"/>
  <c r="C5046" i="14"/>
  <c r="E5046" i="14" s="1"/>
  <c r="B5046" i="14"/>
  <c r="A5047" i="14"/>
  <c r="D5047" i="14" l="1"/>
  <c r="C5047" i="14"/>
  <c r="E5047" i="14" s="1"/>
  <c r="B5047" i="14"/>
  <c r="A5048" i="14"/>
  <c r="C5048" i="14" l="1"/>
  <c r="E5048" i="14" s="1"/>
  <c r="B5048" i="14"/>
  <c r="D5048" i="14"/>
  <c r="A5049" i="14"/>
  <c r="D5049" i="14" l="1"/>
  <c r="C5049" i="14"/>
  <c r="E5049" i="14" s="1"/>
  <c r="B5049" i="14"/>
  <c r="A5050" i="14"/>
  <c r="D5050" i="14" l="1"/>
  <c r="C5050" i="14"/>
  <c r="E5050" i="14" s="1"/>
  <c r="B5050" i="14"/>
  <c r="A5051" i="14"/>
  <c r="D5051" i="14" l="1"/>
  <c r="C5051" i="14"/>
  <c r="E5051" i="14" s="1"/>
  <c r="B5051" i="14"/>
  <c r="A5052" i="14"/>
  <c r="D5052" i="14" l="1"/>
  <c r="C5052" i="14"/>
  <c r="E5052" i="14" s="1"/>
  <c r="B5052" i="14"/>
  <c r="A5053" i="14"/>
  <c r="B5053" i="14" l="1"/>
  <c r="D5053" i="14"/>
  <c r="C5053" i="14"/>
  <c r="E5053" i="14" s="1"/>
  <c r="A5054" i="14"/>
  <c r="D5054" i="14" l="1"/>
  <c r="C5054" i="14"/>
  <c r="E5054" i="14" s="1"/>
  <c r="B5054" i="14"/>
  <c r="A5055" i="14"/>
  <c r="D5055" i="14" l="1"/>
  <c r="C5055" i="14"/>
  <c r="E5055" i="14" s="1"/>
  <c r="B5055" i="14"/>
  <c r="A5056" i="14"/>
  <c r="C5056" i="14" l="1"/>
  <c r="E5056" i="14" s="1"/>
  <c r="B5056" i="14"/>
  <c r="D5056" i="14"/>
  <c r="A5057" i="14"/>
  <c r="D5057" i="14" l="1"/>
  <c r="C5057" i="14"/>
  <c r="E5057" i="14" s="1"/>
  <c r="B5057" i="14"/>
  <c r="A5058" i="14"/>
  <c r="D5058" i="14" l="1"/>
  <c r="C5058" i="14"/>
  <c r="E5058" i="14" s="1"/>
  <c r="B5058" i="14"/>
  <c r="A5059" i="14"/>
  <c r="D5059" i="14" l="1"/>
  <c r="C5059" i="14"/>
  <c r="E5059" i="14" s="1"/>
  <c r="B5059" i="14"/>
  <c r="A5060" i="14"/>
  <c r="D5060" i="14" l="1"/>
  <c r="C5060" i="14"/>
  <c r="E5060" i="14" s="1"/>
  <c r="B5060" i="14"/>
  <c r="A5061" i="14"/>
  <c r="B5061" i="14" l="1"/>
  <c r="D5061" i="14"/>
  <c r="C5061" i="14"/>
  <c r="E5061" i="14" s="1"/>
  <c r="A5062" i="14"/>
  <c r="D5062" i="14" l="1"/>
  <c r="C5062" i="14"/>
  <c r="E5062" i="14" s="1"/>
  <c r="B5062" i="14"/>
  <c r="A5063" i="14"/>
  <c r="D5063" i="14" l="1"/>
  <c r="C5063" i="14"/>
  <c r="E5063" i="14" s="1"/>
  <c r="B5063" i="14"/>
  <c r="A5064" i="14"/>
  <c r="C5064" i="14" l="1"/>
  <c r="E5064" i="14" s="1"/>
  <c r="B5064" i="14"/>
  <c r="D5064" i="14"/>
  <c r="A5065" i="14"/>
  <c r="D5065" i="14" l="1"/>
  <c r="C5065" i="14"/>
  <c r="E5065" i="14" s="1"/>
  <c r="B5065" i="14"/>
  <c r="A5066" i="14"/>
  <c r="D5066" i="14" l="1"/>
  <c r="C5066" i="14"/>
  <c r="E5066" i="14" s="1"/>
  <c r="B5066" i="14"/>
  <c r="A5067" i="14"/>
  <c r="D5067" i="14" l="1"/>
  <c r="C5067" i="14"/>
  <c r="E5067" i="14" s="1"/>
  <c r="B5067" i="14"/>
  <c r="A5068" i="14"/>
  <c r="D5068" i="14" l="1"/>
  <c r="C5068" i="14"/>
  <c r="E5068" i="14" s="1"/>
  <c r="B5068" i="14"/>
  <c r="A5069" i="14"/>
  <c r="B5069" i="14" l="1"/>
  <c r="D5069" i="14"/>
  <c r="C5069" i="14"/>
  <c r="E5069" i="14" s="1"/>
  <c r="A5070" i="14"/>
  <c r="D5070" i="14" l="1"/>
  <c r="C5070" i="14"/>
  <c r="E5070" i="14" s="1"/>
  <c r="B5070" i="14"/>
  <c r="A5071" i="14"/>
  <c r="D5071" i="14" l="1"/>
  <c r="C5071" i="14"/>
  <c r="E5071" i="14" s="1"/>
  <c r="B5071" i="14"/>
  <c r="A5072" i="14"/>
  <c r="C5072" i="14" l="1"/>
  <c r="E5072" i="14" s="1"/>
  <c r="B5072" i="14"/>
  <c r="D5072" i="14"/>
  <c r="A5073" i="14"/>
  <c r="D5073" i="14" l="1"/>
  <c r="C5073" i="14"/>
  <c r="E5073" i="14" s="1"/>
  <c r="B5073" i="14"/>
  <c r="A5074" i="14"/>
  <c r="B5074" i="14" l="1"/>
  <c r="D5074" i="14"/>
  <c r="C5074" i="14"/>
  <c r="E5074" i="14" s="1"/>
  <c r="A5075" i="14"/>
  <c r="C5075" i="14" l="1"/>
  <c r="E5075" i="14" s="1"/>
  <c r="D5075" i="14"/>
  <c r="B5075" i="14"/>
  <c r="A5076" i="14"/>
  <c r="D5076" i="14" l="1"/>
  <c r="C5076" i="14"/>
  <c r="E5076" i="14" s="1"/>
  <c r="B5076" i="14"/>
  <c r="A5077" i="14"/>
  <c r="D5077" i="14" l="1"/>
  <c r="C5077" i="14"/>
  <c r="E5077" i="14" s="1"/>
  <c r="B5077" i="14"/>
  <c r="A5078" i="14"/>
  <c r="D5078" i="14" l="1"/>
  <c r="C5078" i="14"/>
  <c r="E5078" i="14" s="1"/>
  <c r="B5078" i="14"/>
  <c r="A5079" i="14"/>
  <c r="D5079" i="14" l="1"/>
  <c r="C5079" i="14"/>
  <c r="E5079" i="14" s="1"/>
  <c r="B5079" i="14"/>
  <c r="A5080" i="14"/>
  <c r="B5080" i="14" l="1"/>
  <c r="D5080" i="14"/>
  <c r="C5080" i="14"/>
  <c r="E5080" i="14" s="1"/>
  <c r="A5081" i="14"/>
  <c r="C5081" i="14" l="1"/>
  <c r="E5081" i="14" s="1"/>
  <c r="B5081" i="14"/>
  <c r="D5081" i="14"/>
  <c r="A5082" i="14"/>
  <c r="D5082" i="14" l="1"/>
  <c r="C5082" i="14"/>
  <c r="E5082" i="14" s="1"/>
  <c r="B5082" i="14"/>
  <c r="A5083" i="14"/>
  <c r="C5083" i="14" l="1"/>
  <c r="E5083" i="14" s="1"/>
  <c r="B5083" i="14"/>
  <c r="D5083" i="14"/>
  <c r="A5084" i="14"/>
  <c r="D5084" i="14" l="1"/>
  <c r="C5084" i="14"/>
  <c r="E5084" i="14" s="1"/>
  <c r="B5084" i="14"/>
  <c r="A5085" i="14"/>
  <c r="B5085" i="14" l="1"/>
  <c r="D5085" i="14"/>
  <c r="C5085" i="14"/>
  <c r="E5085" i="14" s="1"/>
  <c r="A5086" i="14"/>
  <c r="D5086" i="14" l="1"/>
  <c r="C5086" i="14"/>
  <c r="E5086" i="14" s="1"/>
  <c r="B5086" i="14"/>
  <c r="A5087" i="14"/>
  <c r="D5087" i="14" l="1"/>
  <c r="C5087" i="14"/>
  <c r="E5087" i="14" s="1"/>
  <c r="B5087" i="14"/>
  <c r="A5088" i="14"/>
  <c r="B5088" i="14" l="1"/>
  <c r="D5088" i="14"/>
  <c r="C5088" i="14"/>
  <c r="E5088" i="14" s="1"/>
  <c r="A5089" i="14"/>
  <c r="D5089" i="14" l="1"/>
  <c r="C5089" i="14"/>
  <c r="E5089" i="14" s="1"/>
  <c r="B5089" i="14"/>
  <c r="A5090" i="14"/>
  <c r="D5090" i="14" l="1"/>
  <c r="C5090" i="14"/>
  <c r="E5090" i="14" s="1"/>
  <c r="B5090" i="14"/>
  <c r="A5091" i="14"/>
  <c r="C5091" i="14" l="1"/>
  <c r="E5091" i="14" s="1"/>
  <c r="D5091" i="14"/>
  <c r="B5091" i="14"/>
  <c r="A5092" i="14"/>
  <c r="C5092" i="14" l="1"/>
  <c r="E5092" i="14" s="1"/>
  <c r="B5092" i="14"/>
  <c r="D5092" i="14"/>
  <c r="A5093" i="14"/>
  <c r="D5093" i="14" l="1"/>
  <c r="C5093" i="14"/>
  <c r="E5093" i="14" s="1"/>
  <c r="B5093" i="14"/>
  <c r="A5094" i="14"/>
  <c r="D5094" i="14" l="1"/>
  <c r="B5094" i="14"/>
  <c r="C5094" i="14"/>
  <c r="E5094" i="14" s="1"/>
  <c r="A5095" i="14"/>
  <c r="D5095" i="14" l="1"/>
  <c r="C5095" i="14"/>
  <c r="E5095" i="14" s="1"/>
  <c r="B5095" i="14"/>
  <c r="A5096" i="14"/>
  <c r="B5096" i="14" l="1"/>
  <c r="D5096" i="14"/>
  <c r="C5096" i="14"/>
  <c r="E5096" i="14" s="1"/>
  <c r="A5097" i="14"/>
  <c r="D5097" i="14" l="1"/>
  <c r="C5097" i="14"/>
  <c r="E5097" i="14" s="1"/>
  <c r="B5097" i="14"/>
  <c r="A5098" i="14"/>
  <c r="D5098" i="14" l="1"/>
  <c r="C5098" i="14"/>
  <c r="E5098" i="14" s="1"/>
  <c r="B5098" i="14"/>
  <c r="A5099" i="14"/>
  <c r="C5099" i="14" l="1"/>
  <c r="E5099" i="14" s="1"/>
  <c r="D5099" i="14"/>
  <c r="B5099" i="14"/>
  <c r="A5100" i="14"/>
  <c r="D5100" i="14" l="1"/>
  <c r="C5100" i="14"/>
  <c r="E5100" i="14" s="1"/>
  <c r="B5100" i="14"/>
  <c r="A5101" i="14"/>
  <c r="D5101" i="14" l="1"/>
  <c r="C5101" i="14"/>
  <c r="E5101" i="14" s="1"/>
  <c r="B5101" i="14"/>
  <c r="A5102" i="14"/>
  <c r="D5102" i="14" l="1"/>
  <c r="B5102" i="14"/>
  <c r="C5102" i="14"/>
  <c r="E5102" i="14" s="1"/>
  <c r="A5103" i="14"/>
  <c r="D5103" i="14" l="1"/>
  <c r="C5103" i="14"/>
  <c r="E5103" i="14" s="1"/>
  <c r="B5103" i="14"/>
  <c r="A5104" i="14"/>
  <c r="B5104" i="14" l="1"/>
  <c r="D5104" i="14"/>
  <c r="C5104" i="14"/>
  <c r="E5104" i="14" s="1"/>
  <c r="A5105" i="14"/>
  <c r="C5105" i="14" l="1"/>
  <c r="E5105" i="14" s="1"/>
  <c r="D5105" i="14"/>
  <c r="B5105" i="14"/>
  <c r="A5106" i="14"/>
  <c r="B5106" i="14" l="1"/>
  <c r="D5106" i="14"/>
  <c r="C5106" i="14"/>
  <c r="E5106" i="14" s="1"/>
  <c r="A5107" i="14"/>
  <c r="C5107" i="14" l="1"/>
  <c r="E5107" i="14" s="1"/>
  <c r="D5107" i="14"/>
  <c r="B5107" i="14"/>
  <c r="A5108" i="14"/>
  <c r="D5108" i="14" l="1"/>
  <c r="B5108" i="14"/>
  <c r="C5108" i="14"/>
  <c r="E5108" i="14" s="1"/>
  <c r="A5109" i="14"/>
  <c r="D5109" i="14" l="1"/>
  <c r="C5109" i="14"/>
  <c r="E5109" i="14" s="1"/>
  <c r="B5109" i="14"/>
  <c r="A5110" i="14"/>
  <c r="D5110" i="14" l="1"/>
  <c r="B5110" i="14"/>
  <c r="C5110" i="14"/>
  <c r="E5110" i="14" s="1"/>
  <c r="A5111" i="14"/>
  <c r="D5111" i="14" l="1"/>
  <c r="C5111" i="14"/>
  <c r="E5111" i="14" s="1"/>
  <c r="B5111" i="14"/>
  <c r="A5112" i="14"/>
  <c r="B5112" i="14" l="1"/>
  <c r="D5112" i="14"/>
  <c r="C5112" i="14"/>
  <c r="E5112" i="14" s="1"/>
  <c r="A5113" i="14"/>
  <c r="C5113" i="14" l="1"/>
  <c r="E5113" i="14" s="1"/>
  <c r="D5113" i="14"/>
  <c r="B5113" i="14"/>
  <c r="A5114" i="14"/>
  <c r="D5114" i="14" l="1"/>
  <c r="C5114" i="14"/>
  <c r="E5114" i="14" s="1"/>
  <c r="B5114" i="14"/>
  <c r="A5115" i="14"/>
  <c r="C5115" i="14" l="1"/>
  <c r="E5115" i="14" s="1"/>
  <c r="D5115" i="14"/>
  <c r="B5115" i="14"/>
  <c r="A5116" i="14"/>
  <c r="D5116" i="14" l="1"/>
  <c r="C5116" i="14"/>
  <c r="E5116" i="14" s="1"/>
  <c r="B5116" i="14"/>
  <c r="A5117" i="14"/>
  <c r="D5117" i="14" l="1"/>
  <c r="C5117" i="14"/>
  <c r="E5117" i="14" s="1"/>
  <c r="B5117" i="14"/>
  <c r="A5118" i="14"/>
  <c r="D5118" i="14" l="1"/>
  <c r="B5118" i="14"/>
  <c r="C5118" i="14"/>
  <c r="E5118" i="14" s="1"/>
  <c r="A5119" i="14"/>
  <c r="D5119" i="14" l="1"/>
  <c r="C5119" i="14"/>
  <c r="E5119" i="14" s="1"/>
  <c r="B5119" i="14"/>
  <c r="A5120" i="14"/>
  <c r="B5120" i="14" l="1"/>
  <c r="D5120" i="14"/>
  <c r="C5120" i="14"/>
  <c r="E5120" i="14" s="1"/>
  <c r="A5121" i="14"/>
  <c r="C5121" i="14" l="1"/>
  <c r="E5121" i="14" s="1"/>
  <c r="D5121" i="14"/>
  <c r="B5121" i="14"/>
  <c r="A5122" i="14"/>
  <c r="D5122" i="14" l="1"/>
  <c r="C5122" i="14"/>
  <c r="E5122" i="14" s="1"/>
  <c r="B5122" i="14"/>
  <c r="A5123" i="14"/>
  <c r="C5123" i="14" l="1"/>
  <c r="E5123" i="14" s="1"/>
  <c r="B5123" i="14"/>
  <c r="D5123" i="14"/>
  <c r="A5124" i="14"/>
  <c r="D5124" i="14" l="1"/>
  <c r="C5124" i="14"/>
  <c r="E5124" i="14" s="1"/>
  <c r="B5124" i="14"/>
  <c r="A5125" i="14"/>
  <c r="C5125" i="14" l="1"/>
  <c r="E5125" i="14" s="1"/>
  <c r="B5125" i="14"/>
  <c r="D5125" i="14"/>
  <c r="A5126" i="14"/>
  <c r="D5126" i="14" l="1"/>
  <c r="B5126" i="14"/>
  <c r="C5126" i="14"/>
  <c r="E5126" i="14" s="1"/>
  <c r="A5127" i="14"/>
  <c r="C5127" i="14" l="1"/>
  <c r="E5127" i="14" s="1"/>
  <c r="B5127" i="14"/>
  <c r="D5127" i="14"/>
  <c r="A5128" i="14"/>
  <c r="B5128" i="14" l="1"/>
  <c r="D5128" i="14"/>
  <c r="C5128" i="14"/>
  <c r="E5128" i="14" s="1"/>
  <c r="A5129" i="14"/>
  <c r="C5129" i="14" l="1"/>
  <c r="E5129" i="14" s="1"/>
  <c r="D5129" i="14"/>
  <c r="B5129" i="14"/>
  <c r="A5130" i="14"/>
  <c r="D5130" i="14" l="1"/>
  <c r="C5130" i="14"/>
  <c r="E5130" i="14" s="1"/>
  <c r="B5130" i="14"/>
  <c r="A5131" i="14"/>
  <c r="C5131" i="14" l="1"/>
  <c r="E5131" i="14" s="1"/>
  <c r="D5131" i="14"/>
  <c r="B5131" i="14"/>
  <c r="A5132" i="14"/>
  <c r="D5132" i="14" l="1"/>
  <c r="C5132" i="14"/>
  <c r="E5132" i="14" s="1"/>
  <c r="B5132" i="14"/>
  <c r="A5133" i="14"/>
  <c r="D5133" i="14" l="1"/>
  <c r="C5133" i="14"/>
  <c r="E5133" i="14" s="1"/>
  <c r="B5133" i="14"/>
  <c r="A5134" i="14"/>
  <c r="D5134" i="14" l="1"/>
  <c r="B5134" i="14"/>
  <c r="C5134" i="14"/>
  <c r="E5134" i="14" s="1"/>
  <c r="A5135" i="14"/>
  <c r="D5135" i="14" l="1"/>
  <c r="C5135" i="14"/>
  <c r="E5135" i="14" s="1"/>
  <c r="B5135" i="14"/>
  <c r="A5136" i="14"/>
  <c r="B5136" i="14" l="1"/>
  <c r="D5136" i="14"/>
  <c r="C5136" i="14"/>
  <c r="E5136" i="14" s="1"/>
  <c r="A5137" i="14"/>
  <c r="C5137" i="14" l="1"/>
  <c r="E5137" i="14" s="1"/>
  <c r="D5137" i="14"/>
  <c r="B5137" i="14"/>
  <c r="A5138" i="14"/>
  <c r="B5138" i="14" l="1"/>
  <c r="D5138" i="14"/>
  <c r="C5138" i="14"/>
  <c r="E5138" i="14" s="1"/>
  <c r="A5139" i="14"/>
  <c r="C5139" i="14" l="1"/>
  <c r="E5139" i="14" s="1"/>
  <c r="D5139" i="14"/>
  <c r="B5139" i="14"/>
  <c r="A5140" i="14"/>
  <c r="D5140" i="14" l="1"/>
  <c r="B5140" i="14"/>
  <c r="C5140" i="14"/>
  <c r="E5140" i="14" s="1"/>
  <c r="A5141" i="14"/>
  <c r="D5141" i="14" l="1"/>
  <c r="C5141" i="14"/>
  <c r="E5141" i="14" s="1"/>
  <c r="B5141" i="14"/>
  <c r="A5142" i="14"/>
  <c r="D5142" i="14" l="1"/>
  <c r="B5142" i="14"/>
  <c r="C5142" i="14"/>
  <c r="E5142" i="14" s="1"/>
  <c r="A5143" i="14"/>
  <c r="D5143" i="14" l="1"/>
  <c r="C5143" i="14"/>
  <c r="E5143" i="14" s="1"/>
  <c r="B5143" i="14"/>
  <c r="A5144" i="14"/>
  <c r="B5144" i="14" l="1"/>
  <c r="D5144" i="14"/>
  <c r="C5144" i="14"/>
  <c r="E5144" i="14" s="1"/>
  <c r="A5145" i="14"/>
  <c r="C5145" i="14" l="1"/>
  <c r="E5145" i="14" s="1"/>
  <c r="B5145" i="14"/>
  <c r="D5145" i="14"/>
  <c r="A5146" i="14"/>
  <c r="D5146" i="14" l="1"/>
  <c r="C5146" i="14"/>
  <c r="E5146" i="14" s="1"/>
  <c r="B5146" i="14"/>
  <c r="A5147" i="14"/>
  <c r="C5147" i="14" l="1"/>
  <c r="E5147" i="14" s="1"/>
  <c r="D5147" i="14"/>
  <c r="B5147" i="14"/>
  <c r="A5148" i="14"/>
  <c r="D5148" i="14" l="1"/>
  <c r="C5148" i="14"/>
  <c r="E5148" i="14" s="1"/>
  <c r="B5148" i="14"/>
  <c r="A5149" i="14"/>
  <c r="D5149" i="14" l="1"/>
  <c r="C5149" i="14"/>
  <c r="E5149" i="14" s="1"/>
  <c r="B5149" i="14"/>
  <c r="A5150" i="14"/>
  <c r="D5150" i="14" l="1"/>
  <c r="B5150" i="14"/>
  <c r="C5150" i="14"/>
  <c r="E5150" i="14" s="1"/>
  <c r="A5151" i="14"/>
  <c r="D5151" i="14" l="1"/>
  <c r="C5151" i="14"/>
  <c r="E5151" i="14" s="1"/>
  <c r="B5151" i="14"/>
  <c r="A5152" i="14"/>
  <c r="B5152" i="14" l="1"/>
  <c r="D5152" i="14"/>
  <c r="C5152" i="14"/>
  <c r="E5152" i="14" s="1"/>
  <c r="A5153" i="14"/>
  <c r="C5153" i="14" l="1"/>
  <c r="E5153" i="14" s="1"/>
  <c r="B5153" i="14"/>
  <c r="D5153" i="14"/>
  <c r="A5154" i="14"/>
  <c r="D5154" i="14" l="1"/>
  <c r="C5154" i="14"/>
  <c r="E5154" i="14" s="1"/>
  <c r="B5154" i="14"/>
  <c r="A5155" i="14"/>
  <c r="C5155" i="14" l="1"/>
  <c r="E5155" i="14" s="1"/>
  <c r="D5155" i="14"/>
  <c r="B5155" i="14"/>
  <c r="A5156" i="14"/>
  <c r="D5156" i="14" l="1"/>
  <c r="C5156" i="14"/>
  <c r="E5156" i="14" s="1"/>
  <c r="B5156" i="14"/>
  <c r="A5157" i="14"/>
  <c r="C5157" i="14" l="1"/>
  <c r="E5157" i="14" s="1"/>
  <c r="D5157" i="14"/>
  <c r="B5157" i="14"/>
  <c r="A5158" i="14"/>
  <c r="D5158" i="14" l="1"/>
  <c r="B5158" i="14"/>
  <c r="C5158" i="14"/>
  <c r="E5158" i="14" s="1"/>
  <c r="A5159" i="14"/>
  <c r="D5159" i="14" l="1"/>
  <c r="C5159" i="14"/>
  <c r="E5159" i="14" s="1"/>
  <c r="B5159" i="14"/>
  <c r="A5160" i="14"/>
  <c r="B5160" i="14" l="1"/>
  <c r="D5160" i="14"/>
  <c r="C5160" i="14"/>
  <c r="E5160" i="14" s="1"/>
  <c r="A5161" i="14"/>
  <c r="C5161" i="14" l="1"/>
  <c r="E5161" i="14" s="1"/>
  <c r="B5161" i="14"/>
  <c r="D5161" i="14"/>
  <c r="A5162" i="14"/>
  <c r="B5162" i="14" l="1"/>
  <c r="D5162" i="14"/>
  <c r="C5162" i="14"/>
  <c r="E5162" i="14" s="1"/>
  <c r="A5163" i="14"/>
  <c r="C5163" i="14" l="1"/>
  <c r="E5163" i="14" s="1"/>
  <c r="D5163" i="14"/>
  <c r="B5163" i="14"/>
  <c r="A5164" i="14"/>
  <c r="D5164" i="14" l="1"/>
  <c r="C5164" i="14"/>
  <c r="E5164" i="14" s="1"/>
  <c r="B5164" i="14"/>
  <c r="A5165" i="14"/>
  <c r="C5165" i="14" l="1"/>
  <c r="E5165" i="14" s="1"/>
  <c r="B5165" i="14"/>
  <c r="D5165" i="14"/>
  <c r="A5166" i="14"/>
  <c r="D5166" i="14" l="1"/>
  <c r="C5166" i="14"/>
  <c r="E5166" i="14" s="1"/>
  <c r="B5166" i="14"/>
  <c r="A5167" i="14"/>
  <c r="D5167" i="14" l="1"/>
  <c r="C5167" i="14"/>
  <c r="E5167" i="14" s="1"/>
  <c r="B5167" i="14"/>
  <c r="A5168" i="14"/>
  <c r="B5168" i="14" l="1"/>
  <c r="D5168" i="14"/>
  <c r="C5168" i="14"/>
  <c r="E5168" i="14" s="1"/>
  <c r="A5169" i="14"/>
  <c r="D5169" i="14" l="1"/>
  <c r="C5169" i="14"/>
  <c r="E5169" i="14" s="1"/>
  <c r="B5169" i="14"/>
  <c r="A5170" i="14"/>
  <c r="B5170" i="14" l="1"/>
  <c r="D5170" i="14"/>
  <c r="C5170" i="14"/>
  <c r="E5170" i="14" s="1"/>
  <c r="A5171" i="14"/>
  <c r="C5171" i="14" l="1"/>
  <c r="E5171" i="14" s="1"/>
  <c r="B5171" i="14"/>
  <c r="D5171" i="14"/>
  <c r="A5172" i="14"/>
  <c r="D5172" i="14" l="1"/>
  <c r="C5172" i="14"/>
  <c r="E5172" i="14" s="1"/>
  <c r="B5172" i="14"/>
  <c r="A5173" i="14"/>
  <c r="C5173" i="14" l="1"/>
  <c r="E5173" i="14" s="1"/>
  <c r="D5173" i="14"/>
  <c r="B5173" i="14"/>
  <c r="A5174" i="14"/>
  <c r="D5174" i="14" l="1"/>
  <c r="C5174" i="14"/>
  <c r="E5174" i="14" s="1"/>
  <c r="B5174" i="14"/>
  <c r="A5175" i="14"/>
  <c r="D5175" i="14" l="1"/>
  <c r="C5175" i="14"/>
  <c r="E5175" i="14" s="1"/>
  <c r="B5175" i="14"/>
  <c r="A5176" i="14"/>
  <c r="B5176" i="14" l="1"/>
  <c r="D5176" i="14"/>
  <c r="C5176" i="14"/>
  <c r="E5176" i="14" s="1"/>
  <c r="A5177" i="14"/>
  <c r="D5177" i="14" l="1"/>
  <c r="C5177" i="14"/>
  <c r="E5177" i="14" s="1"/>
  <c r="B5177" i="14"/>
  <c r="A5178" i="14"/>
  <c r="B5178" i="14" l="1"/>
  <c r="D5178" i="14"/>
  <c r="C5178" i="14"/>
  <c r="E5178" i="14" s="1"/>
  <c r="A5179" i="14"/>
  <c r="C5179" i="14" l="1"/>
  <c r="E5179" i="14" s="1"/>
  <c r="B5179" i="14"/>
  <c r="D5179" i="14"/>
  <c r="A5180" i="14"/>
  <c r="D5180" i="14" l="1"/>
  <c r="C5180" i="14"/>
  <c r="E5180" i="14" s="1"/>
  <c r="B5180" i="14"/>
  <c r="A5181" i="14"/>
  <c r="C5181" i="14" l="1"/>
  <c r="E5181" i="14" s="1"/>
  <c r="D5181" i="14"/>
  <c r="B5181" i="14"/>
  <c r="A5182" i="14"/>
  <c r="D5182" i="14" l="1"/>
  <c r="C5182" i="14"/>
  <c r="E5182" i="14" s="1"/>
  <c r="B5182" i="14"/>
  <c r="A5183" i="14"/>
  <c r="D5183" i="14" l="1"/>
  <c r="C5183" i="14"/>
  <c r="E5183" i="14" s="1"/>
  <c r="B5183" i="14"/>
  <c r="A5184" i="14"/>
  <c r="B5184" i="14" l="1"/>
  <c r="D5184" i="14"/>
  <c r="C5184" i="14"/>
  <c r="E5184" i="14" s="1"/>
  <c r="A5185" i="14"/>
  <c r="D5185" i="14" l="1"/>
  <c r="C5185" i="14"/>
  <c r="E5185" i="14" s="1"/>
  <c r="B5185" i="14"/>
  <c r="A5186" i="14"/>
  <c r="B5186" i="14" l="1"/>
  <c r="C5186" i="14"/>
  <c r="E5186" i="14" s="1"/>
  <c r="D5186" i="14"/>
  <c r="A5187" i="14"/>
  <c r="C5187" i="14" l="1"/>
  <c r="E5187" i="14" s="1"/>
  <c r="B5187" i="14"/>
  <c r="D5187" i="14"/>
  <c r="A5188" i="14"/>
  <c r="D5188" i="14" l="1"/>
  <c r="C5188" i="14"/>
  <c r="E5188" i="14" s="1"/>
  <c r="B5188" i="14"/>
  <c r="A5189" i="14"/>
  <c r="C5189" i="14" l="1"/>
  <c r="E5189" i="14" s="1"/>
  <c r="D5189" i="14"/>
  <c r="B5189" i="14"/>
  <c r="A5190" i="14"/>
  <c r="D5190" i="14" l="1"/>
  <c r="C5190" i="14"/>
  <c r="E5190" i="14" s="1"/>
  <c r="B5190" i="14"/>
  <c r="A5191" i="14"/>
  <c r="D5191" i="14" l="1"/>
  <c r="C5191" i="14"/>
  <c r="E5191" i="14" s="1"/>
  <c r="B5191" i="14"/>
  <c r="A5192" i="14"/>
  <c r="B5192" i="14" l="1"/>
  <c r="D5192" i="14"/>
  <c r="C5192" i="14"/>
  <c r="E5192" i="14" s="1"/>
  <c r="A5193" i="14"/>
  <c r="D5193" i="14" l="1"/>
  <c r="C5193" i="14"/>
  <c r="E5193" i="14" s="1"/>
  <c r="B5193" i="14"/>
  <c r="A5194" i="14"/>
  <c r="B5194" i="14" l="1"/>
  <c r="D5194" i="14"/>
  <c r="C5194" i="14"/>
  <c r="E5194" i="14" s="1"/>
  <c r="A5195" i="14"/>
  <c r="C5195" i="14" l="1"/>
  <c r="E5195" i="14" s="1"/>
  <c r="B5195" i="14"/>
  <c r="D5195" i="14"/>
  <c r="A5196" i="14"/>
  <c r="D5196" i="14" l="1"/>
  <c r="C5196" i="14"/>
  <c r="E5196" i="14" s="1"/>
  <c r="B5196" i="14"/>
  <c r="A5197" i="14"/>
  <c r="C5197" i="14" l="1"/>
  <c r="E5197" i="14" s="1"/>
  <c r="D5197" i="14"/>
  <c r="B5197" i="14"/>
  <c r="A5198" i="14"/>
  <c r="D5198" i="14" l="1"/>
  <c r="C5198" i="14"/>
  <c r="E5198" i="14" s="1"/>
  <c r="B5198" i="14"/>
  <c r="A5199" i="14"/>
  <c r="D5199" i="14" l="1"/>
  <c r="B5199" i="14"/>
  <c r="C5199" i="14"/>
  <c r="E5199" i="14" s="1"/>
  <c r="A5200" i="14"/>
  <c r="B5200" i="14" l="1"/>
  <c r="D5200" i="14"/>
  <c r="C5200" i="14"/>
  <c r="E5200" i="14" s="1"/>
  <c r="A5201" i="14"/>
  <c r="D5201" i="14" l="1"/>
  <c r="C5201" i="14"/>
  <c r="E5201" i="14" s="1"/>
  <c r="B5201" i="14"/>
  <c r="A5202" i="14"/>
  <c r="B5202" i="14" l="1"/>
  <c r="D5202" i="14"/>
  <c r="C5202" i="14"/>
  <c r="E5202" i="14" s="1"/>
  <c r="A5203" i="14"/>
  <c r="C5203" i="14" l="1"/>
  <c r="E5203" i="14" s="1"/>
  <c r="B5203" i="14"/>
  <c r="D5203" i="14"/>
  <c r="A5204" i="14"/>
  <c r="D5204" i="14" l="1"/>
  <c r="C5204" i="14"/>
  <c r="E5204" i="14" s="1"/>
  <c r="B5204" i="14"/>
  <c r="A5205" i="14"/>
  <c r="D5205" i="14" l="1"/>
  <c r="C5205" i="14"/>
  <c r="E5205" i="14" s="1"/>
  <c r="B5205" i="14"/>
  <c r="A5206" i="14"/>
  <c r="D5206" i="14" l="1"/>
  <c r="C5206" i="14"/>
  <c r="E5206" i="14" s="1"/>
  <c r="B5206" i="14"/>
  <c r="A5207" i="14"/>
  <c r="D5207" i="14" l="1"/>
  <c r="C5207" i="14"/>
  <c r="E5207" i="14" s="1"/>
  <c r="B5207" i="14"/>
  <c r="A5208" i="14"/>
  <c r="B5208" i="14" l="1"/>
  <c r="D5208" i="14"/>
  <c r="C5208" i="14"/>
  <c r="E5208" i="14" s="1"/>
  <c r="A5209" i="14"/>
  <c r="D5209" i="14" l="1"/>
  <c r="C5209" i="14"/>
  <c r="E5209" i="14" s="1"/>
  <c r="B5209" i="14"/>
  <c r="A5210" i="14"/>
  <c r="D5210" i="14" l="1"/>
  <c r="C5210" i="14"/>
  <c r="E5210" i="14" s="1"/>
  <c r="B5210" i="14"/>
  <c r="A5211" i="14"/>
  <c r="C5211" i="14" l="1"/>
  <c r="E5211" i="14" s="1"/>
  <c r="B5211" i="14"/>
  <c r="D5211" i="14"/>
  <c r="A5212" i="14"/>
  <c r="D5212" i="14" l="1"/>
  <c r="C5212" i="14"/>
  <c r="E5212" i="14" s="1"/>
  <c r="B5212" i="14"/>
  <c r="A5213" i="14"/>
  <c r="D5213" i="14" l="1"/>
  <c r="C5213" i="14"/>
  <c r="E5213" i="14" s="1"/>
  <c r="B5213" i="14"/>
  <c r="A5214" i="14"/>
  <c r="D5214" i="14" l="1"/>
  <c r="C5214" i="14"/>
  <c r="E5214" i="14" s="1"/>
  <c r="B5214" i="14"/>
  <c r="A5215" i="14"/>
  <c r="D5215" i="14" l="1"/>
  <c r="C5215" i="14"/>
  <c r="E5215" i="14" s="1"/>
  <c r="B5215" i="14"/>
  <c r="A5216" i="14"/>
  <c r="B5216" i="14" l="1"/>
  <c r="D5216" i="14"/>
  <c r="C5216" i="14"/>
  <c r="E5216" i="14" s="1"/>
  <c r="A5217" i="14"/>
  <c r="D5217" i="14" l="1"/>
  <c r="C5217" i="14"/>
  <c r="E5217" i="14" s="1"/>
  <c r="B5217" i="14"/>
  <c r="A5218" i="14"/>
  <c r="D5218" i="14" l="1"/>
  <c r="C5218" i="14"/>
  <c r="E5218" i="14" s="1"/>
  <c r="B5218" i="14"/>
  <c r="A5219" i="14"/>
  <c r="C5219" i="14" l="1"/>
  <c r="E5219" i="14" s="1"/>
  <c r="B5219" i="14"/>
  <c r="D5219" i="14"/>
  <c r="A5220" i="14"/>
  <c r="D5220" i="14" l="1"/>
  <c r="C5220" i="14"/>
  <c r="E5220" i="14" s="1"/>
  <c r="B5220" i="14"/>
  <c r="A5221" i="14"/>
  <c r="D5221" i="14" l="1"/>
  <c r="C5221" i="14"/>
  <c r="E5221" i="14" s="1"/>
  <c r="B5221" i="14"/>
  <c r="A5222" i="14"/>
  <c r="D5222" i="14" l="1"/>
  <c r="C5222" i="14"/>
  <c r="E5222" i="14" s="1"/>
  <c r="B5222" i="14"/>
  <c r="A5223" i="14"/>
  <c r="D5223" i="14" l="1"/>
  <c r="C5223" i="14"/>
  <c r="E5223" i="14" s="1"/>
  <c r="B5223" i="14"/>
  <c r="A5224" i="14"/>
  <c r="B5224" i="14" l="1"/>
  <c r="D5224" i="14"/>
  <c r="C5224" i="14"/>
  <c r="E5224" i="14" s="1"/>
  <c r="A5225" i="14"/>
  <c r="D5225" i="14" l="1"/>
  <c r="C5225" i="14"/>
  <c r="E5225" i="14" s="1"/>
  <c r="B5225" i="14"/>
  <c r="A5226" i="14"/>
  <c r="D5226" i="14" l="1"/>
  <c r="C5226" i="14"/>
  <c r="E5226" i="14" s="1"/>
  <c r="B5226" i="14"/>
  <c r="A5227" i="14"/>
  <c r="C5227" i="14" l="1"/>
  <c r="E5227" i="14" s="1"/>
  <c r="B5227" i="14"/>
  <c r="D5227" i="14"/>
  <c r="A5228" i="14"/>
  <c r="D5228" i="14" l="1"/>
  <c r="C5228" i="14"/>
  <c r="E5228" i="14" s="1"/>
  <c r="B5228" i="14"/>
  <c r="A5229" i="14"/>
  <c r="D5229" i="14" l="1"/>
  <c r="C5229" i="14"/>
  <c r="E5229" i="14" s="1"/>
  <c r="B5229" i="14"/>
  <c r="A5230" i="14"/>
  <c r="D5230" i="14" l="1"/>
  <c r="C5230" i="14"/>
  <c r="E5230" i="14" s="1"/>
  <c r="B5230" i="14"/>
  <c r="A5231" i="14"/>
  <c r="D5231" i="14" l="1"/>
  <c r="C5231" i="14"/>
  <c r="E5231" i="14" s="1"/>
  <c r="B5231" i="14"/>
  <c r="A5232" i="14"/>
  <c r="B5232" i="14" l="1"/>
  <c r="D5232" i="14"/>
  <c r="C5232" i="14"/>
  <c r="E5232" i="14" s="1"/>
  <c r="A5233" i="14"/>
  <c r="D5233" i="14" l="1"/>
  <c r="C5233" i="14"/>
  <c r="E5233" i="14" s="1"/>
  <c r="B5233" i="14"/>
  <c r="A5234" i="14"/>
  <c r="D5234" i="14" l="1"/>
  <c r="C5234" i="14"/>
  <c r="E5234" i="14" s="1"/>
  <c r="B5234" i="14"/>
  <c r="A5235" i="14"/>
  <c r="C5235" i="14" l="1"/>
  <c r="E5235" i="14" s="1"/>
  <c r="B5235" i="14"/>
  <c r="D5235" i="14"/>
  <c r="A5236" i="14"/>
  <c r="D5236" i="14" l="1"/>
  <c r="C5236" i="14"/>
  <c r="E5236" i="14" s="1"/>
  <c r="B5236" i="14"/>
  <c r="A5237" i="14"/>
  <c r="D5237" i="14" l="1"/>
  <c r="C5237" i="14"/>
  <c r="E5237" i="14" s="1"/>
  <c r="B5237" i="14"/>
  <c r="A5238" i="14"/>
  <c r="D5238" i="14" l="1"/>
  <c r="C5238" i="14"/>
  <c r="E5238" i="14" s="1"/>
  <c r="B5238" i="14"/>
  <c r="A5239" i="14"/>
  <c r="D5239" i="14" l="1"/>
  <c r="C5239" i="14"/>
  <c r="E5239" i="14" s="1"/>
  <c r="B5239" i="14"/>
  <c r="A5240" i="14"/>
  <c r="B5240" i="14" l="1"/>
  <c r="D5240" i="14"/>
  <c r="C5240" i="14"/>
  <c r="E5240" i="14" s="1"/>
  <c r="A5241" i="14"/>
  <c r="D5241" i="14" l="1"/>
  <c r="C5241" i="14"/>
  <c r="E5241" i="14" s="1"/>
  <c r="B5241" i="14"/>
  <c r="A5242" i="14"/>
  <c r="D5242" i="14" l="1"/>
  <c r="C5242" i="14"/>
  <c r="E5242" i="14" s="1"/>
  <c r="B5242" i="14"/>
  <c r="A5243" i="14"/>
  <c r="C5243" i="14" l="1"/>
  <c r="E5243" i="14" s="1"/>
  <c r="B5243" i="14"/>
  <c r="D5243" i="14"/>
  <c r="A5244" i="14"/>
  <c r="D5244" i="14" l="1"/>
  <c r="C5244" i="14"/>
  <c r="E5244" i="14" s="1"/>
  <c r="B5244" i="14"/>
  <c r="A5245" i="14"/>
  <c r="D5245" i="14" l="1"/>
  <c r="C5245" i="14"/>
  <c r="E5245" i="14" s="1"/>
  <c r="B5245" i="14"/>
  <c r="A5246" i="14"/>
  <c r="D5246" i="14" l="1"/>
  <c r="C5246" i="14"/>
  <c r="E5246" i="14" s="1"/>
  <c r="B5246" i="14"/>
  <c r="A5247" i="14"/>
  <c r="D5247" i="14" l="1"/>
  <c r="C5247" i="14"/>
  <c r="E5247" i="14" s="1"/>
  <c r="B5247" i="14"/>
  <c r="A5248" i="14"/>
  <c r="B5248" i="14" l="1"/>
  <c r="D5248" i="14"/>
  <c r="C5248" i="14"/>
  <c r="E5248" i="14" s="1"/>
  <c r="A5249" i="14"/>
  <c r="D5249" i="14" l="1"/>
  <c r="C5249" i="14"/>
  <c r="E5249" i="14" s="1"/>
  <c r="B5249" i="14"/>
  <c r="A5250" i="14"/>
  <c r="D5250" i="14" l="1"/>
  <c r="C5250" i="14"/>
  <c r="E5250" i="14" s="1"/>
  <c r="B5250" i="14"/>
  <c r="A5251" i="14"/>
  <c r="C5251" i="14" l="1"/>
  <c r="E5251" i="14" s="1"/>
  <c r="B5251" i="14"/>
  <c r="D5251" i="14"/>
  <c r="A5252" i="14"/>
  <c r="D5252" i="14" l="1"/>
  <c r="C5252" i="14"/>
  <c r="E5252" i="14" s="1"/>
  <c r="B5252" i="14"/>
  <c r="A5253" i="14"/>
  <c r="D5253" i="14" l="1"/>
  <c r="C5253" i="14"/>
  <c r="E5253" i="14" s="1"/>
  <c r="B5253" i="14"/>
  <c r="A5254" i="14"/>
  <c r="D5254" i="14" l="1"/>
  <c r="C5254" i="14"/>
  <c r="E5254" i="14" s="1"/>
  <c r="B5254" i="14"/>
  <c r="A5255" i="14"/>
  <c r="D5255" i="14" l="1"/>
  <c r="C5255" i="14"/>
  <c r="E5255" i="14" s="1"/>
  <c r="B5255" i="14"/>
  <c r="A5256" i="14"/>
  <c r="B5256" i="14" l="1"/>
  <c r="D5256" i="14"/>
  <c r="C5256" i="14"/>
  <c r="E5256" i="14" s="1"/>
  <c r="A5257" i="14"/>
  <c r="D5257" i="14" l="1"/>
  <c r="C5257" i="14"/>
  <c r="E5257" i="14" s="1"/>
  <c r="B5257" i="14"/>
  <c r="A5258" i="14"/>
  <c r="D5258" i="14" l="1"/>
  <c r="C5258" i="14"/>
  <c r="E5258" i="14" s="1"/>
  <c r="B5258" i="14"/>
  <c r="A5259" i="14"/>
  <c r="C5259" i="14" l="1"/>
  <c r="E5259" i="14" s="1"/>
  <c r="B5259" i="14"/>
  <c r="D5259" i="14"/>
  <c r="A5260" i="14"/>
  <c r="D5260" i="14" l="1"/>
  <c r="C5260" i="14"/>
  <c r="E5260" i="14" s="1"/>
  <c r="B5260" i="14"/>
  <c r="A5261" i="14"/>
  <c r="D5261" i="14" l="1"/>
  <c r="C5261" i="14"/>
  <c r="E5261" i="14" s="1"/>
  <c r="B5261" i="14"/>
  <c r="A5262" i="14"/>
  <c r="D5262" i="14" l="1"/>
  <c r="C5262" i="14"/>
  <c r="E5262" i="14" s="1"/>
  <c r="B5262" i="14"/>
  <c r="A5263" i="14"/>
  <c r="D5263" i="14" l="1"/>
  <c r="C5263" i="14"/>
  <c r="E5263" i="14" s="1"/>
  <c r="B5263" i="14"/>
  <c r="A5264" i="14"/>
  <c r="B5264" i="14" l="1"/>
  <c r="D5264" i="14"/>
  <c r="C5264" i="14"/>
  <c r="E5264" i="14" s="1"/>
  <c r="A5265" i="14"/>
  <c r="D5265" i="14" l="1"/>
  <c r="C5265" i="14"/>
  <c r="E5265" i="14" s="1"/>
  <c r="B5265" i="14"/>
  <c r="A5266" i="14"/>
  <c r="D5266" i="14" l="1"/>
  <c r="C5266" i="14"/>
  <c r="E5266" i="14" s="1"/>
  <c r="B5266" i="14"/>
  <c r="A5267" i="14"/>
  <c r="C5267" i="14" l="1"/>
  <c r="E5267" i="14" s="1"/>
  <c r="B5267" i="14"/>
  <c r="D5267" i="14"/>
  <c r="A5268" i="14"/>
  <c r="D5268" i="14" l="1"/>
  <c r="C5268" i="14"/>
  <c r="E5268" i="14" s="1"/>
  <c r="B5268" i="14"/>
  <c r="A5269" i="14"/>
  <c r="D5269" i="14" l="1"/>
  <c r="C5269" i="14"/>
  <c r="E5269" i="14" s="1"/>
  <c r="B5269" i="14"/>
  <c r="A5270" i="14"/>
  <c r="D5270" i="14" l="1"/>
  <c r="C5270" i="14"/>
  <c r="E5270" i="14" s="1"/>
  <c r="B5270" i="14"/>
  <c r="A5271" i="14"/>
  <c r="B5271" i="14" l="1"/>
  <c r="D5271" i="14"/>
  <c r="C5271" i="14"/>
  <c r="E5271" i="14" s="1"/>
  <c r="A5272" i="14"/>
  <c r="D5272" i="14" l="1"/>
  <c r="C5272" i="14"/>
  <c r="E5272" i="14" s="1"/>
  <c r="B5272" i="14"/>
  <c r="A5273" i="14"/>
  <c r="D5273" i="14" l="1"/>
  <c r="C5273" i="14"/>
  <c r="E5273" i="14" s="1"/>
  <c r="B5273" i="14"/>
  <c r="A5274" i="14"/>
  <c r="C5274" i="14" l="1"/>
  <c r="E5274" i="14" s="1"/>
  <c r="B5274" i="14"/>
  <c r="D5274" i="14"/>
  <c r="A5275" i="14"/>
  <c r="D5275" i="14" l="1"/>
  <c r="C5275" i="14"/>
  <c r="E5275" i="14" s="1"/>
  <c r="B5275" i="14"/>
  <c r="A5276" i="14"/>
  <c r="D5276" i="14" l="1"/>
  <c r="C5276" i="14"/>
  <c r="E5276" i="14" s="1"/>
  <c r="B5276" i="14"/>
  <c r="A5277" i="14"/>
  <c r="D5277" i="14" l="1"/>
  <c r="C5277" i="14"/>
  <c r="E5277" i="14" s="1"/>
  <c r="B5277" i="14"/>
  <c r="A5278" i="14"/>
  <c r="D5278" i="14" l="1"/>
  <c r="C5278" i="14"/>
  <c r="E5278" i="14" s="1"/>
  <c r="B5278" i="14"/>
  <c r="A5279" i="14"/>
  <c r="B5279" i="14" l="1"/>
  <c r="D5279" i="14"/>
  <c r="C5279" i="14"/>
  <c r="E5279" i="14" s="1"/>
  <c r="A5280" i="14"/>
  <c r="D5280" i="14" l="1"/>
  <c r="C5280" i="14"/>
  <c r="E5280" i="14" s="1"/>
  <c r="B5280" i="14"/>
  <c r="A5281" i="14"/>
  <c r="D5281" i="14" l="1"/>
  <c r="C5281" i="14"/>
  <c r="E5281" i="14" s="1"/>
  <c r="B5281" i="14"/>
  <c r="A5282" i="14"/>
  <c r="C5282" i="14" l="1"/>
  <c r="E5282" i="14" s="1"/>
  <c r="B5282" i="14"/>
  <c r="D5282" i="14"/>
  <c r="A5283" i="14"/>
  <c r="D5283" i="14" l="1"/>
  <c r="C5283" i="14"/>
  <c r="E5283" i="14" s="1"/>
  <c r="B5283" i="14"/>
  <c r="A5284" i="14"/>
  <c r="C5284" i="14" l="1"/>
  <c r="E5284" i="14" s="1"/>
  <c r="B5284" i="14"/>
  <c r="D5284" i="14"/>
  <c r="A5285" i="14"/>
  <c r="D5285" i="14" l="1"/>
  <c r="C5285" i="14"/>
  <c r="E5285" i="14" s="1"/>
  <c r="B5285" i="14"/>
  <c r="A5286" i="14"/>
  <c r="C5286" i="14" l="1"/>
  <c r="E5286" i="14" s="1"/>
  <c r="B5286" i="14"/>
  <c r="D5286" i="14"/>
  <c r="A5287" i="14"/>
  <c r="B5287" i="14" l="1"/>
  <c r="D5287" i="14"/>
  <c r="C5287" i="14"/>
  <c r="E5287" i="14" s="1"/>
  <c r="A5288" i="14"/>
  <c r="D5288" i="14" l="1"/>
  <c r="C5288" i="14"/>
  <c r="E5288" i="14" s="1"/>
  <c r="B5288" i="14"/>
  <c r="A5289" i="14"/>
  <c r="D5289" i="14" l="1"/>
  <c r="C5289" i="14"/>
  <c r="E5289" i="14" s="1"/>
  <c r="B5289" i="14"/>
  <c r="A5290" i="14"/>
  <c r="C5290" i="14" l="1"/>
  <c r="E5290" i="14" s="1"/>
  <c r="B5290" i="14"/>
  <c r="D5290" i="14"/>
  <c r="A5291" i="14"/>
  <c r="D5291" i="14" l="1"/>
  <c r="C5291" i="14"/>
  <c r="E5291" i="14" s="1"/>
  <c r="B5291" i="14"/>
  <c r="A5292" i="14"/>
  <c r="D5292" i="14" l="1"/>
  <c r="C5292" i="14"/>
  <c r="E5292" i="14" s="1"/>
  <c r="B5292" i="14"/>
  <c r="A5293" i="14"/>
  <c r="D5293" i="14" l="1"/>
  <c r="C5293" i="14"/>
  <c r="E5293" i="14" s="1"/>
  <c r="B5293" i="14"/>
  <c r="A5294" i="14"/>
  <c r="D5294" i="14" l="1"/>
  <c r="C5294" i="14"/>
  <c r="E5294" i="14" s="1"/>
  <c r="B5294" i="14"/>
  <c r="A5295" i="14"/>
  <c r="B5295" i="14" l="1"/>
  <c r="D5295" i="14"/>
  <c r="C5295" i="14"/>
  <c r="E5295" i="14" s="1"/>
  <c r="A5296" i="14"/>
  <c r="D5296" i="14" l="1"/>
  <c r="C5296" i="14"/>
  <c r="E5296" i="14" s="1"/>
  <c r="B5296" i="14"/>
  <c r="A5297" i="14"/>
  <c r="B5297" i="14" l="1"/>
  <c r="D5297" i="14"/>
  <c r="C5297" i="14"/>
  <c r="E5297" i="14" s="1"/>
  <c r="A5298" i="14"/>
  <c r="C5298" i="14" l="1"/>
  <c r="E5298" i="14" s="1"/>
  <c r="B5298" i="14"/>
  <c r="D5298" i="14"/>
  <c r="A5299" i="14"/>
  <c r="B5299" i="14" l="1"/>
  <c r="D5299" i="14"/>
  <c r="C5299" i="14"/>
  <c r="E5299" i="14" s="1"/>
  <c r="A5300" i="14"/>
  <c r="D5300" i="14" l="1"/>
  <c r="C5300" i="14"/>
  <c r="E5300" i="14" s="1"/>
  <c r="B5300" i="14"/>
  <c r="A5301" i="14"/>
  <c r="D5301" i="14" l="1"/>
  <c r="C5301" i="14"/>
  <c r="E5301" i="14" s="1"/>
  <c r="B5301" i="14"/>
  <c r="A5302" i="14"/>
  <c r="D5302" i="14" l="1"/>
  <c r="C5302" i="14"/>
  <c r="E5302" i="14" s="1"/>
  <c r="B5302" i="14"/>
  <c r="A5303" i="14"/>
  <c r="B5303" i="14" l="1"/>
  <c r="D5303" i="14"/>
  <c r="C5303" i="14"/>
  <c r="E5303" i="14" s="1"/>
  <c r="A5304" i="14"/>
  <c r="D5304" i="14" l="1"/>
  <c r="C5304" i="14"/>
  <c r="E5304" i="14" s="1"/>
  <c r="B5304" i="14"/>
  <c r="A5305" i="14"/>
  <c r="D5305" i="14" l="1"/>
  <c r="C5305" i="14"/>
  <c r="E5305" i="14" s="1"/>
  <c r="B5305" i="14"/>
  <c r="A5306" i="14"/>
  <c r="C5306" i="14" l="1"/>
  <c r="E5306" i="14" s="1"/>
  <c r="B5306" i="14"/>
  <c r="D5306" i="14"/>
  <c r="A5307" i="14"/>
  <c r="D5307" i="14" l="1"/>
  <c r="C5307" i="14"/>
  <c r="E5307" i="14" s="1"/>
  <c r="B5307" i="14"/>
  <c r="A5308" i="14"/>
  <c r="D5308" i="14" l="1"/>
  <c r="C5308" i="14"/>
  <c r="E5308" i="14" s="1"/>
  <c r="B5308" i="14"/>
  <c r="A5309" i="14"/>
  <c r="D5309" i="14" l="1"/>
  <c r="C5309" i="14"/>
  <c r="E5309" i="14" s="1"/>
  <c r="B5309" i="14"/>
  <c r="A5310" i="14"/>
  <c r="D5310" i="14" l="1"/>
  <c r="C5310" i="14"/>
  <c r="E5310" i="14" s="1"/>
  <c r="B5310" i="14"/>
  <c r="A5311" i="14"/>
  <c r="B5311" i="14" l="1"/>
  <c r="D5311" i="14"/>
  <c r="C5311" i="14"/>
  <c r="E5311" i="14" s="1"/>
  <c r="A5312" i="14"/>
  <c r="D5312" i="14" l="1"/>
  <c r="C5312" i="14"/>
  <c r="E5312" i="14" s="1"/>
  <c r="B5312" i="14"/>
  <c r="A5313" i="14"/>
  <c r="D5313" i="14" l="1"/>
  <c r="C5313" i="14"/>
  <c r="E5313" i="14" s="1"/>
  <c r="B5313" i="14"/>
  <c r="A5314" i="14"/>
  <c r="C5314" i="14" l="1"/>
  <c r="E5314" i="14" s="1"/>
  <c r="B5314" i="14"/>
  <c r="D5314" i="14"/>
  <c r="A5315" i="14"/>
  <c r="D5315" i="14" l="1"/>
  <c r="C5315" i="14"/>
  <c r="E5315" i="14" s="1"/>
  <c r="B5315" i="14"/>
  <c r="A5316" i="14"/>
  <c r="C5316" i="14" l="1"/>
  <c r="E5316" i="14" s="1"/>
  <c r="B5316" i="14"/>
  <c r="D5316" i="14"/>
  <c r="A5317" i="14"/>
  <c r="D5317" i="14" l="1"/>
  <c r="C5317" i="14"/>
  <c r="E5317" i="14" s="1"/>
  <c r="B5317" i="14"/>
  <c r="A5318" i="14"/>
  <c r="D5318" i="14" l="1"/>
  <c r="C5318" i="14"/>
  <c r="E5318" i="14" s="1"/>
  <c r="B5318" i="14"/>
  <c r="A5319" i="14"/>
  <c r="B5319" i="14" l="1"/>
  <c r="D5319" i="14"/>
  <c r="C5319" i="14"/>
  <c r="E5319" i="14" s="1"/>
  <c r="A5320" i="14"/>
  <c r="D5320" i="14" l="1"/>
  <c r="B5320" i="14"/>
  <c r="C5320" i="14"/>
  <c r="E5320" i="14" s="1"/>
  <c r="A5321" i="14"/>
  <c r="C5321" i="14" l="1"/>
  <c r="E5321" i="14" s="1"/>
  <c r="B5321" i="14"/>
  <c r="D5321" i="14"/>
  <c r="A5322" i="14"/>
  <c r="C5322" i="14" l="1"/>
  <c r="E5322" i="14" s="1"/>
  <c r="B5322" i="14"/>
  <c r="D5322" i="14"/>
  <c r="A5323" i="14"/>
  <c r="C5323" i="14" l="1"/>
  <c r="E5323" i="14" s="1"/>
  <c r="D5323" i="14"/>
  <c r="B5323" i="14"/>
  <c r="A5324" i="14"/>
  <c r="B5324" i="14" l="1"/>
  <c r="D5324" i="14"/>
  <c r="C5324" i="14"/>
  <c r="E5324" i="14" s="1"/>
  <c r="A5325" i="14"/>
  <c r="D5325" i="14" l="1"/>
  <c r="C5325" i="14"/>
  <c r="E5325" i="14" s="1"/>
  <c r="B5325" i="14"/>
  <c r="A5326" i="14"/>
  <c r="D5326" i="14" l="1"/>
  <c r="C5326" i="14"/>
  <c r="E5326" i="14" s="1"/>
  <c r="B5326" i="14"/>
  <c r="A5327" i="14"/>
  <c r="B5327" i="14" l="1"/>
  <c r="D5327" i="14"/>
  <c r="C5327" i="14"/>
  <c r="E5327" i="14" s="1"/>
  <c r="A5328" i="14"/>
  <c r="D5328" i="14" l="1"/>
  <c r="B5328" i="14"/>
  <c r="C5328" i="14"/>
  <c r="E5328" i="14" s="1"/>
  <c r="A5329" i="14"/>
  <c r="B5329" i="14" l="1"/>
  <c r="D5329" i="14"/>
  <c r="C5329" i="14"/>
  <c r="E5329" i="14" s="1"/>
  <c r="A5330" i="14"/>
  <c r="C5330" i="14" l="1"/>
  <c r="E5330" i="14" s="1"/>
  <c r="B5330" i="14"/>
  <c r="D5330" i="14"/>
  <c r="A5331" i="14"/>
  <c r="C5331" i="14" l="1"/>
  <c r="E5331" i="14" s="1"/>
  <c r="D5331" i="14"/>
  <c r="B5331" i="14"/>
  <c r="A5332" i="14"/>
  <c r="D5332" i="14" l="1"/>
  <c r="C5332" i="14"/>
  <c r="E5332" i="14" s="1"/>
  <c r="B5332" i="14"/>
  <c r="A5333" i="14"/>
  <c r="D5333" i="14" l="1"/>
  <c r="C5333" i="14"/>
  <c r="E5333" i="14" s="1"/>
  <c r="B5333" i="14"/>
  <c r="A5334" i="14"/>
  <c r="D5334" i="14" l="1"/>
  <c r="B5334" i="14"/>
  <c r="C5334" i="14"/>
  <c r="E5334" i="14" s="1"/>
  <c r="A5335" i="14"/>
  <c r="B5335" i="14" l="1"/>
  <c r="D5335" i="14"/>
  <c r="C5335" i="14"/>
  <c r="E5335" i="14" s="1"/>
  <c r="A5336" i="14"/>
  <c r="D5336" i="14" l="1"/>
  <c r="B5336" i="14"/>
  <c r="C5336" i="14"/>
  <c r="E5336" i="14" s="1"/>
  <c r="A5337" i="14"/>
  <c r="D5337" i="14" l="1"/>
  <c r="C5337" i="14"/>
  <c r="E5337" i="14" s="1"/>
  <c r="B5337" i="14"/>
  <c r="A5338" i="14"/>
  <c r="C5338" i="14" l="1"/>
  <c r="E5338" i="14" s="1"/>
  <c r="B5338" i="14"/>
  <c r="D5338" i="14"/>
  <c r="A5339" i="14"/>
  <c r="C5339" i="14" l="1"/>
  <c r="E5339" i="14" s="1"/>
  <c r="B5339" i="14"/>
  <c r="D5339" i="14"/>
  <c r="A5340" i="14"/>
  <c r="D5340" i="14" l="1"/>
  <c r="C5340" i="14"/>
  <c r="E5340" i="14" s="1"/>
  <c r="B5340" i="14"/>
  <c r="A5341" i="14"/>
  <c r="D5341" i="14" l="1"/>
  <c r="C5341" i="14"/>
  <c r="E5341" i="14" s="1"/>
  <c r="B5341" i="14"/>
  <c r="A5342" i="14"/>
  <c r="D5342" i="14" l="1"/>
  <c r="C5342" i="14"/>
  <c r="E5342" i="14" s="1"/>
  <c r="B5342" i="14"/>
  <c r="A5343" i="14"/>
  <c r="B5343" i="14" l="1"/>
  <c r="D5343" i="14"/>
  <c r="C5343" i="14"/>
  <c r="E5343" i="14" s="1"/>
  <c r="A5344" i="14"/>
  <c r="D5344" i="14" l="1"/>
  <c r="B5344" i="14"/>
  <c r="C5344" i="14"/>
  <c r="E5344" i="14" s="1"/>
  <c r="A5345" i="14"/>
  <c r="D5345" i="14" l="1"/>
  <c r="C5345" i="14"/>
  <c r="E5345" i="14" s="1"/>
  <c r="B5345" i="14"/>
  <c r="A5346" i="14"/>
  <c r="C5346" i="14" l="1"/>
  <c r="E5346" i="14" s="1"/>
  <c r="B5346" i="14"/>
  <c r="D5346" i="14"/>
  <c r="A5347" i="14"/>
  <c r="C5347" i="14" l="1"/>
  <c r="E5347" i="14" s="1"/>
  <c r="D5347" i="14"/>
  <c r="B5347" i="14"/>
  <c r="A5348" i="14"/>
  <c r="D5348" i="14" l="1"/>
  <c r="C5348" i="14"/>
  <c r="E5348" i="14" s="1"/>
  <c r="B5348" i="14"/>
  <c r="A5349" i="14"/>
  <c r="D5349" i="14" l="1"/>
  <c r="C5349" i="14"/>
  <c r="E5349" i="14" s="1"/>
  <c r="B5349" i="14"/>
  <c r="A5350" i="14"/>
  <c r="D5350" i="14" l="1"/>
  <c r="C5350" i="14"/>
  <c r="E5350" i="14" s="1"/>
  <c r="B5350" i="14"/>
  <c r="A5351" i="14"/>
  <c r="B5351" i="14" l="1"/>
  <c r="D5351" i="14"/>
  <c r="C5351" i="14"/>
  <c r="E5351" i="14" s="1"/>
  <c r="A5352" i="14"/>
  <c r="D5352" i="14" l="1"/>
  <c r="B5352" i="14"/>
  <c r="C5352" i="14"/>
  <c r="E5352" i="14" s="1"/>
  <c r="A5353" i="14"/>
  <c r="D5353" i="14" l="1"/>
  <c r="C5353" i="14"/>
  <c r="E5353" i="14" s="1"/>
  <c r="B5353" i="14"/>
  <c r="A5354" i="14"/>
  <c r="C5354" i="14" l="1"/>
  <c r="E5354" i="14" s="1"/>
  <c r="B5354" i="14"/>
  <c r="D5354" i="14"/>
  <c r="A5355" i="14"/>
  <c r="C5355" i="14" l="1"/>
  <c r="E5355" i="14" s="1"/>
  <c r="D5355" i="14"/>
  <c r="B5355" i="14"/>
  <c r="A5356" i="14"/>
  <c r="C5356" i="14" l="1"/>
  <c r="E5356" i="14" s="1"/>
  <c r="D5356" i="14"/>
  <c r="B5356" i="14"/>
  <c r="A5357" i="14"/>
  <c r="D5357" i="14" l="1"/>
  <c r="C5357" i="14"/>
  <c r="E5357" i="14" s="1"/>
  <c r="B5357" i="14"/>
  <c r="A5358" i="14"/>
  <c r="D5358" i="14" l="1"/>
  <c r="C5358" i="14"/>
  <c r="E5358" i="14" s="1"/>
  <c r="B5358" i="14"/>
  <c r="A5359" i="14"/>
  <c r="B5359" i="14" l="1"/>
  <c r="D5359" i="14"/>
  <c r="C5359" i="14"/>
  <c r="E5359" i="14" s="1"/>
  <c r="A5360" i="14"/>
  <c r="D5360" i="14" l="1"/>
  <c r="B5360" i="14"/>
  <c r="C5360" i="14"/>
  <c r="E5360" i="14" s="1"/>
  <c r="A5361" i="14"/>
  <c r="B5361" i="14" l="1"/>
  <c r="D5361" i="14"/>
  <c r="C5361" i="14"/>
  <c r="E5361" i="14" s="1"/>
  <c r="A5362" i="14"/>
  <c r="C5362" i="14" l="1"/>
  <c r="E5362" i="14" s="1"/>
  <c r="B5362" i="14"/>
  <c r="D5362" i="14"/>
  <c r="A5363" i="14"/>
  <c r="C5363" i="14" l="1"/>
  <c r="E5363" i="14" s="1"/>
  <c r="D5363" i="14"/>
  <c r="B5363" i="14"/>
  <c r="A5364" i="14"/>
  <c r="C5364" i="14" l="1"/>
  <c r="E5364" i="14" s="1"/>
  <c r="B5364" i="14"/>
  <c r="D5364" i="14"/>
  <c r="A5365" i="14"/>
  <c r="D5365" i="14" l="1"/>
  <c r="C5365" i="14"/>
  <c r="E5365" i="14" s="1"/>
  <c r="B5365" i="14"/>
  <c r="A5366" i="14"/>
  <c r="D5366" i="14" l="1"/>
  <c r="C5366" i="14"/>
  <c r="E5366" i="14" s="1"/>
  <c r="B5366" i="14"/>
  <c r="A5367" i="14"/>
  <c r="B5367" i="14" l="1"/>
  <c r="D5367" i="14"/>
  <c r="C5367" i="14"/>
  <c r="E5367" i="14" s="1"/>
  <c r="A5368" i="14"/>
  <c r="D5368" i="14" l="1"/>
  <c r="B5368" i="14"/>
  <c r="C5368" i="14"/>
  <c r="E5368" i="14" s="1"/>
  <c r="A5369" i="14"/>
  <c r="B5369" i="14" l="1"/>
  <c r="D5369" i="14"/>
  <c r="C5369" i="14"/>
  <c r="E5369" i="14" s="1"/>
  <c r="A5370" i="14"/>
  <c r="C5370" i="14" l="1"/>
  <c r="E5370" i="14" s="1"/>
  <c r="B5370" i="14"/>
  <c r="D5370" i="14"/>
  <c r="A5371" i="14"/>
  <c r="C5371" i="14" l="1"/>
  <c r="E5371" i="14" s="1"/>
  <c r="D5371" i="14"/>
  <c r="B5371" i="14"/>
  <c r="A5372" i="14"/>
  <c r="C5372" i="14" l="1"/>
  <c r="E5372" i="14" s="1"/>
  <c r="D5372" i="14"/>
  <c r="B5372" i="14"/>
  <c r="A5373" i="14"/>
  <c r="D5373" i="14" l="1"/>
  <c r="C5373" i="14"/>
  <c r="E5373" i="14" s="1"/>
  <c r="B5373" i="14"/>
  <c r="A5374" i="14"/>
  <c r="D5374" i="14" l="1"/>
  <c r="C5374" i="14"/>
  <c r="E5374" i="14" s="1"/>
  <c r="B5374" i="14"/>
  <c r="A5375" i="14"/>
  <c r="B5375" i="14" l="1"/>
  <c r="D5375" i="14"/>
  <c r="C5375" i="14"/>
  <c r="E5375" i="14" s="1"/>
  <c r="A5376" i="14"/>
  <c r="D5376" i="14" l="1"/>
  <c r="B5376" i="14"/>
  <c r="C5376" i="14"/>
  <c r="E5376" i="14" s="1"/>
  <c r="A5377" i="14"/>
  <c r="D5377" i="14" l="1"/>
  <c r="B5377" i="14"/>
  <c r="C5377" i="14"/>
  <c r="E5377" i="14" s="1"/>
  <c r="A5378" i="14"/>
  <c r="C5378" i="14" l="1"/>
  <c r="E5378" i="14" s="1"/>
  <c r="B5378" i="14"/>
  <c r="D5378" i="14"/>
  <c r="A5379" i="14"/>
  <c r="C5379" i="14" l="1"/>
  <c r="E5379" i="14" s="1"/>
  <c r="B5379" i="14"/>
  <c r="D5379" i="14"/>
  <c r="A5380" i="14"/>
  <c r="C5380" i="14" l="1"/>
  <c r="E5380" i="14" s="1"/>
  <c r="D5380" i="14"/>
  <c r="B5380" i="14"/>
  <c r="A5381" i="14"/>
  <c r="D5381" i="14" l="1"/>
  <c r="C5381" i="14"/>
  <c r="E5381" i="14" s="1"/>
  <c r="B5381" i="14"/>
  <c r="A5382" i="14"/>
  <c r="D5382" i="14" l="1"/>
  <c r="C5382" i="14"/>
  <c r="E5382" i="14" s="1"/>
  <c r="B5382" i="14"/>
  <c r="A5383" i="14"/>
  <c r="B5383" i="14" l="1"/>
  <c r="D5383" i="14"/>
  <c r="C5383" i="14"/>
  <c r="E5383" i="14" s="1"/>
  <c r="A5384" i="14"/>
  <c r="D5384" i="14" l="1"/>
  <c r="B5384" i="14"/>
  <c r="C5384" i="14"/>
  <c r="E5384" i="14" s="1"/>
  <c r="A5385" i="14"/>
  <c r="D5385" i="14" l="1"/>
  <c r="B5385" i="14"/>
  <c r="C5385" i="14"/>
  <c r="E5385" i="14" s="1"/>
  <c r="A5386" i="14"/>
  <c r="C5386" i="14" l="1"/>
  <c r="E5386" i="14" s="1"/>
  <c r="B5386" i="14"/>
  <c r="D5386" i="14"/>
  <c r="A5387" i="14"/>
  <c r="C5387" i="14" l="1"/>
  <c r="E5387" i="14" s="1"/>
  <c r="B5387" i="14"/>
  <c r="D5387" i="14"/>
  <c r="A5388" i="14"/>
  <c r="C5388" i="14" l="1"/>
  <c r="E5388" i="14" s="1"/>
  <c r="D5388" i="14"/>
  <c r="B5388" i="14"/>
  <c r="A5389" i="14"/>
  <c r="D5389" i="14" l="1"/>
  <c r="C5389" i="14"/>
  <c r="E5389" i="14" s="1"/>
  <c r="B5389" i="14"/>
  <c r="A5390" i="14"/>
  <c r="D5390" i="14" l="1"/>
  <c r="C5390" i="14"/>
  <c r="E5390" i="14" s="1"/>
  <c r="B5390" i="14"/>
  <c r="A5391" i="14"/>
  <c r="B5391" i="14" l="1"/>
  <c r="D5391" i="14"/>
  <c r="C5391" i="14"/>
  <c r="E5391" i="14" s="1"/>
  <c r="A5392" i="14"/>
  <c r="D5392" i="14" l="1"/>
  <c r="B5392" i="14"/>
  <c r="C5392" i="14"/>
  <c r="E5392" i="14" s="1"/>
  <c r="A5393" i="14"/>
  <c r="D5393" i="14" l="1"/>
  <c r="B5393" i="14"/>
  <c r="C5393" i="14"/>
  <c r="E5393" i="14" s="1"/>
  <c r="A5394" i="14"/>
  <c r="C5394" i="14" l="1"/>
  <c r="E5394" i="14" s="1"/>
  <c r="B5394" i="14"/>
  <c r="D5394" i="14"/>
  <c r="A5395" i="14"/>
  <c r="C5395" i="14" l="1"/>
  <c r="E5395" i="14" s="1"/>
  <c r="B5395" i="14"/>
  <c r="D5395" i="14"/>
  <c r="A5396" i="14"/>
  <c r="C5396" i="14" l="1"/>
  <c r="E5396" i="14" s="1"/>
  <c r="D5396" i="14"/>
  <c r="B5396" i="14"/>
  <c r="A5397" i="14"/>
  <c r="D5397" i="14" l="1"/>
  <c r="C5397" i="14"/>
  <c r="E5397" i="14" s="1"/>
  <c r="B5397" i="14"/>
  <c r="A5398" i="14"/>
  <c r="D5398" i="14" l="1"/>
  <c r="C5398" i="14"/>
  <c r="E5398" i="14" s="1"/>
  <c r="B5398" i="14"/>
  <c r="A5399" i="14"/>
  <c r="B5399" i="14" l="1"/>
  <c r="D5399" i="14"/>
  <c r="C5399" i="14"/>
  <c r="E5399" i="14" s="1"/>
  <c r="A5400" i="14"/>
  <c r="D5400" i="14" l="1"/>
  <c r="B5400" i="14"/>
  <c r="C5400" i="14"/>
  <c r="E5400" i="14" s="1"/>
  <c r="A5401" i="14"/>
  <c r="D5401" i="14" l="1"/>
  <c r="B5401" i="14"/>
  <c r="C5401" i="14"/>
  <c r="E5401" i="14" s="1"/>
  <c r="A5402" i="14"/>
  <c r="C5402" i="14" l="1"/>
  <c r="E5402" i="14" s="1"/>
  <c r="B5402" i="14"/>
  <c r="D5402" i="14"/>
  <c r="A5403" i="14"/>
  <c r="C5403" i="14" l="1"/>
  <c r="E5403" i="14" s="1"/>
  <c r="B5403" i="14"/>
  <c r="D5403" i="14"/>
  <c r="A5404" i="14"/>
  <c r="C5404" i="14" l="1"/>
  <c r="E5404" i="14" s="1"/>
  <c r="D5404" i="14"/>
  <c r="B5404" i="14"/>
  <c r="A5405" i="14"/>
  <c r="D5405" i="14" l="1"/>
  <c r="C5405" i="14"/>
  <c r="E5405" i="14" s="1"/>
  <c r="B5405" i="14"/>
  <c r="A5406" i="14"/>
  <c r="D5406" i="14" l="1"/>
  <c r="C5406" i="14"/>
  <c r="E5406" i="14" s="1"/>
  <c r="B5406" i="14"/>
  <c r="A5407" i="14"/>
  <c r="B5407" i="14" l="1"/>
  <c r="D5407" i="14"/>
  <c r="C5407" i="14"/>
  <c r="E5407" i="14" s="1"/>
  <c r="A5408" i="14"/>
  <c r="D5408" i="14" l="1"/>
  <c r="B5408" i="14"/>
  <c r="C5408" i="14"/>
  <c r="E5408" i="14" s="1"/>
  <c r="A5409" i="14"/>
  <c r="D5409" i="14" l="1"/>
  <c r="B5409" i="14"/>
  <c r="C5409" i="14"/>
  <c r="E5409" i="14" s="1"/>
  <c r="A5410" i="14"/>
  <c r="C5410" i="14" l="1"/>
  <c r="E5410" i="14" s="1"/>
  <c r="B5410" i="14"/>
  <c r="D5410" i="14"/>
  <c r="A5411" i="14"/>
  <c r="C5411" i="14" l="1"/>
  <c r="E5411" i="14" s="1"/>
  <c r="B5411" i="14"/>
  <c r="D5411" i="14"/>
  <c r="A5412" i="14"/>
  <c r="C5412" i="14" l="1"/>
  <c r="E5412" i="14" s="1"/>
  <c r="B5412" i="14"/>
  <c r="D5412" i="14"/>
  <c r="A5413" i="14"/>
  <c r="D5413" i="14" l="1"/>
  <c r="C5413" i="14"/>
  <c r="E5413" i="14" s="1"/>
  <c r="B5413" i="14"/>
  <c r="A5414" i="14"/>
  <c r="D5414" i="14" l="1"/>
  <c r="C5414" i="14"/>
  <c r="E5414" i="14" s="1"/>
  <c r="B5414" i="14"/>
  <c r="A5415" i="14"/>
  <c r="B5415" i="14" l="1"/>
  <c r="D5415" i="14"/>
  <c r="C5415" i="14"/>
  <c r="E5415" i="14" s="1"/>
  <c r="A5416" i="14"/>
  <c r="D5416" i="14" l="1"/>
  <c r="B5416" i="14"/>
  <c r="C5416" i="14"/>
  <c r="E5416" i="14" s="1"/>
  <c r="A5417" i="14"/>
  <c r="D5417" i="14" l="1"/>
  <c r="B5417" i="14"/>
  <c r="C5417" i="14"/>
  <c r="E5417" i="14" s="1"/>
  <c r="A5418" i="14"/>
  <c r="C5418" i="14" l="1"/>
  <c r="E5418" i="14" s="1"/>
  <c r="B5418" i="14"/>
  <c r="D5418" i="14"/>
  <c r="A5419" i="14"/>
  <c r="C5419" i="14" l="1"/>
  <c r="E5419" i="14" s="1"/>
  <c r="B5419" i="14"/>
  <c r="D5419" i="14"/>
  <c r="A5420" i="14"/>
  <c r="C5420" i="14" l="1"/>
  <c r="E5420" i="14" s="1"/>
  <c r="D5420" i="14"/>
  <c r="B5420" i="14"/>
  <c r="A5421" i="14"/>
  <c r="D5421" i="14" l="1"/>
  <c r="C5421" i="14"/>
  <c r="E5421" i="14" s="1"/>
  <c r="B5421" i="14"/>
  <c r="A5422" i="14"/>
  <c r="D5422" i="14" l="1"/>
  <c r="C5422" i="14"/>
  <c r="E5422" i="14" s="1"/>
  <c r="B5422" i="14"/>
  <c r="A5423" i="14"/>
  <c r="B5423" i="14" l="1"/>
  <c r="D5423" i="14"/>
  <c r="C5423" i="14"/>
  <c r="E5423" i="14" s="1"/>
  <c r="A5424" i="14"/>
  <c r="D5424" i="14" l="1"/>
  <c r="C5424" i="14"/>
  <c r="E5424" i="14" s="1"/>
  <c r="B5424" i="14"/>
  <c r="A5425" i="14"/>
  <c r="D5425" i="14" l="1"/>
  <c r="B5425" i="14"/>
  <c r="C5425" i="14"/>
  <c r="E5425" i="14" s="1"/>
  <c r="A5426" i="14"/>
  <c r="C5426" i="14" l="1"/>
  <c r="E5426" i="14" s="1"/>
  <c r="B5426" i="14"/>
  <c r="D5426" i="14"/>
  <c r="A5427" i="14"/>
  <c r="D5427" i="14" l="1"/>
  <c r="C5427" i="14"/>
  <c r="E5427" i="14" s="1"/>
  <c r="B5427" i="14"/>
  <c r="A5428" i="14"/>
  <c r="C5428" i="14" l="1"/>
  <c r="E5428" i="14" s="1"/>
  <c r="D5428" i="14"/>
  <c r="B5428" i="14"/>
  <c r="A5429" i="14"/>
  <c r="D5429" i="14" l="1"/>
  <c r="C5429" i="14"/>
  <c r="E5429" i="14" s="1"/>
  <c r="B5429" i="14"/>
  <c r="A5430" i="14"/>
  <c r="D5430" i="14" l="1"/>
  <c r="C5430" i="14"/>
  <c r="E5430" i="14" s="1"/>
  <c r="B5430" i="14"/>
  <c r="A5431" i="14"/>
  <c r="B5431" i="14" l="1"/>
  <c r="D5431" i="14"/>
  <c r="C5431" i="14"/>
  <c r="E5431" i="14" s="1"/>
  <c r="A5432" i="14"/>
  <c r="D5432" i="14" l="1"/>
  <c r="C5432" i="14"/>
  <c r="E5432" i="14" s="1"/>
  <c r="B5432" i="14"/>
  <c r="A5433" i="14"/>
  <c r="D5433" i="14" l="1"/>
  <c r="C5433" i="14"/>
  <c r="E5433" i="14" s="1"/>
  <c r="B5433" i="14"/>
  <c r="A5434" i="14"/>
  <c r="C5434" i="14" l="1"/>
  <c r="E5434" i="14" s="1"/>
  <c r="B5434" i="14"/>
  <c r="D5434" i="14"/>
  <c r="A5435" i="14"/>
  <c r="D5435" i="14" l="1"/>
  <c r="C5435" i="14"/>
  <c r="E5435" i="14" s="1"/>
  <c r="B5435" i="14"/>
  <c r="A5436" i="14"/>
  <c r="D5436" i="14" l="1"/>
  <c r="C5436" i="14"/>
  <c r="E5436" i="14" s="1"/>
  <c r="B5436" i="14"/>
  <c r="A5437" i="14"/>
  <c r="D5437" i="14" l="1"/>
  <c r="C5437" i="14"/>
  <c r="E5437" i="14" s="1"/>
  <c r="B5437" i="14"/>
  <c r="A5438" i="14"/>
  <c r="D5438" i="14" l="1"/>
  <c r="C5438" i="14"/>
  <c r="E5438" i="14" s="1"/>
  <c r="B5438" i="14"/>
  <c r="A5439" i="14"/>
  <c r="B5439" i="14" l="1"/>
  <c r="D5439" i="14"/>
  <c r="C5439" i="14"/>
  <c r="E5439" i="14" s="1"/>
  <c r="A5440" i="14"/>
  <c r="D5440" i="14" l="1"/>
  <c r="C5440" i="14"/>
  <c r="E5440" i="14" s="1"/>
  <c r="B5440" i="14"/>
  <c r="A5441" i="14"/>
  <c r="D5441" i="14" l="1"/>
  <c r="C5441" i="14"/>
  <c r="E5441" i="14" s="1"/>
  <c r="B5441" i="14"/>
  <c r="A5442" i="14"/>
  <c r="C5442" i="14" l="1"/>
  <c r="E5442" i="14" s="1"/>
  <c r="B5442" i="14"/>
  <c r="D5442" i="14"/>
  <c r="A5443" i="14"/>
  <c r="D5443" i="14" l="1"/>
  <c r="C5443" i="14"/>
  <c r="E5443" i="14" s="1"/>
  <c r="B5443" i="14"/>
  <c r="A5444" i="14"/>
  <c r="D5444" i="14" l="1"/>
  <c r="C5444" i="14"/>
  <c r="E5444" i="14" s="1"/>
  <c r="B5444" i="14"/>
  <c r="A5445" i="14"/>
  <c r="C5445" i="14" l="1"/>
  <c r="E5445" i="14" s="1"/>
  <c r="B5445" i="14"/>
  <c r="D5445" i="14"/>
  <c r="A5446" i="14"/>
  <c r="D5446" i="14" l="1"/>
  <c r="C5446" i="14"/>
  <c r="E5446" i="14" s="1"/>
  <c r="B5446" i="14"/>
  <c r="A5447" i="14"/>
  <c r="D5447" i="14" l="1"/>
  <c r="C5447" i="14"/>
  <c r="E5447" i="14" s="1"/>
  <c r="B5447" i="14"/>
  <c r="A5448" i="14"/>
  <c r="D5448" i="14" l="1"/>
  <c r="C5448" i="14"/>
  <c r="E5448" i="14" s="1"/>
  <c r="B5448" i="14"/>
  <c r="A5449" i="14"/>
  <c r="D5449" i="14" l="1"/>
  <c r="C5449" i="14"/>
  <c r="E5449" i="14" s="1"/>
  <c r="B5449" i="14"/>
  <c r="A5450" i="14"/>
  <c r="B5450" i="14" l="1"/>
  <c r="C5450" i="14"/>
  <c r="E5450" i="14" s="1"/>
  <c r="D5450" i="14"/>
  <c r="A5451" i="14"/>
  <c r="D5451" i="14" l="1"/>
  <c r="C5451" i="14"/>
  <c r="E5451" i="14" s="1"/>
  <c r="B5451" i="14"/>
  <c r="A5452" i="14"/>
  <c r="C5452" i="14" l="1"/>
  <c r="E5452" i="14" s="1"/>
  <c r="B5452" i="14"/>
  <c r="D5452" i="14"/>
  <c r="A5453" i="14"/>
  <c r="C5453" i="14" l="1"/>
  <c r="E5453" i="14" s="1"/>
  <c r="B5453" i="14"/>
  <c r="D5453" i="14"/>
  <c r="A5454" i="14"/>
  <c r="C5454" i="14" l="1"/>
  <c r="E5454" i="14" s="1"/>
  <c r="B5454" i="14"/>
  <c r="D5454" i="14"/>
  <c r="A5455" i="14"/>
  <c r="D5455" i="14" l="1"/>
  <c r="C5455" i="14"/>
  <c r="E5455" i="14" s="1"/>
  <c r="B5455" i="14"/>
  <c r="A5456" i="14"/>
  <c r="D5456" i="14" l="1"/>
  <c r="C5456" i="14"/>
  <c r="E5456" i="14" s="1"/>
  <c r="B5456" i="14"/>
  <c r="A5457" i="14"/>
  <c r="D5457" i="14" l="1"/>
  <c r="C5457" i="14"/>
  <c r="E5457" i="14" s="1"/>
  <c r="B5457" i="14"/>
  <c r="A5458" i="14"/>
  <c r="B5458" i="14" l="1"/>
  <c r="D5458" i="14"/>
  <c r="C5458" i="14"/>
  <c r="E5458" i="14" s="1"/>
  <c r="A5459" i="14"/>
  <c r="D5459" i="14" l="1"/>
  <c r="C5459" i="14"/>
  <c r="E5459" i="14" s="1"/>
  <c r="B5459" i="14"/>
  <c r="A5460" i="14"/>
  <c r="D5460" i="14" l="1"/>
  <c r="C5460" i="14"/>
  <c r="E5460" i="14" s="1"/>
  <c r="B5460" i="14"/>
  <c r="A5461" i="14"/>
  <c r="C5461" i="14" l="1"/>
  <c r="E5461" i="14" s="1"/>
  <c r="B5461" i="14"/>
  <c r="D5461" i="14"/>
  <c r="A5462" i="14"/>
  <c r="D5462" i="14" l="1"/>
  <c r="C5462" i="14"/>
  <c r="E5462" i="14" s="1"/>
  <c r="B5462" i="14"/>
  <c r="A5463" i="14"/>
  <c r="B5463" i="14" l="1"/>
  <c r="D5463" i="14"/>
  <c r="C5463" i="14"/>
  <c r="E5463" i="14" s="1"/>
  <c r="A5464" i="14"/>
  <c r="D5464" i="14" l="1"/>
  <c r="C5464" i="14"/>
  <c r="E5464" i="14" s="1"/>
  <c r="B5464" i="14"/>
  <c r="A5465" i="14"/>
  <c r="B5465" i="14" l="1"/>
  <c r="D5465" i="14"/>
  <c r="C5465" i="14"/>
  <c r="E5465" i="14" s="1"/>
  <c r="A5466" i="14"/>
  <c r="B5466" i="14" l="1"/>
  <c r="D5466" i="14"/>
  <c r="C5466" i="14"/>
  <c r="E5466" i="14" s="1"/>
  <c r="A5467" i="14"/>
  <c r="D5467" i="14" l="1"/>
  <c r="B5467" i="14"/>
  <c r="C5467" i="14"/>
  <c r="E5467" i="14" s="1"/>
  <c r="A5468" i="14"/>
  <c r="D5468" i="14" l="1"/>
  <c r="C5468" i="14"/>
  <c r="E5468" i="14" s="1"/>
  <c r="B5468" i="14"/>
  <c r="A5469" i="14"/>
  <c r="C5469" i="14" l="1"/>
  <c r="E5469" i="14" s="1"/>
  <c r="B5469" i="14"/>
  <c r="D5469" i="14"/>
  <c r="A5470" i="14"/>
  <c r="D5470" i="14" l="1"/>
  <c r="C5470" i="14"/>
  <c r="E5470" i="14" s="1"/>
  <c r="B5470" i="14"/>
  <c r="A5471" i="14"/>
  <c r="D5471" i="14" l="1"/>
  <c r="C5471" i="14"/>
  <c r="E5471" i="14" s="1"/>
  <c r="B5471" i="14"/>
  <c r="A5472" i="14"/>
  <c r="D5472" i="14" l="1"/>
  <c r="C5472" i="14"/>
  <c r="E5472" i="14" s="1"/>
  <c r="B5472" i="14"/>
  <c r="A5473" i="14"/>
  <c r="D5473" i="14" l="1"/>
  <c r="C5473" i="14"/>
  <c r="E5473" i="14" s="1"/>
  <c r="B5473" i="14"/>
  <c r="A5474" i="14"/>
  <c r="B5474" i="14" l="1"/>
  <c r="D5474" i="14"/>
  <c r="C5474" i="14"/>
  <c r="E5474" i="14" s="1"/>
  <c r="A5475" i="14"/>
  <c r="D5475" i="14" l="1"/>
  <c r="C5475" i="14"/>
  <c r="E5475" i="14" s="1"/>
  <c r="B5475" i="14"/>
  <c r="A5476" i="14"/>
  <c r="D5476" i="14" l="1"/>
  <c r="C5476" i="14"/>
  <c r="E5476" i="14" s="1"/>
  <c r="B5476" i="14"/>
  <c r="A5477" i="14"/>
  <c r="C5477" i="14" l="1"/>
  <c r="E5477" i="14" s="1"/>
  <c r="B5477" i="14"/>
  <c r="D5477" i="14"/>
  <c r="A5478" i="14"/>
  <c r="D5478" i="14" l="1"/>
  <c r="C5478" i="14"/>
  <c r="E5478" i="14" s="1"/>
  <c r="B5478" i="14"/>
  <c r="A5479" i="14"/>
  <c r="D5479" i="14" l="1"/>
  <c r="C5479" i="14"/>
  <c r="E5479" i="14" s="1"/>
  <c r="B5479" i="14"/>
  <c r="A5480" i="14"/>
  <c r="D5480" i="14" l="1"/>
  <c r="C5480" i="14"/>
  <c r="E5480" i="14" s="1"/>
  <c r="B5480" i="14"/>
  <c r="A5481" i="14"/>
  <c r="D5481" i="14" l="1"/>
  <c r="C5481" i="14"/>
  <c r="E5481" i="14" s="1"/>
  <c r="B5481" i="14"/>
  <c r="A5482" i="14"/>
  <c r="B5482" i="14" l="1"/>
  <c r="C5482" i="14"/>
  <c r="E5482" i="14" s="1"/>
  <c r="D5482" i="14"/>
  <c r="A5483" i="14"/>
  <c r="D5483" i="14" l="1"/>
  <c r="B5483" i="14"/>
  <c r="C5483" i="14"/>
  <c r="E5483" i="14" s="1"/>
  <c r="A5484" i="14"/>
  <c r="D5484" i="14" l="1"/>
  <c r="C5484" i="14"/>
  <c r="E5484" i="14" s="1"/>
  <c r="B5484" i="14"/>
  <c r="A5485" i="14"/>
  <c r="C5485" i="14" l="1"/>
  <c r="E5485" i="14" s="1"/>
  <c r="B5485" i="14"/>
  <c r="D5485" i="14"/>
  <c r="A5486" i="14"/>
  <c r="C5486" i="14" l="1"/>
  <c r="E5486" i="14" s="1"/>
  <c r="D5486" i="14"/>
  <c r="B5486" i="14"/>
  <c r="A5487" i="14"/>
  <c r="C5487" i="14" l="1"/>
  <c r="E5487" i="14" s="1"/>
  <c r="B5487" i="14"/>
  <c r="D5487" i="14"/>
  <c r="A5488" i="14"/>
  <c r="D5488" i="14" l="1"/>
  <c r="C5488" i="14"/>
  <c r="E5488" i="14" s="1"/>
  <c r="B5488" i="14"/>
  <c r="A5489" i="14"/>
  <c r="D5489" i="14" l="1"/>
  <c r="C5489" i="14"/>
  <c r="E5489" i="14" s="1"/>
  <c r="B5489" i="14"/>
  <c r="A5490" i="14"/>
  <c r="B5490" i="14" l="1"/>
  <c r="D5490" i="14"/>
  <c r="C5490" i="14"/>
  <c r="E5490" i="14" s="1"/>
  <c r="A5491" i="14"/>
  <c r="D5491" i="14" l="1"/>
  <c r="B5491" i="14"/>
  <c r="C5491" i="14"/>
  <c r="E5491" i="14" s="1"/>
  <c r="A5492" i="14"/>
  <c r="C5492" i="14" l="1"/>
  <c r="E5492" i="14" s="1"/>
  <c r="B5492" i="14"/>
  <c r="D5492" i="14"/>
  <c r="A5493" i="14"/>
  <c r="C5493" i="14" l="1"/>
  <c r="E5493" i="14" s="1"/>
  <c r="B5493" i="14"/>
  <c r="D5493" i="14"/>
  <c r="A5494" i="14"/>
  <c r="C5494" i="14" l="1"/>
  <c r="E5494" i="14" s="1"/>
  <c r="D5494" i="14"/>
  <c r="B5494" i="14"/>
  <c r="A5495" i="14"/>
  <c r="B5495" i="14" l="1"/>
  <c r="D5495" i="14"/>
  <c r="C5495" i="14"/>
  <c r="E5495" i="14" s="1"/>
  <c r="A5496" i="14"/>
  <c r="D5496" i="14" l="1"/>
  <c r="C5496" i="14"/>
  <c r="E5496" i="14" s="1"/>
  <c r="B5496" i="14"/>
  <c r="A5497" i="14"/>
  <c r="D5497" i="14" l="1"/>
  <c r="C5497" i="14"/>
  <c r="E5497" i="14" s="1"/>
  <c r="B5497" i="14"/>
  <c r="A5498" i="14"/>
  <c r="B5498" i="14" l="1"/>
  <c r="D5498" i="14"/>
  <c r="C5498" i="14"/>
  <c r="E5498" i="14" s="1"/>
  <c r="A5499" i="14"/>
  <c r="D5499" i="14" l="1"/>
  <c r="B5499" i="14"/>
  <c r="C5499" i="14"/>
  <c r="E5499" i="14" s="1"/>
  <c r="A5500" i="14"/>
  <c r="B5500" i="14" l="1"/>
  <c r="D5500" i="14"/>
  <c r="C5500" i="14"/>
  <c r="E5500" i="14" s="1"/>
  <c r="A5501" i="14"/>
  <c r="C5501" i="14" l="1"/>
  <c r="E5501" i="14" s="1"/>
  <c r="B5501" i="14"/>
  <c r="D5501" i="14"/>
  <c r="A5502" i="14"/>
  <c r="C5502" i="14" l="1"/>
  <c r="E5502" i="14" s="1"/>
  <c r="D5502" i="14"/>
  <c r="B5502" i="14"/>
  <c r="A5503" i="14"/>
  <c r="D5503" i="14" l="1"/>
  <c r="C5503" i="14"/>
  <c r="E5503" i="14" s="1"/>
  <c r="B5503" i="14"/>
  <c r="A5504" i="14"/>
  <c r="D5504" i="14" l="1"/>
  <c r="C5504" i="14"/>
  <c r="E5504" i="14" s="1"/>
  <c r="B5504" i="14"/>
  <c r="A5505" i="14"/>
  <c r="D5505" i="14" l="1"/>
  <c r="B5505" i="14"/>
  <c r="C5505" i="14"/>
  <c r="E5505" i="14" s="1"/>
  <c r="A5506" i="14"/>
  <c r="B5506" i="14" l="1"/>
  <c r="D5506" i="14"/>
  <c r="C5506" i="14"/>
  <c r="E5506" i="14" s="1"/>
  <c r="A5507" i="14"/>
  <c r="D5507" i="14" l="1"/>
  <c r="B5507" i="14"/>
  <c r="C5507" i="14"/>
  <c r="E5507" i="14" s="1"/>
  <c r="A5508" i="14"/>
  <c r="D5508" i="14" l="1"/>
  <c r="C5508" i="14"/>
  <c r="E5508" i="14" s="1"/>
  <c r="B5508" i="14"/>
  <c r="A5509" i="14"/>
  <c r="C5509" i="14" l="1"/>
  <c r="E5509" i="14" s="1"/>
  <c r="B5509" i="14"/>
  <c r="D5509" i="14"/>
  <c r="A5510" i="14"/>
  <c r="C5510" i="14" l="1"/>
  <c r="E5510" i="14" s="1"/>
  <c r="B5510" i="14"/>
  <c r="D5510" i="14"/>
  <c r="A5511" i="14"/>
  <c r="D5511" i="14" l="1"/>
  <c r="C5511" i="14"/>
  <c r="E5511" i="14" s="1"/>
  <c r="B5511" i="14"/>
  <c r="A5512" i="14"/>
  <c r="D5512" i="14" l="1"/>
  <c r="C5512" i="14"/>
  <c r="E5512" i="14" s="1"/>
  <c r="B5512" i="14"/>
  <c r="A5513" i="14"/>
  <c r="D5513" i="14" l="1"/>
  <c r="C5513" i="14"/>
  <c r="E5513" i="14" s="1"/>
  <c r="B5513" i="14"/>
  <c r="A5514" i="14"/>
  <c r="B5514" i="14" l="1"/>
  <c r="D5514" i="14"/>
  <c r="C5514" i="14"/>
  <c r="E5514" i="14" s="1"/>
  <c r="A5515" i="14"/>
  <c r="D5515" i="14" l="1"/>
  <c r="B5515" i="14"/>
  <c r="C5515" i="14"/>
  <c r="E5515" i="14" s="1"/>
  <c r="A5516" i="14"/>
  <c r="D5516" i="14" l="1"/>
  <c r="C5516" i="14"/>
  <c r="E5516" i="14" s="1"/>
  <c r="B5516" i="14"/>
  <c r="A5517" i="14"/>
  <c r="C5517" i="14" l="1"/>
  <c r="E5517" i="14" s="1"/>
  <c r="B5517" i="14"/>
  <c r="D5517" i="14"/>
  <c r="A5518" i="14"/>
  <c r="C5518" i="14" l="1"/>
  <c r="E5518" i="14" s="1"/>
  <c r="D5518" i="14"/>
  <c r="B5518" i="14"/>
  <c r="A5519" i="14"/>
  <c r="D5519" i="14" l="1"/>
  <c r="C5519" i="14"/>
  <c r="E5519" i="14" s="1"/>
  <c r="B5519" i="14"/>
  <c r="A5520" i="14"/>
  <c r="D5520" i="14" l="1"/>
  <c r="C5520" i="14"/>
  <c r="E5520" i="14" s="1"/>
  <c r="B5520" i="14"/>
  <c r="A5521" i="14"/>
  <c r="D5521" i="14" l="1"/>
  <c r="C5521" i="14"/>
  <c r="E5521" i="14" s="1"/>
  <c r="B5521" i="14"/>
  <c r="A5522" i="14"/>
  <c r="B5522" i="14" l="1"/>
  <c r="D5522" i="14"/>
  <c r="C5522" i="14"/>
  <c r="E5522" i="14" s="1"/>
  <c r="A5523" i="14"/>
  <c r="D5523" i="14" l="1"/>
  <c r="C5523" i="14"/>
  <c r="E5523" i="14" s="1"/>
  <c r="B5523" i="14"/>
  <c r="A5524" i="14"/>
  <c r="B5524" i="14" l="1"/>
  <c r="D5524" i="14"/>
  <c r="C5524" i="14"/>
  <c r="E5524" i="14" s="1"/>
  <c r="A5525" i="14"/>
  <c r="C5525" i="14" l="1"/>
  <c r="E5525" i="14" s="1"/>
  <c r="B5525" i="14"/>
  <c r="D5525" i="14"/>
  <c r="A5526" i="14"/>
  <c r="D5526" i="14" l="1"/>
  <c r="C5526" i="14"/>
  <c r="E5526" i="14" s="1"/>
  <c r="B5526" i="14"/>
  <c r="A5527" i="14"/>
  <c r="C5527" i="14" l="1"/>
  <c r="E5527" i="14" s="1"/>
  <c r="B5527" i="14"/>
  <c r="D5527" i="14"/>
  <c r="A5528" i="14"/>
  <c r="D5528" i="14" l="1"/>
  <c r="C5528" i="14"/>
  <c r="E5528" i="14" s="1"/>
  <c r="B5528" i="14"/>
  <c r="A5529" i="14"/>
  <c r="D5529" i="14" l="1"/>
  <c r="C5529" i="14"/>
  <c r="E5529" i="14" s="1"/>
  <c r="B5529" i="14"/>
  <c r="A5530" i="14"/>
  <c r="B5530" i="14" l="1"/>
  <c r="D5530" i="14"/>
  <c r="C5530" i="14"/>
  <c r="E5530" i="14" s="1"/>
  <c r="A5531" i="14"/>
  <c r="D5531" i="14" l="1"/>
  <c r="C5531" i="14"/>
  <c r="E5531" i="14" s="1"/>
  <c r="B5531" i="14"/>
  <c r="A5532" i="14"/>
  <c r="D5532" i="14" l="1"/>
  <c r="C5532" i="14"/>
  <c r="E5532" i="14" s="1"/>
  <c r="B5532" i="14"/>
  <c r="A5533" i="14"/>
  <c r="C5533" i="14" l="1"/>
  <c r="E5533" i="14" s="1"/>
  <c r="B5533" i="14"/>
  <c r="D5533" i="14"/>
  <c r="A5534" i="14"/>
  <c r="D5534" i="14" l="1"/>
  <c r="C5534" i="14"/>
  <c r="E5534" i="14" s="1"/>
  <c r="B5534" i="14"/>
  <c r="A5535" i="14"/>
  <c r="D5535" i="14" l="1"/>
  <c r="C5535" i="14"/>
  <c r="E5535" i="14" s="1"/>
  <c r="B5535" i="14"/>
  <c r="A5536" i="14"/>
  <c r="D5536" i="14" l="1"/>
  <c r="C5536" i="14"/>
  <c r="E5536" i="14" s="1"/>
  <c r="B5536" i="14"/>
  <c r="A5537" i="14"/>
  <c r="D5537" i="14" l="1"/>
  <c r="C5537" i="14"/>
  <c r="E5537" i="14" s="1"/>
  <c r="B5537" i="14"/>
  <c r="A5538" i="14"/>
  <c r="B5538" i="14" l="1"/>
  <c r="D5538" i="14"/>
  <c r="C5538" i="14"/>
  <c r="E5538" i="14" s="1"/>
  <c r="A5539" i="14"/>
  <c r="D5539" i="14" l="1"/>
  <c r="C5539" i="14"/>
  <c r="E5539" i="14" s="1"/>
  <c r="B5539" i="14"/>
  <c r="A5540" i="14"/>
  <c r="B5540" i="14" l="1"/>
  <c r="D5540" i="14"/>
  <c r="C5540" i="14"/>
  <c r="E5540" i="14" s="1"/>
  <c r="A5541" i="14"/>
  <c r="C5541" i="14" l="1"/>
  <c r="E5541" i="14" s="1"/>
  <c r="B5541" i="14"/>
  <c r="D5541" i="14"/>
  <c r="A5542" i="14"/>
  <c r="D5542" i="14" l="1"/>
  <c r="C5542" i="14"/>
  <c r="E5542" i="14" s="1"/>
  <c r="B5542" i="14"/>
  <c r="A5543" i="14"/>
  <c r="C5543" i="14" l="1"/>
  <c r="E5543" i="14" s="1"/>
  <c r="D5543" i="14"/>
  <c r="B5543" i="14"/>
  <c r="A5544" i="14"/>
  <c r="D5544" i="14" l="1"/>
  <c r="C5544" i="14"/>
  <c r="E5544" i="14" s="1"/>
  <c r="B5544" i="14"/>
  <c r="A5545" i="14"/>
  <c r="D5545" i="14" l="1"/>
  <c r="C5545" i="14"/>
  <c r="E5545" i="14" s="1"/>
  <c r="B5545" i="14"/>
  <c r="A5546" i="14"/>
  <c r="B5546" i="14" l="1"/>
  <c r="D5546" i="14"/>
  <c r="C5546" i="14"/>
  <c r="E5546" i="14" s="1"/>
  <c r="A5547" i="14"/>
  <c r="D5547" i="14" l="1"/>
  <c r="C5547" i="14"/>
  <c r="E5547" i="14" s="1"/>
  <c r="B5547" i="14"/>
  <c r="A5548" i="14"/>
  <c r="B5548" i="14" l="1"/>
  <c r="C5548" i="14"/>
  <c r="E5548" i="14" s="1"/>
  <c r="D5548" i="14"/>
  <c r="A5549" i="14"/>
  <c r="C5549" i="14" l="1"/>
  <c r="E5549" i="14" s="1"/>
  <c r="B5549" i="14"/>
  <c r="D5549" i="14"/>
  <c r="A5550" i="14"/>
  <c r="D5550" i="14" l="1"/>
  <c r="C5550" i="14"/>
  <c r="E5550" i="14" s="1"/>
  <c r="B5550" i="14"/>
  <c r="A5551" i="14"/>
  <c r="C5551" i="14" l="1"/>
  <c r="E5551" i="14" s="1"/>
  <c r="D5551" i="14"/>
  <c r="B5551" i="14"/>
  <c r="A5552" i="14"/>
  <c r="D5552" i="14" l="1"/>
  <c r="C5552" i="14"/>
  <c r="E5552" i="14" s="1"/>
  <c r="B5552" i="14"/>
  <c r="A5553" i="14"/>
  <c r="D5553" i="14" l="1"/>
  <c r="C5553" i="14"/>
  <c r="E5553" i="14" s="1"/>
  <c r="B5553" i="14"/>
  <c r="A5554" i="14"/>
  <c r="B5554" i="14" l="1"/>
  <c r="D5554" i="14"/>
  <c r="C5554" i="14"/>
  <c r="E5554" i="14" s="1"/>
  <c r="A5555" i="14"/>
  <c r="D5555" i="14" l="1"/>
  <c r="C5555" i="14"/>
  <c r="E5555" i="14" s="1"/>
  <c r="B5555" i="14"/>
  <c r="A5556" i="14"/>
  <c r="B5556" i="14" l="1"/>
  <c r="D5556" i="14"/>
  <c r="C5556" i="14"/>
  <c r="E5556" i="14" s="1"/>
  <c r="A5557" i="14"/>
  <c r="C5557" i="14" l="1"/>
  <c r="E5557" i="14" s="1"/>
  <c r="B5557" i="14"/>
  <c r="D5557" i="14"/>
  <c r="A5558" i="14"/>
  <c r="D5558" i="14" l="1"/>
  <c r="C5558" i="14"/>
  <c r="E5558" i="14" s="1"/>
  <c r="B5558" i="14"/>
  <c r="A5559" i="14"/>
  <c r="D5559" i="14" l="1"/>
  <c r="C5559" i="14"/>
  <c r="E5559" i="14" s="1"/>
  <c r="B5559" i="14"/>
  <c r="A5560" i="14"/>
  <c r="D5560" i="14" l="1"/>
  <c r="C5560" i="14"/>
  <c r="E5560" i="14" s="1"/>
  <c r="B5560" i="14"/>
  <c r="A5561" i="14"/>
  <c r="B5561" i="14" l="1"/>
  <c r="C5561" i="14"/>
  <c r="E5561" i="14" s="1"/>
  <c r="D5561" i="14"/>
  <c r="A5562" i="14"/>
  <c r="D5562" i="14" l="1"/>
  <c r="C5562" i="14"/>
  <c r="E5562" i="14" s="1"/>
  <c r="B5562" i="14"/>
  <c r="A5563" i="14"/>
  <c r="B5563" i="14" l="1"/>
  <c r="D5563" i="14"/>
  <c r="C5563" i="14"/>
  <c r="E5563" i="14" s="1"/>
  <c r="A5564" i="14"/>
  <c r="C5564" i="14" l="1"/>
  <c r="E5564" i="14" s="1"/>
  <c r="D5564" i="14"/>
  <c r="B5564" i="14"/>
  <c r="A5565" i="14"/>
  <c r="D5565" i="14" l="1"/>
  <c r="C5565" i="14"/>
  <c r="E5565" i="14" s="1"/>
  <c r="B5565" i="14"/>
  <c r="A5566" i="14"/>
  <c r="C5566" i="14" l="1"/>
  <c r="E5566" i="14" s="1"/>
  <c r="B5566" i="14"/>
  <c r="D5566" i="14"/>
  <c r="A5567" i="14"/>
  <c r="D5567" i="14" l="1"/>
  <c r="C5567" i="14"/>
  <c r="E5567" i="14" s="1"/>
  <c r="B5567" i="14"/>
  <c r="A5568" i="14"/>
  <c r="B5568" i="14" l="1"/>
  <c r="D5568" i="14"/>
  <c r="C5568" i="14"/>
  <c r="E5568" i="14" s="1"/>
  <c r="A5569" i="14"/>
  <c r="B5569" i="14" l="1"/>
  <c r="D5569" i="14"/>
  <c r="C5569" i="14"/>
  <c r="E5569" i="14" s="1"/>
  <c r="A5570" i="14"/>
  <c r="C5570" i="14" l="1"/>
  <c r="E5570" i="14" s="1"/>
  <c r="D5570" i="14"/>
  <c r="B5570" i="14"/>
  <c r="A5571" i="14"/>
  <c r="D5571" i="14" l="1"/>
  <c r="C5571" i="14"/>
  <c r="E5571" i="14" s="1"/>
  <c r="B5571" i="14"/>
  <c r="A5572" i="14"/>
  <c r="C5572" i="14" l="1"/>
  <c r="E5572" i="14" s="1"/>
  <c r="B5572" i="14"/>
  <c r="D5572" i="14"/>
  <c r="A5573" i="14"/>
  <c r="D5573" i="14" l="1"/>
  <c r="C5573" i="14"/>
  <c r="E5573" i="14" s="1"/>
  <c r="B5573" i="14"/>
  <c r="A5574" i="14"/>
  <c r="D5574" i="14" l="1"/>
  <c r="B5574" i="14"/>
  <c r="C5574" i="14"/>
  <c r="E5574" i="14" s="1"/>
  <c r="A5575" i="14"/>
  <c r="D5575" i="14" l="1"/>
  <c r="C5575" i="14"/>
  <c r="E5575" i="14" s="1"/>
  <c r="B5575" i="14"/>
  <c r="A5576" i="14"/>
  <c r="D5576" i="14" l="1"/>
  <c r="C5576" i="14"/>
  <c r="E5576" i="14" s="1"/>
  <c r="B5576" i="14"/>
  <c r="A5577" i="14"/>
  <c r="B5577" i="14" l="1"/>
  <c r="C5577" i="14"/>
  <c r="E5577" i="14" s="1"/>
  <c r="D5577" i="14"/>
  <c r="A5578" i="14"/>
  <c r="D5578" i="14" l="1"/>
  <c r="C5578" i="14"/>
  <c r="E5578" i="14" s="1"/>
  <c r="B5578" i="14"/>
  <c r="A5579" i="14"/>
  <c r="B5579" i="14" l="1"/>
  <c r="D5579" i="14"/>
  <c r="C5579" i="14"/>
  <c r="E5579" i="14" s="1"/>
  <c r="A5580" i="14"/>
  <c r="C5580" i="14" l="1"/>
  <c r="E5580" i="14" s="1"/>
  <c r="D5580" i="14"/>
  <c r="B5580" i="14"/>
  <c r="A5581" i="14"/>
  <c r="C5581" i="14" l="1"/>
  <c r="E5581" i="14" s="1"/>
  <c r="D5581" i="14"/>
  <c r="B5581" i="14"/>
  <c r="A5582" i="14"/>
  <c r="D5582" i="14" l="1"/>
  <c r="C5582" i="14"/>
  <c r="E5582" i="14" s="1"/>
  <c r="B5582" i="14"/>
  <c r="A5583" i="14"/>
  <c r="D5583" i="14" l="1"/>
  <c r="B5583" i="14"/>
  <c r="C5583" i="14"/>
  <c r="E5583" i="14" s="1"/>
  <c r="A5584" i="14"/>
  <c r="D5584" i="14" l="1"/>
  <c r="C5584" i="14"/>
  <c r="E5584" i="14" s="1"/>
  <c r="B5584" i="14"/>
  <c r="A5585" i="14"/>
  <c r="B5585" i="14" l="1"/>
  <c r="D5585" i="14"/>
  <c r="C5585" i="14"/>
  <c r="E5585" i="14" s="1"/>
  <c r="A5586" i="14"/>
  <c r="C5586" i="14" l="1"/>
  <c r="E5586" i="14" s="1"/>
  <c r="B5586" i="14"/>
  <c r="D5586" i="14"/>
  <c r="A5587" i="14"/>
  <c r="D5587" i="14" l="1"/>
  <c r="C5587" i="14"/>
  <c r="E5587" i="14" s="1"/>
  <c r="B5587" i="14"/>
  <c r="A5588" i="14"/>
  <c r="C5588" i="14" l="1"/>
  <c r="E5588" i="14" s="1"/>
  <c r="B5588" i="14"/>
  <c r="D5588" i="14"/>
  <c r="A5589" i="14"/>
  <c r="D5589" i="14" l="1"/>
  <c r="C5589" i="14"/>
  <c r="E5589" i="14" s="1"/>
  <c r="B5589" i="14"/>
  <c r="A5590" i="14"/>
  <c r="B5590" i="14" l="1"/>
  <c r="D5590" i="14"/>
  <c r="C5590" i="14"/>
  <c r="E5590" i="14" s="1"/>
  <c r="A5591" i="14"/>
  <c r="D5591" i="14" l="1"/>
  <c r="C5591" i="14"/>
  <c r="E5591" i="14" s="1"/>
  <c r="B5591" i="14"/>
  <c r="A5592" i="14"/>
  <c r="C5592" i="14" l="1"/>
  <c r="E5592" i="14" s="1"/>
  <c r="B5592" i="14"/>
  <c r="D5592" i="14"/>
  <c r="A5593" i="14"/>
  <c r="B5593" i="14" l="1"/>
  <c r="D5593" i="14"/>
  <c r="C5593" i="14"/>
  <c r="E5593" i="14" s="1"/>
  <c r="A5594" i="14"/>
  <c r="D5594" i="14" l="1"/>
  <c r="B5594" i="14"/>
  <c r="C5594" i="14"/>
  <c r="E5594" i="14" s="1"/>
  <c r="A5595" i="14"/>
  <c r="D5595" i="14" l="1"/>
  <c r="C5595" i="14"/>
  <c r="E5595" i="14" s="1"/>
  <c r="B5595" i="14"/>
  <c r="A5596" i="14"/>
  <c r="C5596" i="14" l="1"/>
  <c r="E5596" i="14" s="1"/>
  <c r="D5596" i="14"/>
  <c r="B5596" i="14"/>
  <c r="A5597" i="14"/>
  <c r="C5597" i="14" l="1"/>
  <c r="E5597" i="14" s="1"/>
  <c r="B5597" i="14"/>
  <c r="D5597" i="14"/>
  <c r="A5598" i="14"/>
  <c r="D5598" i="14" l="1"/>
  <c r="C5598" i="14"/>
  <c r="E5598" i="14" s="1"/>
  <c r="B5598" i="14"/>
  <c r="A5599" i="14"/>
  <c r="D5599" i="14" l="1"/>
  <c r="B5599" i="14"/>
  <c r="C5599" i="14"/>
  <c r="E5599" i="14" s="1"/>
  <c r="A5600" i="14"/>
  <c r="D5600" i="14" l="1"/>
  <c r="C5600" i="14"/>
  <c r="E5600" i="14" s="1"/>
  <c r="B5600" i="14"/>
  <c r="A5601" i="14"/>
  <c r="B5601" i="14" l="1"/>
  <c r="D5601" i="14"/>
  <c r="C5601" i="14"/>
  <c r="E5601" i="14" s="1"/>
  <c r="A5602" i="14"/>
  <c r="D5602" i="14" l="1"/>
  <c r="C5602" i="14"/>
  <c r="E5602" i="14" s="1"/>
  <c r="B5602" i="14"/>
  <c r="A5603" i="14"/>
  <c r="C5603" i="14" l="1"/>
  <c r="E5603" i="14" s="1"/>
  <c r="D5603" i="14"/>
  <c r="B5603" i="14"/>
  <c r="A5604" i="14"/>
  <c r="C5604" i="14" l="1"/>
  <c r="E5604" i="14" s="1"/>
  <c r="D5604" i="14"/>
  <c r="B5604" i="14"/>
  <c r="A5605" i="14"/>
  <c r="D5605" i="14" l="1"/>
  <c r="B5605" i="14"/>
  <c r="C5605" i="14"/>
  <c r="E5605" i="14" s="1"/>
  <c r="A5606" i="14"/>
  <c r="D5606" i="14" l="1"/>
  <c r="C5606" i="14"/>
  <c r="E5606" i="14" s="1"/>
  <c r="B5606" i="14"/>
  <c r="A5607" i="14"/>
  <c r="D5607" i="14" l="1"/>
  <c r="C5607" i="14"/>
  <c r="E5607" i="14" s="1"/>
  <c r="B5607" i="14"/>
  <c r="A5608" i="14"/>
  <c r="C5608" i="14" l="1"/>
  <c r="E5608" i="14" s="1"/>
  <c r="B5608" i="14"/>
  <c r="D5608" i="14"/>
  <c r="A5609" i="14"/>
  <c r="B5609" i="14" l="1"/>
  <c r="D5609" i="14"/>
  <c r="C5609" i="14"/>
  <c r="E5609" i="14" s="1"/>
  <c r="A5610" i="14"/>
  <c r="B5610" i="14" l="1"/>
  <c r="D5610" i="14"/>
  <c r="C5610" i="14"/>
  <c r="E5610" i="14" s="1"/>
  <c r="A5611" i="14"/>
  <c r="D5611" i="14" l="1"/>
  <c r="C5611" i="14"/>
  <c r="E5611" i="14" s="1"/>
  <c r="B5611" i="14"/>
  <c r="A5612" i="14"/>
  <c r="C5612" i="14" l="1"/>
  <c r="E5612" i="14" s="1"/>
  <c r="D5612" i="14"/>
  <c r="B5612" i="14"/>
  <c r="A5613" i="14"/>
  <c r="D5613" i="14" l="1"/>
  <c r="C5613" i="14"/>
  <c r="E5613" i="14" s="1"/>
  <c r="B5613" i="14"/>
  <c r="A5614" i="14"/>
  <c r="C5614" i="14" l="1"/>
  <c r="E5614" i="14" s="1"/>
  <c r="B5614" i="14"/>
  <c r="D5614" i="14"/>
  <c r="A5615" i="14"/>
  <c r="D5615" i="14" l="1"/>
  <c r="C5615" i="14"/>
  <c r="E5615" i="14" s="1"/>
  <c r="B5615" i="14"/>
  <c r="A5616" i="14"/>
  <c r="D5616" i="14" l="1"/>
  <c r="B5616" i="14"/>
  <c r="C5616" i="14"/>
  <c r="E5616" i="14" s="1"/>
  <c r="A5617" i="14"/>
  <c r="B5617" i="14" l="1"/>
  <c r="D5617" i="14"/>
  <c r="C5617" i="14"/>
  <c r="E5617" i="14" s="1"/>
  <c r="A5618" i="14"/>
  <c r="D5618" i="14" l="1"/>
  <c r="C5618" i="14"/>
  <c r="E5618" i="14" s="1"/>
  <c r="B5618" i="14"/>
  <c r="A5619" i="14"/>
  <c r="C5619" i="14" l="1"/>
  <c r="E5619" i="14" s="1"/>
  <c r="B5619" i="14"/>
  <c r="D5619" i="14"/>
  <c r="A5620" i="14"/>
  <c r="C5620" i="14" l="1"/>
  <c r="E5620" i="14" s="1"/>
  <c r="D5620" i="14"/>
  <c r="B5620" i="14"/>
  <c r="A5621" i="14"/>
  <c r="B5621" i="14" l="1"/>
  <c r="D5621" i="14"/>
  <c r="C5621" i="14"/>
  <c r="E5621" i="14" s="1"/>
  <c r="A5622" i="14"/>
  <c r="D5622" i="14" l="1"/>
  <c r="C5622" i="14"/>
  <c r="E5622" i="14" s="1"/>
  <c r="B5622" i="14"/>
  <c r="A5623" i="14"/>
  <c r="D5623" i="14" l="1"/>
  <c r="C5623" i="14"/>
  <c r="E5623" i="14" s="1"/>
  <c r="B5623" i="14"/>
  <c r="A5624" i="14"/>
  <c r="D5624" i="14" l="1"/>
  <c r="C5624" i="14"/>
  <c r="E5624" i="14" s="1"/>
  <c r="B5624" i="14"/>
  <c r="A5625" i="14"/>
  <c r="B5625" i="14" l="1"/>
  <c r="D5625" i="14"/>
  <c r="C5625" i="14"/>
  <c r="E5625" i="14" s="1"/>
  <c r="A5626" i="14"/>
  <c r="D5626" i="14" l="1"/>
  <c r="C5626" i="14"/>
  <c r="E5626" i="14" s="1"/>
  <c r="B5626" i="14"/>
  <c r="A5627" i="14"/>
  <c r="B5627" i="14" l="1"/>
  <c r="D5627" i="14"/>
  <c r="C5627" i="14"/>
  <c r="E5627" i="14" s="1"/>
  <c r="A5628" i="14"/>
  <c r="C5628" i="14" l="1"/>
  <c r="E5628" i="14" s="1"/>
  <c r="B5628" i="14"/>
  <c r="D5628" i="14"/>
  <c r="A5629" i="14"/>
  <c r="D5629" i="14" l="1"/>
  <c r="C5629" i="14"/>
  <c r="E5629" i="14" s="1"/>
  <c r="B5629" i="14"/>
  <c r="A5630" i="14"/>
  <c r="B5630" i="14" l="1"/>
  <c r="D5630" i="14"/>
  <c r="C5630" i="14"/>
  <c r="E5630" i="14" s="1"/>
  <c r="A5631" i="14"/>
  <c r="D5631" i="14" l="1"/>
  <c r="C5631" i="14"/>
  <c r="E5631" i="14" s="1"/>
  <c r="B5631" i="14"/>
  <c r="A5632" i="14"/>
  <c r="D5632" i="14" l="1"/>
  <c r="C5632" i="14"/>
  <c r="E5632" i="14" s="1"/>
  <c r="B5632" i="14"/>
  <c r="A5633" i="14"/>
  <c r="B5633" i="14" l="1"/>
  <c r="C5633" i="14"/>
  <c r="E5633" i="14" s="1"/>
  <c r="D5633" i="14"/>
  <c r="A5634" i="14"/>
  <c r="D5634" i="14" l="1"/>
  <c r="C5634" i="14"/>
  <c r="E5634" i="14" s="1"/>
  <c r="B5634" i="14"/>
  <c r="A5635" i="14"/>
  <c r="D5635" i="14" l="1"/>
  <c r="C5635" i="14"/>
  <c r="E5635" i="14" s="1"/>
  <c r="B5635" i="14"/>
  <c r="A5636" i="14"/>
  <c r="C5636" i="14" l="1"/>
  <c r="E5636" i="14" s="1"/>
  <c r="B5636" i="14"/>
  <c r="D5636" i="14"/>
  <c r="A5637" i="14"/>
  <c r="D5637" i="14" l="1"/>
  <c r="C5637" i="14"/>
  <c r="E5637" i="14" s="1"/>
  <c r="B5637" i="14"/>
  <c r="A5638" i="14"/>
  <c r="D5638" i="14" l="1"/>
  <c r="C5638" i="14"/>
  <c r="E5638" i="14" s="1"/>
  <c r="B5638" i="14"/>
  <c r="A5639" i="14"/>
  <c r="D5639" i="14" l="1"/>
  <c r="C5639" i="14"/>
  <c r="E5639" i="14" s="1"/>
  <c r="B5639" i="14"/>
  <c r="A5640" i="14"/>
  <c r="D5640" i="14" l="1"/>
  <c r="C5640" i="14"/>
  <c r="E5640" i="14" s="1"/>
  <c r="B5640" i="14"/>
  <c r="A5641" i="14"/>
  <c r="B5641" i="14" l="1"/>
  <c r="D5641" i="14"/>
  <c r="C5641" i="14"/>
  <c r="E5641" i="14" s="1"/>
  <c r="A5642" i="14"/>
  <c r="D5642" i="14" l="1"/>
  <c r="C5642" i="14"/>
  <c r="E5642" i="14" s="1"/>
  <c r="B5642" i="14"/>
  <c r="A5643" i="14"/>
  <c r="D5643" i="14" l="1"/>
  <c r="C5643" i="14"/>
  <c r="E5643" i="14" s="1"/>
  <c r="B5643" i="14"/>
  <c r="A5644" i="14"/>
  <c r="C5644" i="14" l="1"/>
  <c r="E5644" i="14" s="1"/>
  <c r="B5644" i="14"/>
  <c r="D5644" i="14"/>
  <c r="A5645" i="14"/>
  <c r="D5645" i="14" l="1"/>
  <c r="C5645" i="14"/>
  <c r="E5645" i="14" s="1"/>
  <c r="B5645" i="14"/>
  <c r="A5646" i="14"/>
  <c r="B5646" i="14" l="1"/>
  <c r="D5646" i="14"/>
  <c r="C5646" i="14"/>
  <c r="E5646" i="14" s="1"/>
  <c r="A5647" i="14"/>
  <c r="D5647" i="14" l="1"/>
  <c r="C5647" i="14"/>
  <c r="E5647" i="14" s="1"/>
  <c r="B5647" i="14"/>
  <c r="A5648" i="14"/>
  <c r="D5648" i="14" l="1"/>
  <c r="C5648" i="14"/>
  <c r="E5648" i="14" s="1"/>
  <c r="B5648" i="14"/>
  <c r="A5649" i="14"/>
  <c r="B5649" i="14" l="1"/>
  <c r="C5649" i="14"/>
  <c r="E5649" i="14" s="1"/>
  <c r="D5649" i="14"/>
  <c r="A5650" i="14"/>
  <c r="D5650" i="14" l="1"/>
  <c r="C5650" i="14"/>
  <c r="E5650" i="14" s="1"/>
  <c r="B5650" i="14"/>
  <c r="A5651" i="14"/>
  <c r="D5651" i="14" l="1"/>
  <c r="C5651" i="14"/>
  <c r="E5651" i="14" s="1"/>
  <c r="B5651" i="14"/>
  <c r="A5652" i="14"/>
  <c r="C5652" i="14" l="1"/>
  <c r="E5652" i="14" s="1"/>
  <c r="D5652" i="14"/>
  <c r="B5652" i="14"/>
  <c r="A5653" i="14"/>
  <c r="D5653" i="14" l="1"/>
  <c r="C5653" i="14"/>
  <c r="E5653" i="14" s="1"/>
  <c r="B5653" i="14"/>
  <c r="A5654" i="14"/>
  <c r="D5654" i="14" l="1"/>
  <c r="C5654" i="14"/>
  <c r="E5654" i="14" s="1"/>
  <c r="B5654" i="14"/>
  <c r="A5655" i="14"/>
  <c r="D5655" i="14" l="1"/>
  <c r="C5655" i="14"/>
  <c r="E5655" i="14" s="1"/>
  <c r="B5655" i="14"/>
  <c r="A5656" i="14"/>
  <c r="C5656" i="14" l="1"/>
  <c r="E5656" i="14" s="1"/>
  <c r="B5656" i="14"/>
  <c r="D5656" i="14"/>
  <c r="A5657" i="14"/>
  <c r="B5657" i="14" l="1"/>
  <c r="D5657" i="14"/>
  <c r="C5657" i="14"/>
  <c r="E5657" i="14" s="1"/>
  <c r="A5658" i="14"/>
  <c r="B5658" i="14" l="1"/>
  <c r="D5658" i="14"/>
  <c r="C5658" i="14"/>
  <c r="E5658" i="14" s="1"/>
  <c r="A5659" i="14"/>
  <c r="D5659" i="14" l="1"/>
  <c r="C5659" i="14"/>
  <c r="E5659" i="14" s="1"/>
  <c r="B5659" i="14"/>
  <c r="A5660" i="14"/>
  <c r="C5660" i="14" l="1"/>
  <c r="E5660" i="14" s="1"/>
  <c r="B5660" i="14"/>
  <c r="D5660" i="14"/>
  <c r="A5661" i="14"/>
  <c r="D5661" i="14" l="1"/>
  <c r="C5661" i="14"/>
  <c r="E5661" i="14" s="1"/>
  <c r="B5661" i="14"/>
  <c r="A5662" i="14"/>
  <c r="D5662" i="14" l="1"/>
  <c r="C5662" i="14"/>
  <c r="E5662" i="14" s="1"/>
  <c r="B5662" i="14"/>
  <c r="A5663" i="14"/>
  <c r="D5663" i="14" l="1"/>
  <c r="C5663" i="14"/>
  <c r="E5663" i="14" s="1"/>
  <c r="B5663" i="14"/>
  <c r="A5664" i="14"/>
  <c r="D5664" i="14" l="1"/>
  <c r="C5664" i="14"/>
  <c r="E5664" i="14" s="1"/>
  <c r="B5664" i="14"/>
  <c r="A5665" i="14"/>
  <c r="B5665" i="14" l="1"/>
  <c r="D5665" i="14"/>
  <c r="C5665" i="14"/>
  <c r="E5665" i="14" s="1"/>
  <c r="A5666" i="14"/>
  <c r="D5666" i="14" l="1"/>
  <c r="C5666" i="14"/>
  <c r="E5666" i="14" s="1"/>
  <c r="B5666" i="14"/>
  <c r="A5667" i="14"/>
  <c r="C5667" i="14" l="1"/>
  <c r="E5667" i="14" s="1"/>
  <c r="B5667" i="14"/>
  <c r="D5667" i="14"/>
  <c r="A5668" i="14"/>
  <c r="C5668" i="14" l="1"/>
  <c r="E5668" i="14" s="1"/>
  <c r="D5668" i="14"/>
  <c r="B5668" i="14"/>
  <c r="A5669" i="14"/>
  <c r="B5669" i="14" l="1"/>
  <c r="D5669" i="14"/>
  <c r="C5669" i="14"/>
  <c r="E5669" i="14" s="1"/>
  <c r="A5670" i="14"/>
  <c r="D5670" i="14" l="1"/>
  <c r="C5670" i="14"/>
  <c r="E5670" i="14" s="1"/>
  <c r="B5670" i="14"/>
  <c r="A5671" i="14"/>
  <c r="D5671" i="14" l="1"/>
  <c r="B5671" i="14"/>
  <c r="C5671" i="14"/>
  <c r="E5671" i="14" s="1"/>
  <c r="A5672" i="14"/>
  <c r="D5672" i="14" l="1"/>
  <c r="C5672" i="14"/>
  <c r="E5672" i="14" s="1"/>
  <c r="B5672" i="14"/>
  <c r="A5673" i="14"/>
  <c r="B5673" i="14" l="1"/>
  <c r="D5673" i="14"/>
  <c r="C5673" i="14"/>
  <c r="E5673" i="14" s="1"/>
  <c r="A5674" i="14"/>
  <c r="D5674" i="14" l="1"/>
  <c r="C5674" i="14"/>
  <c r="E5674" i="14" s="1"/>
  <c r="B5674" i="14"/>
  <c r="A5675" i="14"/>
  <c r="D5675" i="14" l="1"/>
  <c r="C5675" i="14"/>
  <c r="E5675" i="14" s="1"/>
  <c r="B5675" i="14"/>
  <c r="A5676" i="14"/>
  <c r="C5676" i="14" l="1"/>
  <c r="E5676" i="14" s="1"/>
  <c r="D5676" i="14"/>
  <c r="B5676" i="14"/>
  <c r="A5677" i="14"/>
  <c r="D5677" i="14" l="1"/>
  <c r="C5677" i="14"/>
  <c r="E5677" i="14" s="1"/>
  <c r="B5677" i="14"/>
  <c r="A5678" i="14"/>
  <c r="C5678" i="14" l="1"/>
  <c r="E5678" i="14" s="1"/>
  <c r="B5678" i="14"/>
  <c r="D5678" i="14"/>
  <c r="A5679" i="14"/>
  <c r="D5679" i="14" l="1"/>
  <c r="C5679" i="14"/>
  <c r="E5679" i="14" s="1"/>
  <c r="B5679" i="14"/>
  <c r="A5680" i="14"/>
  <c r="B5680" i="14" l="1"/>
  <c r="D5680" i="14"/>
  <c r="C5680" i="14"/>
  <c r="E5680" i="14" s="1"/>
  <c r="A5681" i="14"/>
  <c r="B5681" i="14" l="1"/>
  <c r="D5681" i="14"/>
  <c r="C5681" i="14"/>
  <c r="E5681" i="14" s="1"/>
  <c r="A5682" i="14"/>
  <c r="B5682" i="14" l="1"/>
  <c r="D5682" i="14"/>
  <c r="C5682" i="14"/>
  <c r="E5682" i="14" s="1"/>
  <c r="A5683" i="14"/>
  <c r="D5683" i="14" l="1"/>
  <c r="C5683" i="14"/>
  <c r="E5683" i="14" s="1"/>
  <c r="B5683" i="14"/>
  <c r="A5684" i="14"/>
  <c r="C5684" i="14" l="1"/>
  <c r="E5684" i="14" s="1"/>
  <c r="D5684" i="14"/>
  <c r="B5684" i="14"/>
  <c r="A5685" i="14"/>
  <c r="D5685" i="14" l="1"/>
  <c r="C5685" i="14"/>
  <c r="E5685" i="14" s="1"/>
  <c r="B5685" i="14"/>
  <c r="A5686" i="14"/>
  <c r="D5686" i="14" l="1"/>
  <c r="C5686" i="14"/>
  <c r="E5686" i="14" s="1"/>
  <c r="B5686" i="14"/>
  <c r="A5687" i="14"/>
  <c r="D5687" i="14" l="1"/>
  <c r="C5687" i="14"/>
  <c r="E5687" i="14" s="1"/>
  <c r="B5687" i="14"/>
  <c r="A5688" i="14"/>
  <c r="D5688" i="14" l="1"/>
  <c r="C5688" i="14"/>
  <c r="E5688" i="14" s="1"/>
  <c r="B5688" i="14"/>
  <c r="A5689" i="14"/>
  <c r="B5689" i="14" l="1"/>
  <c r="C5689" i="14"/>
  <c r="E5689" i="14" s="1"/>
  <c r="D5689" i="14"/>
  <c r="A5690" i="14"/>
  <c r="D5690" i="14" l="1"/>
  <c r="C5690" i="14"/>
  <c r="E5690" i="14" s="1"/>
  <c r="B5690" i="14"/>
  <c r="A5691" i="14"/>
  <c r="B5691" i="14" l="1"/>
  <c r="D5691" i="14"/>
  <c r="C5691" i="14"/>
  <c r="E5691" i="14" s="1"/>
  <c r="A5692" i="14"/>
  <c r="C5692" i="14" l="1"/>
  <c r="E5692" i="14" s="1"/>
  <c r="D5692" i="14"/>
  <c r="B5692" i="14"/>
  <c r="A5693" i="14"/>
  <c r="B5693" i="14" l="1"/>
  <c r="D5693" i="14"/>
  <c r="C5693" i="14"/>
  <c r="E5693" i="14" s="1"/>
  <c r="A5694" i="14"/>
  <c r="D5694" i="14" l="1"/>
  <c r="C5694" i="14"/>
  <c r="E5694" i="14" s="1"/>
  <c r="B5694" i="14"/>
  <c r="A5695" i="14"/>
  <c r="D5695" i="14" l="1"/>
  <c r="C5695" i="14"/>
  <c r="E5695" i="14" s="1"/>
  <c r="B5695" i="14"/>
  <c r="A5696" i="14"/>
  <c r="D5696" i="14" l="1"/>
  <c r="C5696" i="14"/>
  <c r="E5696" i="14" s="1"/>
  <c r="B5696" i="14"/>
  <c r="A5697" i="14"/>
  <c r="B5697" i="14" l="1"/>
  <c r="D5697" i="14"/>
  <c r="C5697" i="14"/>
  <c r="E5697" i="14" s="1"/>
  <c r="A5698" i="14"/>
  <c r="C5698" i="14" l="1"/>
  <c r="E5698" i="14" s="1"/>
  <c r="B5698" i="14"/>
  <c r="D5698" i="14"/>
  <c r="A5699" i="14"/>
  <c r="D5699" i="14" l="1"/>
  <c r="C5699" i="14"/>
  <c r="E5699" i="14" s="1"/>
  <c r="B5699" i="14"/>
  <c r="A5700" i="14"/>
  <c r="C5700" i="14" l="1"/>
  <c r="E5700" i="14" s="1"/>
  <c r="B5700" i="14"/>
  <c r="D5700" i="14"/>
  <c r="A5701" i="14"/>
  <c r="D5701" i="14" l="1"/>
  <c r="C5701" i="14"/>
  <c r="E5701" i="14" s="1"/>
  <c r="B5701" i="14"/>
  <c r="A5702" i="14"/>
  <c r="B5702" i="14" l="1"/>
  <c r="D5702" i="14"/>
  <c r="C5702" i="14"/>
  <c r="E5702" i="14" s="1"/>
  <c r="A5703" i="14"/>
  <c r="D5703" i="14" l="1"/>
  <c r="C5703" i="14"/>
  <c r="E5703" i="14" s="1"/>
  <c r="B5703" i="14"/>
  <c r="A5704" i="14"/>
  <c r="B5704" i="14" l="1"/>
  <c r="D5704" i="14"/>
  <c r="C5704" i="14"/>
  <c r="E5704" i="14" s="1"/>
  <c r="A5705" i="14"/>
  <c r="B5705" i="14" l="1"/>
  <c r="D5705" i="14"/>
  <c r="C5705" i="14"/>
  <c r="E5705" i="14" s="1"/>
  <c r="A5706" i="14"/>
  <c r="D5706" i="14" l="1"/>
  <c r="C5706" i="14"/>
  <c r="E5706" i="14" s="1"/>
  <c r="B5706" i="14"/>
  <c r="A5707" i="14"/>
  <c r="D5707" i="14" l="1"/>
  <c r="C5707" i="14"/>
  <c r="E5707" i="14" s="1"/>
  <c r="B5707" i="14"/>
  <c r="A5708" i="14"/>
  <c r="C5708" i="14" l="1"/>
  <c r="E5708" i="14" s="1"/>
  <c r="D5708" i="14"/>
  <c r="B5708" i="14"/>
  <c r="A5709" i="14"/>
  <c r="C5709" i="14" l="1"/>
  <c r="E5709" i="14" s="1"/>
  <c r="B5709" i="14"/>
  <c r="D5709" i="14"/>
  <c r="A5710" i="14"/>
  <c r="D5710" i="14" l="1"/>
  <c r="C5710" i="14"/>
  <c r="E5710" i="14" s="1"/>
  <c r="B5710" i="14"/>
  <c r="A5711" i="14"/>
  <c r="D5711" i="14" l="1"/>
  <c r="B5711" i="14"/>
  <c r="C5711" i="14"/>
  <c r="E5711" i="14" s="1"/>
  <c r="A5712" i="14"/>
  <c r="D5712" i="14" l="1"/>
  <c r="C5712" i="14"/>
  <c r="E5712" i="14" s="1"/>
  <c r="B5712" i="14"/>
  <c r="A5713" i="14"/>
  <c r="B5713" i="14" l="1"/>
  <c r="D5713" i="14"/>
  <c r="C5713" i="14"/>
  <c r="E5713" i="14" s="1"/>
  <c r="A5714" i="14"/>
  <c r="D5714" i="14" l="1"/>
  <c r="C5714" i="14"/>
  <c r="E5714" i="14" s="1"/>
  <c r="B5714" i="14"/>
  <c r="A5715" i="14"/>
  <c r="B5715" i="14" l="1"/>
  <c r="D5715" i="14"/>
  <c r="C5715" i="14"/>
  <c r="E5715" i="14" s="1"/>
  <c r="A5716" i="14"/>
  <c r="C5716" i="14" l="1"/>
  <c r="E5716" i="14" s="1"/>
  <c r="D5716" i="14"/>
  <c r="B5716" i="14"/>
  <c r="A5717" i="14"/>
  <c r="D5717" i="14" l="1"/>
  <c r="C5717" i="14"/>
  <c r="E5717" i="14" s="1"/>
  <c r="B5717" i="14"/>
  <c r="A5718" i="14"/>
  <c r="D5718" i="14" l="1"/>
  <c r="C5718" i="14"/>
  <c r="E5718" i="14" s="1"/>
  <c r="B5718" i="14"/>
  <c r="A5719" i="14"/>
  <c r="D5719" i="14" l="1"/>
  <c r="C5719" i="14"/>
  <c r="E5719" i="14" s="1"/>
  <c r="B5719" i="14"/>
  <c r="A5720" i="14"/>
  <c r="C5720" i="14" l="1"/>
  <c r="E5720" i="14" s="1"/>
  <c r="B5720" i="14"/>
  <c r="D5720" i="14"/>
  <c r="A5721" i="14"/>
  <c r="B5721" i="14" l="1"/>
  <c r="D5721" i="14"/>
  <c r="C5721" i="14"/>
  <c r="E5721" i="14" s="1"/>
  <c r="A5722" i="14"/>
  <c r="B5722" i="14" l="1"/>
  <c r="C5722" i="14"/>
  <c r="E5722" i="14" s="1"/>
  <c r="D5722" i="14"/>
  <c r="A5723" i="14"/>
  <c r="D5723" i="14" l="1"/>
  <c r="C5723" i="14"/>
  <c r="E5723" i="14" s="1"/>
  <c r="B5723" i="14"/>
  <c r="A5724" i="14"/>
  <c r="E5724" i="14" l="1"/>
  <c r="C5724" i="14"/>
  <c r="D5724" i="14"/>
  <c r="B5724" i="14"/>
  <c r="A5725" i="14"/>
  <c r="D5725" i="14" l="1"/>
  <c r="C5725" i="14"/>
  <c r="E5725" i="14" s="1"/>
  <c r="B5725" i="14"/>
  <c r="A5726" i="14"/>
  <c r="B5726" i="14" l="1"/>
  <c r="D5726" i="14"/>
  <c r="C5726" i="14"/>
  <c r="E5726" i="14" s="1"/>
  <c r="A5727" i="14"/>
  <c r="D5727" i="14" l="1"/>
  <c r="C5727" i="14"/>
  <c r="E5727" i="14" s="1"/>
  <c r="B5727" i="14"/>
  <c r="A5728" i="14"/>
  <c r="D5728" i="14" l="1"/>
  <c r="C5728" i="14"/>
  <c r="E5728" i="14" s="1"/>
  <c r="B5728" i="14"/>
  <c r="A5729" i="14"/>
  <c r="B5729" i="14" l="1"/>
  <c r="D5729" i="14"/>
  <c r="C5729" i="14"/>
  <c r="E5729" i="14" s="1"/>
  <c r="A5730" i="14"/>
  <c r="D5730" i="14" l="1"/>
  <c r="B5730" i="14"/>
  <c r="C5730" i="14"/>
  <c r="E5730" i="14" s="1"/>
  <c r="A5731" i="14"/>
  <c r="C5731" i="14" l="1"/>
  <c r="E5731" i="14" s="1"/>
  <c r="B5731" i="14"/>
  <c r="D5731" i="14"/>
  <c r="A5732" i="14"/>
  <c r="C5732" i="14" l="1"/>
  <c r="E5732" i="14" s="1"/>
  <c r="D5732" i="14"/>
  <c r="B5732" i="14"/>
  <c r="A5733" i="14"/>
  <c r="C5733" i="14" l="1"/>
  <c r="E5733" i="14" s="1"/>
  <c r="B5733" i="14"/>
  <c r="D5733" i="14"/>
  <c r="A5734" i="14"/>
  <c r="C5734" i="14" l="1"/>
  <c r="E5734" i="14" s="1"/>
  <c r="B5734" i="14"/>
  <c r="D5734" i="14"/>
  <c r="A5735" i="14"/>
  <c r="C5735" i="14" l="1"/>
  <c r="E5735" i="14" s="1"/>
  <c r="B5735" i="14"/>
  <c r="D5735" i="14"/>
  <c r="A5736" i="14"/>
  <c r="B5736" i="14" l="1"/>
  <c r="C5736" i="14"/>
  <c r="E5736" i="14" s="1"/>
  <c r="D5736" i="14"/>
  <c r="A5737" i="14"/>
  <c r="D5737" i="14" l="1"/>
  <c r="C5737" i="14"/>
  <c r="E5737" i="14" s="1"/>
  <c r="B5737" i="14"/>
  <c r="A5738" i="14"/>
  <c r="C5738" i="14" l="1"/>
  <c r="E5738" i="14" s="1"/>
  <c r="D5738" i="14"/>
  <c r="B5738" i="14"/>
  <c r="A5739" i="14"/>
  <c r="B5739" i="14" l="1"/>
  <c r="D5739" i="14"/>
  <c r="C5739" i="14"/>
  <c r="E5739" i="14" s="1"/>
  <c r="A5740" i="14"/>
  <c r="C5740" i="14" l="1"/>
  <c r="E5740" i="14" s="1"/>
  <c r="B5740" i="14"/>
  <c r="D5740" i="14"/>
  <c r="A5741" i="14"/>
  <c r="D5741" i="14" l="1"/>
  <c r="C5741" i="14"/>
  <c r="E5741" i="14" s="1"/>
  <c r="B5741" i="14"/>
  <c r="A5742" i="14"/>
  <c r="C5742" i="14" l="1"/>
  <c r="E5742" i="14" s="1"/>
  <c r="D5742" i="14"/>
  <c r="B5742" i="14"/>
  <c r="A5743" i="14"/>
  <c r="C5743" i="14" l="1"/>
  <c r="E5743" i="14" s="1"/>
  <c r="D5743" i="14"/>
  <c r="B5743" i="14"/>
  <c r="A5744" i="14"/>
  <c r="D5744" i="14" l="1"/>
  <c r="C5744" i="14"/>
  <c r="E5744" i="14" s="1"/>
  <c r="B5744" i="14"/>
  <c r="A5745" i="14"/>
  <c r="D5745" i="14" l="1"/>
  <c r="B5745" i="14"/>
  <c r="C5745" i="14"/>
  <c r="E5745" i="14" s="1"/>
  <c r="A5746" i="14"/>
  <c r="D5746" i="14" l="1"/>
  <c r="B5746" i="14"/>
  <c r="C5746" i="14"/>
  <c r="E5746" i="14" s="1"/>
  <c r="A5747" i="14"/>
  <c r="B5747" i="14" l="1"/>
  <c r="D5747" i="14"/>
  <c r="C5747" i="14"/>
  <c r="E5747" i="14" s="1"/>
  <c r="A5748" i="14"/>
  <c r="D5748" i="14" l="1"/>
  <c r="C5748" i="14"/>
  <c r="E5748" i="14" s="1"/>
  <c r="B5748" i="14"/>
  <c r="A5749" i="14"/>
  <c r="D5749" i="14" l="1"/>
  <c r="C5749" i="14"/>
  <c r="E5749" i="14" s="1"/>
  <c r="B5749" i="14"/>
  <c r="A5750" i="14"/>
  <c r="E5750" i="14" l="1"/>
  <c r="C5750" i="14"/>
  <c r="D5750" i="14"/>
  <c r="B5750" i="14"/>
  <c r="A5751" i="14"/>
  <c r="D5751" i="14" l="1"/>
  <c r="C5751" i="14"/>
  <c r="B5751" i="14"/>
  <c r="A5752" i="14"/>
  <c r="E5751" i="14"/>
  <c r="D5752" i="14" l="1"/>
  <c r="B5752" i="14"/>
  <c r="C5752" i="14"/>
  <c r="E5752" i="14" s="1"/>
  <c r="A5753" i="14"/>
  <c r="D5753" i="14" l="1"/>
  <c r="C5753" i="14"/>
  <c r="E5753" i="14" s="1"/>
  <c r="B5753" i="14"/>
  <c r="A5754" i="14"/>
  <c r="C5754" i="14" l="1"/>
  <c r="E5754" i="14" s="1"/>
  <c r="B5754" i="14"/>
  <c r="D5754" i="14"/>
  <c r="A5755" i="14"/>
  <c r="B5755" i="14" l="1"/>
  <c r="D5755" i="14"/>
  <c r="C5755" i="14"/>
  <c r="E5755" i="14" s="1"/>
  <c r="A5756" i="14"/>
  <c r="B5756" i="14" l="1"/>
  <c r="C5756" i="14"/>
  <c r="E5756" i="14" s="1"/>
  <c r="D5756" i="14"/>
  <c r="A5757" i="14"/>
  <c r="D5757" i="14" l="1"/>
  <c r="B5757" i="14"/>
  <c r="C5757" i="14"/>
  <c r="E5757" i="14" s="1"/>
  <c r="A5758" i="14"/>
  <c r="C5758" i="14" l="1"/>
  <c r="E5758" i="14" s="1"/>
  <c r="D5758" i="14"/>
  <c r="B5758" i="14"/>
  <c r="A5759" i="14"/>
  <c r="D5759" i="14" l="1"/>
  <c r="B5759" i="14"/>
  <c r="C5759" i="14"/>
  <c r="E5759" i="14" s="1"/>
  <c r="A5760" i="14"/>
  <c r="D5760" i="14" l="1"/>
  <c r="C5760" i="14"/>
  <c r="E5760" i="14" s="1"/>
  <c r="B5760" i="14"/>
  <c r="A5761" i="14"/>
  <c r="D5761" i="14" l="1"/>
  <c r="B5761" i="14"/>
  <c r="C5761" i="14"/>
  <c r="E5761" i="14" s="1"/>
  <c r="A5762" i="14"/>
  <c r="D5762" i="14" l="1"/>
  <c r="C5762" i="14"/>
  <c r="E5762" i="14" s="1"/>
  <c r="B5762" i="14"/>
  <c r="A5763" i="14"/>
  <c r="B5763" i="14" l="1"/>
  <c r="D5763" i="14"/>
  <c r="C5763" i="14"/>
  <c r="E5763" i="14" s="1"/>
  <c r="A5764" i="14"/>
  <c r="D5764" i="14" l="1"/>
  <c r="C5764" i="14"/>
  <c r="E5764" i="14" s="1"/>
  <c r="B5764" i="14"/>
  <c r="A5765" i="14"/>
  <c r="C5765" i="14" l="1"/>
  <c r="E5765" i="14" s="1"/>
  <c r="D5765" i="14"/>
  <c r="B5765" i="14"/>
  <c r="A5766" i="14"/>
  <c r="C5766" i="14" l="1"/>
  <c r="E5766" i="14" s="1"/>
  <c r="D5766" i="14"/>
  <c r="B5766" i="14"/>
  <c r="A5767" i="14"/>
  <c r="B5767" i="14" l="1"/>
  <c r="D5767" i="14"/>
  <c r="C5767" i="14"/>
  <c r="E5767" i="14" s="1"/>
  <c r="A5768" i="14"/>
  <c r="D5768" i="14" l="1"/>
  <c r="C5768" i="14"/>
  <c r="E5768" i="14" s="1"/>
  <c r="B5768" i="14"/>
  <c r="A5769" i="14"/>
  <c r="D5769" i="14" l="1"/>
  <c r="C5769" i="14"/>
  <c r="E5769" i="14" s="1"/>
  <c r="B5769" i="14"/>
  <c r="A5770" i="14"/>
  <c r="D5770" i="14" l="1"/>
  <c r="C5770" i="14"/>
  <c r="E5770" i="14" s="1"/>
  <c r="B5770" i="14"/>
  <c r="A5771" i="14"/>
  <c r="B5771" i="14" l="1"/>
  <c r="D5771" i="14"/>
  <c r="C5771" i="14"/>
  <c r="E5771" i="14" s="1"/>
  <c r="A5772" i="14"/>
  <c r="D5772" i="14" l="1"/>
  <c r="C5772" i="14"/>
  <c r="E5772" i="14" s="1"/>
  <c r="B5772" i="14"/>
  <c r="A5773" i="14"/>
  <c r="B5773" i="14" l="1"/>
  <c r="D5773" i="14"/>
  <c r="C5773" i="14"/>
  <c r="E5773" i="14" s="1"/>
  <c r="A5774" i="14"/>
  <c r="C5774" i="14" l="1"/>
  <c r="E5774" i="14" s="1"/>
  <c r="D5774" i="14"/>
  <c r="B5774" i="14"/>
  <c r="A5775" i="14"/>
  <c r="B5775" i="14" l="1"/>
  <c r="D5775" i="14"/>
  <c r="C5775" i="14"/>
  <c r="E5775" i="14" s="1"/>
  <c r="A5776" i="14"/>
  <c r="C5776" i="14" l="1"/>
  <c r="E5776" i="14" s="1"/>
  <c r="D5776" i="14"/>
  <c r="B5776" i="14"/>
  <c r="A5777" i="14"/>
  <c r="D5777" i="14" l="1"/>
  <c r="B5777" i="14"/>
  <c r="C5777" i="14"/>
  <c r="E5777" i="14" s="1"/>
  <c r="A5778" i="14"/>
  <c r="B5778" i="14" l="1"/>
  <c r="D5778" i="14"/>
  <c r="C5778" i="14"/>
  <c r="E5778" i="14" s="1"/>
  <c r="A5779" i="14"/>
  <c r="B5779" i="14" l="1"/>
  <c r="C5779" i="14"/>
  <c r="E5779" i="14" s="1"/>
  <c r="D5779" i="14"/>
  <c r="A5780" i="14"/>
  <c r="D5780" i="14" l="1"/>
  <c r="B5780" i="14"/>
  <c r="C5780" i="14"/>
  <c r="E5780" i="14" s="1"/>
  <c r="A5781" i="14"/>
  <c r="C5781" i="14" l="1"/>
  <c r="E5781" i="14" s="1"/>
  <c r="B5781" i="14"/>
  <c r="D5781" i="14"/>
  <c r="A5782" i="14"/>
  <c r="C5782" i="14" l="1"/>
  <c r="E5782" i="14" s="1"/>
  <c r="B5782" i="14"/>
  <c r="D5782" i="14"/>
  <c r="A5783" i="14"/>
  <c r="D5783" i="14" l="1"/>
  <c r="C5783" i="14"/>
  <c r="E5783" i="14" s="1"/>
  <c r="B5783" i="14"/>
  <c r="A5784" i="14"/>
  <c r="C5784" i="14" l="1"/>
  <c r="E5784" i="14" s="1"/>
  <c r="D5784" i="14"/>
  <c r="B5784" i="14"/>
  <c r="A5785" i="14"/>
  <c r="D5785" i="14" l="1"/>
  <c r="C5785" i="14"/>
  <c r="E5785" i="14" s="1"/>
  <c r="B5785" i="14"/>
  <c r="A5786" i="14"/>
  <c r="C5786" i="14" l="1"/>
  <c r="E5786" i="14" s="1"/>
  <c r="D5786" i="14"/>
  <c r="B5786" i="14"/>
  <c r="A5787" i="14"/>
  <c r="B5787" i="14" l="1"/>
  <c r="C5787" i="14"/>
  <c r="E5787" i="14" s="1"/>
  <c r="D5787" i="14"/>
  <c r="A5788" i="14"/>
  <c r="C5788" i="14" l="1"/>
  <c r="E5788" i="14" s="1"/>
  <c r="D5788" i="14"/>
  <c r="B5788" i="14"/>
  <c r="A5789" i="14"/>
  <c r="B5789" i="14" l="1"/>
  <c r="D5789" i="14"/>
  <c r="C5789" i="14"/>
  <c r="E5789" i="14" s="1"/>
  <c r="A5790" i="14"/>
  <c r="C5790" i="14" l="1"/>
  <c r="E5790" i="14" s="1"/>
  <c r="D5790" i="14"/>
  <c r="B5790" i="14"/>
  <c r="A5791" i="14"/>
  <c r="D5791" i="14" l="1"/>
  <c r="C5791" i="14"/>
  <c r="E5791" i="14" s="1"/>
  <c r="B5791" i="14"/>
  <c r="A5792" i="14"/>
  <c r="D5792" i="14" l="1"/>
  <c r="C5792" i="14"/>
  <c r="E5792" i="14" s="1"/>
  <c r="B5792" i="14"/>
  <c r="A5793" i="14"/>
  <c r="D5793" i="14" l="1"/>
  <c r="C5793" i="14"/>
  <c r="E5793" i="14" s="1"/>
  <c r="B5793" i="14"/>
  <c r="A5794" i="14"/>
  <c r="D5794" i="14" l="1"/>
  <c r="C5794" i="14"/>
  <c r="E5794" i="14" s="1"/>
  <c r="B5794" i="14"/>
  <c r="A5795" i="14"/>
  <c r="B5795" i="14" l="1"/>
  <c r="D5795" i="14"/>
  <c r="C5795" i="14"/>
  <c r="E5795" i="14" s="1"/>
  <c r="A5796" i="14"/>
  <c r="C5796" i="14" l="1"/>
  <c r="E5796" i="14" s="1"/>
  <c r="B5796" i="14"/>
  <c r="D5796" i="14"/>
  <c r="A5797" i="14"/>
  <c r="D5797" i="14" l="1"/>
  <c r="C5797" i="14"/>
  <c r="E5797" i="14" s="1"/>
  <c r="B5797" i="14"/>
  <c r="A5798" i="14"/>
  <c r="C5798" i="14" l="1"/>
  <c r="E5798" i="14" s="1"/>
  <c r="B5798" i="14"/>
  <c r="D5798" i="14"/>
  <c r="A5799" i="14"/>
  <c r="D5799" i="14" l="1"/>
  <c r="C5799" i="14"/>
  <c r="E5799" i="14" s="1"/>
  <c r="B5799" i="14"/>
  <c r="A5800" i="14"/>
  <c r="B5800" i="14" l="1"/>
  <c r="C5800" i="14"/>
  <c r="E5800" i="14" s="1"/>
  <c r="D5800" i="14"/>
  <c r="A5801" i="14"/>
  <c r="D5801" i="14" l="1"/>
  <c r="C5801" i="14"/>
  <c r="E5801" i="14" s="1"/>
  <c r="B5801" i="14"/>
  <c r="A5802" i="14"/>
  <c r="C5802" i="14" l="1"/>
  <c r="E5802" i="14" s="1"/>
  <c r="B5802" i="14"/>
  <c r="D5802" i="14"/>
  <c r="A5803" i="14"/>
  <c r="B5803" i="14" l="1"/>
  <c r="D5803" i="14"/>
  <c r="C5803" i="14"/>
  <c r="E5803" i="14" s="1"/>
  <c r="A5804" i="14"/>
  <c r="C5804" i="14" l="1"/>
  <c r="E5804" i="14" s="1"/>
  <c r="B5804" i="14"/>
  <c r="D5804" i="14"/>
  <c r="A5805" i="14"/>
  <c r="D5805" i="14" l="1"/>
  <c r="B5805" i="14"/>
  <c r="C5805" i="14"/>
  <c r="E5805" i="14" s="1"/>
  <c r="A5806" i="14"/>
  <c r="C5806" i="14" l="1"/>
  <c r="E5806" i="14" s="1"/>
  <c r="D5806" i="14"/>
  <c r="B5806" i="14"/>
  <c r="A5807" i="14"/>
  <c r="C5807" i="14" l="1"/>
  <c r="E5807" i="14" s="1"/>
  <c r="B5807" i="14"/>
  <c r="D5807" i="14"/>
  <c r="A5808" i="14"/>
  <c r="D5808" i="14" l="1"/>
  <c r="C5808" i="14"/>
  <c r="E5808" i="14" s="1"/>
  <c r="B5808" i="14"/>
  <c r="A5809" i="14"/>
  <c r="D5809" i="14" l="1"/>
  <c r="B5809" i="14"/>
  <c r="C5809" i="14"/>
  <c r="E5809" i="14" s="1"/>
  <c r="A5810" i="14"/>
  <c r="D5810" i="14" l="1"/>
  <c r="C5810" i="14"/>
  <c r="E5810" i="14" s="1"/>
  <c r="B5810" i="14"/>
  <c r="A5811" i="14"/>
  <c r="B5811" i="14" l="1"/>
  <c r="D5811" i="14"/>
  <c r="C5811" i="14"/>
  <c r="E5811" i="14" s="1"/>
  <c r="A5812" i="14"/>
  <c r="D5812" i="14" l="1"/>
  <c r="C5812" i="14"/>
  <c r="E5812" i="14" s="1"/>
  <c r="B5812" i="14"/>
  <c r="A5813" i="14"/>
  <c r="D5813" i="14" l="1"/>
  <c r="B5813" i="14"/>
  <c r="C5813" i="14"/>
  <c r="E5813" i="14" s="1"/>
  <c r="A5814" i="14"/>
  <c r="C5814" i="14" l="1"/>
  <c r="E5814" i="14" s="1"/>
  <c r="D5814" i="14"/>
  <c r="B5814" i="14"/>
  <c r="A5815" i="14"/>
  <c r="D5815" i="14" l="1"/>
  <c r="C5815" i="14"/>
  <c r="E5815" i="14" s="1"/>
  <c r="B5815" i="14"/>
  <c r="A5816" i="14"/>
  <c r="D5816" i="14" l="1"/>
  <c r="C5816" i="14"/>
  <c r="E5816" i="14" s="1"/>
  <c r="B5816" i="14"/>
  <c r="A5817" i="14"/>
  <c r="D5817" i="14" l="1"/>
  <c r="C5817" i="14"/>
  <c r="E5817" i="14" s="1"/>
  <c r="B5817" i="14"/>
  <c r="A5818" i="14"/>
  <c r="C5818" i="14" l="1"/>
  <c r="E5818" i="14" s="1"/>
  <c r="D5818" i="14"/>
  <c r="B5818" i="14"/>
  <c r="A5819" i="14"/>
  <c r="B5819" i="14" l="1"/>
  <c r="D5819" i="14"/>
  <c r="C5819" i="14"/>
  <c r="E5819" i="14" s="1"/>
  <c r="A5820" i="14"/>
  <c r="E5820" i="14" l="1"/>
  <c r="B5820" i="14"/>
  <c r="D5820" i="14"/>
  <c r="C5820" i="14"/>
  <c r="A5821" i="14"/>
  <c r="B5821" i="14" l="1"/>
  <c r="D5821" i="14"/>
  <c r="C5821" i="14"/>
  <c r="E5821" i="14" s="1"/>
  <c r="A5822" i="14"/>
  <c r="C5822" i="14" l="1"/>
  <c r="E5822" i="14" s="1"/>
  <c r="D5822" i="14"/>
  <c r="B5822" i="14"/>
  <c r="A5823" i="14"/>
  <c r="B5823" i="14" l="1"/>
  <c r="D5823" i="14"/>
  <c r="C5823" i="14"/>
  <c r="E5823" i="14" s="1"/>
  <c r="A5824" i="14"/>
  <c r="D5824" i="14" l="1"/>
  <c r="B5824" i="14"/>
  <c r="C5824" i="14"/>
  <c r="E5824" i="14" s="1"/>
  <c r="A5825" i="14"/>
  <c r="D5825" i="14" l="1"/>
  <c r="B5825" i="14"/>
  <c r="C5825" i="14"/>
  <c r="E5825" i="14" s="1"/>
  <c r="A5826" i="14"/>
  <c r="D5826" i="14" l="1"/>
  <c r="B5826" i="14"/>
  <c r="C5826" i="14"/>
  <c r="E5826" i="14" s="1"/>
  <c r="A5827" i="14"/>
  <c r="B5827" i="14" l="1"/>
  <c r="D5827" i="14"/>
  <c r="C5827" i="14"/>
  <c r="E5827" i="14" s="1"/>
  <c r="A5828" i="14"/>
  <c r="D5828" i="14" l="1"/>
  <c r="B5828" i="14"/>
  <c r="C5828" i="14"/>
  <c r="E5828" i="14" s="1"/>
  <c r="A5829" i="14"/>
  <c r="C5829" i="14" l="1"/>
  <c r="E5829" i="14" s="1"/>
  <c r="D5829" i="14"/>
  <c r="B5829" i="14"/>
  <c r="A5830" i="14"/>
  <c r="C5830" i="14" l="1"/>
  <c r="E5830" i="14" s="1"/>
  <c r="B5830" i="14"/>
  <c r="D5830" i="14"/>
  <c r="A5831" i="14"/>
  <c r="B5831" i="14" l="1"/>
  <c r="D5831" i="14"/>
  <c r="C5831" i="14"/>
  <c r="E5831" i="14" s="1"/>
  <c r="A5832" i="14"/>
  <c r="C5832" i="14" l="1"/>
  <c r="E5832" i="14" s="1"/>
  <c r="D5832" i="14"/>
  <c r="B5832" i="14"/>
  <c r="A5833" i="14"/>
  <c r="D5833" i="14" l="1"/>
  <c r="C5833" i="14"/>
  <c r="E5833" i="14" s="1"/>
  <c r="B5833" i="14"/>
  <c r="A5834" i="14"/>
  <c r="C5834" i="14" l="1"/>
  <c r="E5834" i="14" s="1"/>
  <c r="D5834" i="14"/>
  <c r="B5834" i="14"/>
  <c r="A5835" i="14"/>
  <c r="B5835" i="14" l="1"/>
  <c r="D5835" i="14"/>
  <c r="C5835" i="14"/>
  <c r="E5835" i="14" s="1"/>
  <c r="A5836" i="14"/>
  <c r="D5836" i="14" l="1"/>
  <c r="C5836" i="14"/>
  <c r="E5836" i="14" s="1"/>
  <c r="B5836" i="14"/>
  <c r="A5837" i="14"/>
  <c r="D5837" i="14" l="1"/>
  <c r="C5837" i="14"/>
  <c r="E5837" i="14" s="1"/>
  <c r="B5837" i="14"/>
  <c r="A5838" i="14"/>
  <c r="C5838" i="14" l="1"/>
  <c r="E5838" i="14" s="1"/>
  <c r="D5838" i="14"/>
  <c r="B5838" i="14"/>
  <c r="A5839" i="14"/>
  <c r="D5839" i="14" l="1"/>
  <c r="C5839" i="14"/>
  <c r="E5839" i="14" s="1"/>
  <c r="B5839" i="14"/>
  <c r="A5840" i="14"/>
  <c r="C5840" i="14" l="1"/>
  <c r="E5840" i="14" s="1"/>
  <c r="D5840" i="14"/>
  <c r="B5840" i="14"/>
  <c r="A5841" i="14"/>
  <c r="D5841" i="14" l="1"/>
  <c r="C5841" i="14"/>
  <c r="E5841" i="14" s="1"/>
  <c r="B5841" i="14"/>
  <c r="A5842" i="14"/>
  <c r="B5842" i="14" l="1"/>
  <c r="D5842" i="14"/>
  <c r="C5842" i="14"/>
  <c r="E5842" i="14" s="1"/>
  <c r="A5843" i="14"/>
  <c r="B5843" i="14" l="1"/>
  <c r="D5843" i="14"/>
  <c r="C5843" i="14"/>
  <c r="E5843" i="14" s="1"/>
  <c r="A5844" i="14"/>
  <c r="B5844" i="14" l="1"/>
  <c r="D5844" i="14"/>
  <c r="C5844" i="14"/>
  <c r="E5844" i="14" s="1"/>
  <c r="A5845" i="14"/>
  <c r="D5845" i="14" l="1"/>
  <c r="C5845" i="14"/>
  <c r="E5845" i="14" s="1"/>
  <c r="B5845" i="14"/>
  <c r="A5846" i="14"/>
  <c r="C5846" i="14" l="1"/>
  <c r="E5846" i="14" s="1"/>
  <c r="D5846" i="14"/>
  <c r="B5846" i="14"/>
  <c r="A5847" i="14"/>
  <c r="B5847" i="14" l="1"/>
  <c r="C5847" i="14"/>
  <c r="E5847" i="14" s="1"/>
  <c r="D5847" i="14"/>
  <c r="A5848" i="14"/>
  <c r="B5848" i="14" l="1"/>
  <c r="D5848" i="14"/>
  <c r="C5848" i="14"/>
  <c r="E5848" i="14" s="1"/>
  <c r="A5849" i="14"/>
  <c r="D5849" i="14" l="1"/>
  <c r="C5849" i="14"/>
  <c r="E5849" i="14" s="1"/>
  <c r="B5849" i="14"/>
  <c r="A5850" i="14"/>
  <c r="C5850" i="14" l="1"/>
  <c r="E5850" i="14" s="1"/>
  <c r="B5850" i="14"/>
  <c r="D5850" i="14"/>
  <c r="A5851" i="14"/>
  <c r="B5851" i="14" l="1"/>
  <c r="C5851" i="14"/>
  <c r="E5851" i="14" s="1"/>
  <c r="D5851" i="14"/>
  <c r="A5852" i="14"/>
  <c r="C5852" i="14" l="1"/>
  <c r="E5852" i="14" s="1"/>
  <c r="B5852" i="14"/>
  <c r="D5852" i="14"/>
  <c r="A5853" i="14"/>
  <c r="D5853" i="14" l="1"/>
  <c r="C5853" i="14"/>
  <c r="E5853" i="14" s="1"/>
  <c r="B5853" i="14"/>
  <c r="A5854" i="14"/>
  <c r="C5854" i="14" l="1"/>
  <c r="E5854" i="14" s="1"/>
  <c r="D5854" i="14"/>
  <c r="B5854" i="14"/>
  <c r="A5855" i="14"/>
  <c r="B5855" i="14" l="1"/>
  <c r="D5855" i="14"/>
  <c r="C5855" i="14"/>
  <c r="E5855" i="14" s="1"/>
  <c r="A5856" i="14"/>
  <c r="D5856" i="14" l="1"/>
  <c r="B5856" i="14"/>
  <c r="C5856" i="14"/>
  <c r="E5856" i="14" s="1"/>
  <c r="A5857" i="14"/>
  <c r="D5857" i="14" l="1"/>
  <c r="C5857" i="14"/>
  <c r="E5857" i="14" s="1"/>
  <c r="B5857" i="14"/>
  <c r="A5858" i="14"/>
  <c r="C5858" i="14" l="1"/>
  <c r="E5858" i="14" s="1"/>
  <c r="D5858" i="14"/>
  <c r="B5858" i="14"/>
  <c r="A5859" i="14"/>
  <c r="B5859" i="14" l="1"/>
  <c r="D5859" i="14"/>
  <c r="C5859" i="14"/>
  <c r="E5859" i="14" s="1"/>
  <c r="A5860" i="14"/>
  <c r="D5860" i="14" l="1"/>
  <c r="C5860" i="14"/>
  <c r="E5860" i="14" s="1"/>
  <c r="B5860" i="14"/>
  <c r="A5861" i="14"/>
  <c r="D5861" i="14" l="1"/>
  <c r="B5861" i="14"/>
  <c r="C5861" i="14"/>
  <c r="E5861" i="14" s="1"/>
  <c r="A5862" i="14"/>
  <c r="C5862" i="14" l="1"/>
  <c r="E5862" i="14" s="1"/>
  <c r="D5862" i="14"/>
  <c r="B5862" i="14"/>
  <c r="A5863" i="14"/>
  <c r="B5863" i="14" l="1"/>
  <c r="D5863" i="14"/>
  <c r="C5863" i="14"/>
  <c r="E5863" i="14" s="1"/>
  <c r="A5864" i="14"/>
  <c r="D5864" i="14" l="1"/>
  <c r="C5864" i="14"/>
  <c r="E5864" i="14" s="1"/>
  <c r="B5864" i="14"/>
  <c r="A5865" i="14"/>
  <c r="D5865" i="14" l="1"/>
  <c r="B5865" i="14"/>
  <c r="C5865" i="14"/>
  <c r="E5865" i="14" s="1"/>
  <c r="A5866" i="14"/>
  <c r="C5866" i="14" l="1"/>
  <c r="E5866" i="14" s="1"/>
  <c r="D5866" i="14"/>
  <c r="B5866" i="14"/>
  <c r="A5867" i="14"/>
  <c r="B5867" i="14" l="1"/>
  <c r="C5867" i="14"/>
  <c r="E5867" i="14" s="1"/>
  <c r="D5867" i="14"/>
  <c r="A5868" i="14"/>
  <c r="C5868" i="14" l="1"/>
  <c r="E5868" i="14" s="1"/>
  <c r="B5868" i="14"/>
  <c r="D5868" i="14"/>
  <c r="A5869" i="14"/>
  <c r="D5869" i="14" l="1"/>
  <c r="C5869" i="14"/>
  <c r="E5869" i="14" s="1"/>
  <c r="B5869" i="14"/>
  <c r="A5870" i="14"/>
  <c r="D5870" i="14" l="1"/>
  <c r="C5870" i="14"/>
  <c r="E5870" i="14" s="1"/>
  <c r="B5870" i="14"/>
  <c r="A5871" i="14"/>
  <c r="B5871" i="14" l="1"/>
  <c r="D5871" i="14"/>
  <c r="C5871" i="14"/>
  <c r="E5871" i="14" s="1"/>
  <c r="A5872" i="14"/>
  <c r="C5872" i="14" l="1"/>
  <c r="E5872" i="14" s="1"/>
  <c r="D5872" i="14"/>
  <c r="B5872" i="14"/>
  <c r="A5873" i="14"/>
  <c r="C5873" i="14" l="1"/>
  <c r="E5873" i="14" s="1"/>
  <c r="D5873" i="14"/>
  <c r="B5873" i="14"/>
  <c r="A5874" i="14"/>
  <c r="C5874" i="14" l="1"/>
  <c r="E5874" i="14" s="1"/>
  <c r="B5874" i="14"/>
  <c r="D5874" i="14"/>
  <c r="A5875" i="14"/>
  <c r="B5875" i="14" l="1"/>
  <c r="D5875" i="14"/>
  <c r="C5875" i="14"/>
  <c r="E5875" i="14" s="1"/>
  <c r="A5876" i="14"/>
  <c r="B5876" i="14" l="1"/>
  <c r="D5876" i="14"/>
  <c r="C5876" i="14"/>
  <c r="E5876" i="14" s="1"/>
  <c r="A5877" i="14"/>
  <c r="D5877" i="14" l="1"/>
  <c r="C5877" i="14"/>
  <c r="E5877" i="14" s="1"/>
  <c r="B5877" i="14"/>
  <c r="A5878" i="14"/>
  <c r="D5878" i="14" l="1"/>
  <c r="C5878" i="14"/>
  <c r="E5878" i="14" s="1"/>
  <c r="B5878" i="14"/>
  <c r="A5879" i="14"/>
  <c r="B5879" i="14" l="1"/>
  <c r="C5879" i="14"/>
  <c r="E5879" i="14" s="1"/>
  <c r="D5879" i="14"/>
  <c r="A5880" i="14"/>
  <c r="D5880" i="14" l="1"/>
  <c r="B5880" i="14"/>
  <c r="C5880" i="14"/>
  <c r="E5880" i="14" s="1"/>
  <c r="A5881" i="14"/>
  <c r="D5881" i="14" l="1"/>
  <c r="C5881" i="14"/>
  <c r="E5881" i="14" s="1"/>
  <c r="B5881" i="14"/>
  <c r="A5882" i="14"/>
  <c r="C5882" i="14" l="1"/>
  <c r="E5882" i="14" s="1"/>
  <c r="D5882" i="14"/>
  <c r="B5882" i="14"/>
  <c r="A5883" i="14"/>
  <c r="C5883" i="14" l="1"/>
  <c r="E5883" i="14" s="1"/>
  <c r="D5883" i="14"/>
  <c r="B5883" i="14"/>
  <c r="A5884" i="14"/>
  <c r="C5884" i="14" l="1"/>
  <c r="E5884" i="14" s="1"/>
  <c r="B5884" i="14"/>
  <c r="D5884" i="14"/>
  <c r="A5885" i="14"/>
  <c r="D5885" i="14" l="1"/>
  <c r="B5885" i="14"/>
  <c r="C5885" i="14"/>
  <c r="E5885" i="14" s="1"/>
  <c r="A5886" i="14"/>
  <c r="B5886" i="14" l="1"/>
  <c r="D5886" i="14"/>
  <c r="C5886" i="14"/>
  <c r="E5886" i="14" s="1"/>
  <c r="A5887" i="14"/>
  <c r="B5887" i="14" l="1"/>
  <c r="C5887" i="14"/>
  <c r="E5887" i="14" s="1"/>
  <c r="D5887" i="14"/>
  <c r="A5888" i="14"/>
  <c r="D5888" i="14" l="1"/>
  <c r="C5888" i="14"/>
  <c r="E5888" i="14" s="1"/>
  <c r="B5888" i="14"/>
  <c r="A5889" i="14"/>
  <c r="B5889" i="14" l="1"/>
  <c r="D5889" i="14"/>
  <c r="C5889" i="14"/>
  <c r="E5889" i="14" s="1"/>
  <c r="A5890" i="14"/>
  <c r="C5890" i="14" l="1"/>
  <c r="E5890" i="14" s="1"/>
  <c r="D5890" i="14"/>
  <c r="B5890" i="14"/>
  <c r="A5891" i="14"/>
  <c r="D5891" i="14" l="1"/>
  <c r="C5891" i="14"/>
  <c r="E5891" i="14" s="1"/>
  <c r="B5891" i="14"/>
  <c r="A5892" i="14"/>
  <c r="D5892" i="14" l="1"/>
  <c r="B5892" i="14"/>
  <c r="C5892" i="14"/>
  <c r="E5892" i="14" s="1"/>
  <c r="A5893" i="14"/>
  <c r="D5893" i="14" l="1"/>
  <c r="C5893" i="14"/>
  <c r="E5893" i="14" s="1"/>
  <c r="B5893" i="14"/>
  <c r="A5894" i="14"/>
  <c r="C5894" i="14" l="1"/>
  <c r="E5894" i="14" s="1"/>
  <c r="D5894" i="14"/>
  <c r="B5894" i="14"/>
  <c r="A5895" i="14"/>
  <c r="B5895" i="14" l="1"/>
  <c r="C5895" i="14"/>
  <c r="E5895" i="14" s="1"/>
  <c r="D5895" i="14"/>
  <c r="A5896" i="14"/>
  <c r="B5896" i="14" l="1"/>
  <c r="C5896" i="14"/>
  <c r="E5896" i="14" s="1"/>
  <c r="D5896" i="14"/>
  <c r="A5897" i="14"/>
  <c r="B5897" i="14" l="1"/>
  <c r="D5897" i="14"/>
  <c r="C5897" i="14"/>
  <c r="E5897" i="14" s="1"/>
  <c r="A5898" i="14"/>
  <c r="C5898" i="14" l="1"/>
  <c r="E5898" i="14" s="1"/>
  <c r="D5898" i="14"/>
  <c r="B5898" i="14"/>
  <c r="A5899" i="14"/>
  <c r="C5899" i="14" l="1"/>
  <c r="E5899" i="14" s="1"/>
  <c r="D5899" i="14"/>
  <c r="B5899" i="14"/>
  <c r="A5900" i="14"/>
  <c r="D5900" i="14" l="1"/>
  <c r="C5900" i="14"/>
  <c r="E5900" i="14" s="1"/>
  <c r="B5900" i="14"/>
  <c r="A5901" i="14"/>
  <c r="D5901" i="14" l="1"/>
  <c r="B5901" i="14"/>
  <c r="C5901" i="14"/>
  <c r="E5901" i="14" s="1"/>
  <c r="A5902" i="14"/>
  <c r="D5902" i="14" l="1"/>
  <c r="C5902" i="14"/>
  <c r="E5902" i="14" s="1"/>
  <c r="B5902" i="14"/>
  <c r="A5903" i="14"/>
  <c r="B5903" i="14" l="1"/>
  <c r="D5903" i="14"/>
  <c r="C5903" i="14"/>
  <c r="E5903" i="14" s="1"/>
  <c r="A5904" i="14"/>
  <c r="C5904" i="14" l="1"/>
  <c r="E5904" i="14" s="1"/>
  <c r="B5904" i="14"/>
  <c r="D5904" i="14"/>
  <c r="A5905" i="14"/>
  <c r="C5905" i="14" l="1"/>
  <c r="E5905" i="14" s="1"/>
  <c r="D5905" i="14"/>
  <c r="B5905" i="14"/>
  <c r="A5906" i="14"/>
  <c r="C5906" i="14" l="1"/>
  <c r="E5906" i="14" s="1"/>
  <c r="B5906" i="14"/>
  <c r="D5906" i="14"/>
  <c r="A5907" i="14"/>
  <c r="B5907" i="14" l="1"/>
  <c r="D5907" i="14"/>
  <c r="C5907" i="14"/>
  <c r="E5907" i="14" s="1"/>
  <c r="A5908" i="14"/>
  <c r="B5908" i="14" l="1"/>
  <c r="D5908" i="14"/>
  <c r="C5908" i="14"/>
  <c r="E5908" i="14" s="1"/>
  <c r="A5909" i="14"/>
  <c r="D5909" i="14" l="1"/>
  <c r="B5909" i="14"/>
  <c r="C5909" i="14"/>
  <c r="E5909" i="14" s="1"/>
  <c r="A5910" i="14"/>
  <c r="D5910" i="14" l="1"/>
  <c r="C5910" i="14"/>
  <c r="E5910" i="14" s="1"/>
  <c r="B5910" i="14"/>
  <c r="A5911" i="14"/>
  <c r="B5911" i="14" l="1"/>
  <c r="D5911" i="14"/>
  <c r="C5911" i="14"/>
  <c r="E5911" i="14" s="1"/>
  <c r="A5912" i="14"/>
  <c r="D5912" i="14" l="1"/>
  <c r="C5912" i="14"/>
  <c r="E5912" i="14" s="1"/>
  <c r="B5912" i="14"/>
  <c r="A5913" i="14"/>
  <c r="D5913" i="14" l="1"/>
  <c r="C5913" i="14"/>
  <c r="E5913" i="14" s="1"/>
  <c r="B5913" i="14"/>
  <c r="A5914" i="14"/>
  <c r="C5914" i="14" l="1"/>
  <c r="E5914" i="14" s="1"/>
  <c r="B5914" i="14"/>
  <c r="D5914" i="14"/>
  <c r="A5915" i="14"/>
  <c r="D5915" i="14" l="1"/>
  <c r="C5915" i="14"/>
  <c r="E5915" i="14" s="1"/>
  <c r="B5915" i="14"/>
  <c r="A5916" i="14"/>
  <c r="D5916" i="14" l="1"/>
  <c r="C5916" i="14"/>
  <c r="E5916" i="14" s="1"/>
  <c r="B5916" i="14"/>
  <c r="A5917" i="14"/>
  <c r="D5917" i="14" l="1"/>
  <c r="B5917" i="14"/>
  <c r="C5917" i="14"/>
  <c r="E5917" i="14" s="1"/>
  <c r="A5918" i="14"/>
  <c r="C5918" i="14" l="1"/>
  <c r="E5918" i="14" s="1"/>
  <c r="D5918" i="14"/>
  <c r="B5918" i="14"/>
  <c r="A5919" i="14"/>
  <c r="B5919" i="14" l="1"/>
  <c r="C5919" i="14"/>
  <c r="E5919" i="14" s="1"/>
  <c r="D5919" i="14"/>
  <c r="A5920" i="14"/>
  <c r="E5920" i="14" l="1"/>
  <c r="B5920" i="14"/>
  <c r="D5920" i="14"/>
  <c r="C5920" i="14"/>
  <c r="A5921" i="14"/>
  <c r="B5921" i="14" l="1"/>
  <c r="D5921" i="14"/>
  <c r="C5921" i="14"/>
  <c r="A5922" i="14"/>
  <c r="E5921" i="14"/>
  <c r="C5922" i="14" l="1"/>
  <c r="E5922" i="14" s="1"/>
  <c r="B5922" i="14"/>
  <c r="D5922" i="14"/>
  <c r="A5923" i="14"/>
  <c r="B5923" i="14" l="1"/>
  <c r="D5923" i="14"/>
  <c r="C5923" i="14"/>
  <c r="E5923" i="14" s="1"/>
  <c r="A5924" i="14"/>
  <c r="C5924" i="14" l="1"/>
  <c r="E5924" i="14" s="1"/>
  <c r="D5924" i="14"/>
  <c r="B5924" i="14"/>
  <c r="A5925" i="14"/>
  <c r="D5925" i="14" l="1"/>
  <c r="B5925" i="14"/>
  <c r="C5925" i="14"/>
  <c r="E5925" i="14" s="1"/>
  <c r="A5926" i="14"/>
  <c r="C5926" i="14" l="1"/>
  <c r="E5926" i="14" s="1"/>
  <c r="D5926" i="14"/>
  <c r="B5926" i="14"/>
  <c r="A5927" i="14"/>
  <c r="B5927" i="14" l="1"/>
  <c r="D5927" i="14"/>
  <c r="C5927" i="14"/>
  <c r="E5927" i="14" s="1"/>
  <c r="A5928" i="14"/>
  <c r="C5928" i="14" l="1"/>
  <c r="E5928" i="14" s="1"/>
  <c r="B5928" i="14"/>
  <c r="D5928" i="14"/>
  <c r="A5929" i="14"/>
  <c r="C5929" i="14" l="1"/>
  <c r="E5929" i="14" s="1"/>
  <c r="D5929" i="14"/>
  <c r="B5929" i="14"/>
  <c r="A5930" i="14"/>
  <c r="C5930" i="14" l="1"/>
  <c r="E5930" i="14" s="1"/>
  <c r="D5930" i="14"/>
  <c r="B5930" i="14"/>
  <c r="A5931" i="14"/>
  <c r="B5931" i="14" l="1"/>
  <c r="D5931" i="14"/>
  <c r="C5931" i="14"/>
  <c r="E5931" i="14" s="1"/>
  <c r="A5932" i="14"/>
  <c r="D5932" i="14" l="1"/>
  <c r="C5932" i="14"/>
  <c r="E5932" i="14" s="1"/>
  <c r="B5932" i="14"/>
  <c r="A5933" i="14"/>
  <c r="D5933" i="14" l="1"/>
  <c r="B5933" i="14"/>
  <c r="C5933" i="14"/>
  <c r="E5933" i="14" s="1"/>
  <c r="A5934" i="14"/>
  <c r="D5934" i="14" l="1"/>
  <c r="B5934" i="14"/>
  <c r="C5934" i="14"/>
  <c r="E5934" i="14" s="1"/>
  <c r="A5935" i="14"/>
  <c r="B5935" i="14" l="1"/>
  <c r="D5935" i="14"/>
  <c r="C5935" i="14"/>
  <c r="E5935" i="14" s="1"/>
  <c r="A5936" i="14"/>
  <c r="D5936" i="14" l="1"/>
  <c r="C5936" i="14"/>
  <c r="E5936" i="14" s="1"/>
  <c r="B5936" i="14"/>
  <c r="A5937" i="14"/>
  <c r="D5937" i="14" l="1"/>
  <c r="C5937" i="14"/>
  <c r="E5937" i="14" s="1"/>
  <c r="B5937" i="14"/>
  <c r="A5938" i="14"/>
  <c r="C5938" i="14" l="1"/>
  <c r="E5938" i="14" s="1"/>
  <c r="D5938" i="14"/>
  <c r="B5938" i="14"/>
  <c r="A5939" i="14"/>
  <c r="C5939" i="14" l="1"/>
  <c r="E5939" i="14" s="1"/>
  <c r="D5939" i="14"/>
  <c r="B5939" i="14"/>
  <c r="A5940" i="14"/>
  <c r="C5940" i="14" l="1"/>
  <c r="E5940" i="14" s="1"/>
  <c r="D5940" i="14"/>
  <c r="B5940" i="14"/>
  <c r="A5941" i="14"/>
  <c r="D5941" i="14" l="1"/>
  <c r="C5941" i="14"/>
  <c r="E5941" i="14" s="1"/>
  <c r="B5941" i="14"/>
  <c r="A5942" i="14"/>
  <c r="B5942" i="14" l="1"/>
  <c r="C5942" i="14"/>
  <c r="E5942" i="14" s="1"/>
  <c r="D5942" i="14"/>
  <c r="A5943" i="14"/>
  <c r="B5943" i="14" l="1"/>
  <c r="D5943" i="14"/>
  <c r="C5943" i="14"/>
  <c r="E5943" i="14" s="1"/>
  <c r="A5944" i="14"/>
  <c r="B5944" i="14" l="1"/>
  <c r="C5944" i="14"/>
  <c r="E5944" i="14" s="1"/>
  <c r="D5944" i="14"/>
  <c r="A5945" i="14"/>
  <c r="B5945" i="14" l="1"/>
  <c r="D5945" i="14"/>
  <c r="C5945" i="14"/>
  <c r="E5945" i="14" s="1"/>
  <c r="A5946" i="14"/>
  <c r="C5946" i="14" l="1"/>
  <c r="E5946" i="14" s="1"/>
  <c r="B5946" i="14"/>
  <c r="D5946" i="14"/>
  <c r="A5947" i="14"/>
  <c r="D5947" i="14" l="1"/>
  <c r="B5947" i="14"/>
  <c r="C5947" i="14"/>
  <c r="E5947" i="14" s="1"/>
  <c r="A5948" i="14"/>
  <c r="C5948" i="14" l="1"/>
  <c r="E5948" i="14" s="1"/>
  <c r="D5948" i="14"/>
  <c r="B5948" i="14"/>
  <c r="A5949" i="14"/>
  <c r="D5949" i="14" l="1"/>
  <c r="C5949" i="14"/>
  <c r="E5949" i="14" s="1"/>
  <c r="B5949" i="14"/>
  <c r="A5950" i="14"/>
  <c r="C5950" i="14" l="1"/>
  <c r="E5950" i="14" s="1"/>
  <c r="D5950" i="14"/>
  <c r="B5950" i="14"/>
  <c r="A5951" i="14"/>
  <c r="B5951" i="14" l="1"/>
  <c r="C5951" i="14"/>
  <c r="E5951" i="14" s="1"/>
  <c r="D5951" i="14"/>
  <c r="A5952" i="14"/>
  <c r="E5952" i="14" l="1"/>
  <c r="C5952" i="14"/>
  <c r="D5952" i="14"/>
  <c r="B5952" i="14"/>
  <c r="A5953" i="14"/>
  <c r="B5953" i="14" l="1"/>
  <c r="D5953" i="14"/>
  <c r="C5953" i="14"/>
  <c r="E5953" i="14" s="1"/>
  <c r="A5954" i="14"/>
  <c r="C5954" i="14" l="1"/>
  <c r="E5954" i="14" s="1"/>
  <c r="D5954" i="14"/>
  <c r="B5954" i="14"/>
  <c r="A5955" i="14"/>
  <c r="D5955" i="14" l="1"/>
  <c r="C5955" i="14"/>
  <c r="E5955" i="14" s="1"/>
  <c r="B5955" i="14"/>
  <c r="A5956" i="14"/>
  <c r="E5956" i="14" l="1"/>
  <c r="D5956" i="14"/>
  <c r="B5956" i="14"/>
  <c r="C5956" i="14"/>
  <c r="A5957" i="14"/>
  <c r="C5957" i="14" l="1"/>
  <c r="E5957" i="14" s="1"/>
  <c r="D5957" i="14"/>
  <c r="B5957" i="14"/>
  <c r="A5958" i="14"/>
  <c r="C5958" i="14" l="1"/>
  <c r="E5958" i="14" s="1"/>
  <c r="B5958" i="14"/>
  <c r="D5958" i="14"/>
  <c r="A5959" i="14"/>
  <c r="D5959" i="14" l="1"/>
  <c r="B5959" i="14"/>
  <c r="C5959" i="14"/>
  <c r="E5959" i="14" s="1"/>
  <c r="A5960" i="14"/>
  <c r="D5960" i="14" l="1"/>
  <c r="B5960" i="14"/>
  <c r="C5960" i="14"/>
  <c r="E5960" i="14" s="1"/>
  <c r="A5961" i="14"/>
  <c r="C5961" i="14" l="1"/>
  <c r="E5961" i="14" s="1"/>
  <c r="D5961" i="14"/>
  <c r="B5961" i="14"/>
  <c r="A5962" i="14"/>
  <c r="B5962" i="14" l="1"/>
  <c r="D5962" i="14"/>
  <c r="C5962" i="14"/>
  <c r="E5962" i="14" s="1"/>
  <c r="A5963" i="14"/>
  <c r="B5963" i="14" l="1"/>
  <c r="D5963" i="14"/>
  <c r="C5963" i="14"/>
  <c r="E5963" i="14" s="1"/>
  <c r="A5964" i="14"/>
  <c r="E5964" i="14" l="1"/>
  <c r="D5964" i="14"/>
  <c r="C5964" i="14"/>
  <c r="B5964" i="14"/>
  <c r="A5965" i="14"/>
  <c r="C5965" i="14" l="1"/>
  <c r="E5965" i="14" s="1"/>
  <c r="B5965" i="14"/>
  <c r="D5965" i="14"/>
  <c r="A5966" i="14"/>
  <c r="B5966" i="14" l="1"/>
  <c r="D5966" i="14"/>
  <c r="C5966" i="14"/>
  <c r="E5966" i="14" s="1"/>
  <c r="A5967" i="14"/>
  <c r="C5967" i="14" l="1"/>
  <c r="E5967" i="14" s="1"/>
  <c r="D5967" i="14"/>
  <c r="B5967" i="14"/>
  <c r="A5968" i="14"/>
  <c r="D5968" i="14" l="1"/>
  <c r="C5968" i="14"/>
  <c r="E5968" i="14" s="1"/>
  <c r="B5968" i="14"/>
  <c r="A5969" i="14"/>
  <c r="C5969" i="14" l="1"/>
  <c r="E5969" i="14" s="1"/>
  <c r="D5969" i="14"/>
  <c r="B5969" i="14"/>
  <c r="A5970" i="14"/>
  <c r="B5970" i="14" l="1"/>
  <c r="D5970" i="14"/>
  <c r="C5970" i="14"/>
  <c r="E5970" i="14" s="1"/>
  <c r="A5971" i="14"/>
  <c r="C5971" i="14" l="1"/>
  <c r="E5971" i="14" s="1"/>
  <c r="D5971" i="14"/>
  <c r="B5971" i="14"/>
  <c r="A5972" i="14"/>
  <c r="C5972" i="14" l="1"/>
  <c r="E5972" i="14" s="1"/>
  <c r="B5972" i="14"/>
  <c r="D5972" i="14"/>
  <c r="A5973" i="14"/>
  <c r="C5973" i="14" l="1"/>
  <c r="E5973" i="14" s="1"/>
  <c r="D5973" i="14"/>
  <c r="B5973" i="14"/>
  <c r="A5974" i="14"/>
  <c r="B5974" i="14" l="1"/>
  <c r="D5974" i="14"/>
  <c r="C5974" i="14"/>
  <c r="E5974" i="14" s="1"/>
  <c r="A5975" i="14"/>
  <c r="D5975" i="14" l="1"/>
  <c r="B5975" i="14"/>
  <c r="C5975" i="14"/>
  <c r="E5975" i="14" s="1"/>
  <c r="A5976" i="14"/>
  <c r="D5976" i="14" l="1"/>
  <c r="C5976" i="14"/>
  <c r="E5976" i="14" s="1"/>
  <c r="B5976" i="14"/>
  <c r="A5977" i="14"/>
  <c r="D5977" i="14" l="1"/>
  <c r="C5977" i="14"/>
  <c r="E5977" i="14" s="1"/>
  <c r="B5977" i="14"/>
  <c r="A5978" i="14"/>
  <c r="B5978" i="14" l="1"/>
  <c r="C5978" i="14"/>
  <c r="E5978" i="14" s="1"/>
  <c r="D5978" i="14"/>
  <c r="A5979" i="14"/>
  <c r="D5979" i="14" l="1"/>
  <c r="B5979" i="14"/>
  <c r="C5979" i="14"/>
  <c r="E5979" i="14" s="1"/>
  <c r="A5980" i="14"/>
  <c r="D5980" i="14" l="1"/>
  <c r="B5980" i="14"/>
  <c r="C5980" i="14"/>
  <c r="E5980" i="14" s="1"/>
  <c r="A5981" i="14"/>
  <c r="C5981" i="14" l="1"/>
  <c r="E5981" i="14" s="1"/>
  <c r="D5981" i="14"/>
  <c r="B5981" i="14"/>
  <c r="A5982" i="14"/>
  <c r="C5982" i="14" l="1"/>
  <c r="E5982" i="14" s="1"/>
  <c r="D5982" i="14"/>
  <c r="B5982" i="14"/>
  <c r="A5983" i="14"/>
  <c r="C5983" i="14" l="1"/>
  <c r="E5983" i="14" s="1"/>
  <c r="B5983" i="14"/>
  <c r="D5983" i="14"/>
  <c r="A5984" i="14"/>
  <c r="D5984" i="14" l="1"/>
  <c r="B5984" i="14"/>
  <c r="C5984" i="14"/>
  <c r="E5984" i="14" s="1"/>
  <c r="A5985" i="14"/>
  <c r="B5985" i="14" l="1"/>
  <c r="C5985" i="14"/>
  <c r="E5985" i="14" s="1"/>
  <c r="D5985" i="14"/>
  <c r="A5986" i="14"/>
  <c r="B5986" i="14" l="1"/>
  <c r="D5986" i="14"/>
  <c r="C5986" i="14"/>
  <c r="E5986" i="14" s="1"/>
  <c r="A5987" i="14"/>
  <c r="D5987" i="14" l="1"/>
  <c r="B5987" i="14"/>
  <c r="C5987" i="14"/>
  <c r="E5987" i="14" s="1"/>
  <c r="A5988" i="14"/>
  <c r="B5988" i="14" l="1"/>
  <c r="D5988" i="14"/>
  <c r="C5988" i="14"/>
  <c r="E5988" i="14" s="1"/>
  <c r="A5989" i="14"/>
  <c r="C5989" i="14" l="1"/>
  <c r="E5989" i="14" s="1"/>
  <c r="D5989" i="14"/>
  <c r="B5989" i="14"/>
  <c r="A5990" i="14"/>
  <c r="D5990" i="14" l="1"/>
  <c r="B5990" i="14"/>
  <c r="C5990" i="14"/>
  <c r="E5990" i="14" s="1"/>
  <c r="A5991" i="14"/>
  <c r="C5991" i="14" l="1"/>
  <c r="E5991" i="14" s="1"/>
  <c r="D5991" i="14"/>
  <c r="B5991" i="14"/>
  <c r="A5992" i="14"/>
  <c r="D5992" i="14" l="1"/>
  <c r="C5992" i="14"/>
  <c r="E5992" i="14" s="1"/>
  <c r="B5992" i="14"/>
  <c r="A5993" i="14"/>
  <c r="D5993" i="14" l="1"/>
  <c r="C5993" i="14"/>
  <c r="E5993" i="14" s="1"/>
  <c r="B5993" i="14"/>
  <c r="A5994" i="14"/>
  <c r="B5994" i="14" l="1"/>
  <c r="C5994" i="14"/>
  <c r="E5994" i="14" s="1"/>
  <c r="D5994" i="14"/>
  <c r="A5995" i="14"/>
  <c r="C5995" i="14" l="1"/>
  <c r="E5995" i="14" s="1"/>
  <c r="D5995" i="14"/>
  <c r="B5995" i="14"/>
  <c r="A5996" i="14"/>
  <c r="B5996" i="14" l="1"/>
  <c r="D5996" i="14"/>
  <c r="C5996" i="14"/>
  <c r="E5996" i="14" s="1"/>
  <c r="A5997" i="14"/>
  <c r="C5997" i="14" l="1"/>
  <c r="E5997" i="14" s="1"/>
  <c r="B5997" i="14"/>
  <c r="D5997" i="14"/>
  <c r="A5998" i="14"/>
  <c r="D5998" i="14" l="1"/>
  <c r="C5998" i="14"/>
  <c r="E5998" i="14" s="1"/>
  <c r="B5998" i="14"/>
  <c r="A5999" i="14"/>
  <c r="D5999" i="14" l="1"/>
  <c r="B5999" i="14"/>
  <c r="C5999" i="14"/>
  <c r="E5999" i="14" s="1"/>
  <c r="A6000" i="14"/>
  <c r="D6000" i="14" l="1"/>
  <c r="C6000" i="14"/>
  <c r="E6000" i="14" s="1"/>
  <c r="B6000" i="14"/>
</calcChain>
</file>

<file path=xl/sharedStrings.xml><?xml version="1.0" encoding="utf-8"?>
<sst xmlns="http://schemas.openxmlformats.org/spreadsheetml/2006/main" count="3303" uniqueCount="289">
  <si>
    <t>Date</t>
  </si>
  <si>
    <t>Task Name</t>
  </si>
  <si>
    <t>Quantity</t>
  </si>
  <si>
    <t>RE</t>
  </si>
  <si>
    <t>Total RE</t>
  </si>
  <si>
    <t>Start Time</t>
  </si>
  <si>
    <t>End Time</t>
  </si>
  <si>
    <t>Actual Time taken</t>
  </si>
  <si>
    <t>Actual End Time</t>
  </si>
  <si>
    <t>Break Start Time</t>
  </si>
  <si>
    <t>Break End Time</t>
  </si>
  <si>
    <t>Total Break time</t>
  </si>
  <si>
    <t>Comment</t>
  </si>
  <si>
    <t>Productivity</t>
  </si>
  <si>
    <t>Core</t>
  </si>
  <si>
    <t>Non-Core</t>
  </si>
  <si>
    <t>OGM - Sizing update</t>
  </si>
  <si>
    <t>Wholesale Data Enrichment Report</t>
  </si>
  <si>
    <t>Nordstrom SQL DATA Dump</t>
  </si>
  <si>
    <t>DAM - Image Approval</t>
  </si>
  <si>
    <t>WH - Fabric Composition</t>
  </si>
  <si>
    <t>C1042</t>
  </si>
  <si>
    <t>Break</t>
  </si>
  <si>
    <t>Other-Idle</t>
  </si>
  <si>
    <t>Daily Huddle</t>
  </si>
  <si>
    <t>IF(RIGHT(N3,2)="DB","-"&amp;N3,N3)</t>
  </si>
  <si>
    <t>Very Invoice Report</t>
  </si>
  <si>
    <t>Wholesale Adding Images</t>
  </si>
  <si>
    <t>Adhoc Task</t>
  </si>
  <si>
    <t>WH - Wash Care update</t>
  </si>
  <si>
    <t>SQL Data Dump</t>
  </si>
  <si>
    <t>Weekly Catchup - 30</t>
  </si>
  <si>
    <t>LIMA - #Lipsy123</t>
  </si>
  <si>
    <t>r7pIdldl</t>
  </si>
  <si>
    <t>Missing information</t>
  </si>
  <si>
    <t>Training</t>
  </si>
  <si>
    <t>DAM - Image Search</t>
  </si>
  <si>
    <t>WH - EAN Update</t>
  </si>
  <si>
    <t>Image upload to Very/John Lewis</t>
  </si>
  <si>
    <t>New WIP Task</t>
  </si>
  <si>
    <t>D2 Delivery Master sheet</t>
  </si>
  <si>
    <t>WIP</t>
  </si>
  <si>
    <t>WH - Sale Journal</t>
  </si>
  <si>
    <t>WH - Wholesale order report</t>
  </si>
  <si>
    <t>WH - Lima approval</t>
  </si>
  <si>
    <t>Harriet's Task (updating Supplier, RRP and Cost Price)</t>
  </si>
  <si>
    <t>Franchise Non-Direct Allocations</t>
  </si>
  <si>
    <t>New Nordstrom Task</t>
  </si>
  <si>
    <t>WH - Country of Origin/ Custom Tarrif</t>
  </si>
  <si>
    <t>EPIM TOV Amendments</t>
  </si>
  <si>
    <t>International Reporting - Ted baker</t>
  </si>
  <si>
    <t>International Reporting - Little Birds</t>
  </si>
  <si>
    <t>International Reporting - Laura Ashley</t>
  </si>
  <si>
    <t>International Reporting - Small Saints</t>
  </si>
  <si>
    <t>WH - Unallocated stock Summary report W01</t>
  </si>
  <si>
    <t>F5</t>
  </si>
  <si>
    <t>WH - Wholesale Intake report</t>
  </si>
  <si>
    <t>Lima Data Addition / Invoice Download</t>
  </si>
  <si>
    <t>LIMA data download for Intake report</t>
  </si>
  <si>
    <t>PO status for Intake report</t>
  </si>
  <si>
    <t>Imagery Approvals (Abigail)</t>
  </si>
  <si>
    <t>Adding Fabric Composition to SO items (Tamryn Task)</t>
  </si>
  <si>
    <t>Imagery Approving for Zalora</t>
  </si>
  <si>
    <t>WH - Available stock report 06</t>
  </si>
  <si>
    <t>Nordstrom Images Approving task - Abigail</t>
  </si>
  <si>
    <t>Trade Report</t>
  </si>
  <si>
    <t>Nordstrom Asset - 18</t>
  </si>
  <si>
    <t>Nordstrom Assets</t>
  </si>
  <si>
    <t>27 Nordstrom Assets</t>
  </si>
  <si>
    <t>ss25</t>
  </si>
  <si>
    <t>Nordstrom - imagery not available on DAM</t>
  </si>
  <si>
    <t>Adding Missing Info - 27</t>
  </si>
  <si>
    <t>Very Invoice</t>
  </si>
  <si>
    <t>TJX Sales Order</t>
  </si>
  <si>
    <t>Wholesale Enrichement</t>
  </si>
  <si>
    <t>OGM issues</t>
  </si>
  <si>
    <t>Getting Color details from SQL.</t>
  </si>
  <si>
    <t>Adding RRP and Cost Price</t>
  </si>
  <si>
    <t>Adding RRP in AW25 kids tracker</t>
  </si>
  <si>
    <t>Franchise Adding Images</t>
  </si>
  <si>
    <t>Adding Country of Dispatch details</t>
  </si>
  <si>
    <t>New DAVID JONES SQL data dump</t>
  </si>
  <si>
    <t>F37766</t>
  </si>
  <si>
    <t>WH - Available stock report F5</t>
  </si>
  <si>
    <t>WH - Available stock report with images F5</t>
  </si>
  <si>
    <t>WH - Available stock report with images 06</t>
  </si>
  <si>
    <t>OGM - Tracker update</t>
  </si>
  <si>
    <t>Adding RRP, Season, GP to D2 Stock List</t>
  </si>
  <si>
    <t>Adding RRP in AW25 OGM tracker</t>
  </si>
  <si>
    <t>Slow to Load items</t>
  </si>
  <si>
    <t>WH - Available stock report with images 09</t>
  </si>
  <si>
    <t>Adding RRP price</t>
  </si>
  <si>
    <t>Adding Images in Available stock Report  with Images.</t>
  </si>
  <si>
    <t>OGM - Full update</t>
  </si>
  <si>
    <t>Comments Updated on Very file as Harriet asked to do so.</t>
  </si>
  <si>
    <t>Unallocated stock Report F5</t>
  </si>
  <si>
    <t>WH - WH and FX order report</t>
  </si>
  <si>
    <t>WH - Receipting &amp; Posting packing list</t>
  </si>
  <si>
    <t>WH - Available stock report 09</t>
  </si>
  <si>
    <t>WH - Available stock report with images 05</t>
  </si>
  <si>
    <t>OGM SQL Data</t>
  </si>
  <si>
    <t>Isabel - Smartsheet task</t>
  </si>
  <si>
    <t>WH - Available stock report with images 01</t>
  </si>
  <si>
    <t xml:space="preserve"> </t>
  </si>
  <si>
    <t>WH - Unallocated stock Summary report W06</t>
  </si>
  <si>
    <t>WH - Po's ,SO &amp; Prints amendment</t>
  </si>
  <si>
    <t>WH - Sale order</t>
  </si>
  <si>
    <t>Very Account - Total Summary</t>
  </si>
  <si>
    <t>WH - Available stock report 01</t>
  </si>
  <si>
    <t>International reporting (Ted Baker and little Bird)</t>
  </si>
  <si>
    <t>John Lewis Model and Lifestyle Imagery (Ted Baker) SS24</t>
  </si>
  <si>
    <t>International Ted Baker</t>
  </si>
  <si>
    <t>International Little Birds</t>
  </si>
  <si>
    <t>Ted Baker</t>
  </si>
  <si>
    <t>Ted Baker and Little Birds</t>
  </si>
  <si>
    <t>WH - Unallocated stock Summary report W05</t>
  </si>
  <si>
    <t>WH - Unallocated stock Summary report WF5</t>
  </si>
  <si>
    <t>Albert Task - Lipsy group stock Offer</t>
  </si>
  <si>
    <t>TED BAKER, LITTLE BIRDS &amp; LUARA ASHLAY</t>
  </si>
  <si>
    <t>OGM file rechcking.</t>
  </si>
  <si>
    <t>Q66226</t>
  </si>
  <si>
    <t>Fabric Composition, TOV, Care intructions</t>
  </si>
  <si>
    <t>WH - Available stock report 05</t>
  </si>
  <si>
    <t>Adding &amp; renaming images (DIvya Task)</t>
  </si>
  <si>
    <t>10 Non-Sizing OGM loading</t>
  </si>
  <si>
    <t>50 Non-Sizing OGM loading</t>
  </si>
  <si>
    <t>31 Non-Sizing OGM loading</t>
  </si>
  <si>
    <t>WH - Purchase order</t>
  </si>
  <si>
    <t>34 Non-Sizing OGM loading</t>
  </si>
  <si>
    <t>32 Non-Sizing OGM loading</t>
  </si>
  <si>
    <t>22 Non-Sizing OGM loading</t>
  </si>
  <si>
    <t>6 Non-Sizing OGM loading</t>
  </si>
  <si>
    <t>40 Non-Sizing OGM loading</t>
  </si>
  <si>
    <t>51 Non-Sizing OGM loading</t>
  </si>
  <si>
    <t>45 Non-Sizing OGM loading</t>
  </si>
  <si>
    <t>Publication Tracker Boys</t>
  </si>
  <si>
    <t>Publication Tracker Girls</t>
  </si>
  <si>
    <t>Sales Journal</t>
  </si>
  <si>
    <t>Forward Order report</t>
  </si>
  <si>
    <t>Ted Baker, Little Birds &amp; Laura Ashley</t>
  </si>
  <si>
    <t>Franchise Draft PO Report</t>
  </si>
  <si>
    <t>updating iron instruction &amp; care instruction</t>
  </si>
  <si>
    <t>little birds and laura ashley</t>
  </si>
  <si>
    <t>Adding Suppliers in Forward report</t>
  </si>
  <si>
    <t>Franchise Receipting on packing lists</t>
  </si>
  <si>
    <t>It took time due to new format</t>
  </si>
  <si>
    <t>OGM qty loading.</t>
  </si>
  <si>
    <t>OGM Task</t>
  </si>
  <si>
    <t>Adding Fabrication( Albert Task)</t>
  </si>
  <si>
    <t>STT issue</t>
  </si>
  <si>
    <t>OGM - had sizing issue.</t>
  </si>
  <si>
    <t>Publcation report - Sophie's report</t>
  </si>
  <si>
    <t>Trade report</t>
  </si>
  <si>
    <t>Non-sizing 48</t>
  </si>
  <si>
    <t>Checking Sue's comments</t>
  </si>
  <si>
    <t>SS25 Cath Kidston</t>
  </si>
  <si>
    <t>Adding Images in Lucy file</t>
  </si>
  <si>
    <t>Adding Images, Item no. RRP and CP in Available stock report with images</t>
  </si>
  <si>
    <t>27 OGM - Non-sizing</t>
  </si>
  <si>
    <t>29 OGM - Non-sizing</t>
  </si>
  <si>
    <t>39 OGM - Non-sizing</t>
  </si>
  <si>
    <t>11 OGM - Non Sizing</t>
  </si>
  <si>
    <t>9 OGM - Non Sizing</t>
  </si>
  <si>
    <t>Adding RRP Cost</t>
  </si>
  <si>
    <t>Forward Order and Available stock Report 06</t>
  </si>
  <si>
    <t>EPIM TOV amendments</t>
  </si>
  <si>
    <t>Volume</t>
  </si>
  <si>
    <t>Rate of Interest</t>
  </si>
  <si>
    <t>Outstanding Performance</t>
  </si>
  <si>
    <t>O/S Grade</t>
  </si>
  <si>
    <t>O/S Grade Description</t>
  </si>
  <si>
    <t>Partner</t>
  </si>
  <si>
    <t>Brands</t>
  </si>
  <si>
    <t>Principle Amount</t>
  </si>
  <si>
    <t>Strong Performance</t>
  </si>
  <si>
    <t xml:space="preserve">#J </t>
  </si>
  <si>
    <t>LL Wholesale</t>
  </si>
  <si>
    <t>Very</t>
  </si>
  <si>
    <t>Tenure in Year</t>
  </si>
  <si>
    <t>Deliver consistently</t>
  </si>
  <si>
    <t>All Saints</t>
  </si>
  <si>
    <t>Monthly Payment</t>
  </si>
  <si>
    <t>Devlopment required</t>
  </si>
  <si>
    <t>Little Bird</t>
  </si>
  <si>
    <t>Sum of Payment</t>
  </si>
  <si>
    <t>Need improvement</t>
  </si>
  <si>
    <t>Laura Ashley</t>
  </si>
  <si>
    <t>Sum of Interest</t>
  </si>
  <si>
    <t>Paul Smith</t>
  </si>
  <si>
    <t>John Lewis (JL)</t>
  </si>
  <si>
    <t>No. of Period</t>
  </si>
  <si>
    <t>Interest Amount</t>
  </si>
  <si>
    <t>Balance</t>
  </si>
  <si>
    <t>Difference in Interest every month</t>
  </si>
  <si>
    <t>*T</t>
  </si>
  <si>
    <t>Alshaya Ted Baker</t>
  </si>
  <si>
    <t>Alshaya</t>
  </si>
  <si>
    <t>#H</t>
  </si>
  <si>
    <t>Nordstrom Online</t>
  </si>
  <si>
    <t>Nordstrom</t>
  </si>
  <si>
    <t>#L</t>
  </si>
  <si>
    <t>Nordstrom Retail</t>
  </si>
  <si>
    <t xml:space="preserve">Size 1 </t>
  </si>
  <si>
    <t>Size 2</t>
  </si>
  <si>
    <t>Size 3</t>
  </si>
  <si>
    <t>Size 4</t>
  </si>
  <si>
    <t>Size 5</t>
  </si>
  <si>
    <t>Size 6</t>
  </si>
  <si>
    <t>Size 7</t>
  </si>
  <si>
    <t>Size 8</t>
  </si>
  <si>
    <t>Size 9</t>
  </si>
  <si>
    <t>suiting</t>
  </si>
  <si>
    <t>4 Yrs</t>
  </si>
  <si>
    <t>5 Yrs</t>
  </si>
  <si>
    <t>6 Yrs</t>
  </si>
  <si>
    <t>7 Yrs</t>
  </si>
  <si>
    <t>8 Yrs</t>
  </si>
  <si>
    <t>9 Yrs</t>
  </si>
  <si>
    <t>10 Yrs</t>
  </si>
  <si>
    <t>11 Yrs</t>
  </si>
  <si>
    <t>12 Yrs</t>
  </si>
  <si>
    <t>tween</t>
  </si>
  <si>
    <t>13 Yrs</t>
  </si>
  <si>
    <t>youngers</t>
  </si>
  <si>
    <t>12-18</t>
  </si>
  <si>
    <t>18-24</t>
  </si>
  <si>
    <t>2-3 Yrs</t>
  </si>
  <si>
    <t>3-4 Yrs</t>
  </si>
  <si>
    <t>4-5 Yrs</t>
  </si>
  <si>
    <t>5-6 Yrs</t>
  </si>
  <si>
    <t>6-7 Yrs</t>
  </si>
  <si>
    <t>olders</t>
  </si>
  <si>
    <t>No</t>
  </si>
  <si>
    <t>ReportTaskName</t>
  </si>
  <si>
    <t>DeadlineDay</t>
  </si>
  <si>
    <t>Frequency</t>
  </si>
  <si>
    <t>WorkType</t>
  </si>
  <si>
    <t>Deadline</t>
  </si>
  <si>
    <t>Task_RE</t>
  </si>
  <si>
    <t>RE_Sec</t>
  </si>
  <si>
    <t>Sec</t>
  </si>
  <si>
    <t>Minutes</t>
  </si>
  <si>
    <t>Hours</t>
  </si>
  <si>
    <t>RealTime</t>
  </si>
  <si>
    <t>Real Time</t>
  </si>
  <si>
    <t>Task</t>
  </si>
  <si>
    <t>Franchise PO Cancellation</t>
  </si>
  <si>
    <t>Franchise Creating New Sales Orders</t>
  </si>
  <si>
    <t>Franchise Direct Allocations</t>
  </si>
  <si>
    <t>Franchise L-Code Generation</t>
  </si>
  <si>
    <t>Franchise Purchase Order</t>
  </si>
  <si>
    <t>Franchise PO Amendment</t>
  </si>
  <si>
    <t>Daily</t>
  </si>
  <si>
    <t>Report</t>
  </si>
  <si>
    <t>Franchise Unbooked Orders Report</t>
  </si>
  <si>
    <t>Wednesday</t>
  </si>
  <si>
    <t>Weekly</t>
  </si>
  <si>
    <t>Adding Styles in Sales Order</t>
  </si>
  <si>
    <t>Twice in week</t>
  </si>
  <si>
    <t>WH - Franchise Intake report</t>
  </si>
  <si>
    <t>Adhoc</t>
  </si>
  <si>
    <t>WH - Copying Images to folder</t>
  </si>
  <si>
    <t>WH - Lima contract ticket raising</t>
  </si>
  <si>
    <t>WH - PO Cut and Balance</t>
  </si>
  <si>
    <t>WH - Manual Lima Upload</t>
  </si>
  <si>
    <t>WH L-Code Generation</t>
  </si>
  <si>
    <t>report</t>
  </si>
  <si>
    <t>Meeting</t>
  </si>
  <si>
    <t>Weekly Catchup - 15</t>
  </si>
  <si>
    <t>Efficiency</t>
  </si>
  <si>
    <t>Total Core Time</t>
  </si>
  <si>
    <t>Total Non-Core Time</t>
  </si>
  <si>
    <t>Day Wise data</t>
  </si>
  <si>
    <t>Sr no</t>
  </si>
  <si>
    <t>Sr. No</t>
  </si>
  <si>
    <t>Type of Work</t>
  </si>
  <si>
    <t>Highest</t>
  </si>
  <si>
    <t>Lowest</t>
  </si>
  <si>
    <t>Core Time</t>
  </si>
  <si>
    <t>Non-Core Time</t>
  </si>
  <si>
    <t>Row Labels</t>
  </si>
  <si>
    <t>Grand Total</t>
  </si>
  <si>
    <t>Sum of Quantity</t>
  </si>
  <si>
    <t>Sum of Actual Time taken</t>
  </si>
  <si>
    <t>Average of Productivity</t>
  </si>
  <si>
    <t>This is simple with MAX &amp; MIN Formula</t>
  </si>
  <si>
    <t>This complex MAX &amp; MIN with Index and Match</t>
  </si>
  <si>
    <t>To check what data is high and low</t>
  </si>
  <si>
    <t>This Vloop formula is to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</si>
</sst>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£-809]#,##0.00"/>
    <numFmt numFmtId="166" formatCode="dd\-mm\-yyyy"/>
    <numFmt numFmtId="169" formatCode="[$-F400]h:mm:ss\ AM/PM"/>
  </numFmts>
  <fonts count="23">
    <font>
      <sz val="10"/>
      <color rgb="FF000000"/>
      <name val="Arial"/>
      <scheme val="minor"/>
    </font>
    <font>
      <b/>
      <sz val="10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theme="1"/>
      <name val="Calibri"/>
    </font>
    <font>
      <sz val="12"/>
      <color theme="1"/>
      <name val="Calibri"/>
    </font>
    <font>
      <sz val="11"/>
      <color rgb="FF2E2E2E"/>
      <name val="Poppins"/>
    </font>
    <font>
      <sz val="11"/>
      <color rgb="FF222222"/>
      <name val="Calibri"/>
    </font>
    <font>
      <sz val="9"/>
      <color rgb="FF1F1F1F"/>
      <name val="&quot;Google Sans&quot;"/>
    </font>
    <font>
      <sz val="10"/>
      <color rgb="FF000000"/>
      <name val="Calibri"/>
    </font>
    <font>
      <sz val="10"/>
      <name val="Arial"/>
    </font>
    <font>
      <sz val="10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EA9DB"/>
        <bgColor rgb="FF8EA9DB"/>
      </patternFill>
    </fill>
    <fill>
      <patternFill patternType="solid">
        <fgColor rgb="FFB7B7B7"/>
        <bgColor rgb="FFB7B7B7"/>
      </patternFill>
    </fill>
    <fill>
      <patternFill patternType="solid">
        <fgColor rgb="FFFCCAE0"/>
        <bgColor rgb="FFFCCAE0"/>
      </patternFill>
    </fill>
    <fill>
      <patternFill patternType="solid">
        <fgColor rgb="FFFFEDF5"/>
        <bgColor rgb="FFFFEDF5"/>
      </patternFill>
    </fill>
    <fill>
      <patternFill patternType="solid">
        <fgColor rgb="FFFFF2CC"/>
        <bgColor rgb="FFFFF2CC"/>
      </patternFill>
    </fill>
    <fill>
      <patternFill patternType="solid">
        <fgColor rgb="FFFDF7E4"/>
        <bgColor rgb="FFFDF7E4"/>
      </patternFill>
    </fill>
    <fill>
      <patternFill patternType="solid">
        <fgColor rgb="FFFDE4C9"/>
        <bgColor rgb="FFFDE4C9"/>
      </patternFill>
    </fill>
    <fill>
      <patternFill patternType="solid">
        <fgColor rgb="FFFDF3E8"/>
        <bgColor rgb="FFFDF3E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8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1" fontId="3" fillId="0" borderId="0" xfId="0" applyNumberFormat="1" applyFont="1" applyAlignment="1"/>
    <xf numFmtId="0" fontId="4" fillId="3" borderId="3" xfId="0" applyFont="1" applyFill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1" fontId="6" fillId="0" borderId="3" xfId="0" applyNumberFormat="1" applyFont="1" applyBorder="1" applyAlignment="1">
      <alignment horizontal="center"/>
    </xf>
    <xf numFmtId="46" fontId="6" fillId="0" borderId="3" xfId="0" applyNumberFormat="1" applyFont="1" applyBorder="1" applyAlignment="1">
      <alignment horizontal="center"/>
    </xf>
    <xf numFmtId="21" fontId="7" fillId="0" borderId="3" xfId="0" applyNumberFormat="1" applyFont="1" applyBorder="1" applyAlignment="1">
      <alignment horizontal="center"/>
    </xf>
    <xf numFmtId="2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21" fontId="8" fillId="0" borderId="3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46" fontId="3" fillId="0" borderId="0" xfId="0" applyNumberFormat="1" applyFont="1"/>
    <xf numFmtId="0" fontId="5" fillId="0" borderId="5" xfId="0" applyFont="1" applyBorder="1" applyAlignment="1">
      <alignment horizontal="center"/>
    </xf>
    <xf numFmtId="10" fontId="3" fillId="0" borderId="0" xfId="0" applyNumberFormat="1" applyFont="1" applyAlignment="1"/>
    <xf numFmtId="14" fontId="8" fillId="0" borderId="3" xfId="0" applyNumberFormat="1" applyFont="1" applyBorder="1" applyAlignment="1">
      <alignment horizontal="center"/>
    </xf>
    <xf numFmtId="0" fontId="9" fillId="4" borderId="0" xfId="0" applyFont="1" applyFill="1" applyAlignment="1"/>
    <xf numFmtId="0" fontId="3" fillId="0" borderId="0" xfId="0" applyFont="1" applyAlignment="1"/>
    <xf numFmtId="1" fontId="5" fillId="0" borderId="5" xfId="0" applyNumberFormat="1" applyFont="1" applyBorder="1" applyAlignment="1">
      <alignment horizontal="center"/>
    </xf>
    <xf numFmtId="4" fontId="3" fillId="0" borderId="0" xfId="0" applyNumberFormat="1" applyFont="1" applyAlignment="1"/>
    <xf numFmtId="21" fontId="3" fillId="4" borderId="0" xfId="0" applyNumberFormat="1" applyFont="1" applyFill="1" applyAlignment="1"/>
    <xf numFmtId="0" fontId="3" fillId="4" borderId="0" xfId="0" applyFont="1" applyFill="1"/>
    <xf numFmtId="21" fontId="3" fillId="0" borderId="0" xfId="0" applyNumberFormat="1" applyFont="1"/>
    <xf numFmtId="0" fontId="7" fillId="0" borderId="0" xfId="0" applyFont="1"/>
    <xf numFmtId="0" fontId="10" fillId="4" borderId="0" xfId="0" applyFont="1" applyFill="1" applyAlignment="1"/>
    <xf numFmtId="14" fontId="3" fillId="0" borderId="0" xfId="0" applyNumberFormat="1" applyFont="1"/>
    <xf numFmtId="14" fontId="3" fillId="0" borderId="0" xfId="0" applyNumberFormat="1" applyFont="1"/>
    <xf numFmtId="14" fontId="5" fillId="0" borderId="4" xfId="0" applyNumberFormat="1" applyFont="1" applyBorder="1" applyAlignment="1">
      <alignment horizontal="center"/>
    </xf>
    <xf numFmtId="10" fontId="3" fillId="0" borderId="0" xfId="0" applyNumberFormat="1" applyFont="1"/>
    <xf numFmtId="0" fontId="5" fillId="5" borderId="5" xfId="0" applyFont="1" applyFill="1" applyBorder="1" applyAlignment="1">
      <alignment horizontal="center"/>
    </xf>
    <xf numFmtId="21" fontId="6" fillId="5" borderId="3" xfId="0" applyNumberFormat="1" applyFont="1" applyFill="1" applyBorder="1" applyAlignment="1">
      <alignment horizontal="center"/>
    </xf>
    <xf numFmtId="21" fontId="7" fillId="5" borderId="3" xfId="0" applyNumberFormat="1" applyFont="1" applyFill="1" applyBorder="1" applyAlignment="1">
      <alignment horizontal="center"/>
    </xf>
    <xf numFmtId="0" fontId="11" fillId="4" borderId="0" xfId="0" applyFont="1" applyFill="1" applyAlignment="1"/>
    <xf numFmtId="14" fontId="5" fillId="4" borderId="4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21" fontId="6" fillId="4" borderId="3" xfId="0" applyNumberFormat="1" applyFont="1" applyFill="1" applyBorder="1" applyAlignment="1">
      <alignment horizontal="center"/>
    </xf>
    <xf numFmtId="21" fontId="7" fillId="4" borderId="3" xfId="0" applyNumberFormat="1" applyFont="1" applyFill="1" applyBorder="1" applyAlignment="1">
      <alignment horizontal="center"/>
    </xf>
    <xf numFmtId="21" fontId="5" fillId="4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21" fontId="12" fillId="0" borderId="5" xfId="0" applyNumberFormat="1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2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1" fontId="5" fillId="0" borderId="5" xfId="0" applyNumberFormat="1" applyFont="1" applyBorder="1" applyAlignment="1">
      <alignment horizontal="center"/>
    </xf>
    <xf numFmtId="21" fontId="5" fillId="0" borderId="5" xfId="0" applyNumberFormat="1" applyFont="1" applyBorder="1" applyAlignment="1">
      <alignment horizontal="center"/>
    </xf>
    <xf numFmtId="19" fontId="5" fillId="0" borderId="5" xfId="0" applyNumberFormat="1" applyFont="1" applyBorder="1" applyAlignment="1">
      <alignment horizontal="center"/>
    </xf>
    <xf numFmtId="19" fontId="12" fillId="0" borderId="5" xfId="0" applyNumberFormat="1" applyFont="1" applyBorder="1" applyAlignment="1">
      <alignment horizontal="center"/>
    </xf>
    <xf numFmtId="19" fontId="7" fillId="0" borderId="3" xfId="0" applyNumberFormat="1" applyFont="1" applyBorder="1" applyAlignment="1">
      <alignment horizontal="center"/>
    </xf>
    <xf numFmtId="21" fontId="6" fillId="0" borderId="3" xfId="0" applyNumberFormat="1" applyFont="1" applyBorder="1" applyAlignment="1">
      <alignment horizontal="center"/>
    </xf>
    <xf numFmtId="46" fontId="7" fillId="0" borderId="3" xfId="0" applyNumberFormat="1" applyFont="1" applyBorder="1" applyAlignment="1">
      <alignment horizontal="center"/>
    </xf>
    <xf numFmtId="21" fontId="7" fillId="0" borderId="3" xfId="0" applyNumberFormat="1" applyFont="1" applyBorder="1" applyAlignment="1">
      <alignment horizontal="center"/>
    </xf>
    <xf numFmtId="21" fontId="7" fillId="0" borderId="3" xfId="0" applyNumberFormat="1" applyFont="1" applyBorder="1" applyAlignment="1">
      <alignment horizontal="left"/>
    </xf>
    <xf numFmtId="0" fontId="5" fillId="4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1" fontId="6" fillId="0" borderId="0" xfId="0" applyNumberFormat="1" applyFont="1" applyAlignment="1">
      <alignment horizontal="center"/>
    </xf>
    <xf numFmtId="46" fontId="6" fillId="0" borderId="0" xfId="0" applyNumberFormat="1" applyFont="1" applyAlignment="1">
      <alignment horizontal="center"/>
    </xf>
    <xf numFmtId="21" fontId="7" fillId="0" borderId="0" xfId="0" applyNumberFormat="1" applyFont="1" applyAlignment="1">
      <alignment horizontal="center"/>
    </xf>
    <xf numFmtId="2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0" xfId="0" applyNumberFormat="1" applyFont="1" applyAlignment="1"/>
    <xf numFmtId="0" fontId="14" fillId="6" borderId="3" xfId="0" applyFont="1" applyFill="1" applyBorder="1" applyAlignment="1">
      <alignment horizontal="center"/>
    </xf>
    <xf numFmtId="0" fontId="15" fillId="7" borderId="8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/>
    </xf>
    <xf numFmtId="164" fontId="3" fillId="0" borderId="0" xfId="0" applyNumberFormat="1" applyFont="1"/>
    <xf numFmtId="0" fontId="16" fillId="9" borderId="11" xfId="0" applyFont="1" applyFill="1" applyBorder="1" applyAlignment="1">
      <alignment horizontal="center" vertical="center"/>
    </xf>
    <xf numFmtId="0" fontId="3" fillId="0" borderId="0" xfId="0" applyFont="1"/>
    <xf numFmtId="0" fontId="16" fillId="9" borderId="12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49" fontId="16" fillId="4" borderId="0" xfId="0" applyNumberFormat="1" applyFont="1" applyFill="1" applyAlignment="1"/>
    <xf numFmtId="0" fontId="6" fillId="4" borderId="0" xfId="0" applyFont="1" applyFill="1" applyAlignment="1">
      <alignment horizontal="center" wrapText="1"/>
    </xf>
    <xf numFmtId="49" fontId="6" fillId="14" borderId="3" xfId="0" applyNumberFormat="1" applyFont="1" applyFill="1" applyBorder="1" applyAlignment="1">
      <alignment horizontal="center" wrapText="1"/>
    </xf>
    <xf numFmtId="1" fontId="6" fillId="14" borderId="3" xfId="0" applyNumberFormat="1" applyFont="1" applyFill="1" applyBorder="1" applyAlignment="1">
      <alignment horizontal="center" wrapText="1"/>
    </xf>
    <xf numFmtId="49" fontId="6" fillId="15" borderId="3" xfId="0" applyNumberFormat="1" applyFont="1" applyFill="1" applyBorder="1" applyAlignment="1">
      <alignment horizontal="center" wrapText="1"/>
    </xf>
    <xf numFmtId="49" fontId="16" fillId="15" borderId="3" xfId="0" applyNumberFormat="1" applyFont="1" applyFill="1" applyBorder="1" applyAlignment="1"/>
    <xf numFmtId="1" fontId="6" fillId="15" borderId="3" xfId="0" applyNumberFormat="1" applyFont="1" applyFill="1" applyBorder="1" applyAlignment="1">
      <alignment horizontal="center" wrapText="1"/>
    </xf>
    <xf numFmtId="49" fontId="6" fillId="16" borderId="3" xfId="0" applyNumberFormat="1" applyFont="1" applyFill="1" applyBorder="1" applyAlignment="1">
      <alignment horizontal="center" wrapText="1"/>
    </xf>
    <xf numFmtId="49" fontId="16" fillId="16" borderId="3" xfId="0" applyNumberFormat="1" applyFont="1" applyFill="1" applyBorder="1" applyAlignment="1"/>
    <xf numFmtId="0" fontId="6" fillId="3" borderId="3" xfId="0" applyFont="1" applyFill="1" applyBorder="1" applyAlignment="1">
      <alignment horizontal="center" wrapText="1"/>
    </xf>
    <xf numFmtId="1" fontId="16" fillId="3" borderId="3" xfId="0" applyNumberFormat="1" applyFont="1" applyFill="1" applyBorder="1" applyAlignment="1"/>
    <xf numFmtId="1" fontId="6" fillId="3" borderId="3" xfId="0" applyNumberFormat="1" applyFont="1" applyFill="1" applyBorder="1" applyAlignment="1">
      <alignment horizontal="center" wrapText="1"/>
    </xf>
    <xf numFmtId="1" fontId="3" fillId="0" borderId="0" xfId="0" applyNumberFormat="1" applyFont="1"/>
    <xf numFmtId="21" fontId="3" fillId="0" borderId="3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right"/>
    </xf>
    <xf numFmtId="0" fontId="5" fillId="4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21" fontId="5" fillId="0" borderId="17" xfId="0" applyNumberFormat="1" applyFont="1" applyBorder="1" applyAlignment="1"/>
    <xf numFmtId="3" fontId="5" fillId="4" borderId="17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21" fontId="5" fillId="4" borderId="3" xfId="0" applyNumberFormat="1" applyFont="1" applyFill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5" fillId="0" borderId="18" xfId="0" applyFont="1" applyBorder="1" applyAlignment="1">
      <alignment horizontal="right"/>
    </xf>
    <xf numFmtId="0" fontId="5" fillId="0" borderId="19" xfId="0" applyFont="1" applyBorder="1" applyAlignment="1">
      <alignment horizontal="center" vertical="center"/>
    </xf>
    <xf numFmtId="21" fontId="5" fillId="0" borderId="19" xfId="0" applyNumberFormat="1" applyFont="1" applyBorder="1" applyAlignment="1"/>
    <xf numFmtId="21" fontId="5" fillId="0" borderId="17" xfId="0" applyNumberFormat="1" applyFont="1" applyBorder="1" applyAlignment="1">
      <alignment vertical="center"/>
    </xf>
    <xf numFmtId="21" fontId="5" fillId="0" borderId="19" xfId="0" applyNumberFormat="1" applyFont="1" applyBorder="1" applyAlignment="1">
      <alignment vertical="center"/>
    </xf>
    <xf numFmtId="166" fontId="14" fillId="4" borderId="0" xfId="0" applyNumberFormat="1" applyFont="1" applyFill="1" applyAlignment="1"/>
    <xf numFmtId="0" fontId="18" fillId="0" borderId="0" xfId="0" applyFont="1" applyAlignment="1"/>
    <xf numFmtId="21" fontId="5" fillId="4" borderId="17" xfId="0" applyNumberFormat="1" applyFont="1" applyFill="1" applyBorder="1" applyAlignment="1">
      <alignment vertical="center"/>
    </xf>
    <xf numFmtId="0" fontId="5" fillId="4" borderId="20" xfId="0" applyFont="1" applyFill="1" applyBorder="1" applyAlignment="1">
      <alignment horizontal="center" vertical="center"/>
    </xf>
    <xf numFmtId="21" fontId="5" fillId="0" borderId="20" xfId="0" applyNumberFormat="1" applyFont="1" applyBorder="1" applyAlignment="1"/>
    <xf numFmtId="0" fontId="5" fillId="4" borderId="21" xfId="0" applyFont="1" applyFill="1" applyBorder="1" applyAlignment="1">
      <alignment horizontal="center" vertical="center"/>
    </xf>
    <xf numFmtId="21" fontId="5" fillId="0" borderId="22" xfId="0" applyNumberFormat="1" applyFont="1" applyBorder="1" applyAlignment="1"/>
    <xf numFmtId="0" fontId="8" fillId="0" borderId="3" xfId="0" applyFont="1" applyBorder="1" applyAlignment="1">
      <alignment horizontal="center"/>
    </xf>
    <xf numFmtId="19" fontId="3" fillId="0" borderId="3" xfId="0" applyNumberFormat="1" applyFont="1" applyBorder="1" applyAlignment="1">
      <alignment horizontal="center"/>
    </xf>
    <xf numFmtId="19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6" fillId="12" borderId="10" xfId="0" applyFont="1" applyFill="1" applyBorder="1" applyAlignment="1">
      <alignment horizontal="center" vertical="center"/>
    </xf>
    <xf numFmtId="0" fontId="13" fillId="0" borderId="12" xfId="0" applyFont="1" applyBorder="1"/>
    <xf numFmtId="0" fontId="16" fillId="13" borderId="10" xfId="0" applyFont="1" applyFill="1" applyBorder="1" applyAlignment="1">
      <alignment horizontal="center" vertical="center"/>
    </xf>
    <xf numFmtId="0" fontId="13" fillId="0" borderId="10" xfId="0" applyFont="1" applyBorder="1"/>
    <xf numFmtId="0" fontId="16" fillId="8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21" fontId="0" fillId="0" borderId="0" xfId="0" applyNumberFormat="1" applyFont="1" applyAlignment="1"/>
    <xf numFmtId="169" fontId="0" fillId="0" borderId="0" xfId="0" applyNumberFormat="1" applyFont="1" applyAlignment="1"/>
    <xf numFmtId="0" fontId="1" fillId="2" borderId="6" xfId="0" applyFont="1" applyFill="1" applyBorder="1" applyAlignment="1">
      <alignment horizontal="center"/>
    </xf>
    <xf numFmtId="0" fontId="20" fillId="0" borderId="23" xfId="0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9" fontId="20" fillId="0" borderId="23" xfId="1" applyFont="1" applyBorder="1" applyAlignment="1">
      <alignment horizontal="center" vertical="center"/>
    </xf>
    <xf numFmtId="10" fontId="20" fillId="0" borderId="23" xfId="1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0" xfId="0" applyFont="1" applyAlignment="1"/>
    <xf numFmtId="14" fontId="5" fillId="0" borderId="7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0" fillId="0" borderId="24" xfId="0" applyFont="1" applyBorder="1" applyAlignment="1"/>
    <xf numFmtId="0" fontId="0" fillId="0" borderId="24" xfId="0" pivotButton="1" applyFont="1" applyBorder="1" applyAlignment="1"/>
    <xf numFmtId="0" fontId="0" fillId="0" borderId="24" xfId="0" applyFont="1" applyBorder="1" applyAlignment="1">
      <alignment horizontal="left"/>
    </xf>
    <xf numFmtId="0" fontId="0" fillId="0" borderId="25" xfId="0" applyFont="1" applyBorder="1" applyAlignment="1">
      <alignment horizontal="left"/>
    </xf>
    <xf numFmtId="0" fontId="0" fillId="0" borderId="26" xfId="0" applyFont="1" applyBorder="1" applyAlignment="1">
      <alignment horizontal="left"/>
    </xf>
    <xf numFmtId="0" fontId="0" fillId="0" borderId="27" xfId="0" applyFont="1" applyBorder="1" applyAlignment="1"/>
    <xf numFmtId="0" fontId="0" fillId="0" borderId="24" xfId="0" applyNumberFormat="1" applyFont="1" applyBorder="1" applyAlignment="1"/>
    <xf numFmtId="0" fontId="0" fillId="0" borderId="26" xfId="0" applyNumberFormat="1" applyFont="1" applyBorder="1" applyAlignment="1"/>
    <xf numFmtId="0" fontId="0" fillId="0" borderId="25" xfId="0" applyNumberFormat="1" applyFont="1" applyBorder="1" applyAlignment="1"/>
    <xf numFmtId="0" fontId="0" fillId="0" borderId="30" xfId="0" applyFont="1" applyBorder="1" applyAlignment="1"/>
    <xf numFmtId="46" fontId="0" fillId="0" borderId="30" xfId="0" applyNumberFormat="1" applyFont="1" applyBorder="1" applyAlignment="1"/>
    <xf numFmtId="46" fontId="0" fillId="0" borderId="31" xfId="0" applyNumberFormat="1" applyFont="1" applyBorder="1" applyAlignment="1"/>
    <xf numFmtId="46" fontId="0" fillId="0" borderId="32" xfId="0" applyNumberFormat="1" applyFont="1" applyBorder="1" applyAlignment="1"/>
    <xf numFmtId="10" fontId="0" fillId="0" borderId="27" xfId="0" applyNumberFormat="1" applyFont="1" applyBorder="1" applyAlignment="1"/>
    <xf numFmtId="10" fontId="0" fillId="0" borderId="29" xfId="0" applyNumberFormat="1" applyFont="1" applyBorder="1" applyAlignment="1"/>
    <xf numFmtId="10" fontId="0" fillId="0" borderId="28" xfId="0" applyNumberFormat="1" applyFont="1" applyBorder="1" applyAlignment="1"/>
    <xf numFmtId="0" fontId="0" fillId="0" borderId="23" xfId="0" applyFont="1" applyBorder="1" applyAlignment="1">
      <alignment horizontal="center" vertical="center"/>
    </xf>
    <xf numFmtId="10" fontId="0" fillId="0" borderId="23" xfId="0" applyNumberFormat="1" applyFont="1" applyBorder="1" applyAlignment="1">
      <alignment horizontal="center" vertical="center"/>
    </xf>
    <xf numFmtId="169" fontId="0" fillId="0" borderId="23" xfId="0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2" fillId="17" borderId="34" xfId="0" applyFont="1" applyFill="1" applyBorder="1" applyAlignment="1">
      <alignment horizontal="center" vertical="center"/>
    </xf>
    <xf numFmtId="0" fontId="22" fillId="17" borderId="35" xfId="0" applyFont="1" applyFill="1" applyBorder="1" applyAlignment="1">
      <alignment horizontal="center" vertical="center"/>
    </xf>
    <xf numFmtId="0" fontId="21" fillId="18" borderId="36" xfId="0" applyFont="1" applyFill="1" applyBorder="1" applyAlignment="1">
      <alignment horizontal="center" vertical="center"/>
    </xf>
    <xf numFmtId="169" fontId="0" fillId="0" borderId="37" xfId="0" applyNumberFormat="1" applyFont="1" applyBorder="1" applyAlignment="1">
      <alignment horizontal="center" vertical="center"/>
    </xf>
    <xf numFmtId="0" fontId="21" fillId="18" borderId="38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0" fontId="0" fillId="0" borderId="39" xfId="0" applyNumberFormat="1" applyFont="1" applyBorder="1" applyAlignment="1">
      <alignment horizontal="center" vertical="center"/>
    </xf>
    <xf numFmtId="169" fontId="0" fillId="0" borderId="39" xfId="0" applyNumberFormat="1" applyFont="1" applyBorder="1" applyAlignment="1">
      <alignment horizontal="center" vertical="center"/>
    </xf>
    <xf numFmtId="169" fontId="0" fillId="0" borderId="40" xfId="0" applyNumberFormat="1" applyFont="1" applyBorder="1" applyAlignment="1">
      <alignment horizontal="center" vertical="center"/>
    </xf>
    <xf numFmtId="0" fontId="21" fillId="0" borderId="41" xfId="0" applyFont="1" applyBorder="1" applyAlignment="1">
      <alignment horizontal="center"/>
    </xf>
    <xf numFmtId="10" fontId="0" fillId="0" borderId="23" xfId="1" applyNumberFormat="1" applyFont="1" applyBorder="1" applyAlignment="1">
      <alignment horizontal="center" vertical="center"/>
    </xf>
    <xf numFmtId="0" fontId="0" fillId="0" borderId="41" xfId="0" applyFont="1" applyBorder="1" applyAlignment="1">
      <alignment horizontal="center"/>
    </xf>
    <xf numFmtId="14" fontId="0" fillId="0" borderId="23" xfId="0" applyNumberFormat="1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4">
    <tableStyle name="6-style" pivot="0" count="2" xr9:uid="{00000000-0011-0000-FFFF-FFFF00000000}">
      <tableStyleElement type="firstRowStripe" dxfId="23"/>
      <tableStyleElement type="secondRowStripe" dxfId="22"/>
    </tableStyle>
    <tableStyle name="6-style 2" pivot="0" count="2" xr9:uid="{00000000-0011-0000-FFFF-FFFF01000000}">
      <tableStyleElement type="firstRowStripe" dxfId="21"/>
      <tableStyleElement type="secondRowStripe" dxfId="20"/>
    </tableStyle>
    <tableStyle name="6-style 3" pivot="0" count="2" xr9:uid="{00000000-0011-0000-FFFF-FFFF02000000}">
      <tableStyleElement type="firstRowStripe" dxfId="19"/>
      <tableStyleElement type="secondRowStripe" dxfId="18"/>
    </tableStyle>
    <tableStyle name="Task-style" pivot="0" count="3" xr9:uid="{00000000-0011-0000-FFFF-FFFF03000000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abru" refreshedDate="45832.624616782407" createdVersion="6" refreshedVersion="6" minRefreshableVersion="3" recordCount="205" xr:uid="{233AD948-296C-4FF4-8E23-57B3F90FDDF4}">
  <cacheSource type="worksheet">
    <worksheetSource ref="A1:P206" sheet="2025"/>
  </cacheSource>
  <cacheFields count="18">
    <cacheField name="Sr. No" numFmtId="0">
      <sharedItems containsSemiMixedTypes="0" containsString="0" containsNumber="1" containsInteger="1" minValue="1" maxValue="205"/>
    </cacheField>
    <cacheField name="Type of Work" numFmtId="0">
      <sharedItems/>
    </cacheField>
    <cacheField name="Date" numFmtId="14">
      <sharedItems containsSemiMixedTypes="0" containsNonDate="0" containsDate="1" containsString="0" minDate="2025-01-02T00:00:00" maxDate="2025-03-01T00:00:00"/>
    </cacheField>
    <cacheField name="Task Name" numFmtId="0">
      <sharedItems count="26">
        <s v="WH - Sale Journal"/>
        <s v="WH - Wholesale order report"/>
        <s v="Nordstrom SQL DATA Dump"/>
        <s v="WH - Lima approval"/>
        <s v="Franchise Non-Direct Allocations"/>
        <s v="Adhoc Task"/>
        <s v="WH - Country of Origin/ Custom Tarrif"/>
        <s v="OGM - Sizing update"/>
        <s v="EPIM TOV Amendments"/>
        <s v="International Reporting - Ted baker"/>
        <s v="International Reporting - Little Birds"/>
        <s v="International Reporting - Laura Ashley"/>
        <s v="International Reporting - Small Saints"/>
        <s v="WH - Unallocated stock Summary report W01"/>
        <s v="Image upload to Very/John Lewis"/>
        <s v="WH - Wholesale Intake report"/>
        <s v="Lima Data Addition / Invoice Download"/>
        <s v="WH - Fabric Composition"/>
        <s v="Wholesale Adding Images"/>
        <s v="WH - Available stock report 06"/>
        <s v="Trade Report"/>
        <s v="WH - EAN Update"/>
        <s v="Nordstrom Assets"/>
        <s v="SQL Data Dump"/>
        <s v="DAM - Image Approval"/>
        <s v="DAM - Image Search"/>
      </sharedItems>
    </cacheField>
    <cacheField name="Quantity" numFmtId="0">
      <sharedItems containsSemiMixedTypes="0" containsString="0" containsNumber="1" containsInteger="1" minValue="1" maxValue="122"/>
    </cacheField>
    <cacheField name="RE" numFmtId="21">
      <sharedItems containsSemiMixedTypes="0" containsNonDate="0" containsDate="1" containsString="0" minDate="1899-12-30T00:01:00" maxDate="1899-12-30T01:10:00"/>
    </cacheField>
    <cacheField name="Total RE" numFmtId="46">
      <sharedItems containsSemiMixedTypes="0" containsNonDate="0" containsDate="1" containsString="0" minDate="1899-12-30T00:05:00" maxDate="1899-12-30T06:15:00"/>
    </cacheField>
    <cacheField name="Start Time" numFmtId="21">
      <sharedItems containsSemiMixedTypes="0" containsNonDate="0" containsDate="1" containsString="0" minDate="1899-12-30T06:56:26" maxDate="1899-12-30T17:45:19"/>
    </cacheField>
    <cacheField name="End Time" numFmtId="21">
      <sharedItems containsSemiMixedTypes="0" containsNonDate="0" containsDate="1" containsString="0" minDate="1899-12-30T07:24:16" maxDate="1899-12-30T18:31:24"/>
    </cacheField>
    <cacheField name="Actual Time taken" numFmtId="21">
      <sharedItems containsSemiMixedTypes="0" containsNonDate="0" containsDate="1" containsString="0" minDate="1899-12-30T00:04:29" maxDate="1899-12-30T05:35:23" count="194">
        <d v="1899-12-30T00:09:15"/>
        <d v="1899-12-30T00:44:52"/>
        <d v="1899-12-30T01:03:13"/>
        <d v="1899-12-30T05:27:31"/>
        <d v="1899-12-30T01:03:30"/>
        <d v="1899-12-30T03:18:55"/>
        <d v="1899-12-30T03:20:50"/>
        <d v="1899-12-30T01:56:13"/>
        <d v="1899-12-30T02:37:53"/>
        <d v="1899-12-30T01:02:59"/>
        <d v="1899-12-30T00:09:47"/>
        <d v="1899-12-30T00:43:51"/>
        <d v="1899-12-30T00:29:32"/>
        <d v="1899-12-30T01:41:06"/>
        <d v="1899-12-30T01:06:26"/>
        <d v="1899-12-30T00:04:29"/>
        <d v="1899-12-30T00:43:58"/>
        <d v="1899-12-30T03:19:59"/>
        <d v="1899-12-30T02:52:22"/>
        <d v="1899-12-30T01:03:08"/>
        <d v="1899-12-30T02:49:20"/>
        <d v="1899-12-30T00:47:40"/>
        <d v="1899-12-30T00:09:19"/>
        <d v="1899-12-30T00:43:13"/>
        <d v="1899-12-30T01:06:48"/>
        <d v="1899-12-30T01:30:34"/>
        <d v="1899-12-30T03:13:49"/>
        <d v="1899-12-30T01:11:04"/>
        <d v="1899-12-30T03:38:27"/>
        <d v="1899-12-30T01:01:09"/>
        <d v="1899-12-30T01:08:46"/>
        <d v="1899-12-30T00:27:42"/>
        <d v="1899-12-30T00:26:22"/>
        <d v="1899-12-30T00:27:22"/>
        <d v="1899-12-30T00:26:44"/>
        <d v="1899-12-30T00:09:17"/>
        <d v="1899-12-30T00:44:50"/>
        <d v="1899-12-30T00:13:34"/>
        <d v="1899-12-30T00:13:55"/>
        <d v="1899-12-30T00:13:38"/>
        <d v="1899-12-30T00:13:47"/>
        <d v="1899-12-30T02:09:05"/>
        <d v="1899-12-30T01:43:58"/>
        <d v="1899-12-30T00:08:41"/>
        <d v="1899-12-30T00:59:30"/>
        <d v="1899-12-30T00:26:45"/>
        <d v="1899-12-30T04:34:41"/>
        <d v="1899-12-30T00:13:29"/>
        <d v="1899-12-30T00:13:36"/>
        <d v="1899-12-30T00:14:41"/>
        <d v="1899-12-30T01:01:39"/>
        <d v="1899-12-30T00:54:50"/>
        <d v="1899-12-30T00:24:56"/>
        <d v="1899-12-30T00:30:09"/>
        <d v="1899-12-30T03:07:35"/>
        <d v="1899-12-30T00:13:23"/>
        <d v="1899-12-30T00:13:28"/>
        <d v="1899-12-30T00:13:37"/>
        <d v="1899-12-30T00:13:32"/>
        <d v="1899-12-30T00:49:35"/>
        <d v="1899-12-30T00:45:53"/>
        <d v="1899-12-30T00:09:10"/>
        <d v="1899-12-30T02:09:46"/>
        <d v="1899-12-30T02:30:52"/>
        <d v="1899-12-30T00:13:21"/>
        <d v="1899-12-30T00:13:26"/>
        <d v="1899-12-30T01:23:12"/>
        <d v="1899-12-30T01:02:33"/>
        <d v="1899-12-30T03:47:52"/>
        <d v="1899-12-30T01:08:01"/>
        <d v="1899-12-30T00:13:27"/>
        <d v="1899-12-30T00:13:31"/>
        <d v="1899-12-30T00:13:40"/>
        <d v="1899-12-30T00:52:50"/>
        <d v="1899-12-30T00:09:13"/>
        <d v="1899-12-30T01:01:33"/>
        <d v="1899-12-30T00:58:13"/>
        <d v="1899-12-30T02:06:05"/>
        <d v="1899-12-30T01:40:08"/>
        <d v="1899-12-30T00:54:01"/>
        <d v="1899-12-30T00:24:43"/>
        <d v="1899-12-30T05:35:23"/>
        <d v="1899-12-30T00:27:19"/>
        <d v="1899-12-30T00:13:35"/>
        <d v="1899-12-30T00:33:50"/>
        <d v="1899-12-30T01:03:14"/>
        <d v="1899-12-30T03:22:40"/>
        <d v="1899-12-30T00:45:24"/>
        <d v="1899-12-30T01:12:50"/>
        <d v="1899-12-30T01:39:30"/>
        <d v="1899-12-30T00:44:10"/>
        <d v="1899-12-30T01:04:04"/>
        <d v="1899-12-30T01:13:13"/>
        <d v="1899-12-30T00:45:07"/>
        <d v="1899-12-30T02:17:38"/>
        <d v="1899-12-30T00:09:16"/>
        <d v="1899-12-30T02:08:48"/>
        <d v="1899-12-30T01:02:18"/>
        <d v="1899-12-30T02:29:54"/>
        <d v="1899-12-30T02:29:03"/>
        <d v="1899-12-30T02:15:55"/>
        <d v="1899-12-30T02:46:07"/>
        <d v="1899-12-30T00:45:23"/>
        <d v="1899-12-30T01:05:26"/>
        <d v="1899-12-30T03:44:35"/>
        <d v="1899-12-30T02:09:08"/>
        <d v="1899-12-30T01:11:12"/>
        <d v="1899-12-30T01:24:59"/>
        <d v="1899-12-30T01:23:01"/>
        <d v="1899-12-30T02:10:06"/>
        <d v="1899-12-30T01:20:40"/>
        <d v="1899-12-30T01:05:02"/>
        <d v="1899-12-30T00:29:33"/>
        <d v="1899-12-30T02:39:30"/>
        <d v="1899-12-30T00:10:43"/>
        <d v="1899-12-30T00:16:38"/>
        <d v="1899-12-30T03:14:28"/>
        <d v="1899-12-30T00:09:31"/>
        <d v="1899-12-30T01:08:32"/>
        <d v="1899-12-30T01:59:48"/>
        <d v="1899-12-30T01:49:49"/>
        <d v="1899-12-30T01:26:17"/>
        <d v="1899-12-30T01:58:05"/>
        <d v="1899-12-30T01:05:05"/>
        <d v="1899-12-30T01:07:26"/>
        <d v="1899-12-30T03:15:33"/>
        <d v="1899-12-30T00:46:04"/>
        <d v="1899-12-30T00:09:42"/>
        <d v="1899-12-30T02:08:49"/>
        <d v="1899-12-30T01:43:19"/>
        <d v="1899-12-30T02:02:49"/>
        <d v="1899-12-30T00:26:34"/>
        <d v="1899-12-30T02:28:17"/>
        <d v="1899-12-30T01:29:35"/>
        <d v="1899-12-30T02:56:28"/>
        <d v="1899-12-30T00:45:44"/>
        <d v="1899-12-30T00:09:14"/>
        <d v="1899-12-30T02:06:28"/>
        <d v="1899-12-30T00:24:19"/>
        <d v="1899-12-30T03:52:18"/>
        <d v="1899-12-30T02:10:13"/>
        <d v="1899-12-30T04:24:27"/>
        <d v="1899-12-30T00:35:32"/>
        <d v="1899-12-30T00:07:18"/>
        <d v="1899-12-30T00:46:02"/>
        <d v="1899-12-30T00:50:09"/>
        <d v="1899-12-30T02:02:07"/>
        <d v="1899-12-30T02:09:25"/>
        <d v="1899-12-30T01:41:56"/>
        <d v="1899-12-30T01:06:14"/>
        <d v="1899-12-30T01:07:24"/>
        <d v="1899-12-30T00:19:23"/>
        <d v="1899-12-30T00:27:13"/>
        <d v="1899-12-30T04:13:39"/>
        <d v="1899-12-30T01:06:02"/>
        <d v="1899-12-30T00:45:11"/>
        <d v="1899-12-30T00:07:26"/>
        <d v="1899-12-30T00:22:02"/>
        <d v="1899-12-30T00:31:16"/>
        <d v="1899-12-30T00:36:51"/>
        <d v="1899-12-30T01:04:11"/>
        <d v="1899-12-30T01:00:01"/>
        <d v="1899-12-30T00:30:23"/>
        <d v="1899-12-30T00:48:31"/>
        <d v="1899-12-30T00:18:14"/>
        <d v="1899-12-30T01:59:24"/>
        <d v="1899-12-30T01:04:20"/>
        <d v="1899-12-30T00:05:22"/>
        <d v="1899-12-30T03:18:45"/>
        <d v="1899-12-30T03:05:57"/>
        <d v="1899-12-30T00:27:50"/>
        <d v="1899-12-30T00:27:27"/>
        <d v="1899-12-30T00:25:59"/>
        <d v="1899-12-30T00:27:20"/>
        <d v="1899-12-30T02:12:57"/>
        <d v="1899-12-30T00:09:25"/>
        <d v="1899-12-30T00:50:31"/>
        <d v="1899-12-30T00:20:48"/>
        <d v="1899-12-30T01:33:59"/>
        <d v="1899-12-30T00:56:02"/>
        <d v="1899-12-30T02:49:35"/>
        <d v="1899-12-30T02:07:15"/>
        <d v="1899-12-30T00:17:31"/>
        <d v="1899-12-30T00:37:39"/>
        <d v="1899-12-30T01:45:43"/>
        <d v="1899-12-30T02:07:02"/>
        <d v="1899-12-30T03:47:50"/>
        <d v="1899-12-30T01:15:49"/>
        <d v="1899-12-30T01:01:58"/>
        <d v="1899-12-30T00:08:55"/>
        <d v="1899-12-30T00:45:03"/>
        <d v="1899-12-30T01:03:35"/>
        <d v="1899-12-30T03:33:28"/>
        <d v="1899-12-30T01:02:21"/>
      </sharedItems>
      <fieldGroup par="17" base="9">
        <rangePr groupBy="seconds" startDate="1899-12-30T00:04:29" endDate="1899-12-30T05:35:23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Actual End Time" numFmtId="21">
      <sharedItems containsSemiMixedTypes="0" containsNonDate="0" containsDate="1" containsString="0" minDate="1899-12-30T07:26:26" maxDate="1899-12-30T18:47:29"/>
    </cacheField>
    <cacheField name="Break Start Time" numFmtId="21">
      <sharedItems containsNonDate="0" containsString="0" containsBlank="1"/>
    </cacheField>
    <cacheField name="Break End Time" numFmtId="21">
      <sharedItems containsNonDate="0" containsString="0" containsBlank="1"/>
    </cacheField>
    <cacheField name="Total Break time" numFmtId="21">
      <sharedItems containsNonDate="0" containsDate="1" containsString="0" containsBlank="1" minDate="1899-12-30T00:02:59" maxDate="1899-12-30T02:30:24"/>
    </cacheField>
    <cacheField name="Comment" numFmtId="0">
      <sharedItems containsBlank="1"/>
    </cacheField>
    <cacheField name="Productivity" numFmtId="10">
      <sharedItems containsSemiMixedTypes="0" containsString="0" containsNumber="1" minValue="0.89880159786950675" maxValue="1.269001982815599"/>
    </cacheField>
    <cacheField name="Minutes" numFmtId="0" databaseField="0">
      <fieldGroup base="9">
        <rangePr groupBy="minutes" startDate="1899-12-30T00:04:29" endDate="1899-12-30T05:35:23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" numFmtId="0" databaseField="0">
      <fieldGroup base="9">
        <rangePr groupBy="hours" startDate="1899-12-30T00:04:29" endDate="1899-12-30T05:35:23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"/>
    <s v="Report"/>
    <d v="2025-01-02T00:00:00"/>
    <x v="0"/>
    <n v="1"/>
    <d v="1899-12-30T00:10:00"/>
    <d v="1899-12-30T00:10:00"/>
    <d v="1899-12-30T08:59:30"/>
    <d v="1899-12-30T09:08:45"/>
    <x v="0"/>
    <d v="1899-12-30T09:09:30"/>
    <m/>
    <m/>
    <m/>
    <m/>
    <n v="1.0810810810810896"/>
  </r>
  <r>
    <n v="2"/>
    <s v="Report"/>
    <d v="2025-01-02T00:00:00"/>
    <x v="1"/>
    <n v="1"/>
    <d v="1899-12-30T00:50:00"/>
    <d v="1899-12-30T00:50:00"/>
    <d v="1899-12-30T09:08:45"/>
    <d v="1899-12-30T09:53:37"/>
    <x v="1"/>
    <d v="1899-12-30T09:58:45"/>
    <m/>
    <m/>
    <m/>
    <m/>
    <n v="1.114413075780089"/>
  </r>
  <r>
    <n v="3"/>
    <s v="Report"/>
    <d v="2025-01-02T00:00:00"/>
    <x v="2"/>
    <n v="1"/>
    <d v="1899-12-30T01:10:00"/>
    <d v="1899-12-30T01:10:00"/>
    <d v="1899-12-30T09:53:37"/>
    <d v="1899-12-30T10:56:50"/>
    <x v="2"/>
    <d v="1899-12-30T11:03:37"/>
    <m/>
    <m/>
    <m/>
    <m/>
    <n v="1.1073029264434486"/>
  </r>
  <r>
    <n v="4"/>
    <s v="Task"/>
    <d v="2025-01-02T00:00:00"/>
    <x v="3"/>
    <n v="75"/>
    <d v="1899-12-30T00:05:00"/>
    <d v="1899-12-30T06:15:00"/>
    <d v="1899-12-30T10:56:50"/>
    <d v="1899-12-30T18:00:00"/>
    <x v="3"/>
    <d v="1899-12-30T18:47:29"/>
    <m/>
    <m/>
    <d v="1899-12-30T01:35:39"/>
    <s v="Harriet's Task (updating Supplier, RRP and Cost Price)"/>
    <n v="1.1449798992417688"/>
  </r>
  <r>
    <n v="5"/>
    <s v="Report"/>
    <d v="2025-01-03T00:00:00"/>
    <x v="2"/>
    <n v="1"/>
    <d v="1899-12-30T01:10:00"/>
    <d v="1899-12-30T01:10:00"/>
    <d v="1899-12-30T08:53:57"/>
    <d v="1899-12-30T09:57:27"/>
    <x v="4"/>
    <d v="1899-12-30T10:03:57"/>
    <m/>
    <m/>
    <m/>
    <m/>
    <n v="1.1023622047244093"/>
  </r>
  <r>
    <n v="6"/>
    <s v="Task"/>
    <d v="2025-01-03T00:00:00"/>
    <x v="4"/>
    <n v="44"/>
    <d v="1899-12-30T00:05:00"/>
    <d v="1899-12-30T03:40:00"/>
    <d v="1899-12-30T09:57:27"/>
    <d v="1899-12-30T14:03:09"/>
    <x v="5"/>
    <d v="1899-12-30T14:24:14"/>
    <m/>
    <m/>
    <d v="1899-12-30T00:46:47"/>
    <m/>
    <n v="1.1059907834101379"/>
  </r>
  <r>
    <n v="7"/>
    <s v="Task"/>
    <d v="2025-01-03T00:00:00"/>
    <x v="4"/>
    <n v="44"/>
    <d v="1899-12-30T00:05:00"/>
    <d v="1899-12-30T03:40:00"/>
    <d v="1899-12-30T14:03:09"/>
    <d v="1899-12-30T18:03:59"/>
    <x v="6"/>
    <d v="1899-12-30T18:23:09"/>
    <m/>
    <m/>
    <d v="1899-12-30T00:40:00"/>
    <m/>
    <n v="1.0954036861675314"/>
  </r>
  <r>
    <n v="8"/>
    <s v="Task"/>
    <d v="2025-01-06T00:00:00"/>
    <x v="5"/>
    <n v="60"/>
    <d v="1899-12-30T00:02:00"/>
    <d v="1899-12-30T02:00:00"/>
    <d v="1899-12-30T08:52:04"/>
    <d v="1899-12-30T11:14:20"/>
    <x v="7"/>
    <d v="1899-12-30T11:18:07"/>
    <m/>
    <m/>
    <d v="1899-12-30T00:26:03"/>
    <s v="New Nordstrom Task"/>
    <n v="1.0325541373870641"/>
  </r>
  <r>
    <n v="9"/>
    <s v="Task"/>
    <d v="2025-01-06T00:00:00"/>
    <x v="5"/>
    <n v="79"/>
    <d v="1899-12-30T00:02:00"/>
    <d v="1899-12-30T02:38:00"/>
    <d v="1899-12-30T11:17:15"/>
    <d v="1899-12-30T15:01:57"/>
    <x v="8"/>
    <d v="1899-12-30T15:02:04"/>
    <m/>
    <m/>
    <d v="1899-12-30T01:06:49"/>
    <s v="New Nordstrom Task"/>
    <n v="1.000738942256941"/>
  </r>
  <r>
    <n v="10"/>
    <s v="Report"/>
    <d v="2025-01-06T00:00:00"/>
    <x v="2"/>
    <n v="1"/>
    <d v="1899-12-30T01:10:00"/>
    <d v="1899-12-30T01:10:00"/>
    <d v="1899-12-30T15:01:57"/>
    <d v="1899-12-30T16:41:50"/>
    <x v="9"/>
    <d v="1899-12-30T16:48:51"/>
    <m/>
    <m/>
    <d v="1899-12-30T00:36:54"/>
    <m/>
    <n v="1.1114051336332362"/>
  </r>
  <r>
    <n v="11"/>
    <s v="Report"/>
    <d v="2025-01-06T00:00:00"/>
    <x v="0"/>
    <n v="1"/>
    <d v="1899-12-30T00:10:00"/>
    <d v="1899-12-30T00:10:00"/>
    <d v="1899-12-30T16:41:50"/>
    <d v="1899-12-30T16:51:37"/>
    <x v="10"/>
    <d v="1899-12-30T16:51:50"/>
    <m/>
    <m/>
    <m/>
    <m/>
    <n v="1.0221465076660838"/>
  </r>
  <r>
    <n v="12"/>
    <s v="Report"/>
    <d v="2025-01-06T00:00:00"/>
    <x v="1"/>
    <n v="1"/>
    <d v="1899-12-30T00:50:00"/>
    <d v="1899-12-30T00:50:00"/>
    <d v="1899-12-30T16:51:37"/>
    <d v="1899-12-30T17:35:28"/>
    <x v="11"/>
    <d v="1899-12-30T17:41:37"/>
    <m/>
    <m/>
    <m/>
    <m/>
    <n v="1.1402508551881461"/>
  </r>
  <r>
    <n v="13"/>
    <s v="Task"/>
    <d v="2025-01-06T00:00:00"/>
    <x v="5"/>
    <n v="15"/>
    <d v="1899-12-30T00:02:00"/>
    <d v="1899-12-30T00:30:00"/>
    <d v="1899-12-30T17:35:28"/>
    <d v="1899-12-30T18:05:00"/>
    <x v="12"/>
    <d v="1899-12-30T18:05:28"/>
    <m/>
    <m/>
    <m/>
    <s v="New Nordstrom Task"/>
    <n v="1.0158013544018047"/>
  </r>
  <r>
    <n v="14"/>
    <s v="Task"/>
    <d v="2025-01-07T00:00:00"/>
    <x v="5"/>
    <n v="51"/>
    <d v="1899-12-30T00:02:00"/>
    <d v="1899-12-30T01:42:00"/>
    <d v="1899-12-30T08:47:37"/>
    <d v="1899-12-30T11:53:38"/>
    <x v="13"/>
    <d v="1899-12-30T11:54:32"/>
    <m/>
    <m/>
    <d v="1899-12-30T01:24:55"/>
    <s v="New Nordstrom Task"/>
    <n v="1.008902077151336"/>
  </r>
  <r>
    <n v="15"/>
    <s v="Report"/>
    <d v="2025-01-07T00:00:00"/>
    <x v="2"/>
    <n v="1"/>
    <d v="1899-12-30T01:10:00"/>
    <d v="1899-12-30T01:10:00"/>
    <d v="1899-12-30T09:26:41"/>
    <d v="1899-12-30T10:33:07"/>
    <x v="14"/>
    <d v="1899-12-30T10:36:41"/>
    <m/>
    <m/>
    <m/>
    <m/>
    <n v="1.0536879076768684"/>
  </r>
  <r>
    <n v="16"/>
    <s v="Task"/>
    <d v="2025-01-07T00:00:00"/>
    <x v="4"/>
    <n v="1"/>
    <d v="1899-12-30T00:05:00"/>
    <d v="1899-12-30T00:05:00"/>
    <d v="1899-12-30T10:33:07"/>
    <d v="1899-12-30T10:37:36"/>
    <x v="15"/>
    <d v="1899-12-30T10:38:07"/>
    <m/>
    <m/>
    <m/>
    <m/>
    <n v="1.1152416356877635"/>
  </r>
  <r>
    <n v="17"/>
    <s v="Task"/>
    <d v="2025-01-07T00:00:00"/>
    <x v="5"/>
    <n v="22"/>
    <d v="1899-12-30T00:02:00"/>
    <d v="1899-12-30T00:44:00"/>
    <d v="1899-12-30T11:53:38"/>
    <d v="1899-12-30T14:02:01"/>
    <x v="16"/>
    <d v="1899-12-30T14:02:03"/>
    <m/>
    <m/>
    <d v="1899-12-30T01:24:25"/>
    <s v="New Nordstrom Task"/>
    <n v="1.0007581501137233"/>
  </r>
  <r>
    <n v="18"/>
    <s v="Task"/>
    <d v="2025-01-07T00:00:00"/>
    <x v="4"/>
    <n v="46"/>
    <d v="1899-12-30T00:05:00"/>
    <d v="1899-12-30T03:50:00"/>
    <d v="1899-12-30T14:02:01"/>
    <d v="1899-12-30T18:04:29"/>
    <x v="17"/>
    <d v="1899-12-30T18:34:30"/>
    <m/>
    <m/>
    <d v="1899-12-30T00:42:29"/>
    <m/>
    <n v="1.1501066724322397"/>
  </r>
  <r>
    <n v="19"/>
    <s v="Task"/>
    <d v="2025-01-08T00:00:00"/>
    <x v="5"/>
    <n v="90"/>
    <d v="1899-12-30T00:02:00"/>
    <d v="1899-12-30T03:00:00"/>
    <d v="1899-12-30T09:00:38"/>
    <d v="1899-12-30T12:03:10"/>
    <x v="18"/>
    <d v="1899-12-30T12:10:48"/>
    <m/>
    <m/>
    <d v="1899-12-30T00:10:10"/>
    <s v="New Nordstrom Task"/>
    <n v="1.0442854380197246"/>
  </r>
  <r>
    <n v="20"/>
    <s v="Report"/>
    <d v="2025-01-08T00:00:00"/>
    <x v="2"/>
    <n v="1"/>
    <d v="1899-12-30T01:10:00"/>
    <d v="1899-12-30T01:10:00"/>
    <d v="1899-12-30T12:03:10"/>
    <d v="1899-12-30T13:43:56"/>
    <x v="19"/>
    <d v="1899-12-30T13:50:48"/>
    <m/>
    <m/>
    <d v="1899-12-30T00:37:38"/>
    <m/>
    <n v="1.1087645195353772"/>
  </r>
  <r>
    <n v="21"/>
    <s v="Task"/>
    <d v="2025-01-08T00:00:00"/>
    <x v="6"/>
    <n v="73"/>
    <d v="1899-12-30T00:02:30"/>
    <d v="1899-12-30T03:02:30"/>
    <d v="1899-12-30T13:43:56"/>
    <d v="1899-12-30T17:17:20"/>
    <x v="20"/>
    <d v="1899-12-30T17:30:30"/>
    <m/>
    <m/>
    <d v="1899-12-30T00:44:04"/>
    <m/>
    <n v="1.0777559055118102"/>
  </r>
  <r>
    <n v="22"/>
    <s v="Task"/>
    <d v="2025-01-08T00:00:00"/>
    <x v="4"/>
    <n v="11"/>
    <d v="1899-12-30T00:05:00"/>
    <d v="1899-12-30T00:55:00"/>
    <d v="1899-12-30T17:17:20"/>
    <d v="1899-12-30T18:05:00"/>
    <x v="21"/>
    <d v="1899-12-30T18:12:20"/>
    <m/>
    <m/>
    <m/>
    <m/>
    <n v="1.1538461538461566"/>
  </r>
  <r>
    <n v="23"/>
    <s v="Report"/>
    <d v="2025-01-09T00:00:00"/>
    <x v="0"/>
    <n v="1"/>
    <d v="1899-12-30T00:10:00"/>
    <d v="1899-12-30T00:10:00"/>
    <d v="1899-12-30T08:48:38"/>
    <d v="1899-12-30T08:57:57"/>
    <x v="22"/>
    <d v="1899-12-30T08:58:38"/>
    <m/>
    <m/>
    <m/>
    <m/>
    <n v="1.0733452593917752"/>
  </r>
  <r>
    <n v="24"/>
    <s v="Report"/>
    <d v="2025-01-09T00:00:00"/>
    <x v="1"/>
    <n v="1"/>
    <d v="1899-12-30T00:50:00"/>
    <d v="1899-12-30T00:50:00"/>
    <d v="1899-12-30T08:57:57"/>
    <d v="1899-12-30T09:41:10"/>
    <x v="23"/>
    <d v="1899-12-30T09:47:57"/>
    <m/>
    <m/>
    <m/>
    <m/>
    <n v="1.1569610489780182"/>
  </r>
  <r>
    <n v="25"/>
    <s v="Report"/>
    <d v="2025-01-09T00:00:00"/>
    <x v="2"/>
    <n v="1"/>
    <d v="1899-12-30T01:10:00"/>
    <d v="1899-12-30T01:10:00"/>
    <d v="1899-12-30T09:41:10"/>
    <d v="1899-12-30T10:47:58"/>
    <x v="24"/>
    <d v="1899-12-30T10:51:10"/>
    <m/>
    <m/>
    <m/>
    <m/>
    <n v="1.0479041916167657"/>
  </r>
  <r>
    <n v="26"/>
    <s v="Task"/>
    <d v="2025-01-09T00:00:00"/>
    <x v="4"/>
    <n v="19"/>
    <d v="1899-12-30T00:05:00"/>
    <d v="1899-12-30T01:35:00"/>
    <d v="1899-12-30T10:47:58"/>
    <d v="1899-12-30T13:05:07"/>
    <x v="25"/>
    <d v="1899-12-30T13:09:33"/>
    <m/>
    <m/>
    <d v="1899-12-30T00:46:35"/>
    <m/>
    <n v="1.0489510489510487"/>
  </r>
  <r>
    <n v="27"/>
    <s v="Task"/>
    <d v="2025-01-09T00:00:00"/>
    <x v="7"/>
    <n v="27"/>
    <d v="1899-12-30T00:08:00"/>
    <d v="1899-12-30T03:36:00"/>
    <d v="1899-12-30T13:05:07"/>
    <d v="1899-12-30T18:00:00"/>
    <x v="26"/>
    <d v="1899-12-30T18:22:11"/>
    <m/>
    <m/>
    <d v="1899-12-30T01:41:04"/>
    <m/>
    <n v="1.1144552412073268"/>
  </r>
  <r>
    <n v="28"/>
    <s v="Report"/>
    <d v="2025-01-10T00:00:00"/>
    <x v="2"/>
    <n v="1"/>
    <d v="1899-12-30T01:10:00"/>
    <d v="1899-12-30T01:10:00"/>
    <d v="1899-12-30T07:57:41"/>
    <d v="1899-12-30T09:50:55"/>
    <x v="27"/>
    <d v="1899-12-30T09:49:51"/>
    <m/>
    <m/>
    <d v="1899-12-30T00:42:10"/>
    <m/>
    <n v="0.98499061913696051"/>
  </r>
  <r>
    <n v="29"/>
    <s v="Task"/>
    <d v="2025-01-10T00:00:00"/>
    <x v="7"/>
    <n v="30"/>
    <d v="1899-12-30T00:08:00"/>
    <d v="1899-12-30T04:00:00"/>
    <d v="1899-12-30T09:50:55"/>
    <d v="1899-12-30T14:17:36"/>
    <x v="28"/>
    <d v="1899-12-30T14:39:09"/>
    <m/>
    <m/>
    <d v="1899-12-30T00:48:14"/>
    <m/>
    <n v="1.0986495765621431"/>
  </r>
  <r>
    <n v="30"/>
    <s v="Task"/>
    <d v="2025-01-10T00:00:00"/>
    <x v="8"/>
    <n v="12"/>
    <d v="1899-12-30T00:05:00"/>
    <d v="1899-12-30T01:00:00"/>
    <d v="1899-12-30T14:59:56"/>
    <d v="1899-12-30T16:01:05"/>
    <x v="29"/>
    <d v="1899-12-30T15:59:56"/>
    <m/>
    <m/>
    <m/>
    <m/>
    <n v="0.98119378577269056"/>
  </r>
  <r>
    <n v="31"/>
    <s v="Task"/>
    <d v="2025-01-10T00:00:00"/>
    <x v="6"/>
    <n v="28"/>
    <d v="1899-12-30T00:02:30"/>
    <d v="1899-12-30T01:10:00"/>
    <d v="1899-12-30T16:01:14"/>
    <d v="1899-12-30T17:10:00"/>
    <x v="30"/>
    <d v="1899-12-30T17:11:14"/>
    <m/>
    <m/>
    <m/>
    <m/>
    <n v="1.0179350460494427"/>
  </r>
  <r>
    <n v="32"/>
    <s v="Report"/>
    <d v="2025-01-13T00:00:00"/>
    <x v="9"/>
    <n v="2"/>
    <d v="1899-12-30T00:15:00"/>
    <d v="1899-12-30T00:30:00"/>
    <d v="1899-12-30T07:05:13"/>
    <d v="1899-12-30T07:32:55"/>
    <x v="31"/>
    <d v="1899-12-30T07:35:13"/>
    <m/>
    <m/>
    <m/>
    <m/>
    <n v="1.0830324909747318"/>
  </r>
  <r>
    <n v="33"/>
    <s v="Report"/>
    <d v="2025-01-13T00:00:00"/>
    <x v="10"/>
    <n v="2"/>
    <d v="1899-12-30T00:15:00"/>
    <d v="1899-12-30T00:30:00"/>
    <d v="1899-12-30T07:32:55"/>
    <d v="1899-12-30T07:59:17"/>
    <x v="32"/>
    <d v="1899-12-30T08:02:55"/>
    <m/>
    <m/>
    <m/>
    <m/>
    <n v="1.137800252844501"/>
  </r>
  <r>
    <n v="34"/>
    <s v="Report"/>
    <d v="2025-01-13T00:00:00"/>
    <x v="11"/>
    <n v="2"/>
    <d v="1899-12-30T00:15:00"/>
    <d v="1899-12-30T00:30:00"/>
    <d v="1899-12-30T07:59:17"/>
    <d v="1899-12-30T08:26:39"/>
    <x v="33"/>
    <d v="1899-12-30T08:29:17"/>
    <m/>
    <m/>
    <m/>
    <m/>
    <n v="1.0962241169305698"/>
  </r>
  <r>
    <n v="35"/>
    <s v="Report"/>
    <d v="2025-01-13T00:00:00"/>
    <x v="12"/>
    <n v="2"/>
    <d v="1899-12-30T00:15:00"/>
    <d v="1899-12-30T00:30:00"/>
    <d v="1899-12-30T08:26:39"/>
    <d v="1899-12-30T08:53:23"/>
    <x v="34"/>
    <d v="1899-12-30T08:56:39"/>
    <m/>
    <m/>
    <m/>
    <m/>
    <n v="1.1221945137157141"/>
  </r>
  <r>
    <n v="36"/>
    <s v="Report"/>
    <d v="2025-01-13T00:00:00"/>
    <x v="0"/>
    <n v="1"/>
    <d v="1899-12-30T00:10:00"/>
    <d v="1899-12-30T00:10:00"/>
    <d v="1899-12-30T08:53:23"/>
    <d v="1899-12-30T09:02:40"/>
    <x v="35"/>
    <d v="1899-12-30T09:03:23"/>
    <m/>
    <m/>
    <m/>
    <m/>
    <n v="1.0771992818671376"/>
  </r>
  <r>
    <n v="37"/>
    <s v="Report"/>
    <d v="2025-01-13T00:00:00"/>
    <x v="1"/>
    <n v="1"/>
    <d v="1899-12-30T00:50:00"/>
    <d v="1899-12-30T00:50:00"/>
    <d v="1899-12-30T09:02:40"/>
    <d v="1899-12-30T10:35:20"/>
    <x v="36"/>
    <d v="1899-12-30T10:40:30"/>
    <m/>
    <m/>
    <d v="1899-12-30T00:47:50"/>
    <m/>
    <n v="1.1152416356877313"/>
  </r>
  <r>
    <n v="38"/>
    <s v="Report"/>
    <d v="2025-01-13T00:00:00"/>
    <x v="9"/>
    <n v="1"/>
    <d v="1899-12-30T00:15:00"/>
    <d v="1899-12-30T00:15:00"/>
    <d v="1899-12-30T10:35:20"/>
    <d v="1899-12-30T10:48:54"/>
    <x v="37"/>
    <d v="1899-12-30T10:50:20"/>
    <m/>
    <m/>
    <m/>
    <m/>
    <n v="1.1056511056511129"/>
  </r>
  <r>
    <n v="39"/>
    <s v="Report"/>
    <d v="2025-01-13T00:00:00"/>
    <x v="10"/>
    <n v="1"/>
    <d v="1899-12-30T00:15:00"/>
    <d v="1899-12-30T00:15:00"/>
    <d v="1899-12-30T10:48:54"/>
    <d v="1899-12-30T11:02:49"/>
    <x v="38"/>
    <d v="1899-12-30T11:03:54"/>
    <m/>
    <m/>
    <m/>
    <m/>
    <n v="1.0778443113772482"/>
  </r>
  <r>
    <n v="40"/>
    <s v="Report"/>
    <d v="2025-01-13T00:00:00"/>
    <x v="11"/>
    <n v="1"/>
    <d v="1899-12-30T00:15:00"/>
    <d v="1899-12-30T00:15:00"/>
    <d v="1899-12-30T11:02:49"/>
    <d v="1899-12-30T11:16:27"/>
    <x v="39"/>
    <d v="1899-12-30T11:17:49"/>
    <m/>
    <m/>
    <m/>
    <m/>
    <n v="1.100244498777504"/>
  </r>
  <r>
    <n v="41"/>
    <s v="Report"/>
    <d v="2025-01-13T00:00:00"/>
    <x v="12"/>
    <n v="1"/>
    <d v="1899-12-30T00:15:00"/>
    <d v="1899-12-30T00:15:00"/>
    <d v="1899-12-30T11:16:27"/>
    <d v="1899-12-30T11:30:14"/>
    <x v="40"/>
    <d v="1899-12-30T11:31:27"/>
    <m/>
    <m/>
    <m/>
    <m/>
    <n v="1.0882708585247844"/>
  </r>
  <r>
    <n v="42"/>
    <s v="Report"/>
    <d v="2025-01-13T00:00:00"/>
    <x v="2"/>
    <n v="2"/>
    <d v="1899-12-30T01:10:00"/>
    <d v="1899-12-30T02:20:00"/>
    <d v="1899-12-30T11:30:14"/>
    <d v="1899-12-30T14:29:02"/>
    <x v="41"/>
    <d v="1899-12-30T14:39:57"/>
    <m/>
    <m/>
    <d v="1899-12-30T00:49:43"/>
    <m/>
    <n v="1.0845706907682378"/>
  </r>
  <r>
    <n v="43"/>
    <s v="Task"/>
    <d v="2025-01-13T00:00:00"/>
    <x v="7"/>
    <n v="13"/>
    <d v="1899-12-30T00:08:00"/>
    <d v="1899-12-30T01:44:00"/>
    <d v="1899-12-30T14:29:02"/>
    <d v="1899-12-30T16:13:00"/>
    <x v="42"/>
    <d v="1899-12-30T16:13:02"/>
    <m/>
    <m/>
    <m/>
    <m/>
    <n v="1.0003206155819169"/>
  </r>
  <r>
    <n v="44"/>
    <s v="Task"/>
    <d v="2025-01-14T00:00:00"/>
    <x v="7"/>
    <n v="1"/>
    <d v="1899-12-30T00:08:00"/>
    <d v="1899-12-30T00:08:00"/>
    <d v="1899-12-30T08:44:18"/>
    <d v="1899-12-30T08:52:59"/>
    <x v="43"/>
    <d v="1899-12-30T08:52:18"/>
    <m/>
    <m/>
    <m/>
    <m/>
    <n v="0.92130518234165371"/>
  </r>
  <r>
    <n v="45"/>
    <s v="Report"/>
    <d v="2025-01-14T00:00:00"/>
    <x v="2"/>
    <n v="1"/>
    <d v="1899-12-30T01:10:00"/>
    <d v="1899-12-30T01:10:00"/>
    <d v="1899-12-30T08:53:59"/>
    <d v="1899-12-30T09:53:29"/>
    <x v="44"/>
    <d v="1899-12-30T10:03:59"/>
    <m/>
    <m/>
    <m/>
    <m/>
    <n v="1.1764705882352919"/>
  </r>
  <r>
    <n v="46"/>
    <s v="Report"/>
    <d v="2025-01-14T00:00:00"/>
    <x v="13"/>
    <n v="1"/>
    <d v="1899-12-30T00:30:00"/>
    <d v="1899-12-30T00:30:00"/>
    <d v="1899-12-30T09:53:29"/>
    <d v="1899-12-30T10:20:14"/>
    <x v="45"/>
    <d v="1899-12-30T10:23:29"/>
    <m/>
    <m/>
    <m/>
    <s v="F5"/>
    <n v="1.1214953271028094"/>
  </r>
  <r>
    <n v="47"/>
    <s v="Task"/>
    <d v="2025-01-14T00:00:00"/>
    <x v="14"/>
    <n v="80"/>
    <d v="1899-12-30T00:04:00"/>
    <d v="1899-12-30T05:20:00"/>
    <d v="1899-12-30T10:57:23"/>
    <d v="1899-12-30T17:04:40"/>
    <x v="46"/>
    <d v="1899-12-30T17:49:59"/>
    <m/>
    <m/>
    <d v="1899-12-30T01:32:36"/>
    <m/>
    <n v="1.1649778532856014"/>
  </r>
  <r>
    <n v="48"/>
    <s v="Report"/>
    <d v="2025-01-14T00:00:00"/>
    <x v="9"/>
    <n v="1"/>
    <d v="1899-12-30T00:15:00"/>
    <d v="1899-12-30T00:15:00"/>
    <d v="1899-12-30T17:04:40"/>
    <d v="1899-12-30T17:18:14"/>
    <x v="37"/>
    <d v="1899-12-30T17:19:40"/>
    <m/>
    <m/>
    <m/>
    <m/>
    <n v="1.1056511056511065"/>
  </r>
  <r>
    <n v="49"/>
    <s v="Report"/>
    <d v="2025-01-14T00:00:00"/>
    <x v="10"/>
    <n v="1"/>
    <d v="1899-12-30T00:15:00"/>
    <d v="1899-12-30T00:15:00"/>
    <d v="1899-12-30T17:18:14"/>
    <d v="1899-12-30T17:31:43"/>
    <x v="47"/>
    <d v="1899-12-30T17:33:14"/>
    <m/>
    <m/>
    <m/>
    <m/>
    <n v="1.1124845488257171"/>
  </r>
  <r>
    <n v="50"/>
    <s v="Report"/>
    <d v="2025-01-14T00:00:00"/>
    <x v="11"/>
    <n v="1"/>
    <d v="1899-12-30T00:15:00"/>
    <d v="1899-12-30T00:15:00"/>
    <d v="1899-12-30T17:31:43"/>
    <d v="1899-12-30T17:45:19"/>
    <x v="48"/>
    <d v="1899-12-30T17:46:43"/>
    <m/>
    <m/>
    <m/>
    <m/>
    <n v="1.1029411764705843"/>
  </r>
  <r>
    <n v="51"/>
    <s v="Report"/>
    <d v="2025-01-14T00:00:00"/>
    <x v="12"/>
    <n v="1"/>
    <d v="1899-12-30T00:15:00"/>
    <d v="1899-12-30T00:15:00"/>
    <d v="1899-12-30T17:45:19"/>
    <d v="1899-12-30T18:00:00"/>
    <x v="49"/>
    <d v="1899-12-30T18:00:19"/>
    <m/>
    <m/>
    <m/>
    <m/>
    <n v="1.0215664018161215"/>
  </r>
  <r>
    <n v="52"/>
    <s v="Report"/>
    <d v="2025-01-15T00:00:00"/>
    <x v="2"/>
    <n v="1"/>
    <d v="1899-12-30T01:10:00"/>
    <d v="1899-12-30T01:10:00"/>
    <d v="1899-12-30T09:09:11"/>
    <d v="1899-12-30T10:10:50"/>
    <x v="50"/>
    <d v="1899-12-30T10:19:11"/>
    <m/>
    <m/>
    <m/>
    <m/>
    <n v="1.1354420113544208"/>
  </r>
  <r>
    <n v="53"/>
    <s v="Report"/>
    <d v="2025-01-15T00:00:00"/>
    <x v="15"/>
    <n v="1"/>
    <d v="1899-12-30T01:00:00"/>
    <d v="1899-12-30T01:00:00"/>
    <d v="1899-12-30T10:10:50"/>
    <d v="1899-12-30T11:05:40"/>
    <x v="51"/>
    <d v="1899-12-30T11:10:50"/>
    <m/>
    <m/>
    <m/>
    <m/>
    <n v="1.0942249240121582"/>
  </r>
  <r>
    <n v="54"/>
    <s v="Task"/>
    <d v="2025-01-15T00:00:00"/>
    <x v="16"/>
    <n v="7"/>
    <d v="1899-12-30T00:04:00"/>
    <d v="1899-12-30T00:28:00"/>
    <d v="1899-12-30T11:05:40"/>
    <d v="1899-12-30T11:30:36"/>
    <x v="52"/>
    <d v="1899-12-30T11:33:40"/>
    <m/>
    <m/>
    <m/>
    <s v="LIMA data download for Intake report"/>
    <n v="1.1229946524064192"/>
  </r>
  <r>
    <n v="55"/>
    <s v="Task"/>
    <d v="2025-01-15T00:00:00"/>
    <x v="17"/>
    <n v="11"/>
    <d v="1899-12-30T00:03:00"/>
    <d v="1899-12-30T00:33:00"/>
    <d v="1899-12-30T11:30:36"/>
    <d v="1899-12-30T12:40:51"/>
    <x v="53"/>
    <d v="1899-12-30T12:43:42"/>
    <m/>
    <m/>
    <d v="1899-12-30T00:40:06"/>
    <s v="PO status for Intake report"/>
    <n v="1.0945273631840784"/>
  </r>
  <r>
    <n v="56"/>
    <s v="Task"/>
    <d v="2025-01-15T00:00:00"/>
    <x v="14"/>
    <n v="52"/>
    <d v="1899-12-30T00:04:00"/>
    <d v="1899-12-30T03:28:00"/>
    <d v="1899-12-30T12:40:51"/>
    <d v="1899-12-30T16:31:25"/>
    <x v="54"/>
    <d v="1899-12-30T16:51:50"/>
    <m/>
    <m/>
    <d v="1899-12-30T00:42:59"/>
    <s v="Imagery Approvals (Abigail)"/>
    <n v="1.1088405153265215"/>
  </r>
  <r>
    <n v="57"/>
    <s v="Report"/>
    <d v="2025-01-15T00:00:00"/>
    <x v="9"/>
    <n v="1"/>
    <d v="1899-12-30T00:15:00"/>
    <d v="1899-12-30T00:15:00"/>
    <d v="1899-12-30T16:31:25"/>
    <d v="1899-12-30T16:44:48"/>
    <x v="55"/>
    <d v="1899-12-30T16:46:25"/>
    <m/>
    <m/>
    <m/>
    <m/>
    <n v="1.1207970112079644"/>
  </r>
  <r>
    <n v="58"/>
    <s v="Report"/>
    <d v="2025-01-15T00:00:00"/>
    <x v="10"/>
    <n v="1"/>
    <d v="1899-12-30T00:15:00"/>
    <d v="1899-12-30T00:15:00"/>
    <d v="1899-12-30T16:44:48"/>
    <d v="1899-12-30T16:58:16"/>
    <x v="56"/>
    <d v="1899-12-30T16:59:48"/>
    <m/>
    <m/>
    <m/>
    <m/>
    <n v="1.113861386138616"/>
  </r>
  <r>
    <n v="59"/>
    <s v="Report"/>
    <d v="2025-01-15T00:00:00"/>
    <x v="11"/>
    <n v="1"/>
    <d v="1899-12-30T00:15:00"/>
    <d v="1899-12-30T00:15:00"/>
    <d v="1899-12-30T16:58:16"/>
    <d v="1899-12-30T17:11:53"/>
    <x v="57"/>
    <d v="1899-12-30T17:13:16"/>
    <m/>
    <m/>
    <m/>
    <m/>
    <n v="1.101591187270502"/>
  </r>
  <r>
    <n v="60"/>
    <s v="Report"/>
    <d v="2025-01-15T00:00:00"/>
    <x v="12"/>
    <n v="1"/>
    <d v="1899-12-30T00:15:00"/>
    <d v="1899-12-30T00:15:00"/>
    <d v="1899-12-30T17:11:53"/>
    <d v="1899-12-30T17:25:25"/>
    <x v="58"/>
    <d v="1899-12-30T17:26:53"/>
    <m/>
    <m/>
    <m/>
    <m/>
    <n v="1.1083743842364588"/>
  </r>
  <r>
    <n v="61"/>
    <s v="Task"/>
    <d v="2025-01-15T00:00:00"/>
    <x v="17"/>
    <n v="18"/>
    <d v="1899-12-30T00:03:00"/>
    <d v="1899-12-30T00:54:00"/>
    <d v="1899-12-30T17:25:25"/>
    <d v="1899-12-30T18:15:00"/>
    <x v="59"/>
    <d v="1899-12-30T18:19:25"/>
    <m/>
    <m/>
    <m/>
    <s v="Adding Fabric Composition to SO items (Tamryn Task)"/>
    <n v="1.0890756302521014"/>
  </r>
  <r>
    <n v="62"/>
    <s v="Report"/>
    <d v="2025-01-16T00:00:00"/>
    <x v="1"/>
    <n v="1"/>
    <d v="1899-12-30T00:50:00"/>
    <d v="1899-12-30T00:50:00"/>
    <d v="1899-12-30T08:45:02"/>
    <d v="1899-12-30T09:30:55"/>
    <x v="60"/>
    <d v="1899-12-30T09:35:02"/>
    <m/>
    <m/>
    <m/>
    <m/>
    <n v="1.0897203051216886"/>
  </r>
  <r>
    <n v="63"/>
    <s v="Report"/>
    <d v="2025-01-16T00:00:00"/>
    <x v="0"/>
    <n v="1"/>
    <d v="1899-12-30T00:10:00"/>
    <d v="1899-12-30T00:10:00"/>
    <d v="1899-12-30T09:30:55"/>
    <d v="1899-12-30T09:40:05"/>
    <x v="61"/>
    <d v="1899-12-30T09:40:55"/>
    <m/>
    <m/>
    <m/>
    <m/>
    <n v="1.0909090909090788"/>
  </r>
  <r>
    <n v="64"/>
    <s v="Report"/>
    <d v="2025-01-16T00:00:00"/>
    <x v="2"/>
    <n v="2"/>
    <d v="1899-12-30T01:10:00"/>
    <d v="1899-12-30T02:20:00"/>
    <d v="1899-12-30T09:40:05"/>
    <d v="1899-12-30T12:18:08"/>
    <x v="62"/>
    <d v="1899-12-30T12:28:22"/>
    <m/>
    <m/>
    <d v="1899-12-30T00:28:17"/>
    <m/>
    <n v="1.0788594913948117"/>
  </r>
  <r>
    <n v="65"/>
    <s v="Task"/>
    <d v="2025-01-16T00:00:00"/>
    <x v="14"/>
    <n v="42"/>
    <d v="1899-12-30T00:04:00"/>
    <d v="1899-12-30T02:48:00"/>
    <d v="1899-12-30T12:18:08"/>
    <d v="1899-12-30T15:42:49"/>
    <x v="63"/>
    <d v="1899-12-30T15:59:57"/>
    <m/>
    <m/>
    <d v="1899-12-30T00:53:49"/>
    <m/>
    <n v="1.1135660627485646"/>
  </r>
  <r>
    <n v="66"/>
    <s v="Report"/>
    <d v="2025-01-16T00:00:00"/>
    <x v="9"/>
    <n v="1"/>
    <d v="1899-12-30T00:15:00"/>
    <d v="1899-12-30T00:15:00"/>
    <d v="1899-12-30T15:42:49"/>
    <d v="1899-12-30T15:56:25"/>
    <x v="48"/>
    <d v="1899-12-30T15:57:49"/>
    <m/>
    <m/>
    <m/>
    <m/>
    <n v="1.1029411764705843"/>
  </r>
  <r>
    <n v="67"/>
    <s v="Report"/>
    <d v="2025-01-16T00:00:00"/>
    <x v="10"/>
    <n v="1"/>
    <d v="1899-12-30T00:15:00"/>
    <d v="1899-12-30T00:15:00"/>
    <d v="1899-12-30T15:56:25"/>
    <d v="1899-12-30T16:09:46"/>
    <x v="64"/>
    <d v="1899-12-30T16:11:25"/>
    <m/>
    <m/>
    <m/>
    <m/>
    <n v="1.1235955056179767"/>
  </r>
  <r>
    <n v="68"/>
    <s v="Report"/>
    <d v="2025-01-16T00:00:00"/>
    <x v="11"/>
    <n v="1"/>
    <d v="1899-12-30T00:15:00"/>
    <d v="1899-12-30T00:15:00"/>
    <d v="1899-12-30T16:09:46"/>
    <d v="1899-12-30T16:23:22"/>
    <x v="48"/>
    <d v="1899-12-30T16:24:46"/>
    <m/>
    <m/>
    <m/>
    <m/>
    <n v="1.1029411764705843"/>
  </r>
  <r>
    <n v="69"/>
    <s v="Report"/>
    <d v="2025-01-16T00:00:00"/>
    <x v="12"/>
    <n v="1"/>
    <d v="1899-12-30T00:15:00"/>
    <d v="1899-12-30T00:15:00"/>
    <d v="1899-12-30T16:23:22"/>
    <d v="1899-12-30T16:36:48"/>
    <x v="65"/>
    <d v="1899-12-30T16:38:22"/>
    <m/>
    <m/>
    <m/>
    <m/>
    <n v="1.1166253101737043"/>
  </r>
  <r>
    <n v="70"/>
    <s v="Task"/>
    <d v="2025-01-16T00:00:00"/>
    <x v="14"/>
    <n v="23"/>
    <d v="1899-12-30T00:04:00"/>
    <d v="1899-12-30T01:32:00"/>
    <d v="1899-12-30T16:36:48"/>
    <d v="1899-12-30T18:00:00"/>
    <x v="66"/>
    <d v="1899-12-30T18:08:48"/>
    <m/>
    <m/>
    <m/>
    <m/>
    <n v="1.1057692307692302"/>
  </r>
  <r>
    <n v="71"/>
    <s v="Report"/>
    <d v="2025-01-17T00:00:00"/>
    <x v="2"/>
    <n v="1"/>
    <d v="1899-12-30T01:10:00"/>
    <d v="1899-12-30T01:10:00"/>
    <d v="1899-12-30T07:57:59"/>
    <d v="1899-12-30T09:35:16"/>
    <x v="67"/>
    <d v="1899-12-30T09:42:43"/>
    <m/>
    <m/>
    <d v="1899-12-30T00:34:44"/>
    <m/>
    <n v="1.1190895088359305"/>
  </r>
  <r>
    <n v="72"/>
    <s v="Task"/>
    <d v="2025-01-17T00:00:00"/>
    <x v="14"/>
    <n v="63"/>
    <d v="1899-12-30T00:04:00"/>
    <d v="1899-12-30T04:12:00"/>
    <d v="1899-12-30T09:35:16"/>
    <d v="1899-12-30T14:24:35"/>
    <x v="68"/>
    <d v="1899-12-30T14:48:43"/>
    <m/>
    <m/>
    <d v="1899-12-30T01:01:27"/>
    <s v="Imagery Approving for Zalora"/>
    <n v="1.1059140141450556"/>
  </r>
  <r>
    <n v="73"/>
    <s v="Task"/>
    <d v="2025-01-17T00:00:00"/>
    <x v="18"/>
    <n v="38"/>
    <d v="1899-12-30T00:02:00"/>
    <d v="1899-12-30T01:16:00"/>
    <d v="1899-12-30T14:24:35"/>
    <d v="1899-12-30T17:10:00"/>
    <x v="69"/>
    <d v="1899-12-30T17:17:59"/>
    <m/>
    <m/>
    <d v="1899-12-30T01:37:24"/>
    <m/>
    <n v="1.1173731928448898"/>
  </r>
  <r>
    <n v="74"/>
    <s v="Report"/>
    <d v="2025-01-17T00:00:00"/>
    <x v="9"/>
    <n v="1"/>
    <d v="1899-12-30T00:15:00"/>
    <d v="1899-12-30T00:15:00"/>
    <d v="1899-12-30T15:51:00"/>
    <d v="1899-12-30T16:04:27"/>
    <x v="70"/>
    <d v="1899-12-30T16:06:00"/>
    <m/>
    <m/>
    <m/>
    <m/>
    <n v="1.1152416356877304"/>
  </r>
  <r>
    <n v="75"/>
    <s v="Report"/>
    <d v="2025-01-17T00:00:00"/>
    <x v="10"/>
    <n v="1"/>
    <d v="1899-12-30T00:15:00"/>
    <d v="1899-12-30T00:15:00"/>
    <d v="1899-12-30T16:04:27"/>
    <d v="1899-12-30T16:17:59"/>
    <x v="58"/>
    <d v="1899-12-30T16:19:27"/>
    <m/>
    <m/>
    <m/>
    <m/>
    <n v="1.1083743842364588"/>
  </r>
  <r>
    <n v="76"/>
    <s v="Report"/>
    <d v="2025-01-17T00:00:00"/>
    <x v="11"/>
    <n v="1"/>
    <d v="1899-12-30T00:15:00"/>
    <d v="1899-12-30T00:15:00"/>
    <d v="1899-12-30T16:17:59"/>
    <d v="1899-12-30T16:31:30"/>
    <x v="71"/>
    <d v="1899-12-30T16:32:59"/>
    <m/>
    <m/>
    <m/>
    <m/>
    <n v="1.1097410604192239"/>
  </r>
  <r>
    <n v="77"/>
    <s v="Report"/>
    <d v="2025-01-17T00:00:00"/>
    <x v="12"/>
    <n v="1"/>
    <d v="1899-12-30T00:15:00"/>
    <d v="1899-12-30T00:15:00"/>
    <d v="1899-12-30T16:31:30"/>
    <d v="1899-12-30T16:45:10"/>
    <x v="72"/>
    <d v="1899-12-30T16:46:30"/>
    <m/>
    <m/>
    <m/>
    <m/>
    <n v="1.0975609756097557"/>
  </r>
  <r>
    <n v="78"/>
    <s v="Report"/>
    <d v="2025-01-20T00:00:00"/>
    <x v="1"/>
    <n v="1"/>
    <d v="1899-12-30T00:50:00"/>
    <d v="1899-12-30T00:50:00"/>
    <d v="1899-12-30T09:02:22"/>
    <d v="1899-12-30T09:55:12"/>
    <x v="73"/>
    <d v="1899-12-30T09:52:22"/>
    <m/>
    <m/>
    <m/>
    <m/>
    <n v="0.94637223974763418"/>
  </r>
  <r>
    <n v="79"/>
    <s v="Report"/>
    <d v="2025-01-20T00:00:00"/>
    <x v="0"/>
    <n v="1"/>
    <d v="1899-12-30T00:10:00"/>
    <d v="1899-12-30T00:10:00"/>
    <d v="1899-12-30T09:55:12"/>
    <d v="1899-12-30T10:04:25"/>
    <x v="74"/>
    <d v="1899-12-30T10:05:12"/>
    <m/>
    <m/>
    <m/>
    <m/>
    <n v="1.0849909584086765"/>
  </r>
  <r>
    <n v="80"/>
    <s v="Report"/>
    <d v="2025-01-20T00:00:00"/>
    <x v="2"/>
    <n v="1"/>
    <d v="1899-12-30T01:10:00"/>
    <d v="1899-12-30T01:10:00"/>
    <d v="1899-12-30T10:04:25"/>
    <d v="1899-12-30T11:05:58"/>
    <x v="75"/>
    <d v="1899-12-30T11:14:25"/>
    <m/>
    <m/>
    <m/>
    <m/>
    <n v="1.1372867587327387"/>
  </r>
  <r>
    <n v="81"/>
    <s v="Report"/>
    <d v="2025-01-20T00:00:00"/>
    <x v="19"/>
    <n v="1"/>
    <d v="1899-12-30T01:05:00"/>
    <d v="1899-12-30T01:05:00"/>
    <d v="1899-12-30T11:05:58"/>
    <d v="1899-12-30T12:04:11"/>
    <x v="76"/>
    <d v="1899-12-30T12:10:58"/>
    <m/>
    <m/>
    <m/>
    <m/>
    <n v="1.1165187517892909"/>
  </r>
  <r>
    <n v="82"/>
    <s v="Task"/>
    <d v="2025-01-20T00:00:00"/>
    <x v="18"/>
    <n v="80"/>
    <d v="1899-12-30T00:02:00"/>
    <d v="1899-12-30T02:40:00"/>
    <d v="1899-12-30T12:04:11"/>
    <d v="1899-12-30T14:30:37"/>
    <x v="77"/>
    <d v="1899-12-30T15:04:32"/>
    <m/>
    <m/>
    <d v="1899-12-30T00:20:21"/>
    <s v="Nordstrom Images Approving task - Abigail"/>
    <n v="1.269001982815599"/>
  </r>
  <r>
    <n v="83"/>
    <s v="Task"/>
    <d v="2025-01-20T00:00:00"/>
    <x v="18"/>
    <n v="45"/>
    <d v="1899-12-30T00:02:00"/>
    <d v="1899-12-30T01:30:00"/>
    <d v="1899-12-30T14:30:37"/>
    <d v="1899-12-30T17:15:59"/>
    <x v="78"/>
    <d v="1899-12-30T17:05:51"/>
    <m/>
    <m/>
    <d v="1899-12-30T01:05:14"/>
    <m/>
    <n v="0.89880159786950675"/>
  </r>
  <r>
    <n v="84"/>
    <s v="Task"/>
    <d v="2025-01-20T00:00:00"/>
    <x v="18"/>
    <n v="30"/>
    <d v="1899-12-30T00:02:00"/>
    <d v="1899-12-30T01:00:00"/>
    <d v="1899-12-30T17:15:59"/>
    <d v="1899-12-30T18:10:00"/>
    <x v="79"/>
    <d v="1899-12-30T18:15:59"/>
    <m/>
    <m/>
    <m/>
    <m/>
    <n v="1.1107682813946331"/>
  </r>
  <r>
    <n v="85"/>
    <s v="Task"/>
    <d v="2025-01-21T00:00:00"/>
    <x v="17"/>
    <n v="9"/>
    <d v="1899-12-30T00:03:00"/>
    <d v="1899-12-30T00:27:00"/>
    <d v="1899-12-30T09:01:25"/>
    <d v="1899-12-30T09:26:08"/>
    <x v="80"/>
    <d v="1899-12-30T09:28:25"/>
    <m/>
    <m/>
    <m/>
    <m/>
    <n v="1.0923803101820646"/>
  </r>
  <r>
    <n v="86"/>
    <s v="Task"/>
    <d v="2025-01-21T00:00:00"/>
    <x v="7"/>
    <n v="43"/>
    <d v="1899-12-30T00:08:00"/>
    <d v="1899-12-30T05:44:00"/>
    <d v="1899-12-30T09:26:08"/>
    <d v="1899-12-30T17:31:10"/>
    <x v="81"/>
    <d v="1899-12-30T17:39:47"/>
    <m/>
    <m/>
    <d v="1899-12-30T02:29:39"/>
    <m/>
    <n v="1.0256919942354517"/>
  </r>
  <r>
    <n v="87"/>
    <s v="Report"/>
    <d v="2025-01-21T00:00:00"/>
    <x v="20"/>
    <n v="1"/>
    <d v="1899-12-30T00:30:00"/>
    <d v="1899-12-30T00:30:00"/>
    <d v="1899-12-30T13:42:17"/>
    <d v="1899-12-30T14:09:36"/>
    <x v="82"/>
    <d v="1899-12-30T14:12:17"/>
    <m/>
    <m/>
    <m/>
    <m/>
    <n v="1.0982306284319747"/>
  </r>
  <r>
    <n v="88"/>
    <s v="Task"/>
    <d v="2025-01-21T00:00:00"/>
    <x v="17"/>
    <n v="5"/>
    <d v="1899-12-30T00:03:00"/>
    <d v="1899-12-30T00:15:00"/>
    <d v="1899-12-30T14:09:36"/>
    <d v="1899-12-30T14:23:11"/>
    <x v="83"/>
    <d v="1899-12-30T14:24:36"/>
    <m/>
    <m/>
    <m/>
    <m/>
    <n v="1.1042944785275992"/>
  </r>
  <r>
    <n v="89"/>
    <s v="Task"/>
    <d v="2025-01-21T00:00:00"/>
    <x v="14"/>
    <n v="9"/>
    <d v="1899-12-30T00:04:00"/>
    <d v="1899-12-30T00:36:00"/>
    <d v="1899-12-30T17:31:10"/>
    <d v="1899-12-30T18:05:00"/>
    <x v="84"/>
    <d v="1899-12-30T18:07:10"/>
    <m/>
    <m/>
    <m/>
    <m/>
    <n v="1.064039408866998"/>
  </r>
  <r>
    <n v="90"/>
    <s v="Report"/>
    <d v="2025-01-22T00:00:00"/>
    <x v="2"/>
    <n v="1"/>
    <d v="1899-12-30T01:10:00"/>
    <d v="1899-12-30T01:10:00"/>
    <d v="1899-12-30T08:22:35"/>
    <d v="1899-12-30T09:37:44"/>
    <x v="85"/>
    <d v="1899-12-30T09:44:30"/>
    <m/>
    <m/>
    <d v="1899-12-30T00:11:55"/>
    <m/>
    <n v="1.1070110701107025"/>
  </r>
  <r>
    <n v="91"/>
    <s v="Task"/>
    <d v="2025-01-22T00:00:00"/>
    <x v="5"/>
    <n v="108"/>
    <d v="1899-12-30T00:02:00"/>
    <d v="1899-12-30T03:36:00"/>
    <d v="1899-12-30T09:37:44"/>
    <d v="1899-12-30T13:14:23"/>
    <x v="86"/>
    <d v="1899-12-30T13:27:43"/>
    <m/>
    <m/>
    <d v="1899-12-30T00:13:59"/>
    <s v="Nordstrom Asset - 18"/>
    <n v="1.0657894736842106"/>
  </r>
  <r>
    <n v="92"/>
    <s v="Task"/>
    <d v="2025-01-22T00:00:00"/>
    <x v="7"/>
    <n v="6"/>
    <d v="1899-12-30T00:08:00"/>
    <d v="1899-12-30T00:48:00"/>
    <d v="1899-12-30T13:14:23"/>
    <d v="1899-12-30T14:25:14"/>
    <x v="87"/>
    <d v="1899-12-30T14:27:50"/>
    <m/>
    <m/>
    <d v="1899-12-30T00:25:27"/>
    <m/>
    <n v="1.0572687224669592"/>
  </r>
  <r>
    <n v="93"/>
    <s v="Task"/>
    <d v="2025-01-22T00:00:00"/>
    <x v="17"/>
    <n v="26"/>
    <d v="1899-12-30T00:03:00"/>
    <d v="1899-12-30T01:18:00"/>
    <d v="1899-12-30T14:25:14"/>
    <d v="1899-12-30T16:20:30"/>
    <x v="88"/>
    <d v="1899-12-30T16:25:40"/>
    <m/>
    <m/>
    <d v="1899-12-30T00:42:26"/>
    <m/>
    <n v="1.0709382151029763"/>
  </r>
  <r>
    <n v="94"/>
    <s v="Task"/>
    <d v="2025-01-22T00:00:00"/>
    <x v="14"/>
    <n v="27"/>
    <d v="1899-12-30T00:04:00"/>
    <d v="1899-12-30T01:48:00"/>
    <d v="1899-12-30T16:20:30"/>
    <d v="1899-12-30T18:00:00"/>
    <x v="89"/>
    <d v="1899-12-30T18:08:30"/>
    <m/>
    <m/>
    <m/>
    <m/>
    <n v="1.0854271356783913"/>
  </r>
  <r>
    <n v="95"/>
    <s v="Report"/>
    <d v="2025-01-23T00:00:00"/>
    <x v="1"/>
    <n v="1"/>
    <d v="1899-12-30T00:50:00"/>
    <d v="1899-12-30T00:50:00"/>
    <d v="1899-12-30T09:06:29"/>
    <d v="1899-12-30T09:50:39"/>
    <x v="90"/>
    <d v="1899-12-30T09:56:29"/>
    <m/>
    <m/>
    <m/>
    <m/>
    <n v="1.1320754716981158"/>
  </r>
  <r>
    <n v="96"/>
    <s v="Report"/>
    <d v="2025-01-23T00:00:00"/>
    <x v="2"/>
    <n v="1"/>
    <d v="1899-12-30T01:10:00"/>
    <d v="1899-12-30T01:10:00"/>
    <d v="1899-12-30T09:50:39"/>
    <d v="1899-12-30T11:03:56"/>
    <x v="91"/>
    <d v="1899-12-30T11:09:52"/>
    <m/>
    <m/>
    <d v="1899-12-30T00:09:13"/>
    <m/>
    <n v="1.0926118626430792"/>
  </r>
  <r>
    <n v="97"/>
    <s v="Report"/>
    <d v="2025-01-23T00:00:00"/>
    <x v="0"/>
    <n v="1"/>
    <d v="1899-12-30T00:10:00"/>
    <d v="1899-12-30T00:10:00"/>
    <d v="1899-12-30T10:02:12"/>
    <d v="1899-12-30T10:11:25"/>
    <x v="74"/>
    <d v="1899-12-30T10:12:12"/>
    <m/>
    <m/>
    <m/>
    <m/>
    <n v="1.0849909584086765"/>
  </r>
  <r>
    <n v="98"/>
    <s v="Task"/>
    <d v="2025-01-23T00:00:00"/>
    <x v="21"/>
    <n v="40"/>
    <d v="1899-12-30T00:02:00"/>
    <d v="1899-12-30T01:20:00"/>
    <d v="1899-12-30T11:03:56"/>
    <d v="1899-12-30T12:30:14"/>
    <x v="92"/>
    <d v="1899-12-30T12:37:01"/>
    <m/>
    <m/>
    <d v="1899-12-30T00:13:05"/>
    <m/>
    <n v="1.0926473935806982"/>
  </r>
  <r>
    <n v="99"/>
    <s v="Task"/>
    <d v="2025-01-23T00:00:00"/>
    <x v="5"/>
    <n v="24"/>
    <d v="1899-12-30T00:02:00"/>
    <d v="1899-12-30T00:48:00"/>
    <d v="1899-12-30T12:30:14"/>
    <d v="1899-12-30T13:41:54"/>
    <x v="93"/>
    <d v="1899-12-30T13:44:47"/>
    <m/>
    <m/>
    <d v="1899-12-30T00:26:33"/>
    <s v="Nordstrom Asset - 18"/>
    <n v="1.0639083856667906"/>
  </r>
  <r>
    <n v="100"/>
    <s v="Task"/>
    <d v="2025-01-23T00:00:00"/>
    <x v="14"/>
    <n v="36"/>
    <d v="1899-12-30T00:04:00"/>
    <d v="1899-12-30T02:24:00"/>
    <d v="1899-12-30T15:52:22"/>
    <d v="1899-12-30T18:10:00"/>
    <x v="94"/>
    <d v="1899-12-30T18:16:22"/>
    <m/>
    <m/>
    <m/>
    <m/>
    <n v="1.0462581738919836"/>
  </r>
  <r>
    <n v="101"/>
    <s v="Report"/>
    <d v="2025-01-29T00:00:00"/>
    <x v="1"/>
    <n v="1"/>
    <d v="1899-12-30T00:50:00"/>
    <d v="1899-12-30T00:50:00"/>
    <d v="1899-12-30T08:55:51"/>
    <d v="1899-12-30T09:43:57"/>
    <x v="93"/>
    <d v="1899-12-30T09:48:50"/>
    <m/>
    <m/>
    <d v="1899-12-30T00:02:59"/>
    <m/>
    <n v="1.1082379017362394"/>
  </r>
  <r>
    <n v="102"/>
    <s v="Report"/>
    <d v="2025-01-29T00:00:00"/>
    <x v="0"/>
    <n v="1"/>
    <d v="1899-12-30T00:10:00"/>
    <d v="1899-12-30T00:10:00"/>
    <d v="1899-12-30T09:43:57"/>
    <d v="1899-12-30T09:53:13"/>
    <x v="95"/>
    <d v="1899-12-30T09:53:57"/>
    <m/>
    <m/>
    <m/>
    <m/>
    <n v="1.0791366906474684"/>
  </r>
  <r>
    <n v="103"/>
    <s v="Report"/>
    <d v="2025-01-29T00:00:00"/>
    <x v="2"/>
    <n v="2"/>
    <d v="1899-12-30T01:10:00"/>
    <d v="1899-12-30T02:20:00"/>
    <d v="1899-12-30T09:53:13"/>
    <d v="1899-12-30T12:02:01"/>
    <x v="96"/>
    <d v="1899-12-30T12:13:13"/>
    <m/>
    <m/>
    <m/>
    <m/>
    <n v="1.0869565217391306"/>
  </r>
  <r>
    <n v="104"/>
    <s v="Report"/>
    <d v="2025-01-29T00:00:00"/>
    <x v="19"/>
    <n v="1"/>
    <d v="1899-12-30T01:05:00"/>
    <d v="1899-12-30T01:05:00"/>
    <d v="1899-12-30T12:02:01"/>
    <d v="1899-12-30T14:30:17"/>
    <x v="97"/>
    <d v="1899-12-30T14:32:59"/>
    <m/>
    <m/>
    <d v="1899-12-30T01:25:58"/>
    <m/>
    <n v="1.0433386837881229"/>
  </r>
  <r>
    <n v="105"/>
    <s v="Task"/>
    <d v="2025-01-29T00:00:00"/>
    <x v="17"/>
    <n v="55"/>
    <d v="1899-12-30T00:03:00"/>
    <d v="1899-12-30T02:45:00"/>
    <d v="1899-12-30T14:30:17"/>
    <d v="1899-12-30T18:00:00"/>
    <x v="98"/>
    <d v="1899-12-30T18:15:06"/>
    <m/>
    <m/>
    <d v="1899-12-30T00:59:49"/>
    <m/>
    <n v="1.1007338225483658"/>
  </r>
  <r>
    <n v="106"/>
    <s v="Task"/>
    <d v="2025-01-30T00:00:00"/>
    <x v="17"/>
    <n v="55"/>
    <d v="1899-12-30T00:03:00"/>
    <d v="1899-12-30T02:45:00"/>
    <d v="1899-12-30T09:01:48"/>
    <d v="1899-12-30T11:30:51"/>
    <x v="99"/>
    <d v="1899-12-30T11:46:48"/>
    <m/>
    <m/>
    <m/>
    <m/>
    <n v="1.1070110701107014"/>
  </r>
  <r>
    <n v="107"/>
    <s v="Task"/>
    <d v="2025-01-30T00:00:00"/>
    <x v="7"/>
    <n v="18"/>
    <d v="1899-12-30T00:08:00"/>
    <d v="1899-12-30T02:24:00"/>
    <d v="1899-12-30T11:30:51"/>
    <d v="1899-12-30T14:33:45"/>
    <x v="100"/>
    <d v="1899-12-30T14:41:50"/>
    <m/>
    <m/>
    <d v="1899-12-30T00:46:59"/>
    <m/>
    <n v="1.059472716125077"/>
  </r>
  <r>
    <n v="108"/>
    <s v="Task"/>
    <d v="2025-01-30T00:00:00"/>
    <x v="17"/>
    <n v="65"/>
    <d v="1899-12-30T00:03:00"/>
    <d v="1899-12-30T03:15:00"/>
    <d v="1899-12-30T14:33:45"/>
    <d v="1899-12-30T18:10:00"/>
    <x v="101"/>
    <d v="1899-12-30T18:38:53"/>
    <m/>
    <m/>
    <d v="1899-12-30T00:50:08"/>
    <m/>
    <n v="1.1738737834855026"/>
  </r>
  <r>
    <n v="109"/>
    <s v="Report"/>
    <d v="2025-02-03T00:00:00"/>
    <x v="1"/>
    <n v="1"/>
    <d v="1899-12-30T00:50:00"/>
    <d v="1899-12-30T00:50:00"/>
    <d v="1899-12-30T09:02:18"/>
    <d v="1899-12-30T09:47:41"/>
    <x v="102"/>
    <d v="1899-12-30T09:52:18"/>
    <m/>
    <m/>
    <m/>
    <m/>
    <n v="1.1017260374586864"/>
  </r>
  <r>
    <n v="110"/>
    <s v="Report"/>
    <d v="2025-02-03T00:00:00"/>
    <x v="0"/>
    <n v="1"/>
    <d v="1899-12-30T00:10:00"/>
    <d v="1899-12-30T00:10:00"/>
    <d v="1899-12-30T09:47:41"/>
    <d v="1899-12-30T09:56:56"/>
    <x v="0"/>
    <d v="1899-12-30T09:57:41"/>
    <m/>
    <m/>
    <m/>
    <m/>
    <n v="1.0810810810810803"/>
  </r>
  <r>
    <n v="111"/>
    <s v="Report"/>
    <d v="2025-02-03T00:00:00"/>
    <x v="2"/>
    <n v="1"/>
    <d v="1899-12-30T01:10:00"/>
    <d v="1899-12-30T01:10:00"/>
    <d v="1899-12-30T09:56:56"/>
    <d v="1899-12-30T11:02:22"/>
    <x v="103"/>
    <d v="1899-12-30T11:06:56"/>
    <m/>
    <m/>
    <m/>
    <m/>
    <n v="1.0697911360163022"/>
  </r>
  <r>
    <n v="112"/>
    <s v="Task"/>
    <d v="2025-02-03T00:00:00"/>
    <x v="22"/>
    <n v="115"/>
    <d v="1899-12-30T00:02:00"/>
    <d v="1899-12-30T03:50:00"/>
    <d v="1899-12-30T11:02:22"/>
    <d v="1899-12-30T15:36:35"/>
    <x v="104"/>
    <d v="1899-12-30T15:42:00"/>
    <m/>
    <m/>
    <d v="1899-12-30T00:49:38"/>
    <s v="27 Nordstrom Assets"/>
    <n v="1.0241187384044526"/>
  </r>
  <r>
    <n v="113"/>
    <s v="Task"/>
    <d v="2025-02-03T00:00:00"/>
    <x v="17"/>
    <n v="45"/>
    <d v="1899-12-30T00:03:00"/>
    <d v="1899-12-30T02:15:00"/>
    <d v="1899-12-30T15:36:35"/>
    <d v="1899-12-30T18:05:00"/>
    <x v="105"/>
    <d v="1899-12-30T18:10:52"/>
    <m/>
    <m/>
    <d v="1899-12-30T00:19:17"/>
    <m/>
    <n v="1.0454310789881263"/>
  </r>
  <r>
    <n v="114"/>
    <s v="Report"/>
    <d v="2025-02-04T00:00:00"/>
    <x v="2"/>
    <n v="1"/>
    <d v="1899-12-30T01:10:00"/>
    <d v="1899-12-30T01:10:00"/>
    <d v="1899-12-30T08:59:24"/>
    <d v="1899-12-30T10:10:36"/>
    <x v="106"/>
    <d v="1899-12-30T10:09:24"/>
    <m/>
    <m/>
    <m/>
    <m/>
    <n v="0.98314606741573118"/>
  </r>
  <r>
    <n v="115"/>
    <s v="Task"/>
    <d v="2025-02-04T00:00:00"/>
    <x v="22"/>
    <n v="47"/>
    <d v="1899-12-30T00:02:00"/>
    <d v="1899-12-30T01:34:00"/>
    <d v="1899-12-30T10:10:36"/>
    <d v="1899-12-30T11:35:35"/>
    <x v="107"/>
    <d v="1899-12-30T11:44:36"/>
    <m/>
    <m/>
    <m/>
    <s v="27 Nordstrom Assets"/>
    <n v="1.106099235144145"/>
  </r>
  <r>
    <n v="116"/>
    <s v="Task"/>
    <d v="2025-02-04T00:00:00"/>
    <x v="17"/>
    <n v="29"/>
    <d v="1899-12-30T00:03:00"/>
    <d v="1899-12-30T01:27:00"/>
    <d v="1899-12-30T11:35:35"/>
    <d v="1899-12-30T13:43:48"/>
    <x v="108"/>
    <d v="1899-12-30T13:47:47"/>
    <m/>
    <m/>
    <d v="1899-12-30T00:45:12"/>
    <m/>
    <n v="1.0479823328648865"/>
  </r>
  <r>
    <n v="117"/>
    <s v="Task"/>
    <d v="2025-02-04T00:00:00"/>
    <x v="6"/>
    <n v="55"/>
    <d v="1899-12-30T00:02:30"/>
    <d v="1899-12-30T02:17:30"/>
    <d v="1899-12-30T13:43:48"/>
    <d v="1899-12-30T16:59:32"/>
    <x v="109"/>
    <d v="1899-12-30T17:06:56"/>
    <m/>
    <m/>
    <d v="1899-12-30T01:05:38"/>
    <m/>
    <n v="1.0568793235972331"/>
  </r>
  <r>
    <n v="118"/>
    <s v="Task"/>
    <d v="2025-02-04T00:00:00"/>
    <x v="6"/>
    <n v="35"/>
    <d v="1899-12-30T00:02:30"/>
    <d v="1899-12-30T01:27:30"/>
    <d v="1899-12-30T16:59:32"/>
    <d v="1899-12-30T18:20:12"/>
    <x v="110"/>
    <d v="1899-12-30T18:27:02"/>
    <m/>
    <m/>
    <m/>
    <m/>
    <n v="1.0847730509798381"/>
  </r>
  <r>
    <n v="119"/>
    <s v="Report"/>
    <d v="2025-02-05T00:00:00"/>
    <x v="2"/>
    <n v="1"/>
    <d v="1899-12-30T01:10:00"/>
    <d v="1899-12-30T01:10:00"/>
    <d v="1899-12-30T09:07:38"/>
    <d v="1899-12-30T10:12:40"/>
    <x v="111"/>
    <d v="1899-12-30T10:17:38"/>
    <m/>
    <m/>
    <m/>
    <s v="ss25"/>
    <n v="1.0763710917478231"/>
  </r>
  <r>
    <n v="120"/>
    <s v="Task"/>
    <d v="2025-02-05T00:00:00"/>
    <x v="7"/>
    <n v="4"/>
    <d v="1899-12-30T00:08:00"/>
    <d v="1899-12-30T00:32:00"/>
    <d v="1899-12-30T10:12:40"/>
    <d v="1899-12-30T10:42:13"/>
    <x v="112"/>
    <d v="1899-12-30T10:44:40"/>
    <m/>
    <m/>
    <m/>
    <m/>
    <n v="1.0829103214889995"/>
  </r>
  <r>
    <n v="121"/>
    <s v="Task"/>
    <d v="2025-02-05T00:00:00"/>
    <x v="6"/>
    <n v="68"/>
    <d v="1899-12-30T00:02:30"/>
    <d v="1899-12-30T02:50:00"/>
    <d v="1899-12-30T10:42:13"/>
    <d v="1899-12-30T13:54:56"/>
    <x v="113"/>
    <d v="1899-12-30T14:05:26"/>
    <m/>
    <m/>
    <d v="1899-12-30T00:33:13"/>
    <m/>
    <n v="1.0658307210031357"/>
  </r>
  <r>
    <n v="122"/>
    <s v="Task"/>
    <d v="2025-02-05T00:00:00"/>
    <x v="14"/>
    <n v="3"/>
    <d v="1899-12-30T00:04:00"/>
    <d v="1899-12-30T00:12:00"/>
    <d v="1899-12-30T13:54:56"/>
    <d v="1899-12-30T14:05:39"/>
    <x v="114"/>
    <d v="1899-12-30T14:06:56"/>
    <m/>
    <m/>
    <m/>
    <m/>
    <n v="1.1197511664074626"/>
  </r>
  <r>
    <n v="123"/>
    <s v="Task"/>
    <d v="2025-02-05T00:00:00"/>
    <x v="18"/>
    <n v="9"/>
    <d v="1899-12-30T00:02:00"/>
    <d v="1899-12-30T00:18:00"/>
    <d v="1899-12-30T14:05:39"/>
    <d v="1899-12-30T14:22:17"/>
    <x v="115"/>
    <d v="1899-12-30T14:23:39"/>
    <m/>
    <m/>
    <m/>
    <s v="Nordstrom - imagery not available on DAM"/>
    <n v="1.0821643286573084"/>
  </r>
  <r>
    <n v="124"/>
    <s v="Task"/>
    <d v="2025-02-05T00:00:00"/>
    <x v="17"/>
    <n v="68"/>
    <d v="1899-12-30T00:03:00"/>
    <d v="1899-12-30T03:24:00"/>
    <d v="1899-12-30T14:22:17"/>
    <d v="1899-12-30T18:15:00"/>
    <x v="116"/>
    <d v="1899-12-30T18:24:32"/>
    <m/>
    <m/>
    <d v="1899-12-30T00:38:15"/>
    <m/>
    <n v="1.0490229688035659"/>
  </r>
  <r>
    <n v="125"/>
    <s v="Report"/>
    <d v="2025-02-06T00:00:00"/>
    <x v="1"/>
    <n v="1"/>
    <d v="1899-12-30T00:50:00"/>
    <d v="1899-12-30T00:50:00"/>
    <d v="1899-12-30T09:08:38"/>
    <d v="1899-12-30T10:09:51"/>
    <x v="87"/>
    <d v="1899-12-30T10:14:27"/>
    <m/>
    <m/>
    <d v="1899-12-30T00:15:49"/>
    <m/>
    <n v="1.1013215859030856"/>
  </r>
  <r>
    <n v="126"/>
    <s v="Report"/>
    <d v="2025-02-06T00:00:00"/>
    <x v="0"/>
    <n v="1"/>
    <d v="1899-12-30T00:10:00"/>
    <d v="1899-12-30T00:10:00"/>
    <d v="1899-12-30T10:09:51"/>
    <d v="1899-12-30T10:19:22"/>
    <x v="117"/>
    <d v="1899-12-30T10:19:51"/>
    <m/>
    <m/>
    <m/>
    <m/>
    <n v="1.0507880910683016"/>
  </r>
  <r>
    <n v="127"/>
    <s v="Report"/>
    <d v="2025-02-06T00:00:00"/>
    <x v="2"/>
    <n v="1"/>
    <d v="1899-12-30T01:10:00"/>
    <d v="1899-12-30T01:10:00"/>
    <d v="1899-12-30T10:19:22"/>
    <d v="1899-12-30T11:43:33"/>
    <x v="118"/>
    <d v="1899-12-30T11:45:01"/>
    <m/>
    <m/>
    <d v="1899-12-30T00:15:39"/>
    <m/>
    <n v="1.0214007782101175"/>
  </r>
  <r>
    <n v="128"/>
    <s v="Task"/>
    <d v="2025-02-06T00:00:00"/>
    <x v="7"/>
    <n v="15"/>
    <d v="1899-12-30T00:08:00"/>
    <d v="1899-12-30T02:00:00"/>
    <d v="1899-12-30T11:43:33"/>
    <d v="1899-12-30T14:19:18"/>
    <x v="119"/>
    <d v="1899-12-30T14:19:30"/>
    <m/>
    <m/>
    <d v="1899-12-30T00:35:57"/>
    <m/>
    <n v="1.0016694490818028"/>
  </r>
  <r>
    <n v="129"/>
    <s v="Task"/>
    <d v="2025-02-06T00:00:00"/>
    <x v="17"/>
    <n v="38"/>
    <d v="1899-12-30T00:03:00"/>
    <d v="1899-12-30T01:54:00"/>
    <d v="1899-12-30T14:19:18"/>
    <d v="1899-12-30T16:48:43"/>
    <x v="120"/>
    <d v="1899-12-30T16:52:54"/>
    <m/>
    <m/>
    <d v="1899-12-30T00:39:36"/>
    <m/>
    <n v="1.038093792684778"/>
  </r>
  <r>
    <n v="130"/>
    <s v="Task"/>
    <d v="2025-02-06T00:00:00"/>
    <x v="17"/>
    <n v="30"/>
    <d v="1899-12-30T00:03:00"/>
    <d v="1899-12-30T01:30:00"/>
    <d v="1899-12-30T16:48:43"/>
    <d v="1899-12-30T18:15:00"/>
    <x v="121"/>
    <d v="1899-12-30T18:18:43"/>
    <m/>
    <m/>
    <m/>
    <m/>
    <n v="1.0430751400424962"/>
  </r>
  <r>
    <n v="131"/>
    <s v="Task"/>
    <d v="2025-02-07T00:00:00"/>
    <x v="22"/>
    <n v="60"/>
    <d v="1899-12-30T00:02:00"/>
    <d v="1899-12-30T02:00:00"/>
    <d v="1899-12-30T08:47:00"/>
    <d v="1899-12-30T10:45:05"/>
    <x v="122"/>
    <d v="1899-12-30T10:47:00"/>
    <m/>
    <m/>
    <m/>
    <m/>
    <n v="1.0162314749470718"/>
  </r>
  <r>
    <n v="132"/>
    <s v="Report"/>
    <d v="2025-02-07T00:00:00"/>
    <x v="2"/>
    <n v="1"/>
    <d v="1899-12-30T01:10:00"/>
    <d v="1899-12-30T01:10:00"/>
    <d v="1899-12-30T10:45:05"/>
    <d v="1899-12-30T11:50:10"/>
    <x v="123"/>
    <d v="1899-12-30T11:55:05"/>
    <m/>
    <m/>
    <m/>
    <m/>
    <n v="1.0755441741357235"/>
  </r>
  <r>
    <n v="133"/>
    <s v="Task"/>
    <d v="2025-02-07T00:00:00"/>
    <x v="17"/>
    <n v="23"/>
    <d v="1899-12-30T00:03:00"/>
    <d v="1899-12-30T01:09:00"/>
    <d v="1899-12-30T11:50:10"/>
    <d v="1899-12-30T13:58:36"/>
    <x v="124"/>
    <d v="1899-12-30T14:00:10"/>
    <m/>
    <m/>
    <d v="1899-12-30T01:01:00"/>
    <m/>
    <n v="1.0232328225407812"/>
  </r>
  <r>
    <n v="134"/>
    <s v="Task"/>
    <d v="2025-02-07T00:00:00"/>
    <x v="22"/>
    <n v="108"/>
    <d v="1899-12-30T00:02:00"/>
    <d v="1899-12-30T03:36:00"/>
    <d v="1899-12-30T13:58:36"/>
    <d v="1899-12-30T18:00:00"/>
    <x v="125"/>
    <d v="1899-12-30T18:20:27"/>
    <m/>
    <m/>
    <d v="1899-12-30T00:45:51"/>
    <s v="Adding Missing Info - 27"/>
    <n v="1.104576834569164"/>
  </r>
  <r>
    <n v="135"/>
    <s v="Report"/>
    <d v="2025-02-10T00:00:00"/>
    <x v="1"/>
    <n v="1"/>
    <d v="1899-12-30T00:50:00"/>
    <d v="1899-12-30T00:50:00"/>
    <d v="1899-12-30T08:59:39"/>
    <d v="1899-12-30T09:45:43"/>
    <x v="126"/>
    <d v="1899-12-30T09:49:39"/>
    <m/>
    <m/>
    <m/>
    <m/>
    <n v="1.0853835021707681"/>
  </r>
  <r>
    <n v="136"/>
    <s v="Report"/>
    <d v="2025-02-10T00:00:00"/>
    <x v="0"/>
    <n v="1"/>
    <d v="1899-12-30T00:10:00"/>
    <d v="1899-12-30T00:10:00"/>
    <d v="1899-12-30T09:45:43"/>
    <d v="1899-12-30T09:55:25"/>
    <x v="127"/>
    <d v="1899-12-30T09:55:43"/>
    <m/>
    <m/>
    <m/>
    <m/>
    <n v="1.0309278350515552"/>
  </r>
  <r>
    <n v="137"/>
    <s v="Report"/>
    <d v="2025-02-10T00:00:00"/>
    <x v="23"/>
    <n v="2"/>
    <d v="1899-12-30T01:10:00"/>
    <d v="1899-12-30T02:20:00"/>
    <d v="1899-12-30T09:55:25"/>
    <d v="1899-12-30T12:38:07"/>
    <x v="128"/>
    <d v="1899-12-30T12:49:18"/>
    <m/>
    <m/>
    <d v="1899-12-30T00:33:53"/>
    <m/>
    <n v="1.0867641442980904"/>
  </r>
  <r>
    <n v="138"/>
    <s v="Task"/>
    <d v="2025-02-10T00:00:00"/>
    <x v="14"/>
    <n v="27"/>
    <d v="1899-12-30T00:04:00"/>
    <d v="1899-12-30T01:48:00"/>
    <d v="1899-12-30T12:38:07"/>
    <d v="1899-12-30T15:30:37"/>
    <x v="129"/>
    <d v="1899-12-30T15:35:18"/>
    <m/>
    <m/>
    <d v="1899-12-30T01:09:11"/>
    <m/>
    <n v="1.0453919509229495"/>
  </r>
  <r>
    <n v="139"/>
    <s v="Task"/>
    <d v="2025-02-10T00:00:00"/>
    <x v="14"/>
    <n v="33"/>
    <d v="1899-12-30T00:04:00"/>
    <d v="1899-12-30T02:12:00"/>
    <d v="1899-12-30T15:30:37"/>
    <d v="1899-12-30T18:00:00"/>
    <x v="130"/>
    <d v="1899-12-30T18:09:11"/>
    <m/>
    <m/>
    <d v="1899-12-30T00:26:34"/>
    <m/>
    <n v="1.0747726964309938"/>
  </r>
  <r>
    <n v="140"/>
    <s v="Report"/>
    <d v="2025-02-10T00:00:00"/>
    <x v="20"/>
    <n v="1"/>
    <d v="1899-12-30T00:30:00"/>
    <d v="1899-12-30T00:30:00"/>
    <d v="1899-12-30T15:58:17"/>
    <d v="1899-12-30T16:24:51"/>
    <x v="131"/>
    <d v="1899-12-30T16:28:17"/>
    <m/>
    <m/>
    <m/>
    <s v="Very Invoice"/>
    <n v="1.1292346298619849"/>
  </r>
  <r>
    <n v="141"/>
    <s v="Report"/>
    <d v="2025-02-11T00:00:00"/>
    <x v="23"/>
    <n v="2"/>
    <d v="1899-12-30T01:10:00"/>
    <d v="1899-12-30T02:20:00"/>
    <d v="1899-12-30T09:05:46"/>
    <d v="1899-12-30T12:14:10"/>
    <x v="132"/>
    <d v="1899-12-30T12:05:53"/>
    <m/>
    <m/>
    <d v="1899-12-30T00:40:07"/>
    <m/>
    <n v="0.94413847364280179"/>
  </r>
  <r>
    <n v="142"/>
    <s v="Task"/>
    <d v="2025-02-11T00:00:00"/>
    <x v="14"/>
    <n v="23"/>
    <d v="1899-12-30T00:04:00"/>
    <d v="1899-12-30T01:32:00"/>
    <d v="1899-12-30T12:14:10"/>
    <d v="1899-12-30T14:23:09"/>
    <x v="133"/>
    <d v="1899-12-30T14:25:34"/>
    <m/>
    <m/>
    <d v="1899-12-30T00:39:24"/>
    <m/>
    <n v="1.0269767441860458"/>
  </r>
  <r>
    <n v="143"/>
    <s v="Task"/>
    <d v="2025-02-11T00:00:00"/>
    <x v="17"/>
    <n v="65"/>
    <d v="1899-12-30T00:03:00"/>
    <d v="1899-12-30T03:15:00"/>
    <d v="1899-12-30T14:23:09"/>
    <d v="1899-12-30T18:21:54"/>
    <x v="134"/>
    <d v="1899-12-30T18:40:26"/>
    <m/>
    <m/>
    <d v="1899-12-30T01:02:17"/>
    <m/>
    <n v="1.1049750889345142"/>
  </r>
  <r>
    <n v="144"/>
    <s v="Report"/>
    <d v="2025-02-13T00:00:00"/>
    <x v="1"/>
    <n v="1"/>
    <d v="1899-12-30T00:50:00"/>
    <d v="1899-12-30T00:50:00"/>
    <d v="1899-12-30T09:06:05"/>
    <d v="1899-12-30T09:51:49"/>
    <x v="135"/>
    <d v="1899-12-30T09:56:05"/>
    <m/>
    <m/>
    <m/>
    <m/>
    <n v="1.0932944606413992"/>
  </r>
  <r>
    <n v="145"/>
    <s v="Report"/>
    <d v="2025-02-13T00:00:00"/>
    <x v="0"/>
    <n v="1"/>
    <d v="1899-12-30T00:10:00"/>
    <d v="1899-12-30T00:10:00"/>
    <d v="1899-12-30T09:51:49"/>
    <d v="1899-12-30T10:01:03"/>
    <x v="136"/>
    <d v="1899-12-30T10:01:49"/>
    <m/>
    <m/>
    <m/>
    <m/>
    <n v="1.0830324909747318"/>
  </r>
  <r>
    <n v="146"/>
    <s v="Report"/>
    <d v="2025-02-13T00:00:00"/>
    <x v="23"/>
    <n v="2"/>
    <d v="1899-12-30T01:10:00"/>
    <d v="1899-12-30T02:20:00"/>
    <d v="1899-12-30T10:01:03"/>
    <d v="1899-12-30T12:31:50"/>
    <x v="137"/>
    <d v="1899-12-30T12:45:22"/>
    <m/>
    <m/>
    <d v="1899-12-30T00:24:19"/>
    <m/>
    <n v="1.1070110701106999"/>
  </r>
  <r>
    <n v="147"/>
    <s v="Task"/>
    <d v="2025-02-13T00:00:00"/>
    <x v="17"/>
    <n v="9"/>
    <d v="1899-12-30T00:03:00"/>
    <d v="1899-12-30T00:27:00"/>
    <d v="1899-12-30T10:58:50"/>
    <d v="1899-12-30T11:23:09"/>
    <x v="138"/>
    <d v="1899-12-30T11:25:50"/>
    <m/>
    <m/>
    <m/>
    <m/>
    <n v="1.1103495544893802"/>
  </r>
  <r>
    <n v="148"/>
    <s v="Task"/>
    <d v="2025-02-13T00:00:00"/>
    <x v="7"/>
    <n v="30"/>
    <d v="1899-12-30T00:08:00"/>
    <d v="1899-12-30T04:00:00"/>
    <d v="1899-12-30T12:31:50"/>
    <d v="1899-12-30T18:11:36"/>
    <x v="139"/>
    <d v="1899-12-30T18:19:18"/>
    <m/>
    <m/>
    <d v="1899-12-30T01:47:28"/>
    <m/>
    <n v="1.0331777037367162"/>
  </r>
  <r>
    <n v="149"/>
    <s v="Report"/>
    <d v="2025-02-14T00:00:00"/>
    <x v="23"/>
    <n v="2"/>
    <d v="1899-12-30T01:10:00"/>
    <d v="1899-12-30T02:20:00"/>
    <d v="1899-12-30T09:25:50"/>
    <d v="1899-12-30T11:57:07"/>
    <x v="140"/>
    <d v="1899-12-30T12:06:54"/>
    <m/>
    <m/>
    <d v="1899-12-30T00:21:04"/>
    <m/>
    <n v="1.0751311916037385"/>
  </r>
  <r>
    <n v="150"/>
    <s v="Task"/>
    <d v="2025-02-14T00:00:00"/>
    <x v="24"/>
    <n v="68"/>
    <d v="1899-12-30T00:04:00"/>
    <d v="1899-12-30T04:32:00"/>
    <d v="1899-12-30T11:57:07"/>
    <d v="1899-12-30T18:31:24"/>
    <x v="141"/>
    <d v="1899-12-30T18:38:57"/>
    <m/>
    <m/>
    <d v="1899-12-30T02:09:50"/>
    <m/>
    <n v="1.0285362724985427"/>
  </r>
  <r>
    <n v="151"/>
    <s v="Task"/>
    <d v="2025-02-14T00:00:00"/>
    <x v="25"/>
    <n v="36"/>
    <d v="1899-12-30T00:01:00"/>
    <d v="1899-12-30T00:36:00"/>
    <d v="1899-12-30T13:08:32"/>
    <d v="1899-12-30T14:02:54"/>
    <x v="142"/>
    <d v="1899-12-30T14:03:22"/>
    <m/>
    <m/>
    <d v="1899-12-30T00:18:50"/>
    <m/>
    <n v="1.0131332082551603"/>
  </r>
  <r>
    <n v="152"/>
    <s v="Task"/>
    <d v="2025-02-14T00:00:00"/>
    <x v="7"/>
    <n v="1"/>
    <d v="1899-12-30T00:08:00"/>
    <d v="1899-12-30T00:08:00"/>
    <d v="1899-12-30T12:10:46"/>
    <d v="1899-12-30T12:18:04"/>
    <x v="143"/>
    <d v="1899-12-30T12:18:46"/>
    <m/>
    <m/>
    <m/>
    <m/>
    <n v="1.0958904109589009"/>
  </r>
  <r>
    <n v="153"/>
    <s v="Report"/>
    <d v="2025-02-17T00:00:00"/>
    <x v="1"/>
    <n v="1"/>
    <d v="1899-12-30T00:50:00"/>
    <d v="1899-12-30T00:50:00"/>
    <d v="1899-12-30T09:17:41"/>
    <d v="1899-12-30T10:03:43"/>
    <x v="144"/>
    <d v="1899-12-30T10:07:41"/>
    <m/>
    <m/>
    <m/>
    <m/>
    <n v="1.0861694424330222"/>
  </r>
  <r>
    <n v="154"/>
    <s v="Task"/>
    <d v="2025-02-17T00:00:00"/>
    <x v="7"/>
    <n v="7"/>
    <d v="1899-12-30T00:08:00"/>
    <d v="1899-12-30T00:56:00"/>
    <d v="1899-12-30T10:03:43"/>
    <d v="1899-12-30T11:03:05"/>
    <x v="145"/>
    <d v="1899-12-30T11:08:56"/>
    <m/>
    <m/>
    <d v="1899-12-30T00:09:13"/>
    <m/>
    <n v="1.1166500498504486"/>
  </r>
  <r>
    <n v="155"/>
    <s v="Report"/>
    <d v="2025-02-17T00:00:00"/>
    <x v="0"/>
    <n v="1"/>
    <d v="1899-12-30T00:10:00"/>
    <d v="1899-12-30T00:10:00"/>
    <d v="1899-12-30T10:17:14"/>
    <d v="1899-12-30T10:26:27"/>
    <x v="74"/>
    <d v="1899-12-30T10:27:14"/>
    <m/>
    <m/>
    <m/>
    <m/>
    <n v="1.084990958408667"/>
  </r>
  <r>
    <n v="156"/>
    <s v="Task"/>
    <d v="2025-02-17T00:00:00"/>
    <x v="4"/>
    <n v="26"/>
    <d v="1899-12-30T00:05:00"/>
    <d v="1899-12-30T02:10:00"/>
    <d v="1899-12-30T11:03:47"/>
    <d v="1899-12-30T13:46:59"/>
    <x v="146"/>
    <d v="1899-12-30T13:54:52"/>
    <m/>
    <m/>
    <d v="1899-12-30T00:41:05"/>
    <s v="TJX Sales Order"/>
    <n v="1.0645557526955103"/>
  </r>
  <r>
    <n v="157"/>
    <s v="Report"/>
    <d v="2025-02-17T00:00:00"/>
    <x v="23"/>
    <n v="2"/>
    <d v="1899-12-30T01:10:00"/>
    <d v="1899-12-30T02:20:00"/>
    <d v="1899-12-30T13:46:59"/>
    <d v="1899-12-30T16:43:04"/>
    <x v="147"/>
    <d v="1899-12-30T16:53:39"/>
    <m/>
    <m/>
    <d v="1899-12-30T00:46:40"/>
    <m/>
    <n v="1.0817772054088854"/>
  </r>
  <r>
    <n v="158"/>
    <s v="Task"/>
    <d v="2025-02-17T00:00:00"/>
    <x v="7"/>
    <n v="14"/>
    <d v="1899-12-30T00:08:00"/>
    <d v="1899-12-30T01:52:00"/>
    <d v="1899-12-30T16:43:04"/>
    <d v="1899-12-30T18:25:00"/>
    <x v="148"/>
    <d v="1899-12-30T18:35:04"/>
    <m/>
    <m/>
    <m/>
    <m/>
    <n v="1.0987573577501635"/>
  </r>
  <r>
    <n v="159"/>
    <s v="Report"/>
    <d v="2025-02-18T00:00:00"/>
    <x v="2"/>
    <n v="1"/>
    <d v="1899-12-30T01:10:00"/>
    <d v="1899-12-30T01:10:00"/>
    <d v="1899-12-30T09:02:03"/>
    <d v="1899-12-30T10:39:11"/>
    <x v="149"/>
    <d v="1899-12-30T10:42:57"/>
    <m/>
    <m/>
    <d v="1899-12-30T00:30:54"/>
    <m/>
    <n v="1.0568696527428276"/>
  </r>
  <r>
    <n v="160"/>
    <s v="Task"/>
    <d v="2025-02-18T00:00:00"/>
    <x v="4"/>
    <n v="15"/>
    <d v="1899-12-30T00:05:00"/>
    <d v="1899-12-30T01:15:00"/>
    <d v="1899-12-30T10:39:11"/>
    <d v="1899-12-30T11:46:35"/>
    <x v="150"/>
    <d v="1899-12-30T11:54:11"/>
    <m/>
    <m/>
    <m/>
    <m/>
    <n v="1.1127596439169141"/>
  </r>
  <r>
    <n v="161"/>
    <s v="Task"/>
    <d v="2025-02-18T00:00:00"/>
    <x v="5"/>
    <n v="10"/>
    <d v="1899-12-30T00:02:00"/>
    <d v="1899-12-30T00:20:00"/>
    <d v="1899-12-30T11:46:35"/>
    <d v="1899-12-30T12:05:58"/>
    <x v="151"/>
    <d v="1899-12-30T12:06:35"/>
    <m/>
    <m/>
    <m/>
    <s v="Wholesale Enrichement"/>
    <n v="1.0318142734307887"/>
  </r>
  <r>
    <n v="162"/>
    <s v="Report"/>
    <d v="2025-02-18T00:00:00"/>
    <x v="20"/>
    <n v="1"/>
    <d v="1899-12-30T00:30:00"/>
    <d v="1899-12-30T00:30:00"/>
    <d v="1899-12-30T12:05:58"/>
    <d v="1899-12-30T12:33:11"/>
    <x v="152"/>
    <d v="1899-12-30T12:35:58"/>
    <m/>
    <m/>
    <m/>
    <m/>
    <n v="1.1022657685241868"/>
  </r>
  <r>
    <n v="163"/>
    <s v="Task"/>
    <d v="2025-02-18T00:00:00"/>
    <x v="7"/>
    <n v="32"/>
    <d v="1899-12-30T00:08:00"/>
    <d v="1899-12-30T04:16:00"/>
    <d v="1899-12-30T12:33:11"/>
    <d v="1899-12-30T18:09:10"/>
    <x v="153"/>
    <d v="1899-12-30T18:11:31"/>
    <m/>
    <m/>
    <d v="1899-12-30T01:22:20"/>
    <m/>
    <n v="1.0092669232834683"/>
  </r>
  <r>
    <n v="164"/>
    <s v="Report"/>
    <d v="2025-02-19T00:00:00"/>
    <x v="2"/>
    <n v="1"/>
    <d v="1899-12-30T01:10:00"/>
    <d v="1899-12-30T01:10:00"/>
    <d v="1899-12-30T08:55:29"/>
    <d v="1899-12-30T10:01:31"/>
    <x v="154"/>
    <d v="1899-12-30T10:05:29"/>
    <m/>
    <m/>
    <m/>
    <m/>
    <n v="1.0600706713780896"/>
  </r>
  <r>
    <n v="165"/>
    <s v="Report"/>
    <d v="2025-02-19T00:00:00"/>
    <x v="0"/>
    <n v="1"/>
    <d v="1899-12-30T00:10:00"/>
    <d v="1899-12-30T00:10:00"/>
    <d v="1899-12-30T10:01:31"/>
    <d v="1899-12-30T10:10:46"/>
    <x v="0"/>
    <d v="1899-12-30T10:11:31"/>
    <m/>
    <m/>
    <m/>
    <m/>
    <n v="1.0810810810810989"/>
  </r>
  <r>
    <n v="166"/>
    <s v="Report"/>
    <d v="2025-02-19T00:00:00"/>
    <x v="1"/>
    <n v="1"/>
    <d v="1899-12-30T00:50:00"/>
    <d v="1899-12-30T00:50:00"/>
    <d v="1899-12-30T10:10:46"/>
    <d v="1899-12-30T10:55:57"/>
    <x v="155"/>
    <d v="1899-12-30T11:00:46"/>
    <m/>
    <m/>
    <m/>
    <m/>
    <n v="1.1066027296200645"/>
  </r>
  <r>
    <n v="167"/>
    <s v="Task"/>
    <d v="2025-02-19T00:00:00"/>
    <x v="24"/>
    <n v="2"/>
    <d v="1899-12-30T00:04:00"/>
    <d v="1899-12-30T00:08:00"/>
    <d v="1899-12-30T10:55:57"/>
    <d v="1899-12-30T11:03:23"/>
    <x v="156"/>
    <d v="1899-12-30T11:03:57"/>
    <m/>
    <m/>
    <m/>
    <m/>
    <n v="1.0762331838565116"/>
  </r>
  <r>
    <n v="168"/>
    <s v="Task"/>
    <d v="2025-02-19T00:00:00"/>
    <x v="7"/>
    <n v="3"/>
    <d v="1899-12-30T00:08:00"/>
    <d v="1899-12-30T00:24:00"/>
    <d v="1899-12-30T11:03:23"/>
    <d v="1899-12-30T11:25:25"/>
    <x v="157"/>
    <d v="1899-12-30T11:27:23"/>
    <m/>
    <m/>
    <m/>
    <m/>
    <n v="1.0892586989409994"/>
  </r>
  <r>
    <n v="169"/>
    <s v="Task"/>
    <d v="2025-02-19T00:00:00"/>
    <x v="25"/>
    <n v="48"/>
    <d v="1899-12-30T00:01:00"/>
    <d v="1899-12-30T00:48:00"/>
    <d v="1899-12-30T11:25:25"/>
    <d v="1899-12-30T12:10:49"/>
    <x v="87"/>
    <d v="1899-12-30T12:13:25"/>
    <m/>
    <m/>
    <m/>
    <m/>
    <n v="1.0572687224669588"/>
  </r>
  <r>
    <n v="170"/>
    <s v="Task"/>
    <d v="2025-02-19T00:00:00"/>
    <x v="14"/>
    <n v="8"/>
    <d v="1899-12-30T00:04:00"/>
    <d v="1899-12-30T00:32:00"/>
    <d v="1899-12-30T13:19:00"/>
    <d v="1899-12-30T13:57:33"/>
    <x v="158"/>
    <d v="1899-12-30T13:58:17"/>
    <m/>
    <m/>
    <d v="1899-12-30T00:07:17"/>
    <m/>
    <n v="1.0234541577825178"/>
  </r>
  <r>
    <n v="171"/>
    <s v="Task"/>
    <d v="2025-02-19T00:00:00"/>
    <x v="7"/>
    <n v="5"/>
    <d v="1899-12-30T00:08:00"/>
    <d v="1899-12-30T00:40:00"/>
    <d v="1899-12-30T16:31:19"/>
    <d v="1899-12-30T17:08:10"/>
    <x v="159"/>
    <d v="1899-12-30T17:11:19"/>
    <m/>
    <m/>
    <m/>
    <m/>
    <n v="1.0854816824966078"/>
  </r>
  <r>
    <n v="172"/>
    <s v="Report"/>
    <d v="2025-02-20T00:00:00"/>
    <x v="2"/>
    <n v="1"/>
    <d v="1899-12-30T01:10:00"/>
    <d v="1899-12-30T01:10:00"/>
    <d v="1899-12-30T09:01:25"/>
    <d v="1899-12-30T10:13:08"/>
    <x v="160"/>
    <d v="1899-12-30T10:18:57"/>
    <m/>
    <m/>
    <d v="1899-12-30T00:07:32"/>
    <m/>
    <n v="1.0906258114775389"/>
  </r>
  <r>
    <n v="173"/>
    <s v="Task"/>
    <d v="2025-02-20T00:00:00"/>
    <x v="7"/>
    <n v="8"/>
    <d v="1899-12-30T00:08:00"/>
    <d v="1899-12-30T01:04:00"/>
    <d v="1899-12-30T10:13:08"/>
    <d v="1899-12-30T11:13:09"/>
    <x v="161"/>
    <d v="1899-12-30T11:17:08"/>
    <m/>
    <m/>
    <m/>
    <m/>
    <n v="1.0663704526520401"/>
  </r>
  <r>
    <n v="174"/>
    <s v="Task"/>
    <d v="2025-02-20T00:00:00"/>
    <x v="18"/>
    <n v="16"/>
    <d v="1899-12-30T00:02:00"/>
    <d v="1899-12-30T00:32:00"/>
    <d v="1899-12-30T11:13:09"/>
    <d v="1899-12-30T11:54:56"/>
    <x v="162"/>
    <d v="1899-12-30T11:56:33"/>
    <m/>
    <m/>
    <d v="1899-12-30T00:11:24"/>
    <s v="OGM issues"/>
    <n v="1.0532089961601774"/>
  </r>
  <r>
    <n v="175"/>
    <s v="Task"/>
    <d v="2025-02-20T00:00:00"/>
    <x v="24"/>
    <n v="13"/>
    <d v="1899-12-30T00:04:00"/>
    <d v="1899-12-30T00:52:00"/>
    <d v="1899-12-30T11:54:56"/>
    <d v="1899-12-30T12:43:27"/>
    <x v="163"/>
    <d v="1899-12-30T12:46:56"/>
    <m/>
    <m/>
    <m/>
    <m/>
    <n v="1.0717966334592903"/>
  </r>
  <r>
    <n v="176"/>
    <s v="Task"/>
    <d v="2025-02-20T00:00:00"/>
    <x v="25"/>
    <n v="20"/>
    <d v="1899-12-30T00:01:00"/>
    <d v="1899-12-30T00:20:00"/>
    <d v="1899-12-30T12:43:27"/>
    <d v="1899-12-30T13:38:14"/>
    <x v="164"/>
    <d v="1899-12-30T13:40:00"/>
    <m/>
    <m/>
    <d v="1899-12-30T00:36:33"/>
    <m/>
    <n v="1.096892138939672"/>
  </r>
  <r>
    <n v="177"/>
    <s v="Task"/>
    <d v="2025-02-20T00:00:00"/>
    <x v="7"/>
    <n v="16"/>
    <d v="1899-12-30T00:08:00"/>
    <d v="1899-12-30T02:08:00"/>
    <d v="1899-12-30T13:38:14"/>
    <d v="1899-12-30T16:22:49"/>
    <x v="165"/>
    <d v="1899-12-30T16:31:25"/>
    <m/>
    <m/>
    <d v="1899-12-30T00:45:11"/>
    <m/>
    <n v="1.0720268006700178"/>
  </r>
  <r>
    <n v="178"/>
    <s v="Report"/>
    <d v="2025-02-21T00:00:00"/>
    <x v="2"/>
    <n v="1"/>
    <d v="1899-12-30T01:10:00"/>
    <d v="1899-12-30T01:10:00"/>
    <d v="1899-12-30T08:04:33"/>
    <d v="1899-12-30T09:42:25"/>
    <x v="166"/>
    <d v="1899-12-30T09:48:05"/>
    <m/>
    <m/>
    <d v="1899-12-30T00:33:32"/>
    <m/>
    <n v="1.0880829015544058"/>
  </r>
  <r>
    <n v="179"/>
    <s v="Task"/>
    <d v="2025-02-21T00:00:00"/>
    <x v="17"/>
    <n v="2"/>
    <d v="1899-12-30T00:03:00"/>
    <d v="1899-12-30T00:06:00"/>
    <d v="1899-12-30T09:42:25"/>
    <d v="1899-12-30T09:47:47"/>
    <x v="167"/>
    <d v="1899-12-30T09:48:25"/>
    <m/>
    <m/>
    <m/>
    <s v="Getting Color details from SQL."/>
    <n v="1.1180124223602512"/>
  </r>
  <r>
    <n v="180"/>
    <s v="Task"/>
    <d v="2025-02-21T00:00:00"/>
    <x v="7"/>
    <n v="27"/>
    <d v="1899-12-30T00:08:00"/>
    <d v="1899-12-30T03:36:00"/>
    <d v="1899-12-30T09:47:47"/>
    <d v="1899-12-30T13:20:22"/>
    <x v="168"/>
    <d v="1899-12-30T13:37:37"/>
    <m/>
    <m/>
    <d v="1899-12-30T00:13:50"/>
    <m/>
    <n v="1.0867924528301887"/>
  </r>
  <r>
    <n v="181"/>
    <s v="Task"/>
    <d v="2025-02-21T00:00:00"/>
    <x v="7"/>
    <n v="25"/>
    <d v="1899-12-30T00:08:00"/>
    <d v="1899-12-30T03:20:00"/>
    <d v="1899-12-30T13:20:22"/>
    <d v="1899-12-30T17:15:00"/>
    <x v="169"/>
    <d v="1899-12-30T17:29:03"/>
    <m/>
    <m/>
    <d v="1899-12-30T00:48:41"/>
    <m/>
    <n v="1.0755579456843241"/>
  </r>
  <r>
    <n v="182"/>
    <s v="Report"/>
    <d v="2025-02-24T00:00:00"/>
    <x v="9"/>
    <n v="2"/>
    <d v="1899-12-30T00:15:00"/>
    <d v="1899-12-30T00:30:00"/>
    <d v="1899-12-30T06:56:26"/>
    <d v="1899-12-30T07:24:16"/>
    <x v="170"/>
    <d v="1899-12-30T07:26:26"/>
    <m/>
    <m/>
    <m/>
    <m/>
    <n v="1.0778443113772482"/>
  </r>
  <r>
    <n v="183"/>
    <s v="Report"/>
    <d v="2025-02-24T00:00:00"/>
    <x v="10"/>
    <n v="2"/>
    <d v="1899-12-30T00:15:00"/>
    <d v="1899-12-30T00:30:00"/>
    <d v="1899-12-30T07:24:16"/>
    <d v="1899-12-30T07:51:43"/>
    <x v="171"/>
    <d v="1899-12-30T07:54:16"/>
    <m/>
    <m/>
    <m/>
    <m/>
    <n v="1.092896174863389"/>
  </r>
  <r>
    <n v="184"/>
    <s v="Report"/>
    <d v="2025-02-24T00:00:00"/>
    <x v="11"/>
    <n v="2"/>
    <d v="1899-12-30T00:15:00"/>
    <d v="1899-12-30T00:30:00"/>
    <d v="1899-12-30T07:51:43"/>
    <d v="1899-12-30T08:17:42"/>
    <x v="172"/>
    <d v="1899-12-30T08:21:43"/>
    <m/>
    <m/>
    <m/>
    <m/>
    <n v="1.1545862732520793"/>
  </r>
  <r>
    <n v="185"/>
    <s v="Report"/>
    <d v="2025-02-24T00:00:00"/>
    <x v="12"/>
    <n v="2"/>
    <d v="1899-12-30T00:15:00"/>
    <d v="1899-12-30T00:30:00"/>
    <d v="1899-12-30T08:17:42"/>
    <d v="1899-12-30T08:45:02"/>
    <x v="173"/>
    <d v="1899-12-30T08:47:42"/>
    <m/>
    <m/>
    <m/>
    <m/>
    <n v="1.0975609756097557"/>
  </r>
  <r>
    <n v="186"/>
    <s v="Report"/>
    <d v="2025-02-24T00:00:00"/>
    <x v="23"/>
    <n v="2"/>
    <d v="1899-12-30T01:10:00"/>
    <d v="1899-12-30T02:20:00"/>
    <d v="1899-12-30T08:45:02"/>
    <d v="1899-12-30T11:24:52"/>
    <x v="174"/>
    <d v="1899-12-30T11:31:55"/>
    <m/>
    <m/>
    <d v="1899-12-30T00:26:53"/>
    <m/>
    <n v="1.0530274539300495"/>
  </r>
  <r>
    <n v="187"/>
    <s v="Report"/>
    <d v="2025-02-24T00:00:00"/>
    <x v="0"/>
    <n v="1"/>
    <d v="1899-12-30T00:10:00"/>
    <d v="1899-12-30T00:10:00"/>
    <d v="1899-12-30T11:24:52"/>
    <d v="1899-12-30T11:34:17"/>
    <x v="175"/>
    <d v="1899-12-30T11:34:52"/>
    <m/>
    <m/>
    <m/>
    <m/>
    <n v="1.0619469026548696"/>
  </r>
  <r>
    <n v="188"/>
    <s v="Report"/>
    <d v="2025-02-24T00:00:00"/>
    <x v="1"/>
    <n v="1"/>
    <d v="1899-12-30T00:50:00"/>
    <d v="1899-12-30T00:50:00"/>
    <d v="1899-12-30T11:34:17"/>
    <d v="1899-12-30T12:24:48"/>
    <x v="176"/>
    <d v="1899-12-30T12:24:17"/>
    <m/>
    <m/>
    <m/>
    <m/>
    <n v="0.98977235235895733"/>
  </r>
  <r>
    <n v="189"/>
    <s v="Task"/>
    <d v="2025-02-24T00:00:00"/>
    <x v="21"/>
    <n v="11"/>
    <d v="1899-12-30T00:02:00"/>
    <d v="1899-12-30T00:22:00"/>
    <d v="1899-12-30T12:24:48"/>
    <d v="1899-12-30T12:55:42"/>
    <x v="177"/>
    <d v="1899-12-30T12:56:54"/>
    <m/>
    <m/>
    <d v="1899-12-30T00:10:06"/>
    <m/>
    <n v="1.0576923076923062"/>
  </r>
  <r>
    <n v="190"/>
    <s v="Task"/>
    <d v="2025-02-24T00:00:00"/>
    <x v="7"/>
    <n v="12"/>
    <d v="1899-12-30T00:08:00"/>
    <d v="1899-12-30T01:36:00"/>
    <d v="1899-12-30T12:55:42"/>
    <d v="1899-12-30T14:45:20"/>
    <x v="178"/>
    <d v="1899-12-30T14:47:21"/>
    <m/>
    <m/>
    <d v="1899-12-30T00:15:39"/>
    <m/>
    <n v="1.0214577052668923"/>
  </r>
  <r>
    <n v="191"/>
    <s v="Task"/>
    <d v="2025-02-24T00:00:00"/>
    <x v="7"/>
    <n v="8"/>
    <d v="1899-12-30T00:08:00"/>
    <d v="1899-12-30T01:04:00"/>
    <d v="1899-12-30T14:45:20"/>
    <d v="1899-12-30T16:09:52"/>
    <x v="179"/>
    <d v="1899-12-30T16:17:50"/>
    <m/>
    <m/>
    <d v="1899-12-30T00:28:30"/>
    <m/>
    <n v="1.1421225813884055"/>
  </r>
  <r>
    <n v="192"/>
    <s v="Task"/>
    <d v="2025-02-25T00:00:00"/>
    <x v="7"/>
    <n v="23"/>
    <d v="1899-12-30T00:08:00"/>
    <d v="1899-12-30T03:04:00"/>
    <d v="1899-12-30T09:03:33"/>
    <d v="1899-12-30T12:29:23"/>
    <x v="180"/>
    <d v="1899-12-30T12:43:48"/>
    <m/>
    <m/>
    <d v="1899-12-30T00:36:15"/>
    <m/>
    <n v="1.0850122850122854"/>
  </r>
  <r>
    <n v="193"/>
    <s v="Report"/>
    <d v="2025-02-25T00:00:00"/>
    <x v="2"/>
    <n v="2"/>
    <d v="1899-12-30T01:10:00"/>
    <d v="1899-12-30T02:20:00"/>
    <d v="1899-12-30T12:29:23"/>
    <d v="1899-12-30T15:34:07"/>
    <x v="181"/>
    <d v="1899-12-30T15:46:52"/>
    <m/>
    <m/>
    <d v="1899-12-30T00:57:29"/>
    <m/>
    <n v="1.1001964636542241"/>
  </r>
  <r>
    <n v="194"/>
    <s v="Task"/>
    <d v="2025-02-25T00:00:00"/>
    <x v="25"/>
    <n v="19"/>
    <d v="1899-12-30T00:01:00"/>
    <d v="1899-12-30T00:19:00"/>
    <d v="1899-12-30T15:34:07"/>
    <d v="1899-12-30T15:51:38"/>
    <x v="182"/>
    <d v="1899-12-30T15:53:07"/>
    <m/>
    <m/>
    <m/>
    <m/>
    <n v="1.0846812559467194"/>
  </r>
  <r>
    <n v="195"/>
    <s v="Task"/>
    <d v="2025-02-25T00:00:00"/>
    <x v="24"/>
    <n v="10"/>
    <d v="1899-12-30T00:04:00"/>
    <d v="1899-12-30T00:40:00"/>
    <d v="1899-12-30T15:51:38"/>
    <d v="1899-12-30T16:29:17"/>
    <x v="183"/>
    <d v="1899-12-30T16:31:38"/>
    <m/>
    <m/>
    <m/>
    <m/>
    <n v="1.0624169986719796"/>
  </r>
  <r>
    <n v="196"/>
    <s v="Task"/>
    <d v="2025-02-25T00:00:00"/>
    <x v="21"/>
    <n v="55"/>
    <d v="1899-12-30T00:02:00"/>
    <d v="1899-12-30T01:50:00"/>
    <d v="1899-12-30T16:29:17"/>
    <d v="1899-12-30T18:15:00"/>
    <x v="184"/>
    <d v="1899-12-30T18:19:17"/>
    <m/>
    <m/>
    <m/>
    <m/>
    <n v="1.0405171054705975"/>
  </r>
  <r>
    <n v="197"/>
    <s v="Report"/>
    <d v="2025-02-26T00:00:00"/>
    <x v="2"/>
    <n v="2"/>
    <d v="1899-12-30T01:10:00"/>
    <d v="1899-12-30T02:20:00"/>
    <d v="1899-12-30T09:11:08"/>
    <d v="1899-12-30T11:40:19"/>
    <x v="185"/>
    <d v="1899-12-30T11:53:17"/>
    <m/>
    <m/>
    <d v="1899-12-30T00:22:09"/>
    <m/>
    <n v="1.1020729467331414"/>
  </r>
  <r>
    <n v="198"/>
    <s v="Task"/>
    <d v="2025-02-26T00:00:00"/>
    <x v="21"/>
    <n v="122"/>
    <d v="1899-12-30T00:02:00"/>
    <d v="1899-12-30T04:04:00"/>
    <d v="1899-12-30T11:40:19"/>
    <d v="1899-12-30T16:59:11"/>
    <x v="186"/>
    <d v="1899-12-30T17:15:21"/>
    <m/>
    <m/>
    <d v="1899-12-30T01:31:02"/>
    <m/>
    <n v="1.0709583028529626"/>
  </r>
  <r>
    <n v="199"/>
    <s v="Task"/>
    <d v="2025-02-26T00:00:00"/>
    <x v="21"/>
    <n v="40"/>
    <d v="1899-12-30T00:02:00"/>
    <d v="1899-12-30T01:20:00"/>
    <d v="1899-12-30T16:59:11"/>
    <d v="1899-12-30T18:15:00"/>
    <x v="187"/>
    <d v="1899-12-30T18:19:11"/>
    <m/>
    <m/>
    <m/>
    <m/>
    <n v="1.0551769619696643"/>
  </r>
  <r>
    <n v="200"/>
    <s v="Report"/>
    <d v="2025-02-27T00:00:00"/>
    <x v="2"/>
    <n v="1"/>
    <d v="1899-12-30T01:10:00"/>
    <d v="1899-12-30T01:10:00"/>
    <d v="1899-12-30T09:06:37"/>
    <d v="1899-12-30T10:08:35"/>
    <x v="188"/>
    <d v="1899-12-30T10:16:37"/>
    <m/>
    <m/>
    <m/>
    <m/>
    <n v="1.1296395911780519"/>
  </r>
  <r>
    <n v="201"/>
    <s v="Report"/>
    <d v="2025-02-27T00:00:00"/>
    <x v="0"/>
    <n v="1"/>
    <d v="1899-12-30T00:10:00"/>
    <d v="1899-12-30T00:10:00"/>
    <d v="1899-12-30T10:08:35"/>
    <d v="1899-12-30T10:17:30"/>
    <x v="189"/>
    <d v="1899-12-30T10:18:35"/>
    <m/>
    <m/>
    <m/>
    <m/>
    <n v="1.1214953271027959"/>
  </r>
  <r>
    <n v="202"/>
    <s v="Report"/>
    <d v="2025-02-27T00:00:00"/>
    <x v="1"/>
    <n v="1"/>
    <d v="1899-12-30T00:50:00"/>
    <d v="1899-12-30T00:50:00"/>
    <d v="1899-12-30T10:17:30"/>
    <d v="1899-12-30T11:02:33"/>
    <x v="190"/>
    <d v="1899-12-30T11:07:30"/>
    <m/>
    <m/>
    <m/>
    <m/>
    <n v="1.1098779134295227"/>
  </r>
  <r>
    <n v="203"/>
    <s v="Task"/>
    <d v="2025-02-27T00:00:00"/>
    <x v="17"/>
    <n v="23"/>
    <d v="1899-12-30T00:03:00"/>
    <d v="1899-12-30T01:09:00"/>
    <d v="1899-12-30T11:02:33"/>
    <d v="1899-12-30T12:06:08"/>
    <x v="191"/>
    <d v="1899-12-30T12:11:33"/>
    <m/>
    <m/>
    <m/>
    <m/>
    <n v="1.085190039318481"/>
  </r>
  <r>
    <n v="204"/>
    <s v="Task"/>
    <d v="2025-02-27T00:00:00"/>
    <x v="24"/>
    <n v="51"/>
    <d v="1899-12-30T00:04:00"/>
    <d v="1899-12-30T03:24:00"/>
    <d v="1899-12-30T12:06:08"/>
    <d v="1899-12-30T18:10:00"/>
    <x v="192"/>
    <d v="1899-12-30T18:00:32"/>
    <m/>
    <m/>
    <d v="1899-12-30T02:30:24"/>
    <m/>
    <n v="0.95565271705184296"/>
  </r>
  <r>
    <n v="205"/>
    <s v="Report"/>
    <d v="2025-02-28T00:00:00"/>
    <x v="2"/>
    <n v="1"/>
    <d v="1899-12-30T01:10:00"/>
    <d v="1899-12-30T01:10:00"/>
    <d v="1899-12-30T09:15:10"/>
    <d v="1899-12-30T10:27:40"/>
    <x v="193"/>
    <d v="1899-12-30T10:35:19"/>
    <m/>
    <m/>
    <d v="1899-12-30T00:10:09"/>
    <m/>
    <n v="1.1226944667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BD220-9C6F-4AEF-902D-C9ED945813AA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0" firstHeaderRow="0" firstDataRow="1" firstDataCol="1"/>
  <pivotFields count="18">
    <pivotField showAll="0"/>
    <pivotField showAll="0"/>
    <pivotField numFmtId="14" showAll="0"/>
    <pivotField axis="axisRow" showAll="0">
      <items count="27">
        <item x="5"/>
        <item x="24"/>
        <item x="25"/>
        <item x="8"/>
        <item x="4"/>
        <item x="14"/>
        <item x="11"/>
        <item x="10"/>
        <item x="12"/>
        <item x="9"/>
        <item x="16"/>
        <item x="22"/>
        <item x="2"/>
        <item x="7"/>
        <item x="23"/>
        <item x="20"/>
        <item x="19"/>
        <item x="6"/>
        <item x="21"/>
        <item x="17"/>
        <item x="3"/>
        <item x="0"/>
        <item x="13"/>
        <item x="15"/>
        <item x="1"/>
        <item x="18"/>
        <item t="default"/>
      </items>
    </pivotField>
    <pivotField dataField="1" showAll="0"/>
    <pivotField numFmtId="21" showAll="0"/>
    <pivotField numFmtId="46" showAll="0"/>
    <pivotField numFmtId="21" showAll="0"/>
    <pivotField numFmtId="21" showAll="0"/>
    <pivotField dataField="1" numFmtId="2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1" showAll="0"/>
    <pivotField showAll="0"/>
    <pivotField showAll="0"/>
    <pivotField showAll="0"/>
    <pivotField showAll="0"/>
    <pivotField dataField="1" numFmtId="10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/>
    <dataField name="Sum of Actual Time taken" fld="9" baseField="3" baseItem="0" numFmtId="46"/>
    <dataField name="Average of Productivity" fld="15" subtotal="average" baseField="3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H100">
  <tableColumns count="8">
    <tableColumn id="1" xr3:uid="{00000000-0010-0000-0300-000001000000}" name="No"/>
    <tableColumn id="2" xr3:uid="{00000000-0010-0000-0300-000002000000}" name="ReportTaskName"/>
    <tableColumn id="3" xr3:uid="{00000000-0010-0000-0300-000003000000}" name="DeadlineDay"/>
    <tableColumn id="4" xr3:uid="{00000000-0010-0000-0300-000004000000}" name="Frequency"/>
    <tableColumn id="5" xr3:uid="{00000000-0010-0000-0300-000005000000}" name="WorkType"/>
    <tableColumn id="6" xr3:uid="{00000000-0010-0000-0300-000006000000}" name="Deadline"/>
    <tableColumn id="7" xr3:uid="{00000000-0010-0000-0300-000007000000}" name="Task_RE"/>
    <tableColumn id="8" xr3:uid="{00000000-0010-0000-0300-000008000000}" name="RE_Sec"/>
  </tableColumns>
  <tableStyleInfo name="Tas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3"/>
  <sheetViews>
    <sheetView workbookViewId="0">
      <pane ySplit="4" topLeftCell="A64" activePane="bottomLeft" state="frozen"/>
      <selection pane="bottomLeft" activeCell="F69" sqref="F2:G69"/>
    </sheetView>
  </sheetViews>
  <sheetFormatPr defaultColWidth="12.6328125" defaultRowHeight="15.75" customHeight="1"/>
  <cols>
    <col min="1" max="1" width="10.453125" bestFit="1" customWidth="1"/>
    <col min="2" max="2" width="30.453125" bestFit="1" customWidth="1"/>
    <col min="3" max="3" width="9.81640625" customWidth="1"/>
    <col min="4" max="4" width="7.453125" bestFit="1" customWidth="1"/>
    <col min="5" max="5" width="10.54296875" customWidth="1"/>
    <col min="6" max="6" width="10.90625" customWidth="1"/>
    <col min="7" max="7" width="12.453125" bestFit="1" customWidth="1"/>
    <col min="8" max="8" width="11.26953125" customWidth="1"/>
    <col min="9" max="9" width="10.54296875" customWidth="1"/>
    <col min="10" max="10" width="5.26953125" customWidth="1"/>
    <col min="11" max="11" width="5.453125" customWidth="1"/>
    <col min="12" max="12" width="11.81640625" customWidth="1"/>
    <col min="13" max="13" width="2.7265625" customWidth="1"/>
    <col min="14" max="14" width="11.6328125" customWidth="1"/>
    <col min="15" max="15" width="8" bestFit="1" customWidth="1"/>
    <col min="16" max="16" width="28" bestFit="1" customWidth="1"/>
    <col min="17" max="17" width="12.81640625" bestFit="1" customWidth="1"/>
    <col min="18" max="18" width="9.6328125" bestFit="1" customWidth="1"/>
    <col min="19" max="19" width="14.08984375" bestFit="1" customWidth="1"/>
    <col min="20" max="20" width="16.36328125" bestFit="1" customWidth="1"/>
    <col min="21" max="21" width="7.90625" bestFit="1" customWidth="1"/>
    <col min="23" max="23" width="14.81640625" bestFit="1" customWidth="1"/>
  </cols>
  <sheetData>
    <row r="1" spans="1:2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0.1875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2" ht="15.75" customHeight="1">
      <c r="A2" s="6">
        <v>45810</v>
      </c>
      <c r="B2" s="7" t="s">
        <v>16</v>
      </c>
      <c r="C2" s="7">
        <v>23</v>
      </c>
      <c r="D2" s="8">
        <f>IFERROR(VLOOKUP($B2,Task!$B$1:$G$70,6,0)," ")</f>
        <v>5.5555555555555558E-3</v>
      </c>
      <c r="E2" s="9">
        <f t="shared" ref="E2:E206" si="0">IFERROR(D2*C2," ")</f>
        <v>0.1277777777777778</v>
      </c>
      <c r="F2" s="10">
        <v>0.35318287037037033</v>
      </c>
      <c r="G2" s="10">
        <v>0.5138194444444445</v>
      </c>
      <c r="H2" s="8">
        <f t="shared" ref="H2:H206" si="1">IF(G2="","", IF(L2=" ",IF(OR(F2=0,G2=0),"",G2-F2),((G2-F2)-L2)))</f>
        <v>0.11600694444444454</v>
      </c>
      <c r="I2" s="11">
        <f t="shared" ref="I2:I206" si="2">IFERROR(IF(L2=" ",(F2+E2),(F2+E2+L2)),"")</f>
        <v>0.52559027777777767</v>
      </c>
      <c r="J2" s="8"/>
      <c r="K2" s="8"/>
      <c r="L2" s="8">
        <v>4.462962962962963E-2</v>
      </c>
      <c r="M2" s="12"/>
      <c r="N2" s="13">
        <f t="shared" ref="N2:N206" si="3">IFERROR(E2/H2," ")</f>
        <v>1.1014666267584547</v>
      </c>
      <c r="O2" s="8">
        <v>0.73172453703703699</v>
      </c>
      <c r="P2" s="14">
        <f ca="1">IFERROR(__xludf.DUMMYFUNCTION("UNIQUE($A$2:$A$993)"),45810)</f>
        <v>45810</v>
      </c>
      <c r="Q2" s="15">
        <f ca="1">SUMIF($A:$A,$P2,$E:$E)</f>
        <v>0.29444444444444451</v>
      </c>
      <c r="R2" s="15">
        <f ca="1">SUMIF($A:$A,$P2,$H:$H)</f>
        <v>0.26827546296296301</v>
      </c>
      <c r="S2" s="15">
        <f t="shared" ref="S2:S18" ca="1" si="4">IF(OR(R2="",R2&gt;=$U$1)," ",$U$1-R2)</f>
        <v>6.5057870370370308E-2</v>
      </c>
      <c r="T2" s="16">
        <f t="shared" ref="T2:T23" ca="1" si="5">IFERROR(AVERAGEIF($A:$A,$P2,$N:$N)," ")</f>
        <v>1.0954420714987794</v>
      </c>
      <c r="U2" s="17"/>
      <c r="V2" s="4"/>
    </row>
    <row r="3" spans="1:22" ht="15.75" customHeight="1">
      <c r="A3" s="6">
        <v>45810</v>
      </c>
      <c r="B3" s="7" t="s">
        <v>17</v>
      </c>
      <c r="C3" s="7">
        <v>1</v>
      </c>
      <c r="D3" s="8">
        <f>IFERROR(VLOOKUP($B3,Task!$B$1:$G$70,6,0)," ")</f>
        <v>2.0833333333333332E-2</v>
      </c>
      <c r="E3" s="9">
        <f t="shared" si="0"/>
        <v>2.0833333333333332E-2</v>
      </c>
      <c r="F3" s="10">
        <f t="shared" ref="F3:F4" si="6">G2</f>
        <v>0.5138194444444445</v>
      </c>
      <c r="G3" s="8">
        <v>0.53293981481481478</v>
      </c>
      <c r="H3" s="8">
        <f t="shared" si="1"/>
        <v>1.9120370370370288E-2</v>
      </c>
      <c r="I3" s="11">
        <f t="shared" si="2"/>
        <v>0.53465277777777787</v>
      </c>
      <c r="J3" s="8"/>
      <c r="K3" s="8"/>
      <c r="L3" s="8"/>
      <c r="M3" s="12"/>
      <c r="N3" s="13">
        <f t="shared" si="3"/>
        <v>1.0895883777239757</v>
      </c>
      <c r="O3" s="8">
        <f>O2-O1</f>
        <v>0.54422453703703699</v>
      </c>
      <c r="P3" s="14">
        <f ca="1">IFERROR(__xludf.DUMMYFUNCTION("""COMPUTED_VALUE"""),45811)</f>
        <v>45811</v>
      </c>
      <c r="Q3" s="15">
        <f t="shared" ref="Q3:Q23" ca="1" si="7">IF(SUMIF($A:$A,$P3,$E:$E)=0,"",SUMIF($A:$A,$P3,$E:$E))</f>
        <v>0.27638888888888891</v>
      </c>
      <c r="R3" s="15">
        <f t="shared" ref="R3:R23" ca="1" si="8">IF(SUMIF($A:$A,$P3,$H:$H)=0,"",SUMIF($A:$A,$P3,$H:$H))</f>
        <v>0.252037037037037</v>
      </c>
      <c r="S3" s="15">
        <f t="shared" ca="1" si="4"/>
        <v>8.1296296296296311E-2</v>
      </c>
      <c r="T3" s="16">
        <f t="shared" ca="1" si="5"/>
        <v>1.0873086284766167</v>
      </c>
    </row>
    <row r="4" spans="1:22" ht="15.75" customHeight="1">
      <c r="A4" s="6">
        <v>45810</v>
      </c>
      <c r="B4" s="7" t="s">
        <v>18</v>
      </c>
      <c r="C4" s="7">
        <v>3</v>
      </c>
      <c r="D4" s="8">
        <f>IFERROR(VLOOKUP($B4,Task!$B$1:$G$70,6,0)," ")</f>
        <v>4.8611111111111112E-2</v>
      </c>
      <c r="E4" s="9">
        <f t="shared" si="0"/>
        <v>0.14583333333333334</v>
      </c>
      <c r="F4" s="10">
        <f t="shared" si="6"/>
        <v>0.53293981481481478</v>
      </c>
      <c r="G4" s="10">
        <v>0.70162037037037039</v>
      </c>
      <c r="H4" s="8">
        <f t="shared" si="1"/>
        <v>0.13314814814814821</v>
      </c>
      <c r="I4" s="11">
        <f t="shared" si="2"/>
        <v>0.71430555555555553</v>
      </c>
      <c r="J4" s="8"/>
      <c r="K4" s="8"/>
      <c r="L4" s="8">
        <v>3.5532407407407408E-2</v>
      </c>
      <c r="M4" s="12"/>
      <c r="N4" s="13">
        <f t="shared" si="3"/>
        <v>1.0952712100139077</v>
      </c>
      <c r="P4" s="14">
        <f ca="1">IFERROR(__xludf.DUMMYFUNCTION("""COMPUTED_VALUE"""),45812)</f>
        <v>45812</v>
      </c>
      <c r="Q4" s="15">
        <f t="shared" ca="1" si="7"/>
        <v>0.26111111111111113</v>
      </c>
      <c r="R4" s="15">
        <f t="shared" ca="1" si="8"/>
        <v>0.23758101851851846</v>
      </c>
      <c r="S4" s="15">
        <f t="shared" ca="1" si="4"/>
        <v>9.575231481481486E-2</v>
      </c>
      <c r="T4" s="16">
        <f t="shared" ca="1" si="5"/>
        <v>1.0985124920228446</v>
      </c>
    </row>
    <row r="5" spans="1:22" ht="15.75" customHeight="1">
      <c r="A5" s="6">
        <v>45811</v>
      </c>
      <c r="B5" s="7" t="s">
        <v>18</v>
      </c>
      <c r="C5" s="7">
        <v>2</v>
      </c>
      <c r="D5" s="8">
        <f>IFERROR(VLOOKUP($B5,Task!$B$1:$G$70,6,0)," ")</f>
        <v>4.8611111111111112E-2</v>
      </c>
      <c r="E5" s="9">
        <f t="shared" si="0"/>
        <v>9.7222222222222224E-2</v>
      </c>
      <c r="F5" s="10">
        <v>0.42399305555555555</v>
      </c>
      <c r="G5" s="10">
        <v>0.52989016204082873</v>
      </c>
      <c r="H5" s="8">
        <f t="shared" si="1"/>
        <v>8.6614699077865759E-2</v>
      </c>
      <c r="I5" s="11">
        <f t="shared" si="2"/>
        <v>0.54049768518518515</v>
      </c>
      <c r="J5" s="8"/>
      <c r="K5" s="8"/>
      <c r="L5" s="8">
        <v>1.9282407407407408E-2</v>
      </c>
      <c r="M5" s="18"/>
      <c r="N5" s="13">
        <f t="shared" si="3"/>
        <v>1.1224679327791742</v>
      </c>
      <c r="O5" s="19"/>
      <c r="P5" s="14">
        <f ca="1">IFERROR(__xludf.DUMMYFUNCTION("""COMPUTED_VALUE"""),45813)</f>
        <v>45813</v>
      </c>
      <c r="Q5" s="15">
        <f t="shared" ca="1" si="7"/>
        <v>0.32430555555555557</v>
      </c>
      <c r="R5" s="15">
        <f t="shared" ca="1" si="8"/>
        <v>0.29510416666666667</v>
      </c>
      <c r="S5" s="15">
        <f t="shared" ca="1" si="4"/>
        <v>3.8229166666666647E-2</v>
      </c>
      <c r="T5" s="16">
        <f t="shared" ca="1" si="5"/>
        <v>1.0977706506526226</v>
      </c>
    </row>
    <row r="6" spans="1:22" ht="15.75" customHeight="1">
      <c r="A6" s="6">
        <v>45811</v>
      </c>
      <c r="B6" s="7" t="s">
        <v>17</v>
      </c>
      <c r="C6" s="7">
        <v>1</v>
      </c>
      <c r="D6" s="8">
        <f>IFERROR(VLOOKUP($B6,Task!$B$1:$G$70,6,0)," ")</f>
        <v>2.0833333333333332E-2</v>
      </c>
      <c r="E6" s="9">
        <f t="shared" si="0"/>
        <v>2.0833333333333332E-2</v>
      </c>
      <c r="F6" s="10">
        <f t="shared" ref="F6:F9" si="9">G5</f>
        <v>0.52989016204082873</v>
      </c>
      <c r="G6" s="10">
        <v>0.55974537037037042</v>
      </c>
      <c r="H6" s="8">
        <f t="shared" si="1"/>
        <v>2.0121412033245398E-2</v>
      </c>
      <c r="I6" s="11">
        <f t="shared" si="2"/>
        <v>0.56045729167045844</v>
      </c>
      <c r="J6" s="8"/>
      <c r="K6" s="8"/>
      <c r="L6" s="8">
        <v>9.7337962962962959E-3</v>
      </c>
      <c r="M6" s="18"/>
      <c r="N6" s="13">
        <f t="shared" si="3"/>
        <v>1.0353812793511543</v>
      </c>
      <c r="O6" s="19"/>
      <c r="P6" s="14">
        <f ca="1">IFERROR(__xludf.DUMMYFUNCTION("""COMPUTED_VALUE"""),45819)</f>
        <v>45819</v>
      </c>
      <c r="Q6" s="15">
        <f t="shared" ca="1" si="7"/>
        <v>0.34722222222222227</v>
      </c>
      <c r="R6" s="15">
        <f t="shared" ca="1" si="8"/>
        <v>0.31711218749595532</v>
      </c>
      <c r="S6" s="15">
        <f t="shared" ca="1" si="4"/>
        <v>1.6221145837377993E-2</v>
      </c>
      <c r="T6" s="16">
        <f t="shared" ca="1" si="5"/>
        <v>1.0909180286128375</v>
      </c>
    </row>
    <row r="7" spans="1:22" ht="15.75" customHeight="1">
      <c r="A7" s="6">
        <v>45811</v>
      </c>
      <c r="B7" s="7" t="s">
        <v>16</v>
      </c>
      <c r="C7" s="7">
        <v>12</v>
      </c>
      <c r="D7" s="8">
        <f>IFERROR(VLOOKUP($B7,Task!$B$1:$G$70,6,0)," ")</f>
        <v>5.5555555555555558E-3</v>
      </c>
      <c r="E7" s="9">
        <f t="shared" si="0"/>
        <v>6.6666666666666666E-2</v>
      </c>
      <c r="F7" s="10">
        <f t="shared" si="9"/>
        <v>0.55974537037037042</v>
      </c>
      <c r="G7" s="10">
        <v>0.62164351851851851</v>
      </c>
      <c r="H7" s="8">
        <f t="shared" si="1"/>
        <v>6.1898148148148091E-2</v>
      </c>
      <c r="I7" s="11">
        <f t="shared" si="2"/>
        <v>0.62641203703703707</v>
      </c>
      <c r="J7" s="8"/>
      <c r="K7" s="8"/>
      <c r="L7" s="8"/>
      <c r="M7" s="18"/>
      <c r="N7" s="13">
        <f t="shared" si="3"/>
        <v>1.0770381451009734</v>
      </c>
      <c r="P7" s="14">
        <f ca="1">IFERROR(__xludf.DUMMYFUNCTION("""COMPUTED_VALUE"""),45820)</f>
        <v>45820</v>
      </c>
      <c r="Q7" s="15">
        <f t="shared" ca="1" si="7"/>
        <v>0.30833333333333335</v>
      </c>
      <c r="R7" s="15">
        <f t="shared" ca="1" si="8"/>
        <v>0.28547453703703701</v>
      </c>
      <c r="S7" s="15">
        <f t="shared" ca="1" si="4"/>
        <v>4.7858796296296302E-2</v>
      </c>
      <c r="T7" s="16">
        <f t="shared" ca="1" si="5"/>
        <v>1.0979424017988759</v>
      </c>
    </row>
    <row r="8" spans="1:22" ht="15.75" customHeight="1">
      <c r="A8" s="6">
        <v>45811</v>
      </c>
      <c r="B8" s="7" t="s">
        <v>16</v>
      </c>
      <c r="C8" s="7">
        <f>21-C7</f>
        <v>9</v>
      </c>
      <c r="D8" s="8">
        <f>IFERROR(VLOOKUP($B8,Task!$B$1:$G$70,6,0)," ")</f>
        <v>5.5555555555555558E-3</v>
      </c>
      <c r="E8" s="9">
        <f t="shared" si="0"/>
        <v>0.05</v>
      </c>
      <c r="F8" s="10">
        <f t="shared" si="9"/>
        <v>0.62164351851851851</v>
      </c>
      <c r="G8" s="10">
        <v>0.69668981481481485</v>
      </c>
      <c r="H8" s="8">
        <f t="shared" si="1"/>
        <v>4.6111111111111144E-2</v>
      </c>
      <c r="I8" s="11">
        <f t="shared" si="2"/>
        <v>0.70057870370370379</v>
      </c>
      <c r="J8" s="8"/>
      <c r="K8" s="8"/>
      <c r="L8" s="8">
        <v>2.8935185185185185E-2</v>
      </c>
      <c r="M8" s="18"/>
      <c r="N8" s="13">
        <f t="shared" si="3"/>
        <v>1.0843373493975896</v>
      </c>
      <c r="O8" s="19"/>
      <c r="P8" s="14">
        <f ca="1">IFERROR(__xludf.DUMMYFUNCTION("""COMPUTED_VALUE"""),45821)</f>
        <v>45821</v>
      </c>
      <c r="Q8" s="15">
        <f t="shared" ca="1" si="7"/>
        <v>0.3444444444444445</v>
      </c>
      <c r="R8" s="15">
        <f t="shared" ca="1" si="8"/>
        <v>0.31457175925925929</v>
      </c>
      <c r="S8" s="15">
        <f t="shared" ca="1" si="4"/>
        <v>1.8761574074074028E-2</v>
      </c>
      <c r="T8" s="16">
        <f t="shared" ca="1" si="5"/>
        <v>1.0923025613850381</v>
      </c>
    </row>
    <row r="9" spans="1:22" ht="15.75" customHeight="1">
      <c r="A9" s="6">
        <v>45811</v>
      </c>
      <c r="B9" s="7" t="s">
        <v>19</v>
      </c>
      <c r="C9" s="7">
        <v>15</v>
      </c>
      <c r="D9" s="8">
        <f>IFERROR(VLOOKUP($B9,Task!$B$1:$G$70,6,0)," ")</f>
        <v>2.7777777777777779E-3</v>
      </c>
      <c r="E9" s="9">
        <f t="shared" si="0"/>
        <v>4.1666666666666671E-2</v>
      </c>
      <c r="F9" s="10">
        <f t="shared" si="9"/>
        <v>0.69668981481481485</v>
      </c>
      <c r="G9" s="8">
        <v>0.73398148148148146</v>
      </c>
      <c r="H9" s="8">
        <f t="shared" si="1"/>
        <v>3.7291666666666612E-2</v>
      </c>
      <c r="I9" s="11">
        <f t="shared" si="2"/>
        <v>0.73835648148148147</v>
      </c>
      <c r="J9" s="8"/>
      <c r="K9" s="8"/>
      <c r="L9" s="8"/>
      <c r="M9" s="18"/>
      <c r="N9" s="13">
        <f t="shared" si="3"/>
        <v>1.1173184357541917</v>
      </c>
      <c r="O9" s="4"/>
      <c r="P9" s="14">
        <f ca="1">IFERROR(__xludf.DUMMYFUNCTION("""COMPUTED_VALUE"""),45824)</f>
        <v>45824</v>
      </c>
      <c r="Q9" s="15">
        <f t="shared" ca="1" si="7"/>
        <v>0.33611111111111108</v>
      </c>
      <c r="R9" s="15">
        <f t="shared" ca="1" si="8"/>
        <v>0.30585648148148148</v>
      </c>
      <c r="S9" s="15">
        <f t="shared" ca="1" si="4"/>
        <v>2.7476851851851836E-2</v>
      </c>
      <c r="T9" s="16">
        <f t="shared" ca="1" si="5"/>
        <v>1.0985606674064738</v>
      </c>
    </row>
    <row r="10" spans="1:22" ht="15.75" customHeight="1">
      <c r="A10" s="6">
        <v>45812</v>
      </c>
      <c r="B10" s="7" t="s">
        <v>16</v>
      </c>
      <c r="C10" s="7">
        <v>7</v>
      </c>
      <c r="D10" s="8">
        <f>IFERROR(VLOOKUP($B10,Task!$B$1:$G$70,6,0)," ")</f>
        <v>5.5555555555555558E-3</v>
      </c>
      <c r="E10" s="9">
        <f t="shared" si="0"/>
        <v>3.888888888888889E-2</v>
      </c>
      <c r="F10" s="10">
        <v>0.36593750000000003</v>
      </c>
      <c r="G10" s="10">
        <v>0.40137731481481481</v>
      </c>
      <c r="H10" s="8">
        <f t="shared" si="1"/>
        <v>3.5439814814814785E-2</v>
      </c>
      <c r="I10" s="11">
        <f t="shared" si="2"/>
        <v>0.40482638888888889</v>
      </c>
      <c r="J10" s="8"/>
      <c r="K10" s="8"/>
      <c r="L10" s="8"/>
      <c r="M10" s="18"/>
      <c r="N10" s="13">
        <f t="shared" si="3"/>
        <v>1.0973220117570226</v>
      </c>
      <c r="O10" s="19"/>
      <c r="P10" s="14">
        <f ca="1">IFERROR(__xludf.DUMMYFUNCTION("""COMPUTED_VALUE"""),45825)</f>
        <v>45825</v>
      </c>
      <c r="Q10" s="15">
        <f t="shared" ca="1" si="7"/>
        <v>0.32916666666666666</v>
      </c>
      <c r="R10" s="15">
        <f t="shared" ca="1" si="8"/>
        <v>0.29856481481481478</v>
      </c>
      <c r="S10" s="15">
        <f t="shared" ca="1" si="4"/>
        <v>3.4768518518518532E-2</v>
      </c>
      <c r="T10" s="16">
        <f t="shared" ca="1" si="5"/>
        <v>1.10327263648121</v>
      </c>
    </row>
    <row r="11" spans="1:22" ht="15.75" customHeight="1">
      <c r="A11" s="6">
        <v>45812</v>
      </c>
      <c r="B11" s="7" t="s">
        <v>18</v>
      </c>
      <c r="C11" s="7">
        <v>1</v>
      </c>
      <c r="D11" s="8">
        <f>IFERROR(VLOOKUP($B11,Task!$B$1:$G$70,6,0)," ")</f>
        <v>4.8611111111111112E-2</v>
      </c>
      <c r="E11" s="9">
        <f t="shared" si="0"/>
        <v>4.8611111111111112E-2</v>
      </c>
      <c r="F11" s="10">
        <f t="shared" ref="F11:F14" si="10">G10</f>
        <v>0.40137731481481481</v>
      </c>
      <c r="G11" s="10">
        <v>0.50587962962962962</v>
      </c>
      <c r="H11" s="8">
        <f t="shared" si="1"/>
        <v>4.4537037037037035E-2</v>
      </c>
      <c r="I11" s="11">
        <f t="shared" si="2"/>
        <v>0.50995370370370374</v>
      </c>
      <c r="J11" s="8"/>
      <c r="K11" s="8"/>
      <c r="L11" s="8">
        <v>5.9965277777777777E-2</v>
      </c>
      <c r="M11" s="12"/>
      <c r="N11" s="13">
        <f t="shared" si="3"/>
        <v>1.0914760914760915</v>
      </c>
      <c r="O11" s="19"/>
      <c r="P11" s="14">
        <f ca="1">IFERROR(__xludf.DUMMYFUNCTION("""COMPUTED_VALUE"""),45827)</f>
        <v>45827</v>
      </c>
      <c r="Q11" s="15">
        <f t="shared" ca="1" si="7"/>
        <v>0.35</v>
      </c>
      <c r="R11" s="15">
        <f t="shared" ca="1" si="8"/>
        <v>0.32015046296296301</v>
      </c>
      <c r="S11" s="15">
        <f t="shared" ca="1" si="4"/>
        <v>1.3182870370370303E-2</v>
      </c>
      <c r="T11" s="16">
        <f t="shared" ca="1" si="5"/>
        <v>1.0871975369465814</v>
      </c>
    </row>
    <row r="12" spans="1:22" ht="15.75" customHeight="1">
      <c r="A12" s="6">
        <v>45812</v>
      </c>
      <c r="B12" s="7" t="s">
        <v>19</v>
      </c>
      <c r="C12" s="7">
        <v>35</v>
      </c>
      <c r="D12" s="8">
        <f>IFERROR(VLOOKUP($B12,Task!$B$1:$G$70,6,0)," ")</f>
        <v>2.7777777777777779E-3</v>
      </c>
      <c r="E12" s="9">
        <f t="shared" si="0"/>
        <v>9.7222222222222224E-2</v>
      </c>
      <c r="F12" s="10">
        <f t="shared" si="10"/>
        <v>0.50587962962962962</v>
      </c>
      <c r="G12" s="10">
        <v>0.61717592592592596</v>
      </c>
      <c r="H12" s="8">
        <f t="shared" si="1"/>
        <v>8.8379629629629669E-2</v>
      </c>
      <c r="I12" s="11">
        <f t="shared" si="2"/>
        <v>0.62601851851851853</v>
      </c>
      <c r="J12" s="8"/>
      <c r="K12" s="8"/>
      <c r="L12" s="8">
        <v>2.2916666666666665E-2</v>
      </c>
      <c r="M12" s="18"/>
      <c r="N12" s="13">
        <f t="shared" si="3"/>
        <v>1.1000523834468303</v>
      </c>
      <c r="O12" s="19"/>
      <c r="P12" s="14">
        <f ca="1">IFERROR(__xludf.DUMMYFUNCTION("""COMPUTED_VALUE"""),45828)</f>
        <v>45828</v>
      </c>
      <c r="Q12" s="15">
        <f t="shared" ca="1" si="7"/>
        <v>0.2722222222222222</v>
      </c>
      <c r="R12" s="15">
        <f t="shared" ca="1" si="8"/>
        <v>0.25031250000000005</v>
      </c>
      <c r="S12" s="15">
        <f t="shared" ca="1" si="4"/>
        <v>8.3020833333333266E-2</v>
      </c>
      <c r="T12" s="16">
        <f t="shared" ca="1" si="5"/>
        <v>1.0926938494041853</v>
      </c>
    </row>
    <row r="13" spans="1:22" ht="15.75" customHeight="1">
      <c r="A13" s="6">
        <v>45812</v>
      </c>
      <c r="B13" s="7" t="s">
        <v>19</v>
      </c>
      <c r="C13" s="7">
        <v>20</v>
      </c>
      <c r="D13" s="8">
        <f>IFERROR(VLOOKUP($B13,Task!$B$1:$G$70,6,0)," ")</f>
        <v>2.7777777777777779E-3</v>
      </c>
      <c r="E13" s="9">
        <f t="shared" si="0"/>
        <v>5.5555555555555559E-2</v>
      </c>
      <c r="F13" s="10">
        <f t="shared" si="10"/>
        <v>0.61717592592592596</v>
      </c>
      <c r="G13" s="10">
        <v>0.68928240740740743</v>
      </c>
      <c r="H13" s="8">
        <f t="shared" si="1"/>
        <v>5.0254629629629614E-2</v>
      </c>
      <c r="I13" s="11">
        <f t="shared" si="2"/>
        <v>0.69458333333333344</v>
      </c>
      <c r="J13" s="8"/>
      <c r="K13" s="8"/>
      <c r="L13" s="8">
        <v>2.1851851851851851E-2</v>
      </c>
      <c r="M13" s="12"/>
      <c r="N13" s="13">
        <f t="shared" si="3"/>
        <v>1.1054813450023036</v>
      </c>
      <c r="O13" s="19"/>
      <c r="P13" s="14">
        <f ca="1">IFERROR(__xludf.DUMMYFUNCTION("""COMPUTED_VALUE"""),45831)</f>
        <v>45831</v>
      </c>
      <c r="Q13" s="15">
        <f t="shared" ca="1" si="7"/>
        <v>0.37152777777777779</v>
      </c>
      <c r="R13" s="15">
        <f t="shared" ca="1" si="8"/>
        <v>0.33529975694662428</v>
      </c>
      <c r="S13" s="15" t="str">
        <f t="shared" ca="1" si="4"/>
        <v xml:space="preserve"> </v>
      </c>
      <c r="T13" s="16">
        <f t="shared" ca="1" si="5"/>
        <v>1.1134048104382051</v>
      </c>
    </row>
    <row r="14" spans="1:22" ht="15.75" customHeight="1">
      <c r="A14" s="6">
        <v>45812</v>
      </c>
      <c r="B14" s="7" t="s">
        <v>17</v>
      </c>
      <c r="C14" s="7">
        <v>1</v>
      </c>
      <c r="D14" s="8">
        <f>IFERROR(VLOOKUP($B14,Task!$B$1:$G$70,6,0)," ")</f>
        <v>2.0833333333333332E-2</v>
      </c>
      <c r="E14" s="9">
        <f t="shared" si="0"/>
        <v>2.0833333333333332E-2</v>
      </c>
      <c r="F14" s="10">
        <f t="shared" si="10"/>
        <v>0.68928240740740743</v>
      </c>
      <c r="G14" s="10">
        <v>0.70825231481481477</v>
      </c>
      <c r="H14" s="8">
        <f t="shared" si="1"/>
        <v>1.8969907407407338E-2</v>
      </c>
      <c r="I14" s="11">
        <f t="shared" si="2"/>
        <v>0.7101157407407408</v>
      </c>
      <c r="J14" s="8"/>
      <c r="K14" s="8"/>
      <c r="L14" s="8"/>
      <c r="M14" s="18"/>
      <c r="N14" s="13">
        <f t="shared" si="3"/>
        <v>1.0982306284319747</v>
      </c>
      <c r="O14" s="19"/>
      <c r="P14" s="20">
        <f ca="1">IFERROR(__xludf.DUMMYFUNCTION("""COMPUTED_VALUE"""),45832)</f>
        <v>45832</v>
      </c>
      <c r="Q14" s="15">
        <f t="shared" ca="1" si="7"/>
        <v>0.25694444444444442</v>
      </c>
      <c r="R14" s="15">
        <f t="shared" ca="1" si="8"/>
        <v>9.3796296296296239E-2</v>
      </c>
      <c r="S14" s="15">
        <f t="shared" ca="1" si="4"/>
        <v>0.23953703703703708</v>
      </c>
      <c r="T14" s="16">
        <f t="shared" ca="1" si="5"/>
        <v>1.1909952816784808</v>
      </c>
    </row>
    <row r="15" spans="1:22" ht="15.75" customHeight="1">
      <c r="A15" s="6">
        <v>45813</v>
      </c>
      <c r="B15" s="7" t="s">
        <v>18</v>
      </c>
      <c r="C15" s="7">
        <v>1</v>
      </c>
      <c r="D15" s="8">
        <f>IFERROR(VLOOKUP($B15,Task!$B$1:$G$70,6,0)," ")</f>
        <v>4.8611111111111112E-2</v>
      </c>
      <c r="E15" s="9">
        <f t="shared" si="0"/>
        <v>4.8611111111111112E-2</v>
      </c>
      <c r="F15" s="10">
        <v>0.38018518518518518</v>
      </c>
      <c r="G15" s="10">
        <v>0.4259027777777778</v>
      </c>
      <c r="H15" s="8">
        <f t="shared" si="1"/>
        <v>4.5717592592592615E-2</v>
      </c>
      <c r="I15" s="11">
        <f t="shared" si="2"/>
        <v>0.42879629629629629</v>
      </c>
      <c r="J15" s="8"/>
      <c r="K15" s="8"/>
      <c r="L15" s="8"/>
      <c r="M15" s="18"/>
      <c r="N15" s="13">
        <f t="shared" si="3"/>
        <v>1.0632911392405058</v>
      </c>
      <c r="O15" s="4"/>
      <c r="P15" s="20"/>
      <c r="Q15" s="15" t="str">
        <f t="shared" si="7"/>
        <v/>
      </c>
      <c r="R15" s="15" t="str">
        <f t="shared" si="8"/>
        <v/>
      </c>
      <c r="S15" s="15" t="str">
        <f t="shared" si="4"/>
        <v xml:space="preserve"> </v>
      </c>
      <c r="T15" s="16" t="str">
        <f t="shared" si="5"/>
        <v xml:space="preserve"> </v>
      </c>
    </row>
    <row r="16" spans="1:22" ht="15.75" customHeight="1">
      <c r="A16" s="6">
        <v>45813</v>
      </c>
      <c r="B16" s="7" t="s">
        <v>16</v>
      </c>
      <c r="C16" s="7">
        <v>8</v>
      </c>
      <c r="D16" s="8">
        <f>IFERROR(VLOOKUP($B16,Task!$B$1:$G$70,6,0)," ")</f>
        <v>5.5555555555555558E-3</v>
      </c>
      <c r="E16" s="9">
        <f t="shared" si="0"/>
        <v>4.4444444444444446E-2</v>
      </c>
      <c r="F16" s="10">
        <f t="shared" ref="F16:F21" si="11">G15</f>
        <v>0.4259027777777778</v>
      </c>
      <c r="G16" s="10">
        <v>0.46783564814814815</v>
      </c>
      <c r="H16" s="8">
        <f t="shared" si="1"/>
        <v>4.1932870370370356E-2</v>
      </c>
      <c r="I16" s="11">
        <f t="shared" si="2"/>
        <v>0.47034722222222225</v>
      </c>
      <c r="J16" s="8"/>
      <c r="K16" s="8"/>
      <c r="L16" s="8"/>
      <c r="M16" s="18"/>
      <c r="N16" s="13">
        <f t="shared" si="3"/>
        <v>1.0598951145459568</v>
      </c>
      <c r="O16" s="4"/>
      <c r="P16" s="20"/>
      <c r="Q16" s="15" t="str">
        <f t="shared" si="7"/>
        <v/>
      </c>
      <c r="R16" s="15" t="str">
        <f t="shared" si="8"/>
        <v/>
      </c>
      <c r="S16" s="15" t="str">
        <f t="shared" si="4"/>
        <v xml:space="preserve"> </v>
      </c>
      <c r="T16" s="16" t="str">
        <f t="shared" si="5"/>
        <v xml:space="preserve"> </v>
      </c>
    </row>
    <row r="17" spans="1:23" ht="15.75" customHeight="1">
      <c r="A17" s="6">
        <v>45813</v>
      </c>
      <c r="B17" s="7" t="s">
        <v>18</v>
      </c>
      <c r="C17" s="7">
        <v>1</v>
      </c>
      <c r="D17" s="8">
        <f>IFERROR(VLOOKUP($B17,Task!$B$1:$G$70,6,0)," ")</f>
        <v>4.8611111111111112E-2</v>
      </c>
      <c r="E17" s="9">
        <f t="shared" si="0"/>
        <v>4.8611111111111112E-2</v>
      </c>
      <c r="F17" s="10">
        <f t="shared" si="11"/>
        <v>0.46783564814814815</v>
      </c>
      <c r="G17" s="10">
        <v>0.53450231481481481</v>
      </c>
      <c r="H17" s="8">
        <f t="shared" si="1"/>
        <v>4.373842592592591E-2</v>
      </c>
      <c r="I17" s="11">
        <f t="shared" si="2"/>
        <v>0.53937500000000005</v>
      </c>
      <c r="J17" s="8"/>
      <c r="K17" s="8"/>
      <c r="L17" s="8">
        <v>2.2928240740740742E-2</v>
      </c>
      <c r="M17" s="12"/>
      <c r="N17" s="13">
        <f t="shared" si="3"/>
        <v>1.1114051336332367</v>
      </c>
      <c r="O17" s="19"/>
      <c r="P17" s="20"/>
      <c r="Q17" s="15" t="str">
        <f t="shared" si="7"/>
        <v/>
      </c>
      <c r="R17" s="15" t="str">
        <f t="shared" si="8"/>
        <v/>
      </c>
      <c r="S17" s="15" t="str">
        <f t="shared" si="4"/>
        <v xml:space="preserve"> </v>
      </c>
      <c r="T17" s="16" t="str">
        <f t="shared" si="5"/>
        <v xml:space="preserve"> </v>
      </c>
    </row>
    <row r="18" spans="1:23" ht="15.75" customHeight="1">
      <c r="A18" s="6">
        <v>45813</v>
      </c>
      <c r="B18" s="7" t="s">
        <v>16</v>
      </c>
      <c r="C18" s="7">
        <v>22</v>
      </c>
      <c r="D18" s="8">
        <f>IFERROR(VLOOKUP($B18,Task!$B$1:$G$70,6,0)," ")</f>
        <v>5.5555555555555558E-3</v>
      </c>
      <c r="E18" s="9">
        <f t="shared" si="0"/>
        <v>0.12222222222222223</v>
      </c>
      <c r="F18" s="10">
        <f t="shared" si="11"/>
        <v>0.53450231481481481</v>
      </c>
      <c r="G18" s="10">
        <v>0.6658680555555555</v>
      </c>
      <c r="H18" s="8">
        <f t="shared" si="1"/>
        <v>0.10954861111111107</v>
      </c>
      <c r="I18" s="11">
        <f t="shared" si="2"/>
        <v>0.67854166666666671</v>
      </c>
      <c r="J18" s="8"/>
      <c r="K18" s="8"/>
      <c r="L18" s="8">
        <v>2.1817129629629631E-2</v>
      </c>
      <c r="M18" s="18"/>
      <c r="N18" s="13">
        <f t="shared" si="3"/>
        <v>1.1156893819334395</v>
      </c>
      <c r="O18" s="19"/>
      <c r="P18" s="20"/>
      <c r="Q18" s="15" t="str">
        <f t="shared" si="7"/>
        <v/>
      </c>
      <c r="R18" s="15" t="str">
        <f t="shared" si="8"/>
        <v/>
      </c>
      <c r="S18" s="15" t="str">
        <f t="shared" si="4"/>
        <v xml:space="preserve"> </v>
      </c>
      <c r="T18" s="16" t="str">
        <f t="shared" si="5"/>
        <v xml:space="preserve"> </v>
      </c>
    </row>
    <row r="19" spans="1:23" ht="15.75" customHeight="1">
      <c r="A19" s="6">
        <v>45813</v>
      </c>
      <c r="B19" s="7" t="s">
        <v>17</v>
      </c>
      <c r="C19" s="7">
        <v>1</v>
      </c>
      <c r="D19" s="8">
        <f>IFERROR(VLOOKUP($B19,Task!$B$1:$G$70,6,0)," ")</f>
        <v>2.0833333333333332E-2</v>
      </c>
      <c r="E19" s="9">
        <f t="shared" si="0"/>
        <v>2.0833333333333332E-2</v>
      </c>
      <c r="F19" s="10">
        <f t="shared" si="11"/>
        <v>0.6658680555555555</v>
      </c>
      <c r="G19" s="10">
        <v>0.69567129629629632</v>
      </c>
      <c r="H19" s="8">
        <f t="shared" si="1"/>
        <v>1.8888888888888958E-2</v>
      </c>
      <c r="I19" s="11">
        <f t="shared" si="2"/>
        <v>0.69761574074074073</v>
      </c>
      <c r="J19" s="8"/>
      <c r="K19" s="8"/>
      <c r="L19" s="8">
        <v>1.0914351851851852E-2</v>
      </c>
      <c r="M19" s="12"/>
      <c r="N19" s="13">
        <f t="shared" si="3"/>
        <v>1.1029411764705841</v>
      </c>
      <c r="O19" s="19"/>
      <c r="P19" s="20"/>
      <c r="Q19" s="15" t="str">
        <f t="shared" si="7"/>
        <v/>
      </c>
      <c r="R19" s="15" t="str">
        <f t="shared" si="8"/>
        <v/>
      </c>
      <c r="S19" s="15" t="str">
        <f t="shared" ref="S19:S23" si="12">IF(R19=""," ",$U$1-R19)</f>
        <v xml:space="preserve"> </v>
      </c>
      <c r="T19" s="16" t="str">
        <f t="shared" si="5"/>
        <v xml:space="preserve"> </v>
      </c>
    </row>
    <row r="20" spans="1:23" ht="15.75" customHeight="1">
      <c r="A20" s="6">
        <v>45813</v>
      </c>
      <c r="B20" s="7" t="s">
        <v>20</v>
      </c>
      <c r="C20" s="7">
        <v>15</v>
      </c>
      <c r="D20" s="8">
        <f>IFERROR(VLOOKUP($B20,Task!$B$1:$G$70,6,0)," ")</f>
        <v>2.0833333333333333E-3</v>
      </c>
      <c r="E20" s="9">
        <f t="shared" si="0"/>
        <v>3.125E-2</v>
      </c>
      <c r="F20" s="10">
        <f t="shared" si="11"/>
        <v>0.69567129629629632</v>
      </c>
      <c r="G20" s="10">
        <v>0.72340277777777773</v>
      </c>
      <c r="H20" s="8">
        <f t="shared" si="1"/>
        <v>2.7731481481481413E-2</v>
      </c>
      <c r="I20" s="11">
        <f t="shared" si="2"/>
        <v>0.72692129629629632</v>
      </c>
      <c r="J20" s="8"/>
      <c r="K20" s="8"/>
      <c r="L20" s="8"/>
      <c r="M20" s="18"/>
      <c r="N20" s="13">
        <f t="shared" si="3"/>
        <v>1.1268781302170312</v>
      </c>
      <c r="P20" s="20"/>
      <c r="Q20" s="15" t="str">
        <f t="shared" si="7"/>
        <v/>
      </c>
      <c r="R20" s="15" t="str">
        <f t="shared" si="8"/>
        <v/>
      </c>
      <c r="S20" s="15" t="str">
        <f t="shared" si="12"/>
        <v xml:space="preserve"> </v>
      </c>
      <c r="T20" s="16" t="str">
        <f t="shared" si="5"/>
        <v xml:space="preserve"> </v>
      </c>
      <c r="W20" s="4"/>
    </row>
    <row r="21" spans="1:23" ht="15.75" customHeight="1">
      <c r="A21" s="6">
        <v>45813</v>
      </c>
      <c r="B21" s="7" t="s">
        <v>20</v>
      </c>
      <c r="C21" s="7">
        <v>4</v>
      </c>
      <c r="D21" s="8">
        <f>IFERROR(VLOOKUP($B21,Task!$B$1:$G$70,6,0)," ")</f>
        <v>2.0833333333333333E-3</v>
      </c>
      <c r="E21" s="9">
        <f t="shared" si="0"/>
        <v>8.3333333333333332E-3</v>
      </c>
      <c r="F21" s="10">
        <f t="shared" si="11"/>
        <v>0.72340277777777773</v>
      </c>
      <c r="G21" s="10">
        <v>0.74201388888888886</v>
      </c>
      <c r="H21" s="8">
        <f t="shared" si="1"/>
        <v>7.5462962962963183E-3</v>
      </c>
      <c r="I21" s="11">
        <f t="shared" si="2"/>
        <v>0.74280092592592584</v>
      </c>
      <c r="J21" s="8"/>
      <c r="K21" s="8"/>
      <c r="L21" s="8">
        <v>1.1064814814814816E-2</v>
      </c>
      <c r="M21" s="12"/>
      <c r="N21" s="13">
        <f t="shared" si="3"/>
        <v>1.1042944785276041</v>
      </c>
      <c r="P21" s="20"/>
      <c r="Q21" s="15" t="str">
        <f t="shared" si="7"/>
        <v/>
      </c>
      <c r="R21" s="15" t="str">
        <f t="shared" si="8"/>
        <v/>
      </c>
      <c r="S21" s="15" t="str">
        <f t="shared" si="12"/>
        <v xml:space="preserve"> </v>
      </c>
      <c r="T21" s="16" t="str">
        <f t="shared" si="5"/>
        <v xml:space="preserve"> </v>
      </c>
    </row>
    <row r="22" spans="1:23" ht="15.75" customHeight="1">
      <c r="A22" s="6">
        <v>45819</v>
      </c>
      <c r="B22" s="7" t="s">
        <v>18</v>
      </c>
      <c r="C22" s="7">
        <v>1</v>
      </c>
      <c r="D22" s="8">
        <f>IFERROR(VLOOKUP($B22,Task!$B$1:$G$70,6,0)," ")</f>
        <v>4.8611111111111112E-2</v>
      </c>
      <c r="E22" s="9">
        <f t="shared" si="0"/>
        <v>4.8611111111111112E-2</v>
      </c>
      <c r="F22" s="10">
        <v>0.3721875</v>
      </c>
      <c r="G22" s="10">
        <v>0.41615740740740742</v>
      </c>
      <c r="H22" s="8">
        <f t="shared" si="1"/>
        <v>4.3969907407407416E-2</v>
      </c>
      <c r="I22" s="11">
        <f t="shared" si="2"/>
        <v>0.42079861111111111</v>
      </c>
      <c r="J22" s="8"/>
      <c r="K22" s="8"/>
      <c r="L22" s="8"/>
      <c r="M22" s="12"/>
      <c r="N22" s="13">
        <f t="shared" si="3"/>
        <v>1.1055540931824162</v>
      </c>
      <c r="O22" s="19"/>
      <c r="P22" s="20"/>
      <c r="Q22" s="15" t="str">
        <f t="shared" si="7"/>
        <v/>
      </c>
      <c r="R22" s="15" t="str">
        <f t="shared" si="8"/>
        <v/>
      </c>
      <c r="S22" s="15" t="str">
        <f t="shared" si="12"/>
        <v xml:space="preserve"> </v>
      </c>
      <c r="T22" s="16" t="str">
        <f t="shared" si="5"/>
        <v xml:space="preserve"> </v>
      </c>
    </row>
    <row r="23" spans="1:23" ht="15.75" customHeight="1">
      <c r="A23" s="6">
        <v>45819</v>
      </c>
      <c r="B23" s="7" t="s">
        <v>19</v>
      </c>
      <c r="C23" s="7">
        <v>24</v>
      </c>
      <c r="D23" s="8">
        <f>IFERROR(VLOOKUP($B23,Task!$B$1:$G$70,6,0)," ")</f>
        <v>2.7777777777777779E-3</v>
      </c>
      <c r="E23" s="9">
        <f t="shared" si="0"/>
        <v>6.6666666666666666E-2</v>
      </c>
      <c r="F23" s="10">
        <f t="shared" ref="F23:F28" si="13">G22</f>
        <v>0.41615740740740742</v>
      </c>
      <c r="G23" s="10">
        <v>0.49802083333333336</v>
      </c>
      <c r="H23" s="8">
        <f t="shared" si="1"/>
        <v>5.9872685185185195E-2</v>
      </c>
      <c r="I23" s="11">
        <f t="shared" si="2"/>
        <v>0.50481481481481483</v>
      </c>
      <c r="J23" s="8"/>
      <c r="K23" s="8"/>
      <c r="L23" s="8">
        <v>2.1990740740740741E-2</v>
      </c>
      <c r="M23" s="12"/>
      <c r="N23" s="13">
        <f t="shared" si="3"/>
        <v>1.1134738063019523</v>
      </c>
      <c r="P23" s="20"/>
      <c r="Q23" s="15" t="str">
        <f t="shared" si="7"/>
        <v/>
      </c>
      <c r="R23" s="15" t="str">
        <f t="shared" si="8"/>
        <v/>
      </c>
      <c r="S23" s="15" t="str">
        <f t="shared" si="12"/>
        <v xml:space="preserve"> </v>
      </c>
      <c r="T23" s="16" t="str">
        <f t="shared" si="5"/>
        <v xml:space="preserve"> </v>
      </c>
    </row>
    <row r="24" spans="1:23" ht="15.75" customHeight="1">
      <c r="A24" s="6">
        <v>45819</v>
      </c>
      <c r="B24" s="7" t="s">
        <v>17</v>
      </c>
      <c r="C24" s="7">
        <v>1</v>
      </c>
      <c r="D24" s="8">
        <f>IFERROR(VLOOKUP($B24,Task!$B$1:$G$70,6,0)," ")</f>
        <v>2.0833333333333332E-2</v>
      </c>
      <c r="E24" s="9">
        <f t="shared" si="0"/>
        <v>2.0833333333333332E-2</v>
      </c>
      <c r="F24" s="10">
        <f t="shared" si="13"/>
        <v>0.49802083333333336</v>
      </c>
      <c r="G24" s="10">
        <v>0.52861111111111114</v>
      </c>
      <c r="H24" s="8">
        <f t="shared" si="1"/>
        <v>1.9189814814814823E-2</v>
      </c>
      <c r="I24" s="11">
        <f t="shared" si="2"/>
        <v>0.53025462962962966</v>
      </c>
      <c r="J24" s="8"/>
      <c r="K24" s="8"/>
      <c r="L24" s="8">
        <v>1.1400462962962963E-2</v>
      </c>
      <c r="M24" s="18"/>
      <c r="N24" s="13">
        <f t="shared" si="3"/>
        <v>1.0856453558504218</v>
      </c>
      <c r="O24" s="19"/>
      <c r="W24" s="4"/>
    </row>
    <row r="25" spans="1:23" ht="15.75" customHeight="1">
      <c r="A25" s="6">
        <v>45819</v>
      </c>
      <c r="B25" s="7" t="s">
        <v>19</v>
      </c>
      <c r="C25" s="7">
        <v>22</v>
      </c>
      <c r="D25" s="8">
        <f>IFERROR(VLOOKUP($B25,Task!$B$1:$G$70,6,0)," ")</f>
        <v>2.7777777777777779E-3</v>
      </c>
      <c r="E25" s="9">
        <f t="shared" si="0"/>
        <v>6.1111111111111116E-2</v>
      </c>
      <c r="F25" s="10">
        <f t="shared" si="13"/>
        <v>0.52861111111111114</v>
      </c>
      <c r="G25" s="10">
        <v>0.58589120370370373</v>
      </c>
      <c r="H25" s="8">
        <f t="shared" si="1"/>
        <v>5.7280092592592591E-2</v>
      </c>
      <c r="I25" s="11">
        <f t="shared" si="2"/>
        <v>0.58972222222222226</v>
      </c>
      <c r="J25" s="8"/>
      <c r="K25" s="8"/>
      <c r="L25" s="8"/>
      <c r="M25" s="18"/>
      <c r="N25" s="13">
        <f t="shared" si="3"/>
        <v>1.0668821984239241</v>
      </c>
      <c r="O25" s="4"/>
      <c r="P25" s="21" t="s">
        <v>21</v>
      </c>
    </row>
    <row r="26" spans="1:23" ht="14.5">
      <c r="A26" s="6">
        <v>45819</v>
      </c>
      <c r="B26" s="7" t="s">
        <v>19</v>
      </c>
      <c r="C26" s="7">
        <v>32</v>
      </c>
      <c r="D26" s="8">
        <f>IFERROR(VLOOKUP($B26,Task!$B$1:$G$70,6,0)," ")</f>
        <v>2.7777777777777779E-3</v>
      </c>
      <c r="E26" s="9">
        <f t="shared" si="0"/>
        <v>8.8888888888888892E-2</v>
      </c>
      <c r="F26" s="10">
        <f t="shared" si="13"/>
        <v>0.58589120370370373</v>
      </c>
      <c r="G26" s="10">
        <v>0.68699074074074074</v>
      </c>
      <c r="H26" s="8">
        <f t="shared" si="1"/>
        <v>7.9976851851851813E-2</v>
      </c>
      <c r="I26" s="11">
        <f t="shared" si="2"/>
        <v>0.69590277777777787</v>
      </c>
      <c r="J26" s="8"/>
      <c r="K26" s="8"/>
      <c r="L26" s="8">
        <v>2.1122685185185185E-2</v>
      </c>
      <c r="M26" s="18"/>
      <c r="N26" s="13">
        <f t="shared" si="3"/>
        <v>1.1114327062228659</v>
      </c>
      <c r="O26" s="19"/>
      <c r="P26" s="22" t="s">
        <v>0</v>
      </c>
      <c r="Q26" s="22" t="s">
        <v>14</v>
      </c>
      <c r="R26" s="22" t="s">
        <v>22</v>
      </c>
      <c r="S26" s="22" t="s">
        <v>23</v>
      </c>
      <c r="T26" s="22" t="s">
        <v>24</v>
      </c>
    </row>
    <row r="27" spans="1:23" ht="14.5">
      <c r="A27" s="6">
        <v>45819</v>
      </c>
      <c r="B27" s="7" t="s">
        <v>19</v>
      </c>
      <c r="C27" s="7">
        <v>6</v>
      </c>
      <c r="D27" s="8">
        <f>IFERROR(VLOOKUP($B27,Task!$B$1:$G$70,6,0)," ")</f>
        <v>2.7777777777777779E-3</v>
      </c>
      <c r="E27" s="9">
        <f t="shared" si="0"/>
        <v>1.6666666666666666E-2</v>
      </c>
      <c r="F27" s="10">
        <f t="shared" si="13"/>
        <v>0.68699074074074074</v>
      </c>
      <c r="G27" s="10">
        <v>0.70942129629629624</v>
      </c>
      <c r="H27" s="8">
        <f t="shared" si="1"/>
        <v>1.5439814814814767E-2</v>
      </c>
      <c r="I27" s="11">
        <f t="shared" si="2"/>
        <v>0.71064814814814814</v>
      </c>
      <c r="J27" s="8"/>
      <c r="K27" s="8"/>
      <c r="L27" s="8">
        <v>6.9907407407407409E-3</v>
      </c>
      <c r="M27" s="18"/>
      <c r="N27" s="13">
        <f t="shared" si="3"/>
        <v>1.0794602698650708</v>
      </c>
      <c r="O27" s="19"/>
    </row>
    <row r="28" spans="1:23" ht="14.5">
      <c r="A28" s="6">
        <v>45819</v>
      </c>
      <c r="B28" s="7" t="s">
        <v>19</v>
      </c>
      <c r="C28" s="7">
        <v>16</v>
      </c>
      <c r="D28" s="8">
        <f>IFERROR(VLOOKUP($B28,Task!$B$1:$G$70,6,0)," ")</f>
        <v>2.7777777777777779E-3</v>
      </c>
      <c r="E28" s="9">
        <f t="shared" si="0"/>
        <v>4.4444444444444446E-2</v>
      </c>
      <c r="F28" s="10">
        <f t="shared" si="13"/>
        <v>0.70942129629629624</v>
      </c>
      <c r="G28" s="10">
        <v>0.75080431712558493</v>
      </c>
      <c r="H28" s="8">
        <f t="shared" si="1"/>
        <v>4.1383020829288686E-2</v>
      </c>
      <c r="I28" s="11">
        <f t="shared" si="2"/>
        <v>0.75386574074074064</v>
      </c>
      <c r="J28" s="8"/>
      <c r="K28" s="8"/>
      <c r="L28" s="8"/>
      <c r="M28" s="18"/>
      <c r="N28" s="13">
        <f t="shared" si="3"/>
        <v>1.0739777704432116</v>
      </c>
      <c r="O28" s="19"/>
    </row>
    <row r="29" spans="1:23" ht="14.5">
      <c r="A29" s="6">
        <v>45820</v>
      </c>
      <c r="B29" s="7" t="s">
        <v>19</v>
      </c>
      <c r="C29" s="7">
        <v>18</v>
      </c>
      <c r="D29" s="8">
        <f>IFERROR(VLOOKUP($B29,Task!$B$1:$G$70,6,0)," ")</f>
        <v>2.7777777777777779E-3</v>
      </c>
      <c r="E29" s="9">
        <f t="shared" si="0"/>
        <v>0.05</v>
      </c>
      <c r="F29" s="10">
        <v>0.35504629629629625</v>
      </c>
      <c r="G29" s="10">
        <v>0.45251157407407405</v>
      </c>
      <c r="H29" s="8">
        <f t="shared" si="1"/>
        <v>4.5960648148148174E-2</v>
      </c>
      <c r="I29" s="11">
        <f t="shared" si="2"/>
        <v>0.45655092592592589</v>
      </c>
      <c r="J29" s="8"/>
      <c r="K29" s="8"/>
      <c r="L29" s="8">
        <v>5.1504629629629629E-2</v>
      </c>
      <c r="M29" s="12"/>
      <c r="N29" s="13">
        <f t="shared" si="3"/>
        <v>1.0878871820700069</v>
      </c>
      <c r="O29" s="19"/>
    </row>
    <row r="30" spans="1:23" ht="14.5">
      <c r="A30" s="6">
        <v>45820</v>
      </c>
      <c r="B30" s="7" t="s">
        <v>18</v>
      </c>
      <c r="C30" s="7">
        <v>1</v>
      </c>
      <c r="D30" s="8">
        <f>IFERROR(VLOOKUP($B30,Task!$B$1:$G$70,6,0)," ")</f>
        <v>4.8611111111111112E-2</v>
      </c>
      <c r="E30" s="9">
        <f t="shared" si="0"/>
        <v>4.8611111111111112E-2</v>
      </c>
      <c r="F30" s="10">
        <f t="shared" ref="F30:F33" si="14">G29</f>
        <v>0.45251157407407405</v>
      </c>
      <c r="G30" s="10">
        <v>0.52017361111111116</v>
      </c>
      <c r="H30" s="8">
        <f t="shared" si="1"/>
        <v>4.4108796296296368E-2</v>
      </c>
      <c r="I30" s="11">
        <f t="shared" si="2"/>
        <v>0.52467592592592593</v>
      </c>
      <c r="J30" s="8"/>
      <c r="K30" s="8"/>
      <c r="L30" s="8">
        <v>2.3553240740740739E-2</v>
      </c>
      <c r="M30" s="12"/>
      <c r="N30" s="13">
        <f t="shared" si="3"/>
        <v>1.1020729467331392</v>
      </c>
      <c r="O30" s="4"/>
    </row>
    <row r="31" spans="1:23" ht="14.5">
      <c r="A31" s="6">
        <v>45820</v>
      </c>
      <c r="B31" s="7" t="s">
        <v>16</v>
      </c>
      <c r="C31" s="7">
        <v>24</v>
      </c>
      <c r="D31" s="8">
        <f>IFERROR(VLOOKUP($B31,Task!$B$1:$G$70,6,0)," ")</f>
        <v>5.5555555555555558E-3</v>
      </c>
      <c r="E31" s="9">
        <f t="shared" si="0"/>
        <v>0.13333333333333333</v>
      </c>
      <c r="F31" s="10">
        <f t="shared" si="14"/>
        <v>0.52017361111111116</v>
      </c>
      <c r="G31" s="10">
        <v>0.64217592592592587</v>
      </c>
      <c r="H31" s="8">
        <f t="shared" si="1"/>
        <v>0.12200231481481472</v>
      </c>
      <c r="I31" s="11">
        <f t="shared" si="2"/>
        <v>0.65350694444444446</v>
      </c>
      <c r="J31" s="8"/>
      <c r="K31" s="8"/>
      <c r="L31" s="8"/>
      <c r="M31" s="12"/>
      <c r="N31" s="13">
        <f t="shared" si="3"/>
        <v>1.0928754387629265</v>
      </c>
      <c r="O31" s="19"/>
    </row>
    <row r="32" spans="1:23" ht="14.5">
      <c r="A32" s="6">
        <v>45820</v>
      </c>
      <c r="B32" s="7" t="s">
        <v>18</v>
      </c>
      <c r="C32" s="7">
        <v>1</v>
      </c>
      <c r="D32" s="8">
        <f>IFERROR(VLOOKUP($B32,Task!$B$1:$G$70,6,0)," ")</f>
        <v>4.8611111111111112E-2</v>
      </c>
      <c r="E32" s="9">
        <f t="shared" si="0"/>
        <v>4.8611111111111112E-2</v>
      </c>
      <c r="F32" s="10">
        <f t="shared" si="14"/>
        <v>0.64217592592592587</v>
      </c>
      <c r="G32" s="10">
        <v>0.69354166666666661</v>
      </c>
      <c r="H32" s="8">
        <f t="shared" si="1"/>
        <v>5.136574074074074E-2</v>
      </c>
      <c r="I32" s="11">
        <f t="shared" si="2"/>
        <v>0.69078703703703703</v>
      </c>
      <c r="J32" s="8"/>
      <c r="K32" s="8"/>
      <c r="L32" s="8"/>
      <c r="M32" s="12"/>
      <c r="N32" s="13">
        <f t="shared" si="3"/>
        <v>0.94637223974763407</v>
      </c>
      <c r="O32" s="4"/>
    </row>
    <row r="33" spans="1:16" ht="14.5">
      <c r="A33" s="6">
        <v>45820</v>
      </c>
      <c r="B33" s="7" t="s">
        <v>16</v>
      </c>
      <c r="C33" s="7">
        <v>5</v>
      </c>
      <c r="D33" s="8">
        <f>IFERROR(VLOOKUP($B33,Task!$B$1:$G$70,6,0)," ")</f>
        <v>5.5555555555555558E-3</v>
      </c>
      <c r="E33" s="9">
        <f t="shared" si="0"/>
        <v>2.777777777777778E-2</v>
      </c>
      <c r="F33" s="10">
        <f t="shared" si="14"/>
        <v>0.69354166666666661</v>
      </c>
      <c r="G33" s="10">
        <v>0.73263888888888884</v>
      </c>
      <c r="H33" s="8">
        <f t="shared" si="1"/>
        <v>2.2037037037037042E-2</v>
      </c>
      <c r="I33" s="11">
        <f t="shared" si="2"/>
        <v>0.73837962962962955</v>
      </c>
      <c r="J33" s="8"/>
      <c r="K33" s="8"/>
      <c r="L33" s="8">
        <v>1.7060185185185185E-2</v>
      </c>
      <c r="M33" s="18"/>
      <c r="N33" s="13">
        <f t="shared" si="3"/>
        <v>1.260504201680672</v>
      </c>
      <c r="O33" s="19"/>
    </row>
    <row r="34" spans="1:16" ht="14.5">
      <c r="A34" s="6">
        <v>45821</v>
      </c>
      <c r="B34" s="7" t="s">
        <v>18</v>
      </c>
      <c r="C34" s="7">
        <v>1</v>
      </c>
      <c r="D34" s="8">
        <f>IFERROR(VLOOKUP($B34,Task!$B$1:$G$70,6,0)," ")</f>
        <v>4.8611111111111112E-2</v>
      </c>
      <c r="E34" s="9">
        <f t="shared" si="0"/>
        <v>4.8611111111111112E-2</v>
      </c>
      <c r="F34" s="10">
        <v>0.37593749999999998</v>
      </c>
      <c r="G34" s="10">
        <v>0.4597222222222222</v>
      </c>
      <c r="H34" s="8">
        <f t="shared" si="1"/>
        <v>4.3761574074074071E-2</v>
      </c>
      <c r="I34" s="11">
        <f t="shared" si="2"/>
        <v>0.46457175925925925</v>
      </c>
      <c r="J34" s="8"/>
      <c r="K34" s="8"/>
      <c r="L34" s="8">
        <v>4.0023148148148148E-2</v>
      </c>
      <c r="M34" s="18"/>
      <c r="N34" s="13">
        <f t="shared" si="3"/>
        <v>1.1108172441153135</v>
      </c>
      <c r="O34" s="19"/>
    </row>
    <row r="35" spans="1:16" ht="14.5">
      <c r="A35" s="6">
        <v>45821</v>
      </c>
      <c r="B35" s="7" t="s">
        <v>18</v>
      </c>
      <c r="C35" s="7">
        <v>1</v>
      </c>
      <c r="D35" s="8">
        <f>IFERROR(VLOOKUP($B35,Task!$B$1:$G$70,6,0)," ")</f>
        <v>4.8611111111111112E-2</v>
      </c>
      <c r="E35" s="9">
        <f t="shared" si="0"/>
        <v>4.8611111111111112E-2</v>
      </c>
      <c r="F35" s="10">
        <f t="shared" ref="F35:F39" si="15">G34</f>
        <v>0.4597222222222222</v>
      </c>
      <c r="G35" s="10">
        <v>0.50343749999999998</v>
      </c>
      <c r="H35" s="8">
        <f t="shared" si="1"/>
        <v>4.3715277777777783E-2</v>
      </c>
      <c r="I35" s="11">
        <f t="shared" si="2"/>
        <v>0.5083333333333333</v>
      </c>
      <c r="J35" s="8"/>
      <c r="K35" s="8"/>
      <c r="L35" s="8"/>
      <c r="M35" s="18"/>
      <c r="N35" s="13">
        <f t="shared" si="3"/>
        <v>1.1119936457505957</v>
      </c>
    </row>
    <row r="36" spans="1:16" ht="14.5">
      <c r="A36" s="6">
        <v>45821</v>
      </c>
      <c r="B36" s="7" t="s">
        <v>17</v>
      </c>
      <c r="C36" s="7">
        <v>2</v>
      </c>
      <c r="D36" s="8">
        <f>IFERROR(VLOOKUP($B36,Task!$B$1:$G$70,6,0)," ")</f>
        <v>2.0833333333333332E-2</v>
      </c>
      <c r="E36" s="9">
        <f t="shared" si="0"/>
        <v>4.1666666666666664E-2</v>
      </c>
      <c r="F36" s="10">
        <f t="shared" si="15"/>
        <v>0.50343749999999998</v>
      </c>
      <c r="G36" s="10">
        <v>0.54351851851851851</v>
      </c>
      <c r="H36" s="8">
        <f t="shared" si="1"/>
        <v>4.008101851851853E-2</v>
      </c>
      <c r="I36" s="11">
        <f t="shared" si="2"/>
        <v>0.54510416666666661</v>
      </c>
      <c r="J36" s="8"/>
      <c r="K36" s="8"/>
      <c r="L36" s="8"/>
      <c r="M36" s="18"/>
      <c r="N36" s="13">
        <f t="shared" si="3"/>
        <v>1.0395610742131096</v>
      </c>
    </row>
    <row r="37" spans="1:16" ht="14.5">
      <c r="A37" s="6">
        <v>45821</v>
      </c>
      <c r="B37" s="7" t="s">
        <v>16</v>
      </c>
      <c r="C37" s="7">
        <v>17</v>
      </c>
      <c r="D37" s="8">
        <f>IFERROR(VLOOKUP($B37,Task!$B$1:$G$70,6,0)," ")</f>
        <v>5.5555555555555558E-3</v>
      </c>
      <c r="E37" s="9">
        <f t="shared" si="0"/>
        <v>9.4444444444444442E-2</v>
      </c>
      <c r="F37" s="10">
        <f t="shared" si="15"/>
        <v>0.54351851851851851</v>
      </c>
      <c r="G37" s="10">
        <v>0.65164351851851854</v>
      </c>
      <c r="H37" s="8">
        <f t="shared" si="1"/>
        <v>8.5185185185185211E-2</v>
      </c>
      <c r="I37" s="11">
        <f t="shared" si="2"/>
        <v>0.66090277777777773</v>
      </c>
      <c r="J37" s="8"/>
      <c r="K37" s="8"/>
      <c r="L37" s="8">
        <v>2.2939814814814816E-2</v>
      </c>
      <c r="M37" s="18"/>
      <c r="N37" s="13">
        <f t="shared" si="3"/>
        <v>1.1086956521739126</v>
      </c>
      <c r="O37" s="19"/>
    </row>
    <row r="38" spans="1:16" ht="14.5">
      <c r="A38" s="6">
        <v>45821</v>
      </c>
      <c r="B38" s="7" t="s">
        <v>19</v>
      </c>
      <c r="C38" s="23">
        <v>20</v>
      </c>
      <c r="D38" s="8">
        <f>IFERROR(VLOOKUP($B38,Task!$B$1:$G$70,6,0)," ")</f>
        <v>2.7777777777777779E-3</v>
      </c>
      <c r="E38" s="9">
        <f t="shared" si="0"/>
        <v>5.5555555555555559E-2</v>
      </c>
      <c r="F38" s="10">
        <f t="shared" si="15"/>
        <v>0.65164351851851854</v>
      </c>
      <c r="G38" s="10">
        <v>0.7018402777777778</v>
      </c>
      <c r="H38" s="8">
        <f t="shared" si="1"/>
        <v>5.019675925925926E-2</v>
      </c>
      <c r="I38" s="11">
        <f t="shared" si="2"/>
        <v>0.70719907407407412</v>
      </c>
      <c r="J38" s="8"/>
      <c r="K38" s="8"/>
      <c r="L38" s="8"/>
      <c r="M38" s="12"/>
      <c r="N38" s="13">
        <f t="shared" si="3"/>
        <v>1.1067558219967719</v>
      </c>
      <c r="O38" s="19"/>
    </row>
    <row r="39" spans="1:16" ht="14.5">
      <c r="A39" s="6">
        <v>45821</v>
      </c>
      <c r="B39" s="7" t="s">
        <v>16</v>
      </c>
      <c r="C39" s="7">
        <v>10</v>
      </c>
      <c r="D39" s="8">
        <f>IFERROR(VLOOKUP($B39,Task!$B$1:$G$70,6,0)," ")</f>
        <v>5.5555555555555558E-3</v>
      </c>
      <c r="E39" s="9">
        <f t="shared" si="0"/>
        <v>5.5555555555555559E-2</v>
      </c>
      <c r="F39" s="10">
        <f t="shared" si="15"/>
        <v>0.7018402777777778</v>
      </c>
      <c r="G39" s="10">
        <v>0.75347222222222221</v>
      </c>
      <c r="H39" s="8">
        <f t="shared" si="1"/>
        <v>5.1631944444444411E-2</v>
      </c>
      <c r="I39" s="11">
        <f t="shared" si="2"/>
        <v>0.75739583333333338</v>
      </c>
      <c r="J39" s="8"/>
      <c r="K39" s="8"/>
      <c r="L39" s="8"/>
      <c r="M39" s="12"/>
      <c r="N39" s="13">
        <f t="shared" si="3"/>
        <v>1.0759919300605254</v>
      </c>
      <c r="O39" s="19"/>
    </row>
    <row r="40" spans="1:16" ht="14.5">
      <c r="A40" s="6">
        <v>45824</v>
      </c>
      <c r="B40" s="7" t="s">
        <v>16</v>
      </c>
      <c r="C40" s="7">
        <f>12-C39</f>
        <v>2</v>
      </c>
      <c r="D40" s="8">
        <f>IFERROR(VLOOKUP($B40,Task!$B$1:$G$70,6,0)," ")</f>
        <v>5.5555555555555558E-3</v>
      </c>
      <c r="E40" s="9">
        <f t="shared" si="0"/>
        <v>1.1111111111111112E-2</v>
      </c>
      <c r="F40" s="10">
        <v>0.391087962962963</v>
      </c>
      <c r="G40" s="10">
        <v>0.40119212962962963</v>
      </c>
      <c r="H40" s="8">
        <f t="shared" si="1"/>
        <v>1.0104166666666636E-2</v>
      </c>
      <c r="I40" s="11">
        <f t="shared" si="2"/>
        <v>0.40219907407407413</v>
      </c>
      <c r="J40" s="8"/>
      <c r="K40" s="8"/>
      <c r="L40" s="8"/>
      <c r="M40" s="12"/>
      <c r="N40" s="13">
        <f t="shared" si="3"/>
        <v>1.0996563573883196</v>
      </c>
      <c r="O40" s="19"/>
      <c r="P40" s="22" t="s">
        <v>25</v>
      </c>
    </row>
    <row r="41" spans="1:16" ht="14.5">
      <c r="A41" s="6">
        <v>45824</v>
      </c>
      <c r="B41" s="7" t="s">
        <v>17</v>
      </c>
      <c r="C41" s="7">
        <v>1</v>
      </c>
      <c r="D41" s="8">
        <f>IFERROR(VLOOKUP($B41,Task!$B$1:$G$70,6,0)," ")</f>
        <v>2.0833333333333332E-2</v>
      </c>
      <c r="E41" s="9">
        <f t="shared" si="0"/>
        <v>2.0833333333333332E-2</v>
      </c>
      <c r="F41" s="10">
        <f t="shared" ref="F41:F47" si="16">G40</f>
        <v>0.40119212962962963</v>
      </c>
      <c r="G41" s="10">
        <v>0.43659722222222225</v>
      </c>
      <c r="H41" s="8">
        <f t="shared" si="1"/>
        <v>1.8946759259259281E-2</v>
      </c>
      <c r="I41" s="11">
        <f t="shared" si="2"/>
        <v>0.4384837962962963</v>
      </c>
      <c r="J41" s="8"/>
      <c r="K41" s="8"/>
      <c r="L41" s="8">
        <v>1.6458333333333332E-2</v>
      </c>
      <c r="M41" s="12"/>
      <c r="N41" s="13">
        <f t="shared" si="3"/>
        <v>1.0995723885155759</v>
      </c>
      <c r="O41" s="4"/>
    </row>
    <row r="42" spans="1:16" ht="14.5">
      <c r="A42" s="6">
        <v>45824</v>
      </c>
      <c r="B42" s="7" t="s">
        <v>18</v>
      </c>
      <c r="C42" s="7">
        <v>1</v>
      </c>
      <c r="D42" s="8">
        <f>IFERROR(VLOOKUP($B42,Task!$B$1:$G$70,6,0)," ")</f>
        <v>4.8611111111111112E-2</v>
      </c>
      <c r="E42" s="9">
        <f t="shared" si="0"/>
        <v>4.8611111111111112E-2</v>
      </c>
      <c r="F42" s="10">
        <f t="shared" si="16"/>
        <v>0.43659722222222225</v>
      </c>
      <c r="G42" s="10">
        <v>0.50019675925925922</v>
      </c>
      <c r="H42" s="8">
        <f t="shared" si="1"/>
        <v>4.3761574074074008E-2</v>
      </c>
      <c r="I42" s="11">
        <f t="shared" si="2"/>
        <v>0.50504629629629627</v>
      </c>
      <c r="J42" s="8"/>
      <c r="K42" s="8"/>
      <c r="L42" s="8">
        <v>1.9837962962962963E-2</v>
      </c>
      <c r="M42" s="12"/>
      <c r="N42" s="13">
        <f t="shared" si="3"/>
        <v>1.110817244115315</v>
      </c>
      <c r="O42" s="19"/>
    </row>
    <row r="43" spans="1:16" ht="14.5">
      <c r="A43" s="6">
        <v>45824</v>
      </c>
      <c r="B43" s="7" t="s">
        <v>19</v>
      </c>
      <c r="C43" s="7">
        <v>38</v>
      </c>
      <c r="D43" s="8">
        <f>IFERROR(VLOOKUP($B43,Task!$B$1:$G$70,6,0)," ")</f>
        <v>2.7777777777777779E-3</v>
      </c>
      <c r="E43" s="9">
        <f t="shared" si="0"/>
        <v>0.10555555555555556</v>
      </c>
      <c r="F43" s="10">
        <f t="shared" si="16"/>
        <v>0.50019675925925922</v>
      </c>
      <c r="G43" s="10">
        <v>0.59619212962962964</v>
      </c>
      <c r="H43" s="8">
        <f t="shared" si="1"/>
        <v>9.5995370370370425E-2</v>
      </c>
      <c r="I43" s="11">
        <f t="shared" si="2"/>
        <v>0.60575231481481473</v>
      </c>
      <c r="J43" s="8"/>
      <c r="K43" s="8"/>
      <c r="L43" s="8"/>
      <c r="M43" s="12"/>
      <c r="N43" s="13">
        <f t="shared" si="3"/>
        <v>1.0995900651073058</v>
      </c>
      <c r="O43" s="19"/>
    </row>
    <row r="44" spans="1:16" ht="14.5">
      <c r="A44" s="6">
        <v>45824</v>
      </c>
      <c r="B44" s="7" t="s">
        <v>19</v>
      </c>
      <c r="C44" s="7">
        <f>64-C43</f>
        <v>26</v>
      </c>
      <c r="D44" s="8">
        <f>IFERROR(VLOOKUP($B44,Task!$B$1:$G$70,6,0)," ")</f>
        <v>2.7777777777777779E-3</v>
      </c>
      <c r="E44" s="9">
        <f t="shared" si="0"/>
        <v>7.2222222222222229E-2</v>
      </c>
      <c r="F44" s="10">
        <f t="shared" si="16"/>
        <v>0.59619212962962964</v>
      </c>
      <c r="G44" s="10">
        <v>0.67327546296296292</v>
      </c>
      <c r="H44" s="8">
        <f t="shared" si="1"/>
        <v>6.5636574074074028E-2</v>
      </c>
      <c r="I44" s="11">
        <f t="shared" si="2"/>
        <v>0.67986111111111114</v>
      </c>
      <c r="J44" s="8"/>
      <c r="K44" s="8"/>
      <c r="L44" s="8">
        <v>1.1446759259259259E-2</v>
      </c>
      <c r="M44" s="12"/>
      <c r="N44" s="13">
        <f t="shared" si="3"/>
        <v>1.1003350379121857</v>
      </c>
      <c r="O44" s="19"/>
    </row>
    <row r="45" spans="1:16" ht="14.5">
      <c r="A45" s="6">
        <v>45824</v>
      </c>
      <c r="B45" s="7" t="s">
        <v>26</v>
      </c>
      <c r="C45" s="7">
        <v>1</v>
      </c>
      <c r="D45" s="8">
        <f>IFERROR(VLOOKUP($B45,Task!$B$1:$G$70,6,0)," ")</f>
        <v>2.0833333333333332E-2</v>
      </c>
      <c r="E45" s="9">
        <f t="shared" si="0"/>
        <v>2.0833333333333332E-2</v>
      </c>
      <c r="F45" s="10">
        <f t="shared" si="16"/>
        <v>0.67327546296296292</v>
      </c>
      <c r="G45" s="10">
        <v>0.71643518518518523</v>
      </c>
      <c r="H45" s="8">
        <f t="shared" si="1"/>
        <v>1.9097222222222307E-2</v>
      </c>
      <c r="I45" s="11">
        <f t="shared" si="2"/>
        <v>0.71817129629629628</v>
      </c>
      <c r="J45" s="8"/>
      <c r="K45" s="8"/>
      <c r="L45" s="8">
        <v>2.4062500000000001E-2</v>
      </c>
      <c r="M45" s="12"/>
      <c r="N45" s="13">
        <f t="shared" si="3"/>
        <v>1.0909090909090859</v>
      </c>
      <c r="O45" s="19"/>
    </row>
    <row r="46" spans="1:16" ht="14.5">
      <c r="A46" s="6">
        <v>45824</v>
      </c>
      <c r="B46" s="7" t="s">
        <v>27</v>
      </c>
      <c r="C46" s="7">
        <v>26</v>
      </c>
      <c r="D46" s="8">
        <f>IFERROR(VLOOKUP($B46,Task!$B$1:$G$70,6,0)," ")</f>
        <v>1.3888888888888889E-3</v>
      </c>
      <c r="E46" s="9">
        <f t="shared" si="0"/>
        <v>3.6111111111111115E-2</v>
      </c>
      <c r="F46" s="10">
        <f t="shared" si="16"/>
        <v>0.71643518518518523</v>
      </c>
      <c r="G46" s="8">
        <v>0.75002314814814819</v>
      </c>
      <c r="H46" s="8">
        <f t="shared" si="1"/>
        <v>3.3587962962962958E-2</v>
      </c>
      <c r="I46" s="11">
        <f t="shared" si="2"/>
        <v>0.75254629629629632</v>
      </c>
      <c r="J46" s="8"/>
      <c r="K46" s="8"/>
      <c r="L46" s="8"/>
      <c r="M46" s="12"/>
      <c r="N46" s="13">
        <f t="shared" si="3"/>
        <v>1.075120606478291</v>
      </c>
      <c r="O46" s="4"/>
    </row>
    <row r="47" spans="1:16" ht="14.5">
      <c r="A47" s="6">
        <v>45824</v>
      </c>
      <c r="B47" s="7" t="s">
        <v>27</v>
      </c>
      <c r="C47" s="7">
        <v>15</v>
      </c>
      <c r="D47" s="8">
        <f>IFERROR(VLOOKUP($B47,Task!$B$1:$G$70,6,0)," ")</f>
        <v>1.3888888888888889E-3</v>
      </c>
      <c r="E47" s="9">
        <f t="shared" si="0"/>
        <v>2.0833333333333336E-2</v>
      </c>
      <c r="F47" s="10">
        <f t="shared" si="16"/>
        <v>0.75002314814814819</v>
      </c>
      <c r="G47" s="10">
        <v>0.76875000000000004</v>
      </c>
      <c r="H47" s="8">
        <f t="shared" si="1"/>
        <v>1.8726851851851856E-2</v>
      </c>
      <c r="I47" s="11">
        <f t="shared" si="2"/>
        <v>0.77085648148148156</v>
      </c>
      <c r="J47" s="8"/>
      <c r="K47" s="8"/>
      <c r="L47" s="8"/>
      <c r="M47" s="18"/>
      <c r="N47" s="13">
        <f t="shared" si="3"/>
        <v>1.1124845488257107</v>
      </c>
      <c r="O47" s="19"/>
    </row>
    <row r="48" spans="1:16" ht="14.5">
      <c r="A48" s="6">
        <v>45825</v>
      </c>
      <c r="B48" s="7" t="s">
        <v>27</v>
      </c>
      <c r="C48" s="7">
        <v>51</v>
      </c>
      <c r="D48" s="8">
        <f>IFERROR(VLOOKUP($B48,Task!$B$1:$G$70,6,0)," ")</f>
        <v>1.3888888888888889E-3</v>
      </c>
      <c r="E48" s="9">
        <f t="shared" si="0"/>
        <v>7.0833333333333331E-2</v>
      </c>
      <c r="F48" s="10">
        <v>0.37870370370370371</v>
      </c>
      <c r="G48" s="10">
        <v>0.44299768518518517</v>
      </c>
      <c r="H48" s="8">
        <f t="shared" si="1"/>
        <v>6.4293981481481466E-2</v>
      </c>
      <c r="I48" s="11">
        <f t="shared" si="2"/>
        <v>0.44953703703703707</v>
      </c>
      <c r="J48" s="8"/>
      <c r="K48" s="8"/>
      <c r="L48" s="8"/>
      <c r="M48" s="12"/>
      <c r="N48" s="13">
        <f t="shared" si="3"/>
        <v>1.101710171017102</v>
      </c>
      <c r="O48" s="4"/>
    </row>
    <row r="49" spans="1:23" ht="14.5">
      <c r="A49" s="6">
        <v>45825</v>
      </c>
      <c r="B49" s="7" t="s">
        <v>18</v>
      </c>
      <c r="C49" s="7">
        <v>1</v>
      </c>
      <c r="D49" s="8">
        <f>IFERROR(VLOOKUP($B49,Task!$B$1:$G$70,6,0)," ")</f>
        <v>4.8611111111111112E-2</v>
      </c>
      <c r="E49" s="9">
        <f t="shared" si="0"/>
        <v>4.8611111111111112E-2</v>
      </c>
      <c r="F49" s="10">
        <f t="shared" ref="F49:F52" si="17">G48</f>
        <v>0.44299768518518517</v>
      </c>
      <c r="G49" s="10">
        <v>0.51443287037037033</v>
      </c>
      <c r="H49" s="8">
        <f t="shared" si="1"/>
        <v>4.3449074074074043E-2</v>
      </c>
      <c r="I49" s="11">
        <f t="shared" si="2"/>
        <v>0.51959490740740744</v>
      </c>
      <c r="J49" s="8"/>
      <c r="K49" s="8"/>
      <c r="L49" s="8">
        <v>2.7986111111111111E-2</v>
      </c>
      <c r="M49" s="18"/>
      <c r="N49" s="13">
        <f t="shared" si="3"/>
        <v>1.1188066062866284</v>
      </c>
      <c r="O49" s="19"/>
    </row>
    <row r="50" spans="1:23" ht="14.5">
      <c r="A50" s="6">
        <v>45825</v>
      </c>
      <c r="B50" s="7" t="s">
        <v>16</v>
      </c>
      <c r="C50" s="7">
        <v>20</v>
      </c>
      <c r="D50" s="8">
        <f>IFERROR(VLOOKUP($B50,Task!$B$1:$G$70,6,0)," ")</f>
        <v>5.5555555555555558E-3</v>
      </c>
      <c r="E50" s="9">
        <f t="shared" si="0"/>
        <v>0.11111111111111112</v>
      </c>
      <c r="F50" s="10">
        <f t="shared" si="17"/>
        <v>0.51443287037037033</v>
      </c>
      <c r="G50" s="10">
        <v>0.65295138888888893</v>
      </c>
      <c r="H50" s="8">
        <f t="shared" si="1"/>
        <v>0.10099537037037046</v>
      </c>
      <c r="I50" s="11">
        <f t="shared" si="2"/>
        <v>0.66306712962962966</v>
      </c>
      <c r="J50" s="8"/>
      <c r="K50" s="8"/>
      <c r="L50" s="8">
        <v>3.7523148148148146E-2</v>
      </c>
      <c r="M50" s="12"/>
      <c r="N50" s="13">
        <f t="shared" si="3"/>
        <v>1.1001604400641751</v>
      </c>
      <c r="O50" s="4"/>
    </row>
    <row r="51" spans="1:23" ht="14.5">
      <c r="A51" s="6">
        <v>45825</v>
      </c>
      <c r="B51" s="7" t="s">
        <v>18</v>
      </c>
      <c r="C51" s="7">
        <v>1</v>
      </c>
      <c r="D51" s="8">
        <f>IFERROR(VLOOKUP($B51,Task!$B$1:$G$70,6,0)," ")</f>
        <v>4.8611111111111112E-2</v>
      </c>
      <c r="E51" s="9">
        <f t="shared" si="0"/>
        <v>4.8611111111111112E-2</v>
      </c>
      <c r="F51" s="10">
        <f t="shared" si="17"/>
        <v>0.65295138888888893</v>
      </c>
      <c r="G51" s="10">
        <v>0.71128472222222228</v>
      </c>
      <c r="H51" s="8">
        <f t="shared" si="1"/>
        <v>4.416666666666668E-2</v>
      </c>
      <c r="I51" s="11">
        <f t="shared" si="2"/>
        <v>0.71572916666666675</v>
      </c>
      <c r="J51" s="8"/>
      <c r="K51" s="8"/>
      <c r="L51" s="8">
        <v>1.4166666666666666E-2</v>
      </c>
      <c r="M51" s="12"/>
      <c r="N51" s="13">
        <f t="shared" si="3"/>
        <v>1.1006289308176098</v>
      </c>
      <c r="O51" s="19"/>
    </row>
    <row r="52" spans="1:23" ht="14.5">
      <c r="A52" s="6">
        <v>45825</v>
      </c>
      <c r="B52" s="7" t="s">
        <v>27</v>
      </c>
      <c r="C52" s="7">
        <v>36</v>
      </c>
      <c r="D52" s="8">
        <f>IFERROR(VLOOKUP($B52,Task!$B$1:$G$70,6,0)," ")</f>
        <v>1.3888888888888889E-3</v>
      </c>
      <c r="E52" s="9">
        <f t="shared" si="0"/>
        <v>0.05</v>
      </c>
      <c r="F52" s="10">
        <f t="shared" si="17"/>
        <v>0.71128472222222228</v>
      </c>
      <c r="G52" s="10">
        <v>0.75694444444444442</v>
      </c>
      <c r="H52" s="8">
        <f t="shared" si="1"/>
        <v>4.5659722222222143E-2</v>
      </c>
      <c r="I52" s="11">
        <f t="shared" si="2"/>
        <v>0.76128472222222232</v>
      </c>
      <c r="J52" s="8"/>
      <c r="K52" s="8"/>
      <c r="L52" s="8"/>
      <c r="M52" s="12"/>
      <c r="N52" s="13">
        <f t="shared" si="3"/>
        <v>1.0950570342205344</v>
      </c>
      <c r="O52" s="19"/>
    </row>
    <row r="53" spans="1:23" ht="14.5">
      <c r="A53" s="6">
        <v>45827</v>
      </c>
      <c r="B53" s="7" t="s">
        <v>18</v>
      </c>
      <c r="C53" s="7">
        <v>1</v>
      </c>
      <c r="D53" s="8">
        <f>IFERROR(VLOOKUP($B53,Task!$B$1:$G$70,6,0)," ")</f>
        <v>4.8611111111111112E-2</v>
      </c>
      <c r="E53" s="9">
        <f t="shared" si="0"/>
        <v>4.8611111111111112E-2</v>
      </c>
      <c r="F53" s="10">
        <v>0.36989583333333331</v>
      </c>
      <c r="G53" s="10">
        <v>0.41365740740740742</v>
      </c>
      <c r="H53" s="8">
        <f t="shared" si="1"/>
        <v>4.3761574074074105E-2</v>
      </c>
      <c r="I53" s="11">
        <f t="shared" si="2"/>
        <v>0.41850694444444442</v>
      </c>
      <c r="J53" s="8"/>
      <c r="K53" s="8"/>
      <c r="L53" s="8"/>
      <c r="M53" s="12"/>
      <c r="N53" s="13">
        <f t="shared" si="3"/>
        <v>1.1108172441153126</v>
      </c>
      <c r="O53" s="19"/>
    </row>
    <row r="54" spans="1:23" ht="14.5">
      <c r="A54" s="6">
        <v>45827</v>
      </c>
      <c r="B54" s="7" t="s">
        <v>27</v>
      </c>
      <c r="C54" s="7">
        <v>115</v>
      </c>
      <c r="D54" s="8">
        <f>IFERROR(VLOOKUP($B54,Task!$B$1:$G$70,6,0)," ")</f>
        <v>1.3888888888888889E-3</v>
      </c>
      <c r="E54" s="9">
        <f t="shared" si="0"/>
        <v>0.15972222222222224</v>
      </c>
      <c r="F54" s="10">
        <f t="shared" ref="F54:F59" si="18">G53</f>
        <v>0.41365740740740742</v>
      </c>
      <c r="G54" s="10">
        <v>0.61484953703703704</v>
      </c>
      <c r="H54" s="8">
        <f t="shared" si="1"/>
        <v>0.14520833333333333</v>
      </c>
      <c r="I54" s="11">
        <f t="shared" si="2"/>
        <v>0.62936342592592598</v>
      </c>
      <c r="J54" s="8"/>
      <c r="K54" s="8"/>
      <c r="L54" s="8">
        <v>5.5983796296296295E-2</v>
      </c>
      <c r="M54" s="18"/>
      <c r="N54" s="13">
        <f t="shared" si="3"/>
        <v>1.0999521759923483</v>
      </c>
      <c r="O54" s="19"/>
    </row>
    <row r="55" spans="1:23" ht="14.5">
      <c r="A55" s="6">
        <v>45827</v>
      </c>
      <c r="B55" s="7" t="s">
        <v>17</v>
      </c>
      <c r="C55" s="7">
        <v>1</v>
      </c>
      <c r="D55" s="8">
        <f>IFERROR(VLOOKUP($B55,Task!$B$1:$G$70,6,0)," ")</f>
        <v>2.0833333333333332E-2</v>
      </c>
      <c r="E55" s="9">
        <f t="shared" si="0"/>
        <v>2.0833333333333332E-2</v>
      </c>
      <c r="F55" s="10">
        <f t="shared" si="18"/>
        <v>0.61484953703703704</v>
      </c>
      <c r="G55" s="10">
        <v>0.63378256944270106</v>
      </c>
      <c r="H55" s="8">
        <f t="shared" si="1"/>
        <v>1.8933032405664019E-2</v>
      </c>
      <c r="I55" s="11">
        <f t="shared" si="2"/>
        <v>0.63568287037037041</v>
      </c>
      <c r="J55" s="8"/>
      <c r="K55" s="8"/>
      <c r="L55" s="8"/>
      <c r="M55" s="18"/>
      <c r="N55" s="13">
        <f t="shared" si="3"/>
        <v>1.100369602024281</v>
      </c>
      <c r="O55" s="19"/>
    </row>
    <row r="56" spans="1:23" ht="14.5">
      <c r="A56" s="6">
        <v>45827</v>
      </c>
      <c r="B56" s="7" t="s">
        <v>28</v>
      </c>
      <c r="C56" s="7">
        <v>15</v>
      </c>
      <c r="D56" s="8">
        <f>IFERROR(VLOOKUP($B56,Task!$B$1:$G$70,6,0)," ")</f>
        <v>1.3888888888888889E-3</v>
      </c>
      <c r="E56" s="9">
        <f t="shared" si="0"/>
        <v>2.0833333333333336E-2</v>
      </c>
      <c r="F56" s="10">
        <f t="shared" si="18"/>
        <v>0.63378256944270106</v>
      </c>
      <c r="G56" s="10">
        <v>0.65307870370370369</v>
      </c>
      <c r="H56" s="8">
        <f t="shared" si="1"/>
        <v>1.9296134261002629E-2</v>
      </c>
      <c r="I56" s="11">
        <f t="shared" si="2"/>
        <v>0.65461590277603443</v>
      </c>
      <c r="J56" s="8"/>
      <c r="K56" s="8"/>
      <c r="L56" s="8"/>
      <c r="M56" s="18"/>
      <c r="N56" s="13">
        <f t="shared" si="3"/>
        <v>1.0796635767319145</v>
      </c>
      <c r="O56" s="19"/>
      <c r="P56" s="4"/>
    </row>
    <row r="57" spans="1:23" ht="14.5">
      <c r="A57" s="6">
        <v>45827</v>
      </c>
      <c r="B57" s="7" t="s">
        <v>29</v>
      </c>
      <c r="C57" s="7">
        <v>23</v>
      </c>
      <c r="D57" s="8">
        <f>IFERROR(VLOOKUP($B57,Task!$B$1:$G$70,6,0)," ")</f>
        <v>2.0833333333333333E-3</v>
      </c>
      <c r="E57" s="9">
        <f t="shared" si="0"/>
        <v>4.7916666666666663E-2</v>
      </c>
      <c r="F57" s="10">
        <f t="shared" si="18"/>
        <v>0.65307870370370369</v>
      </c>
      <c r="G57" s="10">
        <v>0.70155092592592594</v>
      </c>
      <c r="H57" s="8">
        <f t="shared" si="1"/>
        <v>4.4502314814814842E-2</v>
      </c>
      <c r="I57" s="11">
        <f t="shared" si="2"/>
        <v>0.70496527777777784</v>
      </c>
      <c r="J57" s="8"/>
      <c r="K57" s="8"/>
      <c r="L57" s="8">
        <v>3.9699074074074072E-3</v>
      </c>
      <c r="M57" s="18"/>
      <c r="N57" s="13">
        <f t="shared" si="3"/>
        <v>1.0767230169050708</v>
      </c>
      <c r="O57" s="19"/>
      <c r="P57" s="4"/>
    </row>
    <row r="58" spans="1:23" ht="14.5">
      <c r="A58" s="6">
        <v>45827</v>
      </c>
      <c r="B58" s="7" t="s">
        <v>29</v>
      </c>
      <c r="C58" s="7">
        <v>14</v>
      </c>
      <c r="D58" s="8">
        <f>IFERROR(VLOOKUP($B58,Task!$B$1:$G$70,6,0)," ")</f>
        <v>2.0833333333333333E-3</v>
      </c>
      <c r="E58" s="9">
        <f t="shared" si="0"/>
        <v>2.9166666666666667E-2</v>
      </c>
      <c r="F58" s="10">
        <f t="shared" si="18"/>
        <v>0.70155092592592594</v>
      </c>
      <c r="G58" s="10">
        <v>0.72763888888888884</v>
      </c>
      <c r="H58" s="8">
        <f t="shared" si="1"/>
        <v>2.6087962962962896E-2</v>
      </c>
      <c r="I58" s="11">
        <f t="shared" si="2"/>
        <v>0.73071759259259261</v>
      </c>
      <c r="J58" s="8"/>
      <c r="K58" s="8"/>
      <c r="L58" s="8"/>
      <c r="M58" s="12"/>
      <c r="N58" s="13">
        <f t="shared" si="3"/>
        <v>1.1180124223602512</v>
      </c>
      <c r="O58" s="19"/>
      <c r="P58" s="24"/>
    </row>
    <row r="59" spans="1:23" ht="14.5">
      <c r="A59" s="6">
        <v>45827</v>
      </c>
      <c r="B59" s="7" t="s">
        <v>29</v>
      </c>
      <c r="C59" s="7">
        <v>11</v>
      </c>
      <c r="D59" s="8">
        <f>IFERROR(VLOOKUP($B59,Task!$B$1:$G$70,6,0)," ")</f>
        <v>2.0833333333333333E-3</v>
      </c>
      <c r="E59" s="9">
        <f t="shared" si="0"/>
        <v>2.2916666666666665E-2</v>
      </c>
      <c r="F59" s="10">
        <f t="shared" si="18"/>
        <v>0.72763888888888884</v>
      </c>
      <c r="G59" s="10">
        <v>0.75</v>
      </c>
      <c r="H59" s="8">
        <f t="shared" si="1"/>
        <v>2.2361111111111165E-2</v>
      </c>
      <c r="I59" s="11">
        <f t="shared" si="2"/>
        <v>0.75055555555555553</v>
      </c>
      <c r="J59" s="8"/>
      <c r="K59" s="8"/>
      <c r="L59" s="8"/>
      <c r="M59" s="12"/>
      <c r="N59" s="13">
        <f t="shared" si="3"/>
        <v>1.0248447204968918</v>
      </c>
      <c r="O59" s="19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45828</v>
      </c>
      <c r="B60" s="7" t="s">
        <v>18</v>
      </c>
      <c r="C60" s="7">
        <v>1</v>
      </c>
      <c r="D60" s="8">
        <f>IFERROR(VLOOKUP($B60,Task!$B$1:$G$70,6,0)," ")</f>
        <v>4.8611111111111112E-2</v>
      </c>
      <c r="E60" s="9">
        <f t="shared" si="0"/>
        <v>4.8611111111111112E-2</v>
      </c>
      <c r="F60" s="10">
        <v>0.38001157407407404</v>
      </c>
      <c r="G60" s="10">
        <v>0.47233796296296299</v>
      </c>
      <c r="H60" s="8">
        <f t="shared" si="1"/>
        <v>4.4178240740740796E-2</v>
      </c>
      <c r="I60" s="11">
        <f t="shared" si="2"/>
        <v>0.47677083333333331</v>
      </c>
      <c r="J60" s="8"/>
      <c r="K60" s="8"/>
      <c r="L60" s="8">
        <v>4.8148148148148148E-2</v>
      </c>
      <c r="M60" s="12"/>
      <c r="N60" s="13">
        <f t="shared" si="3"/>
        <v>1.1003405816085918</v>
      </c>
      <c r="O60" s="19"/>
      <c r="P60" s="4">
        <v>0.56751157407407404</v>
      </c>
      <c r="Q60" s="4"/>
    </row>
    <row r="61" spans="1:23" ht="14.5">
      <c r="A61" s="6">
        <v>45828</v>
      </c>
      <c r="B61" s="7" t="s">
        <v>18</v>
      </c>
      <c r="C61" s="7">
        <v>1</v>
      </c>
      <c r="D61" s="8">
        <f>IFERROR(VLOOKUP($B61,Task!$B$1:$G$70,6,0)," ")</f>
        <v>4.8611111111111112E-2</v>
      </c>
      <c r="E61" s="9">
        <f t="shared" si="0"/>
        <v>4.8611111111111112E-2</v>
      </c>
      <c r="F61" s="10">
        <f t="shared" ref="F61:F64" si="19">G60</f>
        <v>0.47233796296296299</v>
      </c>
      <c r="G61" s="10">
        <v>0.51652777777777781</v>
      </c>
      <c r="H61" s="8">
        <f t="shared" si="1"/>
        <v>4.4189814814814821E-2</v>
      </c>
      <c r="I61" s="11">
        <f t="shared" si="2"/>
        <v>0.52094907407407409</v>
      </c>
      <c r="J61" s="8"/>
      <c r="K61" s="8"/>
      <c r="L61" s="8"/>
      <c r="M61" s="12"/>
      <c r="N61" s="13">
        <f t="shared" si="3"/>
        <v>1.1000523834468308</v>
      </c>
      <c r="O61" s="19"/>
      <c r="P61" s="4">
        <v>0.86597222222222225</v>
      </c>
      <c r="Q61" s="4"/>
    </row>
    <row r="62" spans="1:23" ht="14.5">
      <c r="A62" s="6">
        <v>45828</v>
      </c>
      <c r="B62" s="7" t="s">
        <v>17</v>
      </c>
      <c r="C62" s="7">
        <v>1</v>
      </c>
      <c r="D62" s="8">
        <f>IFERROR(VLOOKUP($B62,Task!$B$1:$G$70,6,0)," ")</f>
        <v>2.0833333333333332E-2</v>
      </c>
      <c r="E62" s="9">
        <f t="shared" si="0"/>
        <v>2.0833333333333332E-2</v>
      </c>
      <c r="F62" s="10">
        <f t="shared" si="19"/>
        <v>0.51652777777777781</v>
      </c>
      <c r="G62" s="10">
        <v>0.53546296296296292</v>
      </c>
      <c r="H62" s="8">
        <f t="shared" si="1"/>
        <v>1.8935185185185111E-2</v>
      </c>
      <c r="I62" s="11">
        <f t="shared" si="2"/>
        <v>0.53736111111111118</v>
      </c>
      <c r="J62" s="8"/>
      <c r="K62" s="8"/>
      <c r="L62" s="8"/>
      <c r="M62" s="18"/>
      <c r="N62" s="13">
        <f t="shared" si="3"/>
        <v>1.1002444987775104</v>
      </c>
      <c r="O62" s="19"/>
      <c r="P62" s="4">
        <f>P61-P60</f>
        <v>0.29846064814814821</v>
      </c>
    </row>
    <row r="63" spans="1:23" ht="14.5">
      <c r="A63" s="6">
        <v>45828</v>
      </c>
      <c r="B63" s="7" t="s">
        <v>29</v>
      </c>
      <c r="C63" s="7">
        <v>31</v>
      </c>
      <c r="D63" s="8">
        <f>IFERROR(VLOOKUP($B63,Task!$B$1:$G$70,6,0)," ")</f>
        <v>2.0833333333333333E-3</v>
      </c>
      <c r="E63" s="9">
        <f t="shared" si="0"/>
        <v>6.4583333333333326E-2</v>
      </c>
      <c r="F63" s="10">
        <f t="shared" si="19"/>
        <v>0.53546296296296292</v>
      </c>
      <c r="G63" s="10">
        <v>0.59415509259259258</v>
      </c>
      <c r="H63" s="8">
        <f t="shared" si="1"/>
        <v>5.8692129629629664E-2</v>
      </c>
      <c r="I63" s="11">
        <f t="shared" si="2"/>
        <v>0.60004629629629624</v>
      </c>
      <c r="J63" s="8"/>
      <c r="K63" s="8"/>
      <c r="L63" s="8"/>
      <c r="M63" s="12"/>
      <c r="N63" s="13">
        <f t="shared" si="3"/>
        <v>1.1003746795503837</v>
      </c>
      <c r="P63" s="4">
        <v>4.8148148148148148E-2</v>
      </c>
    </row>
    <row r="64" spans="1:23" ht="14.5">
      <c r="A64" s="6">
        <v>45828</v>
      </c>
      <c r="B64" s="7" t="s">
        <v>29</v>
      </c>
      <c r="C64" s="7">
        <v>43</v>
      </c>
      <c r="D64" s="8">
        <f>IFERROR(VLOOKUP($B64,Task!$B$1:$G$70,6,0)," ")</f>
        <v>2.0833333333333333E-3</v>
      </c>
      <c r="E64" s="9">
        <f t="shared" si="0"/>
        <v>8.9583333333333334E-2</v>
      </c>
      <c r="F64" s="10">
        <f t="shared" si="19"/>
        <v>0.59415509259259258</v>
      </c>
      <c r="G64" s="10">
        <v>0.67847222222222225</v>
      </c>
      <c r="H64" s="8">
        <f t="shared" si="1"/>
        <v>8.4317129629629672E-2</v>
      </c>
      <c r="I64" s="11">
        <f t="shared" si="2"/>
        <v>0.68373842592592593</v>
      </c>
      <c r="J64" s="8"/>
      <c r="K64" s="8"/>
      <c r="L64" s="8"/>
      <c r="M64" s="12"/>
      <c r="N64" s="13">
        <f t="shared" si="3"/>
        <v>1.0624571036376109</v>
      </c>
      <c r="O64" s="4"/>
      <c r="P64" s="27">
        <f>P62-P63</f>
        <v>0.25031250000000005</v>
      </c>
    </row>
    <row r="65" spans="1:15" ht="14.5">
      <c r="A65" s="6">
        <v>45831</v>
      </c>
      <c r="B65" s="7" t="s">
        <v>30</v>
      </c>
      <c r="C65" s="7">
        <v>2</v>
      </c>
      <c r="D65" s="8">
        <f>IFERROR(VLOOKUP($B65,Task!$B$1:$G$70,6,0)," ")</f>
        <v>4.8611111111111112E-2</v>
      </c>
      <c r="E65" s="9">
        <f t="shared" si="0"/>
        <v>9.7222222222222224E-2</v>
      </c>
      <c r="F65" s="10">
        <v>0.37700231481481483</v>
      </c>
      <c r="G65" s="10">
        <v>0.4917361111111111</v>
      </c>
      <c r="H65" s="8">
        <f t="shared" si="1"/>
        <v>8.8518518518518483E-2</v>
      </c>
      <c r="I65" s="11">
        <f t="shared" si="2"/>
        <v>0.50043981481481481</v>
      </c>
      <c r="J65" s="8"/>
      <c r="K65" s="8"/>
      <c r="L65" s="8">
        <v>2.6215277777777778E-2</v>
      </c>
      <c r="M65" s="12"/>
      <c r="N65" s="13">
        <f t="shared" si="3"/>
        <v>1.0983263598326365</v>
      </c>
      <c r="O65" s="19"/>
    </row>
    <row r="66" spans="1:15" ht="14.5">
      <c r="A66" s="6">
        <v>45831</v>
      </c>
      <c r="B66" s="7" t="s">
        <v>29</v>
      </c>
      <c r="C66" s="7">
        <v>53</v>
      </c>
      <c r="D66" s="8">
        <f>IFERROR(VLOOKUP($B66,Task!$B$1:$G$70,6,0)," ")</f>
        <v>2.0833333333333333E-3</v>
      </c>
      <c r="E66" s="9">
        <f t="shared" si="0"/>
        <v>0.11041666666666666</v>
      </c>
      <c r="F66" s="10">
        <f t="shared" ref="F66:F69" si="20">G65</f>
        <v>0.4917361111111111</v>
      </c>
      <c r="G66" s="10">
        <v>0.59179398148148143</v>
      </c>
      <c r="H66" s="8">
        <f t="shared" si="1"/>
        <v>0.10005787037037034</v>
      </c>
      <c r="I66" s="11">
        <f t="shared" si="2"/>
        <v>0.60215277777777776</v>
      </c>
      <c r="J66" s="8"/>
      <c r="K66" s="8"/>
      <c r="L66" s="8"/>
      <c r="M66" s="12"/>
      <c r="N66" s="13">
        <f t="shared" si="3"/>
        <v>1.1035280508964722</v>
      </c>
      <c r="O66" s="19"/>
    </row>
    <row r="67" spans="1:15" ht="14.5">
      <c r="A67" s="6">
        <v>45831</v>
      </c>
      <c r="B67" s="7" t="s">
        <v>19</v>
      </c>
      <c r="C67" s="7">
        <v>20</v>
      </c>
      <c r="D67" s="8">
        <f>IFERROR(VLOOKUP($B67,Task!$B$1:$G$70,6,0)," ")</f>
        <v>2.7777777777777779E-3</v>
      </c>
      <c r="E67" s="9">
        <f t="shared" si="0"/>
        <v>5.5555555555555559E-2</v>
      </c>
      <c r="F67" s="10">
        <f t="shared" si="20"/>
        <v>0.59179398148148143</v>
      </c>
      <c r="G67" s="10">
        <v>0.64725694444444448</v>
      </c>
      <c r="H67" s="8">
        <f t="shared" si="1"/>
        <v>5.049768518518527E-2</v>
      </c>
      <c r="I67" s="11">
        <f t="shared" si="2"/>
        <v>0.65231481481481479</v>
      </c>
      <c r="J67" s="8"/>
      <c r="K67" s="8"/>
      <c r="L67" s="8">
        <v>4.9652777777777777E-3</v>
      </c>
      <c r="M67" s="18"/>
      <c r="N67" s="13">
        <f t="shared" si="3"/>
        <v>1.1001604400641742</v>
      </c>
      <c r="O67" s="19"/>
    </row>
    <row r="68" spans="1:15" ht="14.5">
      <c r="A68" s="6">
        <v>45831</v>
      </c>
      <c r="B68" s="7" t="s">
        <v>19</v>
      </c>
      <c r="C68" s="7">
        <v>30</v>
      </c>
      <c r="D68" s="8">
        <f>IFERROR(VLOOKUP($B68,Task!$B$1:$G$70,6,0)," ")</f>
        <v>2.7777777777777779E-3</v>
      </c>
      <c r="E68" s="9">
        <f t="shared" si="0"/>
        <v>8.3333333333333343E-2</v>
      </c>
      <c r="F68" s="10">
        <f t="shared" si="20"/>
        <v>0.64725694444444448</v>
      </c>
      <c r="G68" s="10">
        <v>0.7365856481481482</v>
      </c>
      <c r="H68" s="8">
        <f t="shared" si="1"/>
        <v>7.4386574074074091E-2</v>
      </c>
      <c r="I68" s="11">
        <f t="shared" si="2"/>
        <v>0.74553240740740745</v>
      </c>
      <c r="J68" s="8"/>
      <c r="K68" s="8"/>
      <c r="L68" s="8">
        <v>1.494212962962963E-2</v>
      </c>
      <c r="M68" s="18"/>
      <c r="N68" s="13">
        <f t="shared" si="3"/>
        <v>1.1202738447175975</v>
      </c>
      <c r="O68" s="19"/>
    </row>
    <row r="69" spans="1:15" ht="14.5">
      <c r="A69" s="6">
        <v>45831</v>
      </c>
      <c r="B69" s="7" t="s">
        <v>19</v>
      </c>
      <c r="C69" s="7">
        <v>9</v>
      </c>
      <c r="D69" s="8">
        <f>IFERROR(VLOOKUP($B69,Task!$B$1:$G$70,6,0)," ")</f>
        <v>2.7777777777777779E-3</v>
      </c>
      <c r="E69" s="9">
        <f t="shared" si="0"/>
        <v>2.5000000000000001E-2</v>
      </c>
      <c r="F69" s="10">
        <f t="shared" si="20"/>
        <v>0.7365856481481482</v>
      </c>
      <c r="G69" s="10">
        <v>0.75842475694662426</v>
      </c>
      <c r="H69" s="8">
        <f t="shared" si="1"/>
        <v>2.1839108798476059E-2</v>
      </c>
      <c r="I69" s="11">
        <f t="shared" si="2"/>
        <v>0.76158564814814822</v>
      </c>
      <c r="J69" s="8"/>
      <c r="K69" s="8"/>
      <c r="L69" s="8"/>
      <c r="M69" s="18"/>
      <c r="N69" s="13">
        <f t="shared" si="3"/>
        <v>1.1447353566801457</v>
      </c>
      <c r="O69" s="19"/>
    </row>
    <row r="70" spans="1:15" ht="14.5">
      <c r="A70" s="6">
        <v>45832</v>
      </c>
      <c r="B70" s="7" t="s">
        <v>18</v>
      </c>
      <c r="C70" s="7">
        <v>1</v>
      </c>
      <c r="D70" s="8">
        <f>IFERROR(VLOOKUP($B70,Task!$B$1:$G$70,6,0)," ")</f>
        <v>4.8611111111111112E-2</v>
      </c>
      <c r="E70" s="9">
        <f t="shared" si="0"/>
        <v>4.8611111111111112E-2</v>
      </c>
      <c r="F70" s="10">
        <v>0.38777777777777778</v>
      </c>
      <c r="G70" s="10">
        <v>0.43108796296296292</v>
      </c>
      <c r="H70" s="8">
        <f t="shared" si="1"/>
        <v>4.3310185185185146E-2</v>
      </c>
      <c r="I70" s="11">
        <f t="shared" si="2"/>
        <v>0.43638888888888888</v>
      </c>
      <c r="J70" s="8"/>
      <c r="K70" s="8"/>
      <c r="L70" s="8"/>
      <c r="M70" s="18"/>
      <c r="N70" s="13">
        <f t="shared" si="3"/>
        <v>1.1223944414751481</v>
      </c>
      <c r="O70" s="19"/>
    </row>
    <row r="71" spans="1:15" ht="14.5">
      <c r="A71" s="6">
        <v>45832</v>
      </c>
      <c r="B71" s="7" t="s">
        <v>26</v>
      </c>
      <c r="C71" s="7">
        <v>2</v>
      </c>
      <c r="D71" s="8">
        <f>IFERROR(VLOOKUP($B71,Task!$B$1:$G$70,6,0)," ")</f>
        <v>2.0833333333333332E-2</v>
      </c>
      <c r="E71" s="9">
        <f t="shared" si="0"/>
        <v>4.1666666666666664E-2</v>
      </c>
      <c r="F71" s="10">
        <v>0.44157407407407412</v>
      </c>
      <c r="G71" s="10">
        <v>0.53156250000000005</v>
      </c>
      <c r="H71" s="8">
        <f t="shared" si="1"/>
        <v>3.288194444444445E-2</v>
      </c>
      <c r="I71" s="11">
        <f t="shared" si="2"/>
        <v>0.54034722222222231</v>
      </c>
      <c r="J71" s="8"/>
      <c r="K71" s="8"/>
      <c r="L71" s="8">
        <v>5.710648148148148E-2</v>
      </c>
      <c r="M71" s="12"/>
      <c r="N71" s="13">
        <f t="shared" si="3"/>
        <v>1.267159450897571</v>
      </c>
      <c r="O71" s="4"/>
    </row>
    <row r="72" spans="1:15" ht="14.5">
      <c r="A72" s="6">
        <v>45832</v>
      </c>
      <c r="B72" s="7" t="s">
        <v>31</v>
      </c>
      <c r="C72" s="7">
        <v>1</v>
      </c>
      <c r="D72" s="8">
        <f>IFERROR(VLOOKUP($B72,Task!$B$1:$G$70,6,0)," ")</f>
        <v>2.0833333333333332E-2</v>
      </c>
      <c r="E72" s="9">
        <f t="shared" si="0"/>
        <v>2.0833333333333332E-2</v>
      </c>
      <c r="F72" s="10">
        <v>0.5022106481481482</v>
      </c>
      <c r="G72" s="10">
        <v>0.51981481481481484</v>
      </c>
      <c r="H72" s="8">
        <f t="shared" si="1"/>
        <v>1.7604166666666643E-2</v>
      </c>
      <c r="I72" s="11">
        <f t="shared" si="2"/>
        <v>0.52304398148148157</v>
      </c>
      <c r="J72" s="8"/>
      <c r="K72" s="8"/>
      <c r="L72" s="8"/>
      <c r="M72" s="18"/>
      <c r="N72" s="13">
        <f t="shared" si="3"/>
        <v>1.1834319526627235</v>
      </c>
      <c r="O72" s="19"/>
    </row>
    <row r="73" spans="1:15" ht="14.5">
      <c r="A73" s="6">
        <v>45832</v>
      </c>
      <c r="B73" s="7" t="s">
        <v>18</v>
      </c>
      <c r="C73" s="7">
        <v>3</v>
      </c>
      <c r="D73" s="8">
        <f>IFERROR(VLOOKUP($B73,Task!$B$1:$G$70,6,0)," ")</f>
        <v>4.8611111111111112E-2</v>
      </c>
      <c r="E73" s="9">
        <f t="shared" si="0"/>
        <v>0.14583333333333334</v>
      </c>
      <c r="F73" s="10">
        <v>0.54422453703703699</v>
      </c>
      <c r="G73" s="10"/>
      <c r="H73" s="8" t="str">
        <f t="shared" si="1"/>
        <v/>
      </c>
      <c r="I73" s="11">
        <f t="shared" si="2"/>
        <v>0.69005787037037036</v>
      </c>
      <c r="J73" s="8"/>
      <c r="K73" s="8"/>
      <c r="L73" s="8"/>
      <c r="M73" s="18"/>
      <c r="N73" s="13" t="str">
        <f t="shared" si="3"/>
        <v xml:space="preserve"> </v>
      </c>
      <c r="O73" s="19"/>
    </row>
    <row r="74" spans="1:15" ht="14.5">
      <c r="A74" s="6"/>
      <c r="B74" s="7"/>
      <c r="C74" s="7"/>
      <c r="D74" s="8" t="str">
        <f>IFERROR(VLOOKUP($B74,Task!$B$1:$G$70,6,0)," ")</f>
        <v xml:space="preserve"> </v>
      </c>
      <c r="E74" s="9" t="str">
        <f t="shared" si="0"/>
        <v xml:space="preserve"> </v>
      </c>
      <c r="F74" s="10"/>
      <c r="G74" s="10"/>
      <c r="H74" s="8" t="str">
        <f t="shared" si="1"/>
        <v/>
      </c>
      <c r="I74" s="11" t="str">
        <f t="shared" si="2"/>
        <v/>
      </c>
      <c r="J74" s="8"/>
      <c r="K74" s="8"/>
      <c r="L74" s="8"/>
      <c r="M74" s="12"/>
      <c r="N74" s="13" t="str">
        <f t="shared" si="3"/>
        <v xml:space="preserve"> </v>
      </c>
    </row>
    <row r="75" spans="1:15" ht="14.5">
      <c r="A75" s="6"/>
      <c r="B75" s="7"/>
      <c r="C75" s="7"/>
      <c r="D75" s="8" t="str">
        <f>IFERROR(VLOOKUP($B75,Task!$B$1:$G$70,6,0)," ")</f>
        <v xml:space="preserve"> </v>
      </c>
      <c r="E75" s="9" t="str">
        <f t="shared" si="0"/>
        <v xml:space="preserve"> </v>
      </c>
      <c r="F75" s="10"/>
      <c r="G75" s="10"/>
      <c r="H75" s="8" t="str">
        <f t="shared" si="1"/>
        <v/>
      </c>
      <c r="I75" s="11" t="str">
        <f t="shared" si="2"/>
        <v/>
      </c>
      <c r="J75" s="8"/>
      <c r="K75" s="8"/>
      <c r="L75" s="8"/>
      <c r="M75" s="12"/>
      <c r="N75" s="13" t="str">
        <f t="shared" si="3"/>
        <v xml:space="preserve"> </v>
      </c>
    </row>
    <row r="76" spans="1:15" ht="14.5">
      <c r="A76" s="6"/>
      <c r="B76" s="7"/>
      <c r="C76" s="7"/>
      <c r="D76" s="8" t="str">
        <f>IFERROR(VLOOKUP($B76,Task!$B$1:$G$70,6,0)," ")</f>
        <v xml:space="preserve"> </v>
      </c>
      <c r="E76" s="9" t="str">
        <f t="shared" si="0"/>
        <v xml:space="preserve"> </v>
      </c>
      <c r="F76" s="10"/>
      <c r="G76" s="10"/>
      <c r="H76" s="8" t="str">
        <f t="shared" si="1"/>
        <v/>
      </c>
      <c r="I76" s="11" t="str">
        <f t="shared" si="2"/>
        <v/>
      </c>
      <c r="J76" s="8"/>
      <c r="K76" s="8"/>
      <c r="L76" s="8"/>
      <c r="M76" s="12"/>
      <c r="N76" s="13" t="str">
        <f t="shared" si="3"/>
        <v xml:space="preserve"> </v>
      </c>
      <c r="O76" s="19"/>
    </row>
    <row r="77" spans="1:15" ht="14.5">
      <c r="A77" s="6"/>
      <c r="B77" s="7"/>
      <c r="C77" s="7"/>
      <c r="D77" s="8" t="str">
        <f>IFERROR(VLOOKUP($B77,Task!$B$1:$G$70,6,0)," ")</f>
        <v xml:space="preserve"> </v>
      </c>
      <c r="E77" s="9" t="str">
        <f t="shared" si="0"/>
        <v xml:space="preserve"> </v>
      </c>
      <c r="F77" s="10"/>
      <c r="G77" s="10"/>
      <c r="H77" s="8" t="str">
        <f t="shared" si="1"/>
        <v/>
      </c>
      <c r="I77" s="11" t="str">
        <f t="shared" si="2"/>
        <v/>
      </c>
      <c r="J77" s="8"/>
      <c r="K77" s="8"/>
      <c r="L77" s="8"/>
      <c r="M77" s="12"/>
      <c r="N77" s="13" t="str">
        <f t="shared" si="3"/>
        <v xml:space="preserve"> </v>
      </c>
      <c r="O77" s="19"/>
    </row>
    <row r="78" spans="1:15" ht="14.5">
      <c r="A78" s="6"/>
      <c r="B78" s="7"/>
      <c r="C78" s="7"/>
      <c r="D78" s="8" t="str">
        <f>IFERROR(VLOOKUP($B78,Task!$B$1:$G$70,6,0)," ")</f>
        <v xml:space="preserve"> </v>
      </c>
      <c r="E78" s="9" t="str">
        <f t="shared" si="0"/>
        <v xml:space="preserve"> </v>
      </c>
      <c r="F78" s="10"/>
      <c r="G78" s="10"/>
      <c r="H78" s="8" t="str">
        <f t="shared" si="1"/>
        <v/>
      </c>
      <c r="I78" s="11" t="str">
        <f t="shared" si="2"/>
        <v/>
      </c>
      <c r="J78" s="8"/>
      <c r="K78" s="8"/>
      <c r="L78" s="8"/>
      <c r="M78" s="12"/>
      <c r="N78" s="13" t="str">
        <f t="shared" si="3"/>
        <v xml:space="preserve"> </v>
      </c>
      <c r="O78" s="19"/>
    </row>
    <row r="79" spans="1:15" ht="14.5">
      <c r="A79" s="6"/>
      <c r="B79" s="7"/>
      <c r="C79" s="7"/>
      <c r="D79" s="8" t="str">
        <f>IFERROR(VLOOKUP($B79,Task!$B$1:$G$70,6,0)," ")</f>
        <v xml:space="preserve"> </v>
      </c>
      <c r="E79" s="9" t="str">
        <f t="shared" si="0"/>
        <v xml:space="preserve"> </v>
      </c>
      <c r="F79" s="10"/>
      <c r="G79" s="10"/>
      <c r="H79" s="8" t="str">
        <f t="shared" si="1"/>
        <v/>
      </c>
      <c r="I79" s="11" t="str">
        <f t="shared" si="2"/>
        <v/>
      </c>
      <c r="J79" s="8"/>
      <c r="K79" s="8"/>
      <c r="L79" s="8"/>
      <c r="M79" s="12"/>
      <c r="N79" s="13" t="str">
        <f t="shared" si="3"/>
        <v xml:space="preserve"> </v>
      </c>
      <c r="O79" s="19">
        <f ca="1">AVERAGEIF(A:A,TODAY(),N:N)</f>
        <v>1.1909952816784808</v>
      </c>
    </row>
    <row r="80" spans="1:15" ht="14.5">
      <c r="A80" s="6"/>
      <c r="B80" s="7"/>
      <c r="C80" s="7"/>
      <c r="D80" s="8" t="str">
        <f>IFERROR(VLOOKUP($B80,Task!$B$1:$G$70,6,0)," ")</f>
        <v xml:space="preserve"> </v>
      </c>
      <c r="E80" s="9" t="str">
        <f t="shared" si="0"/>
        <v xml:space="preserve"> </v>
      </c>
      <c r="F80" s="10"/>
      <c r="G80" s="10"/>
      <c r="H80" s="8" t="str">
        <f t="shared" si="1"/>
        <v/>
      </c>
      <c r="I80" s="11" t="str">
        <f t="shared" si="2"/>
        <v/>
      </c>
      <c r="J80" s="8"/>
      <c r="K80" s="8"/>
      <c r="L80" s="8"/>
      <c r="M80" s="12"/>
      <c r="N80" s="13" t="str">
        <f t="shared" si="3"/>
        <v xml:space="preserve"> </v>
      </c>
      <c r="O80" s="19"/>
    </row>
    <row r="81" spans="1:16" ht="14.5">
      <c r="A81" s="6"/>
      <c r="B81" s="7"/>
      <c r="C81" s="7"/>
      <c r="D81" s="8" t="str">
        <f>IFERROR(VLOOKUP($B81,Task!$B$1:$G$70,6,0)," ")</f>
        <v xml:space="preserve"> </v>
      </c>
      <c r="E81" s="9" t="str">
        <f t="shared" si="0"/>
        <v xml:space="preserve"> </v>
      </c>
      <c r="F81" s="10"/>
      <c r="G81" s="10"/>
      <c r="H81" s="8" t="str">
        <f t="shared" si="1"/>
        <v/>
      </c>
      <c r="I81" s="11" t="str">
        <f t="shared" si="2"/>
        <v/>
      </c>
      <c r="J81" s="8"/>
      <c r="K81" s="8"/>
      <c r="L81" s="8"/>
      <c r="M81" s="12"/>
      <c r="N81" s="13" t="str">
        <f t="shared" si="3"/>
        <v xml:space="preserve"> </v>
      </c>
      <c r="O81" s="19"/>
    </row>
    <row r="82" spans="1:16" ht="14.5">
      <c r="A82" s="6"/>
      <c r="B82" s="7"/>
      <c r="C82" s="7"/>
      <c r="D82" s="8" t="str">
        <f>IFERROR(VLOOKUP($B82,Task!$B$1:$G$70,6,0)," ")</f>
        <v xml:space="preserve"> </v>
      </c>
      <c r="E82" s="9" t="str">
        <f t="shared" si="0"/>
        <v xml:space="preserve"> </v>
      </c>
      <c r="F82" s="10"/>
      <c r="G82" s="10"/>
      <c r="H82" s="8" t="str">
        <f t="shared" si="1"/>
        <v/>
      </c>
      <c r="I82" s="11" t="str">
        <f t="shared" si="2"/>
        <v/>
      </c>
      <c r="J82" s="8"/>
      <c r="K82" s="8"/>
      <c r="L82" s="8"/>
      <c r="M82" s="12"/>
      <c r="N82" s="13" t="str">
        <f t="shared" si="3"/>
        <v xml:space="preserve"> </v>
      </c>
      <c r="P82" s="4"/>
    </row>
    <row r="83" spans="1:16" ht="14.5">
      <c r="A83" s="6"/>
      <c r="B83" s="7"/>
      <c r="C83" s="7"/>
      <c r="D83" s="8" t="str">
        <f>IFERROR(VLOOKUP($B83,Task!$B$1:$G$70,6,0)," ")</f>
        <v xml:space="preserve"> </v>
      </c>
      <c r="E83" s="9" t="str">
        <f t="shared" si="0"/>
        <v xml:space="preserve"> </v>
      </c>
      <c r="F83" s="10"/>
      <c r="G83" s="10"/>
      <c r="H83" s="8" t="str">
        <f t="shared" si="1"/>
        <v/>
      </c>
      <c r="I83" s="11" t="str">
        <f t="shared" si="2"/>
        <v/>
      </c>
      <c r="J83" s="8"/>
      <c r="K83" s="8"/>
      <c r="L83" s="8"/>
      <c r="M83" s="18"/>
      <c r="N83" s="13" t="str">
        <f t="shared" si="3"/>
        <v xml:space="preserve"> </v>
      </c>
      <c r="O83" s="19"/>
      <c r="P83" s="4"/>
    </row>
    <row r="84" spans="1:16" ht="14.5">
      <c r="A84" s="6"/>
      <c r="B84" s="7"/>
      <c r="C84" s="7"/>
      <c r="D84" s="8" t="str">
        <f>IFERROR(VLOOKUP($B84,Task!$B$1:$G$70,6,0)," ")</f>
        <v xml:space="preserve"> </v>
      </c>
      <c r="E84" s="9" t="str">
        <f t="shared" si="0"/>
        <v xml:space="preserve"> </v>
      </c>
      <c r="F84" s="10"/>
      <c r="G84" s="10"/>
      <c r="H84" s="8" t="str">
        <f t="shared" si="1"/>
        <v/>
      </c>
      <c r="I84" s="11" t="str">
        <f t="shared" si="2"/>
        <v/>
      </c>
      <c r="J84" s="8"/>
      <c r="K84" s="8"/>
      <c r="L84" s="8"/>
      <c r="M84" s="12"/>
      <c r="N84" s="13" t="str">
        <f t="shared" si="3"/>
        <v xml:space="preserve"> </v>
      </c>
      <c r="O84" s="19"/>
      <c r="P84" s="4"/>
    </row>
    <row r="85" spans="1:16" ht="14.5">
      <c r="A85" s="6"/>
      <c r="B85" s="7"/>
      <c r="C85" s="7"/>
      <c r="D85" s="8" t="str">
        <f>IFERROR(VLOOKUP($B85,Task!$B$1:$G$70,6,0)," ")</f>
        <v xml:space="preserve"> </v>
      </c>
      <c r="E85" s="9" t="str">
        <f t="shared" si="0"/>
        <v xml:space="preserve"> </v>
      </c>
      <c r="F85" s="10"/>
      <c r="G85" s="10"/>
      <c r="H85" s="8" t="str">
        <f t="shared" si="1"/>
        <v/>
      </c>
      <c r="I85" s="11" t="str">
        <f t="shared" si="2"/>
        <v/>
      </c>
      <c r="J85" s="8"/>
      <c r="K85" s="8"/>
      <c r="L85" s="8"/>
      <c r="M85" s="12"/>
      <c r="N85" s="13" t="str">
        <f t="shared" si="3"/>
        <v xml:space="preserve"> </v>
      </c>
      <c r="O85" s="4"/>
      <c r="P85" s="4"/>
    </row>
    <row r="86" spans="1:16" ht="14.5">
      <c r="A86" s="6"/>
      <c r="B86" s="7"/>
      <c r="C86" s="7"/>
      <c r="D86" s="8" t="str">
        <f>IFERROR(VLOOKUP($B86,Task!$B$1:$G$70,6,0)," ")</f>
        <v xml:space="preserve"> </v>
      </c>
      <c r="E86" s="9" t="str">
        <f t="shared" si="0"/>
        <v xml:space="preserve"> </v>
      </c>
      <c r="F86" s="10"/>
      <c r="G86" s="10"/>
      <c r="H86" s="8" t="str">
        <f t="shared" si="1"/>
        <v/>
      </c>
      <c r="I86" s="11" t="str">
        <f t="shared" si="2"/>
        <v/>
      </c>
      <c r="J86" s="8"/>
      <c r="K86" s="8"/>
      <c r="L86" s="8"/>
      <c r="M86" s="12"/>
      <c r="N86" s="13" t="str">
        <f t="shared" si="3"/>
        <v xml:space="preserve"> </v>
      </c>
      <c r="O86" s="4"/>
    </row>
    <row r="87" spans="1:16" ht="14.5">
      <c r="A87" s="6"/>
      <c r="B87" s="7"/>
      <c r="C87" s="7"/>
      <c r="D87" s="8" t="str">
        <f>IFERROR(VLOOKUP($B87,Task!$B$1:$G$70,6,0)," ")</f>
        <v xml:space="preserve"> </v>
      </c>
      <c r="E87" s="9" t="str">
        <f t="shared" si="0"/>
        <v xml:space="preserve"> </v>
      </c>
      <c r="F87" s="10"/>
      <c r="G87" s="10"/>
      <c r="H87" s="8" t="str">
        <f t="shared" si="1"/>
        <v/>
      </c>
      <c r="I87" s="11" t="str">
        <f t="shared" si="2"/>
        <v/>
      </c>
      <c r="J87" s="8"/>
      <c r="K87" s="8"/>
      <c r="L87" s="8"/>
      <c r="M87" s="12"/>
      <c r="N87" s="13" t="str">
        <f t="shared" si="3"/>
        <v xml:space="preserve"> </v>
      </c>
      <c r="O87" s="4"/>
    </row>
    <row r="88" spans="1:16" ht="14.5">
      <c r="A88" s="6"/>
      <c r="B88" s="7"/>
      <c r="C88" s="7"/>
      <c r="D88" s="8" t="str">
        <f>IFERROR(VLOOKUP($B88,Task!$B$1:$G$70,6,0)," ")</f>
        <v xml:space="preserve"> </v>
      </c>
      <c r="E88" s="9" t="str">
        <f t="shared" si="0"/>
        <v xml:space="preserve"> </v>
      </c>
      <c r="F88" s="10"/>
      <c r="G88" s="10"/>
      <c r="H88" s="8" t="str">
        <f t="shared" si="1"/>
        <v/>
      </c>
      <c r="I88" s="11" t="str">
        <f t="shared" si="2"/>
        <v/>
      </c>
      <c r="J88" s="8"/>
      <c r="K88" s="8"/>
      <c r="L88" s="8"/>
      <c r="M88" s="12"/>
      <c r="N88" s="13" t="str">
        <f t="shared" si="3"/>
        <v xml:space="preserve"> </v>
      </c>
      <c r="O88" s="19"/>
    </row>
    <row r="89" spans="1:16" ht="14.5">
      <c r="A89" s="6"/>
      <c r="B89" s="7"/>
      <c r="C89" s="7"/>
      <c r="D89" s="8" t="str">
        <f>IFERROR(VLOOKUP($B89,Task!$B$1:$G$70,6,0)," ")</f>
        <v xml:space="preserve"> </v>
      </c>
      <c r="E89" s="9" t="str">
        <f t="shared" si="0"/>
        <v xml:space="preserve"> </v>
      </c>
      <c r="F89" s="10"/>
      <c r="G89" s="10"/>
      <c r="H89" s="8" t="str">
        <f t="shared" si="1"/>
        <v/>
      </c>
      <c r="I89" s="11" t="str">
        <f t="shared" si="2"/>
        <v/>
      </c>
      <c r="J89" s="8"/>
      <c r="K89" s="8"/>
      <c r="L89" s="8"/>
      <c r="M89" s="12"/>
      <c r="N89" s="13" t="str">
        <f t="shared" si="3"/>
        <v xml:space="preserve"> </v>
      </c>
      <c r="O89" s="19"/>
      <c r="P89" s="4"/>
    </row>
    <row r="90" spans="1:16" ht="14.5">
      <c r="A90" s="6"/>
      <c r="B90" s="7"/>
      <c r="C90" s="7"/>
      <c r="D90" s="8" t="str">
        <f>IFERROR(VLOOKUP($B90,Task!$B$1:$G$70,6,0)," ")</f>
        <v xml:space="preserve"> </v>
      </c>
      <c r="E90" s="9" t="str">
        <f t="shared" si="0"/>
        <v xml:space="preserve"> </v>
      </c>
      <c r="F90" s="10"/>
      <c r="G90" s="10"/>
      <c r="H90" s="8" t="str">
        <f t="shared" si="1"/>
        <v/>
      </c>
      <c r="I90" s="11" t="str">
        <f t="shared" si="2"/>
        <v/>
      </c>
      <c r="J90" s="8"/>
      <c r="K90" s="8"/>
      <c r="L90" s="8"/>
      <c r="M90" s="12"/>
      <c r="N90" s="13" t="str">
        <f t="shared" si="3"/>
        <v xml:space="preserve"> </v>
      </c>
      <c r="O90" s="19"/>
    </row>
    <row r="91" spans="1:16" ht="14.5">
      <c r="A91" s="6"/>
      <c r="B91" s="7"/>
      <c r="C91" s="7"/>
      <c r="D91" s="8" t="str">
        <f>IFERROR(VLOOKUP($B91,Task!$B$1:$G$70,6,0)," ")</f>
        <v xml:space="preserve"> </v>
      </c>
      <c r="E91" s="9" t="str">
        <f t="shared" si="0"/>
        <v xml:space="preserve"> </v>
      </c>
      <c r="F91" s="10"/>
      <c r="G91" s="10"/>
      <c r="H91" s="8" t="str">
        <f t="shared" si="1"/>
        <v/>
      </c>
      <c r="I91" s="11" t="str">
        <f t="shared" si="2"/>
        <v/>
      </c>
      <c r="J91" s="8"/>
      <c r="K91" s="8"/>
      <c r="L91" s="8"/>
      <c r="M91" s="12"/>
      <c r="N91" s="13" t="str">
        <f t="shared" si="3"/>
        <v xml:space="preserve"> </v>
      </c>
      <c r="O91" s="19"/>
    </row>
    <row r="92" spans="1:16" ht="14.5">
      <c r="A92" s="6"/>
      <c r="B92" s="7"/>
      <c r="C92" s="7"/>
      <c r="D92" s="8" t="str">
        <f>IFERROR(VLOOKUP($B92,Task!$B$1:$G$70,6,0)," ")</f>
        <v xml:space="preserve"> </v>
      </c>
      <c r="E92" s="9" t="str">
        <f t="shared" si="0"/>
        <v xml:space="preserve"> </v>
      </c>
      <c r="F92" s="10"/>
      <c r="G92" s="10"/>
      <c r="H92" s="8" t="str">
        <f t="shared" si="1"/>
        <v/>
      </c>
      <c r="I92" s="11" t="str">
        <f t="shared" si="2"/>
        <v/>
      </c>
      <c r="J92" s="8"/>
      <c r="K92" s="8"/>
      <c r="L92" s="8"/>
      <c r="M92" s="18"/>
      <c r="N92" s="13" t="str">
        <f t="shared" si="3"/>
        <v xml:space="preserve"> </v>
      </c>
      <c r="O92" s="19"/>
    </row>
    <row r="93" spans="1:16" ht="14.5">
      <c r="A93" s="6"/>
      <c r="B93" s="7"/>
      <c r="C93" s="7"/>
      <c r="D93" s="8" t="str">
        <f>IFERROR(VLOOKUP($B93,Task!$B$1:$G$70,6,0)," ")</f>
        <v xml:space="preserve"> </v>
      </c>
      <c r="E93" s="9" t="str">
        <f t="shared" si="0"/>
        <v xml:space="preserve"> </v>
      </c>
      <c r="F93" s="10"/>
      <c r="G93" s="10"/>
      <c r="H93" s="8" t="str">
        <f t="shared" si="1"/>
        <v/>
      </c>
      <c r="I93" s="11" t="str">
        <f t="shared" si="2"/>
        <v/>
      </c>
      <c r="J93" s="8"/>
      <c r="K93" s="8"/>
      <c r="L93" s="8"/>
      <c r="M93" s="12"/>
      <c r="N93" s="13" t="str">
        <f t="shared" si="3"/>
        <v xml:space="preserve"> </v>
      </c>
      <c r="O93" s="19"/>
    </row>
    <row r="94" spans="1:16" ht="14.5">
      <c r="A94" s="6"/>
      <c r="B94" s="7"/>
      <c r="C94" s="7"/>
      <c r="D94" s="8" t="str">
        <f>IFERROR(VLOOKUP($B94,Task!$B$1:$G$70,6,0)," ")</f>
        <v xml:space="preserve"> </v>
      </c>
      <c r="E94" s="9" t="str">
        <f t="shared" si="0"/>
        <v xml:space="preserve"> </v>
      </c>
      <c r="F94" s="10"/>
      <c r="G94" s="10"/>
      <c r="H94" s="8" t="str">
        <f t="shared" si="1"/>
        <v/>
      </c>
      <c r="I94" s="11" t="str">
        <f t="shared" si="2"/>
        <v/>
      </c>
      <c r="J94" s="8"/>
      <c r="K94" s="8"/>
      <c r="L94" s="8"/>
      <c r="M94" s="12"/>
      <c r="N94" s="13" t="str">
        <f t="shared" si="3"/>
        <v xml:space="preserve"> </v>
      </c>
    </row>
    <row r="95" spans="1:16" ht="14.5">
      <c r="A95" s="6"/>
      <c r="B95" s="7"/>
      <c r="C95" s="7"/>
      <c r="D95" s="8" t="str">
        <f>IFERROR(VLOOKUP($B95,Task!$B$1:$G$70,6,0)," ")</f>
        <v xml:space="preserve"> </v>
      </c>
      <c r="E95" s="9" t="str">
        <f t="shared" si="0"/>
        <v xml:space="preserve"> </v>
      </c>
      <c r="F95" s="10"/>
      <c r="G95" s="10"/>
      <c r="H95" s="8" t="str">
        <f t="shared" si="1"/>
        <v/>
      </c>
      <c r="I95" s="11" t="str">
        <f t="shared" si="2"/>
        <v/>
      </c>
      <c r="J95" s="8"/>
      <c r="K95" s="8"/>
      <c r="L95" s="8"/>
      <c r="M95" s="12"/>
      <c r="N95" s="13" t="str">
        <f t="shared" si="3"/>
        <v xml:space="preserve"> </v>
      </c>
      <c r="O95" s="4"/>
    </row>
    <row r="96" spans="1:16" ht="14.5">
      <c r="A96" s="6"/>
      <c r="B96" s="7"/>
      <c r="C96" s="7"/>
      <c r="D96" s="8" t="str">
        <f>IFERROR(VLOOKUP($B96,Task!$B$1:$G$70,6,0)," ")</f>
        <v xml:space="preserve"> </v>
      </c>
      <c r="E96" s="9" t="str">
        <f t="shared" si="0"/>
        <v xml:space="preserve"> </v>
      </c>
      <c r="F96" s="10"/>
      <c r="G96" s="10"/>
      <c r="H96" s="8" t="str">
        <f t="shared" si="1"/>
        <v/>
      </c>
      <c r="I96" s="11" t="str">
        <f t="shared" si="2"/>
        <v/>
      </c>
      <c r="J96" s="8"/>
      <c r="K96" s="8"/>
      <c r="L96" s="8"/>
      <c r="M96" s="12"/>
      <c r="N96" s="13" t="str">
        <f t="shared" si="3"/>
        <v xml:space="preserve"> </v>
      </c>
      <c r="O96" s="19"/>
    </row>
    <row r="97" spans="1:15" ht="14.5">
      <c r="A97" s="6"/>
      <c r="B97" s="7"/>
      <c r="C97" s="7"/>
      <c r="D97" s="8" t="str">
        <f>IFERROR(VLOOKUP($B97,Task!$B$1:$G$70,6,0)," ")</f>
        <v xml:space="preserve"> </v>
      </c>
      <c r="E97" s="9" t="str">
        <f t="shared" si="0"/>
        <v xml:space="preserve"> </v>
      </c>
      <c r="F97" s="10"/>
      <c r="G97" s="10"/>
      <c r="H97" s="8" t="str">
        <f t="shared" si="1"/>
        <v/>
      </c>
      <c r="I97" s="11" t="str">
        <f t="shared" si="2"/>
        <v/>
      </c>
      <c r="J97" s="8"/>
      <c r="K97" s="8"/>
      <c r="L97" s="8"/>
      <c r="M97" s="12"/>
      <c r="N97" s="13" t="str">
        <f t="shared" si="3"/>
        <v xml:space="preserve"> </v>
      </c>
      <c r="O97" s="19"/>
    </row>
    <row r="98" spans="1:15" ht="14.5">
      <c r="A98" s="6"/>
      <c r="B98" s="7"/>
      <c r="C98" s="7"/>
      <c r="D98" s="8" t="str">
        <f>IFERROR(VLOOKUP($B98,Task!$B$1:$G$70,6,0)," ")</f>
        <v xml:space="preserve"> </v>
      </c>
      <c r="E98" s="9" t="str">
        <f t="shared" si="0"/>
        <v xml:space="preserve"> </v>
      </c>
      <c r="F98" s="10"/>
      <c r="G98" s="10"/>
      <c r="H98" s="8" t="str">
        <f t="shared" si="1"/>
        <v/>
      </c>
      <c r="I98" s="11" t="str">
        <f t="shared" si="2"/>
        <v/>
      </c>
      <c r="J98" s="8"/>
      <c r="K98" s="8"/>
      <c r="L98" s="8"/>
      <c r="M98" s="18"/>
      <c r="N98" s="13" t="str">
        <f t="shared" si="3"/>
        <v xml:space="preserve"> </v>
      </c>
    </row>
    <row r="99" spans="1:15" ht="14.5">
      <c r="A99" s="6"/>
      <c r="B99" s="7"/>
      <c r="C99" s="7"/>
      <c r="D99" s="8" t="str">
        <f>IFERROR(VLOOKUP($B99,Task!$B$1:$G$70,6,0)," ")</f>
        <v xml:space="preserve"> </v>
      </c>
      <c r="E99" s="9" t="str">
        <f t="shared" si="0"/>
        <v xml:space="preserve"> </v>
      </c>
      <c r="F99" s="10"/>
      <c r="G99" s="10"/>
      <c r="H99" s="8" t="str">
        <f t="shared" si="1"/>
        <v/>
      </c>
      <c r="I99" s="11" t="str">
        <f t="shared" si="2"/>
        <v/>
      </c>
      <c r="J99" s="8"/>
      <c r="K99" s="8"/>
      <c r="L99" s="8"/>
      <c r="M99" s="18"/>
      <c r="N99" s="13" t="str">
        <f t="shared" si="3"/>
        <v xml:space="preserve"> </v>
      </c>
      <c r="O99" s="19"/>
    </row>
    <row r="100" spans="1:15" ht="14.5">
      <c r="A100" s="6"/>
      <c r="B100" s="7"/>
      <c r="C100" s="7"/>
      <c r="D100" s="8" t="str">
        <f>IFERROR(VLOOKUP($B100,Task!$B$1:$G$70,6,0)," ")</f>
        <v xml:space="preserve"> </v>
      </c>
      <c r="E100" s="9" t="str">
        <f t="shared" si="0"/>
        <v xml:space="preserve"> </v>
      </c>
      <c r="F100" s="10"/>
      <c r="G100" s="10"/>
      <c r="H100" s="8" t="str">
        <f t="shared" si="1"/>
        <v/>
      </c>
      <c r="I100" s="11" t="str">
        <f t="shared" si="2"/>
        <v/>
      </c>
      <c r="J100" s="8"/>
      <c r="K100" s="8"/>
      <c r="L100" s="8"/>
      <c r="M100" s="18"/>
      <c r="N100" s="13" t="str">
        <f t="shared" si="3"/>
        <v xml:space="preserve"> </v>
      </c>
      <c r="O100" s="19"/>
    </row>
    <row r="101" spans="1:15" ht="14.5">
      <c r="A101" s="6"/>
      <c r="B101" s="7"/>
      <c r="C101" s="7"/>
      <c r="D101" s="8" t="str">
        <f>IFERROR(VLOOKUP($B101,Task!$B$1:$G$70,6,0)," ")</f>
        <v xml:space="preserve"> </v>
      </c>
      <c r="E101" s="9" t="str">
        <f t="shared" si="0"/>
        <v xml:space="preserve"> </v>
      </c>
      <c r="F101" s="10"/>
      <c r="G101" s="10"/>
      <c r="H101" s="8" t="str">
        <f t="shared" si="1"/>
        <v/>
      </c>
      <c r="I101" s="11" t="str">
        <f t="shared" si="2"/>
        <v/>
      </c>
      <c r="J101" s="8"/>
      <c r="K101" s="8"/>
      <c r="L101" s="8"/>
      <c r="M101" s="12"/>
      <c r="N101" s="13" t="str">
        <f t="shared" si="3"/>
        <v xml:space="preserve"> </v>
      </c>
      <c r="O101" s="19"/>
    </row>
    <row r="102" spans="1:15" ht="14.5">
      <c r="A102" s="6"/>
      <c r="B102" s="7"/>
      <c r="C102" s="7"/>
      <c r="D102" s="8" t="str">
        <f>IFERROR(VLOOKUP($B102,Task!$B$1:$G$70,6,0)," ")</f>
        <v xml:space="preserve"> </v>
      </c>
      <c r="E102" s="9" t="str">
        <f t="shared" si="0"/>
        <v xml:space="preserve"> </v>
      </c>
      <c r="F102" s="10"/>
      <c r="G102" s="10"/>
      <c r="H102" s="8" t="str">
        <f t="shared" si="1"/>
        <v/>
      </c>
      <c r="I102" s="11" t="str">
        <f t="shared" si="2"/>
        <v/>
      </c>
      <c r="J102" s="8"/>
      <c r="K102" s="8"/>
      <c r="L102" s="8"/>
      <c r="M102" s="12"/>
      <c r="N102" s="13" t="str">
        <f t="shared" si="3"/>
        <v xml:space="preserve"> </v>
      </c>
    </row>
    <row r="103" spans="1:15" ht="14.5">
      <c r="A103" s="6"/>
      <c r="B103" s="7"/>
      <c r="C103" s="7"/>
      <c r="D103" s="8" t="str">
        <f>IFERROR(VLOOKUP($B103,Task!$B$1:$G$70,6,0)," ")</f>
        <v xml:space="preserve"> </v>
      </c>
      <c r="E103" s="9" t="str">
        <f t="shared" si="0"/>
        <v xml:space="preserve"> </v>
      </c>
      <c r="F103" s="10"/>
      <c r="G103" s="10"/>
      <c r="H103" s="8" t="str">
        <f t="shared" si="1"/>
        <v/>
      </c>
      <c r="I103" s="11" t="str">
        <f t="shared" si="2"/>
        <v/>
      </c>
      <c r="J103" s="8"/>
      <c r="K103" s="8"/>
      <c r="L103" s="8"/>
      <c r="M103" s="12"/>
      <c r="N103" s="13" t="str">
        <f t="shared" si="3"/>
        <v xml:space="preserve"> </v>
      </c>
      <c r="O103" s="19"/>
    </row>
    <row r="104" spans="1:15" ht="14.5">
      <c r="A104" s="6"/>
      <c r="B104" s="7"/>
      <c r="C104" s="7"/>
      <c r="D104" s="8" t="str">
        <f>IFERROR(VLOOKUP($B104,Task!$B$1:$G$70,6,0)," ")</f>
        <v xml:space="preserve"> </v>
      </c>
      <c r="E104" s="9" t="str">
        <f t="shared" si="0"/>
        <v xml:space="preserve"> </v>
      </c>
      <c r="F104" s="10"/>
      <c r="G104" s="10"/>
      <c r="H104" s="8" t="str">
        <f t="shared" si="1"/>
        <v/>
      </c>
      <c r="I104" s="11" t="str">
        <f t="shared" si="2"/>
        <v/>
      </c>
      <c r="J104" s="8"/>
      <c r="K104" s="8"/>
      <c r="L104" s="8"/>
      <c r="M104" s="12"/>
      <c r="N104" s="13" t="str">
        <f t="shared" si="3"/>
        <v xml:space="preserve"> </v>
      </c>
    </row>
    <row r="105" spans="1:15" ht="14.5">
      <c r="A105" s="6"/>
      <c r="B105" s="7"/>
      <c r="C105" s="7"/>
      <c r="D105" s="8" t="str">
        <f>IFERROR(VLOOKUP($B105,Task!$B$1:$G$70,6,0)," ")</f>
        <v xml:space="preserve"> </v>
      </c>
      <c r="E105" s="9" t="str">
        <f t="shared" si="0"/>
        <v xml:space="preserve"> </v>
      </c>
      <c r="F105" s="10"/>
      <c r="G105" s="10"/>
      <c r="H105" s="8" t="str">
        <f t="shared" si="1"/>
        <v/>
      </c>
      <c r="I105" s="11" t="str">
        <f t="shared" si="2"/>
        <v/>
      </c>
      <c r="J105" s="8"/>
      <c r="K105" s="8"/>
      <c r="L105" s="8"/>
      <c r="M105" s="12"/>
      <c r="N105" s="13" t="str">
        <f t="shared" si="3"/>
        <v xml:space="preserve"> </v>
      </c>
      <c r="O105" s="4"/>
    </row>
    <row r="106" spans="1:15" ht="14.5">
      <c r="A106" s="6"/>
      <c r="B106" s="7"/>
      <c r="C106" s="7"/>
      <c r="D106" s="8" t="str">
        <f>IFERROR(VLOOKUP($B106,Task!$B$1:$G$70,6,0)," ")</f>
        <v xml:space="preserve"> </v>
      </c>
      <c r="E106" s="9" t="str">
        <f t="shared" si="0"/>
        <v xml:space="preserve"> </v>
      </c>
      <c r="F106" s="10"/>
      <c r="G106" s="10"/>
      <c r="H106" s="8" t="str">
        <f t="shared" si="1"/>
        <v/>
      </c>
      <c r="I106" s="11" t="str">
        <f t="shared" si="2"/>
        <v/>
      </c>
      <c r="J106" s="8"/>
      <c r="K106" s="8"/>
      <c r="L106" s="8"/>
      <c r="M106" s="12"/>
      <c r="N106" s="13" t="str">
        <f t="shared" si="3"/>
        <v xml:space="preserve"> </v>
      </c>
      <c r="O106" s="19"/>
    </row>
    <row r="107" spans="1:15" ht="14.5">
      <c r="A107" s="6"/>
      <c r="B107" s="7"/>
      <c r="C107" s="7"/>
      <c r="D107" s="8" t="str">
        <f>IFERROR(VLOOKUP($B107,Task!$B$1:$G$70,6,0)," ")</f>
        <v xml:space="preserve"> </v>
      </c>
      <c r="E107" s="9" t="str">
        <f t="shared" si="0"/>
        <v xml:space="preserve"> </v>
      </c>
      <c r="F107" s="10"/>
      <c r="G107" s="10"/>
      <c r="H107" s="8" t="str">
        <f t="shared" si="1"/>
        <v/>
      </c>
      <c r="I107" s="11" t="str">
        <f t="shared" si="2"/>
        <v/>
      </c>
      <c r="J107" s="8"/>
      <c r="K107" s="8"/>
      <c r="L107" s="8"/>
      <c r="M107" s="12"/>
      <c r="N107" s="13" t="str">
        <f t="shared" si="3"/>
        <v xml:space="preserve"> </v>
      </c>
    </row>
    <row r="108" spans="1:15" ht="14.5">
      <c r="A108" s="6"/>
      <c r="B108" s="7"/>
      <c r="C108" s="7"/>
      <c r="D108" s="8" t="str">
        <f>IFERROR(VLOOKUP($B108,Task!$B$1:$G$70,6,0)," ")</f>
        <v xml:space="preserve"> </v>
      </c>
      <c r="E108" s="9" t="str">
        <f t="shared" si="0"/>
        <v xml:space="preserve"> </v>
      </c>
      <c r="F108" s="10"/>
      <c r="G108" s="8"/>
      <c r="H108" s="8" t="str">
        <f t="shared" si="1"/>
        <v/>
      </c>
      <c r="I108" s="11" t="str">
        <f t="shared" si="2"/>
        <v/>
      </c>
      <c r="J108" s="8"/>
      <c r="K108" s="8"/>
      <c r="L108" s="8"/>
      <c r="M108" s="12"/>
      <c r="N108" s="13" t="str">
        <f t="shared" si="3"/>
        <v xml:space="preserve"> </v>
      </c>
    </row>
    <row r="109" spans="1:15" ht="14.5">
      <c r="A109" s="6"/>
      <c r="B109" s="7"/>
      <c r="C109" s="7"/>
      <c r="D109" s="8" t="str">
        <f>IFERROR(VLOOKUP($B109,Task!$B$1:$G$70,6,0)," ")</f>
        <v xml:space="preserve"> </v>
      </c>
      <c r="E109" s="9" t="str">
        <f t="shared" si="0"/>
        <v xml:space="preserve"> </v>
      </c>
      <c r="F109" s="10"/>
      <c r="G109" s="10"/>
      <c r="H109" s="8" t="str">
        <f t="shared" si="1"/>
        <v/>
      </c>
      <c r="I109" s="11" t="str">
        <f t="shared" si="2"/>
        <v/>
      </c>
      <c r="J109" s="8"/>
      <c r="K109" s="8"/>
      <c r="L109" s="8"/>
      <c r="M109" s="12"/>
      <c r="N109" s="13" t="str">
        <f t="shared" si="3"/>
        <v xml:space="preserve"> </v>
      </c>
    </row>
    <row r="110" spans="1:15" ht="14.5">
      <c r="A110" s="6"/>
      <c r="B110" s="7"/>
      <c r="C110" s="7"/>
      <c r="D110" s="8" t="str">
        <f>IFERROR(VLOOKUP($B110,Task!$B$1:$G$70,6,0),"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5" ht="14.5">
      <c r="A111" s="6"/>
      <c r="B111" s="7"/>
      <c r="C111" s="7"/>
      <c r="D111" s="8" t="str">
        <f>IFERROR(VLOOKUP($B111,Task!$B$1:$G$70,6,0),"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5" ht="14.5">
      <c r="A112" s="6"/>
      <c r="B112" s="7"/>
      <c r="C112" s="7"/>
      <c r="D112" s="8" t="str">
        <f>IFERROR(VLOOKUP($B112,Task!$B$1:$G$70,6,0),"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2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IFERROR(VLOOKUP($B113,Task!$B$1:$G$70,6,0),"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IFERROR(VLOOKUP($B114,Task!$B$1:$G$70,6,0),"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IFERROR(VLOOKUP($B115,Task!$B$1:$G$70,6,0),"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2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IFERROR(VLOOKUP($B116,Task!$B$1:$G$70,6,0),"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/>
    </row>
    <row r="117" spans="1:15" ht="14.5">
      <c r="A117" s="6"/>
      <c r="B117" s="7"/>
      <c r="C117" s="7"/>
      <c r="D117" s="8" t="str">
        <f>IFERROR(VLOOKUP($B117,Task!$B$1:$G$70,6,0),"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IFERROR(VLOOKUP($B118,Task!$B$1:$G$70,6,0),"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IFERROR(VLOOKUP($B119,Task!$B$1:$G$70,6,0),"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IFERROR(VLOOKUP($B120,Task!$B$1:$G$70,6,0),"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IFERROR(VLOOKUP($B121,Task!$B$1:$G$70,6,0),"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IFERROR(VLOOKUP($B122,Task!$B$1:$G$70,6,0),"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IFERROR(VLOOKUP($B123,Task!$B$1:$G$70,6,0),"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IFERROR(VLOOKUP($B124,Task!$B$1:$G$70,6,0),"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IFERROR(VLOOKUP($B125,Task!$B$1:$G$70,6,0),"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IFERROR(VLOOKUP($B126,Task!$B$1:$G$70,6,0),"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IFERROR(VLOOKUP($B127,Task!$B$1:$G$70,6,0),"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IFERROR(VLOOKUP($B128,Task!$B$1:$G$70,6,0),"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IFERROR(VLOOKUP($B129,Task!$B$1:$G$70,6,0),"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IFERROR(VLOOKUP($B130,Task!$B$1:$G$70,6,0),"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/>
    </row>
    <row r="131" spans="1:15" ht="14.5">
      <c r="A131" s="6"/>
      <c r="B131" s="7"/>
      <c r="C131" s="7"/>
      <c r="D131" s="8" t="str">
        <f>IFERROR(VLOOKUP($B131,Task!$B$1:$G$70,6,0),"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IFERROR(VLOOKUP($B132,Task!$B$1:$G$70,6,0),"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IFERROR(VLOOKUP($B133,Task!$B$1:$G$70,6,0),"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IFERROR(VLOOKUP($B134,Task!$B$1:$G$70,6,0),"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IFERROR(VLOOKUP($B135,Task!$B$1:$G$70,6,0),"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IFERROR(VLOOKUP($B136,Task!$B$1:$G$70,6,0),"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IFERROR(VLOOKUP($B137,Task!$B$1:$G$70,6,0),"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IFERROR(VLOOKUP($B138,Task!$B$1:$G$70,6,0),"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IFERROR(VLOOKUP($B139,Task!$B$1:$G$70,6,0),"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IFERROR(VLOOKUP($B140,Task!$B$1:$G$70,6,0),"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IFERROR(VLOOKUP($B141,Task!$B$1:$G$70,6,0),"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IFERROR(VLOOKUP($B142,Task!$B$1:$G$70,6,0),"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IFERROR(VLOOKUP($B143,Task!$B$1:$G$70,6,0),"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IFERROR(VLOOKUP($B144,Task!$B$1:$G$70,6,0),"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IFERROR(VLOOKUP($B145,Task!$B$1:$G$70,6,0),"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IFERROR(VLOOKUP($B146,Task!$B$1:$G$70,6,0),"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IFERROR(VLOOKUP($B147,Task!$B$1:$G$70,6,0),"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IFERROR(VLOOKUP($B148,Task!$B$1:$G$70,6,0),"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IFERROR(VLOOKUP($B149,Task!$B$1:$G$70,6,0),"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IFERROR(VLOOKUP($B150,Task!$B$1:$G$70,6,0),"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IFERROR(VLOOKUP($B151,Task!$B$1:$G$70,6,0),"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IFERROR(VLOOKUP($B152,Task!$B$1:$G$70,6,0),"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IFERROR(VLOOKUP($B153,Task!$B$1:$G$70,6,0),"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IFERROR(VLOOKUP($B154,Task!$B$1:$G$70,6,0),"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IFERROR(VLOOKUP($B155,Task!$B$1:$G$70,6,0),"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IFERROR(VLOOKUP($B156,Task!$B$1:$G$70,6,0),"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IFERROR(VLOOKUP($B157,Task!$B$1:$G$70,6,0),"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IFERROR(VLOOKUP($B158,Task!$B$1:$G$70,6,0),"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IFERROR(VLOOKUP($B159,Task!$B$1:$G$70,6,0),"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IFERROR(VLOOKUP($B160,Task!$B$1:$G$70,6,0),"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IFERROR(VLOOKUP($B161,Task!$B$1:$G$70,6,0),"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IFERROR(VLOOKUP($B162,Task!$B$1:$G$70,6,0),"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IFERROR(VLOOKUP($B163,Task!$B$1:$G$70,6,0),"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IFERROR(VLOOKUP($B164,Task!$B$1:$G$70,6,0),"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IFERROR(VLOOKUP($B165,Task!$B$1:$G$70,6,0),"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IFERROR(VLOOKUP($B166,Task!$B$1:$G$70,6,0),"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IFERROR(VLOOKUP($B167,Task!$B$1:$G$70,6,0),"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IFERROR(VLOOKUP($B168,Task!$B$1:$G$70,6,0),"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IFERROR(VLOOKUP($B169,Task!$B$1:$G$70,6,0),"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IFERROR(VLOOKUP($B170,Task!$B$1:$G$70,6,0),"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IFERROR(VLOOKUP($B171,Task!$B$1:$G$70,6,0),"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IFERROR(VLOOKUP($B172,Task!$B$1:$G$70,6,0),"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IFERROR(VLOOKUP($B173,Task!$B$1:$G$70,6,0),"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IFERROR(VLOOKUP($B174,Task!$B$1:$G$70,6,0),"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IFERROR(VLOOKUP($B175,Task!$B$1:$G$70,6,0),"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IFERROR(VLOOKUP($B176,Task!$B$1:$G$70,6,0),"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IFERROR(VLOOKUP($B177,Task!$B$1:$G$70,6,0),"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IFERROR(VLOOKUP($B178,Task!$B$1:$G$70,6,0),"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IFERROR(VLOOKUP($B179,Task!$B$1:$G$70,6,0),"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IFERROR(VLOOKUP($B180,Task!$B$1:$G$70,6,0),"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IFERROR(VLOOKUP($B181,Task!$B$1:$G$70,6,0),"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IFERROR(VLOOKUP($B182,Task!$B$1:$G$70,6,0),"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IFERROR(VLOOKUP($B183,Task!$B$1:$G$70,6,0),"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IFERROR(VLOOKUP($B184,Task!$B$1:$G$70,6,0),"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IFERROR(VLOOKUP($B185,Task!$B$1:$G$70,6,0),"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IFERROR(VLOOKUP($B186,Task!$B$1:$G$70,6,0),"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IFERROR(VLOOKUP($B187,Task!$B$1:$G$70,6,0),"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IFERROR(VLOOKUP($B188,Task!$B$1:$G$70,6,0),"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IFERROR(VLOOKUP($B189,Task!$B$1:$G$70,6,0),"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IFERROR(VLOOKUP($B190,Task!$B$1:$G$70,6,0),"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IFERROR(VLOOKUP($B191,Task!$B$1:$G$70,6,0),"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IFERROR(VLOOKUP($B192,Task!$B$1:$G$70,6,0),"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IFERROR(VLOOKUP($B193,Task!$B$1:$G$70,6,0),"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IFERROR(VLOOKUP($B194,Task!$B$1:$G$70,6,0),"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IFERROR(VLOOKUP($B195,Task!$B$1:$G$70,6,0),"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IFERROR(VLOOKUP($B196,Task!$B$1:$G$70,6,0),"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IFERROR(VLOOKUP($B197,Task!$B$1:$G$70,6,0),"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IFERROR(VLOOKUP($B198,Task!$B$1:$G$70,6,0),"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IFERROR(VLOOKUP($B199,Task!$B$1:$G$70,6,0),"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IFERROR(VLOOKUP($B200,Task!$B$1:$G$70,6,0),"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IFERROR(VLOOKUP($B201,Task!$B$1:$G$70,6,0),"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IFERROR(VLOOKUP($B202,Task!$B$1:$G$70,6,0),"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IFERROR(VLOOKUP($B203,Task!$B$1:$G$70,6,0),"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IFERROR(VLOOKUP($B204,Task!$B$1:$G$70,6,0),"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IFERROR(VLOOKUP($B205,Task!$B$1:$G$70,6,0),"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IFERROR(VLOOKUP($B206,Task!$B$1:$G$70,6,0),"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/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1" xr:uid="{00000000-0009-0000-0000-000000000000}"/>
  <conditionalFormatting sqref="N2:N206">
    <cfRule type="expression" dxfId="14" priority="1">
      <formula>A2=TODAY()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Task!$B$2:$B$70</xm:f>
          </x14:formula1>
          <xm:sqref>B2:B206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P2" sqref="P2"/>
    </sheetView>
  </sheetViews>
  <sheetFormatPr defaultColWidth="12.6328125" defaultRowHeight="15.75" customHeight="1"/>
  <cols>
    <col min="1" max="1" width="10.453125" bestFit="1" customWidth="1"/>
    <col min="2" max="2" width="38.4531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9.7265625" customWidth="1"/>
    <col min="8" max="8" width="11.269531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90625" bestFit="1" customWidth="1"/>
    <col min="16" max="16" width="11.1796875" bestFit="1" customWidth="1"/>
    <col min="17" max="17" width="10.26953125" customWidth="1"/>
    <col min="18" max="18" width="9.6328125" bestFit="1" customWidth="1"/>
    <col min="19" max="19" width="9.36328125" customWidth="1"/>
    <col min="20" max="20" width="11.453125" customWidth="1"/>
    <col min="21" max="21" width="7.90625" bestFit="1" customWidth="1"/>
    <col min="23" max="23" width="13.6328125" customWidth="1"/>
  </cols>
  <sheetData>
    <row r="1" spans="1:2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0.1875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2" ht="15.75" customHeight="1">
      <c r="A2" s="6">
        <v>45783</v>
      </c>
      <c r="B2" s="7" t="s">
        <v>34</v>
      </c>
      <c r="C2" s="7">
        <v>12</v>
      </c>
      <c r="D2" s="8">
        <f>IFERROR(VLOOKUP($B2,Task!$B$1:$G$70,6,0)," ")</f>
        <v>8.3333333333333332E-3</v>
      </c>
      <c r="E2" s="9">
        <f t="shared" ref="E2:E206" si="0">IFERROR(D2*C2," ")</f>
        <v>0.1</v>
      </c>
      <c r="F2" s="10">
        <v>0.32368055555555553</v>
      </c>
      <c r="G2" s="10">
        <v>0.41458333333333336</v>
      </c>
      <c r="H2" s="8">
        <f t="shared" ref="H2:H206" si="1">IF(G2="","", IF(L2=" ",IF(OR(F2=0,G2=0),"",G2-F2),((G2-F2)-L2)))</f>
        <v>9.0902777777777832E-2</v>
      </c>
      <c r="I2" s="11">
        <f t="shared" ref="I2:I206" si="2">IFERROR(IF(L2=" ",(F2+E2),(F2+E2+L2)),"")</f>
        <v>0.4236805555555555</v>
      </c>
      <c r="J2" s="8"/>
      <c r="K2" s="8"/>
      <c r="L2" s="8"/>
      <c r="M2" s="12"/>
      <c r="N2" s="13">
        <f t="shared" ref="N2:N206" si="3">IFERROR(E2/H2," ")</f>
        <v>1.1000763941940406</v>
      </c>
      <c r="O2" s="8">
        <v>0.86133101851851857</v>
      </c>
      <c r="P2" s="14">
        <f ca="1">IFERROR(__xludf.DUMMYFUNCTION("UNIQUE($A$2:$A$993)"),45783)</f>
        <v>45783</v>
      </c>
      <c r="Q2" s="15">
        <f ca="1">SUMIF($A:$A,$P2,$E:$E)</f>
        <v>0.31874999999999998</v>
      </c>
      <c r="R2" s="15">
        <f ca="1">SUMIF($A:$A,$P2,$H:$H)</f>
        <v>0.28879629629629633</v>
      </c>
      <c r="S2" s="15">
        <f t="shared" ref="S2:S18" ca="1" si="4">IF(OR(R2="",R2&gt;=$U$1)," ",$U$1-R2)</f>
        <v>4.4537037037036986E-2</v>
      </c>
      <c r="T2" s="16">
        <f t="shared" ref="T2:T23" ca="1" si="5">IFERROR(AVERAGEIF($A:$A,$P2,$N:$N)," ")</f>
        <v>1.1023614060610312</v>
      </c>
      <c r="U2" s="17">
        <f ca="1">S2-V2</f>
        <v>3.6585648148148096E-2</v>
      </c>
      <c r="V2" s="4">
        <v>7.951388888888888E-3</v>
      </c>
    </row>
    <row r="3" spans="1:22" ht="15.75" customHeight="1">
      <c r="A3" s="6">
        <v>45783</v>
      </c>
      <c r="B3" s="7" t="s">
        <v>16</v>
      </c>
      <c r="C3" s="7">
        <v>10</v>
      </c>
      <c r="D3" s="8">
        <f>IFERROR(VLOOKUP($B3,Task!$B$1:$G$70,6,0)," ")</f>
        <v>5.5555555555555558E-3</v>
      </c>
      <c r="E3" s="9">
        <f t="shared" si="0"/>
        <v>5.5555555555555559E-2</v>
      </c>
      <c r="F3" s="10">
        <f t="shared" ref="F3:F5" si="6">G2</f>
        <v>0.41458333333333336</v>
      </c>
      <c r="G3" s="8">
        <v>0.48783564814814817</v>
      </c>
      <c r="H3" s="8">
        <f t="shared" si="1"/>
        <v>5.0462962962962959E-2</v>
      </c>
      <c r="I3" s="11">
        <f t="shared" si="2"/>
        <v>0.49292824074074082</v>
      </c>
      <c r="J3" s="8"/>
      <c r="K3" s="8"/>
      <c r="L3" s="8">
        <v>2.2789351851851852E-2</v>
      </c>
      <c r="M3" s="12"/>
      <c r="N3" s="13">
        <f t="shared" si="3"/>
        <v>1.1009174311926606</v>
      </c>
      <c r="O3" s="8">
        <f>O2-O1</f>
        <v>0.67383101851851857</v>
      </c>
      <c r="P3" s="14">
        <f ca="1">IFERROR(__xludf.DUMMYFUNCTION("""COMPUTED_VALUE"""),45784)</f>
        <v>45784</v>
      </c>
      <c r="Q3" s="15">
        <f t="shared" ref="Q3:Q23" ca="1" si="7">IF(SUMIF($A:$A,$P3,$E:$E)=0,"",SUMIF($A:$A,$P3,$E:$E))</f>
        <v>0.31597222222222221</v>
      </c>
      <c r="R3" s="15">
        <f t="shared" ref="R3:R23" ca="1" si="8">IF(SUMIF($A:$A,$P3,$H:$H)=0,"",SUMIF($A:$A,$P3,$H:$H))</f>
        <v>0.2836111111111112</v>
      </c>
      <c r="S3" s="15">
        <f t="shared" ca="1" si="4"/>
        <v>4.9722222222222112E-2</v>
      </c>
      <c r="T3" s="16">
        <f t="shared" ca="1" si="5"/>
        <v>1.1001055210166362</v>
      </c>
    </row>
    <row r="4" spans="1:22" ht="15.75" customHeight="1">
      <c r="A4" s="6">
        <v>45783</v>
      </c>
      <c r="B4" s="7" t="s">
        <v>18</v>
      </c>
      <c r="C4" s="7">
        <v>1</v>
      </c>
      <c r="D4" s="8">
        <f>IFERROR(VLOOKUP($B4,Task!$B$1:$G$70,6,0)," ")</f>
        <v>4.8611111111111112E-2</v>
      </c>
      <c r="E4" s="9">
        <f t="shared" si="0"/>
        <v>4.8611111111111112E-2</v>
      </c>
      <c r="F4" s="10">
        <f t="shared" si="6"/>
        <v>0.48783564814814817</v>
      </c>
      <c r="G4" s="10">
        <v>0.53212962962962962</v>
      </c>
      <c r="H4" s="8">
        <f t="shared" si="1"/>
        <v>4.4293981481481448E-2</v>
      </c>
      <c r="I4" s="11">
        <f t="shared" si="2"/>
        <v>0.53644675925925933</v>
      </c>
      <c r="J4" s="8"/>
      <c r="K4" s="8"/>
      <c r="L4" s="8"/>
      <c r="M4" s="12"/>
      <c r="N4" s="13">
        <f t="shared" si="3"/>
        <v>1.0974653775803509</v>
      </c>
      <c r="P4" s="14">
        <f ca="1">IFERROR(__xludf.DUMMYFUNCTION("""COMPUTED_VALUE"""),45785)</f>
        <v>45785</v>
      </c>
      <c r="Q4" s="15">
        <f t="shared" ca="1" si="7"/>
        <v>0.34236111111111112</v>
      </c>
      <c r="R4" s="15">
        <f t="shared" ca="1" si="8"/>
        <v>0.31034722222222227</v>
      </c>
      <c r="S4" s="15">
        <f t="shared" ca="1" si="4"/>
        <v>2.2986111111111041E-2</v>
      </c>
      <c r="T4" s="16">
        <f t="shared" ca="1" si="5"/>
        <v>1.1003046675100914</v>
      </c>
    </row>
    <row r="5" spans="1:22" ht="15.75" customHeight="1">
      <c r="A5" s="6">
        <v>45783</v>
      </c>
      <c r="B5" s="7" t="s">
        <v>20</v>
      </c>
      <c r="C5" s="7">
        <v>55</v>
      </c>
      <c r="D5" s="8">
        <f>IFERROR(VLOOKUP($B5,Task!$B$1:$G$70,6,0)," ")</f>
        <v>2.0833333333333333E-3</v>
      </c>
      <c r="E5" s="9">
        <f t="shared" si="0"/>
        <v>0.11458333333333333</v>
      </c>
      <c r="F5" s="10">
        <f t="shared" si="6"/>
        <v>0.53212962962962962</v>
      </c>
      <c r="G5" s="10">
        <v>0.70833333333333337</v>
      </c>
      <c r="H5" s="8">
        <f t="shared" si="1"/>
        <v>0.10313657407407412</v>
      </c>
      <c r="I5" s="11">
        <f t="shared" si="2"/>
        <v>0.71978009259259257</v>
      </c>
      <c r="J5" s="8"/>
      <c r="K5" s="8"/>
      <c r="L5" s="8">
        <v>7.3067129629629635E-2</v>
      </c>
      <c r="M5" s="18"/>
      <c r="N5" s="13">
        <f t="shared" si="3"/>
        <v>1.1109864212770728</v>
      </c>
      <c r="O5" s="19"/>
      <c r="P5" s="14">
        <f ca="1">IFERROR(__xludf.DUMMYFUNCTION("""COMPUTED_VALUE"""),45786)</f>
        <v>45786</v>
      </c>
      <c r="Q5" s="15">
        <f t="shared" ca="1" si="7"/>
        <v>0.31041666666666667</v>
      </c>
      <c r="R5" s="15">
        <f t="shared" ca="1" si="8"/>
        <v>0.28330662036915005</v>
      </c>
      <c r="S5" s="15">
        <f t="shared" ca="1" si="4"/>
        <v>5.0026712964183262E-2</v>
      </c>
      <c r="T5" s="16">
        <f t="shared" ca="1" si="5"/>
        <v>1.0881073108632764</v>
      </c>
    </row>
    <row r="6" spans="1:22" ht="15.75" customHeight="1">
      <c r="A6" s="6">
        <v>45784</v>
      </c>
      <c r="B6" s="7" t="s">
        <v>20</v>
      </c>
      <c r="C6" s="7">
        <v>20</v>
      </c>
      <c r="D6" s="8">
        <f>IFERROR(VLOOKUP($B6,Task!$B$1:$G$70,6,0)," ")</f>
        <v>2.0833333333333333E-3</v>
      </c>
      <c r="E6" s="9">
        <f t="shared" si="0"/>
        <v>4.1666666666666664E-2</v>
      </c>
      <c r="F6" s="10">
        <v>0.33076388888888886</v>
      </c>
      <c r="G6" s="10">
        <v>0.36851851851851852</v>
      </c>
      <c r="H6" s="8">
        <f t="shared" si="1"/>
        <v>3.7754629629629666E-2</v>
      </c>
      <c r="I6" s="11">
        <f t="shared" si="2"/>
        <v>0.37243055555555554</v>
      </c>
      <c r="J6" s="8"/>
      <c r="K6" s="8"/>
      <c r="L6" s="8"/>
      <c r="M6" s="18"/>
      <c r="N6" s="13">
        <f t="shared" si="3"/>
        <v>1.1036174126302871</v>
      </c>
      <c r="O6" s="19"/>
      <c r="P6" s="14">
        <f ca="1">IFERROR(__xludf.DUMMYFUNCTION("""COMPUTED_VALUE"""),45789)</f>
        <v>45789</v>
      </c>
      <c r="Q6" s="15">
        <f t="shared" ca="1" si="7"/>
        <v>0.35138888888888892</v>
      </c>
      <c r="R6" s="15">
        <f t="shared" ca="1" si="8"/>
        <v>0.32054819444718308</v>
      </c>
      <c r="S6" s="15">
        <f t="shared" ca="1" si="4"/>
        <v>1.2785138886150238E-2</v>
      </c>
      <c r="T6" s="16">
        <f t="shared" ca="1" si="5"/>
        <v>1.0957859600448066</v>
      </c>
    </row>
    <row r="7" spans="1:22" ht="15.75" customHeight="1">
      <c r="A7" s="6">
        <v>45784</v>
      </c>
      <c r="B7" s="7" t="s">
        <v>18</v>
      </c>
      <c r="C7" s="7">
        <v>2</v>
      </c>
      <c r="D7" s="8">
        <f>IFERROR(VLOOKUP($B7,Task!$B$1:$G$70,6,0)," ")</f>
        <v>4.8611111111111112E-2</v>
      </c>
      <c r="E7" s="9">
        <f t="shared" si="0"/>
        <v>9.7222222222222224E-2</v>
      </c>
      <c r="F7" s="10">
        <f t="shared" ref="F7:F8" si="9">G6</f>
        <v>0.36851851851851852</v>
      </c>
      <c r="G7" s="10">
        <v>0.49975694444444441</v>
      </c>
      <c r="H7" s="8">
        <f t="shared" si="1"/>
        <v>8.7210648148148107E-2</v>
      </c>
      <c r="I7" s="11">
        <f t="shared" si="2"/>
        <v>0.50976851851851857</v>
      </c>
      <c r="J7" s="8"/>
      <c r="K7" s="8"/>
      <c r="L7" s="8">
        <v>4.4027777777777777E-2</v>
      </c>
      <c r="M7" s="18"/>
      <c r="N7" s="13">
        <f t="shared" si="3"/>
        <v>1.1147976111479767</v>
      </c>
      <c r="P7" s="14">
        <f ca="1">IFERROR(__xludf.DUMMYFUNCTION("""COMPUTED_VALUE"""),45790)</f>
        <v>45790</v>
      </c>
      <c r="Q7" s="15">
        <f t="shared" ca="1" si="7"/>
        <v>0.28611111111111115</v>
      </c>
      <c r="R7" s="15">
        <f t="shared" ca="1" si="8"/>
        <v>0.26149305555555558</v>
      </c>
      <c r="S7" s="15">
        <f t="shared" ca="1" si="4"/>
        <v>7.1840277777777739E-2</v>
      </c>
      <c r="T7" s="16">
        <f t="shared" ca="1" si="5"/>
        <v>1.0825554486848574</v>
      </c>
    </row>
    <row r="8" spans="1:22" ht="15.75" customHeight="1">
      <c r="A8" s="6">
        <v>45784</v>
      </c>
      <c r="B8" s="7" t="s">
        <v>17</v>
      </c>
      <c r="C8" s="7">
        <v>1</v>
      </c>
      <c r="D8" s="8">
        <f>IFERROR(VLOOKUP($B8,Task!$B$1:$G$70,6,0)," ")</f>
        <v>2.0833333333333332E-2</v>
      </c>
      <c r="E8" s="9">
        <f t="shared" si="0"/>
        <v>2.0833333333333332E-2</v>
      </c>
      <c r="F8" s="10">
        <f t="shared" si="9"/>
        <v>0.49975694444444441</v>
      </c>
      <c r="G8" s="10">
        <v>0.57866898148148149</v>
      </c>
      <c r="H8" s="8">
        <f t="shared" si="1"/>
        <v>2.0150462962963009E-2</v>
      </c>
      <c r="I8" s="11">
        <f t="shared" si="2"/>
        <v>0.5793518518518519</v>
      </c>
      <c r="J8" s="8"/>
      <c r="K8" s="8"/>
      <c r="L8" s="8">
        <v>5.8761574074074077E-2</v>
      </c>
      <c r="M8" s="18"/>
      <c r="N8" s="13">
        <f t="shared" si="3"/>
        <v>1.033888569787476</v>
      </c>
      <c r="O8" s="19"/>
      <c r="P8" s="14">
        <f ca="1">IFERROR(__xludf.DUMMYFUNCTION("""COMPUTED_VALUE"""),45791)</f>
        <v>45791</v>
      </c>
      <c r="Q8" s="15">
        <f t="shared" ca="1" si="7"/>
        <v>0.2416666666666667</v>
      </c>
      <c r="R8" s="15">
        <f t="shared" ca="1" si="8"/>
        <v>0.22043981481481481</v>
      </c>
      <c r="S8" s="15">
        <f t="shared" ca="1" si="4"/>
        <v>0.1128935185185185</v>
      </c>
      <c r="T8" s="16">
        <f t="shared" ca="1" si="5"/>
        <v>1.0964527766423366</v>
      </c>
    </row>
    <row r="9" spans="1:22" ht="15.75" customHeight="1">
      <c r="A9" s="6">
        <v>45784</v>
      </c>
      <c r="B9" s="7" t="s">
        <v>35</v>
      </c>
      <c r="C9" s="7">
        <v>1</v>
      </c>
      <c r="D9" s="8">
        <f>IFERROR(VLOOKUP($B9,Task!$B$1:$G$70,6,0)," ")</f>
        <v>4.1666666666666664E-2</v>
      </c>
      <c r="E9" s="9">
        <f t="shared" si="0"/>
        <v>4.1666666666666664E-2</v>
      </c>
      <c r="F9" s="10">
        <v>0.49997685185185187</v>
      </c>
      <c r="G9" s="8">
        <v>0.53733796296296299</v>
      </c>
      <c r="H9" s="8">
        <f t="shared" si="1"/>
        <v>3.7361111111111123E-2</v>
      </c>
      <c r="I9" s="11">
        <f t="shared" si="2"/>
        <v>0.54164351851851855</v>
      </c>
      <c r="J9" s="8"/>
      <c r="K9" s="8"/>
      <c r="L9" s="8"/>
      <c r="M9" s="18"/>
      <c r="N9" s="13">
        <f t="shared" si="3"/>
        <v>1.1152416356877319</v>
      </c>
      <c r="O9" s="4"/>
      <c r="P9" s="14">
        <f ca="1">IFERROR(__xludf.DUMMYFUNCTION("""COMPUTED_VALUE"""),45792)</f>
        <v>45792</v>
      </c>
      <c r="Q9" s="15">
        <f t="shared" ca="1" si="7"/>
        <v>0.18194444444444446</v>
      </c>
      <c r="R9" s="15">
        <f t="shared" ca="1" si="8"/>
        <v>0.16087962962962968</v>
      </c>
      <c r="S9" s="15">
        <f t="shared" ca="1" si="4"/>
        <v>0.17245370370370364</v>
      </c>
      <c r="T9" s="16">
        <f t="shared" ca="1" si="5"/>
        <v>2.9126799040401088</v>
      </c>
    </row>
    <row r="10" spans="1:22" ht="15.75" customHeight="1">
      <c r="A10" s="6">
        <v>45784</v>
      </c>
      <c r="B10" s="7" t="s">
        <v>29</v>
      </c>
      <c r="C10" s="7">
        <v>55</v>
      </c>
      <c r="D10" s="8">
        <f>IFERROR(VLOOKUP($B10,Task!$B$1:$G$70,6,0)," ")</f>
        <v>2.0833333333333333E-3</v>
      </c>
      <c r="E10" s="9">
        <f t="shared" si="0"/>
        <v>0.11458333333333333</v>
      </c>
      <c r="F10" s="10">
        <f>G8</f>
        <v>0.57866898148148149</v>
      </c>
      <c r="G10" s="10">
        <v>0.71180555555555558</v>
      </c>
      <c r="H10" s="8">
        <f t="shared" si="1"/>
        <v>0.10113425925925927</v>
      </c>
      <c r="I10" s="11">
        <f t="shared" si="2"/>
        <v>0.72525462962962972</v>
      </c>
      <c r="J10" s="8"/>
      <c r="K10" s="8"/>
      <c r="L10" s="8">
        <v>3.2002314814814817E-2</v>
      </c>
      <c r="M10" s="18"/>
      <c r="N10" s="13">
        <f t="shared" si="3"/>
        <v>1.1329823758297091</v>
      </c>
      <c r="O10" s="4"/>
      <c r="P10" s="14">
        <f ca="1">IFERROR(__xludf.DUMMYFUNCTION("""COMPUTED_VALUE"""),45793)</f>
        <v>45793</v>
      </c>
      <c r="Q10" s="15">
        <f t="shared" ca="1" si="7"/>
        <v>0.28472222222222221</v>
      </c>
      <c r="R10" s="15">
        <f t="shared" ca="1" si="8"/>
        <v>0.26271990740740736</v>
      </c>
      <c r="S10" s="15">
        <f t="shared" ca="1" si="4"/>
        <v>7.0613425925925954E-2</v>
      </c>
      <c r="T10" s="16">
        <f t="shared" ca="1" si="5"/>
        <v>1.0871626429728887</v>
      </c>
    </row>
    <row r="11" spans="1:22" ht="15.75" customHeight="1">
      <c r="A11" s="6">
        <v>45785</v>
      </c>
      <c r="B11" s="7" t="s">
        <v>29</v>
      </c>
      <c r="C11" s="7">
        <v>71</v>
      </c>
      <c r="D11" s="8">
        <f>IFERROR(VLOOKUP($B11,Task!$B$1:$G$70,6,0)," ")</f>
        <v>2.0833333333333333E-3</v>
      </c>
      <c r="E11" s="9">
        <f t="shared" si="0"/>
        <v>0.14791666666666667</v>
      </c>
      <c r="F11" s="10">
        <v>0.3365393518518518</v>
      </c>
      <c r="G11" s="10">
        <v>0.51620370370370372</v>
      </c>
      <c r="H11" s="8">
        <f t="shared" si="1"/>
        <v>0.13459490740740748</v>
      </c>
      <c r="I11" s="11">
        <f t="shared" si="2"/>
        <v>0.52952546296296299</v>
      </c>
      <c r="J11" s="8"/>
      <c r="K11" s="8"/>
      <c r="L11" s="8">
        <v>4.5069444444444447E-2</v>
      </c>
      <c r="M11" s="12"/>
      <c r="N11" s="13">
        <f t="shared" si="3"/>
        <v>1.0989766961905574</v>
      </c>
      <c r="O11" s="19"/>
      <c r="P11" s="14">
        <f ca="1">IFERROR(__xludf.DUMMYFUNCTION("""COMPUTED_VALUE"""),45796)</f>
        <v>45796</v>
      </c>
      <c r="Q11" s="15">
        <f t="shared" ca="1" si="7"/>
        <v>0.20694444444444446</v>
      </c>
      <c r="R11" s="15">
        <f t="shared" ca="1" si="8"/>
        <v>0.18923781249883448</v>
      </c>
      <c r="S11" s="15">
        <f t="shared" ca="1" si="4"/>
        <v>0.14409552083449884</v>
      </c>
      <c r="T11" s="16">
        <f t="shared" ca="1" si="5"/>
        <v>1.088877731726458</v>
      </c>
    </row>
    <row r="12" spans="1:22" ht="15.75" customHeight="1">
      <c r="A12" s="6">
        <v>45785</v>
      </c>
      <c r="B12" s="7" t="s">
        <v>18</v>
      </c>
      <c r="C12" s="7">
        <v>1</v>
      </c>
      <c r="D12" s="8">
        <f>IFERROR(VLOOKUP($B12,Task!$B$1:$G$70,6,0)," ")</f>
        <v>4.8611111111111112E-2</v>
      </c>
      <c r="E12" s="9">
        <f t="shared" si="0"/>
        <v>4.8611111111111112E-2</v>
      </c>
      <c r="F12" s="10">
        <f t="shared" ref="F12:F14" si="10">G11</f>
        <v>0.51620370370370372</v>
      </c>
      <c r="G12" s="10">
        <v>0.56040509259259264</v>
      </c>
      <c r="H12" s="8">
        <f t="shared" si="1"/>
        <v>4.4201388888888915E-2</v>
      </c>
      <c r="I12" s="11">
        <f t="shared" si="2"/>
        <v>0.56481481481481488</v>
      </c>
      <c r="J12" s="8"/>
      <c r="K12" s="8"/>
      <c r="L12" s="8"/>
      <c r="M12" s="18"/>
      <c r="N12" s="13">
        <f t="shared" si="3"/>
        <v>1.0997643362136678</v>
      </c>
      <c r="O12" s="19"/>
      <c r="P12" s="14">
        <f ca="1">IFERROR(__xludf.DUMMYFUNCTION("""COMPUTED_VALUE"""),45797)</f>
        <v>45797</v>
      </c>
      <c r="Q12" s="15">
        <f t="shared" ca="1" si="7"/>
        <v>0.31111111111111112</v>
      </c>
      <c r="R12" s="15">
        <f t="shared" ca="1" si="8"/>
        <v>0.27717592592592599</v>
      </c>
      <c r="S12" s="15">
        <f t="shared" ca="1" si="4"/>
        <v>5.6157407407407323E-2</v>
      </c>
      <c r="T12" s="16">
        <f t="shared" ca="1" si="5"/>
        <v>1.1003695894482963</v>
      </c>
    </row>
    <row r="13" spans="1:22" ht="15.75" customHeight="1">
      <c r="A13" s="6">
        <v>45785</v>
      </c>
      <c r="B13" s="7" t="s">
        <v>26</v>
      </c>
      <c r="C13" s="7">
        <v>1</v>
      </c>
      <c r="D13" s="8">
        <f>IFERROR(VLOOKUP($B13,Task!$B$1:$G$70,6,0)," ")</f>
        <v>2.0833333333333332E-2</v>
      </c>
      <c r="E13" s="9">
        <f t="shared" si="0"/>
        <v>2.0833333333333332E-2</v>
      </c>
      <c r="F13" s="10">
        <f t="shared" si="10"/>
        <v>0.56040509259259264</v>
      </c>
      <c r="G13" s="10">
        <v>0.57950231481481485</v>
      </c>
      <c r="H13" s="8">
        <f t="shared" si="1"/>
        <v>1.909722222222221E-2</v>
      </c>
      <c r="I13" s="11">
        <f t="shared" si="2"/>
        <v>0.58123842592592601</v>
      </c>
      <c r="J13" s="8"/>
      <c r="K13" s="8"/>
      <c r="L13" s="8"/>
      <c r="M13" s="12"/>
      <c r="N13" s="13">
        <f t="shared" si="3"/>
        <v>1.0909090909090915</v>
      </c>
      <c r="O13" s="19"/>
      <c r="P13" s="14">
        <f ca="1">IFERROR(__xludf.DUMMYFUNCTION("""COMPUTED_VALUE"""),45798)</f>
        <v>45798</v>
      </c>
      <c r="Q13" s="15">
        <f t="shared" ca="1" si="7"/>
        <v>0.24861111111111112</v>
      </c>
      <c r="R13" s="15">
        <f t="shared" ca="1" si="8"/>
        <v>0.22947247685057207</v>
      </c>
      <c r="S13" s="15">
        <f t="shared" ca="1" si="4"/>
        <v>0.10386085648276125</v>
      </c>
      <c r="T13" s="16">
        <f t="shared" ca="1" si="5"/>
        <v>1.082943199909344</v>
      </c>
    </row>
    <row r="14" spans="1:22" ht="15.75" customHeight="1">
      <c r="A14" s="6">
        <v>45785</v>
      </c>
      <c r="B14" s="7" t="s">
        <v>29</v>
      </c>
      <c r="C14" s="7">
        <v>60</v>
      </c>
      <c r="D14" s="8">
        <f>IFERROR(VLOOKUP($B14,Task!$B$1:$G$70,6,0)," ")</f>
        <v>2.0833333333333333E-3</v>
      </c>
      <c r="E14" s="9">
        <f t="shared" si="0"/>
        <v>0.125</v>
      </c>
      <c r="F14" s="10">
        <f t="shared" si="10"/>
        <v>0.57950231481481485</v>
      </c>
      <c r="G14" s="10">
        <v>0.71527777777777779</v>
      </c>
      <c r="H14" s="8">
        <f t="shared" si="1"/>
        <v>0.11245370370370368</v>
      </c>
      <c r="I14" s="11">
        <f t="shared" si="2"/>
        <v>0.72782407407407412</v>
      </c>
      <c r="J14" s="8"/>
      <c r="K14" s="8"/>
      <c r="L14" s="8">
        <v>2.3321759259259261E-2</v>
      </c>
      <c r="M14" s="18"/>
      <c r="N14" s="13">
        <f t="shared" si="3"/>
        <v>1.1115685467270484</v>
      </c>
      <c r="O14" s="19"/>
      <c r="P14" s="20">
        <f ca="1">IFERROR(__xludf.DUMMYFUNCTION("""COMPUTED_VALUE"""),45799)</f>
        <v>45799</v>
      </c>
      <c r="Q14" s="15">
        <f t="shared" ca="1" si="7"/>
        <v>0.3125</v>
      </c>
      <c r="R14" s="15">
        <f t="shared" ca="1" si="8"/>
        <v>0.29038774305178472</v>
      </c>
      <c r="S14" s="15">
        <f t="shared" ca="1" si="4"/>
        <v>4.2945590281548596E-2</v>
      </c>
      <c r="T14" s="16">
        <f t="shared" ca="1" si="5"/>
        <v>1.0843168647427381</v>
      </c>
    </row>
    <row r="15" spans="1:22" ht="15.75" customHeight="1">
      <c r="A15" s="6">
        <v>45786</v>
      </c>
      <c r="B15" s="7" t="s">
        <v>29</v>
      </c>
      <c r="C15" s="7">
        <v>39</v>
      </c>
      <c r="D15" s="8">
        <f>IFERROR(VLOOKUP($B15,Task!$B$1:$G$70,6,0)," ")</f>
        <v>2.0833333333333333E-3</v>
      </c>
      <c r="E15" s="9">
        <f t="shared" si="0"/>
        <v>8.1250000000000003E-2</v>
      </c>
      <c r="F15" s="10">
        <v>0.34417824074074077</v>
      </c>
      <c r="G15" s="10">
        <v>0.45226851851851851</v>
      </c>
      <c r="H15" s="8">
        <f t="shared" si="1"/>
        <v>7.4224537037037006E-2</v>
      </c>
      <c r="I15" s="11">
        <f t="shared" si="2"/>
        <v>0.45929398148148148</v>
      </c>
      <c r="J15" s="8"/>
      <c r="K15" s="8"/>
      <c r="L15" s="8">
        <v>3.3865740740740738E-2</v>
      </c>
      <c r="M15" s="18"/>
      <c r="N15" s="13">
        <f t="shared" si="3"/>
        <v>1.0946514891626389</v>
      </c>
      <c r="O15" s="4"/>
      <c r="P15" s="20">
        <f ca="1">IFERROR(__xludf.DUMMYFUNCTION("""COMPUTED_VALUE"""),45800)</f>
        <v>45800</v>
      </c>
      <c r="Q15" s="15">
        <f t="shared" ca="1" si="7"/>
        <v>0.2902777777777778</v>
      </c>
      <c r="R15" s="15">
        <f t="shared" ca="1" si="8"/>
        <v>0.26839120370370373</v>
      </c>
      <c r="S15" s="15">
        <f t="shared" ca="1" si="4"/>
        <v>6.4942129629629586E-2</v>
      </c>
      <c r="T15" s="16">
        <f t="shared" ca="1" si="5"/>
        <v>1.0690948783897833</v>
      </c>
    </row>
    <row r="16" spans="1:22" ht="15.75" customHeight="1">
      <c r="A16" s="6">
        <v>45786</v>
      </c>
      <c r="B16" s="7" t="s">
        <v>18</v>
      </c>
      <c r="C16" s="7">
        <v>1</v>
      </c>
      <c r="D16" s="8">
        <f>IFERROR(VLOOKUP($B16,Task!$B$1:$G$70,6,0)," ")</f>
        <v>4.8611111111111112E-2</v>
      </c>
      <c r="E16" s="9">
        <f t="shared" si="0"/>
        <v>4.8611111111111112E-2</v>
      </c>
      <c r="F16" s="10">
        <f t="shared" ref="F16:F17" si="11">G15</f>
        <v>0.45226851851851851</v>
      </c>
      <c r="G16" s="10">
        <v>0.54781250000000004</v>
      </c>
      <c r="H16" s="8">
        <f t="shared" si="1"/>
        <v>4.5648148148148188E-2</v>
      </c>
      <c r="I16" s="11">
        <f t="shared" si="2"/>
        <v>0.55077546296296298</v>
      </c>
      <c r="J16" s="8"/>
      <c r="K16" s="8"/>
      <c r="L16" s="8">
        <v>4.9895833333333334E-2</v>
      </c>
      <c r="M16" s="18"/>
      <c r="N16" s="13">
        <f t="shared" si="3"/>
        <v>1.0649087221095326</v>
      </c>
      <c r="O16" s="4"/>
      <c r="P16" s="20">
        <f ca="1">IFERROR(__xludf.DUMMYFUNCTION("""COMPUTED_VALUE"""),45804)</f>
        <v>45804</v>
      </c>
      <c r="Q16" s="15">
        <f t="shared" ca="1" si="7"/>
        <v>0.34166666666666667</v>
      </c>
      <c r="R16" s="15">
        <f t="shared" ca="1" si="8"/>
        <v>0.31488425925925922</v>
      </c>
      <c r="S16" s="15">
        <f t="shared" ca="1" si="4"/>
        <v>1.844907407407409E-2</v>
      </c>
      <c r="T16" s="16">
        <f t="shared" ca="1" si="5"/>
        <v>1.0799338944565058</v>
      </c>
    </row>
    <row r="17" spans="1:23" ht="15.75" customHeight="1">
      <c r="A17" s="6">
        <v>45786</v>
      </c>
      <c r="B17" s="7" t="s">
        <v>27</v>
      </c>
      <c r="C17" s="7">
        <v>130</v>
      </c>
      <c r="D17" s="8">
        <f>IFERROR(VLOOKUP($B17,Task!$B$1:$G$70,6,0)," ")</f>
        <v>1.3888888888888889E-3</v>
      </c>
      <c r="E17" s="9">
        <f t="shared" si="0"/>
        <v>0.18055555555555555</v>
      </c>
      <c r="F17" s="10">
        <f t="shared" si="11"/>
        <v>0.54781250000000004</v>
      </c>
      <c r="G17" s="10">
        <v>0.72227652777655749</v>
      </c>
      <c r="H17" s="8">
        <f t="shared" si="1"/>
        <v>0.16343393518396485</v>
      </c>
      <c r="I17" s="11">
        <f t="shared" si="2"/>
        <v>0.73939814814814819</v>
      </c>
      <c r="J17" s="8"/>
      <c r="K17" s="8"/>
      <c r="L17" s="8">
        <v>1.1030092592592593E-2</v>
      </c>
      <c r="M17" s="12"/>
      <c r="N17" s="13">
        <f t="shared" si="3"/>
        <v>1.1047617213176579</v>
      </c>
      <c r="O17" s="19"/>
      <c r="P17" s="20">
        <f ca="1">IFERROR(__xludf.DUMMYFUNCTION("""COMPUTED_VALUE"""),45805)</f>
        <v>45805</v>
      </c>
      <c r="Q17" s="15">
        <f t="shared" ca="1" si="7"/>
        <v>0.27777777777777779</v>
      </c>
      <c r="R17" s="15">
        <f t="shared" ca="1" si="8"/>
        <v>0.25342800926339493</v>
      </c>
      <c r="S17" s="15">
        <f t="shared" ca="1" si="4"/>
        <v>7.9905324069938388E-2</v>
      </c>
      <c r="T17" s="16">
        <f t="shared" ca="1" si="5"/>
        <v>1.0972891859473231</v>
      </c>
    </row>
    <row r="18" spans="1:23" ht="15.75" customHeight="1">
      <c r="A18" s="6">
        <v>45789</v>
      </c>
      <c r="B18" s="7" t="s">
        <v>18</v>
      </c>
      <c r="C18" s="7">
        <v>2</v>
      </c>
      <c r="D18" s="8">
        <f>IFERROR(VLOOKUP($B18,Task!$B$1:$G$70,6,0)," ")</f>
        <v>4.8611111111111112E-2</v>
      </c>
      <c r="E18" s="9">
        <f t="shared" si="0"/>
        <v>9.7222222222222224E-2</v>
      </c>
      <c r="F18" s="10">
        <v>0.42283564814814811</v>
      </c>
      <c r="G18" s="10">
        <v>0.53645833333333337</v>
      </c>
      <c r="H18" s="8">
        <f t="shared" si="1"/>
        <v>8.835648148148155E-2</v>
      </c>
      <c r="I18" s="11">
        <f t="shared" si="2"/>
        <v>0.54532407407407402</v>
      </c>
      <c r="J18" s="8"/>
      <c r="K18" s="8"/>
      <c r="L18" s="8">
        <v>2.5266203703703704E-2</v>
      </c>
      <c r="M18" s="18"/>
      <c r="N18" s="13">
        <f t="shared" si="3"/>
        <v>1.1003405816085923</v>
      </c>
      <c r="O18" s="19"/>
      <c r="P18" s="20">
        <f ca="1">IFERROR(__xludf.DUMMYFUNCTION("""COMPUTED_VALUE"""),45806)</f>
        <v>45806</v>
      </c>
      <c r="Q18" s="15">
        <f t="shared" ca="1" si="7"/>
        <v>0.30138888888888893</v>
      </c>
      <c r="R18" s="15">
        <f t="shared" ca="1" si="8"/>
        <v>0.27494084490769272</v>
      </c>
      <c r="S18" s="15">
        <f t="shared" ca="1" si="4"/>
        <v>5.8392488425640598E-2</v>
      </c>
      <c r="T18" s="16">
        <f t="shared" ca="1" si="5"/>
        <v>1.0931462708150663</v>
      </c>
    </row>
    <row r="19" spans="1:23" ht="15.75" customHeight="1">
      <c r="A19" s="6">
        <v>45789</v>
      </c>
      <c r="B19" s="7" t="s">
        <v>27</v>
      </c>
      <c r="C19" s="7">
        <v>121</v>
      </c>
      <c r="D19" s="8">
        <f>IFERROR(VLOOKUP($B19,Task!$B$1:$G$70,6,0)," ")</f>
        <v>1.3888888888888889E-3</v>
      </c>
      <c r="E19" s="9">
        <f t="shared" si="0"/>
        <v>0.16805555555555557</v>
      </c>
      <c r="F19" s="8">
        <f>G18</f>
        <v>0.53645833333333337</v>
      </c>
      <c r="G19" s="10">
        <v>0.74722222222222223</v>
      </c>
      <c r="H19" s="8">
        <f t="shared" si="1"/>
        <v>0.15327546296296293</v>
      </c>
      <c r="I19" s="11">
        <f t="shared" si="2"/>
        <v>0.76200231481481484</v>
      </c>
      <c r="J19" s="8"/>
      <c r="K19" s="8"/>
      <c r="L19" s="8">
        <v>5.7488425925925929E-2</v>
      </c>
      <c r="M19" s="12"/>
      <c r="N19" s="13">
        <f t="shared" si="3"/>
        <v>1.0964283017443182</v>
      </c>
      <c r="O19" s="19"/>
      <c r="P19" s="20">
        <f ca="1">IFERROR(__xludf.DUMMYFUNCTION("""COMPUTED_VALUE"""),45807)</f>
        <v>45807</v>
      </c>
      <c r="Q19" s="15">
        <f t="shared" ca="1" si="7"/>
        <v>0.30277777777777781</v>
      </c>
      <c r="R19" s="15">
        <f t="shared" ca="1" si="8"/>
        <v>0.26842592592592596</v>
      </c>
      <c r="S19" s="15">
        <f t="shared" ref="S19:S23" ca="1" si="12">IF(R19=""," ",$U$1-R19)</f>
        <v>6.4907407407407358E-2</v>
      </c>
      <c r="T19" s="16">
        <f t="shared" ca="1" si="5"/>
        <v>1.100298384810162</v>
      </c>
    </row>
    <row r="20" spans="1:23" ht="15.75" customHeight="1">
      <c r="A20" s="6">
        <v>45789</v>
      </c>
      <c r="B20" s="7" t="s">
        <v>19</v>
      </c>
      <c r="C20" s="7">
        <v>11</v>
      </c>
      <c r="D20" s="8">
        <f>IFERROR(VLOOKUP($B20,Task!$B$1:$G$70,6,0)," ")</f>
        <v>2.7777777777777779E-3</v>
      </c>
      <c r="E20" s="9">
        <f t="shared" si="0"/>
        <v>3.0555555555555558E-2</v>
      </c>
      <c r="F20" s="10">
        <v>0.64001157407407405</v>
      </c>
      <c r="G20" s="10">
        <v>0.66778935185185184</v>
      </c>
      <c r="H20" s="8">
        <f t="shared" si="1"/>
        <v>2.777777777777779E-2</v>
      </c>
      <c r="I20" s="11">
        <f t="shared" si="2"/>
        <v>0.67056712962962961</v>
      </c>
      <c r="J20" s="8"/>
      <c r="K20" s="8"/>
      <c r="L20" s="8"/>
      <c r="M20" s="18"/>
      <c r="N20" s="13">
        <f t="shared" si="3"/>
        <v>1.0999999999999996</v>
      </c>
      <c r="P20" s="20"/>
      <c r="Q20" s="15" t="str">
        <f t="shared" si="7"/>
        <v/>
      </c>
      <c r="R20" s="15" t="str">
        <f t="shared" si="8"/>
        <v/>
      </c>
      <c r="S20" s="15" t="str">
        <f t="shared" si="12"/>
        <v xml:space="preserve"> </v>
      </c>
      <c r="T20" s="16" t="str">
        <f t="shared" si="5"/>
        <v xml:space="preserve"> </v>
      </c>
      <c r="W20" s="4"/>
    </row>
    <row r="21" spans="1:23" ht="15.75" customHeight="1">
      <c r="A21" s="6">
        <v>45789</v>
      </c>
      <c r="B21" s="7" t="s">
        <v>16</v>
      </c>
      <c r="C21" s="7">
        <v>10</v>
      </c>
      <c r="D21" s="8">
        <f>IFERROR(VLOOKUP($B21,Task!$B$1:$G$70,6,0)," ")</f>
        <v>5.5555555555555558E-3</v>
      </c>
      <c r="E21" s="9">
        <f t="shared" si="0"/>
        <v>5.5555555555555559E-2</v>
      </c>
      <c r="F21" s="10">
        <f>G19</f>
        <v>0.74722222222222223</v>
      </c>
      <c r="G21" s="10">
        <v>0.79836069444718305</v>
      </c>
      <c r="H21" s="8">
        <f t="shared" si="1"/>
        <v>5.1138472224960818E-2</v>
      </c>
      <c r="I21" s="11">
        <f t="shared" si="2"/>
        <v>0.80277777777777781</v>
      </c>
      <c r="J21" s="8"/>
      <c r="K21" s="8"/>
      <c r="L21" s="8"/>
      <c r="M21" s="12"/>
      <c r="N21" s="13">
        <f t="shared" si="3"/>
        <v>1.0863749568263159</v>
      </c>
      <c r="P21" s="20"/>
      <c r="Q21" s="15" t="str">
        <f t="shared" si="7"/>
        <v/>
      </c>
      <c r="R21" s="15" t="str">
        <f t="shared" si="8"/>
        <v/>
      </c>
      <c r="S21" s="15" t="str">
        <f t="shared" si="12"/>
        <v xml:space="preserve"> </v>
      </c>
      <c r="T21" s="16" t="str">
        <f t="shared" si="5"/>
        <v xml:space="preserve"> </v>
      </c>
    </row>
    <row r="22" spans="1:23" ht="15.75" customHeight="1">
      <c r="A22" s="6">
        <v>45790</v>
      </c>
      <c r="B22" s="7" t="s">
        <v>18</v>
      </c>
      <c r="C22" s="7">
        <v>3</v>
      </c>
      <c r="D22" s="8">
        <f>IFERROR(VLOOKUP($B22,Task!$B$1:$G$70,6,0)," ")</f>
        <v>4.8611111111111112E-2</v>
      </c>
      <c r="E22" s="9">
        <f t="shared" si="0"/>
        <v>0.14583333333333334</v>
      </c>
      <c r="F22" s="10">
        <v>0.38869212962962962</v>
      </c>
      <c r="G22" s="10">
        <v>0.57377314814814817</v>
      </c>
      <c r="H22" s="8">
        <f t="shared" si="1"/>
        <v>0.13266203703703705</v>
      </c>
      <c r="I22" s="11">
        <f t="shared" si="2"/>
        <v>0.58694444444444449</v>
      </c>
      <c r="J22" s="8"/>
      <c r="K22" s="8"/>
      <c r="L22" s="8">
        <v>5.2418981481481483E-2</v>
      </c>
      <c r="M22" s="12"/>
      <c r="N22" s="13">
        <f t="shared" si="3"/>
        <v>1.0992845925667423</v>
      </c>
      <c r="O22" s="19"/>
      <c r="P22" s="20"/>
      <c r="Q22" s="15" t="str">
        <f t="shared" si="7"/>
        <v/>
      </c>
      <c r="R22" s="15" t="str">
        <f t="shared" si="8"/>
        <v/>
      </c>
      <c r="S22" s="15" t="str">
        <f t="shared" si="12"/>
        <v xml:space="preserve"> </v>
      </c>
      <c r="T22" s="16" t="str">
        <f t="shared" si="5"/>
        <v xml:space="preserve"> </v>
      </c>
    </row>
    <row r="23" spans="1:23" ht="15.75" customHeight="1">
      <c r="A23" s="6">
        <v>45790</v>
      </c>
      <c r="B23" s="7" t="s">
        <v>36</v>
      </c>
      <c r="C23" s="7">
        <v>52</v>
      </c>
      <c r="D23" s="8">
        <f>IFERROR(VLOOKUP($B23,Task!$B$1:$G$70,6,0)," ")</f>
        <v>6.9444444444444447E-4</v>
      </c>
      <c r="E23" s="9">
        <f t="shared" si="0"/>
        <v>3.6111111111111115E-2</v>
      </c>
      <c r="F23" s="10">
        <f t="shared" ref="F23:F26" si="13">G22</f>
        <v>0.57377314814814817</v>
      </c>
      <c r="G23" s="10">
        <v>0.6255208333333333</v>
      </c>
      <c r="H23" s="8">
        <f t="shared" si="1"/>
        <v>3.2824074074074019E-2</v>
      </c>
      <c r="I23" s="11">
        <f t="shared" si="2"/>
        <v>0.62880787037037034</v>
      </c>
      <c r="J23" s="8"/>
      <c r="K23" s="8"/>
      <c r="L23" s="8">
        <v>1.892361111111111E-2</v>
      </c>
      <c r="M23" s="12"/>
      <c r="N23" s="13">
        <f t="shared" si="3"/>
        <v>1.1001410437235561</v>
      </c>
      <c r="P23" s="20"/>
      <c r="Q23" s="15" t="str">
        <f t="shared" si="7"/>
        <v/>
      </c>
      <c r="R23" s="15" t="str">
        <f t="shared" si="8"/>
        <v/>
      </c>
      <c r="S23" s="15" t="str">
        <f t="shared" si="12"/>
        <v xml:space="preserve"> </v>
      </c>
      <c r="T23" s="16" t="str">
        <f t="shared" si="5"/>
        <v xml:space="preserve"> </v>
      </c>
    </row>
    <row r="24" spans="1:23" ht="15.75" customHeight="1">
      <c r="A24" s="6">
        <v>45790</v>
      </c>
      <c r="B24" s="7" t="s">
        <v>26</v>
      </c>
      <c r="C24" s="7">
        <v>1</v>
      </c>
      <c r="D24" s="8">
        <f>IFERROR(VLOOKUP($B24,Task!$B$1:$G$70,6,0)," ")</f>
        <v>2.0833333333333332E-2</v>
      </c>
      <c r="E24" s="9">
        <f t="shared" si="0"/>
        <v>2.0833333333333332E-2</v>
      </c>
      <c r="F24" s="10">
        <f t="shared" si="13"/>
        <v>0.6255208333333333</v>
      </c>
      <c r="G24" s="10">
        <v>0.645625</v>
      </c>
      <c r="H24" s="8">
        <f t="shared" si="1"/>
        <v>2.0104166666666701E-2</v>
      </c>
      <c r="I24" s="11">
        <f t="shared" si="2"/>
        <v>0.64635416666666667</v>
      </c>
      <c r="J24" s="8"/>
      <c r="K24" s="8"/>
      <c r="L24" s="8"/>
      <c r="M24" s="18"/>
      <c r="N24" s="13">
        <f t="shared" si="3"/>
        <v>1.0362694300518116</v>
      </c>
      <c r="O24" s="19"/>
      <c r="W24" s="4"/>
    </row>
    <row r="25" spans="1:23" ht="15.75" customHeight="1">
      <c r="A25" s="6">
        <v>45790</v>
      </c>
      <c r="B25" s="7" t="s">
        <v>16</v>
      </c>
      <c r="C25" s="7">
        <v>10</v>
      </c>
      <c r="D25" s="8">
        <f>IFERROR(VLOOKUP($B25,Task!$B$1:$G$70,6,0)," ")</f>
        <v>5.5555555555555558E-3</v>
      </c>
      <c r="E25" s="9">
        <f t="shared" si="0"/>
        <v>5.5555555555555559E-2</v>
      </c>
      <c r="F25" s="10">
        <f t="shared" si="13"/>
        <v>0.645625</v>
      </c>
      <c r="G25" s="10">
        <v>0.71680555555555558</v>
      </c>
      <c r="H25" s="8">
        <f t="shared" si="1"/>
        <v>4.9652777777777803E-2</v>
      </c>
      <c r="I25" s="11">
        <f t="shared" si="2"/>
        <v>0.7227083333333334</v>
      </c>
      <c r="J25" s="8"/>
      <c r="K25" s="8"/>
      <c r="L25" s="8">
        <v>2.1527777777777778E-2</v>
      </c>
      <c r="M25" s="18"/>
      <c r="N25" s="13">
        <f t="shared" si="3"/>
        <v>1.1188811188811183</v>
      </c>
      <c r="O25" s="4"/>
    </row>
    <row r="26" spans="1:23" ht="14.5">
      <c r="A26" s="6">
        <v>45790</v>
      </c>
      <c r="B26" s="7" t="s">
        <v>16</v>
      </c>
      <c r="C26" s="7">
        <v>5</v>
      </c>
      <c r="D26" s="8">
        <f>IFERROR(VLOOKUP($B26,Task!$B$1:$G$70,6,0)," ")</f>
        <v>5.5555555555555558E-3</v>
      </c>
      <c r="E26" s="9">
        <f t="shared" si="0"/>
        <v>2.777777777777778E-2</v>
      </c>
      <c r="F26" s="10">
        <f t="shared" si="13"/>
        <v>0.71680555555555558</v>
      </c>
      <c r="G26" s="10">
        <v>0.74305555555555558</v>
      </c>
      <c r="H26" s="8">
        <f t="shared" si="1"/>
        <v>2.6249999999999996E-2</v>
      </c>
      <c r="I26" s="11">
        <f t="shared" si="2"/>
        <v>0.74458333333333337</v>
      </c>
      <c r="J26" s="8"/>
      <c r="K26" s="8"/>
      <c r="L26" s="8"/>
      <c r="M26" s="18"/>
      <c r="N26" s="13">
        <f t="shared" si="3"/>
        <v>1.0582010582010584</v>
      </c>
      <c r="O26" s="19"/>
      <c r="P26" s="22" t="s">
        <v>0</v>
      </c>
      <c r="Q26" s="22" t="s">
        <v>14</v>
      </c>
      <c r="R26" s="22" t="s">
        <v>22</v>
      </c>
      <c r="S26" s="22" t="s">
        <v>23</v>
      </c>
      <c r="T26" s="22" t="s">
        <v>24</v>
      </c>
    </row>
    <row r="27" spans="1:23" ht="14.5">
      <c r="A27" s="6">
        <v>45791</v>
      </c>
      <c r="B27" s="7" t="s">
        <v>16</v>
      </c>
      <c r="C27" s="7">
        <f>14-C26</f>
        <v>9</v>
      </c>
      <c r="D27" s="8">
        <f>IFERROR(VLOOKUP($B27,Task!$B$1:$G$70,6,0)," ")</f>
        <v>5.5555555555555558E-3</v>
      </c>
      <c r="E27" s="9">
        <f t="shared" si="0"/>
        <v>0.05</v>
      </c>
      <c r="F27" s="10">
        <v>0.33649305555555553</v>
      </c>
      <c r="G27" s="10">
        <v>0.3825115740740741</v>
      </c>
      <c r="H27" s="8">
        <f t="shared" si="1"/>
        <v>4.601851851851857E-2</v>
      </c>
      <c r="I27" s="11">
        <f t="shared" si="2"/>
        <v>0.38649305555555552</v>
      </c>
      <c r="J27" s="8"/>
      <c r="K27" s="8"/>
      <c r="L27" s="8"/>
      <c r="M27" s="18"/>
      <c r="N27" s="13">
        <f t="shared" si="3"/>
        <v>1.0865191146881277</v>
      </c>
      <c r="O27" s="19"/>
    </row>
    <row r="28" spans="1:23" ht="14.5">
      <c r="A28" s="6">
        <v>45791</v>
      </c>
      <c r="B28" s="7" t="s">
        <v>18</v>
      </c>
      <c r="C28" s="7">
        <v>2</v>
      </c>
      <c r="D28" s="8">
        <f>IFERROR(VLOOKUP($B28,Task!$B$1:$G$70,6,0)," ")</f>
        <v>4.8611111111111112E-2</v>
      </c>
      <c r="E28" s="9">
        <f t="shared" si="0"/>
        <v>9.7222222222222224E-2</v>
      </c>
      <c r="F28" s="10">
        <f t="shared" ref="F28:F30" si="14">G27</f>
        <v>0.3825115740740741</v>
      </c>
      <c r="G28" s="10">
        <v>0.51979166666666665</v>
      </c>
      <c r="H28" s="8">
        <f t="shared" si="1"/>
        <v>8.842592592592588E-2</v>
      </c>
      <c r="I28" s="11">
        <f t="shared" si="2"/>
        <v>0.52858796296296295</v>
      </c>
      <c r="J28" s="8"/>
      <c r="K28" s="8"/>
      <c r="L28" s="8">
        <v>4.8854166666666664E-2</v>
      </c>
      <c r="M28" s="18"/>
      <c r="N28" s="13">
        <f t="shared" si="3"/>
        <v>1.0994764397905765</v>
      </c>
      <c r="O28" s="19"/>
    </row>
    <row r="29" spans="1:23" ht="14.5">
      <c r="A29" s="6">
        <v>45791</v>
      </c>
      <c r="B29" s="7" t="s">
        <v>19</v>
      </c>
      <c r="C29" s="7">
        <v>5</v>
      </c>
      <c r="D29" s="8">
        <f>IFERROR(VLOOKUP($B29,Task!$B$1:$G$70,6,0)," ")</f>
        <v>2.7777777777777779E-3</v>
      </c>
      <c r="E29" s="9">
        <f t="shared" si="0"/>
        <v>1.388888888888889E-2</v>
      </c>
      <c r="F29" s="10">
        <f t="shared" si="14"/>
        <v>0.51979166666666665</v>
      </c>
      <c r="G29" s="10">
        <v>0.54746157407498686</v>
      </c>
      <c r="H29" s="8">
        <f t="shared" si="1"/>
        <v>1.260046296387576E-2</v>
      </c>
      <c r="I29" s="11">
        <f t="shared" si="2"/>
        <v>0.54874999999999996</v>
      </c>
      <c r="J29" s="8"/>
      <c r="K29" s="8"/>
      <c r="L29" s="8">
        <v>1.5069444444444444E-2</v>
      </c>
      <c r="M29" s="12"/>
      <c r="N29" s="13">
        <f t="shared" si="3"/>
        <v>1.1022522687227378</v>
      </c>
      <c r="O29" s="19"/>
    </row>
    <row r="30" spans="1:23" ht="14.5">
      <c r="A30" s="6">
        <v>45791</v>
      </c>
      <c r="B30" s="7" t="s">
        <v>19</v>
      </c>
      <c r="C30" s="7">
        <v>29</v>
      </c>
      <c r="D30" s="8">
        <f>IFERROR(VLOOKUP($B30,Task!$B$1:$G$70,6,0)," ")</f>
        <v>2.7777777777777779E-3</v>
      </c>
      <c r="E30" s="9">
        <f t="shared" si="0"/>
        <v>8.0555555555555561E-2</v>
      </c>
      <c r="F30" s="10">
        <f t="shared" si="14"/>
        <v>0.54746157407498686</v>
      </c>
      <c r="G30" s="10">
        <v>0.62928240740740737</v>
      </c>
      <c r="H30" s="8">
        <f t="shared" si="1"/>
        <v>7.3394907406494597E-2</v>
      </c>
      <c r="I30" s="11">
        <f t="shared" si="2"/>
        <v>0.63644305555646841</v>
      </c>
      <c r="J30" s="8"/>
      <c r="K30" s="8"/>
      <c r="L30" s="8">
        <v>8.4259259259259253E-3</v>
      </c>
      <c r="M30" s="12"/>
      <c r="N30" s="13">
        <f t="shared" si="3"/>
        <v>1.0975632833679048</v>
      </c>
      <c r="O30" s="4"/>
    </row>
    <row r="31" spans="1:23" ht="14.5">
      <c r="A31" s="6">
        <v>45792</v>
      </c>
      <c r="B31" s="7" t="s">
        <v>18</v>
      </c>
      <c r="C31" s="7">
        <v>1</v>
      </c>
      <c r="D31" s="8">
        <f>IFERROR(VLOOKUP($B31,Task!$B$1:$G$70,6,0)," ")</f>
        <v>4.8611111111111112E-2</v>
      </c>
      <c r="E31" s="9">
        <f t="shared" si="0"/>
        <v>4.8611111111111112E-2</v>
      </c>
      <c r="F31" s="10">
        <v>0.33915509259259258</v>
      </c>
      <c r="G31" s="10">
        <v>0.38774305555555555</v>
      </c>
      <c r="H31" s="8">
        <f t="shared" si="1"/>
        <v>4.8587962962962972E-2</v>
      </c>
      <c r="I31" s="11">
        <f t="shared" si="2"/>
        <v>0.38776620370370368</v>
      </c>
      <c r="J31" s="8"/>
      <c r="K31" s="8"/>
      <c r="L31" s="8"/>
      <c r="M31" s="12"/>
      <c r="N31" s="13">
        <f t="shared" si="3"/>
        <v>1.000476417341591</v>
      </c>
      <c r="O31" s="19"/>
    </row>
    <row r="32" spans="1:23" ht="14.5">
      <c r="A32" s="6">
        <v>45792</v>
      </c>
      <c r="B32" s="7" t="s">
        <v>19</v>
      </c>
      <c r="C32" s="7">
        <v>38</v>
      </c>
      <c r="D32" s="8">
        <f>IFERROR(VLOOKUP($B32,Task!$B$1:$G$70,6,0)," ")</f>
        <v>2.7777777777777779E-3</v>
      </c>
      <c r="E32" s="9">
        <f t="shared" si="0"/>
        <v>0.10555555555555556</v>
      </c>
      <c r="F32" s="10">
        <v>0.40388888888888885</v>
      </c>
      <c r="G32" s="10">
        <v>0.53962962962962968</v>
      </c>
      <c r="H32" s="8">
        <f t="shared" si="1"/>
        <v>9.0798611111111205E-2</v>
      </c>
      <c r="I32" s="11">
        <f t="shared" si="2"/>
        <v>0.55438657407407399</v>
      </c>
      <c r="J32" s="8"/>
      <c r="K32" s="8"/>
      <c r="L32" s="8">
        <v>4.494212962962963E-2</v>
      </c>
      <c r="M32" s="12"/>
      <c r="N32" s="13">
        <f t="shared" si="3"/>
        <v>1.1625239005736125</v>
      </c>
      <c r="O32" s="4"/>
    </row>
    <row r="33" spans="1:15" ht="14.5">
      <c r="A33" s="6">
        <v>45792</v>
      </c>
      <c r="B33" s="7" t="s">
        <v>16</v>
      </c>
      <c r="C33" s="7">
        <v>1</v>
      </c>
      <c r="D33" s="8">
        <f>IFERROR(VLOOKUP($B33,Task!$B$1:$G$70,6,0)," ")</f>
        <v>5.5555555555555558E-3</v>
      </c>
      <c r="E33" s="9">
        <f t="shared" si="0"/>
        <v>5.5555555555555558E-3</v>
      </c>
      <c r="F33" s="10">
        <v>0.65172453703703703</v>
      </c>
      <c r="G33" s="10">
        <v>0.67986111111111114</v>
      </c>
      <c r="H33" s="8">
        <f t="shared" si="1"/>
        <v>6.5972222222225249E-4</v>
      </c>
      <c r="I33" s="11">
        <f t="shared" si="2"/>
        <v>0.68475694444444446</v>
      </c>
      <c r="J33" s="8"/>
      <c r="K33" s="8"/>
      <c r="L33" s="8">
        <v>2.7476851851851853E-2</v>
      </c>
      <c r="M33" s="18"/>
      <c r="N33" s="13">
        <f t="shared" si="3"/>
        <v>8.4210526315785614</v>
      </c>
      <c r="O33" s="19"/>
    </row>
    <row r="34" spans="1:15" ht="14.5">
      <c r="A34" s="6">
        <v>45792</v>
      </c>
      <c r="B34" s="7" t="s">
        <v>16</v>
      </c>
      <c r="C34" s="7">
        <v>4</v>
      </c>
      <c r="D34" s="8">
        <f>IFERROR(VLOOKUP($B34,Task!$B$1:$G$70,6,0)," ")</f>
        <v>5.5555555555555558E-3</v>
      </c>
      <c r="E34" s="9">
        <f t="shared" si="0"/>
        <v>2.2222222222222223E-2</v>
      </c>
      <c r="F34" s="10">
        <f>G33</f>
        <v>0.67986111111111114</v>
      </c>
      <c r="G34" s="10">
        <v>0.7006944444444444</v>
      </c>
      <c r="H34" s="8">
        <f t="shared" si="1"/>
        <v>2.0833333333333259E-2</v>
      </c>
      <c r="I34" s="11">
        <f t="shared" si="2"/>
        <v>0.70208333333333339</v>
      </c>
      <c r="J34" s="8"/>
      <c r="K34" s="8"/>
      <c r="L34" s="8"/>
      <c r="M34" s="18"/>
      <c r="N34" s="13">
        <f t="shared" si="3"/>
        <v>1.0666666666666704</v>
      </c>
      <c r="O34" s="19"/>
    </row>
    <row r="35" spans="1:15" ht="14.5">
      <c r="A35" s="6">
        <v>45793</v>
      </c>
      <c r="B35" s="7" t="s">
        <v>18</v>
      </c>
      <c r="C35" s="7">
        <v>1</v>
      </c>
      <c r="D35" s="8">
        <f>IFERROR(VLOOKUP($B35,Task!$B$1:$G$70,6,0)," ")</f>
        <v>4.8611111111111112E-2</v>
      </c>
      <c r="E35" s="9">
        <f t="shared" si="0"/>
        <v>4.8611111111111112E-2</v>
      </c>
      <c r="F35" s="10">
        <v>0.33628472222222228</v>
      </c>
      <c r="G35" s="10">
        <v>0.4231597222222222</v>
      </c>
      <c r="H35" s="8">
        <f t="shared" si="1"/>
        <v>4.4270833333333259E-2</v>
      </c>
      <c r="I35" s="11">
        <f t="shared" si="2"/>
        <v>0.42750000000000005</v>
      </c>
      <c r="J35" s="8"/>
      <c r="K35" s="8"/>
      <c r="L35" s="8">
        <v>4.2604166666666665E-2</v>
      </c>
      <c r="M35" s="18"/>
      <c r="N35" s="13">
        <f t="shared" si="3"/>
        <v>1.0980392156862764</v>
      </c>
    </row>
    <row r="36" spans="1:15" ht="14.5">
      <c r="A36" s="6">
        <v>45793</v>
      </c>
      <c r="B36" s="7" t="s">
        <v>16</v>
      </c>
      <c r="C36" s="7">
        <v>20</v>
      </c>
      <c r="D36" s="8">
        <f>IFERROR(VLOOKUP($B36,Task!$B$1:$G$70,6,0)," ")</f>
        <v>5.5555555555555558E-3</v>
      </c>
      <c r="E36" s="9">
        <f t="shared" si="0"/>
        <v>0.11111111111111112</v>
      </c>
      <c r="F36" s="10">
        <f t="shared" ref="F36:F37" si="15">G35</f>
        <v>0.4231597222222222</v>
      </c>
      <c r="G36" s="10">
        <v>0.55277777777777781</v>
      </c>
      <c r="H36" s="8">
        <f t="shared" si="1"/>
        <v>0.10155092592592599</v>
      </c>
      <c r="I36" s="11">
        <f t="shared" si="2"/>
        <v>0.56233796296296301</v>
      </c>
      <c r="J36" s="8"/>
      <c r="K36" s="8"/>
      <c r="L36" s="8">
        <v>2.8067129629629629E-2</v>
      </c>
      <c r="M36" s="18"/>
      <c r="N36" s="13">
        <f t="shared" si="3"/>
        <v>1.09414178253932</v>
      </c>
    </row>
    <row r="37" spans="1:15" ht="14.5">
      <c r="A37" s="6">
        <v>45793</v>
      </c>
      <c r="B37" s="7" t="s">
        <v>20</v>
      </c>
      <c r="C37" s="23">
        <v>60</v>
      </c>
      <c r="D37" s="8">
        <f>IFERROR(VLOOKUP($B37,Task!$B$1:$G$70,6,0)," ")</f>
        <v>2.0833333333333333E-3</v>
      </c>
      <c r="E37" s="9">
        <f t="shared" si="0"/>
        <v>0.125</v>
      </c>
      <c r="F37" s="10">
        <f t="shared" si="15"/>
        <v>0.55277777777777781</v>
      </c>
      <c r="G37" s="10">
        <v>0.71527777777777779</v>
      </c>
      <c r="H37" s="8">
        <f t="shared" si="1"/>
        <v>0.11689814814814813</v>
      </c>
      <c r="I37" s="11">
        <f t="shared" si="2"/>
        <v>0.72337962962962965</v>
      </c>
      <c r="J37" s="8"/>
      <c r="K37" s="8"/>
      <c r="L37" s="8">
        <v>4.5601851851851852E-2</v>
      </c>
      <c r="M37" s="18"/>
      <c r="N37" s="13">
        <f t="shared" si="3"/>
        <v>1.0693069306930696</v>
      </c>
      <c r="O37" s="19"/>
    </row>
    <row r="38" spans="1:15" ht="14.5">
      <c r="A38" s="6">
        <v>45796</v>
      </c>
      <c r="B38" s="7" t="s">
        <v>16</v>
      </c>
      <c r="C38" s="7">
        <v>21</v>
      </c>
      <c r="D38" s="8">
        <f>IFERROR(VLOOKUP($B38,Task!$B$1:$G$70,6,0)," ")</f>
        <v>5.5555555555555558E-3</v>
      </c>
      <c r="E38" s="9">
        <f t="shared" si="0"/>
        <v>0.11666666666666667</v>
      </c>
      <c r="F38" s="10">
        <v>0.35261574074074076</v>
      </c>
      <c r="G38" s="10">
        <v>0.49444444444444446</v>
      </c>
      <c r="H38" s="8">
        <f t="shared" si="1"/>
        <v>0.10606481481481482</v>
      </c>
      <c r="I38" s="11">
        <f t="shared" si="2"/>
        <v>0.50504629629629638</v>
      </c>
      <c r="J38" s="8"/>
      <c r="K38" s="8"/>
      <c r="L38" s="8">
        <v>3.5763888888888887E-2</v>
      </c>
      <c r="M38" s="12"/>
      <c r="N38" s="13">
        <f t="shared" si="3"/>
        <v>1.0999563509384549</v>
      </c>
      <c r="O38" s="19"/>
    </row>
    <row r="39" spans="1:15" ht="14.5">
      <c r="A39" s="6">
        <v>45796</v>
      </c>
      <c r="B39" s="7" t="s">
        <v>18</v>
      </c>
      <c r="C39" s="7">
        <v>1</v>
      </c>
      <c r="D39" s="8">
        <f>IFERROR(VLOOKUP($B39,Task!$B$1:$G$70,6,0)," ")</f>
        <v>4.8611111111111112E-2</v>
      </c>
      <c r="E39" s="9">
        <f t="shared" si="0"/>
        <v>4.8611111111111112E-2</v>
      </c>
      <c r="F39" s="10">
        <f>G38</f>
        <v>0.49444444444444446</v>
      </c>
      <c r="G39" s="10">
        <v>0.53919686342123896</v>
      </c>
      <c r="H39" s="8">
        <f t="shared" si="1"/>
        <v>4.4752418976794495E-2</v>
      </c>
      <c r="I39" s="11">
        <f t="shared" si="2"/>
        <v>0.54305555555555562</v>
      </c>
      <c r="J39" s="8"/>
      <c r="K39" s="8"/>
      <c r="L39" s="8"/>
      <c r="M39" s="12"/>
      <c r="N39" s="13">
        <f t="shared" si="3"/>
        <v>1.0862230963720076</v>
      </c>
      <c r="O39" s="19"/>
    </row>
    <row r="40" spans="1:15" ht="14.5">
      <c r="A40" s="6">
        <v>45796</v>
      </c>
      <c r="B40" s="7" t="s">
        <v>37</v>
      </c>
      <c r="C40" s="7">
        <v>15</v>
      </c>
      <c r="D40" s="8">
        <f>IFERROR(VLOOKUP($B40,Task!$B$1:$G$70,6,0)," ")</f>
        <v>1.3888888888888889E-3</v>
      </c>
      <c r="E40" s="9">
        <f t="shared" si="0"/>
        <v>2.0833333333333336E-2</v>
      </c>
      <c r="F40" s="10">
        <v>0.6005787037037037</v>
      </c>
      <c r="G40" s="10">
        <v>0.61954326389241032</v>
      </c>
      <c r="H40" s="8">
        <f t="shared" si="1"/>
        <v>1.8964560188706625E-2</v>
      </c>
      <c r="I40" s="11">
        <f t="shared" si="2"/>
        <v>0.62141203703703707</v>
      </c>
      <c r="J40" s="8"/>
      <c r="K40" s="8"/>
      <c r="L40" s="8"/>
      <c r="M40" s="12"/>
      <c r="N40" s="13">
        <f t="shared" si="3"/>
        <v>1.0985402838785348</v>
      </c>
      <c r="O40" s="19"/>
    </row>
    <row r="41" spans="1:15" ht="14.5">
      <c r="A41" s="6">
        <v>45796</v>
      </c>
      <c r="B41" s="7" t="s">
        <v>17</v>
      </c>
      <c r="C41" s="7">
        <v>1</v>
      </c>
      <c r="D41" s="8">
        <f>IFERROR(VLOOKUP($B41,Task!$B$1:$G$70,6,0)," ")</f>
        <v>2.0833333333333332E-2</v>
      </c>
      <c r="E41" s="9">
        <f t="shared" si="0"/>
        <v>2.0833333333333332E-2</v>
      </c>
      <c r="F41" s="10">
        <v>0.68336805555555558</v>
      </c>
      <c r="G41" s="10">
        <v>0.7028240740740741</v>
      </c>
      <c r="H41" s="8">
        <f t="shared" si="1"/>
        <v>1.9456018518518525E-2</v>
      </c>
      <c r="I41" s="11">
        <f t="shared" si="2"/>
        <v>0.70420138888888895</v>
      </c>
      <c r="J41" s="8"/>
      <c r="K41" s="8"/>
      <c r="L41" s="8"/>
      <c r="M41" s="12"/>
      <c r="N41" s="13">
        <f t="shared" si="3"/>
        <v>1.0707911957168348</v>
      </c>
      <c r="O41" s="4"/>
    </row>
    <row r="42" spans="1:15" ht="14.5">
      <c r="A42" s="6">
        <v>45797</v>
      </c>
      <c r="B42" s="7" t="s">
        <v>26</v>
      </c>
      <c r="C42" s="7">
        <v>1</v>
      </c>
      <c r="D42" s="8">
        <f>IFERROR(VLOOKUP($B42,Task!$B$1:$G$70,6,0)," ")</f>
        <v>2.0833333333333332E-2</v>
      </c>
      <c r="E42" s="9">
        <f t="shared" si="0"/>
        <v>2.0833333333333332E-2</v>
      </c>
      <c r="F42" s="10">
        <v>0.33627314814814813</v>
      </c>
      <c r="G42" s="10">
        <v>0.35563657407407412</v>
      </c>
      <c r="H42" s="8">
        <f t="shared" si="1"/>
        <v>1.9363425925925992E-2</v>
      </c>
      <c r="I42" s="11">
        <f t="shared" si="2"/>
        <v>0.35710648148148144</v>
      </c>
      <c r="J42" s="8"/>
      <c r="K42" s="8"/>
      <c r="L42" s="8"/>
      <c r="M42" s="12"/>
      <c r="N42" s="13">
        <f t="shared" si="3"/>
        <v>1.0759115361625784</v>
      </c>
      <c r="O42" s="4"/>
    </row>
    <row r="43" spans="1:15" ht="14.5">
      <c r="A43" s="6">
        <v>45797</v>
      </c>
      <c r="B43" s="7" t="s">
        <v>38</v>
      </c>
      <c r="C43" s="7">
        <v>3</v>
      </c>
      <c r="D43" s="8">
        <f>IFERROR(VLOOKUP($B43,Task!$B$1:$G$70,6,0)," ")</f>
        <v>2.7777777777777779E-3</v>
      </c>
      <c r="E43" s="9">
        <f t="shared" si="0"/>
        <v>8.3333333333333332E-3</v>
      </c>
      <c r="F43" s="10">
        <f>G42</f>
        <v>0.35563657407407412</v>
      </c>
      <c r="G43" s="10">
        <v>0.36353009259259261</v>
      </c>
      <c r="H43" s="8">
        <f t="shared" si="1"/>
        <v>7.8935185185184942E-3</v>
      </c>
      <c r="I43" s="11">
        <f t="shared" si="2"/>
        <v>0.36396990740740748</v>
      </c>
      <c r="J43" s="8"/>
      <c r="K43" s="8"/>
      <c r="L43" s="8"/>
      <c r="M43" s="12"/>
      <c r="N43" s="13">
        <f t="shared" si="3"/>
        <v>1.0557184750733171</v>
      </c>
      <c r="O43" s="19"/>
    </row>
    <row r="44" spans="1:15" ht="14.5">
      <c r="A44" s="6">
        <v>45797</v>
      </c>
      <c r="B44" s="7" t="s">
        <v>18</v>
      </c>
      <c r="C44" s="7">
        <v>1</v>
      </c>
      <c r="D44" s="8">
        <f>IFERROR(VLOOKUP($B44,Task!$B$1:$G$70,6,0)," ")</f>
        <v>4.8611111111111112E-2</v>
      </c>
      <c r="E44" s="9">
        <f t="shared" si="0"/>
        <v>4.8611111111111112E-2</v>
      </c>
      <c r="F44" s="10">
        <v>0.41946759259259259</v>
      </c>
      <c r="G44" s="10">
        <v>0.48874473379692063</v>
      </c>
      <c r="H44" s="8">
        <f t="shared" si="1"/>
        <v>4.427714120432804E-2</v>
      </c>
      <c r="I44" s="11">
        <f t="shared" si="2"/>
        <v>0.49307870370370371</v>
      </c>
      <c r="J44" s="8"/>
      <c r="K44" s="8"/>
      <c r="L44" s="8">
        <v>2.5000000000000001E-2</v>
      </c>
      <c r="M44" s="12"/>
      <c r="N44" s="13">
        <f t="shared" si="3"/>
        <v>1.0978827853131456</v>
      </c>
      <c r="O44" s="19"/>
    </row>
    <row r="45" spans="1:15" ht="14.5">
      <c r="A45" s="6">
        <v>45797</v>
      </c>
      <c r="B45" s="7" t="s">
        <v>16</v>
      </c>
      <c r="C45" s="7">
        <v>21</v>
      </c>
      <c r="D45" s="8">
        <f>IFERROR(VLOOKUP($B45,Task!$B$1:$G$70,6,0)," ")</f>
        <v>5.5555555555555558E-3</v>
      </c>
      <c r="E45" s="9">
        <f t="shared" si="0"/>
        <v>0.11666666666666667</v>
      </c>
      <c r="F45" s="10">
        <f t="shared" ref="F45:F46" si="16">G44</f>
        <v>0.48874473379692063</v>
      </c>
      <c r="G45" s="10">
        <v>0.59531250000000002</v>
      </c>
      <c r="H45" s="8">
        <f t="shared" si="1"/>
        <v>0.10656776620307939</v>
      </c>
      <c r="I45" s="11">
        <f t="shared" si="2"/>
        <v>0.60541140046358732</v>
      </c>
      <c r="J45" s="8"/>
      <c r="K45" s="8"/>
      <c r="L45" s="8"/>
      <c r="M45" s="12"/>
      <c r="N45" s="13">
        <f t="shared" si="3"/>
        <v>1.0947650572344967</v>
      </c>
      <c r="O45" s="19"/>
    </row>
    <row r="46" spans="1:15" ht="14.5">
      <c r="A46" s="6">
        <v>45797</v>
      </c>
      <c r="B46" s="7" t="s">
        <v>19</v>
      </c>
      <c r="C46" s="7">
        <v>42</v>
      </c>
      <c r="D46" s="8">
        <f>IFERROR(VLOOKUP($B46,Task!$B$1:$G$70,6,0)," ")</f>
        <v>2.7777777777777779E-3</v>
      </c>
      <c r="E46" s="9">
        <f t="shared" si="0"/>
        <v>0.11666666666666667</v>
      </c>
      <c r="F46" s="10">
        <f t="shared" si="16"/>
        <v>0.59531250000000002</v>
      </c>
      <c r="G46" s="8">
        <v>0.71180555555555558</v>
      </c>
      <c r="H46" s="8">
        <f t="shared" si="1"/>
        <v>9.9074074074074078E-2</v>
      </c>
      <c r="I46" s="11">
        <f t="shared" si="2"/>
        <v>0.72939814814814818</v>
      </c>
      <c r="J46" s="8"/>
      <c r="K46" s="8"/>
      <c r="L46" s="8">
        <v>1.7418981481481483E-2</v>
      </c>
      <c r="M46" s="12"/>
      <c r="N46" s="13">
        <f t="shared" si="3"/>
        <v>1.1775700934579438</v>
      </c>
      <c r="O46" s="4"/>
    </row>
    <row r="47" spans="1:15" ht="14.5">
      <c r="A47" s="6">
        <v>45798</v>
      </c>
      <c r="B47" s="7" t="s">
        <v>27</v>
      </c>
      <c r="C47" s="7">
        <v>16</v>
      </c>
      <c r="D47" s="8">
        <f>IFERROR(VLOOKUP($B47,Task!$B$1:$G$70,6,0)," ")</f>
        <v>1.3888888888888889E-3</v>
      </c>
      <c r="E47" s="9">
        <f t="shared" si="0"/>
        <v>2.2222222222222223E-2</v>
      </c>
      <c r="F47" s="10">
        <v>0.34506944444444443</v>
      </c>
      <c r="G47" s="10">
        <v>0.36541666666666667</v>
      </c>
      <c r="H47" s="8">
        <f t="shared" si="1"/>
        <v>2.0347222222222239E-2</v>
      </c>
      <c r="I47" s="11">
        <f t="shared" si="2"/>
        <v>0.36729166666666663</v>
      </c>
      <c r="J47" s="8"/>
      <c r="K47" s="8"/>
      <c r="L47" s="8"/>
      <c r="M47" s="18"/>
      <c r="N47" s="13">
        <f t="shared" si="3"/>
        <v>1.0921501706484633</v>
      </c>
      <c r="O47" s="19"/>
    </row>
    <row r="48" spans="1:15" ht="14.5">
      <c r="A48" s="6">
        <v>45798</v>
      </c>
      <c r="B48" s="7" t="s">
        <v>27</v>
      </c>
      <c r="C48" s="7">
        <v>40</v>
      </c>
      <c r="D48" s="8">
        <f>IFERROR(VLOOKUP($B48,Task!$B$1:$G$70,6,0)," ")</f>
        <v>1.3888888888888889E-3</v>
      </c>
      <c r="E48" s="9">
        <f t="shared" si="0"/>
        <v>5.5555555555555559E-2</v>
      </c>
      <c r="F48" s="10">
        <v>0.3664236111111111</v>
      </c>
      <c r="G48" s="10">
        <v>0.41697916666666668</v>
      </c>
      <c r="H48" s="8">
        <f t="shared" si="1"/>
        <v>5.0555555555555576E-2</v>
      </c>
      <c r="I48" s="11">
        <f t="shared" si="2"/>
        <v>0.42197916666666668</v>
      </c>
      <c r="J48" s="8"/>
      <c r="K48" s="8"/>
      <c r="L48" s="8"/>
      <c r="M48" s="12"/>
      <c r="N48" s="13">
        <f t="shared" si="3"/>
        <v>1.0989010989010985</v>
      </c>
      <c r="O48" s="4"/>
    </row>
    <row r="49" spans="1:23" ht="14.5">
      <c r="A49" s="6">
        <v>45798</v>
      </c>
      <c r="B49" s="7" t="s">
        <v>18</v>
      </c>
      <c r="C49" s="7">
        <v>1</v>
      </c>
      <c r="D49" s="8">
        <f>IFERROR(VLOOKUP($B49,Task!$B$1:$G$70,6,0)," ")</f>
        <v>4.8611111111111112E-2</v>
      </c>
      <c r="E49" s="9">
        <f t="shared" si="0"/>
        <v>4.8611111111111112E-2</v>
      </c>
      <c r="F49" s="10">
        <f t="shared" ref="F49:F51" si="17">G48</f>
        <v>0.41697916666666668</v>
      </c>
      <c r="G49" s="10">
        <v>0.49627314814814816</v>
      </c>
      <c r="H49" s="8">
        <f t="shared" si="1"/>
        <v>4.7337962962962957E-2</v>
      </c>
      <c r="I49" s="11">
        <f t="shared" si="2"/>
        <v>0.49754629629629632</v>
      </c>
      <c r="J49" s="8"/>
      <c r="K49" s="8"/>
      <c r="L49" s="8">
        <v>3.1956018518518522E-2</v>
      </c>
      <c r="M49" s="18"/>
      <c r="N49" s="13">
        <f t="shared" si="3"/>
        <v>1.0268948655256724</v>
      </c>
      <c r="O49" s="19"/>
    </row>
    <row r="50" spans="1:23" ht="14.5">
      <c r="A50" s="6">
        <v>45798</v>
      </c>
      <c r="B50" s="7" t="s">
        <v>16</v>
      </c>
      <c r="C50" s="7">
        <v>8</v>
      </c>
      <c r="D50" s="8">
        <f>IFERROR(VLOOKUP($B50,Task!$B$1:$G$70,6,0)," ")</f>
        <v>5.5555555555555558E-3</v>
      </c>
      <c r="E50" s="9">
        <f t="shared" si="0"/>
        <v>4.4444444444444446E-2</v>
      </c>
      <c r="F50" s="10">
        <f t="shared" si="17"/>
        <v>0.49627314814814816</v>
      </c>
      <c r="G50" s="10">
        <v>0.5367939814814815</v>
      </c>
      <c r="H50" s="8">
        <f t="shared" si="1"/>
        <v>4.0520833333333339E-2</v>
      </c>
      <c r="I50" s="11">
        <f t="shared" si="2"/>
        <v>0.54071759259259256</v>
      </c>
      <c r="J50" s="8"/>
      <c r="K50" s="8"/>
      <c r="L50" s="8"/>
      <c r="M50" s="12"/>
      <c r="N50" s="13">
        <f t="shared" si="3"/>
        <v>1.096829477292202</v>
      </c>
      <c r="O50" s="4"/>
    </row>
    <row r="51" spans="1:23" ht="14.5">
      <c r="A51" s="6">
        <v>45798</v>
      </c>
      <c r="B51" s="7" t="s">
        <v>27</v>
      </c>
      <c r="C51" s="7">
        <v>56</v>
      </c>
      <c r="D51" s="8">
        <f>IFERROR(VLOOKUP($B51,Task!$B$1:$G$70,6,0)," ")</f>
        <v>1.3888888888888889E-3</v>
      </c>
      <c r="E51" s="9">
        <f t="shared" si="0"/>
        <v>7.7777777777777779E-2</v>
      </c>
      <c r="F51" s="10">
        <f t="shared" si="17"/>
        <v>0.5367939814814815</v>
      </c>
      <c r="G51" s="10">
        <v>0.62709979166538687</v>
      </c>
      <c r="H51" s="8">
        <f t="shared" si="1"/>
        <v>7.0710902776497969E-2</v>
      </c>
      <c r="I51" s="11">
        <f t="shared" si="2"/>
        <v>0.63416666666666666</v>
      </c>
      <c r="J51" s="8"/>
      <c r="K51" s="8"/>
      <c r="L51" s="8">
        <v>1.9594907407407408E-2</v>
      </c>
      <c r="M51" s="12"/>
      <c r="N51" s="13">
        <f t="shared" si="3"/>
        <v>1.0999403871792826</v>
      </c>
      <c r="O51" s="19"/>
    </row>
    <row r="52" spans="1:23" ht="14.5">
      <c r="A52" s="6">
        <v>45799</v>
      </c>
      <c r="B52" s="7" t="s">
        <v>19</v>
      </c>
      <c r="C52" s="7">
        <v>35</v>
      </c>
      <c r="D52" s="8">
        <f>IFERROR(VLOOKUP($B52,Task!$B$1:$G$70,6,0)," ")</f>
        <v>2.7777777777777779E-3</v>
      </c>
      <c r="E52" s="9">
        <f t="shared" si="0"/>
        <v>9.7222222222222224E-2</v>
      </c>
      <c r="F52" s="10">
        <v>0.37134259259259261</v>
      </c>
      <c r="G52" s="10">
        <v>0.50403935185185189</v>
      </c>
      <c r="H52" s="8">
        <f t="shared" si="1"/>
        <v>8.876157407407409E-2</v>
      </c>
      <c r="I52" s="11">
        <f t="shared" si="2"/>
        <v>0.51249999999999996</v>
      </c>
      <c r="J52" s="8"/>
      <c r="K52" s="8"/>
      <c r="L52" s="8">
        <v>4.3935185185185188E-2</v>
      </c>
      <c r="M52" s="12"/>
      <c r="N52" s="13">
        <f t="shared" si="3"/>
        <v>1.0953188160125178</v>
      </c>
      <c r="O52" s="19"/>
    </row>
    <row r="53" spans="1:23" ht="14.5">
      <c r="A53" s="6">
        <v>45799</v>
      </c>
      <c r="B53" s="7" t="s">
        <v>18</v>
      </c>
      <c r="C53" s="7">
        <v>1</v>
      </c>
      <c r="D53" s="8">
        <f>IFERROR(VLOOKUP($B53,Task!$B$1:$G$70,6,0)," ")</f>
        <v>4.8611111111111112E-2</v>
      </c>
      <c r="E53" s="9">
        <f t="shared" si="0"/>
        <v>4.8611111111111112E-2</v>
      </c>
      <c r="F53" s="10">
        <f t="shared" ref="F53:F54" si="18">G52</f>
        <v>0.50403935185185189</v>
      </c>
      <c r="G53" s="10">
        <v>0.54828703703703707</v>
      </c>
      <c r="H53" s="8">
        <f t="shared" si="1"/>
        <v>4.4247685185185182E-2</v>
      </c>
      <c r="I53" s="11">
        <f t="shared" si="2"/>
        <v>0.55265046296296305</v>
      </c>
      <c r="J53" s="8"/>
      <c r="K53" s="8"/>
      <c r="L53" s="8"/>
      <c r="M53" s="12"/>
      <c r="N53" s="13">
        <f t="shared" si="3"/>
        <v>1.0986136541982736</v>
      </c>
      <c r="O53" s="19"/>
    </row>
    <row r="54" spans="1:23" ht="14.5">
      <c r="A54" s="6">
        <v>45799</v>
      </c>
      <c r="B54" s="7" t="s">
        <v>16</v>
      </c>
      <c r="C54" s="7">
        <v>30</v>
      </c>
      <c r="D54" s="8">
        <f>IFERROR(VLOOKUP($B54,Task!$B$1:$G$70,6,0)," ")</f>
        <v>5.5555555555555558E-3</v>
      </c>
      <c r="E54" s="9">
        <f t="shared" si="0"/>
        <v>0.16666666666666669</v>
      </c>
      <c r="F54" s="10">
        <f t="shared" si="18"/>
        <v>0.54828703703703707</v>
      </c>
      <c r="G54" s="10">
        <v>0.73934607638511807</v>
      </c>
      <c r="H54" s="8">
        <f t="shared" si="1"/>
        <v>0.15737848379252545</v>
      </c>
      <c r="I54" s="11">
        <f t="shared" si="2"/>
        <v>0.7486342592592593</v>
      </c>
      <c r="J54" s="8"/>
      <c r="K54" s="8"/>
      <c r="L54" s="8">
        <v>3.3680555555555561E-2</v>
      </c>
      <c r="M54" s="18"/>
      <c r="N54" s="13">
        <f t="shared" si="3"/>
        <v>1.0590181240174228</v>
      </c>
      <c r="O54" s="19"/>
    </row>
    <row r="55" spans="1:23" ht="14.5">
      <c r="A55" s="6">
        <v>45800</v>
      </c>
      <c r="B55" s="7" t="s">
        <v>18</v>
      </c>
      <c r="C55" s="7">
        <v>1</v>
      </c>
      <c r="D55" s="8">
        <f>IFERROR(VLOOKUP($B55,Task!$B$1:$G$70,6,0)," ")</f>
        <v>4.8611111111111112E-2</v>
      </c>
      <c r="E55" s="9">
        <f t="shared" si="0"/>
        <v>4.8611111111111112E-2</v>
      </c>
      <c r="F55" s="10">
        <v>0.34028935185185183</v>
      </c>
      <c r="G55" s="10">
        <v>0.43781249999999999</v>
      </c>
      <c r="H55" s="8">
        <f t="shared" si="1"/>
        <v>4.4398148148148159E-2</v>
      </c>
      <c r="I55" s="11">
        <f t="shared" si="2"/>
        <v>0.44202546296296297</v>
      </c>
      <c r="J55" s="8"/>
      <c r="K55" s="8"/>
      <c r="L55" s="8">
        <v>5.3125000000000006E-2</v>
      </c>
      <c r="M55" s="18"/>
      <c r="N55" s="13">
        <f t="shared" si="3"/>
        <v>1.0948905109489049</v>
      </c>
      <c r="O55" s="19"/>
    </row>
    <row r="56" spans="1:23" ht="14.5">
      <c r="A56" s="6">
        <v>45800</v>
      </c>
      <c r="B56" s="7" t="s">
        <v>16</v>
      </c>
      <c r="C56" s="7">
        <v>7</v>
      </c>
      <c r="D56" s="8">
        <f>IFERROR(VLOOKUP($B56,Task!$B$1:$G$70,6,0)," ")</f>
        <v>5.5555555555555558E-3</v>
      </c>
      <c r="E56" s="9">
        <f t="shared" si="0"/>
        <v>3.888888888888889E-2</v>
      </c>
      <c r="F56" s="10">
        <f t="shared" ref="F56:F58" si="19">G55</f>
        <v>0.43781249999999999</v>
      </c>
      <c r="G56" s="10">
        <v>0.49988425925925928</v>
      </c>
      <c r="H56" s="8">
        <f t="shared" si="1"/>
        <v>3.886574074074077E-2</v>
      </c>
      <c r="I56" s="11">
        <f t="shared" si="2"/>
        <v>0.49990740740740741</v>
      </c>
      <c r="J56" s="8"/>
      <c r="K56" s="8"/>
      <c r="L56" s="8">
        <v>2.3206018518518518E-2</v>
      </c>
      <c r="M56" s="18"/>
      <c r="N56" s="13">
        <f t="shared" si="3"/>
        <v>1.0005955926146508</v>
      </c>
      <c r="O56" s="19"/>
      <c r="P56" s="4"/>
    </row>
    <row r="57" spans="1:23" ht="14.5">
      <c r="A57" s="6">
        <v>45800</v>
      </c>
      <c r="B57" s="7" t="s">
        <v>27</v>
      </c>
      <c r="C57" s="7">
        <v>98</v>
      </c>
      <c r="D57" s="8">
        <f>IFERROR(VLOOKUP($B57,Task!$B$1:$G$70,6,0)," ")</f>
        <v>1.3888888888888889E-3</v>
      </c>
      <c r="E57" s="9">
        <f t="shared" si="0"/>
        <v>0.13611111111111113</v>
      </c>
      <c r="F57" s="10">
        <f t="shared" si="19"/>
        <v>0.49988425925925928</v>
      </c>
      <c r="G57" s="10">
        <v>0.6567708333333333</v>
      </c>
      <c r="H57" s="8">
        <f t="shared" si="1"/>
        <v>0.12314814814814809</v>
      </c>
      <c r="I57" s="11">
        <f t="shared" si="2"/>
        <v>0.66973379629629637</v>
      </c>
      <c r="J57" s="8"/>
      <c r="K57" s="8"/>
      <c r="L57" s="8">
        <v>3.3738425925925929E-2</v>
      </c>
      <c r="M57" s="18"/>
      <c r="N57" s="13">
        <f t="shared" si="3"/>
        <v>1.1052631578947374</v>
      </c>
      <c r="O57" s="19"/>
      <c r="P57" s="4"/>
    </row>
    <row r="58" spans="1:23" ht="14.5">
      <c r="A58" s="6">
        <v>45800</v>
      </c>
      <c r="B58" s="7" t="s">
        <v>16</v>
      </c>
      <c r="C58" s="7">
        <v>12</v>
      </c>
      <c r="D58" s="8">
        <f>IFERROR(VLOOKUP($B58,Task!$B$1:$G$70,6,0)," ")</f>
        <v>5.5555555555555558E-3</v>
      </c>
      <c r="E58" s="9">
        <f t="shared" si="0"/>
        <v>6.6666666666666666E-2</v>
      </c>
      <c r="F58" s="10">
        <f t="shared" si="19"/>
        <v>0.6567708333333333</v>
      </c>
      <c r="G58" s="10">
        <v>0.71875</v>
      </c>
      <c r="H58" s="8">
        <f t="shared" si="1"/>
        <v>6.1979166666666696E-2</v>
      </c>
      <c r="I58" s="11">
        <f t="shared" si="2"/>
        <v>0.72343749999999996</v>
      </c>
      <c r="J58" s="8"/>
      <c r="K58" s="8"/>
      <c r="L58" s="8"/>
      <c r="M58" s="12"/>
      <c r="N58" s="13">
        <f t="shared" si="3"/>
        <v>1.0756302521008398</v>
      </c>
      <c r="O58" s="19"/>
      <c r="P58" s="24"/>
    </row>
    <row r="59" spans="1:23" ht="14.5">
      <c r="A59" s="6">
        <v>45804</v>
      </c>
      <c r="B59" s="7" t="s">
        <v>16</v>
      </c>
      <c r="C59" s="7">
        <v>15</v>
      </c>
      <c r="D59" s="8">
        <f>IFERROR(VLOOKUP($B59,Task!$B$1:$G$70,6,0)," ")</f>
        <v>5.5555555555555558E-3</v>
      </c>
      <c r="E59" s="9">
        <f t="shared" si="0"/>
        <v>8.3333333333333343E-2</v>
      </c>
      <c r="F59" s="10">
        <v>0.39368055555555559</v>
      </c>
      <c r="G59" s="10">
        <v>0.49364583333333334</v>
      </c>
      <c r="H59" s="8">
        <f t="shared" si="1"/>
        <v>7.5555555555555529E-2</v>
      </c>
      <c r="I59" s="11">
        <f t="shared" si="2"/>
        <v>0.50142361111111122</v>
      </c>
      <c r="J59" s="8"/>
      <c r="K59" s="8"/>
      <c r="L59" s="8">
        <v>2.4409722222222222E-2</v>
      </c>
      <c r="M59" s="12"/>
      <c r="N59" s="13">
        <f t="shared" si="3"/>
        <v>1.1029411764705888</v>
      </c>
      <c r="O59" s="19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45804</v>
      </c>
      <c r="B60" s="7" t="s">
        <v>27</v>
      </c>
      <c r="C60" s="7">
        <v>17</v>
      </c>
      <c r="D60" s="8">
        <f>IFERROR(VLOOKUP($B60,Task!$B$1:$G$70,6,0)," ")</f>
        <v>1.3888888888888889E-3</v>
      </c>
      <c r="E60" s="9">
        <f t="shared" si="0"/>
        <v>2.361111111111111E-2</v>
      </c>
      <c r="F60" s="10">
        <v>0.49949074074074074</v>
      </c>
      <c r="G60" s="10">
        <v>0.521087962962963</v>
      </c>
      <c r="H60" s="8">
        <f t="shared" si="1"/>
        <v>2.1597222222222268E-2</v>
      </c>
      <c r="I60" s="11">
        <f t="shared" si="2"/>
        <v>0.52310185185185187</v>
      </c>
      <c r="J60" s="8"/>
      <c r="K60" s="8"/>
      <c r="L60" s="8"/>
      <c r="M60" s="12"/>
      <c r="N60" s="13">
        <f t="shared" si="3"/>
        <v>1.093247588424435</v>
      </c>
      <c r="O60" s="19"/>
      <c r="Q60" s="4"/>
    </row>
    <row r="61" spans="1:23" ht="14.5">
      <c r="A61" s="6">
        <v>45804</v>
      </c>
      <c r="B61" s="7" t="s">
        <v>17</v>
      </c>
      <c r="C61" s="7">
        <v>1</v>
      </c>
      <c r="D61" s="8">
        <f>IFERROR(VLOOKUP($B61,Task!$B$1:$G$70,6,0)," ")</f>
        <v>2.0833333333333332E-2</v>
      </c>
      <c r="E61" s="9">
        <f t="shared" si="0"/>
        <v>2.0833333333333332E-2</v>
      </c>
      <c r="F61" s="10">
        <f t="shared" ref="F61:F65" si="20">G60</f>
        <v>0.521087962962963</v>
      </c>
      <c r="G61" s="10">
        <v>0.54063657407407406</v>
      </c>
      <c r="H61" s="8">
        <f t="shared" si="1"/>
        <v>1.9548611111111058E-2</v>
      </c>
      <c r="I61" s="11">
        <f t="shared" si="2"/>
        <v>0.54192129629629637</v>
      </c>
      <c r="J61" s="8"/>
      <c r="K61" s="8"/>
      <c r="L61" s="8"/>
      <c r="M61" s="12"/>
      <c r="N61" s="13">
        <f t="shared" si="3"/>
        <v>1.0657193605683866</v>
      </c>
      <c r="O61" s="19"/>
      <c r="Q61" s="4"/>
    </row>
    <row r="62" spans="1:23" ht="14.5">
      <c r="A62" s="6">
        <v>45804</v>
      </c>
      <c r="B62" s="7" t="s">
        <v>18</v>
      </c>
      <c r="C62" s="7">
        <v>2</v>
      </c>
      <c r="D62" s="8">
        <f>IFERROR(VLOOKUP($B62,Task!$B$1:$G$70,6,0)," ")</f>
        <v>4.8611111111111112E-2</v>
      </c>
      <c r="E62" s="9">
        <f t="shared" si="0"/>
        <v>9.7222222222222224E-2</v>
      </c>
      <c r="F62" s="10">
        <f t="shared" si="20"/>
        <v>0.54063657407407406</v>
      </c>
      <c r="G62" s="10">
        <v>0.63438657407407406</v>
      </c>
      <c r="H62" s="8">
        <f t="shared" si="1"/>
        <v>8.8784722222222223E-2</v>
      </c>
      <c r="I62" s="11">
        <f t="shared" si="2"/>
        <v>0.64282407407407405</v>
      </c>
      <c r="J62" s="8"/>
      <c r="K62" s="8"/>
      <c r="L62" s="8">
        <v>4.9652777777777777E-3</v>
      </c>
      <c r="M62" s="18"/>
      <c r="N62" s="13">
        <f t="shared" si="3"/>
        <v>1.0950332420805631</v>
      </c>
      <c r="O62" s="19"/>
    </row>
    <row r="63" spans="1:23" ht="14.5">
      <c r="A63" s="6">
        <v>45804</v>
      </c>
      <c r="B63" s="7" t="s">
        <v>16</v>
      </c>
      <c r="C63" s="7">
        <v>9</v>
      </c>
      <c r="D63" s="8">
        <f>IFERROR(VLOOKUP($B63,Task!$B$1:$G$70,6,0)," ")</f>
        <v>5.5555555555555558E-3</v>
      </c>
      <c r="E63" s="9">
        <f t="shared" si="0"/>
        <v>0.05</v>
      </c>
      <c r="F63" s="10">
        <f t="shared" si="20"/>
        <v>0.63438657407407406</v>
      </c>
      <c r="G63" s="10">
        <v>0.68049768518518516</v>
      </c>
      <c r="H63" s="8">
        <f t="shared" si="1"/>
        <v>4.6111111111111103E-2</v>
      </c>
      <c r="I63" s="11">
        <f t="shared" si="2"/>
        <v>0.68438657407407411</v>
      </c>
      <c r="J63" s="8"/>
      <c r="K63" s="8"/>
      <c r="L63" s="8"/>
      <c r="M63" s="12"/>
      <c r="N63" s="13">
        <f t="shared" si="3"/>
        <v>1.0843373493975905</v>
      </c>
    </row>
    <row r="64" spans="1:23" ht="14.5">
      <c r="A64" s="6">
        <v>45804</v>
      </c>
      <c r="B64" s="7" t="s">
        <v>16</v>
      </c>
      <c r="C64" s="7">
        <v>8</v>
      </c>
      <c r="D64" s="8">
        <f>IFERROR(VLOOKUP($B64,Task!$B$1:$G$70,6,0)," ")</f>
        <v>5.5555555555555558E-3</v>
      </c>
      <c r="E64" s="9">
        <f t="shared" si="0"/>
        <v>4.4444444444444446E-2</v>
      </c>
      <c r="F64" s="10">
        <f t="shared" si="20"/>
        <v>0.68049768518518516</v>
      </c>
      <c r="G64" s="10">
        <v>0.7487731481481481</v>
      </c>
      <c r="H64" s="8">
        <f t="shared" si="1"/>
        <v>4.2627314814814792E-2</v>
      </c>
      <c r="I64" s="11">
        <f t="shared" si="2"/>
        <v>0.75059027777777776</v>
      </c>
      <c r="J64" s="8"/>
      <c r="K64" s="8"/>
      <c r="L64" s="8">
        <v>2.5648148148148149E-2</v>
      </c>
      <c r="M64" s="12"/>
      <c r="N64" s="13">
        <f t="shared" si="3"/>
        <v>1.0426282921531367</v>
      </c>
      <c r="O64" s="4"/>
    </row>
    <row r="65" spans="1:15" ht="14.5">
      <c r="A65" s="6">
        <v>45804</v>
      </c>
      <c r="B65" s="7" t="s">
        <v>16</v>
      </c>
      <c r="C65" s="7">
        <v>4</v>
      </c>
      <c r="D65" s="8">
        <f>IFERROR(VLOOKUP($B65,Task!$B$1:$G$70,6,0)," ")</f>
        <v>5.5555555555555558E-3</v>
      </c>
      <c r="E65" s="9">
        <f t="shared" si="0"/>
        <v>2.2222222222222223E-2</v>
      </c>
      <c r="F65" s="10">
        <f t="shared" si="20"/>
        <v>0.7487731481481481</v>
      </c>
      <c r="G65" s="10">
        <v>0.76943287037037034</v>
      </c>
      <c r="H65" s="8">
        <f t="shared" si="1"/>
        <v>2.0659722222222232E-2</v>
      </c>
      <c r="I65" s="11">
        <f t="shared" si="2"/>
        <v>0.77099537037037036</v>
      </c>
      <c r="J65" s="8"/>
      <c r="K65" s="8"/>
      <c r="L65" s="8"/>
      <c r="M65" s="12"/>
      <c r="N65" s="13">
        <f t="shared" si="3"/>
        <v>1.0756302521008398</v>
      </c>
      <c r="O65" s="19"/>
    </row>
    <row r="66" spans="1:15" ht="14.5">
      <c r="A66" s="6">
        <v>45805</v>
      </c>
      <c r="B66" s="7" t="s">
        <v>16</v>
      </c>
      <c r="C66" s="7">
        <f>18-C65</f>
        <v>14</v>
      </c>
      <c r="D66" s="8">
        <f>IFERROR(VLOOKUP($B66,Task!$B$1:$G$70,6,0)," ")</f>
        <v>5.5555555555555558E-3</v>
      </c>
      <c r="E66" s="9">
        <f t="shared" si="0"/>
        <v>7.7777777777777779E-2</v>
      </c>
      <c r="F66" s="10">
        <v>0.383275462962963</v>
      </c>
      <c r="G66" s="10">
        <v>0.49630787037037039</v>
      </c>
      <c r="H66" s="8">
        <f t="shared" si="1"/>
        <v>7.136574074074073E-2</v>
      </c>
      <c r="I66" s="11">
        <f t="shared" si="2"/>
        <v>0.50271990740740746</v>
      </c>
      <c r="J66" s="8"/>
      <c r="K66" s="8"/>
      <c r="L66" s="8">
        <v>4.1666666666666664E-2</v>
      </c>
      <c r="M66" s="12"/>
      <c r="N66" s="13">
        <f t="shared" si="3"/>
        <v>1.0898475510866041</v>
      </c>
      <c r="O66" s="19" t="e">
        <f ca="1">AVERAGEIF(A:A,TODAY(),N:N)</f>
        <v>#DIV/0!</v>
      </c>
    </row>
    <row r="67" spans="1:15" ht="14.5">
      <c r="A67" s="6">
        <v>45805</v>
      </c>
      <c r="B67" s="7" t="s">
        <v>26</v>
      </c>
      <c r="C67" s="7">
        <v>1</v>
      </c>
      <c r="D67" s="8">
        <f>IFERROR(VLOOKUP($B67,Task!$B$1:$G$70,6,0)," ")</f>
        <v>2.0833333333333332E-2</v>
      </c>
      <c r="E67" s="9">
        <f t="shared" si="0"/>
        <v>2.0833333333333332E-2</v>
      </c>
      <c r="F67" s="10">
        <f t="shared" ref="F67:F70" si="21">G66</f>
        <v>0.49630787037037039</v>
      </c>
      <c r="G67" s="10">
        <v>0.51533564814814814</v>
      </c>
      <c r="H67" s="8">
        <f t="shared" si="1"/>
        <v>1.9027777777777755E-2</v>
      </c>
      <c r="I67" s="11">
        <f t="shared" si="2"/>
        <v>0.51714120370370376</v>
      </c>
      <c r="J67" s="8"/>
      <c r="K67" s="8"/>
      <c r="L67" s="8"/>
      <c r="M67" s="18"/>
      <c r="N67" s="13">
        <f t="shared" si="3"/>
        <v>1.0948905109489064</v>
      </c>
      <c r="O67" s="19"/>
    </row>
    <row r="68" spans="1:15" ht="14.5">
      <c r="A68" s="6">
        <v>45805</v>
      </c>
      <c r="B68" s="7" t="s">
        <v>17</v>
      </c>
      <c r="C68" s="7">
        <v>1</v>
      </c>
      <c r="D68" s="8">
        <f>IFERROR(VLOOKUP($B68,Task!$B$1:$G$70,6,0)," ")</f>
        <v>2.0833333333333332E-2</v>
      </c>
      <c r="E68" s="9">
        <f t="shared" si="0"/>
        <v>2.0833333333333332E-2</v>
      </c>
      <c r="F68" s="10">
        <f t="shared" si="21"/>
        <v>0.51533564814814814</v>
      </c>
      <c r="G68" s="10">
        <v>0.5342824074074074</v>
      </c>
      <c r="H68" s="8">
        <f t="shared" si="1"/>
        <v>1.894675925925926E-2</v>
      </c>
      <c r="I68" s="11">
        <f t="shared" si="2"/>
        <v>0.53616898148148151</v>
      </c>
      <c r="J68" s="8"/>
      <c r="K68" s="8"/>
      <c r="L68" s="8"/>
      <c r="M68" s="18"/>
      <c r="N68" s="13">
        <f t="shared" si="3"/>
        <v>1.099572388515577</v>
      </c>
      <c r="O68" s="19"/>
    </row>
    <row r="69" spans="1:15" ht="14.5">
      <c r="A69" s="6">
        <v>45805</v>
      </c>
      <c r="B69" s="7" t="s">
        <v>18</v>
      </c>
      <c r="C69" s="7">
        <v>1</v>
      </c>
      <c r="D69" s="8">
        <f>IFERROR(VLOOKUP($B69,Task!$B$1:$G$70,6,0)," ")</f>
        <v>4.8611111111111112E-2</v>
      </c>
      <c r="E69" s="9">
        <f t="shared" si="0"/>
        <v>4.8611111111111112E-2</v>
      </c>
      <c r="F69" s="10">
        <f t="shared" si="21"/>
        <v>0.5342824074074074</v>
      </c>
      <c r="G69" s="10">
        <v>0.57826388888888891</v>
      </c>
      <c r="H69" s="8">
        <f t="shared" si="1"/>
        <v>4.398148148148151E-2</v>
      </c>
      <c r="I69" s="11">
        <f t="shared" si="2"/>
        <v>0.58289351851851856</v>
      </c>
      <c r="J69" s="8"/>
      <c r="K69" s="8"/>
      <c r="L69" s="8"/>
      <c r="M69" s="18"/>
      <c r="N69" s="13">
        <f t="shared" si="3"/>
        <v>1.1052631578947361</v>
      </c>
      <c r="O69" s="19"/>
    </row>
    <row r="70" spans="1:15" ht="14.5">
      <c r="A70" s="6">
        <v>45805</v>
      </c>
      <c r="B70" s="7" t="s">
        <v>19</v>
      </c>
      <c r="C70" s="7">
        <v>22</v>
      </c>
      <c r="D70" s="8">
        <f>IFERROR(VLOOKUP($B70,Task!$B$1:$G$70,6,0)," ")</f>
        <v>2.7777777777777779E-3</v>
      </c>
      <c r="E70" s="9">
        <f t="shared" si="0"/>
        <v>6.1111111111111116E-2</v>
      </c>
      <c r="F70" s="10">
        <f t="shared" si="21"/>
        <v>0.57826388888888891</v>
      </c>
      <c r="G70" s="10">
        <v>0.66385416666666663</v>
      </c>
      <c r="H70" s="8">
        <f t="shared" si="1"/>
        <v>5.6134259259259203E-2</v>
      </c>
      <c r="I70" s="11">
        <f t="shared" si="2"/>
        <v>0.66883101851851856</v>
      </c>
      <c r="J70" s="8"/>
      <c r="K70" s="8"/>
      <c r="L70" s="8">
        <v>2.9456018518518517E-2</v>
      </c>
      <c r="M70" s="18"/>
      <c r="N70" s="13">
        <f t="shared" si="3"/>
        <v>1.0886597938144342</v>
      </c>
      <c r="O70" s="19"/>
    </row>
    <row r="71" spans="1:15" ht="14.5">
      <c r="A71" s="6">
        <v>45805</v>
      </c>
      <c r="B71" s="7" t="s">
        <v>18</v>
      </c>
      <c r="C71" s="7">
        <v>1</v>
      </c>
      <c r="D71" s="8">
        <f>IFERROR(VLOOKUP($B71,Task!$B$1:$G$70,6,0)," ")</f>
        <v>4.8611111111111112E-2</v>
      </c>
      <c r="E71" s="9">
        <f t="shared" si="0"/>
        <v>4.8611111111111112E-2</v>
      </c>
      <c r="F71" s="10">
        <v>0.6859143518518519</v>
      </c>
      <c r="G71" s="10">
        <v>0.72988634259672835</v>
      </c>
      <c r="H71" s="8">
        <f t="shared" si="1"/>
        <v>4.3971990744876455E-2</v>
      </c>
      <c r="I71" s="11">
        <f t="shared" si="2"/>
        <v>0.73452546296296306</v>
      </c>
      <c r="J71" s="8"/>
      <c r="K71" s="8"/>
      <c r="L71" s="8"/>
      <c r="M71" s="12"/>
      <c r="N71" s="13">
        <f t="shared" si="3"/>
        <v>1.1055017134236798</v>
      </c>
      <c r="O71" s="4"/>
    </row>
    <row r="72" spans="1:15" ht="14.5">
      <c r="A72" s="6">
        <v>45806</v>
      </c>
      <c r="B72" s="7" t="s">
        <v>18</v>
      </c>
      <c r="C72" s="7">
        <v>1</v>
      </c>
      <c r="D72" s="8">
        <f>IFERROR(VLOOKUP($B72,Task!$B$1:$G$70,6,0)," ")</f>
        <v>4.8611111111111112E-2</v>
      </c>
      <c r="E72" s="9">
        <f t="shared" si="0"/>
        <v>4.8611111111111112E-2</v>
      </c>
      <c r="F72" s="10">
        <v>0.40432870370370366</v>
      </c>
      <c r="G72" s="10">
        <v>0.44958333333333333</v>
      </c>
      <c r="H72" s="8">
        <f t="shared" si="1"/>
        <v>4.5254629629629672E-2</v>
      </c>
      <c r="I72" s="11">
        <f t="shared" si="2"/>
        <v>0.45293981481481477</v>
      </c>
      <c r="J72" s="8"/>
      <c r="K72" s="8"/>
      <c r="L72" s="8"/>
      <c r="M72" s="18"/>
      <c r="N72" s="13">
        <f t="shared" si="3"/>
        <v>1.0741687979539631</v>
      </c>
      <c r="O72" s="19"/>
    </row>
    <row r="73" spans="1:15" ht="14.5">
      <c r="A73" s="6">
        <v>45806</v>
      </c>
      <c r="B73" s="7" t="s">
        <v>18</v>
      </c>
      <c r="C73" s="7">
        <v>1</v>
      </c>
      <c r="D73" s="8">
        <f>IFERROR(VLOOKUP($B73,Task!$B$1:$G$70,6,0)," ")</f>
        <v>4.8611111111111112E-2</v>
      </c>
      <c r="E73" s="9">
        <f t="shared" si="0"/>
        <v>4.8611111111111112E-2</v>
      </c>
      <c r="F73" s="10">
        <f t="shared" ref="F73:F76" si="22">G72</f>
        <v>0.44958333333333333</v>
      </c>
      <c r="G73" s="10">
        <v>0.54221064814814812</v>
      </c>
      <c r="H73" s="8">
        <f t="shared" si="1"/>
        <v>4.3842592592592565E-2</v>
      </c>
      <c r="I73" s="11">
        <f t="shared" si="2"/>
        <v>0.54697916666666668</v>
      </c>
      <c r="J73" s="8"/>
      <c r="K73" s="8"/>
      <c r="L73" s="8">
        <v>4.8784722222222222E-2</v>
      </c>
      <c r="M73" s="18"/>
      <c r="N73" s="13">
        <f t="shared" si="3"/>
        <v>1.1087645195353757</v>
      </c>
      <c r="O73" s="19"/>
    </row>
    <row r="74" spans="1:15" ht="14.5">
      <c r="A74" s="6">
        <v>45806</v>
      </c>
      <c r="B74" s="7" t="s">
        <v>17</v>
      </c>
      <c r="C74" s="7">
        <v>1</v>
      </c>
      <c r="D74" s="8">
        <f>IFERROR(VLOOKUP($B74,Task!$B$1:$G$70,6,0)," ")</f>
        <v>2.0833333333333332E-2</v>
      </c>
      <c r="E74" s="9">
        <f t="shared" si="0"/>
        <v>2.0833333333333332E-2</v>
      </c>
      <c r="F74" s="10">
        <f t="shared" si="22"/>
        <v>0.54221064814814812</v>
      </c>
      <c r="G74" s="10">
        <v>0.5617361111111111</v>
      </c>
      <c r="H74" s="8">
        <f t="shared" si="1"/>
        <v>1.9525462962962981E-2</v>
      </c>
      <c r="I74" s="11">
        <f t="shared" si="2"/>
        <v>0.56304398148148149</v>
      </c>
      <c r="J74" s="8"/>
      <c r="K74" s="8"/>
      <c r="L74" s="8"/>
      <c r="M74" s="12"/>
      <c r="N74" s="13">
        <f t="shared" si="3"/>
        <v>1.0669828097213978</v>
      </c>
    </row>
    <row r="75" spans="1:15" ht="14.5">
      <c r="A75" s="6">
        <v>45806</v>
      </c>
      <c r="B75" s="7" t="s">
        <v>16</v>
      </c>
      <c r="C75" s="7">
        <v>13</v>
      </c>
      <c r="D75" s="8">
        <f>IFERROR(VLOOKUP($B75,Task!$B$1:$G$70,6,0)," ")</f>
        <v>5.5555555555555558E-3</v>
      </c>
      <c r="E75" s="9">
        <f t="shared" si="0"/>
        <v>7.2222222222222229E-2</v>
      </c>
      <c r="F75" s="10">
        <f t="shared" si="22"/>
        <v>0.5617361111111111</v>
      </c>
      <c r="G75" s="10">
        <v>0.6275115740740741</v>
      </c>
      <c r="H75" s="8">
        <f t="shared" si="1"/>
        <v>6.5775462962962994E-2</v>
      </c>
      <c r="I75" s="11">
        <f t="shared" si="2"/>
        <v>0.63395833333333329</v>
      </c>
      <c r="J75" s="8"/>
      <c r="K75" s="8"/>
      <c r="L75" s="8"/>
      <c r="M75" s="12"/>
      <c r="N75" s="13">
        <f t="shared" si="3"/>
        <v>1.098011613584374</v>
      </c>
    </row>
    <row r="76" spans="1:15" ht="14.5">
      <c r="A76" s="6">
        <v>45806</v>
      </c>
      <c r="B76" s="7" t="s">
        <v>19</v>
      </c>
      <c r="C76" s="7">
        <v>30</v>
      </c>
      <c r="D76" s="8">
        <f>IFERROR(VLOOKUP($B76,Task!$B$1:$G$70,6,0)," ")</f>
        <v>2.7777777777777779E-3</v>
      </c>
      <c r="E76" s="9">
        <f t="shared" si="0"/>
        <v>8.3333333333333343E-2</v>
      </c>
      <c r="F76" s="10">
        <f t="shared" si="22"/>
        <v>0.6275115740740741</v>
      </c>
      <c r="G76" s="10">
        <v>0.70905431712890277</v>
      </c>
      <c r="H76" s="8">
        <f t="shared" si="1"/>
        <v>7.5431631943717561E-2</v>
      </c>
      <c r="I76" s="11">
        <f t="shared" si="2"/>
        <v>0.71695601851851853</v>
      </c>
      <c r="J76" s="8"/>
      <c r="K76" s="8"/>
      <c r="L76" s="8">
        <v>6.1111111111111114E-3</v>
      </c>
      <c r="M76" s="12"/>
      <c r="N76" s="13">
        <f t="shared" si="3"/>
        <v>1.1047531544261371</v>
      </c>
      <c r="O76" s="19"/>
    </row>
    <row r="77" spans="1:15" ht="14.5">
      <c r="A77" s="6">
        <v>45806</v>
      </c>
      <c r="B77" s="7" t="s">
        <v>16</v>
      </c>
      <c r="C77" s="7">
        <v>5</v>
      </c>
      <c r="D77" s="8">
        <f>IFERROR(VLOOKUP($B77,Task!$B$1:$G$70,6,0)," ")</f>
        <v>5.5555555555555558E-3</v>
      </c>
      <c r="E77" s="9">
        <f t="shared" si="0"/>
        <v>2.777777777777778E-2</v>
      </c>
      <c r="F77" s="10">
        <v>0.72571759259259261</v>
      </c>
      <c r="G77" s="10">
        <v>0.75082865740841953</v>
      </c>
      <c r="H77" s="8">
        <f t="shared" si="1"/>
        <v>2.5111064815826922E-2</v>
      </c>
      <c r="I77" s="11">
        <f t="shared" si="2"/>
        <v>0.7534953703703704</v>
      </c>
      <c r="J77" s="8"/>
      <c r="K77" s="8"/>
      <c r="L77" s="8"/>
      <c r="M77" s="12"/>
      <c r="N77" s="13">
        <f t="shared" si="3"/>
        <v>1.1061967296691493</v>
      </c>
      <c r="O77" s="19"/>
    </row>
    <row r="78" spans="1:15" ht="14.5">
      <c r="A78" s="6">
        <v>45807</v>
      </c>
      <c r="B78" s="7" t="s">
        <v>27</v>
      </c>
      <c r="C78" s="7">
        <v>57</v>
      </c>
      <c r="D78" s="8">
        <f>IFERROR(VLOOKUP($B78,Task!$B$1:$G$70,6,0)," ")</f>
        <v>1.3888888888888889E-3</v>
      </c>
      <c r="E78" s="9">
        <f t="shared" si="0"/>
        <v>7.9166666666666663E-2</v>
      </c>
      <c r="F78" s="10">
        <v>0.32762731481481477</v>
      </c>
      <c r="G78" s="10">
        <v>0.46541666666666665</v>
      </c>
      <c r="H78" s="8">
        <f t="shared" si="1"/>
        <v>7.1666666666666684E-2</v>
      </c>
      <c r="I78" s="11">
        <f t="shared" si="2"/>
        <v>0.47291666666666665</v>
      </c>
      <c r="J78" s="8"/>
      <c r="K78" s="8"/>
      <c r="L78" s="8">
        <v>6.6122685185185187E-2</v>
      </c>
      <c r="M78" s="12"/>
      <c r="N78" s="13">
        <f t="shared" si="3"/>
        <v>1.1046511627906974</v>
      </c>
      <c r="O78" s="19"/>
    </row>
    <row r="79" spans="1:15" ht="14.5">
      <c r="A79" s="6">
        <v>45807</v>
      </c>
      <c r="B79" s="7" t="s">
        <v>18</v>
      </c>
      <c r="C79" s="7">
        <v>1</v>
      </c>
      <c r="D79" s="8">
        <f>IFERROR(VLOOKUP($B79,Task!$B$1:$G$70,6,0)," ")</f>
        <v>4.8611111111111112E-2</v>
      </c>
      <c r="E79" s="9">
        <f t="shared" si="0"/>
        <v>4.8611111111111112E-2</v>
      </c>
      <c r="F79" s="10">
        <f t="shared" ref="F79:F82" si="23">G78</f>
        <v>0.46541666666666665</v>
      </c>
      <c r="G79" s="10">
        <v>0.50957175925925924</v>
      </c>
      <c r="H79" s="8">
        <f t="shared" si="1"/>
        <v>4.4155092592592593E-2</v>
      </c>
      <c r="I79" s="11">
        <f t="shared" si="2"/>
        <v>0.51402777777777775</v>
      </c>
      <c r="J79" s="8"/>
      <c r="K79" s="8"/>
      <c r="L79" s="8"/>
      <c r="M79" s="12"/>
      <c r="N79" s="13">
        <f t="shared" si="3"/>
        <v>1.1009174311926606</v>
      </c>
      <c r="O79" s="4"/>
    </row>
    <row r="80" spans="1:15" ht="14.5">
      <c r="A80" s="6">
        <v>45807</v>
      </c>
      <c r="B80" s="7" t="s">
        <v>17</v>
      </c>
      <c r="C80" s="7">
        <v>1</v>
      </c>
      <c r="D80" s="8">
        <f>IFERROR(VLOOKUP($B80,Task!$B$1:$G$70,6,0)," ")</f>
        <v>2.0833333333333332E-2</v>
      </c>
      <c r="E80" s="9">
        <f t="shared" si="0"/>
        <v>2.0833333333333332E-2</v>
      </c>
      <c r="F80" s="10">
        <f t="shared" si="23"/>
        <v>0.50957175925925924</v>
      </c>
      <c r="G80" s="10">
        <v>0.52932870370370366</v>
      </c>
      <c r="H80" s="8">
        <f t="shared" si="1"/>
        <v>1.9756944444444424E-2</v>
      </c>
      <c r="I80" s="11">
        <f t="shared" si="2"/>
        <v>0.53040509259259261</v>
      </c>
      <c r="J80" s="8"/>
      <c r="K80" s="8"/>
      <c r="L80" s="8"/>
      <c r="M80" s="12"/>
      <c r="N80" s="13">
        <f t="shared" si="3"/>
        <v>1.054481546572936</v>
      </c>
      <c r="O80" s="19"/>
    </row>
    <row r="81" spans="1:16" ht="14.5">
      <c r="A81" s="6">
        <v>45807</v>
      </c>
      <c r="B81" s="7" t="s">
        <v>18</v>
      </c>
      <c r="C81" s="7">
        <v>1</v>
      </c>
      <c r="D81" s="8">
        <f>IFERROR(VLOOKUP($B81,Task!$B$1:$G$70,6,0)," ")</f>
        <v>4.8611111111111112E-2</v>
      </c>
      <c r="E81" s="9">
        <f t="shared" si="0"/>
        <v>4.8611111111111112E-2</v>
      </c>
      <c r="F81" s="10">
        <f t="shared" si="23"/>
        <v>0.52932870370370366</v>
      </c>
      <c r="G81" s="10">
        <v>0.5737268518518519</v>
      </c>
      <c r="H81" s="8">
        <f t="shared" si="1"/>
        <v>4.4398148148148242E-2</v>
      </c>
      <c r="I81" s="11">
        <f t="shared" si="2"/>
        <v>0.57793981481481482</v>
      </c>
      <c r="J81" s="8"/>
      <c r="K81" s="8"/>
      <c r="L81" s="8"/>
      <c r="M81" s="12"/>
      <c r="N81" s="13">
        <f t="shared" si="3"/>
        <v>1.0948905109489029</v>
      </c>
      <c r="O81" s="19" t="e">
        <f ca="1">AVERAGEIF(A:A,TODAY(),N:N)</f>
        <v>#DIV/0!</v>
      </c>
    </row>
    <row r="82" spans="1:16" ht="14.5">
      <c r="A82" s="6">
        <v>45807</v>
      </c>
      <c r="B82" s="7" t="s">
        <v>16</v>
      </c>
      <c r="C82" s="7">
        <v>14</v>
      </c>
      <c r="D82" s="8">
        <f>IFERROR(VLOOKUP($B82,Task!$B$1:$G$70,6,0)," ")</f>
        <v>5.5555555555555558E-3</v>
      </c>
      <c r="E82" s="9">
        <f t="shared" si="0"/>
        <v>7.7777777777777779E-2</v>
      </c>
      <c r="F82" s="10">
        <f t="shared" si="23"/>
        <v>0.5737268518518519</v>
      </c>
      <c r="G82" s="10">
        <v>0.67369212962962965</v>
      </c>
      <c r="H82" s="8">
        <f t="shared" si="1"/>
        <v>5.3946759259259229E-2</v>
      </c>
      <c r="I82" s="11">
        <f t="shared" si="2"/>
        <v>0.6975231481481482</v>
      </c>
      <c r="J82" s="8"/>
      <c r="K82" s="8"/>
      <c r="L82" s="8">
        <v>4.6018518518518521E-2</v>
      </c>
      <c r="M82" s="12"/>
      <c r="N82" s="13">
        <f t="shared" si="3"/>
        <v>1.4417506972752636</v>
      </c>
      <c r="P82" s="4"/>
    </row>
    <row r="83" spans="1:16" ht="14.5">
      <c r="A83" s="6">
        <v>45807</v>
      </c>
      <c r="B83" s="7" t="s">
        <v>16</v>
      </c>
      <c r="C83" s="7">
        <v>5</v>
      </c>
      <c r="D83" s="8">
        <f>IFERROR(VLOOKUP($B83,Task!$B$1:$G$70,6,0)," ")</f>
        <v>5.5555555555555558E-3</v>
      </c>
      <c r="E83" s="9">
        <f t="shared" si="0"/>
        <v>2.777777777777778E-2</v>
      </c>
      <c r="F83" s="10">
        <v>0.67383101851851857</v>
      </c>
      <c r="G83" s="10">
        <v>0.70833333333333337</v>
      </c>
      <c r="H83" s="8">
        <f t="shared" si="1"/>
        <v>3.4502314814814805E-2</v>
      </c>
      <c r="I83" s="11">
        <f t="shared" si="2"/>
        <v>0.70160879629629636</v>
      </c>
      <c r="J83" s="8"/>
      <c r="K83" s="8"/>
      <c r="L83" s="8"/>
      <c r="M83" s="18"/>
      <c r="N83" s="13">
        <f t="shared" si="3"/>
        <v>0.80509896008051018</v>
      </c>
      <c r="O83" s="19"/>
      <c r="P83" s="4"/>
    </row>
    <row r="84" spans="1:16" ht="14.5">
      <c r="A84" s="6"/>
      <c r="B84" s="7" t="s">
        <v>16</v>
      </c>
      <c r="C84" s="7">
        <v>8</v>
      </c>
      <c r="D84" s="8">
        <f>IFERROR(VLOOKUP($B84,Task!$B$1:$G$70,6,0)," ")</f>
        <v>5.5555555555555558E-3</v>
      </c>
      <c r="E84" s="9">
        <f t="shared" si="0"/>
        <v>4.4444444444444446E-2</v>
      </c>
      <c r="F84" s="10"/>
      <c r="G84" s="10"/>
      <c r="H84" s="8" t="str">
        <f t="shared" si="1"/>
        <v/>
      </c>
      <c r="I84" s="11">
        <f t="shared" si="2"/>
        <v>4.4444444444444446E-2</v>
      </c>
      <c r="J84" s="8"/>
      <c r="K84" s="8"/>
      <c r="L84" s="8"/>
      <c r="M84" s="12"/>
      <c r="N84" s="13" t="str">
        <f t="shared" si="3"/>
        <v xml:space="preserve"> </v>
      </c>
      <c r="O84" s="19"/>
      <c r="P84" s="4"/>
    </row>
    <row r="85" spans="1:16" ht="14.5">
      <c r="A85" s="6"/>
      <c r="B85" s="7"/>
      <c r="C85" s="7"/>
      <c r="D85" s="8" t="str">
        <f>IFERROR(VLOOKUP($B85,Task!$B$1:$G$70,6,0)," ")</f>
        <v xml:space="preserve"> </v>
      </c>
      <c r="E85" s="9" t="str">
        <f t="shared" si="0"/>
        <v xml:space="preserve"> </v>
      </c>
      <c r="F85" s="10"/>
      <c r="G85" s="10"/>
      <c r="H85" s="8" t="str">
        <f t="shared" si="1"/>
        <v/>
      </c>
      <c r="I85" s="11" t="str">
        <f t="shared" si="2"/>
        <v/>
      </c>
      <c r="J85" s="8"/>
      <c r="K85" s="8"/>
      <c r="L85" s="8"/>
      <c r="M85" s="12"/>
      <c r="N85" s="13" t="str">
        <f t="shared" si="3"/>
        <v xml:space="preserve"> </v>
      </c>
      <c r="O85" s="4"/>
      <c r="P85" s="4"/>
    </row>
    <row r="86" spans="1:16" ht="14.5">
      <c r="A86" s="6"/>
      <c r="B86" s="7"/>
      <c r="C86" s="7"/>
      <c r="D86" s="8" t="str">
        <f>IFERROR(VLOOKUP($B86,Task!$B$1:$G$70,6,0)," ")</f>
        <v xml:space="preserve"> </v>
      </c>
      <c r="E86" s="9" t="str">
        <f t="shared" si="0"/>
        <v xml:space="preserve"> </v>
      </c>
      <c r="F86" s="10"/>
      <c r="G86" s="10"/>
      <c r="H86" s="8" t="str">
        <f t="shared" si="1"/>
        <v/>
      </c>
      <c r="I86" s="11" t="str">
        <f t="shared" si="2"/>
        <v/>
      </c>
      <c r="J86" s="8"/>
      <c r="K86" s="8"/>
      <c r="L86" s="8"/>
      <c r="M86" s="12"/>
      <c r="N86" s="13" t="str">
        <f t="shared" si="3"/>
        <v xml:space="preserve"> </v>
      </c>
      <c r="O86" s="4"/>
    </row>
    <row r="87" spans="1:16" ht="14.5">
      <c r="A87" s="6"/>
      <c r="B87" s="7"/>
      <c r="C87" s="7"/>
      <c r="D87" s="8" t="str">
        <f>IFERROR(VLOOKUP($B87,Task!$B$1:$G$70,6,0)," ")</f>
        <v xml:space="preserve"> </v>
      </c>
      <c r="E87" s="9" t="str">
        <f t="shared" si="0"/>
        <v xml:space="preserve"> </v>
      </c>
      <c r="F87" s="10"/>
      <c r="G87" s="10"/>
      <c r="H87" s="8" t="str">
        <f t="shared" si="1"/>
        <v/>
      </c>
      <c r="I87" s="11" t="str">
        <f t="shared" si="2"/>
        <v/>
      </c>
      <c r="J87" s="8"/>
      <c r="K87" s="8"/>
      <c r="L87" s="8"/>
      <c r="M87" s="12"/>
      <c r="N87" s="13" t="str">
        <f t="shared" si="3"/>
        <v xml:space="preserve"> </v>
      </c>
      <c r="O87" s="4"/>
    </row>
    <row r="88" spans="1:16" ht="14.5">
      <c r="A88" s="6"/>
      <c r="B88" s="7"/>
      <c r="C88" s="7"/>
      <c r="D88" s="8" t="str">
        <f>IFERROR(VLOOKUP($B88,Task!$B$1:$G$70,6,0)," ")</f>
        <v xml:space="preserve"> </v>
      </c>
      <c r="E88" s="9" t="str">
        <f t="shared" si="0"/>
        <v xml:space="preserve"> </v>
      </c>
      <c r="F88" s="10"/>
      <c r="G88" s="10"/>
      <c r="H88" s="8" t="str">
        <f t="shared" si="1"/>
        <v/>
      </c>
      <c r="I88" s="11" t="str">
        <f t="shared" si="2"/>
        <v/>
      </c>
      <c r="J88" s="8"/>
      <c r="K88" s="8"/>
      <c r="L88" s="8"/>
      <c r="M88" s="12"/>
      <c r="N88" s="13" t="str">
        <f t="shared" si="3"/>
        <v xml:space="preserve"> </v>
      </c>
      <c r="O88" s="19"/>
    </row>
    <row r="89" spans="1:16" ht="14.5">
      <c r="A89" s="6"/>
      <c r="B89" s="7"/>
      <c r="C89" s="7"/>
      <c r="D89" s="8" t="str">
        <f>IFERROR(VLOOKUP($B89,Task!$B$1:$G$70,6,0)," ")</f>
        <v xml:space="preserve"> </v>
      </c>
      <c r="E89" s="9" t="str">
        <f t="shared" si="0"/>
        <v xml:space="preserve"> </v>
      </c>
      <c r="F89" s="10"/>
      <c r="G89" s="10"/>
      <c r="H89" s="8" t="str">
        <f t="shared" si="1"/>
        <v/>
      </c>
      <c r="I89" s="11" t="str">
        <f t="shared" si="2"/>
        <v/>
      </c>
      <c r="J89" s="8"/>
      <c r="K89" s="8"/>
      <c r="L89" s="8"/>
      <c r="M89" s="12"/>
      <c r="N89" s="13" t="str">
        <f t="shared" si="3"/>
        <v xml:space="preserve"> </v>
      </c>
      <c r="O89" s="19"/>
      <c r="P89" s="4"/>
    </row>
    <row r="90" spans="1:16" ht="14.5">
      <c r="A90" s="6"/>
      <c r="B90" s="7"/>
      <c r="C90" s="7"/>
      <c r="D90" s="8" t="str">
        <f>IFERROR(VLOOKUP($B90,Task!$B$1:$G$70,6,0)," ")</f>
        <v xml:space="preserve"> </v>
      </c>
      <c r="E90" s="9" t="str">
        <f t="shared" si="0"/>
        <v xml:space="preserve"> </v>
      </c>
      <c r="F90" s="10"/>
      <c r="G90" s="10"/>
      <c r="H90" s="8" t="str">
        <f t="shared" si="1"/>
        <v/>
      </c>
      <c r="I90" s="11" t="str">
        <f t="shared" si="2"/>
        <v/>
      </c>
      <c r="J90" s="8"/>
      <c r="K90" s="8"/>
      <c r="L90" s="8"/>
      <c r="M90" s="12"/>
      <c r="N90" s="13" t="str">
        <f t="shared" si="3"/>
        <v xml:space="preserve"> </v>
      </c>
      <c r="O90" s="19"/>
    </row>
    <row r="91" spans="1:16" ht="14.5">
      <c r="A91" s="6"/>
      <c r="B91" s="7"/>
      <c r="C91" s="7"/>
      <c r="D91" s="8" t="str">
        <f>IFERROR(VLOOKUP($B91,Task!$B$1:$G$70,6,0)," ")</f>
        <v xml:space="preserve"> </v>
      </c>
      <c r="E91" s="9" t="str">
        <f t="shared" si="0"/>
        <v xml:space="preserve"> </v>
      </c>
      <c r="F91" s="10"/>
      <c r="G91" s="10"/>
      <c r="H91" s="8" t="str">
        <f t="shared" si="1"/>
        <v/>
      </c>
      <c r="I91" s="11" t="str">
        <f t="shared" si="2"/>
        <v/>
      </c>
      <c r="J91" s="8"/>
      <c r="K91" s="8"/>
      <c r="L91" s="8"/>
      <c r="M91" s="12"/>
      <c r="N91" s="13" t="str">
        <f t="shared" si="3"/>
        <v xml:space="preserve"> </v>
      </c>
      <c r="O91" s="19"/>
    </row>
    <row r="92" spans="1:16" ht="14.5">
      <c r="A92" s="6"/>
      <c r="B92" s="7"/>
      <c r="C92" s="7"/>
      <c r="D92" s="8" t="str">
        <f>IFERROR(VLOOKUP($B92,Task!$B$1:$G$70,6,0)," ")</f>
        <v xml:space="preserve"> </v>
      </c>
      <c r="E92" s="9" t="str">
        <f t="shared" si="0"/>
        <v xml:space="preserve"> </v>
      </c>
      <c r="F92" s="10"/>
      <c r="G92" s="10"/>
      <c r="H92" s="8" t="str">
        <f t="shared" si="1"/>
        <v/>
      </c>
      <c r="I92" s="11" t="str">
        <f t="shared" si="2"/>
        <v/>
      </c>
      <c r="J92" s="8"/>
      <c r="K92" s="8"/>
      <c r="L92" s="8"/>
      <c r="M92" s="18"/>
      <c r="N92" s="13" t="str">
        <f t="shared" si="3"/>
        <v xml:space="preserve"> </v>
      </c>
      <c r="O92" s="19"/>
    </row>
    <row r="93" spans="1:16" ht="14.5">
      <c r="A93" s="6"/>
      <c r="B93" s="7"/>
      <c r="C93" s="7"/>
      <c r="D93" s="8" t="str">
        <f>IFERROR(VLOOKUP($B93,Task!$B$1:$G$70,6,0)," ")</f>
        <v xml:space="preserve"> </v>
      </c>
      <c r="E93" s="9" t="str">
        <f t="shared" si="0"/>
        <v xml:space="preserve"> </v>
      </c>
      <c r="F93" s="10"/>
      <c r="G93" s="10"/>
      <c r="H93" s="8" t="str">
        <f t="shared" si="1"/>
        <v/>
      </c>
      <c r="I93" s="11" t="str">
        <f t="shared" si="2"/>
        <v/>
      </c>
      <c r="J93" s="8"/>
      <c r="K93" s="8"/>
      <c r="L93" s="8"/>
      <c r="M93" s="12"/>
      <c r="N93" s="13" t="str">
        <f t="shared" si="3"/>
        <v xml:space="preserve"> </v>
      </c>
      <c r="O93" s="19"/>
    </row>
    <row r="94" spans="1:16" ht="14.5">
      <c r="A94" s="6"/>
      <c r="B94" s="7"/>
      <c r="C94" s="7"/>
      <c r="D94" s="8" t="str">
        <f>IFERROR(VLOOKUP($B94,Task!$B$1:$G$70,6,0)," ")</f>
        <v xml:space="preserve"> </v>
      </c>
      <c r="E94" s="9" t="str">
        <f t="shared" si="0"/>
        <v xml:space="preserve"> </v>
      </c>
      <c r="F94" s="10"/>
      <c r="G94" s="10"/>
      <c r="H94" s="8" t="str">
        <f t="shared" si="1"/>
        <v/>
      </c>
      <c r="I94" s="11" t="str">
        <f t="shared" si="2"/>
        <v/>
      </c>
      <c r="J94" s="8"/>
      <c r="K94" s="8"/>
      <c r="L94" s="8"/>
      <c r="M94" s="12"/>
      <c r="N94" s="13" t="str">
        <f t="shared" si="3"/>
        <v xml:space="preserve"> </v>
      </c>
    </row>
    <row r="95" spans="1:16" ht="14.5">
      <c r="A95" s="6"/>
      <c r="B95" s="7"/>
      <c r="C95" s="7"/>
      <c r="D95" s="8" t="str">
        <f>IFERROR(VLOOKUP($B95,Task!$B$1:$G$70,6,0)," ")</f>
        <v xml:space="preserve"> </v>
      </c>
      <c r="E95" s="9" t="str">
        <f t="shared" si="0"/>
        <v xml:space="preserve"> </v>
      </c>
      <c r="F95" s="10"/>
      <c r="G95" s="10"/>
      <c r="H95" s="8" t="str">
        <f t="shared" si="1"/>
        <v/>
      </c>
      <c r="I95" s="11" t="str">
        <f t="shared" si="2"/>
        <v/>
      </c>
      <c r="J95" s="8"/>
      <c r="K95" s="8"/>
      <c r="L95" s="8"/>
      <c r="M95" s="12"/>
      <c r="N95" s="13" t="str">
        <f t="shared" si="3"/>
        <v xml:space="preserve"> </v>
      </c>
      <c r="O95" s="4"/>
    </row>
    <row r="96" spans="1:16" ht="14.5">
      <c r="A96" s="6"/>
      <c r="B96" s="7"/>
      <c r="C96" s="7"/>
      <c r="D96" s="8" t="str">
        <f>IFERROR(VLOOKUP($B96,Task!$B$1:$G$70,6,0)," ")</f>
        <v xml:space="preserve"> </v>
      </c>
      <c r="E96" s="9" t="str">
        <f t="shared" si="0"/>
        <v xml:space="preserve"> </v>
      </c>
      <c r="F96" s="10"/>
      <c r="G96" s="10"/>
      <c r="H96" s="8" t="str">
        <f t="shared" si="1"/>
        <v/>
      </c>
      <c r="I96" s="11" t="str">
        <f t="shared" si="2"/>
        <v/>
      </c>
      <c r="J96" s="8"/>
      <c r="K96" s="8"/>
      <c r="L96" s="8"/>
      <c r="M96" s="12"/>
      <c r="N96" s="13" t="str">
        <f t="shared" si="3"/>
        <v xml:space="preserve"> </v>
      </c>
      <c r="O96" s="19"/>
    </row>
    <row r="97" spans="1:15" ht="14.5">
      <c r="A97" s="6"/>
      <c r="B97" s="7"/>
      <c r="C97" s="7"/>
      <c r="D97" s="8" t="str">
        <f>IFERROR(VLOOKUP($B97,Task!$B$1:$G$70,6,0)," ")</f>
        <v xml:space="preserve"> </v>
      </c>
      <c r="E97" s="9" t="str">
        <f t="shared" si="0"/>
        <v xml:space="preserve"> </v>
      </c>
      <c r="F97" s="10"/>
      <c r="G97" s="10"/>
      <c r="H97" s="8" t="str">
        <f t="shared" si="1"/>
        <v/>
      </c>
      <c r="I97" s="11" t="str">
        <f t="shared" si="2"/>
        <v/>
      </c>
      <c r="J97" s="8"/>
      <c r="K97" s="8"/>
      <c r="L97" s="8"/>
      <c r="M97" s="12"/>
      <c r="N97" s="13" t="str">
        <f t="shared" si="3"/>
        <v xml:space="preserve"> </v>
      </c>
      <c r="O97" s="19"/>
    </row>
    <row r="98" spans="1:15" ht="14.5">
      <c r="A98" s="6"/>
      <c r="B98" s="7"/>
      <c r="C98" s="7"/>
      <c r="D98" s="8" t="str">
        <f>IFERROR(VLOOKUP($B98,Task!$B$1:$G$70,6,0)," ")</f>
        <v xml:space="preserve"> </v>
      </c>
      <c r="E98" s="9" t="str">
        <f t="shared" si="0"/>
        <v xml:space="preserve"> </v>
      </c>
      <c r="F98" s="10"/>
      <c r="G98" s="10"/>
      <c r="H98" s="8" t="str">
        <f t="shared" si="1"/>
        <v/>
      </c>
      <c r="I98" s="11" t="str">
        <f t="shared" si="2"/>
        <v/>
      </c>
      <c r="J98" s="8"/>
      <c r="K98" s="8"/>
      <c r="L98" s="8"/>
      <c r="M98" s="18"/>
      <c r="N98" s="13" t="str">
        <f t="shared" si="3"/>
        <v xml:space="preserve"> </v>
      </c>
    </row>
    <row r="99" spans="1:15" ht="14.5">
      <c r="A99" s="6"/>
      <c r="B99" s="7"/>
      <c r="C99" s="7"/>
      <c r="D99" s="8" t="str">
        <f>IFERROR(VLOOKUP($B99,Task!$B$1:$G$70,6,0)," ")</f>
        <v xml:space="preserve"> </v>
      </c>
      <c r="E99" s="9" t="str">
        <f t="shared" si="0"/>
        <v xml:space="preserve"> </v>
      </c>
      <c r="F99" s="10"/>
      <c r="G99" s="10"/>
      <c r="H99" s="8" t="str">
        <f t="shared" si="1"/>
        <v/>
      </c>
      <c r="I99" s="11" t="str">
        <f t="shared" si="2"/>
        <v/>
      </c>
      <c r="J99" s="8"/>
      <c r="K99" s="8"/>
      <c r="L99" s="8"/>
      <c r="M99" s="18"/>
      <c r="N99" s="13" t="str">
        <f t="shared" si="3"/>
        <v xml:space="preserve"> </v>
      </c>
      <c r="O99" s="19"/>
    </row>
    <row r="100" spans="1:15" ht="14.5">
      <c r="A100" s="6"/>
      <c r="B100" s="7"/>
      <c r="C100" s="7"/>
      <c r="D100" s="8" t="str">
        <f>IFERROR(VLOOKUP($B100,Task!$B$1:$G$70,6,0)," ")</f>
        <v xml:space="preserve"> </v>
      </c>
      <c r="E100" s="9" t="str">
        <f t="shared" si="0"/>
        <v xml:space="preserve"> </v>
      </c>
      <c r="F100" s="10"/>
      <c r="G100" s="10"/>
      <c r="H100" s="8" t="str">
        <f t="shared" si="1"/>
        <v/>
      </c>
      <c r="I100" s="11" t="str">
        <f t="shared" si="2"/>
        <v/>
      </c>
      <c r="J100" s="8"/>
      <c r="K100" s="8"/>
      <c r="L100" s="8"/>
      <c r="M100" s="18"/>
      <c r="N100" s="13" t="str">
        <f t="shared" si="3"/>
        <v xml:space="preserve"> </v>
      </c>
      <c r="O100" s="19"/>
    </row>
    <row r="101" spans="1:15" ht="14.5">
      <c r="A101" s="6"/>
      <c r="B101" s="7"/>
      <c r="C101" s="7"/>
      <c r="D101" s="8" t="str">
        <f>IFERROR(VLOOKUP($B101,Task!$B$1:$G$70,6,0)," ")</f>
        <v xml:space="preserve"> </v>
      </c>
      <c r="E101" s="9" t="str">
        <f t="shared" si="0"/>
        <v xml:space="preserve"> </v>
      </c>
      <c r="F101" s="10"/>
      <c r="G101" s="10"/>
      <c r="H101" s="8" t="str">
        <f t="shared" si="1"/>
        <v/>
      </c>
      <c r="I101" s="11" t="str">
        <f t="shared" si="2"/>
        <v/>
      </c>
      <c r="J101" s="8"/>
      <c r="K101" s="8"/>
      <c r="L101" s="8"/>
      <c r="M101" s="12"/>
      <c r="N101" s="13" t="str">
        <f t="shared" si="3"/>
        <v xml:space="preserve"> </v>
      </c>
      <c r="O101" s="19"/>
    </row>
    <row r="102" spans="1:15" ht="14.5">
      <c r="A102" s="6"/>
      <c r="B102" s="7"/>
      <c r="C102" s="7"/>
      <c r="D102" s="8" t="str">
        <f>IFERROR(VLOOKUP($B102,Task!$B$1:$G$70,6,0)," ")</f>
        <v xml:space="preserve"> </v>
      </c>
      <c r="E102" s="9" t="str">
        <f t="shared" si="0"/>
        <v xml:space="preserve"> </v>
      </c>
      <c r="F102" s="10"/>
      <c r="G102" s="10"/>
      <c r="H102" s="8" t="str">
        <f t="shared" si="1"/>
        <v/>
      </c>
      <c r="I102" s="11" t="str">
        <f t="shared" si="2"/>
        <v/>
      </c>
      <c r="J102" s="8"/>
      <c r="K102" s="8"/>
      <c r="L102" s="8"/>
      <c r="M102" s="12"/>
      <c r="N102" s="13" t="str">
        <f t="shared" si="3"/>
        <v xml:space="preserve"> </v>
      </c>
    </row>
    <row r="103" spans="1:15" ht="14.5">
      <c r="A103" s="6"/>
      <c r="B103" s="7"/>
      <c r="C103" s="7"/>
      <c r="D103" s="8" t="str">
        <f>IFERROR(VLOOKUP($B103,Task!$B$1:$G$70,6,0)," ")</f>
        <v xml:space="preserve"> </v>
      </c>
      <c r="E103" s="9" t="str">
        <f t="shared" si="0"/>
        <v xml:space="preserve"> </v>
      </c>
      <c r="F103" s="10"/>
      <c r="G103" s="10"/>
      <c r="H103" s="8" t="str">
        <f t="shared" si="1"/>
        <v/>
      </c>
      <c r="I103" s="11" t="str">
        <f t="shared" si="2"/>
        <v/>
      </c>
      <c r="J103" s="8"/>
      <c r="K103" s="8"/>
      <c r="L103" s="8"/>
      <c r="M103" s="12"/>
      <c r="N103" s="13" t="str">
        <f t="shared" si="3"/>
        <v xml:space="preserve"> </v>
      </c>
      <c r="O103" s="19"/>
    </row>
    <row r="104" spans="1:15" ht="14.5">
      <c r="A104" s="6"/>
      <c r="B104" s="7"/>
      <c r="C104" s="7"/>
      <c r="D104" s="8" t="str">
        <f>IFERROR(VLOOKUP($B104,Task!$B$1:$G$70,6,0)," ")</f>
        <v xml:space="preserve"> </v>
      </c>
      <c r="E104" s="9" t="str">
        <f t="shared" si="0"/>
        <v xml:space="preserve"> </v>
      </c>
      <c r="F104" s="10"/>
      <c r="G104" s="10"/>
      <c r="H104" s="8" t="str">
        <f t="shared" si="1"/>
        <v/>
      </c>
      <c r="I104" s="11" t="str">
        <f t="shared" si="2"/>
        <v/>
      </c>
      <c r="J104" s="8"/>
      <c r="K104" s="8"/>
      <c r="L104" s="8"/>
      <c r="M104" s="12"/>
      <c r="N104" s="13" t="str">
        <f t="shared" si="3"/>
        <v xml:space="preserve"> </v>
      </c>
    </row>
    <row r="105" spans="1:15" ht="14.5">
      <c r="A105" s="6"/>
      <c r="B105" s="7"/>
      <c r="C105" s="7"/>
      <c r="D105" s="8" t="str">
        <f>IFERROR(VLOOKUP($B105,Task!$B$1:$G$70,6,0)," ")</f>
        <v xml:space="preserve"> </v>
      </c>
      <c r="E105" s="9" t="str">
        <f t="shared" si="0"/>
        <v xml:space="preserve"> </v>
      </c>
      <c r="F105" s="10"/>
      <c r="G105" s="10"/>
      <c r="H105" s="8" t="str">
        <f t="shared" si="1"/>
        <v/>
      </c>
      <c r="I105" s="11" t="str">
        <f t="shared" si="2"/>
        <v/>
      </c>
      <c r="J105" s="8"/>
      <c r="K105" s="8"/>
      <c r="L105" s="8"/>
      <c r="M105" s="12"/>
      <c r="N105" s="13" t="str">
        <f t="shared" si="3"/>
        <v xml:space="preserve"> </v>
      </c>
      <c r="O105" s="4"/>
    </row>
    <row r="106" spans="1:15" ht="14.5">
      <c r="A106" s="6"/>
      <c r="B106" s="7"/>
      <c r="C106" s="7"/>
      <c r="D106" s="8" t="str">
        <f>IFERROR(VLOOKUP($B106,Task!$B$1:$G$70,6,0)," ")</f>
        <v xml:space="preserve"> </v>
      </c>
      <c r="E106" s="9" t="str">
        <f t="shared" si="0"/>
        <v xml:space="preserve"> </v>
      </c>
      <c r="F106" s="10"/>
      <c r="G106" s="10"/>
      <c r="H106" s="8" t="str">
        <f t="shared" si="1"/>
        <v/>
      </c>
      <c r="I106" s="11" t="str">
        <f t="shared" si="2"/>
        <v/>
      </c>
      <c r="J106" s="8"/>
      <c r="K106" s="8"/>
      <c r="L106" s="8"/>
      <c r="M106" s="12"/>
      <c r="N106" s="13" t="str">
        <f t="shared" si="3"/>
        <v xml:space="preserve"> </v>
      </c>
      <c r="O106" s="19"/>
    </row>
    <row r="107" spans="1:15" ht="14.5">
      <c r="A107" s="6"/>
      <c r="B107" s="7"/>
      <c r="C107" s="7"/>
      <c r="D107" s="8" t="str">
        <f>IFERROR(VLOOKUP($B107,Task!$B$1:$G$70,6,0)," ")</f>
        <v xml:space="preserve"> </v>
      </c>
      <c r="E107" s="9" t="str">
        <f t="shared" si="0"/>
        <v xml:space="preserve"> </v>
      </c>
      <c r="F107" s="10"/>
      <c r="G107" s="10"/>
      <c r="H107" s="8" t="str">
        <f t="shared" si="1"/>
        <v/>
      </c>
      <c r="I107" s="11" t="str">
        <f t="shared" si="2"/>
        <v/>
      </c>
      <c r="J107" s="8"/>
      <c r="K107" s="8"/>
      <c r="L107" s="8"/>
      <c r="M107" s="12"/>
      <c r="N107" s="13" t="str">
        <f t="shared" si="3"/>
        <v xml:space="preserve"> </v>
      </c>
    </row>
    <row r="108" spans="1:15" ht="14.5">
      <c r="A108" s="6"/>
      <c r="B108" s="7"/>
      <c r="C108" s="7"/>
      <c r="D108" s="8" t="str">
        <f>IFERROR(VLOOKUP($B108,Task!$B$1:$G$70,6,0)," ")</f>
        <v xml:space="preserve"> </v>
      </c>
      <c r="E108" s="9" t="str">
        <f t="shared" si="0"/>
        <v xml:space="preserve"> </v>
      </c>
      <c r="F108" s="10"/>
      <c r="G108" s="8"/>
      <c r="H108" s="8" t="str">
        <f t="shared" si="1"/>
        <v/>
      </c>
      <c r="I108" s="11" t="str">
        <f t="shared" si="2"/>
        <v/>
      </c>
      <c r="J108" s="8"/>
      <c r="K108" s="8"/>
      <c r="L108" s="8"/>
      <c r="M108" s="12"/>
      <c r="N108" s="13" t="str">
        <f t="shared" si="3"/>
        <v xml:space="preserve"> </v>
      </c>
    </row>
    <row r="109" spans="1:15" ht="14.5">
      <c r="A109" s="6"/>
      <c r="B109" s="7"/>
      <c r="C109" s="7"/>
      <c r="D109" s="8" t="str">
        <f>IFERROR(VLOOKUP($B109,Task!$B$1:$G$70,6,0)," ")</f>
        <v xml:space="preserve"> </v>
      </c>
      <c r="E109" s="9" t="str">
        <f t="shared" si="0"/>
        <v xml:space="preserve"> </v>
      </c>
      <c r="F109" s="10"/>
      <c r="G109" s="10"/>
      <c r="H109" s="8" t="str">
        <f t="shared" si="1"/>
        <v/>
      </c>
      <c r="I109" s="11" t="str">
        <f t="shared" si="2"/>
        <v/>
      </c>
      <c r="J109" s="8"/>
      <c r="K109" s="8"/>
      <c r="L109" s="8"/>
      <c r="M109" s="12"/>
      <c r="N109" s="13" t="str">
        <f t="shared" si="3"/>
        <v xml:space="preserve"> </v>
      </c>
    </row>
    <row r="110" spans="1:15" ht="14.5">
      <c r="A110" s="6"/>
      <c r="B110" s="7"/>
      <c r="C110" s="7"/>
      <c r="D110" s="8" t="str">
        <f>IFERROR(VLOOKUP($B110,Task!$B$1:$G$70,6,0),"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5" ht="14.5">
      <c r="A111" s="6"/>
      <c r="B111" s="7"/>
      <c r="C111" s="7"/>
      <c r="D111" s="8" t="str">
        <f>IFERROR(VLOOKUP($B111,Task!$B$1:$G$70,6,0),"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5" ht="14.5">
      <c r="A112" s="6"/>
      <c r="B112" s="7"/>
      <c r="C112" s="7"/>
      <c r="D112" s="8" t="str">
        <f>IFERROR(VLOOKUP($B112,Task!$B$1:$G$70,6,0),"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2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IFERROR(VLOOKUP($B113,Task!$B$1:$G$70,6,0),"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IFERROR(VLOOKUP($B114,Task!$B$1:$G$70,6,0),"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IFERROR(VLOOKUP($B115,Task!$B$1:$G$70,6,0),"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2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IFERROR(VLOOKUP($B116,Task!$B$1:$G$70,6,0),"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 t="e">
        <f ca="1">AVERAGEIF(A:A,TODAY(),N:N)</f>
        <v>#DIV/0!</v>
      </c>
    </row>
    <row r="117" spans="1:15" ht="14.5">
      <c r="A117" s="6"/>
      <c r="B117" s="7"/>
      <c r="C117" s="7"/>
      <c r="D117" s="8" t="str">
        <f>IFERROR(VLOOKUP($B117,Task!$B$1:$G$70,6,0),"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IFERROR(VLOOKUP($B118,Task!$B$1:$G$70,6,0),"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IFERROR(VLOOKUP($B119,Task!$B$1:$G$70,6,0),"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IFERROR(VLOOKUP($B120,Task!$B$1:$G$70,6,0),"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IFERROR(VLOOKUP($B121,Task!$B$1:$G$70,6,0),"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IFERROR(VLOOKUP($B122,Task!$B$1:$G$70,6,0),"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IFERROR(VLOOKUP($B123,Task!$B$1:$G$70,6,0),"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IFERROR(VLOOKUP($B124,Task!$B$1:$G$70,6,0),"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IFERROR(VLOOKUP($B125,Task!$B$1:$G$70,6,0),"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IFERROR(VLOOKUP($B126,Task!$B$1:$G$70,6,0),"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IFERROR(VLOOKUP($B127,Task!$B$1:$G$70,6,0),"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IFERROR(VLOOKUP($B128,Task!$B$1:$G$70,6,0),"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IFERROR(VLOOKUP($B129,Task!$B$1:$G$70,6,0),"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IFERROR(VLOOKUP($B130,Task!$B$1:$G$70,6,0),"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IFERROR(VLOOKUP($B131,Task!$B$1:$G$70,6,0),"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IFERROR(VLOOKUP($B132,Task!$B$1:$G$70,6,0),"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IFERROR(VLOOKUP($B133,Task!$B$1:$G$70,6,0),"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IFERROR(VLOOKUP($B134,Task!$B$1:$G$70,6,0),"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IFERROR(VLOOKUP($B135,Task!$B$1:$G$70,6,0),"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IFERROR(VLOOKUP($B136,Task!$B$1:$G$70,6,0),"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IFERROR(VLOOKUP($B137,Task!$B$1:$G$70,6,0),"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IFERROR(VLOOKUP($B138,Task!$B$1:$G$70,6,0),"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IFERROR(VLOOKUP($B139,Task!$B$1:$G$70,6,0),"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IFERROR(VLOOKUP($B140,Task!$B$1:$G$70,6,0),"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IFERROR(VLOOKUP($B141,Task!$B$1:$G$70,6,0),"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IFERROR(VLOOKUP($B142,Task!$B$1:$G$70,6,0),"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IFERROR(VLOOKUP($B143,Task!$B$1:$G$70,6,0),"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IFERROR(VLOOKUP($B144,Task!$B$1:$G$70,6,0),"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IFERROR(VLOOKUP($B145,Task!$B$1:$G$70,6,0),"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IFERROR(VLOOKUP($B146,Task!$B$1:$G$70,6,0),"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IFERROR(VLOOKUP($B147,Task!$B$1:$G$70,6,0),"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IFERROR(VLOOKUP($B148,Task!$B$1:$G$70,6,0),"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IFERROR(VLOOKUP($B149,Task!$B$1:$G$70,6,0),"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IFERROR(VLOOKUP($B150,Task!$B$1:$G$70,6,0),"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IFERROR(VLOOKUP($B151,Task!$B$1:$G$70,6,0),"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IFERROR(VLOOKUP($B152,Task!$B$1:$G$70,6,0),"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IFERROR(VLOOKUP($B153,Task!$B$1:$G$70,6,0),"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IFERROR(VLOOKUP($B154,Task!$B$1:$G$70,6,0),"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IFERROR(VLOOKUP($B155,Task!$B$1:$G$70,6,0),"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IFERROR(VLOOKUP($B156,Task!$B$1:$G$70,6,0),"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IFERROR(VLOOKUP($B157,Task!$B$1:$G$70,6,0),"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IFERROR(VLOOKUP($B158,Task!$B$1:$G$70,6,0),"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IFERROR(VLOOKUP($B159,Task!$B$1:$G$70,6,0),"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IFERROR(VLOOKUP($B160,Task!$B$1:$G$70,6,0),"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IFERROR(VLOOKUP($B161,Task!$B$1:$G$70,6,0),"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IFERROR(VLOOKUP($B162,Task!$B$1:$G$70,6,0),"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IFERROR(VLOOKUP($B163,Task!$B$1:$G$70,6,0),"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IFERROR(VLOOKUP($B164,Task!$B$1:$G$70,6,0),"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IFERROR(VLOOKUP($B165,Task!$B$1:$G$70,6,0),"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IFERROR(VLOOKUP($B166,Task!$B$1:$G$70,6,0),"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IFERROR(VLOOKUP($B167,Task!$B$1:$G$70,6,0),"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IFERROR(VLOOKUP($B168,Task!$B$1:$G$70,6,0),"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IFERROR(VLOOKUP($B169,Task!$B$1:$G$70,6,0),"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IFERROR(VLOOKUP($B170,Task!$B$1:$G$70,6,0),"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IFERROR(VLOOKUP($B171,Task!$B$1:$G$70,6,0),"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IFERROR(VLOOKUP($B172,Task!$B$1:$G$70,6,0),"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IFERROR(VLOOKUP($B173,Task!$B$1:$G$70,6,0),"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IFERROR(VLOOKUP($B174,Task!$B$1:$G$70,6,0),"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IFERROR(VLOOKUP($B175,Task!$B$1:$G$70,6,0),"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IFERROR(VLOOKUP($B176,Task!$B$1:$G$70,6,0),"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IFERROR(VLOOKUP($B177,Task!$B$1:$G$70,6,0),"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IFERROR(VLOOKUP($B178,Task!$B$1:$G$70,6,0),"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IFERROR(VLOOKUP($B179,Task!$B$1:$G$70,6,0),"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IFERROR(VLOOKUP($B180,Task!$B$1:$G$70,6,0),"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IFERROR(VLOOKUP($B181,Task!$B$1:$G$70,6,0),"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IFERROR(VLOOKUP($B182,Task!$B$1:$G$70,6,0),"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IFERROR(VLOOKUP($B183,Task!$B$1:$G$70,6,0),"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IFERROR(VLOOKUP($B184,Task!$B$1:$G$70,6,0),"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IFERROR(VLOOKUP($B185,Task!$B$1:$G$70,6,0),"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IFERROR(VLOOKUP($B186,Task!$B$1:$G$70,6,0),"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IFERROR(VLOOKUP($B187,Task!$B$1:$G$70,6,0),"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IFERROR(VLOOKUP($B188,Task!$B$1:$G$70,6,0),"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IFERROR(VLOOKUP($B189,Task!$B$1:$G$70,6,0),"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IFERROR(VLOOKUP($B190,Task!$B$1:$G$70,6,0),"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IFERROR(VLOOKUP($B191,Task!$B$1:$G$70,6,0),"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IFERROR(VLOOKUP($B192,Task!$B$1:$G$70,6,0),"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IFERROR(VLOOKUP($B193,Task!$B$1:$G$70,6,0),"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IFERROR(VLOOKUP($B194,Task!$B$1:$G$70,6,0),"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IFERROR(VLOOKUP($B195,Task!$B$1:$G$70,6,0),"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IFERROR(VLOOKUP($B196,Task!$B$1:$G$70,6,0),"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IFERROR(VLOOKUP($B197,Task!$B$1:$G$70,6,0),"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IFERROR(VLOOKUP($B198,Task!$B$1:$G$70,6,0),"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IFERROR(VLOOKUP($B199,Task!$B$1:$G$70,6,0),"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IFERROR(VLOOKUP($B200,Task!$B$1:$G$70,6,0),"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IFERROR(VLOOKUP($B201,Task!$B$1:$G$70,6,0),"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IFERROR(VLOOKUP($B202,Task!$B$1:$G$70,6,0),"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IFERROR(VLOOKUP($B203,Task!$B$1:$G$70,6,0),"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IFERROR(VLOOKUP($B204,Task!$B$1:$G$70,6,0),"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IFERROR(VLOOKUP($B205,Task!$B$1:$G$70,6,0),"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IFERROR(VLOOKUP($B206,Task!$B$1:$G$70,6,0),"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/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1" xr:uid="{00000000-0009-0000-0000-000001000000}"/>
  <conditionalFormatting sqref="N2:N206">
    <cfRule type="expression" dxfId="13" priority="1">
      <formula>A2=TODAY()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Task!$B$2:$B$70</xm:f>
          </x14:formula1>
          <xm:sqref>B2:B206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9.90625" customWidth="1"/>
    <col min="2" max="2" width="38.4531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9.7265625" customWidth="1"/>
    <col min="8" max="8" width="11.269531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7" width="10.26953125" customWidth="1"/>
    <col min="18" max="18" width="8" customWidth="1"/>
    <col min="19" max="19" width="11.6328125" customWidth="1"/>
    <col min="20" max="20" width="14" customWidth="1"/>
    <col min="21" max="21" width="7.453125" customWidth="1"/>
    <col min="23" max="23" width="13.6328125" customWidth="1"/>
  </cols>
  <sheetData>
    <row r="1" spans="1:2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0.1875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2" ht="15.75" customHeight="1">
      <c r="A2" s="6">
        <v>45748</v>
      </c>
      <c r="B2" s="7" t="s">
        <v>18</v>
      </c>
      <c r="C2" s="7">
        <v>1</v>
      </c>
      <c r="D2" s="8">
        <f>IFERROR(VLOOKUP($B2,Task!$B$1:$G$67,6,0)," ")</f>
        <v>4.8611111111111112E-2</v>
      </c>
      <c r="E2" s="9">
        <f t="shared" ref="E2:E206" si="0">IFERROR(D2*C2," ")</f>
        <v>4.8611111111111112E-2</v>
      </c>
      <c r="F2" s="10">
        <v>0.38043981481481481</v>
      </c>
      <c r="G2" s="10">
        <v>0.42475694444444445</v>
      </c>
      <c r="H2" s="8">
        <f t="shared" ref="H2:H206" si="1">IF(G2="","", IF(L2=" ",IF(OR(F2=0,G2=0),"",G2-F2),((G2-F2)-L2)))</f>
        <v>4.4317129629629637E-2</v>
      </c>
      <c r="I2" s="11">
        <f t="shared" ref="I2:I206" si="2">IFERROR(IF(L2=" ",(F2+E2),(F2+E2+L2)),"")</f>
        <v>0.42905092592592592</v>
      </c>
      <c r="J2" s="8"/>
      <c r="K2" s="8"/>
      <c r="L2" s="8"/>
      <c r="M2" s="12"/>
      <c r="N2" s="13">
        <f t="shared" ref="N2:N206" si="3">IFERROR(E2/H2," ")</f>
        <v>1.0968921389396709</v>
      </c>
      <c r="O2" s="8">
        <v>0.66658564814814814</v>
      </c>
      <c r="P2" s="14">
        <f ca="1">IFERROR(__xludf.DUMMYFUNCTION("UNIQUE($A$2:$A$993)"),45748)</f>
        <v>45748</v>
      </c>
      <c r="Q2" s="15">
        <f ca="1">SUMIF($A:$A,$P2,$E:$E)</f>
        <v>0.35833333333333339</v>
      </c>
      <c r="R2" s="15">
        <f ca="1">SUMIF($A:$A,$P2,$H:$H)</f>
        <v>0.32754629629629628</v>
      </c>
      <c r="S2" s="15">
        <f t="shared" ref="S2:S18" ca="1" si="4">IF(OR(R2="",R2&gt;=$U$1)," ",$U$1-R2)</f>
        <v>5.787037037037035E-3</v>
      </c>
      <c r="T2" s="16">
        <f t="shared" ref="T2:T23" ca="1" si="5">IFERROR(AVERAGEIF($A:$A,$P2,$N:$N)," ")</f>
        <v>1.0946437166411167</v>
      </c>
      <c r="U2" s="17">
        <f ca="1">S2-V2</f>
        <v>-2.1643518518518531E-3</v>
      </c>
      <c r="V2" s="4">
        <v>7.951388888888888E-3</v>
      </c>
    </row>
    <row r="3" spans="1:22" ht="15.75" customHeight="1">
      <c r="A3" s="6">
        <v>45748</v>
      </c>
      <c r="B3" s="7" t="s">
        <v>26</v>
      </c>
      <c r="C3" s="7">
        <v>1</v>
      </c>
      <c r="D3" s="8">
        <f>IFERROR(VLOOKUP($B3,Task!$B$1:$G$67,6,0)," ")</f>
        <v>2.0833333333333332E-2</v>
      </c>
      <c r="E3" s="9">
        <f t="shared" si="0"/>
        <v>2.0833333333333332E-2</v>
      </c>
      <c r="F3" s="10">
        <f t="shared" ref="F3:F7" si="6">G2</f>
        <v>0.42475694444444445</v>
      </c>
      <c r="G3" s="8">
        <v>0.44357638888888884</v>
      </c>
      <c r="H3" s="8">
        <f t="shared" si="1"/>
        <v>1.8819444444444389E-2</v>
      </c>
      <c r="I3" s="11">
        <f t="shared" si="2"/>
        <v>0.44559027777777777</v>
      </c>
      <c r="J3" s="8"/>
      <c r="K3" s="8"/>
      <c r="L3" s="8"/>
      <c r="M3" s="12"/>
      <c r="N3" s="13">
        <f t="shared" si="3"/>
        <v>1.1070110701107043</v>
      </c>
      <c r="O3" s="8">
        <f>O2-O1</f>
        <v>0.47908564814814814</v>
      </c>
      <c r="P3" s="14">
        <f ca="1">IFERROR(__xludf.DUMMYFUNCTION("""COMPUTED_VALUE"""),45749)</f>
        <v>45749</v>
      </c>
      <c r="Q3" s="15">
        <f t="shared" ref="Q3:Q23" ca="1" si="7">IF(SUMIF($A:$A,$P3,$E:$E)=0,"",SUMIF($A:$A,$P3,$E:$E))</f>
        <v>0.34305555555555556</v>
      </c>
      <c r="R3" s="15">
        <f t="shared" ref="R3:R23" ca="1" si="8">IF(SUMIF($A:$A,$P3,$H:$H)=0,"",SUMIF($A:$A,$P3,$H:$H))</f>
        <v>0.31303240740740729</v>
      </c>
      <c r="S3" s="15">
        <f t="shared" ca="1" si="4"/>
        <v>2.0300925925926028E-2</v>
      </c>
      <c r="T3" s="16">
        <f t="shared" ca="1" si="5"/>
        <v>1.0969027554966384</v>
      </c>
    </row>
    <row r="4" spans="1:22" ht="15.75" customHeight="1">
      <c r="A4" s="6">
        <v>45748</v>
      </c>
      <c r="B4" s="7" t="s">
        <v>16</v>
      </c>
      <c r="C4" s="7">
        <v>8</v>
      </c>
      <c r="D4" s="8">
        <f>IFERROR(VLOOKUP($B4,Task!$B$1:$G$67,6,0)," ")</f>
        <v>5.5555555555555558E-3</v>
      </c>
      <c r="E4" s="9">
        <f t="shared" si="0"/>
        <v>4.4444444444444446E-2</v>
      </c>
      <c r="F4" s="10">
        <f t="shared" si="6"/>
        <v>0.44357638888888884</v>
      </c>
      <c r="G4" s="10">
        <v>0.48450231481481482</v>
      </c>
      <c r="H4" s="8">
        <f t="shared" si="1"/>
        <v>4.0925925925925977E-2</v>
      </c>
      <c r="I4" s="11">
        <f t="shared" si="2"/>
        <v>0.48802083333333329</v>
      </c>
      <c r="J4" s="8"/>
      <c r="K4" s="8"/>
      <c r="L4" s="8"/>
      <c r="M4" s="12"/>
      <c r="N4" s="13">
        <f t="shared" si="3"/>
        <v>1.0859728506787316</v>
      </c>
      <c r="P4" s="14">
        <f ca="1">IFERROR(__xludf.DUMMYFUNCTION("""COMPUTED_VALUE"""),45750)</f>
        <v>45750</v>
      </c>
      <c r="Q4" s="15">
        <f t="shared" ca="1" si="7"/>
        <v>0.30555555555555558</v>
      </c>
      <c r="R4" s="15">
        <f t="shared" ca="1" si="8"/>
        <v>0.28545138888888888</v>
      </c>
      <c r="S4" s="15">
        <f t="shared" ca="1" si="4"/>
        <v>4.7881944444444435E-2</v>
      </c>
      <c r="T4" s="16">
        <f t="shared" ca="1" si="5"/>
        <v>1.0854799568064721</v>
      </c>
    </row>
    <row r="5" spans="1:22" ht="15.75" customHeight="1">
      <c r="A5" s="6">
        <v>45748</v>
      </c>
      <c r="B5" s="7" t="s">
        <v>16</v>
      </c>
      <c r="C5" s="7">
        <v>12</v>
      </c>
      <c r="D5" s="8">
        <f>IFERROR(VLOOKUP($B5,Task!$B$1:$G$67,6,0)," ")</f>
        <v>5.5555555555555558E-3</v>
      </c>
      <c r="E5" s="9">
        <f t="shared" si="0"/>
        <v>6.6666666666666666E-2</v>
      </c>
      <c r="F5" s="10">
        <f t="shared" si="6"/>
        <v>0.48450231481481482</v>
      </c>
      <c r="G5" s="10">
        <v>0.56409722222222225</v>
      </c>
      <c r="H5" s="8">
        <f t="shared" si="1"/>
        <v>6.1585648148148174E-2</v>
      </c>
      <c r="I5" s="11">
        <f t="shared" si="2"/>
        <v>0.56917824074074075</v>
      </c>
      <c r="J5" s="8"/>
      <c r="K5" s="8"/>
      <c r="L5" s="8">
        <v>1.800925925925926E-2</v>
      </c>
      <c r="M5" s="18"/>
      <c r="N5" s="13">
        <f t="shared" si="3"/>
        <v>1.0825032888554778</v>
      </c>
      <c r="O5" s="19"/>
      <c r="P5" s="14">
        <f ca="1">IFERROR(__xludf.DUMMYFUNCTION("""COMPUTED_VALUE"""),45751)</f>
        <v>45751</v>
      </c>
      <c r="Q5" s="15">
        <f t="shared" ca="1" si="7"/>
        <v>0.29861111111111116</v>
      </c>
      <c r="R5" s="15">
        <f t="shared" ca="1" si="8"/>
        <v>0.27211805555555546</v>
      </c>
      <c r="S5" s="15">
        <f t="shared" ca="1" si="4"/>
        <v>6.1215277777777855E-2</v>
      </c>
      <c r="T5" s="16">
        <f t="shared" ca="1" si="5"/>
        <v>1.0976166282873867</v>
      </c>
    </row>
    <row r="6" spans="1:22" ht="15.75" customHeight="1">
      <c r="A6" s="6">
        <v>45748</v>
      </c>
      <c r="B6" s="7" t="s">
        <v>16</v>
      </c>
      <c r="C6" s="7">
        <v>15</v>
      </c>
      <c r="D6" s="8">
        <f>IFERROR(VLOOKUP($B6,Task!$B$1:$G$67,6,0)," ")</f>
        <v>5.5555555555555558E-3</v>
      </c>
      <c r="E6" s="9">
        <f t="shared" si="0"/>
        <v>8.3333333333333343E-2</v>
      </c>
      <c r="F6" s="10">
        <f t="shared" si="6"/>
        <v>0.56409722222222225</v>
      </c>
      <c r="G6" s="10">
        <v>0.6469907407407407</v>
      </c>
      <c r="H6" s="8">
        <f t="shared" si="1"/>
        <v>7.6331018518518451E-2</v>
      </c>
      <c r="I6" s="11">
        <f t="shared" si="2"/>
        <v>0.65399305555555565</v>
      </c>
      <c r="J6" s="8"/>
      <c r="K6" s="8"/>
      <c r="L6" s="8">
        <v>6.5624999999999998E-3</v>
      </c>
      <c r="M6" s="18"/>
      <c r="N6" s="13">
        <f t="shared" si="3"/>
        <v>1.0917361637604257</v>
      </c>
      <c r="O6" s="19"/>
      <c r="P6" s="14">
        <f ca="1">IFERROR(__xludf.DUMMYFUNCTION("""COMPUTED_VALUE"""),45754)</f>
        <v>45754</v>
      </c>
      <c r="Q6" s="15">
        <f t="shared" ca="1" si="7"/>
        <v>0.34583333333333333</v>
      </c>
      <c r="R6" s="15">
        <f t="shared" ca="1" si="8"/>
        <v>0.32188657407407412</v>
      </c>
      <c r="S6" s="15">
        <f t="shared" ca="1" si="4"/>
        <v>1.1446759259259198E-2</v>
      </c>
      <c r="T6" s="16">
        <f t="shared" ca="1" si="5"/>
        <v>1.0874698834604626</v>
      </c>
    </row>
    <row r="7" spans="1:22" ht="15.75" customHeight="1">
      <c r="A7" s="6">
        <v>45748</v>
      </c>
      <c r="B7" s="7" t="s">
        <v>16</v>
      </c>
      <c r="C7" s="7">
        <v>17</v>
      </c>
      <c r="D7" s="8">
        <f>IFERROR(VLOOKUP($B7,Task!$B$1:$G$67,6,0)," ")</f>
        <v>5.5555555555555558E-3</v>
      </c>
      <c r="E7" s="9">
        <f t="shared" si="0"/>
        <v>9.4444444444444442E-2</v>
      </c>
      <c r="F7" s="10">
        <f t="shared" si="6"/>
        <v>0.6469907407407407</v>
      </c>
      <c r="G7" s="10">
        <v>0.75694444444444442</v>
      </c>
      <c r="H7" s="8">
        <f t="shared" si="1"/>
        <v>8.5567129629629646E-2</v>
      </c>
      <c r="I7" s="11">
        <f t="shared" si="2"/>
        <v>0.76582175925925922</v>
      </c>
      <c r="J7" s="8"/>
      <c r="K7" s="8"/>
      <c r="L7" s="8">
        <v>2.4386574074074074E-2</v>
      </c>
      <c r="M7" s="18"/>
      <c r="N7" s="13">
        <f t="shared" si="3"/>
        <v>1.1037467875016906</v>
      </c>
      <c r="P7" s="14">
        <f ca="1">IFERROR(__xludf.DUMMYFUNCTION("""COMPUTED_VALUE"""),45755)</f>
        <v>45755</v>
      </c>
      <c r="Q7" s="15">
        <f t="shared" ca="1" si="7"/>
        <v>0.34027777777777779</v>
      </c>
      <c r="R7" s="15">
        <f t="shared" ca="1" si="8"/>
        <v>0.31559045139297032</v>
      </c>
      <c r="S7" s="15">
        <f t="shared" ca="1" si="4"/>
        <v>1.7742881940362998E-2</v>
      </c>
      <c r="T7" s="16">
        <f t="shared" ca="1" si="5"/>
        <v>1.0767588362762224</v>
      </c>
    </row>
    <row r="8" spans="1:22" ht="15.75" customHeight="1">
      <c r="A8" s="6">
        <v>45749</v>
      </c>
      <c r="B8" s="7" t="s">
        <v>18</v>
      </c>
      <c r="C8" s="7">
        <v>1</v>
      </c>
      <c r="D8" s="8">
        <f>IFERROR(VLOOKUP($B8,Task!$B$1:$G$67,6,0)," ")</f>
        <v>4.8611111111111112E-2</v>
      </c>
      <c r="E8" s="9">
        <f t="shared" si="0"/>
        <v>4.8611111111111112E-2</v>
      </c>
      <c r="F8" s="10">
        <v>0.38469907407407411</v>
      </c>
      <c r="G8" s="10">
        <v>0.42827546296296298</v>
      </c>
      <c r="H8" s="8">
        <f t="shared" si="1"/>
        <v>4.3576388888888873E-2</v>
      </c>
      <c r="I8" s="11">
        <f t="shared" si="2"/>
        <v>0.43331018518518521</v>
      </c>
      <c r="J8" s="8"/>
      <c r="K8" s="8"/>
      <c r="L8" s="8"/>
      <c r="M8" s="18"/>
      <c r="N8" s="13">
        <f t="shared" si="3"/>
        <v>1.115537848605578</v>
      </c>
      <c r="O8" s="19"/>
      <c r="P8" s="14">
        <f ca="1">IFERROR(__xludf.DUMMYFUNCTION("""COMPUTED_VALUE"""),45756)</f>
        <v>45756</v>
      </c>
      <c r="Q8" s="15">
        <f t="shared" ca="1" si="7"/>
        <v>0.34166666666666673</v>
      </c>
      <c r="R8" s="15">
        <f t="shared" ca="1" si="8"/>
        <v>0.32104166666666661</v>
      </c>
      <c r="S8" s="15">
        <f t="shared" ca="1" si="4"/>
        <v>1.2291666666666701E-2</v>
      </c>
      <c r="T8" s="16">
        <f t="shared" ca="1" si="5"/>
        <v>1.0693352400230458</v>
      </c>
    </row>
    <row r="9" spans="1:22" ht="15.75" customHeight="1">
      <c r="A9" s="6">
        <v>45749</v>
      </c>
      <c r="B9" s="7" t="s">
        <v>27</v>
      </c>
      <c r="C9" s="7">
        <v>80</v>
      </c>
      <c r="D9" s="8">
        <f>IFERROR(VLOOKUP($B9,Task!$B$1:$G$67,6,0)," ")</f>
        <v>1.3888888888888889E-3</v>
      </c>
      <c r="E9" s="9">
        <f t="shared" si="0"/>
        <v>0.11111111111111112</v>
      </c>
      <c r="F9" s="10">
        <f t="shared" ref="F9:F11" si="9">G8</f>
        <v>0.42827546296296298</v>
      </c>
      <c r="G9" s="8">
        <v>0.56319444444444444</v>
      </c>
      <c r="H9" s="8">
        <f t="shared" si="1"/>
        <v>0.10075231481481479</v>
      </c>
      <c r="I9" s="11">
        <f t="shared" si="2"/>
        <v>0.57355324074074077</v>
      </c>
      <c r="J9" s="8"/>
      <c r="K9" s="8"/>
      <c r="L9" s="8">
        <v>3.4166666666666665E-2</v>
      </c>
      <c r="M9" s="18"/>
      <c r="N9" s="13">
        <f t="shared" si="3"/>
        <v>1.1028144744399773</v>
      </c>
      <c r="O9" s="4"/>
      <c r="P9" s="14">
        <f ca="1">IFERROR(__xludf.DUMMYFUNCTION("""COMPUTED_VALUE"""),45757)</f>
        <v>45757</v>
      </c>
      <c r="Q9" s="15">
        <f t="shared" ca="1" si="7"/>
        <v>0.35000000000000003</v>
      </c>
      <c r="R9" s="15">
        <f t="shared" ca="1" si="8"/>
        <v>0.32435656249942479</v>
      </c>
      <c r="S9" s="15">
        <f t="shared" ca="1" si="4"/>
        <v>8.9767708339085206E-3</v>
      </c>
      <c r="T9" s="16">
        <f t="shared" ca="1" si="5"/>
        <v>1.0897231676431181</v>
      </c>
    </row>
    <row r="10" spans="1:22" ht="15.75" customHeight="1">
      <c r="A10" s="6">
        <v>45749</v>
      </c>
      <c r="B10" s="7" t="s">
        <v>16</v>
      </c>
      <c r="C10" s="7">
        <v>9</v>
      </c>
      <c r="D10" s="8">
        <f>IFERROR(VLOOKUP($B10,Task!$B$1:$G$67,6,0)," ")</f>
        <v>5.5555555555555558E-3</v>
      </c>
      <c r="E10" s="9">
        <f t="shared" si="0"/>
        <v>0.05</v>
      </c>
      <c r="F10" s="10">
        <f t="shared" si="9"/>
        <v>0.56319444444444444</v>
      </c>
      <c r="G10" s="10">
        <v>0.61888888888888893</v>
      </c>
      <c r="H10" s="8">
        <f t="shared" si="1"/>
        <v>4.6296296296296342E-2</v>
      </c>
      <c r="I10" s="11">
        <f t="shared" si="2"/>
        <v>0.62259259259259259</v>
      </c>
      <c r="J10" s="8"/>
      <c r="K10" s="8"/>
      <c r="L10" s="8">
        <v>9.3981481481481485E-3</v>
      </c>
      <c r="M10" s="18"/>
      <c r="N10" s="13">
        <f t="shared" si="3"/>
        <v>1.079999999999999</v>
      </c>
      <c r="O10" s="4"/>
      <c r="P10" s="14">
        <f ca="1">IFERROR(__xludf.DUMMYFUNCTION("""COMPUTED_VALUE"""),45758)</f>
        <v>45758</v>
      </c>
      <c r="Q10" s="15">
        <f t="shared" ca="1" si="7"/>
        <v>0.32083333333333336</v>
      </c>
      <c r="R10" s="15">
        <f t="shared" ca="1" si="8"/>
        <v>0.29108796296296302</v>
      </c>
      <c r="S10" s="15">
        <f t="shared" ca="1" si="4"/>
        <v>4.2245370370370294E-2</v>
      </c>
      <c r="T10" s="16">
        <f t="shared" ca="1" si="5"/>
        <v>1.1044140835667902</v>
      </c>
    </row>
    <row r="11" spans="1:22" ht="15.75" customHeight="1">
      <c r="A11" s="6">
        <v>45749</v>
      </c>
      <c r="B11" s="7" t="s">
        <v>16</v>
      </c>
      <c r="C11" s="7">
        <v>24</v>
      </c>
      <c r="D11" s="8">
        <f>IFERROR(VLOOKUP($B11,Task!$B$1:$G$67,6,0)," ")</f>
        <v>5.5555555555555558E-3</v>
      </c>
      <c r="E11" s="9">
        <f t="shared" si="0"/>
        <v>0.13333333333333333</v>
      </c>
      <c r="F11" s="10">
        <f t="shared" si="9"/>
        <v>0.61888888888888893</v>
      </c>
      <c r="G11" s="10">
        <v>0.76388888888888884</v>
      </c>
      <c r="H11" s="8">
        <f t="shared" si="1"/>
        <v>0.12240740740740731</v>
      </c>
      <c r="I11" s="11">
        <f t="shared" si="2"/>
        <v>0.77481481481481485</v>
      </c>
      <c r="J11" s="8"/>
      <c r="K11" s="8"/>
      <c r="L11" s="8">
        <v>2.2592592592592591E-2</v>
      </c>
      <c r="M11" s="12"/>
      <c r="N11" s="13">
        <f t="shared" si="3"/>
        <v>1.0892586989409994</v>
      </c>
      <c r="O11" s="19"/>
      <c r="P11" s="14">
        <f ca="1">IFERROR(__xludf.DUMMYFUNCTION("""COMPUTED_VALUE"""),45761)</f>
        <v>45761</v>
      </c>
      <c r="Q11" s="15">
        <f t="shared" ca="1" si="7"/>
        <v>0.34722222222222227</v>
      </c>
      <c r="R11" s="15">
        <f t="shared" ca="1" si="8"/>
        <v>0.32356481481481486</v>
      </c>
      <c r="S11" s="15">
        <f t="shared" ca="1" si="4"/>
        <v>9.7685185185184542E-3</v>
      </c>
      <c r="T11" s="16">
        <f t="shared" ca="1" si="5"/>
        <v>1.0805392357207801</v>
      </c>
    </row>
    <row r="12" spans="1:22" ht="15.75" customHeight="1">
      <c r="A12" s="6">
        <v>45750</v>
      </c>
      <c r="B12" s="7" t="s">
        <v>18</v>
      </c>
      <c r="C12" s="7">
        <v>1</v>
      </c>
      <c r="D12" s="8">
        <f>IFERROR(VLOOKUP($B12,Task!$B$1:$G$67,6,0)," ")</f>
        <v>4.8611111111111112E-2</v>
      </c>
      <c r="E12" s="9">
        <f t="shared" si="0"/>
        <v>4.8611111111111112E-2</v>
      </c>
      <c r="F12" s="10">
        <v>0.39038194444444441</v>
      </c>
      <c r="G12" s="10">
        <v>0.43465277777777778</v>
      </c>
      <c r="H12" s="8">
        <f t="shared" si="1"/>
        <v>4.427083333333337E-2</v>
      </c>
      <c r="I12" s="11">
        <f t="shared" si="2"/>
        <v>0.43899305555555551</v>
      </c>
      <c r="J12" s="8"/>
      <c r="K12" s="8"/>
      <c r="L12" s="8"/>
      <c r="M12" s="18"/>
      <c r="N12" s="13">
        <f t="shared" si="3"/>
        <v>1.0980392156862737</v>
      </c>
      <c r="O12" s="19"/>
      <c r="P12" s="14">
        <f ca="1">IFERROR(__xludf.DUMMYFUNCTION("""COMPUTED_VALUE"""),45762)</f>
        <v>45762</v>
      </c>
      <c r="Q12" s="15">
        <f t="shared" ca="1" si="7"/>
        <v>0.25694444444444448</v>
      </c>
      <c r="R12" s="15">
        <f t="shared" ca="1" si="8"/>
        <v>0.23569457176395828</v>
      </c>
      <c r="S12" s="15">
        <f t="shared" ca="1" si="4"/>
        <v>9.7638761569375038E-2</v>
      </c>
      <c r="T12" s="16">
        <f t="shared" ca="1" si="5"/>
        <v>1.0888842547747419</v>
      </c>
    </row>
    <row r="13" spans="1:22" ht="15.75" customHeight="1">
      <c r="A13" s="6">
        <v>45750</v>
      </c>
      <c r="B13" s="7" t="s">
        <v>16</v>
      </c>
      <c r="C13" s="7">
        <f>37-C11</f>
        <v>13</v>
      </c>
      <c r="D13" s="8">
        <f>IFERROR(VLOOKUP($B13,Task!$B$1:$G$67,6,0)," ")</f>
        <v>5.5555555555555558E-3</v>
      </c>
      <c r="E13" s="9">
        <f t="shared" si="0"/>
        <v>7.2222222222222229E-2</v>
      </c>
      <c r="F13" s="10">
        <f t="shared" ref="F13:F15" si="10">G12</f>
        <v>0.43465277777777778</v>
      </c>
      <c r="G13" s="10">
        <v>0.55398148148148152</v>
      </c>
      <c r="H13" s="8">
        <f t="shared" si="1"/>
        <v>6.782407407407412E-2</v>
      </c>
      <c r="I13" s="11">
        <f t="shared" si="2"/>
        <v>0.55837962962962961</v>
      </c>
      <c r="J13" s="8"/>
      <c r="K13" s="8"/>
      <c r="L13" s="8">
        <v>5.1504629629629629E-2</v>
      </c>
      <c r="M13" s="12"/>
      <c r="N13" s="13">
        <f t="shared" si="3"/>
        <v>1.064846416382252</v>
      </c>
      <c r="O13" s="19"/>
      <c r="P13" s="14">
        <f ca="1">IFERROR(__xludf.DUMMYFUNCTION("""COMPUTED_VALUE"""),45763)</f>
        <v>45763</v>
      </c>
      <c r="Q13" s="15">
        <f t="shared" ca="1" si="7"/>
        <v>0.22361111111111112</v>
      </c>
      <c r="R13" s="15">
        <f t="shared" ca="1" si="8"/>
        <v>0.20196759259259256</v>
      </c>
      <c r="S13" s="15">
        <f t="shared" ca="1" si="4"/>
        <v>0.13136574074074076</v>
      </c>
      <c r="T13" s="16">
        <f t="shared" ca="1" si="5"/>
        <v>1.0998741271346399</v>
      </c>
    </row>
    <row r="14" spans="1:22" ht="15.75" customHeight="1">
      <c r="A14" s="6">
        <v>45750</v>
      </c>
      <c r="B14" s="7" t="s">
        <v>36</v>
      </c>
      <c r="C14" s="7">
        <v>6</v>
      </c>
      <c r="D14" s="8">
        <f>IFERROR(VLOOKUP($B14,Task!$B$1:$G$67,6,0)," ")</f>
        <v>6.9444444444444447E-4</v>
      </c>
      <c r="E14" s="9">
        <f t="shared" si="0"/>
        <v>4.1666666666666666E-3</v>
      </c>
      <c r="F14" s="10">
        <f t="shared" si="10"/>
        <v>0.55398148148148152</v>
      </c>
      <c r="G14" s="10">
        <v>0.5577199074074074</v>
      </c>
      <c r="H14" s="8">
        <f t="shared" si="1"/>
        <v>3.7384259259258812E-3</v>
      </c>
      <c r="I14" s="11">
        <f t="shared" si="2"/>
        <v>0.55814814814814817</v>
      </c>
      <c r="J14" s="8"/>
      <c r="K14" s="8"/>
      <c r="L14" s="8"/>
      <c r="M14" s="18"/>
      <c r="N14" s="13">
        <f t="shared" si="3"/>
        <v>1.1145510835913446</v>
      </c>
      <c r="O14" s="19"/>
      <c r="P14" s="20">
        <f ca="1">IFERROR(__xludf.DUMMYFUNCTION("""COMPUTED_VALUE"""),45764)</f>
        <v>45764</v>
      </c>
      <c r="Q14" s="15">
        <f t="shared" ca="1" si="7"/>
        <v>0.34861111111111109</v>
      </c>
      <c r="R14" s="15">
        <f t="shared" ca="1" si="8"/>
        <v>0.31748842592592585</v>
      </c>
      <c r="S14" s="15">
        <f t="shared" ca="1" si="4"/>
        <v>1.584490740740746E-2</v>
      </c>
      <c r="T14" s="16">
        <f t="shared" ca="1" si="5"/>
        <v>1.0952073155201028</v>
      </c>
    </row>
    <row r="15" spans="1:22" ht="15.75" customHeight="1">
      <c r="A15" s="6">
        <v>45750</v>
      </c>
      <c r="B15" s="7" t="s">
        <v>19</v>
      </c>
      <c r="C15" s="7">
        <v>65</v>
      </c>
      <c r="D15" s="8">
        <f>IFERROR(VLOOKUP($B15,Task!$B$1:$G$67,6,0)," ")</f>
        <v>2.7777777777777779E-3</v>
      </c>
      <c r="E15" s="9">
        <f t="shared" si="0"/>
        <v>0.18055555555555555</v>
      </c>
      <c r="F15" s="10">
        <f t="shared" si="10"/>
        <v>0.5577199074074074</v>
      </c>
      <c r="G15" s="10">
        <v>0.77097222222222217</v>
      </c>
      <c r="H15" s="8">
        <f t="shared" si="1"/>
        <v>0.16961805555555551</v>
      </c>
      <c r="I15" s="11">
        <f t="shared" si="2"/>
        <v>0.78190972222222221</v>
      </c>
      <c r="J15" s="8"/>
      <c r="K15" s="8"/>
      <c r="L15" s="8">
        <v>4.3634259259259262E-2</v>
      </c>
      <c r="M15" s="18"/>
      <c r="N15" s="13">
        <f t="shared" si="3"/>
        <v>1.0644831115660187</v>
      </c>
      <c r="O15" s="4"/>
      <c r="P15" s="20">
        <f ca="1">IFERROR(__xludf.DUMMYFUNCTION("""COMPUTED_VALUE"""),45769)</f>
        <v>45769</v>
      </c>
      <c r="Q15" s="15">
        <f t="shared" ca="1" si="7"/>
        <v>0.3576388888888889</v>
      </c>
      <c r="R15" s="15">
        <f t="shared" ca="1" si="8"/>
        <v>0.32353009259259258</v>
      </c>
      <c r="S15" s="15">
        <f t="shared" ca="1" si="4"/>
        <v>9.8032407407407374E-3</v>
      </c>
      <c r="T15" s="16">
        <f t="shared" ca="1" si="5"/>
        <v>1.098569148728737</v>
      </c>
    </row>
    <row r="16" spans="1:22" ht="15.75" customHeight="1">
      <c r="A16" s="6">
        <v>45751</v>
      </c>
      <c r="B16" s="7" t="s">
        <v>18</v>
      </c>
      <c r="C16" s="7">
        <v>1</v>
      </c>
      <c r="D16" s="8">
        <f>IFERROR(VLOOKUP($B16,Task!$B$1:$G$67,6,0)," ")</f>
        <v>4.8611111111111112E-2</v>
      </c>
      <c r="E16" s="9">
        <f t="shared" si="0"/>
        <v>4.8611111111111112E-2</v>
      </c>
      <c r="F16" s="10">
        <v>0.38006944444444446</v>
      </c>
      <c r="G16" s="10">
        <v>0.47354166666666669</v>
      </c>
      <c r="H16" s="8">
        <f t="shared" si="1"/>
        <v>4.3969907407407423E-2</v>
      </c>
      <c r="I16" s="11">
        <f t="shared" si="2"/>
        <v>0.47818287037037038</v>
      </c>
      <c r="J16" s="8"/>
      <c r="K16" s="8"/>
      <c r="L16" s="8">
        <v>4.9502314814814811E-2</v>
      </c>
      <c r="M16" s="18"/>
      <c r="N16" s="13">
        <f t="shared" si="3"/>
        <v>1.1055540931824162</v>
      </c>
      <c r="O16" s="4"/>
      <c r="P16" s="20">
        <f ca="1">IFERROR(__xludf.DUMMYFUNCTION("""COMPUTED_VALUE"""),45770)</f>
        <v>45770</v>
      </c>
      <c r="Q16" s="15">
        <f t="shared" ca="1" si="7"/>
        <v>0.35694444444444445</v>
      </c>
      <c r="R16" s="15">
        <f t="shared" ca="1" si="8"/>
        <v>0.32287206018490167</v>
      </c>
      <c r="S16" s="15">
        <f t="shared" ca="1" si="4"/>
        <v>1.0461273148431649E-2</v>
      </c>
      <c r="T16" s="16">
        <f t="shared" ca="1" si="5"/>
        <v>1.1502209676449677</v>
      </c>
    </row>
    <row r="17" spans="1:23" ht="15.75" customHeight="1">
      <c r="A17" s="6">
        <v>45751</v>
      </c>
      <c r="B17" s="7" t="s">
        <v>19</v>
      </c>
      <c r="C17" s="7">
        <v>18</v>
      </c>
      <c r="D17" s="8">
        <f>IFERROR(VLOOKUP($B17,Task!$B$1:$G$67,6,0)," ")</f>
        <v>2.7777777777777779E-3</v>
      </c>
      <c r="E17" s="9">
        <f t="shared" si="0"/>
        <v>0.05</v>
      </c>
      <c r="F17" s="10">
        <f t="shared" ref="F17:F18" si="11">G16</f>
        <v>0.47354166666666669</v>
      </c>
      <c r="G17" s="10">
        <v>0.5635648148148148</v>
      </c>
      <c r="H17" s="8">
        <f t="shared" si="1"/>
        <v>4.5868055555555509E-2</v>
      </c>
      <c r="I17" s="11">
        <f t="shared" si="2"/>
        <v>0.56769675925925922</v>
      </c>
      <c r="J17" s="8"/>
      <c r="K17" s="8"/>
      <c r="L17" s="8">
        <v>4.4155092592592593E-2</v>
      </c>
      <c r="M17" s="12"/>
      <c r="N17" s="13">
        <f t="shared" si="3"/>
        <v>1.090083270249812</v>
      </c>
      <c r="O17" s="19"/>
      <c r="P17" s="20">
        <f ca="1">IFERROR(__xludf.DUMMYFUNCTION("""COMPUTED_VALUE"""),45771)</f>
        <v>45771</v>
      </c>
      <c r="Q17" s="15">
        <f t="shared" ca="1" si="7"/>
        <v>0.32777777777777778</v>
      </c>
      <c r="R17" s="15">
        <f t="shared" ca="1" si="8"/>
        <v>0.29713900463055187</v>
      </c>
      <c r="S17" s="15">
        <f t="shared" ca="1" si="4"/>
        <v>3.6194328702781442E-2</v>
      </c>
      <c r="T17" s="16">
        <f t="shared" ca="1" si="5"/>
        <v>1.1016204092144164</v>
      </c>
    </row>
    <row r="18" spans="1:23" ht="15.75" customHeight="1">
      <c r="A18" s="6">
        <v>45751</v>
      </c>
      <c r="B18" s="7" t="s">
        <v>34</v>
      </c>
      <c r="C18" s="7">
        <v>24</v>
      </c>
      <c r="D18" s="8">
        <f>IFERROR(VLOOKUP($B18,Task!$B$1:$G$67,6,0)," ")</f>
        <v>8.3333333333333332E-3</v>
      </c>
      <c r="E18" s="9">
        <f t="shared" si="0"/>
        <v>0.2</v>
      </c>
      <c r="F18" s="10">
        <f t="shared" si="11"/>
        <v>0.5635648148148148</v>
      </c>
      <c r="G18" s="10">
        <v>0.76041666666666663</v>
      </c>
      <c r="H18" s="8">
        <f t="shared" si="1"/>
        <v>0.18228009259259256</v>
      </c>
      <c r="I18" s="11">
        <f t="shared" si="2"/>
        <v>0.77813657407407411</v>
      </c>
      <c r="J18" s="8"/>
      <c r="K18" s="8"/>
      <c r="L18" s="8">
        <v>1.457175925925926E-2</v>
      </c>
      <c r="M18" s="18"/>
      <c r="N18" s="13">
        <f t="shared" si="3"/>
        <v>1.0972125214299322</v>
      </c>
      <c r="O18" s="19"/>
      <c r="P18" s="20">
        <f ca="1">IFERROR(__xludf.DUMMYFUNCTION("""COMPUTED_VALUE"""),45772)</f>
        <v>45772</v>
      </c>
      <c r="Q18" s="15">
        <f t="shared" ca="1" si="7"/>
        <v>0.27847222222222223</v>
      </c>
      <c r="R18" s="15">
        <f t="shared" ca="1" si="8"/>
        <v>0.25643821759446939</v>
      </c>
      <c r="S18" s="15">
        <f t="shared" ca="1" si="4"/>
        <v>7.6895115738863928E-2</v>
      </c>
      <c r="T18" s="16">
        <f t="shared" ca="1" si="5"/>
        <v>1.0832947759462839</v>
      </c>
    </row>
    <row r="19" spans="1:23" ht="15.75" customHeight="1">
      <c r="A19" s="6">
        <v>45754</v>
      </c>
      <c r="B19" s="7" t="s">
        <v>18</v>
      </c>
      <c r="C19" s="7">
        <v>1</v>
      </c>
      <c r="D19" s="8">
        <f>IFERROR(VLOOKUP($B19,Task!$B$1:$G$67,6,0)," ")</f>
        <v>4.8611111111111112E-2</v>
      </c>
      <c r="E19" s="9">
        <f t="shared" si="0"/>
        <v>4.8611111111111112E-2</v>
      </c>
      <c r="F19" s="8">
        <v>0.3763657407407407</v>
      </c>
      <c r="G19" s="10">
        <v>0.42094907407407406</v>
      </c>
      <c r="H19" s="8">
        <f t="shared" si="1"/>
        <v>4.4583333333333364E-2</v>
      </c>
      <c r="I19" s="11">
        <f t="shared" si="2"/>
        <v>0.4249768518518518</v>
      </c>
      <c r="J19" s="8"/>
      <c r="K19" s="8"/>
      <c r="L19" s="8"/>
      <c r="M19" s="12"/>
      <c r="N19" s="13">
        <f t="shared" si="3"/>
        <v>1.0903426791277251</v>
      </c>
      <c r="O19" s="19"/>
      <c r="P19" s="20">
        <f ca="1">IFERROR(__xludf.DUMMYFUNCTION("""COMPUTED_VALUE"""),45775)</f>
        <v>45775</v>
      </c>
      <c r="Q19" s="15">
        <f t="shared" ca="1" si="7"/>
        <v>0.35000000000000003</v>
      </c>
      <c r="R19" s="15">
        <f t="shared" ca="1" si="8"/>
        <v>0.32163694444608326</v>
      </c>
      <c r="S19" s="15">
        <f t="shared" ref="S19:S23" ca="1" si="12">IF(R19=""," ",$U$1-R19)</f>
        <v>1.1696388887250053E-2</v>
      </c>
      <c r="T19" s="16">
        <f t="shared" ca="1" si="5"/>
        <v>1.0842814816387834</v>
      </c>
    </row>
    <row r="20" spans="1:23" ht="15.75" customHeight="1">
      <c r="A20" s="6">
        <v>45754</v>
      </c>
      <c r="B20" s="7" t="s">
        <v>34</v>
      </c>
      <c r="C20" s="7">
        <v>16</v>
      </c>
      <c r="D20" s="8">
        <f>IFERROR(VLOOKUP($B20,Task!$B$1:$G$67,6,0)," ")</f>
        <v>8.3333333333333332E-3</v>
      </c>
      <c r="E20" s="9">
        <f t="shared" si="0"/>
        <v>0.13333333333333333</v>
      </c>
      <c r="F20" s="10">
        <f t="shared" ref="F20:F21" si="13">G19</f>
        <v>0.42094907407407406</v>
      </c>
      <c r="G20" s="10">
        <v>0.58149305555555553</v>
      </c>
      <c r="H20" s="8">
        <f t="shared" si="1"/>
        <v>0.12964120370370369</v>
      </c>
      <c r="I20" s="11">
        <f t="shared" si="2"/>
        <v>0.58518518518518525</v>
      </c>
      <c r="J20" s="8"/>
      <c r="K20" s="8"/>
      <c r="L20" s="8">
        <v>3.0902777777777779E-2</v>
      </c>
      <c r="M20" s="18"/>
      <c r="N20" s="13">
        <f t="shared" si="3"/>
        <v>1.0284796000357113</v>
      </c>
      <c r="P20" s="20">
        <f ca="1">IFERROR(__xludf.DUMMYFUNCTION("""COMPUTED_VALUE"""),45776)</f>
        <v>45776</v>
      </c>
      <c r="Q20" s="15">
        <f t="shared" ca="1" si="7"/>
        <v>0.32152777777777786</v>
      </c>
      <c r="R20" s="15">
        <f t="shared" ca="1" si="8"/>
        <v>0.29053240740740743</v>
      </c>
      <c r="S20" s="15">
        <f t="shared" ca="1" si="12"/>
        <v>4.2800925925925881E-2</v>
      </c>
      <c r="T20" s="16">
        <f t="shared" ca="1" si="5"/>
        <v>1.1038619722107412</v>
      </c>
      <c r="W20" s="4"/>
    </row>
    <row r="21" spans="1:23" ht="15.75" customHeight="1">
      <c r="A21" s="6">
        <v>45754</v>
      </c>
      <c r="B21" s="7" t="s">
        <v>19</v>
      </c>
      <c r="C21" s="7">
        <v>24</v>
      </c>
      <c r="D21" s="8">
        <f>IFERROR(VLOOKUP($B21,Task!$B$1:$G$67,6,0)," ")</f>
        <v>2.7777777777777779E-3</v>
      </c>
      <c r="E21" s="9">
        <f t="shared" si="0"/>
        <v>6.6666666666666666E-2</v>
      </c>
      <c r="F21" s="10">
        <f t="shared" si="13"/>
        <v>0.58149305555555553</v>
      </c>
      <c r="G21" s="10">
        <v>0.66596064814814815</v>
      </c>
      <c r="H21" s="8">
        <f t="shared" si="1"/>
        <v>5.9583333333333363E-2</v>
      </c>
      <c r="I21" s="11">
        <f t="shared" si="2"/>
        <v>0.67304398148148148</v>
      </c>
      <c r="J21" s="8"/>
      <c r="K21" s="8"/>
      <c r="L21" s="8">
        <v>2.4884259259259255E-2</v>
      </c>
      <c r="M21" s="12"/>
      <c r="N21" s="13">
        <f t="shared" si="3"/>
        <v>1.1188811188811183</v>
      </c>
      <c r="P21" s="20">
        <f ca="1">IFERROR(__xludf.DUMMYFUNCTION("""COMPUTED_VALUE"""),45777)</f>
        <v>45777</v>
      </c>
      <c r="Q21" s="15">
        <f t="shared" ca="1" si="7"/>
        <v>0.32222222222222224</v>
      </c>
      <c r="R21" s="15">
        <f t="shared" ca="1" si="8"/>
        <v>0.29389093750460438</v>
      </c>
      <c r="S21" s="15">
        <f t="shared" ca="1" si="12"/>
        <v>3.9442395828728938E-2</v>
      </c>
      <c r="T21" s="16">
        <f t="shared" ca="1" si="5"/>
        <v>1.0990808664397016</v>
      </c>
    </row>
    <row r="22" spans="1:23" ht="15.75" customHeight="1">
      <c r="A22" s="6">
        <v>45754</v>
      </c>
      <c r="B22" s="7" t="s">
        <v>16</v>
      </c>
      <c r="C22" s="7">
        <v>2</v>
      </c>
      <c r="D22" s="8">
        <f>IFERROR(VLOOKUP($B22,Task!$B$1:$G$67,6,0)," ")</f>
        <v>5.5555555555555558E-3</v>
      </c>
      <c r="E22" s="9">
        <f t="shared" si="0"/>
        <v>1.1111111111111112E-2</v>
      </c>
      <c r="F22" s="10">
        <v>0.65478009259259262</v>
      </c>
      <c r="G22" s="10">
        <v>0.66493055555555558</v>
      </c>
      <c r="H22" s="8">
        <f t="shared" si="1"/>
        <v>1.0150462962962958E-2</v>
      </c>
      <c r="I22" s="11">
        <f t="shared" si="2"/>
        <v>0.66589120370370369</v>
      </c>
      <c r="J22" s="8"/>
      <c r="K22" s="8"/>
      <c r="L22" s="8"/>
      <c r="M22" s="12"/>
      <c r="N22" s="13">
        <f t="shared" si="3"/>
        <v>1.0946408209806162</v>
      </c>
      <c r="O22" s="19"/>
      <c r="P22" s="20"/>
      <c r="Q22" s="15" t="str">
        <f t="shared" si="7"/>
        <v/>
      </c>
      <c r="R22" s="15" t="str">
        <f t="shared" si="8"/>
        <v/>
      </c>
      <c r="S22" s="15" t="str">
        <f t="shared" si="12"/>
        <v xml:space="preserve"> </v>
      </c>
      <c r="T22" s="16" t="str">
        <f t="shared" si="5"/>
        <v xml:space="preserve"> </v>
      </c>
    </row>
    <row r="23" spans="1:23" ht="15.75" customHeight="1">
      <c r="A23" s="6">
        <v>45754</v>
      </c>
      <c r="B23" s="7" t="s">
        <v>27</v>
      </c>
      <c r="C23" s="7">
        <v>62</v>
      </c>
      <c r="D23" s="8">
        <f>IFERROR(VLOOKUP($B23,Task!$B$1:$G$67,6,0)," ")</f>
        <v>1.3888888888888889E-3</v>
      </c>
      <c r="E23" s="9">
        <f t="shared" si="0"/>
        <v>8.611111111111111E-2</v>
      </c>
      <c r="F23" s="10">
        <f>G21</f>
        <v>0.66596064814814815</v>
      </c>
      <c r="G23" s="10">
        <v>0.75694444444444442</v>
      </c>
      <c r="H23" s="8">
        <f t="shared" si="1"/>
        <v>7.7928240740740715E-2</v>
      </c>
      <c r="I23" s="11">
        <f t="shared" si="2"/>
        <v>0.76512731481481489</v>
      </c>
      <c r="J23" s="8"/>
      <c r="K23" s="8"/>
      <c r="L23" s="8">
        <v>1.3055555555555556E-2</v>
      </c>
      <c r="M23" s="12"/>
      <c r="N23" s="13">
        <f t="shared" si="3"/>
        <v>1.1050051982771427</v>
      </c>
      <c r="P23" s="20"/>
      <c r="Q23" s="15" t="str">
        <f t="shared" si="7"/>
        <v/>
      </c>
      <c r="R23" s="15" t="str">
        <f t="shared" si="8"/>
        <v/>
      </c>
      <c r="S23" s="15" t="str">
        <f t="shared" si="12"/>
        <v xml:space="preserve"> </v>
      </c>
      <c r="T23" s="16" t="str">
        <f t="shared" si="5"/>
        <v xml:space="preserve"> </v>
      </c>
    </row>
    <row r="24" spans="1:23" ht="15.75" customHeight="1">
      <c r="A24" s="6">
        <v>45755</v>
      </c>
      <c r="B24" s="7" t="s">
        <v>18</v>
      </c>
      <c r="C24" s="7">
        <v>1</v>
      </c>
      <c r="D24" s="8">
        <f>IFERROR(VLOOKUP($B24,Task!$B$1:$G$67,6,0)," ")</f>
        <v>4.8611111111111112E-2</v>
      </c>
      <c r="E24" s="9">
        <f t="shared" si="0"/>
        <v>4.8611111111111112E-2</v>
      </c>
      <c r="F24" s="10">
        <v>0.38160879629629629</v>
      </c>
      <c r="G24" s="10">
        <v>0.42696759259259259</v>
      </c>
      <c r="H24" s="8">
        <f t="shared" si="1"/>
        <v>4.53587962962963E-2</v>
      </c>
      <c r="I24" s="11">
        <f t="shared" si="2"/>
        <v>0.4302199074074074</v>
      </c>
      <c r="J24" s="8"/>
      <c r="K24" s="8"/>
      <c r="L24" s="8"/>
      <c r="M24" s="18"/>
      <c r="N24" s="13">
        <f t="shared" si="3"/>
        <v>1.0717019647869355</v>
      </c>
      <c r="O24" s="19"/>
      <c r="W24" s="4"/>
    </row>
    <row r="25" spans="1:23" ht="15.75" customHeight="1">
      <c r="A25" s="6">
        <v>45755</v>
      </c>
      <c r="B25" s="7" t="s">
        <v>27</v>
      </c>
      <c r="C25" s="7">
        <v>24</v>
      </c>
      <c r="D25" s="8">
        <f>IFERROR(VLOOKUP($B25,Task!$B$1:$G$67,6,0)," ")</f>
        <v>1.3888888888888889E-3</v>
      </c>
      <c r="E25" s="9">
        <f t="shared" si="0"/>
        <v>3.3333333333333333E-2</v>
      </c>
      <c r="F25" s="10">
        <f t="shared" ref="F25:F27" si="14">G24</f>
        <v>0.42696759259259259</v>
      </c>
      <c r="G25" s="10">
        <v>0.48995370370370372</v>
      </c>
      <c r="H25" s="8">
        <f t="shared" si="1"/>
        <v>3.332175925925928E-2</v>
      </c>
      <c r="I25" s="11">
        <f t="shared" si="2"/>
        <v>0.48996527777777776</v>
      </c>
      <c r="J25" s="8"/>
      <c r="K25" s="8"/>
      <c r="L25" s="8">
        <v>2.9664351851851851E-2</v>
      </c>
      <c r="M25" s="18"/>
      <c r="N25" s="13">
        <f t="shared" si="3"/>
        <v>1.0003473428273699</v>
      </c>
      <c r="O25" s="4"/>
    </row>
    <row r="26" spans="1:23" ht="14.5">
      <c r="A26" s="6">
        <v>45755</v>
      </c>
      <c r="B26" s="7" t="s">
        <v>19</v>
      </c>
      <c r="C26" s="7">
        <v>75</v>
      </c>
      <c r="D26" s="8">
        <f>IFERROR(VLOOKUP($B26,Task!$B$1:$G$67,6,0)," ")</f>
        <v>2.7777777777777779E-3</v>
      </c>
      <c r="E26" s="9">
        <f t="shared" si="0"/>
        <v>0.20833333333333334</v>
      </c>
      <c r="F26" s="10">
        <f t="shared" si="14"/>
        <v>0.48995370370370372</v>
      </c>
      <c r="G26" s="10">
        <v>0.71796296296296291</v>
      </c>
      <c r="H26" s="8">
        <f t="shared" si="1"/>
        <v>0.19380787037037028</v>
      </c>
      <c r="I26" s="11">
        <f t="shared" si="2"/>
        <v>0.732488425925926</v>
      </c>
      <c r="J26" s="8"/>
      <c r="K26" s="8"/>
      <c r="L26" s="8">
        <v>3.4201388888888892E-2</v>
      </c>
      <c r="M26" s="18"/>
      <c r="N26" s="13">
        <f t="shared" si="3"/>
        <v>1.0749477455957008</v>
      </c>
    </row>
    <row r="27" spans="1:23" ht="14.5">
      <c r="A27" s="6">
        <v>45755</v>
      </c>
      <c r="B27" s="7" t="s">
        <v>16</v>
      </c>
      <c r="C27" s="7">
        <v>9</v>
      </c>
      <c r="D27" s="8">
        <f>IFERROR(VLOOKUP($B27,Task!$B$1:$G$67,6,0)," ")</f>
        <v>5.5555555555555558E-3</v>
      </c>
      <c r="E27" s="9">
        <f t="shared" si="0"/>
        <v>0.05</v>
      </c>
      <c r="F27" s="10">
        <f t="shared" si="14"/>
        <v>0.71796296296296291</v>
      </c>
      <c r="G27" s="10">
        <v>0.76106498843000736</v>
      </c>
      <c r="H27" s="8">
        <f t="shared" si="1"/>
        <v>4.3102025467044447E-2</v>
      </c>
      <c r="I27" s="11">
        <f t="shared" si="2"/>
        <v>0.76796296296296296</v>
      </c>
      <c r="J27" s="8"/>
      <c r="K27" s="8"/>
      <c r="L27" s="8"/>
      <c r="M27" s="18"/>
      <c r="N27" s="13">
        <f t="shared" si="3"/>
        <v>1.1600382918948833</v>
      </c>
      <c r="O27" s="19"/>
    </row>
    <row r="28" spans="1:23" ht="14.5">
      <c r="A28" s="6">
        <v>45756</v>
      </c>
      <c r="B28" s="7" t="s">
        <v>18</v>
      </c>
      <c r="C28" s="7">
        <v>1</v>
      </c>
      <c r="D28" s="8">
        <f>IFERROR(VLOOKUP($B28,Task!$B$1:$G$67,6,0)," ")</f>
        <v>4.8611111111111112E-2</v>
      </c>
      <c r="E28" s="9">
        <f t="shared" si="0"/>
        <v>4.8611111111111112E-2</v>
      </c>
      <c r="F28" s="10">
        <v>0.3834953703703704</v>
      </c>
      <c r="G28" s="10">
        <v>0.42813657407407413</v>
      </c>
      <c r="H28" s="8">
        <f t="shared" si="1"/>
        <v>4.4641203703703725E-2</v>
      </c>
      <c r="I28" s="11">
        <f t="shared" si="2"/>
        <v>0.43210648148148151</v>
      </c>
      <c r="J28" s="8"/>
      <c r="K28" s="8"/>
      <c r="L28" s="8"/>
      <c r="M28" s="18"/>
      <c r="N28" s="13">
        <f t="shared" si="3"/>
        <v>1.0889292196007254</v>
      </c>
      <c r="O28" s="19"/>
    </row>
    <row r="29" spans="1:23" ht="14.5">
      <c r="A29" s="6">
        <v>45756</v>
      </c>
      <c r="B29" s="7" t="s">
        <v>16</v>
      </c>
      <c r="C29" s="7">
        <v>19</v>
      </c>
      <c r="D29" s="8">
        <f>IFERROR(VLOOKUP($B29,Task!$B$1:$G$67,6,0)," ")</f>
        <v>5.5555555555555558E-3</v>
      </c>
      <c r="E29" s="9">
        <f t="shared" si="0"/>
        <v>0.10555555555555556</v>
      </c>
      <c r="F29" s="10">
        <f>G28</f>
        <v>0.42813657407407413</v>
      </c>
      <c r="G29" s="10">
        <v>0.57020833333333332</v>
      </c>
      <c r="H29" s="8">
        <f t="shared" si="1"/>
        <v>9.9513888888888735E-2</v>
      </c>
      <c r="I29" s="11">
        <f t="shared" si="2"/>
        <v>0.57625000000000015</v>
      </c>
      <c r="J29" s="8"/>
      <c r="K29" s="8"/>
      <c r="L29" s="8">
        <v>4.2557870370370454E-2</v>
      </c>
      <c r="M29" s="12"/>
      <c r="N29" s="13">
        <f t="shared" si="3"/>
        <v>1.0607117934403365</v>
      </c>
      <c r="O29" s="19"/>
    </row>
    <row r="30" spans="1:23" ht="14.5">
      <c r="A30" s="6">
        <v>45756</v>
      </c>
      <c r="B30" s="7" t="s">
        <v>26</v>
      </c>
      <c r="C30" s="7">
        <v>1</v>
      </c>
      <c r="D30" s="8">
        <f>IFERROR(VLOOKUP($B30,Task!$B$1:$G$67,6,0)," ")</f>
        <v>2.0833333333333332E-2</v>
      </c>
      <c r="E30" s="9">
        <f t="shared" si="0"/>
        <v>2.0833333333333332E-2</v>
      </c>
      <c r="F30" s="10">
        <v>0.48592592592592587</v>
      </c>
      <c r="G30" s="10">
        <v>0.50517361111111114</v>
      </c>
      <c r="H30" s="8">
        <f t="shared" si="1"/>
        <v>1.924768518518527E-2</v>
      </c>
      <c r="I30" s="11">
        <f t="shared" si="2"/>
        <v>0.50675925925925924</v>
      </c>
      <c r="J30" s="8"/>
      <c r="K30" s="8"/>
      <c r="L30" s="8"/>
      <c r="M30" s="12"/>
      <c r="N30" s="13">
        <f t="shared" si="3"/>
        <v>1.0823812387251905</v>
      </c>
      <c r="O30" s="4"/>
    </row>
    <row r="31" spans="1:23" ht="14.5">
      <c r="A31" s="6">
        <v>45756</v>
      </c>
      <c r="B31" s="7" t="s">
        <v>16</v>
      </c>
      <c r="C31" s="7">
        <v>20</v>
      </c>
      <c r="D31" s="8">
        <f>IFERROR(VLOOKUP($B31,Task!$B$1:$G$67,6,0)," ")</f>
        <v>5.5555555555555558E-3</v>
      </c>
      <c r="E31" s="9">
        <f t="shared" si="0"/>
        <v>0.11111111111111112</v>
      </c>
      <c r="F31" s="10">
        <v>0.57020833333333332</v>
      </c>
      <c r="G31" s="10">
        <v>0.68906250000000002</v>
      </c>
      <c r="H31" s="8">
        <f t="shared" si="1"/>
        <v>0.10510416666666671</v>
      </c>
      <c r="I31" s="11">
        <f t="shared" si="2"/>
        <v>0.69506944444444452</v>
      </c>
      <c r="J31" s="8"/>
      <c r="K31" s="8"/>
      <c r="L31" s="8">
        <v>1.375E-2</v>
      </c>
      <c r="M31" s="12"/>
      <c r="N31" s="13">
        <f t="shared" si="3"/>
        <v>1.0571522960026425</v>
      </c>
      <c r="O31" s="19"/>
    </row>
    <row r="32" spans="1:23" ht="14.5">
      <c r="A32" s="6">
        <v>45756</v>
      </c>
      <c r="B32" s="7" t="s">
        <v>19</v>
      </c>
      <c r="C32" s="7">
        <v>20</v>
      </c>
      <c r="D32" s="8">
        <f>IFERROR(VLOOKUP($B32,Task!$B$1:$G$67,6,0)," ")</f>
        <v>2.7777777777777779E-3</v>
      </c>
      <c r="E32" s="9">
        <f t="shared" si="0"/>
        <v>5.5555555555555559E-2</v>
      </c>
      <c r="F32" s="10">
        <f>G31</f>
        <v>0.68906250000000002</v>
      </c>
      <c r="G32" s="10">
        <v>0.76388888888888884</v>
      </c>
      <c r="H32" s="8">
        <f t="shared" si="1"/>
        <v>5.2534722222222149E-2</v>
      </c>
      <c r="I32" s="11">
        <f t="shared" si="2"/>
        <v>0.76690972222222231</v>
      </c>
      <c r="J32" s="8"/>
      <c r="K32" s="8"/>
      <c r="L32" s="8">
        <v>2.2291666666666668E-2</v>
      </c>
      <c r="M32" s="12"/>
      <c r="N32" s="13">
        <f t="shared" si="3"/>
        <v>1.0575016523463334</v>
      </c>
      <c r="O32" s="4"/>
    </row>
    <row r="33" spans="1:15" ht="14.5">
      <c r="A33" s="6">
        <v>45757</v>
      </c>
      <c r="B33" s="7" t="s">
        <v>27</v>
      </c>
      <c r="C33" s="7">
        <v>41</v>
      </c>
      <c r="D33" s="8">
        <f>IFERROR(VLOOKUP($B33,Task!$B$1:$G$67,6,0)," ")</f>
        <v>1.3888888888888889E-3</v>
      </c>
      <c r="E33" s="9">
        <f t="shared" si="0"/>
        <v>5.6944444444444443E-2</v>
      </c>
      <c r="F33" s="10">
        <v>0.38778935185185182</v>
      </c>
      <c r="G33" s="10">
        <v>0.43996527777777777</v>
      </c>
      <c r="H33" s="8">
        <f t="shared" si="1"/>
        <v>5.2175925925925959E-2</v>
      </c>
      <c r="I33" s="11">
        <f t="shared" si="2"/>
        <v>0.44473379629629628</v>
      </c>
      <c r="J33" s="8"/>
      <c r="K33" s="8"/>
      <c r="L33" s="8"/>
      <c r="M33" s="18"/>
      <c r="N33" s="13">
        <f t="shared" si="3"/>
        <v>1.091393078970718</v>
      </c>
      <c r="O33" s="19"/>
    </row>
    <row r="34" spans="1:15" ht="14.5">
      <c r="A34" s="6">
        <v>45757</v>
      </c>
      <c r="B34" s="7" t="s">
        <v>18</v>
      </c>
      <c r="C34" s="7">
        <v>1</v>
      </c>
      <c r="D34" s="8">
        <f>IFERROR(VLOOKUP($B34,Task!$B$1:$G$67,6,0)," ")</f>
        <v>4.8611111111111112E-2</v>
      </c>
      <c r="E34" s="9">
        <f t="shared" si="0"/>
        <v>4.8611111111111112E-2</v>
      </c>
      <c r="F34" s="10">
        <f t="shared" ref="F34:F37" si="15">G33</f>
        <v>0.43996527777777777</v>
      </c>
      <c r="G34" s="10">
        <v>0.50768518518518524</v>
      </c>
      <c r="H34" s="8">
        <f t="shared" si="1"/>
        <v>4.451388888888895E-2</v>
      </c>
      <c r="I34" s="11">
        <f t="shared" si="2"/>
        <v>0.51178240740740744</v>
      </c>
      <c r="J34" s="8"/>
      <c r="K34" s="8"/>
      <c r="L34" s="8">
        <v>2.3206018518518518E-2</v>
      </c>
      <c r="M34" s="18"/>
      <c r="N34" s="13">
        <f t="shared" si="3"/>
        <v>1.0920436817472685</v>
      </c>
      <c r="O34" s="19"/>
    </row>
    <row r="35" spans="1:15" ht="14.5">
      <c r="A35" s="6">
        <v>45757</v>
      </c>
      <c r="B35" s="7" t="s">
        <v>17</v>
      </c>
      <c r="C35" s="7">
        <v>1</v>
      </c>
      <c r="D35" s="8">
        <f>IFERROR(VLOOKUP($B35,Task!$B$1:$G$67,6,0)," ")</f>
        <v>2.0833333333333332E-2</v>
      </c>
      <c r="E35" s="9">
        <f t="shared" si="0"/>
        <v>2.0833333333333332E-2</v>
      </c>
      <c r="F35" s="10">
        <f t="shared" si="15"/>
        <v>0.50768518518518524</v>
      </c>
      <c r="G35" s="10">
        <v>0.52667824074074077</v>
      </c>
      <c r="H35" s="8">
        <f t="shared" si="1"/>
        <v>1.8993055555555527E-2</v>
      </c>
      <c r="I35" s="11">
        <f t="shared" si="2"/>
        <v>0.52851851851851861</v>
      </c>
      <c r="J35" s="8"/>
      <c r="K35" s="8"/>
      <c r="L35" s="8"/>
      <c r="M35" s="18"/>
      <c r="N35" s="13">
        <f t="shared" si="3"/>
        <v>1.0968921389396726</v>
      </c>
    </row>
    <row r="36" spans="1:15" ht="14.5">
      <c r="A36" s="6">
        <v>45757</v>
      </c>
      <c r="B36" s="7" t="s">
        <v>27</v>
      </c>
      <c r="C36" s="7">
        <v>129</v>
      </c>
      <c r="D36" s="8">
        <f>IFERROR(VLOOKUP($B36,Task!$B$1:$G$67,6,0)," ")</f>
        <v>1.3888888888888889E-3</v>
      </c>
      <c r="E36" s="9">
        <f t="shared" si="0"/>
        <v>0.17916666666666667</v>
      </c>
      <c r="F36" s="10">
        <f t="shared" si="15"/>
        <v>0.52667824074074077</v>
      </c>
      <c r="G36" s="10">
        <v>0.72503472222222221</v>
      </c>
      <c r="H36" s="8">
        <f t="shared" si="1"/>
        <v>0.16843749999999996</v>
      </c>
      <c r="I36" s="11">
        <f t="shared" si="2"/>
        <v>0.73576388888888899</v>
      </c>
      <c r="J36" s="8"/>
      <c r="K36" s="8"/>
      <c r="L36" s="8">
        <v>2.991898148148148E-2</v>
      </c>
      <c r="M36" s="18"/>
      <c r="N36" s="13">
        <f t="shared" si="3"/>
        <v>1.0636982065553497</v>
      </c>
    </row>
    <row r="37" spans="1:15" ht="14.5">
      <c r="A37" s="6">
        <v>45757</v>
      </c>
      <c r="B37" s="7" t="s">
        <v>19</v>
      </c>
      <c r="C37" s="7">
        <v>16</v>
      </c>
      <c r="D37" s="8">
        <f>IFERROR(VLOOKUP($B37,Task!$B$1:$G$67,6,0)," ")</f>
        <v>2.7777777777777779E-3</v>
      </c>
      <c r="E37" s="9">
        <f t="shared" si="0"/>
        <v>4.4444444444444446E-2</v>
      </c>
      <c r="F37" s="10">
        <f t="shared" si="15"/>
        <v>0.72503472222222221</v>
      </c>
      <c r="G37" s="10">
        <v>0.76527091435127659</v>
      </c>
      <c r="H37" s="8">
        <f t="shared" si="1"/>
        <v>4.0236192129054382E-2</v>
      </c>
      <c r="I37" s="11">
        <f t="shared" si="2"/>
        <v>0.7694791666666666</v>
      </c>
      <c r="J37" s="8"/>
      <c r="K37" s="8"/>
      <c r="L37" s="8"/>
      <c r="M37" s="18"/>
      <c r="N37" s="13">
        <f t="shared" si="3"/>
        <v>1.1045887320025818</v>
      </c>
      <c r="O37" s="19"/>
    </row>
    <row r="38" spans="1:15" ht="14.5">
      <c r="A38" s="6">
        <v>45758</v>
      </c>
      <c r="B38" s="7" t="s">
        <v>18</v>
      </c>
      <c r="C38" s="7">
        <v>1</v>
      </c>
      <c r="D38" s="8">
        <f>IFERROR(VLOOKUP($B38,Task!$B$1:$G$67,6,0)," ")</f>
        <v>4.8611111111111112E-2</v>
      </c>
      <c r="E38" s="9">
        <f t="shared" si="0"/>
        <v>4.8611111111111112E-2</v>
      </c>
      <c r="F38" s="10">
        <v>0.33827546296296296</v>
      </c>
      <c r="G38" s="10">
        <v>0.38221064814814815</v>
      </c>
      <c r="H38" s="8">
        <f t="shared" si="1"/>
        <v>4.3935185185185188E-2</v>
      </c>
      <c r="I38" s="11">
        <f t="shared" si="2"/>
        <v>0.38688657407407406</v>
      </c>
      <c r="J38" s="8"/>
      <c r="K38" s="8"/>
      <c r="L38" s="8"/>
      <c r="M38" s="12"/>
      <c r="N38" s="13">
        <f t="shared" si="3"/>
        <v>1.1064278187565859</v>
      </c>
      <c r="O38" s="19"/>
    </row>
    <row r="39" spans="1:15" ht="14.5">
      <c r="A39" s="6">
        <v>45758</v>
      </c>
      <c r="B39" s="7" t="s">
        <v>16</v>
      </c>
      <c r="C39" s="7">
        <v>19</v>
      </c>
      <c r="D39" s="8">
        <f>IFERROR(VLOOKUP($B39,Task!$B$1:$G$67,6,0)," ")</f>
        <v>5.5555555555555558E-3</v>
      </c>
      <c r="E39" s="9">
        <f t="shared" si="0"/>
        <v>0.10555555555555556</v>
      </c>
      <c r="F39" s="10">
        <f t="shared" ref="F39:F40" si="16">G38</f>
        <v>0.38221064814814815</v>
      </c>
      <c r="G39" s="10">
        <v>0.52688657407407402</v>
      </c>
      <c r="H39" s="8">
        <f t="shared" si="1"/>
        <v>9.4930555555555504E-2</v>
      </c>
      <c r="I39" s="11">
        <f t="shared" si="2"/>
        <v>0.53751157407407413</v>
      </c>
      <c r="J39" s="8"/>
      <c r="K39" s="8"/>
      <c r="L39" s="8">
        <v>4.974537037037037E-2</v>
      </c>
      <c r="M39" s="12"/>
      <c r="N39" s="13">
        <f t="shared" si="3"/>
        <v>1.1119239209948799</v>
      </c>
      <c r="O39" s="19"/>
    </row>
    <row r="40" spans="1:15" ht="14.5">
      <c r="A40" s="6">
        <v>45758</v>
      </c>
      <c r="B40" s="7" t="s">
        <v>19</v>
      </c>
      <c r="C40" s="7">
        <v>60</v>
      </c>
      <c r="D40" s="8">
        <f>IFERROR(VLOOKUP($B40,Task!$B$1:$G$67,6,0)," ")</f>
        <v>2.7777777777777779E-3</v>
      </c>
      <c r="E40" s="9">
        <f t="shared" si="0"/>
        <v>0.16666666666666669</v>
      </c>
      <c r="F40" s="10">
        <f t="shared" si="16"/>
        <v>0.52688657407407402</v>
      </c>
      <c r="G40" s="10">
        <v>0.71527777777777779</v>
      </c>
      <c r="H40" s="8">
        <f t="shared" si="1"/>
        <v>0.15222222222222229</v>
      </c>
      <c r="I40" s="11">
        <f t="shared" si="2"/>
        <v>0.72972222222222227</v>
      </c>
      <c r="J40" s="8"/>
      <c r="K40" s="8"/>
      <c r="L40" s="8">
        <v>3.6168981481481483E-2</v>
      </c>
      <c r="M40" s="12"/>
      <c r="N40" s="13">
        <f t="shared" si="3"/>
        <v>1.0948905109489047</v>
      </c>
      <c r="O40" s="4"/>
    </row>
    <row r="41" spans="1:15" ht="14.5">
      <c r="A41" s="6">
        <v>45761</v>
      </c>
      <c r="B41" s="7" t="s">
        <v>18</v>
      </c>
      <c r="C41" s="7">
        <v>2</v>
      </c>
      <c r="D41" s="8">
        <f>IFERROR(VLOOKUP($B41,Task!$B$1:$G$67,6,0)," ")</f>
        <v>4.8611111111111112E-2</v>
      </c>
      <c r="E41" s="9">
        <f t="shared" si="0"/>
        <v>9.7222222222222224E-2</v>
      </c>
      <c r="F41" s="10">
        <v>0.38716435185185183</v>
      </c>
      <c r="G41" s="10">
        <v>0.49593749999999998</v>
      </c>
      <c r="H41" s="8">
        <f t="shared" si="1"/>
        <v>8.9016203703703695E-2</v>
      </c>
      <c r="I41" s="11">
        <f t="shared" si="2"/>
        <v>0.50414351851851846</v>
      </c>
      <c r="J41" s="8"/>
      <c r="K41" s="8"/>
      <c r="L41" s="8">
        <v>1.9756944444444445E-2</v>
      </c>
      <c r="M41" s="12"/>
      <c r="N41" s="13">
        <f t="shared" si="3"/>
        <v>1.092185671564166</v>
      </c>
      <c r="O41" s="4"/>
    </row>
    <row r="42" spans="1:15" ht="14.5">
      <c r="A42" s="6">
        <v>45761</v>
      </c>
      <c r="B42" s="7" t="s">
        <v>16</v>
      </c>
      <c r="C42" s="7">
        <v>29</v>
      </c>
      <c r="D42" s="8">
        <f>IFERROR(VLOOKUP($B42,Task!$B$1:$G$67,6,0)," ")</f>
        <v>5.5555555555555558E-3</v>
      </c>
      <c r="E42" s="9">
        <f t="shared" si="0"/>
        <v>0.16111111111111112</v>
      </c>
      <c r="F42" s="10">
        <f t="shared" ref="F42:F43" si="17">G41</f>
        <v>0.49593749999999998</v>
      </c>
      <c r="G42" s="10">
        <v>0.66563657407407406</v>
      </c>
      <c r="H42" s="8">
        <f t="shared" si="1"/>
        <v>0.15395833333333334</v>
      </c>
      <c r="I42" s="11">
        <f t="shared" si="2"/>
        <v>0.67278935185185185</v>
      </c>
      <c r="J42" s="8"/>
      <c r="K42" s="8"/>
      <c r="L42" s="8">
        <v>1.5740740740740739E-2</v>
      </c>
      <c r="M42" s="12"/>
      <c r="N42" s="13">
        <f t="shared" si="3"/>
        <v>1.0464591790708164</v>
      </c>
      <c r="O42" s="4"/>
    </row>
    <row r="43" spans="1:15" ht="14.5">
      <c r="A43" s="6">
        <v>45761</v>
      </c>
      <c r="B43" s="7" t="s">
        <v>16</v>
      </c>
      <c r="C43" s="7">
        <v>16</v>
      </c>
      <c r="D43" s="8">
        <f>IFERROR(VLOOKUP($B43,Task!$B$1:$G$67,6,0)," ")</f>
        <v>5.5555555555555558E-3</v>
      </c>
      <c r="E43" s="9">
        <f t="shared" si="0"/>
        <v>8.8888888888888892E-2</v>
      </c>
      <c r="F43" s="10">
        <f t="shared" si="17"/>
        <v>0.66563657407407406</v>
      </c>
      <c r="G43" s="10">
        <v>0.77083333333333337</v>
      </c>
      <c r="H43" s="8">
        <f t="shared" si="1"/>
        <v>8.059027777777783E-2</v>
      </c>
      <c r="I43" s="11">
        <f t="shared" si="2"/>
        <v>0.77913194444444445</v>
      </c>
      <c r="J43" s="8"/>
      <c r="K43" s="8"/>
      <c r="L43" s="8">
        <v>2.4606481481481483E-2</v>
      </c>
      <c r="M43" s="12"/>
      <c r="N43" s="13">
        <f t="shared" si="3"/>
        <v>1.1029728565273582</v>
      </c>
      <c r="O43" s="19"/>
    </row>
    <row r="44" spans="1:15" ht="14.5">
      <c r="A44" s="6">
        <v>45762</v>
      </c>
      <c r="B44" s="7" t="s">
        <v>18</v>
      </c>
      <c r="C44" s="7">
        <v>3</v>
      </c>
      <c r="D44" s="8">
        <f>IFERROR(VLOOKUP($B44,Task!$B$1:$G$67,6,0)," ")</f>
        <v>4.8611111111111112E-2</v>
      </c>
      <c r="E44" s="9">
        <f t="shared" si="0"/>
        <v>0.14583333333333334</v>
      </c>
      <c r="F44" s="10">
        <v>0.375462962962963</v>
      </c>
      <c r="G44" s="10">
        <v>0.6184722222222222</v>
      </c>
      <c r="H44" s="8">
        <f t="shared" si="1"/>
        <v>0.13269675925925922</v>
      </c>
      <c r="I44" s="11">
        <f t="shared" si="2"/>
        <v>0.6316087962962964</v>
      </c>
      <c r="J44" s="8"/>
      <c r="K44" s="8"/>
      <c r="L44" s="8">
        <v>0.11031249999999999</v>
      </c>
      <c r="M44" s="12"/>
      <c r="N44" s="13">
        <f t="shared" si="3"/>
        <v>1.0989969472307024</v>
      </c>
      <c r="O44" s="19"/>
    </row>
    <row r="45" spans="1:15" ht="14.5">
      <c r="A45" s="6">
        <v>45762</v>
      </c>
      <c r="B45" s="7" t="s">
        <v>19</v>
      </c>
      <c r="C45" s="7">
        <v>40</v>
      </c>
      <c r="D45" s="8">
        <f>IFERROR(VLOOKUP($B45,Task!$B$1:$G$67,6,0)," ")</f>
        <v>2.7777777777777779E-3</v>
      </c>
      <c r="E45" s="9">
        <f t="shared" si="0"/>
        <v>0.11111111111111112</v>
      </c>
      <c r="F45" s="10">
        <f>G44</f>
        <v>0.6184722222222222</v>
      </c>
      <c r="G45" s="10">
        <v>0.75400475694914348</v>
      </c>
      <c r="H45" s="8">
        <f t="shared" si="1"/>
        <v>0.10299781250469905</v>
      </c>
      <c r="I45" s="11">
        <f t="shared" si="2"/>
        <v>0.76211805555555556</v>
      </c>
      <c r="J45" s="8"/>
      <c r="K45" s="8"/>
      <c r="L45" s="8">
        <v>3.2534722222222222E-2</v>
      </c>
      <c r="M45" s="12"/>
      <c r="N45" s="13">
        <f t="shared" si="3"/>
        <v>1.0787715623187815</v>
      </c>
      <c r="O45" s="19"/>
    </row>
    <row r="46" spans="1:15" ht="14.5">
      <c r="A46" s="6">
        <v>45763</v>
      </c>
      <c r="B46" s="7" t="s">
        <v>18</v>
      </c>
      <c r="C46" s="7">
        <v>2</v>
      </c>
      <c r="D46" s="8">
        <f>IFERROR(VLOOKUP($B46,Task!$B$1:$G$67,6,0)," ")</f>
        <v>4.8611111111111112E-2</v>
      </c>
      <c r="E46" s="9">
        <f t="shared" si="0"/>
        <v>9.7222222222222224E-2</v>
      </c>
      <c r="F46" s="10">
        <v>0.37942129629629628</v>
      </c>
      <c r="G46" s="8">
        <v>0.47240740740740739</v>
      </c>
      <c r="H46" s="8">
        <f t="shared" si="1"/>
        <v>8.850694444444443E-2</v>
      </c>
      <c r="I46" s="11">
        <f t="shared" si="2"/>
        <v>0.48112268518518514</v>
      </c>
      <c r="J46" s="8"/>
      <c r="K46" s="8"/>
      <c r="L46" s="8">
        <v>4.4791666666666669E-3</v>
      </c>
      <c r="M46" s="12"/>
      <c r="N46" s="13">
        <f t="shared" si="3"/>
        <v>1.098469988230679</v>
      </c>
      <c r="O46" s="4"/>
    </row>
    <row r="47" spans="1:15" ht="14.5">
      <c r="A47" s="6">
        <v>45763</v>
      </c>
      <c r="B47" s="7" t="s">
        <v>19</v>
      </c>
      <c r="C47" s="7">
        <v>13</v>
      </c>
      <c r="D47" s="8">
        <f>IFERROR(VLOOKUP($B47,Task!$B$1:$G$67,6,0)," ")</f>
        <v>2.7777777777777779E-3</v>
      </c>
      <c r="E47" s="9">
        <f t="shared" si="0"/>
        <v>3.6111111111111115E-2</v>
      </c>
      <c r="F47" s="10">
        <f t="shared" ref="F47:F49" si="18">G46</f>
        <v>0.47240740740740739</v>
      </c>
      <c r="G47" s="10">
        <v>0.55252314814814818</v>
      </c>
      <c r="H47" s="8">
        <f t="shared" si="1"/>
        <v>3.3946759259259308E-2</v>
      </c>
      <c r="I47" s="11">
        <f t="shared" si="2"/>
        <v>0.5546875</v>
      </c>
      <c r="J47" s="8"/>
      <c r="K47" s="8"/>
      <c r="L47" s="8">
        <v>4.6168981481481484E-2</v>
      </c>
      <c r="M47" s="18"/>
      <c r="N47" s="13">
        <f t="shared" si="3"/>
        <v>1.0637572451414918</v>
      </c>
      <c r="O47" s="19"/>
    </row>
    <row r="48" spans="1:15" ht="14.5">
      <c r="A48" s="6">
        <v>45763</v>
      </c>
      <c r="B48" s="7" t="s">
        <v>17</v>
      </c>
      <c r="C48" s="7">
        <v>1</v>
      </c>
      <c r="D48" s="8">
        <f>IFERROR(VLOOKUP($B48,Task!$B$1:$G$67,6,0)," ")</f>
        <v>2.0833333333333332E-2</v>
      </c>
      <c r="E48" s="9">
        <f t="shared" si="0"/>
        <v>2.0833333333333332E-2</v>
      </c>
      <c r="F48" s="10">
        <f t="shared" si="18"/>
        <v>0.55252314814814818</v>
      </c>
      <c r="G48" s="10">
        <v>0.61938657407407405</v>
      </c>
      <c r="H48" s="8">
        <f t="shared" si="1"/>
        <v>1.9178240740740683E-2</v>
      </c>
      <c r="I48" s="11">
        <f t="shared" si="2"/>
        <v>0.62104166666666671</v>
      </c>
      <c r="J48" s="8"/>
      <c r="K48" s="8"/>
      <c r="L48" s="8">
        <v>4.7685185185185185E-2</v>
      </c>
      <c r="M48" s="12"/>
      <c r="N48" s="13">
        <f t="shared" si="3"/>
        <v>1.0863005431502748</v>
      </c>
      <c r="O48" s="4"/>
    </row>
    <row r="49" spans="1:23" ht="14.5">
      <c r="A49" s="6">
        <v>45763</v>
      </c>
      <c r="B49" s="7" t="s">
        <v>19</v>
      </c>
      <c r="C49" s="7">
        <v>25</v>
      </c>
      <c r="D49" s="8">
        <f>IFERROR(VLOOKUP($B49,Task!$B$1:$G$67,6,0)," ")</f>
        <v>2.7777777777777779E-3</v>
      </c>
      <c r="E49" s="9">
        <f t="shared" si="0"/>
        <v>6.9444444444444448E-2</v>
      </c>
      <c r="F49" s="10">
        <f t="shared" si="18"/>
        <v>0.61938657407407405</v>
      </c>
      <c r="G49" s="10">
        <v>0.76041666666666663</v>
      </c>
      <c r="H49" s="8">
        <f t="shared" si="1"/>
        <v>6.0335648148148138E-2</v>
      </c>
      <c r="I49" s="11">
        <f t="shared" si="2"/>
        <v>0.76952546296296287</v>
      </c>
      <c r="J49" s="8"/>
      <c r="K49" s="8"/>
      <c r="L49" s="8">
        <v>8.0694444444444444E-2</v>
      </c>
      <c r="M49" s="18" t="s">
        <v>39</v>
      </c>
      <c r="N49" s="13">
        <f t="shared" si="3"/>
        <v>1.1509687320161137</v>
      </c>
      <c r="O49" s="19"/>
    </row>
    <row r="50" spans="1:23" ht="14.5">
      <c r="A50" s="6">
        <v>45764</v>
      </c>
      <c r="B50" s="7" t="s">
        <v>18</v>
      </c>
      <c r="C50" s="7">
        <v>1</v>
      </c>
      <c r="D50" s="8">
        <f>IFERROR(VLOOKUP($B50,Task!$B$1:$G$67,6,0)," ")</f>
        <v>4.8611111111111112E-2</v>
      </c>
      <c r="E50" s="9">
        <f t="shared" si="0"/>
        <v>4.8611111111111112E-2</v>
      </c>
      <c r="F50" s="10">
        <v>0.38266203703703705</v>
      </c>
      <c r="G50" s="10">
        <v>0.42700231481481482</v>
      </c>
      <c r="H50" s="8">
        <f t="shared" si="1"/>
        <v>4.434027777777777E-2</v>
      </c>
      <c r="I50" s="11">
        <f t="shared" si="2"/>
        <v>0.43127314814814816</v>
      </c>
      <c r="J50" s="8"/>
      <c r="K50" s="8"/>
      <c r="L50" s="8"/>
      <c r="M50" s="12"/>
      <c r="N50" s="13">
        <f t="shared" si="3"/>
        <v>1.0963194988253722</v>
      </c>
      <c r="O50" s="4"/>
    </row>
    <row r="51" spans="1:23" ht="14.5">
      <c r="A51" s="6">
        <v>45764</v>
      </c>
      <c r="B51" s="7" t="s">
        <v>16</v>
      </c>
      <c r="C51" s="7">
        <v>12</v>
      </c>
      <c r="D51" s="8">
        <f>IFERROR(VLOOKUP($B51,Task!$B$1:$G$67,6,0)," ")</f>
        <v>5.5555555555555558E-3</v>
      </c>
      <c r="E51" s="9">
        <f t="shared" si="0"/>
        <v>6.6666666666666666E-2</v>
      </c>
      <c r="F51" s="10">
        <f t="shared" ref="F51:F52" si="19">G50</f>
        <v>0.42700231481481482</v>
      </c>
      <c r="G51" s="10">
        <v>0.51163194444444449</v>
      </c>
      <c r="H51" s="8">
        <f t="shared" si="1"/>
        <v>6.1273148148148188E-2</v>
      </c>
      <c r="I51" s="11">
        <f t="shared" si="2"/>
        <v>0.51702546296296292</v>
      </c>
      <c r="J51" s="8"/>
      <c r="K51" s="8"/>
      <c r="L51" s="8">
        <v>2.3356481481481482E-2</v>
      </c>
      <c r="M51" s="12"/>
      <c r="N51" s="13">
        <f t="shared" si="3"/>
        <v>1.088024178315073</v>
      </c>
      <c r="O51" s="19"/>
    </row>
    <row r="52" spans="1:23" ht="14.5">
      <c r="A52" s="6">
        <v>45764</v>
      </c>
      <c r="B52" s="7" t="s">
        <v>34</v>
      </c>
      <c r="C52" s="7">
        <v>28</v>
      </c>
      <c r="D52" s="8">
        <f>IFERROR(VLOOKUP($B52,Task!$B$1:$G$67,6,0)," ")</f>
        <v>8.3333333333333332E-3</v>
      </c>
      <c r="E52" s="9">
        <f t="shared" si="0"/>
        <v>0.23333333333333334</v>
      </c>
      <c r="F52" s="10">
        <f t="shared" si="19"/>
        <v>0.51163194444444449</v>
      </c>
      <c r="G52" s="10">
        <v>0.76041666666666663</v>
      </c>
      <c r="H52" s="8">
        <f t="shared" si="1"/>
        <v>0.21187499999999992</v>
      </c>
      <c r="I52" s="11">
        <f t="shared" si="2"/>
        <v>0.78187499999999999</v>
      </c>
      <c r="J52" s="8"/>
      <c r="K52" s="8"/>
      <c r="L52" s="8">
        <v>3.6909722222222219E-2</v>
      </c>
      <c r="M52" s="12"/>
      <c r="N52" s="13">
        <f t="shared" si="3"/>
        <v>1.1012782694198628</v>
      </c>
      <c r="O52" s="19"/>
    </row>
    <row r="53" spans="1:23" ht="14.5">
      <c r="A53" s="6">
        <v>45769</v>
      </c>
      <c r="B53" s="7" t="s">
        <v>34</v>
      </c>
      <c r="C53" s="7">
        <v>14</v>
      </c>
      <c r="D53" s="8">
        <f>IFERROR(VLOOKUP($B53,Task!$B$1:$G$67,6,0)," ")</f>
        <v>8.3333333333333332E-3</v>
      </c>
      <c r="E53" s="9">
        <f t="shared" si="0"/>
        <v>0.11666666666666667</v>
      </c>
      <c r="F53" s="10">
        <v>0.34671296296296295</v>
      </c>
      <c r="G53" s="10">
        <v>0.48438657407407409</v>
      </c>
      <c r="H53" s="8">
        <f t="shared" si="1"/>
        <v>0.10557870370370374</v>
      </c>
      <c r="I53" s="11">
        <f t="shared" si="2"/>
        <v>0.49547453703703703</v>
      </c>
      <c r="J53" s="8"/>
      <c r="K53" s="8"/>
      <c r="L53" s="8">
        <v>3.2094907407407405E-2</v>
      </c>
      <c r="M53" s="12"/>
      <c r="N53" s="13">
        <f t="shared" si="3"/>
        <v>1.1050208287656211</v>
      </c>
      <c r="O53" s="19"/>
    </row>
    <row r="54" spans="1:23" ht="14.5">
      <c r="A54" s="6">
        <v>45769</v>
      </c>
      <c r="B54" s="7" t="s">
        <v>30</v>
      </c>
      <c r="C54" s="7">
        <v>2</v>
      </c>
      <c r="D54" s="8">
        <f>IFERROR(VLOOKUP($B54,Task!$B$1:$G$67,6,0)," ")</f>
        <v>4.8611111111111112E-2</v>
      </c>
      <c r="E54" s="9">
        <f t="shared" si="0"/>
        <v>9.7222222222222224E-2</v>
      </c>
      <c r="F54" s="10">
        <f t="shared" ref="F54:F55" si="20">G53</f>
        <v>0.48438657407407409</v>
      </c>
      <c r="G54" s="10">
        <v>0.57422453703703702</v>
      </c>
      <c r="H54" s="8">
        <f t="shared" si="1"/>
        <v>8.9837962962962925E-2</v>
      </c>
      <c r="I54" s="11">
        <f t="shared" si="2"/>
        <v>0.58160879629629636</v>
      </c>
      <c r="J54" s="8"/>
      <c r="K54" s="8"/>
      <c r="L54" s="8"/>
      <c r="M54" s="18"/>
      <c r="N54" s="13">
        <f t="shared" si="3"/>
        <v>1.0821953104869884</v>
      </c>
      <c r="O54" s="19"/>
    </row>
    <row r="55" spans="1:23" ht="14.5">
      <c r="A55" s="6">
        <v>45769</v>
      </c>
      <c r="B55" s="7" t="s">
        <v>34</v>
      </c>
      <c r="C55" s="7">
        <v>16</v>
      </c>
      <c r="D55" s="8">
        <f>IFERROR(VLOOKUP($B55,Task!$B$1:$G$67,6,0)," ")</f>
        <v>8.3333333333333332E-3</v>
      </c>
      <c r="E55" s="9">
        <f t="shared" si="0"/>
        <v>0.13333333333333333</v>
      </c>
      <c r="F55" s="10">
        <f t="shared" si="20"/>
        <v>0.57422453703703702</v>
      </c>
      <c r="G55" s="10">
        <v>0.72916666666666663</v>
      </c>
      <c r="H55" s="8">
        <f t="shared" si="1"/>
        <v>0.11848379629629625</v>
      </c>
      <c r="I55" s="11">
        <f t="shared" si="2"/>
        <v>0.74401620370370369</v>
      </c>
      <c r="J55" s="8"/>
      <c r="K55" s="8"/>
      <c r="L55" s="8">
        <v>3.6458333333333356E-2</v>
      </c>
      <c r="M55" s="18"/>
      <c r="N55" s="13">
        <f t="shared" si="3"/>
        <v>1.1253296864315721</v>
      </c>
      <c r="O55" s="19"/>
    </row>
    <row r="56" spans="1:23" ht="14.5">
      <c r="A56" s="6">
        <v>45769</v>
      </c>
      <c r="B56" s="7" t="s">
        <v>40</v>
      </c>
      <c r="C56" s="7">
        <v>1</v>
      </c>
      <c r="D56" s="8">
        <f>IFERROR(VLOOKUP($B56,Task!$B$1:$G$67,6,0)," ")</f>
        <v>1.0416666666666666E-2</v>
      </c>
      <c r="E56" s="9">
        <f t="shared" si="0"/>
        <v>1.0416666666666666E-2</v>
      </c>
      <c r="F56" s="10">
        <v>0.66545138888888888</v>
      </c>
      <c r="G56" s="10">
        <v>0.67508101851851854</v>
      </c>
      <c r="H56" s="8">
        <f t="shared" si="1"/>
        <v>9.6296296296296546E-3</v>
      </c>
      <c r="I56" s="11">
        <f t="shared" si="2"/>
        <v>0.67586805555555551</v>
      </c>
      <c r="J56" s="8"/>
      <c r="K56" s="8"/>
      <c r="L56" s="8"/>
      <c r="M56" s="18"/>
      <c r="N56" s="13">
        <f t="shared" si="3"/>
        <v>1.0817307692307663</v>
      </c>
      <c r="O56" s="19"/>
      <c r="P56" s="4"/>
    </row>
    <row r="57" spans="1:23" ht="14.5">
      <c r="A57" s="6">
        <v>45770</v>
      </c>
      <c r="B57" s="7" t="s">
        <v>26</v>
      </c>
      <c r="C57" s="7">
        <v>1</v>
      </c>
      <c r="D57" s="8">
        <f>IFERROR(VLOOKUP($B57,Task!$B$1:$G$67,6,0)," ")</f>
        <v>2.0833333333333332E-2</v>
      </c>
      <c r="E57" s="9">
        <f t="shared" si="0"/>
        <v>2.0833333333333332E-2</v>
      </c>
      <c r="F57" s="10">
        <v>0.33107638888888891</v>
      </c>
      <c r="G57" s="10">
        <v>0.35013888888888889</v>
      </c>
      <c r="H57" s="8">
        <f t="shared" si="1"/>
        <v>1.9062499999999982E-2</v>
      </c>
      <c r="I57" s="11">
        <f t="shared" si="2"/>
        <v>0.35190972222222222</v>
      </c>
      <c r="J57" s="8"/>
      <c r="K57" s="8"/>
      <c r="L57" s="8"/>
      <c r="M57" s="18"/>
      <c r="N57" s="13">
        <f t="shared" si="3"/>
        <v>1.092896174863389</v>
      </c>
      <c r="O57" s="19"/>
      <c r="P57" s="4"/>
    </row>
    <row r="58" spans="1:23" ht="14.5">
      <c r="A58" s="6">
        <v>45770</v>
      </c>
      <c r="B58" s="7" t="s">
        <v>34</v>
      </c>
      <c r="C58" s="7">
        <v>27</v>
      </c>
      <c r="D58" s="8">
        <f>IFERROR(VLOOKUP($B58,Task!$B$1:$G$67,6,0)," ")</f>
        <v>8.3333333333333332E-3</v>
      </c>
      <c r="E58" s="9">
        <f t="shared" si="0"/>
        <v>0.22500000000000001</v>
      </c>
      <c r="F58" s="10">
        <f t="shared" ref="F58:F60" si="21">G57</f>
        <v>0.35013888888888889</v>
      </c>
      <c r="G58" s="10">
        <v>0.60422453703703705</v>
      </c>
      <c r="H58" s="8">
        <f t="shared" si="1"/>
        <v>0.20324074074074075</v>
      </c>
      <c r="I58" s="11">
        <f t="shared" si="2"/>
        <v>0.6259837962962963</v>
      </c>
      <c r="J58" s="8"/>
      <c r="K58" s="8"/>
      <c r="L58" s="8">
        <v>5.0844907407407408E-2</v>
      </c>
      <c r="M58" s="12"/>
      <c r="N58" s="13">
        <f t="shared" si="3"/>
        <v>1.1070615034168565</v>
      </c>
      <c r="O58" s="19"/>
      <c r="P58" s="24"/>
    </row>
    <row r="59" spans="1:23" ht="14.5">
      <c r="A59" s="6">
        <v>45770</v>
      </c>
      <c r="B59" s="7" t="s">
        <v>30</v>
      </c>
      <c r="C59" s="7">
        <v>2</v>
      </c>
      <c r="D59" s="8">
        <f>IFERROR(VLOOKUP($B59,Task!$B$1:$G$67,6,0)," ")</f>
        <v>4.8611111111111112E-2</v>
      </c>
      <c r="E59" s="9">
        <f t="shared" si="0"/>
        <v>9.7222222222222224E-2</v>
      </c>
      <c r="F59" s="10">
        <f t="shared" si="21"/>
        <v>0.60422453703703705</v>
      </c>
      <c r="G59" s="10">
        <v>0.70974537037037033</v>
      </c>
      <c r="H59" s="8">
        <f t="shared" si="1"/>
        <v>9.005787037037033E-2</v>
      </c>
      <c r="I59" s="11">
        <f t="shared" si="2"/>
        <v>0.71690972222222227</v>
      </c>
      <c r="J59" s="8"/>
      <c r="K59" s="8"/>
      <c r="L59" s="8">
        <v>1.5462962962962963E-2</v>
      </c>
      <c r="M59" s="12"/>
      <c r="N59" s="13">
        <f t="shared" si="3"/>
        <v>1.0795527567150758</v>
      </c>
      <c r="O59" s="19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45770</v>
      </c>
      <c r="B60" s="7" t="s">
        <v>27</v>
      </c>
      <c r="C60" s="7">
        <v>10</v>
      </c>
      <c r="D60" s="8">
        <f>IFERROR(VLOOKUP($B60,Task!$B$1:$G$67,6,0)," ")</f>
        <v>1.3888888888888889E-3</v>
      </c>
      <c r="E60" s="9">
        <f t="shared" si="0"/>
        <v>1.388888888888889E-2</v>
      </c>
      <c r="F60" s="10">
        <f t="shared" si="21"/>
        <v>0.70974537037037033</v>
      </c>
      <c r="G60" s="10">
        <v>0.72025631944416091</v>
      </c>
      <c r="H60" s="8">
        <f t="shared" si="1"/>
        <v>1.0510949073790576E-2</v>
      </c>
      <c r="I60" s="11">
        <f t="shared" si="2"/>
        <v>0.72363425925925917</v>
      </c>
      <c r="J60" s="8"/>
      <c r="K60" s="8"/>
      <c r="L60" s="8"/>
      <c r="M60" s="12"/>
      <c r="N60" s="13">
        <f t="shared" si="3"/>
        <v>1.3213734355845492</v>
      </c>
      <c r="O60" s="19"/>
      <c r="Q60" s="4"/>
    </row>
    <row r="61" spans="1:23" ht="14.5">
      <c r="A61" s="6">
        <v>45771</v>
      </c>
      <c r="B61" s="7" t="s">
        <v>16</v>
      </c>
      <c r="C61" s="7">
        <v>24</v>
      </c>
      <c r="D61" s="8">
        <f>IFERROR(VLOOKUP($B61,Task!$B$1:$G$67,6,0)," ")</f>
        <v>5.5555555555555558E-3</v>
      </c>
      <c r="E61" s="9">
        <f t="shared" si="0"/>
        <v>0.13333333333333333</v>
      </c>
      <c r="F61" s="10">
        <v>0.34070601851851856</v>
      </c>
      <c r="G61" s="10">
        <v>0.49144675925925924</v>
      </c>
      <c r="H61" s="8">
        <f t="shared" si="1"/>
        <v>0.12195601851851845</v>
      </c>
      <c r="I61" s="11">
        <f t="shared" si="2"/>
        <v>0.50282407407407403</v>
      </c>
      <c r="J61" s="8"/>
      <c r="K61" s="8"/>
      <c r="L61" s="8">
        <v>2.8784722222222222E-2</v>
      </c>
      <c r="M61" s="12"/>
      <c r="N61" s="13">
        <f t="shared" si="3"/>
        <v>1.0932903103350107</v>
      </c>
      <c r="O61" s="19"/>
      <c r="Q61" s="4"/>
    </row>
    <row r="62" spans="1:23" ht="14.5">
      <c r="A62" s="6">
        <v>45771</v>
      </c>
      <c r="B62" s="7" t="s">
        <v>27</v>
      </c>
      <c r="C62" s="7">
        <v>140</v>
      </c>
      <c r="D62" s="8">
        <f>IFERROR(VLOOKUP($B62,Task!$B$1:$G$67,6,0)," ")</f>
        <v>1.3888888888888889E-3</v>
      </c>
      <c r="E62" s="9">
        <f t="shared" si="0"/>
        <v>0.19444444444444445</v>
      </c>
      <c r="F62" s="10">
        <f>G61</f>
        <v>0.49144675925925924</v>
      </c>
      <c r="G62" s="10">
        <v>0.72035659722314449</v>
      </c>
      <c r="H62" s="8">
        <f t="shared" si="1"/>
        <v>0.1751829861120334</v>
      </c>
      <c r="I62" s="11">
        <f t="shared" si="2"/>
        <v>0.7396180555555556</v>
      </c>
      <c r="J62" s="8"/>
      <c r="K62" s="8"/>
      <c r="L62" s="8">
        <v>5.3726851851851852E-2</v>
      </c>
      <c r="M62" s="18"/>
      <c r="N62" s="13">
        <f t="shared" si="3"/>
        <v>1.1099505080938221</v>
      </c>
      <c r="O62" s="19"/>
    </row>
    <row r="63" spans="1:23" ht="14.5">
      <c r="A63" s="6">
        <v>45772</v>
      </c>
      <c r="B63" s="7" t="s">
        <v>30</v>
      </c>
      <c r="C63" s="7">
        <v>2</v>
      </c>
      <c r="D63" s="8">
        <f>IFERROR(VLOOKUP($B63,Task!$B$1:$G$67,6,0)," ")</f>
        <v>4.8611111111111112E-2</v>
      </c>
      <c r="E63" s="9">
        <f t="shared" si="0"/>
        <v>9.7222222222222224E-2</v>
      </c>
      <c r="F63" s="10">
        <v>0.33568287037037037</v>
      </c>
      <c r="G63" s="10">
        <v>0.45253472222222224</v>
      </c>
      <c r="H63" s="8">
        <f t="shared" si="1"/>
        <v>9.2708333333333351E-2</v>
      </c>
      <c r="I63" s="11">
        <f t="shared" si="2"/>
        <v>0.45704861111111111</v>
      </c>
      <c r="J63" s="8"/>
      <c r="K63" s="8"/>
      <c r="L63" s="8">
        <v>2.4143518518518519E-2</v>
      </c>
      <c r="M63" s="12"/>
      <c r="N63" s="13">
        <f t="shared" si="3"/>
        <v>1.0486891385767789</v>
      </c>
    </row>
    <row r="64" spans="1:23" ht="14.5">
      <c r="A64" s="6">
        <v>45772</v>
      </c>
      <c r="B64" s="7" t="s">
        <v>16</v>
      </c>
      <c r="C64" s="7">
        <v>22</v>
      </c>
      <c r="D64" s="8">
        <f>IFERROR(VLOOKUP($B64,Task!$B$1:$G$67,6,0)," ")</f>
        <v>5.5555555555555558E-3</v>
      </c>
      <c r="E64" s="9">
        <f t="shared" si="0"/>
        <v>0.12222222222222223</v>
      </c>
      <c r="F64" s="10">
        <f t="shared" ref="F64:F65" si="22">G63</f>
        <v>0.45253472222222224</v>
      </c>
      <c r="G64" s="10">
        <v>0.66771990740740739</v>
      </c>
      <c r="H64" s="8">
        <f t="shared" si="1"/>
        <v>0.10914351851851847</v>
      </c>
      <c r="I64" s="11">
        <f t="shared" si="2"/>
        <v>0.68079861111111117</v>
      </c>
      <c r="J64" s="8"/>
      <c r="K64" s="8"/>
      <c r="L64" s="8">
        <v>0.10604166666666667</v>
      </c>
      <c r="M64" s="12"/>
      <c r="N64" s="13">
        <f t="shared" si="3"/>
        <v>1.1198303287380706</v>
      </c>
      <c r="O64" s="4"/>
    </row>
    <row r="65" spans="1:15" ht="14.5">
      <c r="A65" s="6">
        <v>45772</v>
      </c>
      <c r="B65" s="7" t="s">
        <v>36</v>
      </c>
      <c r="C65" s="7">
        <v>85</v>
      </c>
      <c r="D65" s="8">
        <f>IFERROR(VLOOKUP($B65,Task!$B$1:$G$67,6,0)," ")</f>
        <v>6.9444444444444447E-4</v>
      </c>
      <c r="E65" s="9">
        <f t="shared" si="0"/>
        <v>5.9027777777777783E-2</v>
      </c>
      <c r="F65" s="10">
        <f t="shared" si="22"/>
        <v>0.66771990740740739</v>
      </c>
      <c r="G65" s="10">
        <v>0.72230627315002494</v>
      </c>
      <c r="H65" s="8">
        <f t="shared" si="1"/>
        <v>5.4586365742617549E-2</v>
      </c>
      <c r="I65" s="11">
        <f t="shared" si="2"/>
        <v>0.72674768518518518</v>
      </c>
      <c r="J65" s="8"/>
      <c r="K65" s="8"/>
      <c r="L65" s="8"/>
      <c r="M65" s="12"/>
      <c r="N65" s="13">
        <f t="shared" si="3"/>
        <v>1.081364860524002</v>
      </c>
      <c r="O65" s="19"/>
    </row>
    <row r="66" spans="1:15" ht="14.5">
      <c r="A66" s="6">
        <v>45775</v>
      </c>
      <c r="B66" s="7" t="s">
        <v>30</v>
      </c>
      <c r="C66" s="7">
        <v>1</v>
      </c>
      <c r="D66" s="8">
        <f>IFERROR(VLOOKUP($B66,Task!$B$1:$G$67,6,0)," ")</f>
        <v>4.8611111111111112E-2</v>
      </c>
      <c r="E66" s="9">
        <f t="shared" si="0"/>
        <v>4.8611111111111112E-2</v>
      </c>
      <c r="F66" s="10">
        <v>0.34332175925925923</v>
      </c>
      <c r="G66" s="10">
        <v>0.38858796296296294</v>
      </c>
      <c r="H66" s="8">
        <f t="shared" si="1"/>
        <v>4.5266203703703711E-2</v>
      </c>
      <c r="I66" s="11">
        <f t="shared" si="2"/>
        <v>0.39193287037037033</v>
      </c>
      <c r="J66" s="8"/>
      <c r="K66" s="8"/>
      <c r="L66" s="8"/>
      <c r="M66" s="12"/>
      <c r="N66" s="13">
        <f t="shared" si="3"/>
        <v>1.0738941447200203</v>
      </c>
      <c r="O66" s="19"/>
    </row>
    <row r="67" spans="1:15" ht="14.5">
      <c r="A67" s="6">
        <v>45775</v>
      </c>
      <c r="B67" s="7" t="s">
        <v>27</v>
      </c>
      <c r="C67" s="7">
        <v>50</v>
      </c>
      <c r="D67" s="8">
        <f>IFERROR(VLOOKUP($B67,Task!$B$1:$G$67,6,0)," ")</f>
        <v>1.3888888888888889E-3</v>
      </c>
      <c r="E67" s="9">
        <f t="shared" si="0"/>
        <v>6.9444444444444448E-2</v>
      </c>
      <c r="F67" s="10">
        <f t="shared" ref="F67:F70" si="23">G66</f>
        <v>0.38858796296296294</v>
      </c>
      <c r="G67" s="10">
        <v>0.47366898148148145</v>
      </c>
      <c r="H67" s="8">
        <f t="shared" si="1"/>
        <v>6.3854166666666656E-2</v>
      </c>
      <c r="I67" s="11">
        <f t="shared" si="2"/>
        <v>0.47925925925925922</v>
      </c>
      <c r="J67" s="8"/>
      <c r="K67" s="8"/>
      <c r="L67" s="8">
        <v>2.1226851851851851E-2</v>
      </c>
      <c r="M67" s="18"/>
      <c r="N67" s="13">
        <f t="shared" si="3"/>
        <v>1.0875475802066343</v>
      </c>
      <c r="O67" s="19"/>
    </row>
    <row r="68" spans="1:15" ht="14.5">
      <c r="A68" s="6">
        <v>45775</v>
      </c>
      <c r="B68" s="7" t="s">
        <v>18</v>
      </c>
      <c r="C68" s="7">
        <v>1</v>
      </c>
      <c r="D68" s="8">
        <f>IFERROR(VLOOKUP($B68,Task!$B$1:$G$67,6,0)," ")</f>
        <v>4.8611111111111112E-2</v>
      </c>
      <c r="E68" s="9">
        <f t="shared" si="0"/>
        <v>4.8611111111111112E-2</v>
      </c>
      <c r="F68" s="10">
        <f t="shared" si="23"/>
        <v>0.47366898148148145</v>
      </c>
      <c r="G68" s="10">
        <v>0.52798611111111116</v>
      </c>
      <c r="H68" s="8">
        <f t="shared" si="1"/>
        <v>4.4826388888888957E-2</v>
      </c>
      <c r="I68" s="11">
        <f t="shared" si="2"/>
        <v>0.5317708333333333</v>
      </c>
      <c r="J68" s="8"/>
      <c r="K68" s="8"/>
      <c r="L68" s="8">
        <v>9.4907407407407406E-3</v>
      </c>
      <c r="M68" s="18"/>
      <c r="N68" s="13">
        <f t="shared" si="3"/>
        <v>1.0844306738962028</v>
      </c>
      <c r="O68" s="19"/>
    </row>
    <row r="69" spans="1:15" ht="14.5">
      <c r="A69" s="6">
        <v>45775</v>
      </c>
      <c r="B69" s="7" t="s">
        <v>27</v>
      </c>
      <c r="C69" s="7">
        <v>47</v>
      </c>
      <c r="D69" s="8">
        <f>IFERROR(VLOOKUP($B69,Task!$B$1:$G$67,6,0)," ")</f>
        <v>1.3888888888888889E-3</v>
      </c>
      <c r="E69" s="9">
        <f t="shared" si="0"/>
        <v>6.5277777777777782E-2</v>
      </c>
      <c r="F69" s="10">
        <f t="shared" si="23"/>
        <v>0.52798611111111116</v>
      </c>
      <c r="G69" s="10">
        <v>0.58914351851851854</v>
      </c>
      <c r="H69" s="8">
        <f t="shared" si="1"/>
        <v>6.1157407407407383E-2</v>
      </c>
      <c r="I69" s="11">
        <f t="shared" si="2"/>
        <v>0.59326388888888892</v>
      </c>
      <c r="J69" s="8"/>
      <c r="K69" s="8"/>
      <c r="L69" s="8"/>
      <c r="M69" s="18" t="s">
        <v>41</v>
      </c>
      <c r="N69" s="13">
        <f t="shared" si="3"/>
        <v>1.067373202119607</v>
      </c>
      <c r="O69" s="19"/>
    </row>
    <row r="70" spans="1:15" ht="14.5">
      <c r="A70" s="6">
        <v>45775</v>
      </c>
      <c r="B70" s="7" t="s">
        <v>27</v>
      </c>
      <c r="C70" s="7">
        <v>85</v>
      </c>
      <c r="D70" s="8">
        <f>IFERROR(VLOOKUP($B70,Task!$B$1:$G$67,6,0)," ")</f>
        <v>1.3888888888888889E-3</v>
      </c>
      <c r="E70" s="9">
        <f t="shared" si="0"/>
        <v>0.11805555555555557</v>
      </c>
      <c r="F70" s="10">
        <f t="shared" si="23"/>
        <v>0.58914351851851854</v>
      </c>
      <c r="G70" s="10">
        <v>0.73027120370534249</v>
      </c>
      <c r="H70" s="8">
        <f t="shared" si="1"/>
        <v>0.10653277777941654</v>
      </c>
      <c r="I70" s="11">
        <f t="shared" si="2"/>
        <v>0.74179398148148157</v>
      </c>
      <c r="J70" s="8"/>
      <c r="K70" s="8"/>
      <c r="L70" s="8">
        <v>3.4594907407407408E-2</v>
      </c>
      <c r="M70" s="18"/>
      <c r="N70" s="13">
        <f t="shared" si="3"/>
        <v>1.1081618072514521</v>
      </c>
      <c r="O70" s="19"/>
    </row>
    <row r="71" spans="1:15" ht="14.5">
      <c r="A71" s="6">
        <v>45776</v>
      </c>
      <c r="B71" s="7" t="s">
        <v>18</v>
      </c>
      <c r="C71" s="7">
        <v>1</v>
      </c>
      <c r="D71" s="8">
        <f>IFERROR(VLOOKUP($B71,Task!$B$1:$G$67,6,0)," ")</f>
        <v>4.8611111111111112E-2</v>
      </c>
      <c r="E71" s="9">
        <f t="shared" si="0"/>
        <v>4.8611111111111112E-2</v>
      </c>
      <c r="F71" s="10">
        <v>0.34165509259259264</v>
      </c>
      <c r="G71" s="10">
        <v>0.38648148148148154</v>
      </c>
      <c r="H71" s="8">
        <f t="shared" si="1"/>
        <v>4.4826388888888902E-2</v>
      </c>
      <c r="I71" s="11">
        <f t="shared" si="2"/>
        <v>0.39026620370370374</v>
      </c>
      <c r="J71" s="8"/>
      <c r="K71" s="8"/>
      <c r="L71" s="8"/>
      <c r="M71" s="12"/>
      <c r="N71" s="13">
        <f t="shared" si="3"/>
        <v>1.0844306738962042</v>
      </c>
      <c r="O71" s="4"/>
    </row>
    <row r="72" spans="1:15" ht="14.5">
      <c r="A72" s="6">
        <v>45776</v>
      </c>
      <c r="B72" s="7" t="s">
        <v>16</v>
      </c>
      <c r="C72" s="7">
        <v>9</v>
      </c>
      <c r="D72" s="8">
        <f>IFERROR(VLOOKUP($B72,Task!$B$1:$G$67,6,0)," ")</f>
        <v>5.5555555555555558E-3</v>
      </c>
      <c r="E72" s="9">
        <f t="shared" si="0"/>
        <v>0.05</v>
      </c>
      <c r="F72" s="10">
        <v>0.3866087962962963</v>
      </c>
      <c r="G72" s="10">
        <v>0.47265046296296298</v>
      </c>
      <c r="H72" s="8">
        <f t="shared" si="1"/>
        <v>4.5532407407407424E-2</v>
      </c>
      <c r="I72" s="11">
        <f t="shared" si="2"/>
        <v>0.47711805555555553</v>
      </c>
      <c r="J72" s="8"/>
      <c r="K72" s="8"/>
      <c r="L72" s="8">
        <v>4.0509259259259259E-2</v>
      </c>
      <c r="M72" s="18"/>
      <c r="N72" s="13">
        <f t="shared" si="3"/>
        <v>1.0981189628876458</v>
      </c>
      <c r="O72" s="19"/>
    </row>
    <row r="73" spans="1:15" ht="14.5">
      <c r="A73" s="6">
        <v>45776</v>
      </c>
      <c r="B73" s="7" t="s">
        <v>19</v>
      </c>
      <c r="C73" s="7">
        <v>44</v>
      </c>
      <c r="D73" s="8">
        <f>IFERROR(VLOOKUP($B73,Task!$B$1:$G$67,6,0)," ")</f>
        <v>2.7777777777777779E-3</v>
      </c>
      <c r="E73" s="9">
        <f t="shared" si="0"/>
        <v>0.12222222222222223</v>
      </c>
      <c r="F73" s="10">
        <f t="shared" ref="F73:F76" si="24">G72</f>
        <v>0.47265046296296298</v>
      </c>
      <c r="G73" s="10">
        <v>0.58409722222222227</v>
      </c>
      <c r="H73" s="8">
        <f t="shared" si="1"/>
        <v>0.11144675925925929</v>
      </c>
      <c r="I73" s="11">
        <f t="shared" si="2"/>
        <v>0.59487268518518521</v>
      </c>
      <c r="J73" s="8"/>
      <c r="K73" s="8"/>
      <c r="L73" s="8"/>
      <c r="M73" s="18"/>
      <c r="N73" s="13">
        <f t="shared" si="3"/>
        <v>1.0966870910790318</v>
      </c>
      <c r="O73" s="19"/>
    </row>
    <row r="74" spans="1:15" ht="14.5">
      <c r="A74" s="6">
        <v>45776</v>
      </c>
      <c r="B74" s="7" t="s">
        <v>36</v>
      </c>
      <c r="C74" s="7">
        <v>49</v>
      </c>
      <c r="D74" s="8">
        <f>IFERROR(VLOOKUP($B74,Task!$B$1:$G$67,6,0)," ")</f>
        <v>6.9444444444444447E-4</v>
      </c>
      <c r="E74" s="9">
        <f t="shared" si="0"/>
        <v>3.4027777777777782E-2</v>
      </c>
      <c r="F74" s="10">
        <f t="shared" si="24"/>
        <v>0.58409722222222227</v>
      </c>
      <c r="G74" s="10">
        <v>0.6207407407407407</v>
      </c>
      <c r="H74" s="8">
        <f t="shared" si="1"/>
        <v>3.1076388888888806E-2</v>
      </c>
      <c r="I74" s="11">
        <f t="shared" si="2"/>
        <v>0.62369212962962961</v>
      </c>
      <c r="J74" s="8"/>
      <c r="K74" s="8"/>
      <c r="L74" s="8">
        <v>5.5671296296296293E-3</v>
      </c>
      <c r="M74" s="12"/>
      <c r="N74" s="13">
        <f t="shared" si="3"/>
        <v>1.0949720670391092</v>
      </c>
    </row>
    <row r="75" spans="1:15" ht="14.5">
      <c r="A75" s="6">
        <v>45776</v>
      </c>
      <c r="B75" s="7" t="s">
        <v>27</v>
      </c>
      <c r="C75" s="7">
        <v>42</v>
      </c>
      <c r="D75" s="8">
        <f>IFERROR(VLOOKUP($B75,Task!$B$1:$G$67,6,0)," ")</f>
        <v>1.3888888888888889E-3</v>
      </c>
      <c r="E75" s="9">
        <f t="shared" si="0"/>
        <v>5.8333333333333334E-2</v>
      </c>
      <c r="F75" s="10">
        <f t="shared" si="24"/>
        <v>0.6207407407407407</v>
      </c>
      <c r="G75" s="10">
        <v>0.6738182754634181</v>
      </c>
      <c r="H75" s="8">
        <f t="shared" si="1"/>
        <v>4.9940960648603323E-2</v>
      </c>
      <c r="I75" s="11">
        <f t="shared" si="2"/>
        <v>0.68221064814814814</v>
      </c>
      <c r="J75" s="8"/>
      <c r="K75" s="8"/>
      <c r="L75" s="8">
        <v>3.1365740740740742E-3</v>
      </c>
      <c r="M75" s="12"/>
      <c r="N75" s="13">
        <f t="shared" si="3"/>
        <v>1.1680458800899081</v>
      </c>
    </row>
    <row r="76" spans="1:15" ht="14.5">
      <c r="A76" s="6">
        <v>45776</v>
      </c>
      <c r="B76" s="7" t="s">
        <v>34</v>
      </c>
      <c r="C76" s="7">
        <v>1</v>
      </c>
      <c r="D76" s="8">
        <f>IFERROR(VLOOKUP($B76,Task!$B$1:$G$67,6,0)," ")</f>
        <v>8.3333333333333332E-3</v>
      </c>
      <c r="E76" s="9">
        <f t="shared" si="0"/>
        <v>8.3333333333333332E-3</v>
      </c>
      <c r="F76" s="10">
        <f t="shared" si="24"/>
        <v>0.6738182754634181</v>
      </c>
      <c r="G76" s="10">
        <v>0.72202546296296299</v>
      </c>
      <c r="H76" s="8">
        <f t="shared" si="1"/>
        <v>7.709502314359705E-3</v>
      </c>
      <c r="I76" s="11">
        <f t="shared" si="2"/>
        <v>0.72264929398193656</v>
      </c>
      <c r="J76" s="8"/>
      <c r="K76" s="8">
        <v>1.0347222222222223E-2</v>
      </c>
      <c r="L76" s="8">
        <v>4.0497685185185185E-2</v>
      </c>
      <c r="M76" s="12"/>
      <c r="N76" s="13">
        <f t="shared" si="3"/>
        <v>1.0809171582725492</v>
      </c>
      <c r="O76" s="19"/>
    </row>
    <row r="77" spans="1:15" ht="14.5">
      <c r="A77" s="6">
        <v>45777</v>
      </c>
      <c r="B77" s="7" t="s">
        <v>34</v>
      </c>
      <c r="C77" s="7">
        <v>6</v>
      </c>
      <c r="D77" s="8">
        <f>IFERROR(VLOOKUP($B77,Task!$B$1:$G$67,6,0)," ")</f>
        <v>8.3333333333333332E-3</v>
      </c>
      <c r="E77" s="9">
        <f t="shared" si="0"/>
        <v>0.05</v>
      </c>
      <c r="F77" s="10">
        <v>0.33843749999999995</v>
      </c>
      <c r="G77" s="10">
        <v>0.40524305555555556</v>
      </c>
      <c r="H77" s="8">
        <f t="shared" si="1"/>
        <v>4.5405092592592677E-2</v>
      </c>
      <c r="I77" s="11">
        <f t="shared" si="2"/>
        <v>0.40983796296296288</v>
      </c>
      <c r="J77" s="8"/>
      <c r="K77" s="8"/>
      <c r="L77" s="8">
        <v>2.1400462962962941E-2</v>
      </c>
      <c r="M77" s="12"/>
      <c r="N77" s="13">
        <f t="shared" si="3"/>
        <v>1.1011980627071098</v>
      </c>
      <c r="O77" s="19"/>
    </row>
    <row r="78" spans="1:15" ht="14.5">
      <c r="A78" s="6">
        <v>45777</v>
      </c>
      <c r="B78" s="7" t="s">
        <v>36</v>
      </c>
      <c r="C78" s="7">
        <v>34</v>
      </c>
      <c r="D78" s="8">
        <f>IFERROR(VLOOKUP($B78,Task!$B$1:$G$67,6,0)," ")</f>
        <v>6.9444444444444447E-4</v>
      </c>
      <c r="E78" s="9">
        <f t="shared" si="0"/>
        <v>2.361111111111111E-2</v>
      </c>
      <c r="F78" s="10">
        <v>0.38273148148148151</v>
      </c>
      <c r="G78" s="10">
        <v>0.40413194444444445</v>
      </c>
      <c r="H78" s="8">
        <f t="shared" si="1"/>
        <v>2.1400462962962941E-2</v>
      </c>
      <c r="I78" s="11">
        <f t="shared" si="2"/>
        <v>0.40634259259259264</v>
      </c>
      <c r="J78" s="8"/>
      <c r="K78" s="8"/>
      <c r="L78" s="8"/>
      <c r="M78" s="12"/>
      <c r="N78" s="13">
        <f t="shared" si="3"/>
        <v>1.1032990805841005</v>
      </c>
      <c r="O78" s="19" t="e">
        <f ca="1">AVERAGEIF(A:A,TODAY(),N:N)</f>
        <v>#DIV/0!</v>
      </c>
    </row>
    <row r="79" spans="1:15" ht="14.5">
      <c r="A79" s="6">
        <v>45777</v>
      </c>
      <c r="B79" s="7" t="s">
        <v>18</v>
      </c>
      <c r="C79" s="7">
        <v>1</v>
      </c>
      <c r="D79" s="8">
        <f>IFERROR(VLOOKUP($B79,Task!$B$1:$G$67,6,0)," ")</f>
        <v>4.8611111111111112E-2</v>
      </c>
      <c r="E79" s="9">
        <f t="shared" si="0"/>
        <v>4.8611111111111112E-2</v>
      </c>
      <c r="F79" s="10">
        <v>0.40534722222222225</v>
      </c>
      <c r="G79" s="10">
        <v>0.47908564814814814</v>
      </c>
      <c r="H79" s="8">
        <f t="shared" si="1"/>
        <v>4.4282407407407368E-2</v>
      </c>
      <c r="I79" s="11">
        <f t="shared" si="2"/>
        <v>0.48341435185185189</v>
      </c>
      <c r="J79" s="8"/>
      <c r="K79" s="8"/>
      <c r="L79" s="8">
        <v>2.9456018518518517E-2</v>
      </c>
      <c r="M79" s="12"/>
      <c r="N79" s="13">
        <f t="shared" si="3"/>
        <v>1.097752221641402</v>
      </c>
      <c r="O79" s="4"/>
    </row>
    <row r="80" spans="1:15" ht="14.5">
      <c r="A80" s="6">
        <v>45777</v>
      </c>
      <c r="B80" s="7" t="s">
        <v>34</v>
      </c>
      <c r="C80" s="7">
        <v>24</v>
      </c>
      <c r="D80" s="8">
        <f>IFERROR(VLOOKUP($B80,Task!$B$1:$G$67,6,0)," ")</f>
        <v>8.3333333333333332E-3</v>
      </c>
      <c r="E80" s="9">
        <f t="shared" si="0"/>
        <v>0.2</v>
      </c>
      <c r="F80" s="10">
        <f>G79</f>
        <v>0.47908564814814814</v>
      </c>
      <c r="G80" s="10">
        <v>0.71562704861571547</v>
      </c>
      <c r="H80" s="8">
        <f t="shared" si="1"/>
        <v>0.18280297454164141</v>
      </c>
      <c r="I80" s="11">
        <f t="shared" si="2"/>
        <v>0.73282407407407413</v>
      </c>
      <c r="J80" s="8"/>
      <c r="K80" s="8"/>
      <c r="L80" s="8">
        <v>5.3738425925925926E-2</v>
      </c>
      <c r="M80" s="12"/>
      <c r="N80" s="13">
        <f t="shared" si="3"/>
        <v>1.0940741008261943</v>
      </c>
      <c r="O80" s="19"/>
    </row>
    <row r="81" spans="1:16" ht="14.5">
      <c r="A81" s="6"/>
      <c r="B81" s="7"/>
      <c r="C81" s="7"/>
      <c r="D81" s="8" t="str">
        <f>IFERROR(VLOOKUP($B81,Task!$B$1:$G$67,6,0)," ")</f>
        <v xml:space="preserve"> </v>
      </c>
      <c r="E81" s="9" t="str">
        <f t="shared" si="0"/>
        <v xml:space="preserve"> </v>
      </c>
      <c r="F81" s="10"/>
      <c r="G81" s="10"/>
      <c r="H81" s="8" t="str">
        <f t="shared" si="1"/>
        <v/>
      </c>
      <c r="I81" s="11" t="str">
        <f t="shared" si="2"/>
        <v/>
      </c>
      <c r="J81" s="8"/>
      <c r="K81" s="8"/>
      <c r="L81" s="8"/>
      <c r="M81" s="12"/>
      <c r="N81" s="13" t="str">
        <f t="shared" si="3"/>
        <v xml:space="preserve"> </v>
      </c>
      <c r="O81" s="4"/>
    </row>
    <row r="82" spans="1:16" ht="14.5">
      <c r="A82" s="6"/>
      <c r="B82" s="7" t="s">
        <v>34</v>
      </c>
      <c r="C82" s="7">
        <v>11</v>
      </c>
      <c r="D82" s="8">
        <f>IFERROR(VLOOKUP($B82,Task!$B$1:$G$67,6,0)," ")</f>
        <v>8.3333333333333332E-3</v>
      </c>
      <c r="E82" s="9">
        <f t="shared" si="0"/>
        <v>9.166666666666666E-2</v>
      </c>
      <c r="F82" s="10"/>
      <c r="G82" s="10"/>
      <c r="H82" s="8" t="str">
        <f t="shared" si="1"/>
        <v/>
      </c>
      <c r="I82" s="11">
        <f t="shared" si="2"/>
        <v>9.166666666666666E-2</v>
      </c>
      <c r="J82" s="8"/>
      <c r="K82" s="8"/>
      <c r="L82" s="8"/>
      <c r="M82" s="12"/>
      <c r="N82" s="13" t="str">
        <f t="shared" si="3"/>
        <v xml:space="preserve"> </v>
      </c>
      <c r="P82" s="4"/>
    </row>
    <row r="83" spans="1:16" ht="14.5">
      <c r="A83" s="6"/>
      <c r="B83" s="7"/>
      <c r="C83" s="7"/>
      <c r="D83" s="8" t="str">
        <f>IFERROR(VLOOKUP($B83,Task!$B$1:$G$67,6,0)," ")</f>
        <v xml:space="preserve"> </v>
      </c>
      <c r="E83" s="9" t="str">
        <f t="shared" si="0"/>
        <v xml:space="preserve"> </v>
      </c>
      <c r="F83" s="10"/>
      <c r="G83" s="10"/>
      <c r="H83" s="8" t="str">
        <f t="shared" si="1"/>
        <v/>
      </c>
      <c r="I83" s="11" t="str">
        <f t="shared" si="2"/>
        <v/>
      </c>
      <c r="J83" s="8"/>
      <c r="K83" s="8"/>
      <c r="L83" s="8"/>
      <c r="M83" s="18"/>
      <c r="N83" s="13" t="str">
        <f t="shared" si="3"/>
        <v xml:space="preserve"> </v>
      </c>
      <c r="O83" s="19"/>
      <c r="P83" s="4"/>
    </row>
    <row r="84" spans="1:16" ht="14.5">
      <c r="A84" s="6"/>
      <c r="B84" s="7"/>
      <c r="C84" s="7"/>
      <c r="D84" s="8" t="str">
        <f>IFERROR(VLOOKUP($B84,Task!$B$1:$G$67,6,0)," ")</f>
        <v xml:space="preserve"> </v>
      </c>
      <c r="E84" s="9" t="str">
        <f t="shared" si="0"/>
        <v xml:space="preserve"> </v>
      </c>
      <c r="F84" s="10"/>
      <c r="G84" s="10"/>
      <c r="H84" s="8" t="str">
        <f t="shared" si="1"/>
        <v/>
      </c>
      <c r="I84" s="11" t="str">
        <f t="shared" si="2"/>
        <v/>
      </c>
      <c r="J84" s="8"/>
      <c r="K84" s="8"/>
      <c r="L84" s="8"/>
      <c r="M84" s="12"/>
      <c r="N84" s="13" t="str">
        <f t="shared" si="3"/>
        <v xml:space="preserve"> </v>
      </c>
      <c r="O84" s="19"/>
      <c r="P84" s="4"/>
    </row>
    <row r="85" spans="1:16" ht="14.5">
      <c r="A85" s="6"/>
      <c r="B85" s="7"/>
      <c r="C85" s="7"/>
      <c r="D85" s="8" t="str">
        <f>IFERROR(VLOOKUP($B85,Task!$B$1:$G$67,6,0)," ")</f>
        <v xml:space="preserve"> </v>
      </c>
      <c r="E85" s="9" t="str">
        <f t="shared" si="0"/>
        <v xml:space="preserve"> </v>
      </c>
      <c r="F85" s="10"/>
      <c r="G85" s="10"/>
      <c r="H85" s="8" t="str">
        <f t="shared" si="1"/>
        <v/>
      </c>
      <c r="I85" s="11" t="str">
        <f t="shared" si="2"/>
        <v/>
      </c>
      <c r="J85" s="8"/>
      <c r="K85" s="8"/>
      <c r="L85" s="8"/>
      <c r="M85" s="12"/>
      <c r="N85" s="13" t="str">
        <f t="shared" si="3"/>
        <v xml:space="preserve"> </v>
      </c>
      <c r="O85" s="4"/>
      <c r="P85" s="4"/>
    </row>
    <row r="86" spans="1:16" ht="14.5">
      <c r="A86" s="6"/>
      <c r="B86" s="7"/>
      <c r="C86" s="7"/>
      <c r="D86" s="8" t="str">
        <f>IFERROR(VLOOKUP($B86,Task!$B$1:$G$67,6,0)," ")</f>
        <v xml:space="preserve"> </v>
      </c>
      <c r="E86" s="9" t="str">
        <f t="shared" si="0"/>
        <v xml:space="preserve"> </v>
      </c>
      <c r="F86" s="10"/>
      <c r="G86" s="10"/>
      <c r="H86" s="8" t="str">
        <f t="shared" si="1"/>
        <v/>
      </c>
      <c r="I86" s="11" t="str">
        <f t="shared" si="2"/>
        <v/>
      </c>
      <c r="J86" s="8"/>
      <c r="K86" s="8"/>
      <c r="L86" s="8"/>
      <c r="M86" s="12"/>
      <c r="N86" s="13" t="str">
        <f t="shared" si="3"/>
        <v xml:space="preserve"> </v>
      </c>
      <c r="O86" s="4"/>
    </row>
    <row r="87" spans="1:16" ht="14.5">
      <c r="A87" s="6"/>
      <c r="B87" s="7"/>
      <c r="C87" s="7"/>
      <c r="D87" s="8" t="str">
        <f>IFERROR(VLOOKUP($B87,Task!$B$1:$G$67,6,0)," ")</f>
        <v xml:space="preserve"> </v>
      </c>
      <c r="E87" s="9" t="str">
        <f t="shared" si="0"/>
        <v xml:space="preserve"> </v>
      </c>
      <c r="F87" s="10"/>
      <c r="G87" s="10"/>
      <c r="H87" s="8" t="str">
        <f t="shared" si="1"/>
        <v/>
      </c>
      <c r="I87" s="11" t="str">
        <f t="shared" si="2"/>
        <v/>
      </c>
      <c r="J87" s="8"/>
      <c r="K87" s="8"/>
      <c r="L87" s="8"/>
      <c r="M87" s="12"/>
      <c r="N87" s="13" t="str">
        <f t="shared" si="3"/>
        <v xml:space="preserve"> </v>
      </c>
      <c r="O87" s="4"/>
    </row>
    <row r="88" spans="1:16" ht="14.5">
      <c r="A88" s="6"/>
      <c r="B88" s="7"/>
      <c r="C88" s="7"/>
      <c r="D88" s="8" t="str">
        <f>IFERROR(VLOOKUP($B88,Task!$B$1:$G$67,6,0)," ")</f>
        <v xml:space="preserve"> </v>
      </c>
      <c r="E88" s="9" t="str">
        <f t="shared" si="0"/>
        <v xml:space="preserve"> </v>
      </c>
      <c r="F88" s="10"/>
      <c r="G88" s="10"/>
      <c r="H88" s="8" t="str">
        <f t="shared" si="1"/>
        <v/>
      </c>
      <c r="I88" s="11" t="str">
        <f t="shared" si="2"/>
        <v/>
      </c>
      <c r="J88" s="8"/>
      <c r="K88" s="8"/>
      <c r="L88" s="8"/>
      <c r="M88" s="12"/>
      <c r="N88" s="13" t="str">
        <f t="shared" si="3"/>
        <v xml:space="preserve"> </v>
      </c>
      <c r="O88" s="19"/>
    </row>
    <row r="89" spans="1:16" ht="14.5">
      <c r="A89" s="6"/>
      <c r="B89" s="7"/>
      <c r="C89" s="7"/>
      <c r="D89" s="8" t="str">
        <f>IFERROR(VLOOKUP($B89,Task!$B$1:$G$67,6,0)," ")</f>
        <v xml:space="preserve"> </v>
      </c>
      <c r="E89" s="9" t="str">
        <f t="shared" si="0"/>
        <v xml:space="preserve"> </v>
      </c>
      <c r="F89" s="10"/>
      <c r="G89" s="10"/>
      <c r="H89" s="8" t="str">
        <f t="shared" si="1"/>
        <v/>
      </c>
      <c r="I89" s="11" t="str">
        <f t="shared" si="2"/>
        <v/>
      </c>
      <c r="J89" s="8"/>
      <c r="K89" s="8"/>
      <c r="L89" s="8"/>
      <c r="M89" s="12"/>
      <c r="N89" s="13" t="str">
        <f t="shared" si="3"/>
        <v xml:space="preserve"> </v>
      </c>
      <c r="O89" s="19"/>
      <c r="P89" s="4"/>
    </row>
    <row r="90" spans="1:16" ht="14.5">
      <c r="A90" s="6"/>
      <c r="B90" s="7"/>
      <c r="C90" s="7"/>
      <c r="D90" s="8" t="str">
        <f>IFERROR(VLOOKUP($B90,Task!$B$1:$G$67,6,0)," ")</f>
        <v xml:space="preserve"> </v>
      </c>
      <c r="E90" s="9" t="str">
        <f t="shared" si="0"/>
        <v xml:space="preserve"> </v>
      </c>
      <c r="F90" s="10"/>
      <c r="G90" s="10"/>
      <c r="H90" s="8" t="str">
        <f t="shared" si="1"/>
        <v/>
      </c>
      <c r="I90" s="11" t="str">
        <f t="shared" si="2"/>
        <v/>
      </c>
      <c r="J90" s="8"/>
      <c r="K90" s="8"/>
      <c r="L90" s="8"/>
      <c r="M90" s="12"/>
      <c r="N90" s="13" t="str">
        <f t="shared" si="3"/>
        <v xml:space="preserve"> </v>
      </c>
      <c r="O90" s="19"/>
    </row>
    <row r="91" spans="1:16" ht="14.5">
      <c r="A91" s="6"/>
      <c r="B91" s="7"/>
      <c r="C91" s="7"/>
      <c r="D91" s="8" t="str">
        <f>IFERROR(VLOOKUP($B91,Task!$B$1:$G$67,6,0)," ")</f>
        <v xml:space="preserve"> </v>
      </c>
      <c r="E91" s="9" t="str">
        <f t="shared" si="0"/>
        <v xml:space="preserve"> </v>
      </c>
      <c r="F91" s="10"/>
      <c r="G91" s="10"/>
      <c r="H91" s="8" t="str">
        <f t="shared" si="1"/>
        <v/>
      </c>
      <c r="I91" s="11" t="str">
        <f t="shared" si="2"/>
        <v/>
      </c>
      <c r="J91" s="8"/>
      <c r="K91" s="8"/>
      <c r="L91" s="8"/>
      <c r="M91" s="12"/>
      <c r="N91" s="13" t="str">
        <f t="shared" si="3"/>
        <v xml:space="preserve"> </v>
      </c>
      <c r="O91" s="19"/>
    </row>
    <row r="92" spans="1:16" ht="14.5">
      <c r="A92" s="6"/>
      <c r="B92" s="7"/>
      <c r="C92" s="7"/>
      <c r="D92" s="8" t="str">
        <f>IFERROR(VLOOKUP($B92,Task!$B$1:$G$67,6,0)," ")</f>
        <v xml:space="preserve"> </v>
      </c>
      <c r="E92" s="9" t="str">
        <f t="shared" si="0"/>
        <v xml:space="preserve"> </v>
      </c>
      <c r="F92" s="10"/>
      <c r="G92" s="10"/>
      <c r="H92" s="8" t="str">
        <f t="shared" si="1"/>
        <v/>
      </c>
      <c r="I92" s="11" t="str">
        <f t="shared" si="2"/>
        <v/>
      </c>
      <c r="J92" s="8"/>
      <c r="K92" s="8"/>
      <c r="L92" s="8"/>
      <c r="M92" s="18"/>
      <c r="N92" s="13" t="str">
        <f t="shared" si="3"/>
        <v xml:space="preserve"> </v>
      </c>
      <c r="O92" s="19"/>
    </row>
    <row r="93" spans="1:16" ht="14.5">
      <c r="A93" s="6"/>
      <c r="B93" s="7"/>
      <c r="C93" s="7"/>
      <c r="D93" s="8" t="str">
        <f>IFERROR(VLOOKUP($B93,Task!$B$1:$G$67,6,0)," ")</f>
        <v xml:space="preserve"> </v>
      </c>
      <c r="E93" s="9" t="str">
        <f t="shared" si="0"/>
        <v xml:space="preserve"> </v>
      </c>
      <c r="F93" s="10"/>
      <c r="G93" s="10"/>
      <c r="H93" s="8" t="str">
        <f t="shared" si="1"/>
        <v/>
      </c>
      <c r="I93" s="11" t="str">
        <f t="shared" si="2"/>
        <v/>
      </c>
      <c r="J93" s="8"/>
      <c r="K93" s="8"/>
      <c r="L93" s="8"/>
      <c r="M93" s="12"/>
      <c r="N93" s="13" t="str">
        <f t="shared" si="3"/>
        <v xml:space="preserve"> </v>
      </c>
      <c r="O93" s="19"/>
    </row>
    <row r="94" spans="1:16" ht="14.5">
      <c r="A94" s="6"/>
      <c r="B94" s="7"/>
      <c r="C94" s="7"/>
      <c r="D94" s="8" t="str">
        <f>IFERROR(VLOOKUP($B94,Task!$B$1:$G$67,6,0)," ")</f>
        <v xml:space="preserve"> </v>
      </c>
      <c r="E94" s="9" t="str">
        <f t="shared" si="0"/>
        <v xml:space="preserve"> </v>
      </c>
      <c r="F94" s="10"/>
      <c r="G94" s="10"/>
      <c r="H94" s="8" t="str">
        <f t="shared" si="1"/>
        <v/>
      </c>
      <c r="I94" s="11" t="str">
        <f t="shared" si="2"/>
        <v/>
      </c>
      <c r="J94" s="8"/>
      <c r="K94" s="8"/>
      <c r="L94" s="8"/>
      <c r="M94" s="12"/>
      <c r="N94" s="13" t="str">
        <f t="shared" si="3"/>
        <v xml:space="preserve"> </v>
      </c>
    </row>
    <row r="95" spans="1:16" ht="14.5">
      <c r="A95" s="6"/>
      <c r="B95" s="7"/>
      <c r="C95" s="7"/>
      <c r="D95" s="8" t="str">
        <f>IFERROR(VLOOKUP($B95,Task!$B$1:$G$67,6,0)," ")</f>
        <v xml:space="preserve"> </v>
      </c>
      <c r="E95" s="9" t="str">
        <f t="shared" si="0"/>
        <v xml:space="preserve"> </v>
      </c>
      <c r="F95" s="10"/>
      <c r="G95" s="10"/>
      <c r="H95" s="8" t="str">
        <f t="shared" si="1"/>
        <v/>
      </c>
      <c r="I95" s="11" t="str">
        <f t="shared" si="2"/>
        <v/>
      </c>
      <c r="J95" s="8"/>
      <c r="K95" s="8"/>
      <c r="L95" s="8"/>
      <c r="M95" s="12"/>
      <c r="N95" s="13" t="str">
        <f t="shared" si="3"/>
        <v xml:space="preserve"> </v>
      </c>
      <c r="O95" s="4"/>
    </row>
    <row r="96" spans="1:16" ht="14.5">
      <c r="A96" s="6"/>
      <c r="B96" s="7"/>
      <c r="C96" s="7"/>
      <c r="D96" s="8" t="str">
        <f>IFERROR(VLOOKUP($B96,Task!$B$1:$G$67,6,0)," ")</f>
        <v xml:space="preserve"> </v>
      </c>
      <c r="E96" s="9" t="str">
        <f t="shared" si="0"/>
        <v xml:space="preserve"> </v>
      </c>
      <c r="F96" s="10"/>
      <c r="G96" s="10"/>
      <c r="H96" s="8" t="str">
        <f t="shared" si="1"/>
        <v/>
      </c>
      <c r="I96" s="11" t="str">
        <f t="shared" si="2"/>
        <v/>
      </c>
      <c r="J96" s="8"/>
      <c r="K96" s="8"/>
      <c r="L96" s="8"/>
      <c r="M96" s="12"/>
      <c r="N96" s="13" t="str">
        <f t="shared" si="3"/>
        <v xml:space="preserve"> </v>
      </c>
      <c r="O96" s="19"/>
    </row>
    <row r="97" spans="1:15" ht="14.5">
      <c r="A97" s="6"/>
      <c r="B97" s="7"/>
      <c r="C97" s="7"/>
      <c r="D97" s="8" t="str">
        <f>IFERROR(VLOOKUP($B97,Task!$B$1:$G$67,6,0)," ")</f>
        <v xml:space="preserve"> </v>
      </c>
      <c r="E97" s="9" t="str">
        <f t="shared" si="0"/>
        <v xml:space="preserve"> </v>
      </c>
      <c r="F97" s="10"/>
      <c r="G97" s="10"/>
      <c r="H97" s="8" t="str">
        <f t="shared" si="1"/>
        <v/>
      </c>
      <c r="I97" s="11" t="str">
        <f t="shared" si="2"/>
        <v/>
      </c>
      <c r="J97" s="8"/>
      <c r="K97" s="8"/>
      <c r="L97" s="8"/>
      <c r="M97" s="12"/>
      <c r="N97" s="13" t="str">
        <f t="shared" si="3"/>
        <v xml:space="preserve"> </v>
      </c>
      <c r="O97" s="19"/>
    </row>
    <row r="98" spans="1:15" ht="14.5">
      <c r="A98" s="6"/>
      <c r="B98" s="7"/>
      <c r="C98" s="7"/>
      <c r="D98" s="8" t="str">
        <f>IFERROR(VLOOKUP($B98,Task!$B$1:$G$67,6,0)," ")</f>
        <v xml:space="preserve"> </v>
      </c>
      <c r="E98" s="9" t="str">
        <f t="shared" si="0"/>
        <v xml:space="preserve"> </v>
      </c>
      <c r="F98" s="10"/>
      <c r="G98" s="10"/>
      <c r="H98" s="8" t="str">
        <f t="shared" si="1"/>
        <v/>
      </c>
      <c r="I98" s="11" t="str">
        <f t="shared" si="2"/>
        <v/>
      </c>
      <c r="J98" s="8"/>
      <c r="K98" s="8"/>
      <c r="L98" s="8"/>
      <c r="M98" s="18"/>
      <c r="N98" s="13" t="str">
        <f t="shared" si="3"/>
        <v xml:space="preserve"> </v>
      </c>
    </row>
    <row r="99" spans="1:15" ht="14.5">
      <c r="A99" s="6"/>
      <c r="B99" s="7"/>
      <c r="C99" s="7"/>
      <c r="D99" s="8" t="str">
        <f>IFERROR(VLOOKUP($B99,Task!$B$1:$G$67,6,0)," ")</f>
        <v xml:space="preserve"> </v>
      </c>
      <c r="E99" s="9" t="str">
        <f t="shared" si="0"/>
        <v xml:space="preserve"> </v>
      </c>
      <c r="F99" s="10"/>
      <c r="G99" s="10"/>
      <c r="H99" s="8" t="str">
        <f t="shared" si="1"/>
        <v/>
      </c>
      <c r="I99" s="11" t="str">
        <f t="shared" si="2"/>
        <v/>
      </c>
      <c r="J99" s="8"/>
      <c r="K99" s="8"/>
      <c r="L99" s="8"/>
      <c r="M99" s="18"/>
      <c r="N99" s="13" t="str">
        <f t="shared" si="3"/>
        <v xml:space="preserve"> </v>
      </c>
      <c r="O99" s="19"/>
    </row>
    <row r="100" spans="1:15" ht="14.5">
      <c r="A100" s="6"/>
      <c r="B100" s="7"/>
      <c r="C100" s="7"/>
      <c r="D100" s="8" t="str">
        <f>IFERROR(VLOOKUP($B100,Task!$B$1:$G$67,6,0)," ")</f>
        <v xml:space="preserve"> </v>
      </c>
      <c r="E100" s="9" t="str">
        <f t="shared" si="0"/>
        <v xml:space="preserve"> </v>
      </c>
      <c r="F100" s="10"/>
      <c r="G100" s="10"/>
      <c r="H100" s="8" t="str">
        <f t="shared" si="1"/>
        <v/>
      </c>
      <c r="I100" s="11" t="str">
        <f t="shared" si="2"/>
        <v/>
      </c>
      <c r="J100" s="8"/>
      <c r="K100" s="8"/>
      <c r="L100" s="8"/>
      <c r="M100" s="18"/>
      <c r="N100" s="13" t="str">
        <f t="shared" si="3"/>
        <v xml:space="preserve"> </v>
      </c>
      <c r="O100" s="19"/>
    </row>
    <row r="101" spans="1:15" ht="14.5">
      <c r="A101" s="6"/>
      <c r="B101" s="7"/>
      <c r="C101" s="7"/>
      <c r="D101" s="8" t="str">
        <f>IFERROR(VLOOKUP($B101,Task!$B$1:$G$67,6,0)," ")</f>
        <v xml:space="preserve"> </v>
      </c>
      <c r="E101" s="9" t="str">
        <f t="shared" si="0"/>
        <v xml:space="preserve"> </v>
      </c>
      <c r="F101" s="10"/>
      <c r="G101" s="10"/>
      <c r="H101" s="8" t="str">
        <f t="shared" si="1"/>
        <v/>
      </c>
      <c r="I101" s="11" t="str">
        <f t="shared" si="2"/>
        <v/>
      </c>
      <c r="J101" s="8"/>
      <c r="K101" s="8"/>
      <c r="L101" s="8"/>
      <c r="M101" s="12"/>
      <c r="N101" s="13" t="str">
        <f t="shared" si="3"/>
        <v xml:space="preserve"> </v>
      </c>
      <c r="O101" s="19"/>
    </row>
    <row r="102" spans="1:15" ht="14.5">
      <c r="A102" s="6"/>
      <c r="B102" s="7"/>
      <c r="C102" s="7"/>
      <c r="D102" s="8" t="str">
        <f>IFERROR(VLOOKUP($B102,Task!$B$1:$G$67,6,0)," ")</f>
        <v xml:space="preserve"> </v>
      </c>
      <c r="E102" s="9" t="str">
        <f t="shared" si="0"/>
        <v xml:space="preserve"> </v>
      </c>
      <c r="F102" s="10"/>
      <c r="G102" s="10"/>
      <c r="H102" s="8" t="str">
        <f t="shared" si="1"/>
        <v/>
      </c>
      <c r="I102" s="11" t="str">
        <f t="shared" si="2"/>
        <v/>
      </c>
      <c r="J102" s="8"/>
      <c r="K102" s="8"/>
      <c r="L102" s="8"/>
      <c r="M102" s="12"/>
      <c r="N102" s="13" t="str">
        <f t="shared" si="3"/>
        <v xml:space="preserve"> </v>
      </c>
    </row>
    <row r="103" spans="1:15" ht="14.5">
      <c r="A103" s="6"/>
      <c r="B103" s="7"/>
      <c r="C103" s="7"/>
      <c r="D103" s="8" t="str">
        <f>IFERROR(VLOOKUP($B103,Task!$B$1:$G$67,6,0)," ")</f>
        <v xml:space="preserve"> </v>
      </c>
      <c r="E103" s="9" t="str">
        <f t="shared" si="0"/>
        <v xml:space="preserve"> </v>
      </c>
      <c r="F103" s="10"/>
      <c r="G103" s="10"/>
      <c r="H103" s="8" t="str">
        <f t="shared" si="1"/>
        <v/>
      </c>
      <c r="I103" s="11" t="str">
        <f t="shared" si="2"/>
        <v/>
      </c>
      <c r="J103" s="8"/>
      <c r="K103" s="8"/>
      <c r="L103" s="8"/>
      <c r="M103" s="12"/>
      <c r="N103" s="13" t="str">
        <f t="shared" si="3"/>
        <v xml:space="preserve"> </v>
      </c>
      <c r="O103" s="19"/>
    </row>
    <row r="104" spans="1:15" ht="14.5">
      <c r="A104" s="6"/>
      <c r="B104" s="7"/>
      <c r="C104" s="7"/>
      <c r="D104" s="8" t="str">
        <f>IFERROR(VLOOKUP($B104,Task!$B$1:$G$67,6,0)," ")</f>
        <v xml:space="preserve"> </v>
      </c>
      <c r="E104" s="9" t="str">
        <f t="shared" si="0"/>
        <v xml:space="preserve"> </v>
      </c>
      <c r="F104" s="10"/>
      <c r="G104" s="10"/>
      <c r="H104" s="8" t="str">
        <f t="shared" si="1"/>
        <v/>
      </c>
      <c r="I104" s="11" t="str">
        <f t="shared" si="2"/>
        <v/>
      </c>
      <c r="J104" s="8"/>
      <c r="K104" s="8"/>
      <c r="L104" s="8"/>
      <c r="M104" s="12"/>
      <c r="N104" s="13" t="str">
        <f t="shared" si="3"/>
        <v xml:space="preserve"> </v>
      </c>
    </row>
    <row r="105" spans="1:15" ht="14.5">
      <c r="A105" s="6"/>
      <c r="B105" s="7"/>
      <c r="C105" s="7"/>
      <c r="D105" s="8" t="str">
        <f>IFERROR(VLOOKUP($B105,Task!$B$1:$G$67,6,0)," ")</f>
        <v xml:space="preserve"> </v>
      </c>
      <c r="E105" s="9" t="str">
        <f t="shared" si="0"/>
        <v xml:space="preserve"> </v>
      </c>
      <c r="F105" s="10"/>
      <c r="G105" s="10"/>
      <c r="H105" s="8" t="str">
        <f t="shared" si="1"/>
        <v/>
      </c>
      <c r="I105" s="11" t="str">
        <f t="shared" si="2"/>
        <v/>
      </c>
      <c r="J105" s="8"/>
      <c r="K105" s="8"/>
      <c r="L105" s="8"/>
      <c r="M105" s="12"/>
      <c r="N105" s="13" t="str">
        <f t="shared" si="3"/>
        <v xml:space="preserve"> </v>
      </c>
      <c r="O105" s="4"/>
    </row>
    <row r="106" spans="1:15" ht="14.5">
      <c r="A106" s="6"/>
      <c r="B106" s="7"/>
      <c r="C106" s="7"/>
      <c r="D106" s="8" t="str">
        <f>IFERROR(VLOOKUP($B106,Task!$B$1:$G$67,6,0)," ")</f>
        <v xml:space="preserve"> </v>
      </c>
      <c r="E106" s="9" t="str">
        <f t="shared" si="0"/>
        <v xml:space="preserve"> </v>
      </c>
      <c r="F106" s="10"/>
      <c r="G106" s="10"/>
      <c r="H106" s="8" t="str">
        <f t="shared" si="1"/>
        <v/>
      </c>
      <c r="I106" s="11" t="str">
        <f t="shared" si="2"/>
        <v/>
      </c>
      <c r="J106" s="8"/>
      <c r="K106" s="8"/>
      <c r="L106" s="8"/>
      <c r="M106" s="12"/>
      <c r="N106" s="13" t="str">
        <f t="shared" si="3"/>
        <v xml:space="preserve"> </v>
      </c>
      <c r="O106" s="19"/>
    </row>
    <row r="107" spans="1:15" ht="14.5">
      <c r="A107" s="6"/>
      <c r="B107" s="7"/>
      <c r="C107" s="7"/>
      <c r="D107" s="8" t="str">
        <f>IFERROR(VLOOKUP($B107,Task!$B$1:$G$67,6,0)," ")</f>
        <v xml:space="preserve"> </v>
      </c>
      <c r="E107" s="9" t="str">
        <f t="shared" si="0"/>
        <v xml:space="preserve"> </v>
      </c>
      <c r="F107" s="10"/>
      <c r="G107" s="10"/>
      <c r="H107" s="8" t="str">
        <f t="shared" si="1"/>
        <v/>
      </c>
      <c r="I107" s="11" t="str">
        <f t="shared" si="2"/>
        <v/>
      </c>
      <c r="J107" s="8"/>
      <c r="K107" s="8"/>
      <c r="L107" s="8"/>
      <c r="M107" s="12"/>
      <c r="N107" s="13" t="str">
        <f t="shared" si="3"/>
        <v xml:space="preserve"> </v>
      </c>
    </row>
    <row r="108" spans="1:15" ht="14.5">
      <c r="A108" s="6"/>
      <c r="B108" s="7"/>
      <c r="C108" s="7"/>
      <c r="D108" s="8" t="str">
        <f>IFERROR(VLOOKUP($B108,Task!$B$1:$G$67,6,0)," ")</f>
        <v xml:space="preserve"> </v>
      </c>
      <c r="E108" s="9" t="str">
        <f t="shared" si="0"/>
        <v xml:space="preserve"> </v>
      </c>
      <c r="F108" s="10"/>
      <c r="G108" s="8"/>
      <c r="H108" s="8" t="str">
        <f t="shared" si="1"/>
        <v/>
      </c>
      <c r="I108" s="11" t="str">
        <f t="shared" si="2"/>
        <v/>
      </c>
      <c r="J108" s="8"/>
      <c r="K108" s="8"/>
      <c r="L108" s="8"/>
      <c r="M108" s="12"/>
      <c r="N108" s="13" t="str">
        <f t="shared" si="3"/>
        <v xml:space="preserve"> </v>
      </c>
    </row>
    <row r="109" spans="1:15" ht="14.5">
      <c r="A109" s="6"/>
      <c r="B109" s="7"/>
      <c r="C109" s="7"/>
      <c r="D109" s="8" t="str">
        <f>IFERROR(VLOOKUP($B109,Task!$B$1:$G$67,6,0)," ")</f>
        <v xml:space="preserve"> </v>
      </c>
      <c r="E109" s="9" t="str">
        <f t="shared" si="0"/>
        <v xml:space="preserve"> </v>
      </c>
      <c r="F109" s="10"/>
      <c r="G109" s="10"/>
      <c r="H109" s="8" t="str">
        <f t="shared" si="1"/>
        <v/>
      </c>
      <c r="I109" s="11" t="str">
        <f t="shared" si="2"/>
        <v/>
      </c>
      <c r="J109" s="8"/>
      <c r="K109" s="8"/>
      <c r="L109" s="8"/>
      <c r="M109" s="12"/>
      <c r="N109" s="13" t="str">
        <f t="shared" si="3"/>
        <v xml:space="preserve"> </v>
      </c>
    </row>
    <row r="110" spans="1:15" ht="14.5">
      <c r="A110" s="6"/>
      <c r="B110" s="7"/>
      <c r="C110" s="7"/>
      <c r="D110" s="8" t="str">
        <f>IFERROR(VLOOKUP($B110,Task!$B$1:$G$67,6,0),"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5" ht="14.5">
      <c r="A111" s="6"/>
      <c r="B111" s="7"/>
      <c r="C111" s="7"/>
      <c r="D111" s="8" t="str">
        <f>IFERROR(VLOOKUP($B111,Task!$B$1:$G$67,6,0),"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5" ht="14.5">
      <c r="A112" s="6"/>
      <c r="B112" s="7"/>
      <c r="C112" s="7"/>
      <c r="D112" s="8" t="str">
        <f>IFERROR(VLOOKUP($B112,Task!$B$1:$G$67,6,0),"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2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IFERROR(VLOOKUP($B113,Task!$B$1:$G$67,6,0),"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IFERROR(VLOOKUP($B114,Task!$B$1:$G$67,6,0),"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IFERROR(VLOOKUP($B115,Task!$B$1:$G$67,6,0),"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2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IFERROR(VLOOKUP($B116,Task!$B$1:$G$67,6,0),"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 t="e">
        <f ca="1">AVERAGEIF(A:A,TODAY(),N:N)</f>
        <v>#DIV/0!</v>
      </c>
    </row>
    <row r="117" spans="1:15" ht="14.5">
      <c r="A117" s="6"/>
      <c r="B117" s="7"/>
      <c r="C117" s="7"/>
      <c r="D117" s="8" t="str">
        <f>IFERROR(VLOOKUP($B117,Task!$B$1:$G$67,6,0),"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IFERROR(VLOOKUP($B118,Task!$B$1:$G$67,6,0),"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IFERROR(VLOOKUP($B119,Task!$B$1:$G$67,6,0),"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IFERROR(VLOOKUP($B120,Task!$B$1:$G$67,6,0),"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IFERROR(VLOOKUP($B121,Task!$B$1:$G$67,6,0),"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IFERROR(VLOOKUP($B122,Task!$B$1:$G$67,6,0),"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IFERROR(VLOOKUP($B123,Task!$B$1:$G$67,6,0),"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IFERROR(VLOOKUP($B124,Task!$B$1:$G$67,6,0),"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IFERROR(VLOOKUP($B125,Task!$B$1:$G$67,6,0),"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IFERROR(VLOOKUP($B126,Task!$B$1:$G$67,6,0),"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IFERROR(VLOOKUP($B127,Task!$B$1:$G$67,6,0),"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IFERROR(VLOOKUP($B128,Task!$B$1:$G$67,6,0),"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IFERROR(VLOOKUP($B129,Task!$B$1:$G$67,6,0),"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IFERROR(VLOOKUP($B130,Task!$B$1:$G$67,6,0),"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IFERROR(VLOOKUP($B131,Task!$B$1:$G$67,6,0),"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IFERROR(VLOOKUP($B132,Task!$B$1:$G$67,6,0),"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IFERROR(VLOOKUP($B133,Task!$B$1:$G$67,6,0),"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IFERROR(VLOOKUP($B134,Task!$B$1:$G$67,6,0),"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IFERROR(VLOOKUP($B135,Task!$B$1:$G$67,6,0),"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IFERROR(VLOOKUP($B136,Task!$B$1:$G$67,6,0),"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IFERROR(VLOOKUP($B137,Task!$B$1:$G$67,6,0),"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IFERROR(VLOOKUP($B138,Task!$B$1:$G$67,6,0),"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IFERROR(VLOOKUP($B139,Task!$B$1:$G$67,6,0),"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IFERROR(VLOOKUP($B140,Task!$B$1:$G$67,6,0),"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IFERROR(VLOOKUP($B141,Task!$B$1:$G$67,6,0),"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IFERROR(VLOOKUP($B142,Task!$B$1:$G$67,6,0),"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IFERROR(VLOOKUP($B143,Task!$B$1:$G$67,6,0),"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IFERROR(VLOOKUP($B144,Task!$B$1:$G$67,6,0),"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IFERROR(VLOOKUP($B145,Task!$B$1:$G$67,6,0),"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IFERROR(VLOOKUP($B146,Task!$B$1:$G$67,6,0),"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IFERROR(VLOOKUP($B147,Task!$B$1:$G$67,6,0),"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IFERROR(VLOOKUP($B148,Task!$B$1:$G$67,6,0),"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IFERROR(VLOOKUP($B149,Task!$B$1:$G$67,6,0),"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IFERROR(VLOOKUP($B150,Task!$B$1:$G$67,6,0),"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IFERROR(VLOOKUP($B151,Task!$B$1:$G$67,6,0),"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IFERROR(VLOOKUP($B152,Task!$B$1:$G$67,6,0),"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IFERROR(VLOOKUP($B153,Task!$B$1:$G$67,6,0),"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IFERROR(VLOOKUP($B154,Task!$B$1:$G$67,6,0),"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IFERROR(VLOOKUP($B155,Task!$B$1:$G$67,6,0),"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IFERROR(VLOOKUP($B156,Task!$B$1:$G$67,6,0),"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IFERROR(VLOOKUP($B157,Task!$B$1:$G$67,6,0),"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IFERROR(VLOOKUP($B158,Task!$B$1:$G$67,6,0),"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IFERROR(VLOOKUP($B159,Task!$B$1:$G$67,6,0),"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IFERROR(VLOOKUP($B160,Task!$B$1:$G$67,6,0),"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IFERROR(VLOOKUP($B161,Task!$B$1:$G$67,6,0),"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IFERROR(VLOOKUP($B162,Task!$B$1:$G$67,6,0),"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IFERROR(VLOOKUP($B163,Task!$B$1:$G$67,6,0),"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IFERROR(VLOOKUP($B164,Task!$B$1:$G$67,6,0),"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IFERROR(VLOOKUP($B165,Task!$B$1:$G$67,6,0),"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IFERROR(VLOOKUP($B166,Task!$B$1:$G$67,6,0),"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IFERROR(VLOOKUP($B167,Task!$B$1:$G$67,6,0),"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IFERROR(VLOOKUP($B168,Task!$B$1:$G$67,6,0),"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IFERROR(VLOOKUP($B169,Task!$B$1:$G$67,6,0),"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IFERROR(VLOOKUP($B170,Task!$B$1:$G$67,6,0),"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IFERROR(VLOOKUP($B171,Task!$B$1:$G$67,6,0),"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IFERROR(VLOOKUP($B172,Task!$B$1:$G$67,6,0),"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IFERROR(VLOOKUP($B173,Task!$B$1:$G$67,6,0),"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IFERROR(VLOOKUP($B174,Task!$B$1:$G$67,6,0),"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IFERROR(VLOOKUP($B175,Task!$B$1:$G$67,6,0),"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IFERROR(VLOOKUP($B176,Task!$B$1:$G$67,6,0),"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IFERROR(VLOOKUP($B177,Task!$B$1:$G$67,6,0),"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IFERROR(VLOOKUP($B178,Task!$B$1:$G$67,6,0),"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IFERROR(VLOOKUP($B179,Task!$B$1:$G$67,6,0),"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IFERROR(VLOOKUP($B180,Task!$B$1:$G$67,6,0),"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IFERROR(VLOOKUP($B181,Task!$B$1:$G$67,6,0),"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IFERROR(VLOOKUP($B182,Task!$B$1:$G$67,6,0),"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IFERROR(VLOOKUP($B183,Task!$B$1:$G$67,6,0),"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IFERROR(VLOOKUP($B184,Task!$B$1:$G$67,6,0),"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IFERROR(VLOOKUP($B185,Task!$B$1:$G$67,6,0),"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IFERROR(VLOOKUP($B186,Task!$B$1:$G$67,6,0),"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IFERROR(VLOOKUP($B187,Task!$B$1:$G$67,6,0),"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IFERROR(VLOOKUP($B188,Task!$B$1:$G$67,6,0),"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IFERROR(VLOOKUP($B189,Task!$B$1:$G$67,6,0),"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IFERROR(VLOOKUP($B190,Task!$B$1:$G$67,6,0),"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IFERROR(VLOOKUP($B191,Task!$B$1:$G$67,6,0),"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IFERROR(VLOOKUP($B192,Task!$B$1:$G$67,6,0),"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IFERROR(VLOOKUP($B193,Task!$B$1:$G$67,6,0),"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IFERROR(VLOOKUP($B194,Task!$B$1:$G$67,6,0),"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IFERROR(VLOOKUP($B195,Task!$B$1:$G$67,6,0),"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IFERROR(VLOOKUP($B196,Task!$B$1:$G$67,6,0),"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IFERROR(VLOOKUP($B197,Task!$B$1:$G$67,6,0),"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IFERROR(VLOOKUP($B198,Task!$B$1:$G$67,6,0),"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IFERROR(VLOOKUP($B199,Task!$B$1:$G$67,6,0),"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IFERROR(VLOOKUP($B200,Task!$B$1:$G$67,6,0),"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IFERROR(VLOOKUP($B201,Task!$B$1:$G$67,6,0),"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IFERROR(VLOOKUP($B202,Task!$B$1:$G$67,6,0),"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IFERROR(VLOOKUP($B203,Task!$B$1:$G$67,6,0),"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IFERROR(VLOOKUP($B204,Task!$B$1:$G$67,6,0),"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IFERROR(VLOOKUP($B205,Task!$B$1:$G$67,6,0),"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IFERROR(VLOOKUP($B206,Task!$B$1:$G$67,6,0),"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/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1" xr:uid="{00000000-0009-0000-0000-000002000000}"/>
  <conditionalFormatting sqref="N2:N206">
    <cfRule type="expression" dxfId="12" priority="1">
      <formula>A2=TODAY()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Task!$B$2:$B$67</xm:f>
          </x14:formula1>
          <xm:sqref>B2:B206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9.90625" customWidth="1"/>
    <col min="2" max="2" width="38.4531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9.7265625" customWidth="1"/>
    <col min="8" max="8" width="11.269531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7" width="10.26953125" customWidth="1"/>
    <col min="18" max="18" width="8" customWidth="1"/>
    <col min="19" max="19" width="11.6328125" customWidth="1"/>
    <col min="20" max="20" width="14" customWidth="1"/>
    <col min="21" max="21" width="7.453125" customWidth="1"/>
    <col min="23" max="23" width="13.6328125" customWidth="1"/>
  </cols>
  <sheetData>
    <row r="1" spans="1:2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0.22916666666666666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2" ht="15.75" customHeight="1">
      <c r="A2" s="6">
        <v>45719</v>
      </c>
      <c r="B2" s="7" t="s">
        <v>43</v>
      </c>
      <c r="C2" s="7">
        <v>1</v>
      </c>
      <c r="D2" s="8">
        <f>IFERROR(VLOOKUP($B2,Task!$B$1:$G$65,6,0)," ")</f>
        <v>3.4722222222222224E-2</v>
      </c>
      <c r="E2" s="9">
        <f t="shared" ref="E2:E206" si="0">IFERROR(D2*C2," ")</f>
        <v>3.4722222222222224E-2</v>
      </c>
      <c r="F2" s="10">
        <v>0.31122685185185184</v>
      </c>
      <c r="G2" s="10">
        <v>0.34273148148148147</v>
      </c>
      <c r="H2" s="8">
        <f t="shared" ref="H2:H206" si="1">IF(G2="","", IF(L2=" ",IF(OR(F2=0,G2=0),"",G2-F2),((G2-F2)-L2)))</f>
        <v>3.1504629629629632E-2</v>
      </c>
      <c r="I2" s="11">
        <f t="shared" ref="I2:I206" si="2">IFERROR(IF(L2=" ",(F2+E2),(F2+E2+L2)),"")</f>
        <v>0.34594907407407405</v>
      </c>
      <c r="J2" s="8"/>
      <c r="K2" s="8"/>
      <c r="L2" s="8"/>
      <c r="M2" s="12"/>
      <c r="N2" s="13">
        <f t="shared" ref="N2:N206" si="3">IFERROR(E2/H2," ")</f>
        <v>1.1021307861866274</v>
      </c>
      <c r="O2" s="8">
        <v>0.63107638888888884</v>
      </c>
      <c r="P2" s="14">
        <f ca="1">IFERROR(__xludf.DUMMYFUNCTION("UNIQUE($A$2:$A$993)"),45719)</f>
        <v>45719</v>
      </c>
      <c r="Q2" s="15">
        <f ca="1">SUMIF($A:$A,$P2,$E:$E)</f>
        <v>0.33750000000000002</v>
      </c>
      <c r="R2" s="15">
        <f ca="1">SUMIF($A:$A,$P2,$H:$H)</f>
        <v>0.31276620370370378</v>
      </c>
      <c r="S2" s="15">
        <f t="shared" ref="S2:S18" ca="1" si="4">IF(OR(R2="",R2&gt;=$U$1)," ",$U$1-R2)</f>
        <v>2.0567129629629533E-2</v>
      </c>
      <c r="T2" s="16">
        <f t="shared" ref="T2:T23" ca="1" si="5">IFERROR(AVERAGEIF($A:$A,$P2,$N:$N)," ")</f>
        <v>1.0714575269706936</v>
      </c>
      <c r="U2" s="17">
        <f ca="1">S2-V2</f>
        <v>1.2615740740740644E-2</v>
      </c>
      <c r="V2" s="4">
        <v>7.951388888888888E-3</v>
      </c>
    </row>
    <row r="3" spans="1:22" ht="15.75" customHeight="1">
      <c r="A3" s="6">
        <v>45719</v>
      </c>
      <c r="B3" s="7" t="s">
        <v>42</v>
      </c>
      <c r="C3" s="7">
        <v>1</v>
      </c>
      <c r="D3" s="8">
        <f>IFERROR(VLOOKUP($B3,Task!$B$1:$G$65,6,0)," ")</f>
        <v>6.9444444444444441E-3</v>
      </c>
      <c r="E3" s="9">
        <f t="shared" si="0"/>
        <v>6.9444444444444441E-3</v>
      </c>
      <c r="F3" s="10">
        <f t="shared" ref="F3:F7" si="6">G2</f>
        <v>0.34273148148148147</v>
      </c>
      <c r="G3" s="8">
        <v>0.34956018518518517</v>
      </c>
      <c r="H3" s="8">
        <f t="shared" si="1"/>
        <v>6.8287037037036979E-3</v>
      </c>
      <c r="I3" s="11">
        <f t="shared" si="2"/>
        <v>0.34967592592592589</v>
      </c>
      <c r="J3" s="8"/>
      <c r="K3" s="8"/>
      <c r="L3" s="8"/>
      <c r="M3" s="12"/>
      <c r="N3" s="13">
        <f t="shared" si="3"/>
        <v>1.0169491525423737</v>
      </c>
      <c r="O3" s="8">
        <f>O2-O1</f>
        <v>0.40190972222222221</v>
      </c>
      <c r="P3" s="14">
        <f ca="1">IFERROR(__xludf.DUMMYFUNCTION("""COMPUTED_VALUE"""),45720)</f>
        <v>45720</v>
      </c>
      <c r="Q3" s="15">
        <f t="shared" ref="Q3:Q23" ca="1" si="7">IF(SUMIF($A:$A,$P3,$E:$E)=0,"",SUMIF($A:$A,$P3,$E:$E))</f>
        <v>0.36388888888888887</v>
      </c>
      <c r="R3" s="15">
        <f t="shared" ref="R3:R23" ca="1" si="8">IF(SUMIF($A:$A,$P3,$H:$H)=0,"",SUMIF($A:$A,$P3,$H:$H))</f>
        <v>0.34327896990641926</v>
      </c>
      <c r="S3" s="15" t="str">
        <f t="shared" ca="1" si="4"/>
        <v xml:space="preserve"> </v>
      </c>
      <c r="T3" s="16">
        <f t="shared" ca="1" si="5"/>
        <v>1.0714799174923411</v>
      </c>
    </row>
    <row r="4" spans="1:22" ht="15.75" customHeight="1">
      <c r="A4" s="6">
        <v>45719</v>
      </c>
      <c r="B4" s="7" t="s">
        <v>18</v>
      </c>
      <c r="C4" s="7">
        <v>1</v>
      </c>
      <c r="D4" s="8">
        <f>IFERROR(VLOOKUP($B4,Task!$B$1:$G$65,6,0)," ")</f>
        <v>4.8611111111111112E-2</v>
      </c>
      <c r="E4" s="9">
        <f t="shared" si="0"/>
        <v>4.8611111111111112E-2</v>
      </c>
      <c r="F4" s="10">
        <f t="shared" si="6"/>
        <v>0.34956018518518517</v>
      </c>
      <c r="G4" s="10">
        <v>0.39493055555555556</v>
      </c>
      <c r="H4" s="8">
        <f t="shared" si="1"/>
        <v>4.5370370370370394E-2</v>
      </c>
      <c r="I4" s="11">
        <f t="shared" si="2"/>
        <v>0.39817129629629627</v>
      </c>
      <c r="J4" s="8"/>
      <c r="K4" s="8"/>
      <c r="L4" s="8"/>
      <c r="M4" s="12"/>
      <c r="N4" s="13">
        <f t="shared" si="3"/>
        <v>1.071428571428571</v>
      </c>
      <c r="P4" s="14">
        <f ca="1">IFERROR(__xludf.DUMMYFUNCTION("""COMPUTED_VALUE"""),45721)</f>
        <v>45721</v>
      </c>
      <c r="Q4" s="15">
        <f t="shared" ca="1" si="7"/>
        <v>0.28194444444444444</v>
      </c>
      <c r="R4" s="15">
        <f t="shared" ca="1" si="8"/>
        <v>0.2709953703703703</v>
      </c>
      <c r="S4" s="15">
        <f t="shared" ca="1" si="4"/>
        <v>6.2337962962963012E-2</v>
      </c>
      <c r="T4" s="16">
        <f t="shared" ca="1" si="5"/>
        <v>1.0625164849650557</v>
      </c>
    </row>
    <row r="5" spans="1:22" ht="15.75" customHeight="1">
      <c r="A5" s="6">
        <v>45719</v>
      </c>
      <c r="B5" s="7" t="s">
        <v>27</v>
      </c>
      <c r="C5" s="7">
        <v>46</v>
      </c>
      <c r="D5" s="8">
        <f>IFERROR(VLOOKUP($B5,Task!$B$1:$G$65,6,0)," ")</f>
        <v>1.3888888888888889E-3</v>
      </c>
      <c r="E5" s="9">
        <f t="shared" si="0"/>
        <v>6.3888888888888898E-2</v>
      </c>
      <c r="F5" s="10">
        <f t="shared" si="6"/>
        <v>0.39493055555555556</v>
      </c>
      <c r="G5" s="10">
        <v>0.45894675925925926</v>
      </c>
      <c r="H5" s="8">
        <f t="shared" si="1"/>
        <v>5.8969907407407401E-2</v>
      </c>
      <c r="I5" s="11">
        <f t="shared" si="2"/>
        <v>0.46386574074074072</v>
      </c>
      <c r="J5" s="8"/>
      <c r="K5" s="8"/>
      <c r="L5" s="8">
        <v>5.0462962962962961E-3</v>
      </c>
      <c r="M5" s="18" t="s">
        <v>77</v>
      </c>
      <c r="N5" s="13">
        <f t="shared" si="3"/>
        <v>1.0834151128557412</v>
      </c>
      <c r="P5" s="14">
        <f ca="1">IFERROR(__xludf.DUMMYFUNCTION("""COMPUTED_VALUE"""),45722)</f>
        <v>45722</v>
      </c>
      <c r="Q5" s="15">
        <f t="shared" ca="1" si="7"/>
        <v>0.31736111111111115</v>
      </c>
      <c r="R5" s="15">
        <f t="shared" ca="1" si="8"/>
        <v>0.29451388888888885</v>
      </c>
      <c r="S5" s="15">
        <f t="shared" ca="1" si="4"/>
        <v>3.8819444444444462E-2</v>
      </c>
      <c r="T5" s="16">
        <f t="shared" ca="1" si="5"/>
        <v>1.071268726984469</v>
      </c>
    </row>
    <row r="6" spans="1:22" ht="15.75" customHeight="1">
      <c r="A6" s="6">
        <v>45719</v>
      </c>
      <c r="B6" s="7" t="s">
        <v>20</v>
      </c>
      <c r="C6" s="7">
        <v>48</v>
      </c>
      <c r="D6" s="8">
        <f>IFERROR(VLOOKUP($B6,Task!$B$1:$G$65,6,0)," ")</f>
        <v>2.0833333333333333E-3</v>
      </c>
      <c r="E6" s="9">
        <f t="shared" si="0"/>
        <v>0.1</v>
      </c>
      <c r="F6" s="10">
        <f t="shared" si="6"/>
        <v>0.45894675925925926</v>
      </c>
      <c r="G6" s="10">
        <v>0.59590277777777778</v>
      </c>
      <c r="H6" s="8">
        <f t="shared" si="1"/>
        <v>9.2384259259259249E-2</v>
      </c>
      <c r="I6" s="11">
        <f t="shared" si="2"/>
        <v>0.60351851851851857</v>
      </c>
      <c r="J6" s="8"/>
      <c r="K6" s="8"/>
      <c r="L6" s="8">
        <v>4.4571759259259262E-2</v>
      </c>
      <c r="M6" s="18"/>
      <c r="N6" s="13">
        <f t="shared" si="3"/>
        <v>1.0824354798296167</v>
      </c>
      <c r="O6" s="19"/>
      <c r="P6" s="14">
        <f ca="1">IFERROR(__xludf.DUMMYFUNCTION("""COMPUTED_VALUE"""),45726)</f>
        <v>45726</v>
      </c>
      <c r="Q6" s="15">
        <f t="shared" ca="1" si="7"/>
        <v>0.34375</v>
      </c>
      <c r="R6" s="15">
        <f t="shared" ca="1" si="8"/>
        <v>0.3239467592592592</v>
      </c>
      <c r="S6" s="15">
        <f t="shared" ca="1" si="4"/>
        <v>9.3865740740741166E-3</v>
      </c>
      <c r="T6" s="16">
        <f t="shared" ca="1" si="5"/>
        <v>1.0738970122126734</v>
      </c>
    </row>
    <row r="7" spans="1:22" ht="15.75" customHeight="1">
      <c r="A7" s="6">
        <v>45719</v>
      </c>
      <c r="B7" s="7" t="s">
        <v>19</v>
      </c>
      <c r="C7" s="7">
        <v>30</v>
      </c>
      <c r="D7" s="8">
        <f>IFERROR(VLOOKUP($B7,Task!$B$1:$G$65,6,0)," ")</f>
        <v>2.7777777777777779E-3</v>
      </c>
      <c r="E7" s="9">
        <f t="shared" si="0"/>
        <v>8.3333333333333343E-2</v>
      </c>
      <c r="F7" s="10">
        <f t="shared" si="6"/>
        <v>0.59590277777777778</v>
      </c>
      <c r="G7" s="10">
        <v>0.67361111111111116</v>
      </c>
      <c r="H7" s="8">
        <f t="shared" si="1"/>
        <v>7.7708333333333379E-2</v>
      </c>
      <c r="I7" s="11">
        <f t="shared" si="2"/>
        <v>0.67923611111111115</v>
      </c>
      <c r="J7" s="8"/>
      <c r="K7" s="8"/>
      <c r="L7" s="8"/>
      <c r="M7" s="18"/>
      <c r="N7" s="13">
        <f t="shared" si="3"/>
        <v>1.0723860589812326</v>
      </c>
      <c r="P7" s="14">
        <f ca="1">IFERROR(__xludf.DUMMYFUNCTION("""COMPUTED_VALUE"""),45727)</f>
        <v>45727</v>
      </c>
      <c r="Q7" s="15">
        <f t="shared" ca="1" si="7"/>
        <v>0.33472222222222225</v>
      </c>
      <c r="R7" s="15">
        <f t="shared" ca="1" si="8"/>
        <v>0.3119097222222223</v>
      </c>
      <c r="S7" s="15">
        <f t="shared" ca="1" si="4"/>
        <v>2.1423611111111018E-2</v>
      </c>
      <c r="T7" s="16">
        <f t="shared" ca="1" si="5"/>
        <v>1.0815909521612574</v>
      </c>
    </row>
    <row r="8" spans="1:22" ht="15.75" customHeight="1">
      <c r="A8" s="6">
        <v>45720</v>
      </c>
      <c r="B8" s="7" t="s">
        <v>27</v>
      </c>
      <c r="C8" s="7">
        <v>32</v>
      </c>
      <c r="D8" s="8">
        <f>IFERROR(VLOOKUP($B8,Task!$B$1:$G$65,6,0)," ")</f>
        <v>1.3888888888888889E-3</v>
      </c>
      <c r="E8" s="9">
        <f t="shared" si="0"/>
        <v>4.4444444444444446E-2</v>
      </c>
      <c r="F8" s="10">
        <v>0.27956018518518522</v>
      </c>
      <c r="G8" s="10">
        <v>0.32085648148148149</v>
      </c>
      <c r="H8" s="8">
        <f t="shared" si="1"/>
        <v>4.1296296296296275E-2</v>
      </c>
      <c r="I8" s="11">
        <f t="shared" si="2"/>
        <v>0.32400462962962967</v>
      </c>
      <c r="J8" s="8"/>
      <c r="K8" s="8"/>
      <c r="L8" s="8"/>
      <c r="M8" s="18" t="s">
        <v>78</v>
      </c>
      <c r="N8" s="13">
        <f t="shared" si="3"/>
        <v>1.0762331838565029</v>
      </c>
      <c r="O8" s="19"/>
      <c r="P8" s="14">
        <f ca="1">IFERROR(__xludf.DUMMYFUNCTION("""COMPUTED_VALUE"""),45728)</f>
        <v>45728</v>
      </c>
      <c r="Q8" s="15">
        <f t="shared" ca="1" si="7"/>
        <v>0.33194444444444443</v>
      </c>
      <c r="R8" s="15">
        <f t="shared" ca="1" si="8"/>
        <v>0.30501157407407403</v>
      </c>
      <c r="S8" s="15">
        <f t="shared" ca="1" si="4"/>
        <v>2.8321759259259283E-2</v>
      </c>
      <c r="T8" s="16">
        <f t="shared" ca="1" si="5"/>
        <v>1.0854446317948709</v>
      </c>
    </row>
    <row r="9" spans="1:22" ht="15.75" customHeight="1">
      <c r="A9" s="6">
        <v>45720</v>
      </c>
      <c r="B9" s="7" t="s">
        <v>19</v>
      </c>
      <c r="C9" s="7">
        <v>32</v>
      </c>
      <c r="D9" s="8">
        <f>IFERROR(VLOOKUP($B9,Task!$B$1:$G$65,6,0)," ")</f>
        <v>2.7777777777777779E-3</v>
      </c>
      <c r="E9" s="9">
        <f t="shared" si="0"/>
        <v>8.8888888888888892E-2</v>
      </c>
      <c r="F9" s="10">
        <f t="shared" ref="F9:F12" si="9">G8</f>
        <v>0.32085648148148149</v>
      </c>
      <c r="G9" s="8">
        <v>0.40363425925925928</v>
      </c>
      <c r="H9" s="8">
        <f t="shared" si="1"/>
        <v>8.2777777777777783E-2</v>
      </c>
      <c r="I9" s="11">
        <f t="shared" si="2"/>
        <v>0.4097453703703704</v>
      </c>
      <c r="J9" s="8"/>
      <c r="K9" s="8"/>
      <c r="L9" s="8"/>
      <c r="M9" s="18"/>
      <c r="N9" s="13">
        <f t="shared" si="3"/>
        <v>1.0738255033557047</v>
      </c>
      <c r="O9" s="4"/>
      <c r="P9" s="14">
        <f ca="1">IFERROR(__xludf.DUMMYFUNCTION("""COMPUTED_VALUE"""),45729)</f>
        <v>45729</v>
      </c>
      <c r="Q9" s="15">
        <f t="shared" ca="1" si="7"/>
        <v>0.33472222222222225</v>
      </c>
      <c r="R9" s="15">
        <f t="shared" ca="1" si="8"/>
        <v>0.30657407407407411</v>
      </c>
      <c r="S9" s="15">
        <f t="shared" ca="1" si="4"/>
        <v>2.6759259259259205E-2</v>
      </c>
      <c r="T9" s="16">
        <f t="shared" ca="1" si="5"/>
        <v>1.0910216925467773</v>
      </c>
    </row>
    <row r="10" spans="1:22" ht="15.75" customHeight="1">
      <c r="A10" s="6">
        <v>45720</v>
      </c>
      <c r="B10" s="7" t="s">
        <v>16</v>
      </c>
      <c r="C10" s="7">
        <v>12</v>
      </c>
      <c r="D10" s="8">
        <f>IFERROR(VLOOKUP($B10,Task!$B$1:$G$65,6,0)," ")</f>
        <v>5.5555555555555558E-3</v>
      </c>
      <c r="E10" s="9">
        <f t="shared" si="0"/>
        <v>6.6666666666666666E-2</v>
      </c>
      <c r="F10" s="10">
        <f t="shared" si="9"/>
        <v>0.40363425925925928</v>
      </c>
      <c r="G10" s="10">
        <v>0.46658564814814812</v>
      </c>
      <c r="H10" s="8">
        <f t="shared" si="1"/>
        <v>6.2951388888888848E-2</v>
      </c>
      <c r="I10" s="11">
        <f t="shared" si="2"/>
        <v>0.47030092592592593</v>
      </c>
      <c r="J10" s="8"/>
      <c r="K10" s="8"/>
      <c r="L10" s="8"/>
      <c r="M10" s="18"/>
      <c r="N10" s="13">
        <f t="shared" si="3"/>
        <v>1.0590182018753453</v>
      </c>
      <c r="O10" s="4"/>
      <c r="P10" s="14">
        <f ca="1">IFERROR(__xludf.DUMMYFUNCTION("""COMPUTED_VALUE"""),45730)</f>
        <v>45730</v>
      </c>
      <c r="Q10" s="15">
        <f t="shared" ca="1" si="7"/>
        <v>0.33333333333333331</v>
      </c>
      <c r="R10" s="15">
        <f t="shared" ca="1" si="8"/>
        <v>0.30512731481481481</v>
      </c>
      <c r="S10" s="15">
        <f t="shared" ca="1" si="4"/>
        <v>2.8206018518518505E-2</v>
      </c>
      <c r="T10" s="16">
        <f t="shared" ca="1" si="5"/>
        <v>1.0838206556321706</v>
      </c>
    </row>
    <row r="11" spans="1:22" ht="15.75" customHeight="1">
      <c r="A11" s="6">
        <v>45720</v>
      </c>
      <c r="B11" s="7" t="s">
        <v>36</v>
      </c>
      <c r="C11" s="7">
        <v>22</v>
      </c>
      <c r="D11" s="8">
        <f>IFERROR(VLOOKUP($B11,Task!$B$1:$G$65,6,0)," ")</f>
        <v>6.9444444444444447E-4</v>
      </c>
      <c r="E11" s="9">
        <f t="shared" si="0"/>
        <v>1.5277777777777779E-2</v>
      </c>
      <c r="F11" s="10">
        <f t="shared" si="9"/>
        <v>0.46658564814814812</v>
      </c>
      <c r="G11" s="10">
        <v>0.48054398148148147</v>
      </c>
      <c r="H11" s="8">
        <f t="shared" si="1"/>
        <v>1.395833333333335E-2</v>
      </c>
      <c r="I11" s="11">
        <f t="shared" si="2"/>
        <v>0.4818634259259259</v>
      </c>
      <c r="J11" s="8"/>
      <c r="K11" s="8"/>
      <c r="L11" s="8"/>
      <c r="M11" s="12"/>
      <c r="N11" s="13">
        <f t="shared" si="3"/>
        <v>1.0945273631840784</v>
      </c>
      <c r="O11" s="19"/>
      <c r="P11" s="20">
        <f ca="1">IFERROR(__xludf.DUMMYFUNCTION("""COMPUTED_VALUE"""),45733)</f>
        <v>45733</v>
      </c>
      <c r="Q11" s="15">
        <f t="shared" ca="1" si="7"/>
        <v>0.33888888888888891</v>
      </c>
      <c r="R11" s="15">
        <f t="shared" ca="1" si="8"/>
        <v>0.30549768518518522</v>
      </c>
      <c r="S11" s="15">
        <f t="shared" ca="1" si="4"/>
        <v>2.7835648148148096E-2</v>
      </c>
      <c r="T11" s="16">
        <f t="shared" ca="1" si="5"/>
        <v>1.0902257165421345</v>
      </c>
    </row>
    <row r="12" spans="1:22" ht="15.75" customHeight="1">
      <c r="A12" s="6">
        <v>45720</v>
      </c>
      <c r="B12" s="7" t="s">
        <v>19</v>
      </c>
      <c r="C12" s="7">
        <v>46</v>
      </c>
      <c r="D12" s="8">
        <f>IFERROR(VLOOKUP($B12,Task!$B$1:$G$65,6,0)," ")</f>
        <v>2.7777777777777779E-3</v>
      </c>
      <c r="E12" s="9">
        <f t="shared" si="0"/>
        <v>0.1277777777777778</v>
      </c>
      <c r="F12" s="10">
        <f t="shared" si="9"/>
        <v>0.48054398148148147</v>
      </c>
      <c r="G12" s="10">
        <v>0.67136924768419703</v>
      </c>
      <c r="H12" s="8">
        <f t="shared" si="1"/>
        <v>0.12314008101753038</v>
      </c>
      <c r="I12" s="11">
        <f t="shared" si="2"/>
        <v>0.67600694444444442</v>
      </c>
      <c r="J12" s="8"/>
      <c r="K12" s="8"/>
      <c r="L12" s="8">
        <v>6.7685185185185182E-2</v>
      </c>
      <c r="M12" s="18"/>
      <c r="N12" s="13">
        <f t="shared" si="3"/>
        <v>1.0376619596310579</v>
      </c>
      <c r="O12" s="19"/>
      <c r="P12" s="14">
        <f ca="1">IFERROR(__xludf.DUMMYFUNCTION("""COMPUTED_VALUE"""),45734)</f>
        <v>45734</v>
      </c>
      <c r="Q12" s="15">
        <f t="shared" ca="1" si="7"/>
        <v>0.33194444444444443</v>
      </c>
      <c r="R12" s="15">
        <f t="shared" ca="1" si="8"/>
        <v>0.29756944444444439</v>
      </c>
      <c r="S12" s="15">
        <f t="shared" ca="1" si="4"/>
        <v>3.5763888888888928E-2</v>
      </c>
      <c r="T12" s="16">
        <f t="shared" ca="1" si="5"/>
        <v>1.1130824619649609</v>
      </c>
    </row>
    <row r="13" spans="1:22" ht="15.75" customHeight="1">
      <c r="A13" s="6">
        <v>45720</v>
      </c>
      <c r="B13" s="7" t="s">
        <v>65</v>
      </c>
      <c r="C13" s="7">
        <v>1</v>
      </c>
      <c r="D13" s="8">
        <f>IFERROR(VLOOKUP($B13,Task!$B$1:$G$65,6,0)," ")</f>
        <v>2.0833333333333332E-2</v>
      </c>
      <c r="E13" s="9">
        <f t="shared" si="0"/>
        <v>2.0833333333333332E-2</v>
      </c>
      <c r="F13" s="10">
        <v>0.51003472222222224</v>
      </c>
      <c r="G13" s="10">
        <v>0.52918981481481486</v>
      </c>
      <c r="H13" s="8">
        <f t="shared" si="1"/>
        <v>1.9155092592592626E-2</v>
      </c>
      <c r="I13" s="11">
        <f t="shared" si="2"/>
        <v>0.53086805555555561</v>
      </c>
      <c r="J13" s="8"/>
      <c r="K13" s="8"/>
      <c r="L13" s="8"/>
      <c r="M13" s="12"/>
      <c r="N13" s="13">
        <f t="shared" si="3"/>
        <v>1.0876132930513576</v>
      </c>
      <c r="O13" s="19"/>
      <c r="P13" s="14">
        <f ca="1">IFERROR(__xludf.DUMMYFUNCTION("""COMPUTED_VALUE"""),45735)</f>
        <v>45735</v>
      </c>
      <c r="Q13" s="15">
        <f t="shared" ca="1" si="7"/>
        <v>0.32916666666666672</v>
      </c>
      <c r="R13" s="15">
        <f t="shared" ca="1" si="8"/>
        <v>0.2929166666666666</v>
      </c>
      <c r="S13" s="15">
        <f t="shared" ca="1" si="4"/>
        <v>4.0416666666666712E-2</v>
      </c>
      <c r="T13" s="16">
        <f t="shared" ca="1" si="5"/>
        <v>1.1243204322665237</v>
      </c>
    </row>
    <row r="14" spans="1:22" ht="15.75" customHeight="1">
      <c r="A14" s="6">
        <v>45721</v>
      </c>
      <c r="B14" s="7" t="s">
        <v>18</v>
      </c>
      <c r="C14" s="7">
        <v>1</v>
      </c>
      <c r="D14" s="8">
        <f>IFERROR(VLOOKUP($B14,Task!$B$1:$G$65,6,0)," ")</f>
        <v>4.8611111111111112E-2</v>
      </c>
      <c r="E14" s="9">
        <f t="shared" si="0"/>
        <v>4.8611111111111112E-2</v>
      </c>
      <c r="F14" s="10">
        <v>0.31210648148148157</v>
      </c>
      <c r="G14" s="10">
        <v>0.3565625</v>
      </c>
      <c r="H14" s="8">
        <f t="shared" si="1"/>
        <v>4.4456018518518436E-2</v>
      </c>
      <c r="I14" s="11">
        <f t="shared" si="2"/>
        <v>0.36071759259259267</v>
      </c>
      <c r="J14" s="8"/>
      <c r="K14" s="8"/>
      <c r="L14" s="8"/>
      <c r="M14" s="18"/>
      <c r="N14" s="13">
        <f t="shared" si="3"/>
        <v>1.0934652434261931</v>
      </c>
      <c r="O14" s="19"/>
      <c r="P14" s="20">
        <f ca="1">IFERROR(__xludf.DUMMYFUNCTION("""COMPUTED_VALUE"""),45736)</f>
        <v>45736</v>
      </c>
      <c r="Q14" s="15">
        <f t="shared" ca="1" si="7"/>
        <v>0.30694444444444446</v>
      </c>
      <c r="R14" s="15">
        <f t="shared" ca="1" si="8"/>
        <v>0.27071681713107626</v>
      </c>
      <c r="S14" s="15">
        <f t="shared" ca="1" si="4"/>
        <v>6.2616516202257055E-2</v>
      </c>
      <c r="T14" s="16">
        <f t="shared" ca="1" si="5"/>
        <v>1.1038927789675725</v>
      </c>
    </row>
    <row r="15" spans="1:22" ht="15.75" customHeight="1">
      <c r="A15" s="6">
        <v>45721</v>
      </c>
      <c r="B15" s="7" t="s">
        <v>79</v>
      </c>
      <c r="C15" s="7">
        <v>48</v>
      </c>
      <c r="D15" s="8">
        <f>IFERROR(VLOOKUP($B15,Task!$B$1:$G$65,6,0)," ")</f>
        <v>1.3888888888888889E-3</v>
      </c>
      <c r="E15" s="9">
        <f t="shared" si="0"/>
        <v>6.6666666666666666E-2</v>
      </c>
      <c r="F15" s="10">
        <f t="shared" ref="F15:F16" si="10">G14</f>
        <v>0.3565625</v>
      </c>
      <c r="G15" s="10">
        <v>0.41804398148148147</v>
      </c>
      <c r="H15" s="8">
        <f t="shared" si="1"/>
        <v>6.148148148148147E-2</v>
      </c>
      <c r="I15" s="11">
        <f t="shared" si="2"/>
        <v>0.42322916666666666</v>
      </c>
      <c r="J15" s="8"/>
      <c r="K15" s="8"/>
      <c r="L15" s="8"/>
      <c r="M15" s="18"/>
      <c r="N15" s="13">
        <f t="shared" si="3"/>
        <v>1.0843373493975905</v>
      </c>
      <c r="O15" s="4"/>
      <c r="P15" s="20">
        <f ca="1">IFERROR(__xludf.DUMMYFUNCTION("""COMPUTED_VALUE"""),45740)</f>
        <v>45740</v>
      </c>
      <c r="Q15" s="15">
        <f t="shared" ca="1" si="7"/>
        <v>0.31597222222222221</v>
      </c>
      <c r="R15" s="15">
        <f t="shared" ca="1" si="8"/>
        <v>0.28163689814966064</v>
      </c>
      <c r="S15" s="15">
        <f t="shared" ca="1" si="4"/>
        <v>5.1696435183672673E-2</v>
      </c>
      <c r="T15" s="16">
        <f t="shared" ca="1" si="5"/>
        <v>1.1088078770502243</v>
      </c>
    </row>
    <row r="16" spans="1:22" ht="15.75" customHeight="1">
      <c r="A16" s="6">
        <v>45721</v>
      </c>
      <c r="B16" s="7" t="s">
        <v>19</v>
      </c>
      <c r="C16" s="7">
        <v>60</v>
      </c>
      <c r="D16" s="8">
        <f>IFERROR(VLOOKUP($B16,Task!$B$1:$G$65,6,0)," ")</f>
        <v>2.7777777777777779E-3</v>
      </c>
      <c r="E16" s="9">
        <f t="shared" si="0"/>
        <v>0.16666666666666669</v>
      </c>
      <c r="F16" s="10">
        <f t="shared" si="10"/>
        <v>0.41804398148148147</v>
      </c>
      <c r="G16" s="10">
        <v>0.6875</v>
      </c>
      <c r="H16" s="8">
        <f t="shared" si="1"/>
        <v>0.1650578703703704</v>
      </c>
      <c r="I16" s="11">
        <f t="shared" si="2"/>
        <v>0.68910879629629629</v>
      </c>
      <c r="J16" s="8"/>
      <c r="K16" s="8"/>
      <c r="L16" s="8">
        <v>0.10439814814814814</v>
      </c>
      <c r="M16" s="18"/>
      <c r="N16" s="13">
        <f t="shared" si="3"/>
        <v>1.0097468620713834</v>
      </c>
      <c r="O16" s="4"/>
      <c r="P16" s="20">
        <f ca="1">IFERROR(__xludf.DUMMYFUNCTION("""COMPUTED_VALUE"""),45741)</f>
        <v>45741</v>
      </c>
      <c r="Q16" s="15">
        <f t="shared" ca="1" si="7"/>
        <v>0.35416666666666669</v>
      </c>
      <c r="R16" s="15">
        <f t="shared" ca="1" si="8"/>
        <v>0.31216435185185182</v>
      </c>
      <c r="S16" s="15">
        <f t="shared" ca="1" si="4"/>
        <v>2.1168981481481497E-2</v>
      </c>
      <c r="T16" s="16">
        <f t="shared" ca="1" si="5"/>
        <v>1.1284496987363173</v>
      </c>
    </row>
    <row r="17" spans="1:23" ht="15.75" customHeight="1">
      <c r="A17" s="6">
        <v>45722</v>
      </c>
      <c r="B17" s="7" t="s">
        <v>43</v>
      </c>
      <c r="C17" s="7">
        <v>1</v>
      </c>
      <c r="D17" s="8">
        <f>IFERROR(VLOOKUP($B17,Task!$B$1:$G$65,6,0)," ")</f>
        <v>3.4722222222222224E-2</v>
      </c>
      <c r="E17" s="9">
        <f t="shared" si="0"/>
        <v>3.4722222222222224E-2</v>
      </c>
      <c r="F17" s="10">
        <v>0.31076388888888895</v>
      </c>
      <c r="G17" s="10">
        <v>0.34416666666666673</v>
      </c>
      <c r="H17" s="8">
        <f t="shared" si="1"/>
        <v>3.3402777777777781E-2</v>
      </c>
      <c r="I17" s="11">
        <f t="shared" si="2"/>
        <v>0.34548611111111116</v>
      </c>
      <c r="J17" s="8"/>
      <c r="K17" s="8"/>
      <c r="L17" s="8"/>
      <c r="M17" s="12"/>
      <c r="N17" s="13">
        <f t="shared" si="3"/>
        <v>1.0395010395010393</v>
      </c>
      <c r="O17" s="19"/>
      <c r="P17" s="20">
        <f ca="1">IFERROR(__xludf.DUMMYFUNCTION("""COMPUTED_VALUE"""),45742)</f>
        <v>45742</v>
      </c>
      <c r="Q17" s="15">
        <f t="shared" ca="1" si="7"/>
        <v>0.31111111111111112</v>
      </c>
      <c r="R17" s="15">
        <f t="shared" ca="1" si="8"/>
        <v>0.27681712962962962</v>
      </c>
      <c r="S17" s="15">
        <f t="shared" ca="1" si="4"/>
        <v>5.6516203703703694E-2</v>
      </c>
      <c r="T17" s="16">
        <f t="shared" ca="1" si="5"/>
        <v>1.1245923866980607</v>
      </c>
    </row>
    <row r="18" spans="1:23" ht="15.75" customHeight="1">
      <c r="A18" s="6">
        <v>45722</v>
      </c>
      <c r="B18" s="7" t="s">
        <v>42</v>
      </c>
      <c r="C18" s="7">
        <v>1</v>
      </c>
      <c r="D18" s="8">
        <f>IFERROR(VLOOKUP($B18,Task!$B$1:$G$65,6,0)," ")</f>
        <v>6.9444444444444441E-3</v>
      </c>
      <c r="E18" s="9">
        <f t="shared" si="0"/>
        <v>6.9444444444444441E-3</v>
      </c>
      <c r="F18" s="10">
        <f t="shared" ref="F18:F23" si="11">G17</f>
        <v>0.34416666666666673</v>
      </c>
      <c r="G18" s="10">
        <v>0.35063657407407411</v>
      </c>
      <c r="H18" s="8">
        <f t="shared" si="1"/>
        <v>6.4699074074073826E-3</v>
      </c>
      <c r="I18" s="11">
        <f t="shared" si="2"/>
        <v>0.35111111111111115</v>
      </c>
      <c r="J18" s="8"/>
      <c r="K18" s="8"/>
      <c r="L18" s="8"/>
      <c r="M18" s="18"/>
      <c r="N18" s="13">
        <f t="shared" si="3"/>
        <v>1.0733452593917752</v>
      </c>
      <c r="O18" s="19"/>
      <c r="P18" s="20">
        <f ca="1">IFERROR(__xludf.DUMMYFUNCTION("""COMPUTED_VALUE"""),45743)</f>
        <v>45743</v>
      </c>
      <c r="Q18" s="15">
        <f t="shared" ca="1" si="7"/>
        <v>0.34861111111111109</v>
      </c>
      <c r="R18" s="15">
        <f t="shared" ca="1" si="8"/>
        <v>0.31484953703703705</v>
      </c>
      <c r="S18" s="15">
        <f t="shared" ca="1" si="4"/>
        <v>1.8483796296296262E-2</v>
      </c>
      <c r="T18" s="16">
        <f t="shared" ca="1" si="5"/>
        <v>1.1090796472215589</v>
      </c>
    </row>
    <row r="19" spans="1:23" ht="15.75" customHeight="1">
      <c r="A19" s="6">
        <v>45722</v>
      </c>
      <c r="B19" s="7" t="s">
        <v>18</v>
      </c>
      <c r="C19" s="7">
        <v>1</v>
      </c>
      <c r="D19" s="8">
        <f>IFERROR(VLOOKUP($B19,Task!$B$1:$G$65,6,0)," ")</f>
        <v>4.8611111111111112E-2</v>
      </c>
      <c r="E19" s="9">
        <f t="shared" si="0"/>
        <v>4.8611111111111112E-2</v>
      </c>
      <c r="F19" s="10">
        <f t="shared" si="11"/>
        <v>0.35063657407407411</v>
      </c>
      <c r="G19" s="10">
        <v>0.39478009259259261</v>
      </c>
      <c r="H19" s="8">
        <f t="shared" si="1"/>
        <v>4.4143518518518499E-2</v>
      </c>
      <c r="I19" s="11">
        <f t="shared" si="2"/>
        <v>0.39924768518518522</v>
      </c>
      <c r="J19" s="8"/>
      <c r="K19" s="8"/>
      <c r="L19" s="8"/>
      <c r="M19" s="12"/>
      <c r="N19" s="13">
        <f t="shared" si="3"/>
        <v>1.1012060828526486</v>
      </c>
      <c r="O19" s="19"/>
      <c r="P19" s="20"/>
      <c r="Q19" s="15" t="str">
        <f t="shared" si="7"/>
        <v/>
      </c>
      <c r="R19" s="15" t="str">
        <f t="shared" si="8"/>
        <v/>
      </c>
      <c r="S19" s="15" t="str">
        <f t="shared" ref="S19:S23" si="12">IF(R19=""," ",$U$1-R19)</f>
        <v xml:space="preserve"> </v>
      </c>
      <c r="T19" s="16" t="str">
        <f t="shared" si="5"/>
        <v xml:space="preserve"> </v>
      </c>
    </row>
    <row r="20" spans="1:23" ht="15.75" customHeight="1">
      <c r="A20" s="6">
        <v>45722</v>
      </c>
      <c r="B20" s="7" t="s">
        <v>20</v>
      </c>
      <c r="C20" s="7">
        <v>19</v>
      </c>
      <c r="D20" s="8">
        <f>IFERROR(VLOOKUP($B20,Task!$B$1:$G$65,6,0)," ")</f>
        <v>2.0833333333333333E-3</v>
      </c>
      <c r="E20" s="9">
        <f t="shared" si="0"/>
        <v>3.9583333333333331E-2</v>
      </c>
      <c r="F20" s="10">
        <f t="shared" si="11"/>
        <v>0.39478009259259261</v>
      </c>
      <c r="G20" s="10">
        <v>0.43253472222222222</v>
      </c>
      <c r="H20" s="8">
        <f t="shared" si="1"/>
        <v>3.775462962962961E-2</v>
      </c>
      <c r="I20" s="11">
        <f t="shared" si="2"/>
        <v>0.43436342592592592</v>
      </c>
      <c r="J20" s="8"/>
      <c r="K20" s="8"/>
      <c r="L20" s="8"/>
      <c r="M20" s="18"/>
      <c r="N20" s="13">
        <f t="shared" si="3"/>
        <v>1.0484365419987742</v>
      </c>
      <c r="P20" s="20"/>
      <c r="Q20" s="15" t="str">
        <f t="shared" si="7"/>
        <v/>
      </c>
      <c r="R20" s="15" t="str">
        <f t="shared" si="8"/>
        <v/>
      </c>
      <c r="S20" s="15" t="str">
        <f t="shared" si="12"/>
        <v xml:space="preserve"> </v>
      </c>
      <c r="T20" s="16" t="str">
        <f t="shared" si="5"/>
        <v xml:space="preserve"> </v>
      </c>
      <c r="W20" s="4"/>
    </row>
    <row r="21" spans="1:23" ht="15.75" customHeight="1">
      <c r="A21" s="6">
        <v>45722</v>
      </c>
      <c r="B21" s="7" t="s">
        <v>19</v>
      </c>
      <c r="C21" s="7">
        <v>18</v>
      </c>
      <c r="D21" s="8">
        <f>IFERROR(VLOOKUP($B21,Task!$B$1:$G$65,6,0)," ")</f>
        <v>2.7777777777777779E-3</v>
      </c>
      <c r="E21" s="9">
        <f t="shared" si="0"/>
        <v>0.05</v>
      </c>
      <c r="F21" s="10">
        <f t="shared" si="11"/>
        <v>0.43253472222222222</v>
      </c>
      <c r="G21" s="10">
        <v>0.50027777777777782</v>
      </c>
      <c r="H21" s="8">
        <f t="shared" si="1"/>
        <v>4.6817129629629674E-2</v>
      </c>
      <c r="I21" s="11">
        <f t="shared" si="2"/>
        <v>0.50346064814814817</v>
      </c>
      <c r="J21" s="8"/>
      <c r="K21" s="8"/>
      <c r="L21" s="8">
        <v>2.0925925925925924E-2</v>
      </c>
      <c r="M21" s="12"/>
      <c r="N21" s="13">
        <f t="shared" si="3"/>
        <v>1.0679851668726814</v>
      </c>
      <c r="P21" s="20"/>
      <c r="Q21" s="15" t="str">
        <f t="shared" si="7"/>
        <v/>
      </c>
      <c r="R21" s="15" t="str">
        <f t="shared" si="8"/>
        <v/>
      </c>
      <c r="S21" s="15" t="str">
        <f t="shared" si="12"/>
        <v xml:space="preserve"> </v>
      </c>
      <c r="T21" s="16" t="str">
        <f t="shared" si="5"/>
        <v xml:space="preserve"> </v>
      </c>
    </row>
    <row r="22" spans="1:23" ht="15.75" customHeight="1">
      <c r="A22" s="6">
        <v>45722</v>
      </c>
      <c r="B22" s="7" t="s">
        <v>37</v>
      </c>
      <c r="C22" s="7">
        <v>18</v>
      </c>
      <c r="D22" s="8">
        <f>IFERROR(VLOOKUP($B22,Task!$B$1:$G$65,6,0)," ")</f>
        <v>1.3888888888888889E-3</v>
      </c>
      <c r="E22" s="9">
        <f t="shared" si="0"/>
        <v>2.5000000000000001E-2</v>
      </c>
      <c r="F22" s="10">
        <f t="shared" si="11"/>
        <v>0.50027777777777782</v>
      </c>
      <c r="G22" s="10">
        <v>0.5235995370370371</v>
      </c>
      <c r="H22" s="8">
        <f t="shared" si="1"/>
        <v>2.3321759259259278E-2</v>
      </c>
      <c r="I22" s="11">
        <f t="shared" si="2"/>
        <v>0.52527777777777784</v>
      </c>
      <c r="J22" s="8"/>
      <c r="K22" s="8"/>
      <c r="L22" s="8"/>
      <c r="M22" s="12"/>
      <c r="N22" s="13">
        <f t="shared" si="3"/>
        <v>1.0719602977667486</v>
      </c>
      <c r="O22" s="19"/>
      <c r="P22" s="20"/>
      <c r="Q22" s="15" t="str">
        <f t="shared" si="7"/>
        <v/>
      </c>
      <c r="R22" s="15" t="str">
        <f t="shared" si="8"/>
        <v/>
      </c>
      <c r="S22" s="15" t="str">
        <f t="shared" si="12"/>
        <v xml:space="preserve"> </v>
      </c>
      <c r="T22" s="16" t="str">
        <f t="shared" si="5"/>
        <v xml:space="preserve"> </v>
      </c>
    </row>
    <row r="23" spans="1:23" ht="15.75" customHeight="1">
      <c r="A23" s="6">
        <v>45722</v>
      </c>
      <c r="B23" s="7" t="s">
        <v>29</v>
      </c>
      <c r="C23" s="7">
        <v>54</v>
      </c>
      <c r="D23" s="8">
        <f>IFERROR(VLOOKUP($B23,Task!$B$1:$G$65,6,0)," ")</f>
        <v>2.0833333333333333E-3</v>
      </c>
      <c r="E23" s="9">
        <f t="shared" si="0"/>
        <v>0.1125</v>
      </c>
      <c r="F23" s="10">
        <f t="shared" si="11"/>
        <v>0.5235995370370371</v>
      </c>
      <c r="G23" s="10">
        <v>0.6875</v>
      </c>
      <c r="H23" s="8">
        <f t="shared" si="1"/>
        <v>0.10260416666666661</v>
      </c>
      <c r="I23" s="11">
        <f t="shared" si="2"/>
        <v>0.69739583333333344</v>
      </c>
      <c r="J23" s="8"/>
      <c r="K23" s="8"/>
      <c r="L23" s="8">
        <v>6.1296296296296293E-2</v>
      </c>
      <c r="M23" s="12"/>
      <c r="N23" s="13">
        <f t="shared" si="3"/>
        <v>1.0964467005076148</v>
      </c>
      <c r="P23" s="20"/>
      <c r="Q23" s="15" t="str">
        <f t="shared" si="7"/>
        <v/>
      </c>
      <c r="R23" s="15" t="str">
        <f t="shared" si="8"/>
        <v/>
      </c>
      <c r="S23" s="15" t="str">
        <f t="shared" si="12"/>
        <v xml:space="preserve"> </v>
      </c>
      <c r="T23" s="16" t="str">
        <f t="shared" si="5"/>
        <v xml:space="preserve"> </v>
      </c>
    </row>
    <row r="24" spans="1:23" ht="15.75" customHeight="1">
      <c r="A24" s="6">
        <v>45726</v>
      </c>
      <c r="B24" s="7" t="s">
        <v>43</v>
      </c>
      <c r="C24" s="7">
        <v>1</v>
      </c>
      <c r="D24" s="8">
        <f>IFERROR(VLOOKUP($B24,Task!$B$1:$G$65,6,0)," ")</f>
        <v>3.4722222222222224E-2</v>
      </c>
      <c r="E24" s="9">
        <f t="shared" si="0"/>
        <v>3.4722222222222224E-2</v>
      </c>
      <c r="F24" s="10">
        <v>0.30642361111111116</v>
      </c>
      <c r="G24" s="10">
        <v>0.33719907407407412</v>
      </c>
      <c r="H24" s="8">
        <f t="shared" si="1"/>
        <v>3.0775462962962963E-2</v>
      </c>
      <c r="I24" s="11">
        <f t="shared" si="2"/>
        <v>0.34114583333333337</v>
      </c>
      <c r="J24" s="8"/>
      <c r="K24" s="8"/>
      <c r="L24" s="8"/>
      <c r="M24" s="18"/>
      <c r="N24" s="13">
        <f t="shared" si="3"/>
        <v>1.1282437006393382</v>
      </c>
      <c r="O24" s="19"/>
      <c r="W24" s="4"/>
    </row>
    <row r="25" spans="1:23" ht="15.75" customHeight="1">
      <c r="A25" s="6">
        <v>45726</v>
      </c>
      <c r="B25" s="7" t="s">
        <v>42</v>
      </c>
      <c r="C25" s="7">
        <v>1</v>
      </c>
      <c r="D25" s="8">
        <f>IFERROR(VLOOKUP($B25,Task!$B$1:$G$65,6,0)," ")</f>
        <v>6.9444444444444441E-3</v>
      </c>
      <c r="E25" s="9">
        <f t="shared" si="0"/>
        <v>6.9444444444444441E-3</v>
      </c>
      <c r="F25" s="10">
        <f t="shared" ref="F25:F32" si="13">G24</f>
        <v>0.33719907407407412</v>
      </c>
      <c r="G25" s="10">
        <v>0.34364583333333332</v>
      </c>
      <c r="H25" s="8">
        <f t="shared" si="1"/>
        <v>6.4467592592591938E-3</v>
      </c>
      <c r="I25" s="11">
        <f t="shared" si="2"/>
        <v>0.34414351851851854</v>
      </c>
      <c r="J25" s="8"/>
      <c r="K25" s="8"/>
      <c r="L25" s="8"/>
      <c r="M25" s="18"/>
      <c r="N25" s="13">
        <f t="shared" si="3"/>
        <v>1.0771992818671563</v>
      </c>
      <c r="O25" s="4"/>
    </row>
    <row r="26" spans="1:23" ht="14.5">
      <c r="A26" s="6">
        <v>45726</v>
      </c>
      <c r="B26" s="7" t="s">
        <v>18</v>
      </c>
      <c r="C26" s="7">
        <v>1</v>
      </c>
      <c r="D26" s="8">
        <f>IFERROR(VLOOKUP($B26,Task!$B$1:$G$65,6,0)," ")</f>
        <v>4.8611111111111112E-2</v>
      </c>
      <c r="E26" s="9">
        <f t="shared" si="0"/>
        <v>4.8611111111111112E-2</v>
      </c>
      <c r="F26" s="10">
        <f t="shared" si="13"/>
        <v>0.34364583333333332</v>
      </c>
      <c r="G26" s="10">
        <v>0.3881134259259259</v>
      </c>
      <c r="H26" s="8">
        <f t="shared" si="1"/>
        <v>4.4467592592592586E-2</v>
      </c>
      <c r="I26" s="11">
        <f t="shared" si="2"/>
        <v>0.39225694444444442</v>
      </c>
      <c r="J26" s="8"/>
      <c r="K26" s="8"/>
      <c r="L26" s="8"/>
      <c r="M26" s="18"/>
      <c r="N26" s="13">
        <f t="shared" si="3"/>
        <v>1.093180635085893</v>
      </c>
    </row>
    <row r="27" spans="1:23" ht="14.5">
      <c r="A27" s="6">
        <v>45726</v>
      </c>
      <c r="B27" s="7" t="s">
        <v>16</v>
      </c>
      <c r="C27" s="7">
        <v>7</v>
      </c>
      <c r="D27" s="8">
        <f>IFERROR(VLOOKUP($B27,Task!$B$1:$G$65,6,0)," ")</f>
        <v>5.5555555555555558E-3</v>
      </c>
      <c r="E27" s="9">
        <f t="shared" si="0"/>
        <v>3.888888888888889E-2</v>
      </c>
      <c r="F27" s="10">
        <f t="shared" si="13"/>
        <v>0.3881134259259259</v>
      </c>
      <c r="G27" s="10">
        <v>0.4239236111111111</v>
      </c>
      <c r="H27" s="8">
        <f t="shared" si="1"/>
        <v>3.5810185185185195E-2</v>
      </c>
      <c r="I27" s="11">
        <f t="shared" si="2"/>
        <v>0.42700231481481477</v>
      </c>
      <c r="J27" s="8"/>
      <c r="K27" s="8"/>
      <c r="L27" s="8"/>
      <c r="M27" s="18"/>
      <c r="N27" s="13">
        <f t="shared" si="3"/>
        <v>1.0859728506787327</v>
      </c>
      <c r="O27" s="19"/>
    </row>
    <row r="28" spans="1:23" ht="14.5">
      <c r="A28" s="6">
        <v>45726</v>
      </c>
      <c r="B28" s="7" t="s">
        <v>20</v>
      </c>
      <c r="C28" s="7">
        <v>3</v>
      </c>
      <c r="D28" s="8">
        <f>IFERROR(VLOOKUP($B28,Task!$B$1:$G$65,6,0)," ")</f>
        <v>2.0833333333333333E-3</v>
      </c>
      <c r="E28" s="9">
        <f t="shared" si="0"/>
        <v>6.2500000000000003E-3</v>
      </c>
      <c r="F28" s="10">
        <f t="shared" si="13"/>
        <v>0.4239236111111111</v>
      </c>
      <c r="G28" s="10">
        <v>0.42973379629629632</v>
      </c>
      <c r="H28" s="8">
        <f t="shared" si="1"/>
        <v>5.8101851851852238E-3</v>
      </c>
      <c r="I28" s="11">
        <f t="shared" si="2"/>
        <v>0.43017361111111108</v>
      </c>
      <c r="J28" s="8"/>
      <c r="K28" s="8"/>
      <c r="L28" s="8"/>
      <c r="M28" s="18" t="s">
        <v>80</v>
      </c>
      <c r="N28" s="13">
        <f t="shared" si="3"/>
        <v>1.0756972111553713</v>
      </c>
      <c r="O28" s="19"/>
    </row>
    <row r="29" spans="1:23" ht="14.5">
      <c r="A29" s="6">
        <v>45726</v>
      </c>
      <c r="B29" s="7" t="s">
        <v>29</v>
      </c>
      <c r="C29" s="7">
        <v>55</v>
      </c>
      <c r="D29" s="8">
        <f>IFERROR(VLOOKUP($B29,Task!$B$1:$G$65,6,0)," ")</f>
        <v>2.0833333333333333E-3</v>
      </c>
      <c r="E29" s="9">
        <f t="shared" si="0"/>
        <v>0.11458333333333333</v>
      </c>
      <c r="F29" s="10">
        <f t="shared" si="13"/>
        <v>0.42973379629629632</v>
      </c>
      <c r="G29" s="10">
        <v>0.59015046296296292</v>
      </c>
      <c r="H29" s="8">
        <f t="shared" si="1"/>
        <v>0.11081018518518512</v>
      </c>
      <c r="I29" s="11">
        <f t="shared" si="2"/>
        <v>0.59392361111111114</v>
      </c>
      <c r="J29" s="8"/>
      <c r="K29" s="8"/>
      <c r="L29" s="8">
        <v>4.9606481481481481E-2</v>
      </c>
      <c r="M29" s="12"/>
      <c r="N29" s="13">
        <f t="shared" si="3"/>
        <v>1.0340505535826201</v>
      </c>
      <c r="O29" s="19"/>
    </row>
    <row r="30" spans="1:23" ht="14.5">
      <c r="A30" s="6">
        <v>45726</v>
      </c>
      <c r="B30" s="7" t="s">
        <v>29</v>
      </c>
      <c r="C30" s="7">
        <f>72-C29</f>
        <v>17</v>
      </c>
      <c r="D30" s="8">
        <f>IFERROR(VLOOKUP($B30,Task!$B$1:$G$65,6,0)," ")</f>
        <v>2.0833333333333333E-3</v>
      </c>
      <c r="E30" s="9">
        <f t="shared" si="0"/>
        <v>3.5416666666666666E-2</v>
      </c>
      <c r="F30" s="10">
        <f t="shared" si="13"/>
        <v>0.59015046296296292</v>
      </c>
      <c r="G30" s="10">
        <v>0.63237268518518519</v>
      </c>
      <c r="H30" s="8">
        <f t="shared" si="1"/>
        <v>3.4432870370370419E-2</v>
      </c>
      <c r="I30" s="11">
        <f t="shared" si="2"/>
        <v>0.63335648148148138</v>
      </c>
      <c r="J30" s="8"/>
      <c r="K30" s="8"/>
      <c r="L30" s="8">
        <v>7.789351851851852E-3</v>
      </c>
      <c r="M30" s="12"/>
      <c r="N30" s="13">
        <f t="shared" si="3"/>
        <v>1.0285714285714271</v>
      </c>
      <c r="O30" s="4"/>
    </row>
    <row r="31" spans="1:23" ht="14.5">
      <c r="A31" s="6">
        <v>45726</v>
      </c>
      <c r="B31" s="7" t="s">
        <v>36</v>
      </c>
      <c r="C31" s="7">
        <v>4</v>
      </c>
      <c r="D31" s="8">
        <f>IFERROR(VLOOKUP($B31,Task!$B$1:$G$65,6,0)," ")</f>
        <v>6.9444444444444447E-4</v>
      </c>
      <c r="E31" s="9">
        <f t="shared" si="0"/>
        <v>2.7777777777777779E-3</v>
      </c>
      <c r="F31" s="10">
        <f t="shared" si="13"/>
        <v>0.63237268518518519</v>
      </c>
      <c r="G31" s="10">
        <v>0.63491898148148151</v>
      </c>
      <c r="H31" s="8">
        <f t="shared" si="1"/>
        <v>2.5462962962963243E-3</v>
      </c>
      <c r="I31" s="11">
        <f t="shared" si="2"/>
        <v>0.63515046296296296</v>
      </c>
      <c r="J31" s="8"/>
      <c r="K31" s="8"/>
      <c r="L31" s="8"/>
      <c r="M31" s="12"/>
      <c r="N31" s="13">
        <f t="shared" si="3"/>
        <v>1.0909090909090791</v>
      </c>
      <c r="O31" s="19"/>
    </row>
    <row r="32" spans="1:23" ht="14.5">
      <c r="A32" s="6">
        <v>45726</v>
      </c>
      <c r="B32" s="7" t="s">
        <v>19</v>
      </c>
      <c r="C32" s="7">
        <v>20</v>
      </c>
      <c r="D32" s="8">
        <f>IFERROR(VLOOKUP($B32,Task!$B$1:$G$65,6,0)," ")</f>
        <v>2.7777777777777779E-3</v>
      </c>
      <c r="E32" s="9">
        <f t="shared" si="0"/>
        <v>5.5555555555555559E-2</v>
      </c>
      <c r="F32" s="10">
        <f t="shared" si="13"/>
        <v>0.63491898148148151</v>
      </c>
      <c r="G32" s="10">
        <v>0.68776620370370367</v>
      </c>
      <c r="H32" s="8">
        <f t="shared" si="1"/>
        <v>5.2847222222222157E-2</v>
      </c>
      <c r="I32" s="11">
        <f t="shared" si="2"/>
        <v>0.69047453703703709</v>
      </c>
      <c r="J32" s="8"/>
      <c r="K32" s="8"/>
      <c r="L32" s="8"/>
      <c r="M32" s="12"/>
      <c r="N32" s="13">
        <f t="shared" si="3"/>
        <v>1.0512483574244429</v>
      </c>
      <c r="O32" s="4"/>
    </row>
    <row r="33" spans="1:15" ht="14.5">
      <c r="A33" s="6">
        <v>45727</v>
      </c>
      <c r="B33" s="7" t="s">
        <v>18</v>
      </c>
      <c r="C33" s="7">
        <v>1</v>
      </c>
      <c r="D33" s="8">
        <f>IFERROR(VLOOKUP($B33,Task!$B$1:$G$65,6,0)," ")</f>
        <v>4.8611111111111112E-2</v>
      </c>
      <c r="E33" s="9">
        <f t="shared" si="0"/>
        <v>4.8611111111111112E-2</v>
      </c>
      <c r="F33" s="10">
        <v>0.29738425925925926</v>
      </c>
      <c r="G33" s="10">
        <v>0.34962962962962962</v>
      </c>
      <c r="H33" s="8">
        <f t="shared" si="1"/>
        <v>4.4432870370370359E-2</v>
      </c>
      <c r="I33" s="11">
        <f t="shared" si="2"/>
        <v>0.35380787037037037</v>
      </c>
      <c r="J33" s="8"/>
      <c r="K33" s="8"/>
      <c r="L33" s="8">
        <v>7.8125E-3</v>
      </c>
      <c r="M33" s="18"/>
      <c r="N33" s="13">
        <f t="shared" si="3"/>
        <v>1.0940349049231575</v>
      </c>
      <c r="O33" s="19"/>
    </row>
    <row r="34" spans="1:15" ht="14.5">
      <c r="A34" s="6">
        <v>45727</v>
      </c>
      <c r="B34" s="7" t="s">
        <v>18</v>
      </c>
      <c r="C34" s="7">
        <v>1</v>
      </c>
      <c r="D34" s="8">
        <f>IFERROR(VLOOKUP($B34,Task!$B$1:$G$65,6,0)," ")</f>
        <v>4.8611111111111112E-2</v>
      </c>
      <c r="E34" s="9">
        <f t="shared" si="0"/>
        <v>4.8611111111111112E-2</v>
      </c>
      <c r="F34" s="10">
        <f t="shared" ref="F34:F36" si="14">G33</f>
        <v>0.34962962962962962</v>
      </c>
      <c r="G34" s="10">
        <v>0.40001157407407406</v>
      </c>
      <c r="H34" s="8">
        <f t="shared" si="1"/>
        <v>4.748842592592592E-2</v>
      </c>
      <c r="I34" s="11">
        <f t="shared" si="2"/>
        <v>0.40113425925925927</v>
      </c>
      <c r="J34" s="8"/>
      <c r="K34" s="8"/>
      <c r="L34" s="8">
        <v>2.8935185185185184E-3</v>
      </c>
      <c r="M34" s="18" t="s">
        <v>81</v>
      </c>
      <c r="N34" s="13">
        <f t="shared" si="3"/>
        <v>1.0236412381184501</v>
      </c>
      <c r="O34" s="19"/>
    </row>
    <row r="35" spans="1:15" ht="14.5">
      <c r="A35" s="6">
        <v>45727</v>
      </c>
      <c r="B35" s="7" t="s">
        <v>16</v>
      </c>
      <c r="C35" s="7">
        <v>4</v>
      </c>
      <c r="D35" s="8">
        <f>IFERROR(VLOOKUP($B35,Task!$B$1:$G$65,6,0)," ")</f>
        <v>5.5555555555555558E-3</v>
      </c>
      <c r="E35" s="9">
        <f t="shared" si="0"/>
        <v>2.2222222222222223E-2</v>
      </c>
      <c r="F35" s="10">
        <f t="shared" si="14"/>
        <v>0.40001157407407406</v>
      </c>
      <c r="G35" s="10">
        <v>0.42082175925925924</v>
      </c>
      <c r="H35" s="8">
        <f t="shared" si="1"/>
        <v>2.0810185185185182E-2</v>
      </c>
      <c r="I35" s="11">
        <f t="shared" si="2"/>
        <v>0.42223379629629626</v>
      </c>
      <c r="J35" s="8"/>
      <c r="K35" s="8"/>
      <c r="L35" s="8"/>
      <c r="M35" s="18" t="s">
        <v>82</v>
      </c>
      <c r="N35" s="13">
        <f t="shared" si="3"/>
        <v>1.0678531701890992</v>
      </c>
    </row>
    <row r="36" spans="1:15" ht="14.5">
      <c r="A36" s="6">
        <v>45727</v>
      </c>
      <c r="B36" s="7" t="s">
        <v>19</v>
      </c>
      <c r="C36" s="7">
        <v>47</v>
      </c>
      <c r="D36" s="8">
        <f>IFERROR(VLOOKUP($B36,Task!$B$1:$G$65,6,0)," ")</f>
        <v>2.7777777777777779E-3</v>
      </c>
      <c r="E36" s="9">
        <f t="shared" si="0"/>
        <v>0.13055555555555556</v>
      </c>
      <c r="F36" s="10">
        <f t="shared" si="14"/>
        <v>0.42082175925925924</v>
      </c>
      <c r="G36" s="10">
        <v>0.61690972222222218</v>
      </c>
      <c r="H36" s="8">
        <f t="shared" si="1"/>
        <v>0.12335648148148146</v>
      </c>
      <c r="I36" s="11">
        <f t="shared" si="2"/>
        <v>0.62410879629629623</v>
      </c>
      <c r="J36" s="8"/>
      <c r="K36" s="8"/>
      <c r="L36" s="8">
        <v>7.273148148148148E-2</v>
      </c>
      <c r="M36" s="18"/>
      <c r="N36" s="13">
        <f t="shared" si="3"/>
        <v>1.0583599174329146</v>
      </c>
    </row>
    <row r="37" spans="1:15" ht="14.5">
      <c r="A37" s="6">
        <v>45727</v>
      </c>
      <c r="B37" s="7" t="s">
        <v>65</v>
      </c>
      <c r="C37" s="7">
        <v>1</v>
      </c>
      <c r="D37" s="8">
        <f>IFERROR(VLOOKUP($B37,Task!$B$1:$G$65,6,0)," ")</f>
        <v>2.0833333333333332E-2</v>
      </c>
      <c r="E37" s="9">
        <f t="shared" si="0"/>
        <v>2.0833333333333332E-2</v>
      </c>
      <c r="F37" s="10">
        <v>0.51009259259259254</v>
      </c>
      <c r="G37" s="10">
        <v>0.52921296296296294</v>
      </c>
      <c r="H37" s="8">
        <f t="shared" si="1"/>
        <v>1.9120370370370399E-2</v>
      </c>
      <c r="I37" s="11">
        <f t="shared" si="2"/>
        <v>0.53092592592592591</v>
      </c>
      <c r="J37" s="8"/>
      <c r="K37" s="8"/>
      <c r="L37" s="8"/>
      <c r="M37" s="18" t="s">
        <v>72</v>
      </c>
      <c r="N37" s="13">
        <f t="shared" si="3"/>
        <v>1.0895883777239692</v>
      </c>
      <c r="O37" s="19"/>
    </row>
    <row r="38" spans="1:15" ht="14.5">
      <c r="A38" s="6">
        <v>45727</v>
      </c>
      <c r="B38" s="7" t="s">
        <v>38</v>
      </c>
      <c r="C38" s="7">
        <v>9</v>
      </c>
      <c r="D38" s="8">
        <f>IFERROR(VLOOKUP($B38,Task!$B$1:$G$65,6,0)," ")</f>
        <v>2.7777777777777779E-3</v>
      </c>
      <c r="E38" s="9">
        <f t="shared" si="0"/>
        <v>2.5000000000000001E-2</v>
      </c>
      <c r="F38" s="10">
        <f>G36</f>
        <v>0.61690972222222218</v>
      </c>
      <c r="G38" s="10">
        <v>0.64017361111111115</v>
      </c>
      <c r="H38" s="8">
        <f t="shared" si="1"/>
        <v>2.3263888888888973E-2</v>
      </c>
      <c r="I38" s="11">
        <f t="shared" si="2"/>
        <v>0.6419097222222222</v>
      </c>
      <c r="J38" s="8"/>
      <c r="K38" s="8"/>
      <c r="L38" s="8"/>
      <c r="M38" s="12"/>
      <c r="N38" s="13">
        <f t="shared" si="3"/>
        <v>1.074626865671638</v>
      </c>
      <c r="O38" s="19"/>
    </row>
    <row r="39" spans="1:15" ht="14.5">
      <c r="A39" s="6">
        <v>45727</v>
      </c>
      <c r="B39" s="7" t="s">
        <v>16</v>
      </c>
      <c r="C39" s="7">
        <v>7</v>
      </c>
      <c r="D39" s="8">
        <f>IFERROR(VLOOKUP($B39,Task!$B$1:$G$65,6,0)," ")</f>
        <v>5.5555555555555558E-3</v>
      </c>
      <c r="E39" s="9">
        <f t="shared" si="0"/>
        <v>3.888888888888889E-2</v>
      </c>
      <c r="F39" s="10">
        <f>G38</f>
        <v>0.64017361111111115</v>
      </c>
      <c r="G39" s="10">
        <v>0.67361111111111116</v>
      </c>
      <c r="H39" s="8">
        <f t="shared" si="1"/>
        <v>3.3437500000000009E-2</v>
      </c>
      <c r="I39" s="11">
        <f t="shared" si="2"/>
        <v>0.67906250000000001</v>
      </c>
      <c r="J39" s="8"/>
      <c r="K39" s="8"/>
      <c r="L39" s="8"/>
      <c r="M39" s="12"/>
      <c r="N39" s="13">
        <f t="shared" si="3"/>
        <v>1.163032191069574</v>
      </c>
      <c r="O39" s="19"/>
    </row>
    <row r="40" spans="1:15" ht="14.5">
      <c r="A40" s="6">
        <v>45728</v>
      </c>
      <c r="B40" s="7" t="s">
        <v>18</v>
      </c>
      <c r="C40" s="7">
        <v>1</v>
      </c>
      <c r="D40" s="8">
        <f>IFERROR(VLOOKUP($B40,Task!$B$1:$G$65,6,0)," ")</f>
        <v>4.8611111111111112E-2</v>
      </c>
      <c r="E40" s="9">
        <f t="shared" si="0"/>
        <v>4.8611111111111112E-2</v>
      </c>
      <c r="F40" s="10">
        <v>0.31135416666666671</v>
      </c>
      <c r="G40" s="10">
        <v>0.36185185185185187</v>
      </c>
      <c r="H40" s="8">
        <f t="shared" si="1"/>
        <v>4.3587962962962939E-2</v>
      </c>
      <c r="I40" s="11">
        <f t="shared" si="2"/>
        <v>0.36687500000000006</v>
      </c>
      <c r="J40" s="8"/>
      <c r="K40" s="8"/>
      <c r="L40" s="8">
        <v>6.9097222222222225E-3</v>
      </c>
      <c r="M40" s="12"/>
      <c r="N40" s="13">
        <f t="shared" si="3"/>
        <v>1.115241635687733</v>
      </c>
      <c r="O40" s="4"/>
    </row>
    <row r="41" spans="1:15" ht="14.5">
      <c r="A41" s="6">
        <v>45728</v>
      </c>
      <c r="B41" s="7" t="s">
        <v>16</v>
      </c>
      <c r="C41" s="7">
        <v>26</v>
      </c>
      <c r="D41" s="8">
        <f>IFERROR(VLOOKUP($B41,Task!$B$1:$G$65,6,0)," ")</f>
        <v>5.5555555555555558E-3</v>
      </c>
      <c r="E41" s="9">
        <f t="shared" si="0"/>
        <v>0.14444444444444446</v>
      </c>
      <c r="F41" s="10">
        <f t="shared" ref="F41:F43" si="15">G40</f>
        <v>0.36185185185185187</v>
      </c>
      <c r="G41" s="10">
        <v>0.49349537037037039</v>
      </c>
      <c r="H41" s="8">
        <f t="shared" si="1"/>
        <v>0.13164351851851852</v>
      </c>
      <c r="I41" s="11">
        <f t="shared" si="2"/>
        <v>0.50629629629629636</v>
      </c>
      <c r="J41" s="8"/>
      <c r="K41" s="8"/>
      <c r="L41" s="8"/>
      <c r="M41" s="12"/>
      <c r="N41" s="13">
        <f t="shared" si="3"/>
        <v>1.0972393177422193</v>
      </c>
      <c r="O41" s="4"/>
    </row>
    <row r="42" spans="1:15" ht="14.5">
      <c r="A42" s="6">
        <v>45728</v>
      </c>
      <c r="B42" s="7" t="s">
        <v>16</v>
      </c>
      <c r="C42" s="7">
        <v>16</v>
      </c>
      <c r="D42" s="8">
        <f>IFERROR(VLOOKUP($B42,Task!$B$1:$G$65,6,0)," ")</f>
        <v>5.5555555555555558E-3</v>
      </c>
      <c r="E42" s="9">
        <f t="shared" si="0"/>
        <v>8.8888888888888892E-2</v>
      </c>
      <c r="F42" s="10">
        <f t="shared" si="15"/>
        <v>0.49349537037037039</v>
      </c>
      <c r="G42" s="10">
        <v>0.63958333333333328</v>
      </c>
      <c r="H42" s="8">
        <f t="shared" si="1"/>
        <v>8.1863425925925853E-2</v>
      </c>
      <c r="I42" s="11">
        <f t="shared" si="2"/>
        <v>0.64660879629629631</v>
      </c>
      <c r="J42" s="8"/>
      <c r="K42" s="8"/>
      <c r="L42" s="8">
        <v>6.4224537037037038E-2</v>
      </c>
      <c r="M42" s="12"/>
      <c r="N42" s="13">
        <f t="shared" si="3"/>
        <v>1.0858193128799671</v>
      </c>
      <c r="O42" s="4"/>
    </row>
    <row r="43" spans="1:15" ht="14.5">
      <c r="A43" s="6">
        <v>45728</v>
      </c>
      <c r="B43" s="7" t="s">
        <v>16</v>
      </c>
      <c r="C43" s="7">
        <v>9</v>
      </c>
      <c r="D43" s="8">
        <f>IFERROR(VLOOKUP($B43,Task!$B$1:$G$65,6,0)," ")</f>
        <v>5.5555555555555558E-3</v>
      </c>
      <c r="E43" s="9">
        <f t="shared" si="0"/>
        <v>0.05</v>
      </c>
      <c r="F43" s="10">
        <f t="shared" si="15"/>
        <v>0.63958333333333328</v>
      </c>
      <c r="G43" s="10">
        <v>0.6875</v>
      </c>
      <c r="H43" s="8">
        <f t="shared" si="1"/>
        <v>4.7916666666666718E-2</v>
      </c>
      <c r="I43" s="11">
        <f t="shared" si="2"/>
        <v>0.68958333333333333</v>
      </c>
      <c r="J43" s="8"/>
      <c r="K43" s="8"/>
      <c r="L43" s="8"/>
      <c r="M43" s="12"/>
      <c r="N43" s="13">
        <f t="shared" si="3"/>
        <v>1.0434782608695641</v>
      </c>
      <c r="O43" s="19"/>
    </row>
    <row r="44" spans="1:15" ht="14.5">
      <c r="A44" s="6">
        <v>45729</v>
      </c>
      <c r="B44" s="7" t="s">
        <v>43</v>
      </c>
      <c r="C44" s="7">
        <v>1</v>
      </c>
      <c r="D44" s="8">
        <f>IFERROR(VLOOKUP($B44,Task!$B$1:$G$65,6,0)," ")</f>
        <v>3.4722222222222224E-2</v>
      </c>
      <c r="E44" s="9">
        <f t="shared" si="0"/>
        <v>3.4722222222222224E-2</v>
      </c>
      <c r="F44" s="10">
        <v>0.29442129629629632</v>
      </c>
      <c r="G44" s="10">
        <v>0.32474537037037043</v>
      </c>
      <c r="H44" s="8">
        <f t="shared" si="1"/>
        <v>3.0324074074074114E-2</v>
      </c>
      <c r="I44" s="11">
        <f t="shared" si="2"/>
        <v>0.32914351851851853</v>
      </c>
      <c r="J44" s="8"/>
      <c r="K44" s="8"/>
      <c r="L44" s="8"/>
      <c r="M44" s="12"/>
      <c r="N44" s="13">
        <f t="shared" si="3"/>
        <v>1.1450381679389299</v>
      </c>
      <c r="O44" s="19"/>
    </row>
    <row r="45" spans="1:15" ht="14.5">
      <c r="A45" s="6">
        <v>45729</v>
      </c>
      <c r="B45" s="7" t="s">
        <v>42</v>
      </c>
      <c r="C45" s="7">
        <v>1</v>
      </c>
      <c r="D45" s="8">
        <f>IFERROR(VLOOKUP($B45,Task!$B$1:$G$65,6,0)," ")</f>
        <v>6.9444444444444441E-3</v>
      </c>
      <c r="E45" s="9">
        <f t="shared" si="0"/>
        <v>6.9444444444444441E-3</v>
      </c>
      <c r="F45" s="10">
        <f t="shared" ref="F45:F48" si="16">G44</f>
        <v>0.32474537037037043</v>
      </c>
      <c r="G45" s="10">
        <v>0.33140046296296294</v>
      </c>
      <c r="H45" s="8">
        <f t="shared" si="1"/>
        <v>6.6550925925925042E-3</v>
      </c>
      <c r="I45" s="11">
        <f t="shared" si="2"/>
        <v>0.33168981481481485</v>
      </c>
      <c r="J45" s="8"/>
      <c r="K45" s="8"/>
      <c r="L45" s="8"/>
      <c r="M45" s="12"/>
      <c r="N45" s="13">
        <f t="shared" si="3"/>
        <v>1.043478260869579</v>
      </c>
      <c r="O45" s="19"/>
    </row>
    <row r="46" spans="1:15" ht="14.5">
      <c r="A46" s="6">
        <v>45729</v>
      </c>
      <c r="B46" s="7" t="s">
        <v>18</v>
      </c>
      <c r="C46" s="7">
        <v>1</v>
      </c>
      <c r="D46" s="8">
        <f>IFERROR(VLOOKUP($B46,Task!$B$1:$G$65,6,0)," ")</f>
        <v>4.8611111111111112E-2</v>
      </c>
      <c r="E46" s="9">
        <f t="shared" si="0"/>
        <v>4.8611111111111112E-2</v>
      </c>
      <c r="F46" s="10">
        <f t="shared" si="16"/>
        <v>0.33140046296296294</v>
      </c>
      <c r="G46" s="8">
        <v>0.38216435185185182</v>
      </c>
      <c r="H46" s="8">
        <f t="shared" si="1"/>
        <v>4.3969907407407402E-2</v>
      </c>
      <c r="I46" s="11">
        <f t="shared" si="2"/>
        <v>0.38680555555555551</v>
      </c>
      <c r="J46" s="8"/>
      <c r="K46" s="8"/>
      <c r="L46" s="8">
        <v>6.7939814814814816E-3</v>
      </c>
      <c r="M46" s="12"/>
      <c r="N46" s="13">
        <f t="shared" si="3"/>
        <v>1.1055540931824166</v>
      </c>
      <c r="O46" s="4"/>
    </row>
    <row r="47" spans="1:15" ht="14.5">
      <c r="A47" s="6">
        <v>45729</v>
      </c>
      <c r="B47" s="7" t="s">
        <v>16</v>
      </c>
      <c r="C47" s="7">
        <v>18</v>
      </c>
      <c r="D47" s="8">
        <f>IFERROR(VLOOKUP($B47,Task!$B$1:$G$65,6,0)," ")</f>
        <v>5.5555555555555558E-3</v>
      </c>
      <c r="E47" s="9">
        <f t="shared" si="0"/>
        <v>0.1</v>
      </c>
      <c r="F47" s="10">
        <f t="shared" si="16"/>
        <v>0.38216435185185182</v>
      </c>
      <c r="G47" s="10">
        <v>0.47622685185185187</v>
      </c>
      <c r="H47" s="8">
        <f t="shared" si="1"/>
        <v>9.4062500000000049E-2</v>
      </c>
      <c r="I47" s="11">
        <f t="shared" si="2"/>
        <v>0.4821643518518518</v>
      </c>
      <c r="J47" s="8"/>
      <c r="K47" s="8"/>
      <c r="L47" s="8"/>
      <c r="M47" s="18"/>
      <c r="N47" s="13">
        <f t="shared" si="3"/>
        <v>1.0631229235880393</v>
      </c>
      <c r="O47" s="19"/>
    </row>
    <row r="48" spans="1:15" ht="14.5">
      <c r="A48" s="6">
        <v>45729</v>
      </c>
      <c r="B48" s="7" t="s">
        <v>16</v>
      </c>
      <c r="C48" s="7">
        <v>26</v>
      </c>
      <c r="D48" s="8">
        <f>IFERROR(VLOOKUP($B48,Task!$B$1:$G$65,6,0)," ")</f>
        <v>5.5555555555555558E-3</v>
      </c>
      <c r="E48" s="9">
        <f t="shared" si="0"/>
        <v>0.14444444444444446</v>
      </c>
      <c r="F48" s="10">
        <f t="shared" si="16"/>
        <v>0.47622685185185187</v>
      </c>
      <c r="G48" s="10">
        <v>0.67361111111111116</v>
      </c>
      <c r="H48" s="8">
        <f t="shared" si="1"/>
        <v>0.13156250000000003</v>
      </c>
      <c r="I48" s="11">
        <f t="shared" si="2"/>
        <v>0.68649305555555562</v>
      </c>
      <c r="J48" s="8"/>
      <c r="K48" s="8"/>
      <c r="L48" s="8">
        <v>6.582175925925926E-2</v>
      </c>
      <c r="M48" s="12"/>
      <c r="N48" s="13">
        <f t="shared" si="3"/>
        <v>1.0979150171549221</v>
      </c>
      <c r="O48" s="4"/>
    </row>
    <row r="49" spans="1:23" ht="14.5">
      <c r="A49" s="6">
        <v>45730</v>
      </c>
      <c r="B49" s="7" t="s">
        <v>37</v>
      </c>
      <c r="C49" s="7">
        <v>130</v>
      </c>
      <c r="D49" s="8">
        <f>IFERROR(VLOOKUP($B49,Task!$B$1:$G$65,6,0)," ")</f>
        <v>1.3888888888888889E-3</v>
      </c>
      <c r="E49" s="9">
        <f t="shared" si="0"/>
        <v>0.18055555555555555</v>
      </c>
      <c r="F49" s="10">
        <v>0.3117361111111111</v>
      </c>
      <c r="G49" s="10">
        <v>0.5178935185185185</v>
      </c>
      <c r="H49" s="8">
        <f t="shared" si="1"/>
        <v>0.1675810185185185</v>
      </c>
      <c r="I49" s="11">
        <f t="shared" si="2"/>
        <v>0.53086805555555561</v>
      </c>
      <c r="J49" s="8"/>
      <c r="K49" s="8"/>
      <c r="L49" s="8">
        <v>3.8576388888888889E-2</v>
      </c>
      <c r="M49" s="18"/>
      <c r="N49" s="13">
        <f t="shared" si="3"/>
        <v>1.0774224739277576</v>
      </c>
      <c r="O49" s="19"/>
    </row>
    <row r="50" spans="1:23" ht="14.5">
      <c r="A50" s="6">
        <v>45730</v>
      </c>
      <c r="B50" s="7" t="s">
        <v>20</v>
      </c>
      <c r="C50" s="7">
        <v>8</v>
      </c>
      <c r="D50" s="8">
        <f>IFERROR(VLOOKUP($B50,Task!$B$1:$G$65,6,0)," ")</f>
        <v>2.0833333333333333E-3</v>
      </c>
      <c r="E50" s="9">
        <f t="shared" si="0"/>
        <v>1.6666666666666666E-2</v>
      </c>
      <c r="F50" s="10">
        <f t="shared" ref="F50:F53" si="17">G49</f>
        <v>0.5178935185185185</v>
      </c>
      <c r="G50" s="10">
        <v>0.53332175925925929</v>
      </c>
      <c r="H50" s="8">
        <f t="shared" si="1"/>
        <v>1.5428240740740784E-2</v>
      </c>
      <c r="I50" s="11">
        <f t="shared" si="2"/>
        <v>0.53456018518518522</v>
      </c>
      <c r="J50" s="8"/>
      <c r="K50" s="8"/>
      <c r="L50" s="8"/>
      <c r="M50" s="12"/>
      <c r="N50" s="13">
        <f t="shared" si="3"/>
        <v>1.0802700675168762</v>
      </c>
      <c r="O50" s="4"/>
    </row>
    <row r="51" spans="1:23" ht="14.5">
      <c r="A51" s="6">
        <v>45730</v>
      </c>
      <c r="B51" s="7" t="s">
        <v>29</v>
      </c>
      <c r="C51" s="7">
        <v>8</v>
      </c>
      <c r="D51" s="8">
        <f>IFERROR(VLOOKUP($B51,Task!$B$1:$G$65,6,0)," ")</f>
        <v>2.0833333333333333E-3</v>
      </c>
      <c r="E51" s="9">
        <f t="shared" si="0"/>
        <v>1.6666666666666666E-2</v>
      </c>
      <c r="F51" s="10">
        <f t="shared" si="17"/>
        <v>0.53332175925925929</v>
      </c>
      <c r="G51" s="10">
        <v>0.54885416666666675</v>
      </c>
      <c r="H51" s="8">
        <f t="shared" si="1"/>
        <v>1.5532407407407467E-2</v>
      </c>
      <c r="I51" s="11">
        <f t="shared" si="2"/>
        <v>0.54998842592592601</v>
      </c>
      <c r="J51" s="8"/>
      <c r="K51" s="8"/>
      <c r="L51" s="8"/>
      <c r="M51" s="12"/>
      <c r="N51" s="13">
        <f t="shared" si="3"/>
        <v>1.0730253353204131</v>
      </c>
      <c r="O51" s="19"/>
    </row>
    <row r="52" spans="1:23" ht="14.5">
      <c r="A52" s="6">
        <v>45730</v>
      </c>
      <c r="B52" s="7" t="s">
        <v>19</v>
      </c>
      <c r="C52" s="7">
        <v>8</v>
      </c>
      <c r="D52" s="8">
        <f>IFERROR(VLOOKUP($B52,Task!$B$1:$G$65,6,0)," ")</f>
        <v>2.7777777777777779E-3</v>
      </c>
      <c r="E52" s="9">
        <f t="shared" si="0"/>
        <v>2.2222222222222223E-2</v>
      </c>
      <c r="F52" s="10">
        <f t="shared" si="17"/>
        <v>0.54885416666666675</v>
      </c>
      <c r="G52" s="10">
        <v>0.60346064814814815</v>
      </c>
      <c r="H52" s="8">
        <f t="shared" si="1"/>
        <v>2.1157407407407319E-2</v>
      </c>
      <c r="I52" s="11">
        <f t="shared" si="2"/>
        <v>0.60452546296296306</v>
      </c>
      <c r="J52" s="8"/>
      <c r="K52" s="8"/>
      <c r="L52" s="8">
        <v>3.3449074074074076E-2</v>
      </c>
      <c r="M52" s="12"/>
      <c r="N52" s="13">
        <f t="shared" si="3"/>
        <v>1.0503282275711203</v>
      </c>
      <c r="O52" s="19"/>
    </row>
    <row r="53" spans="1:23" ht="14.5">
      <c r="A53" s="6">
        <v>45730</v>
      </c>
      <c r="B53" s="7" t="s">
        <v>18</v>
      </c>
      <c r="C53" s="7">
        <v>2</v>
      </c>
      <c r="D53" s="8">
        <f>IFERROR(VLOOKUP($B53,Task!$B$1:$G$65,6,0)," ")</f>
        <v>4.8611111111111112E-2</v>
      </c>
      <c r="E53" s="9">
        <f t="shared" si="0"/>
        <v>9.7222222222222224E-2</v>
      </c>
      <c r="F53" s="10">
        <f t="shared" si="17"/>
        <v>0.60346064814814815</v>
      </c>
      <c r="G53" s="10">
        <v>0.68888888888888888</v>
      </c>
      <c r="H53" s="8">
        <f t="shared" si="1"/>
        <v>8.5428240740740735E-2</v>
      </c>
      <c r="I53" s="11">
        <f t="shared" si="2"/>
        <v>0.70068287037037036</v>
      </c>
      <c r="J53" s="8"/>
      <c r="K53" s="8"/>
      <c r="L53" s="8"/>
      <c r="M53" s="12"/>
      <c r="N53" s="13">
        <f t="shared" si="3"/>
        <v>1.1380571738246852</v>
      </c>
      <c r="O53" s="19"/>
    </row>
    <row r="54" spans="1:23" ht="14.5">
      <c r="A54" s="32">
        <v>45733</v>
      </c>
      <c r="B54" s="7" t="s">
        <v>42</v>
      </c>
      <c r="C54" s="7">
        <v>1</v>
      </c>
      <c r="D54" s="8">
        <f>IFERROR(VLOOKUP($B54,Task!$B$1:$G$65,6,0)," ")</f>
        <v>6.9444444444444441E-3</v>
      </c>
      <c r="E54" s="9">
        <f t="shared" si="0"/>
        <v>6.9444444444444441E-3</v>
      </c>
      <c r="F54" s="10">
        <v>0.30081018518518521</v>
      </c>
      <c r="G54" s="10">
        <v>0.30760416666666668</v>
      </c>
      <c r="H54" s="8">
        <f t="shared" si="1"/>
        <v>6.7939814814814703E-3</v>
      </c>
      <c r="I54" s="11">
        <f t="shared" si="2"/>
        <v>0.30775462962962963</v>
      </c>
      <c r="J54" s="8"/>
      <c r="K54" s="8"/>
      <c r="L54" s="8"/>
      <c r="M54" s="18"/>
      <c r="N54" s="13">
        <f t="shared" si="3"/>
        <v>1.0221465076661005</v>
      </c>
      <c r="O54" s="19"/>
    </row>
    <row r="55" spans="1:23" ht="14.5">
      <c r="A55" s="6">
        <v>45733</v>
      </c>
      <c r="B55" s="7" t="s">
        <v>43</v>
      </c>
      <c r="C55" s="7">
        <v>1</v>
      </c>
      <c r="D55" s="8">
        <f>IFERROR(VLOOKUP($B55,Task!$B$1:$G$65,6,0)," ")</f>
        <v>3.4722222222222224E-2</v>
      </c>
      <c r="E55" s="9">
        <f t="shared" si="0"/>
        <v>3.4722222222222224E-2</v>
      </c>
      <c r="F55" s="10">
        <f t="shared" ref="F55:F59" si="18">G54</f>
        <v>0.30760416666666668</v>
      </c>
      <c r="G55" s="10">
        <v>0.34032407407407406</v>
      </c>
      <c r="H55" s="8">
        <f t="shared" si="1"/>
        <v>3.2719907407407378E-2</v>
      </c>
      <c r="I55" s="11">
        <f t="shared" si="2"/>
        <v>0.34232638888888889</v>
      </c>
      <c r="J55" s="8"/>
      <c r="K55" s="8"/>
      <c r="L55" s="8"/>
      <c r="M55" s="18"/>
      <c r="N55" s="13">
        <f t="shared" si="3"/>
        <v>1.0611956137247975</v>
      </c>
      <c r="O55" s="19"/>
    </row>
    <row r="56" spans="1:23" ht="14.5">
      <c r="A56" s="6">
        <v>45733</v>
      </c>
      <c r="B56" s="7" t="s">
        <v>18</v>
      </c>
      <c r="C56" s="7">
        <v>1</v>
      </c>
      <c r="D56" s="8">
        <f>IFERROR(VLOOKUP($B56,Task!$B$1:$G$65,6,0)," ")</f>
        <v>4.8611111111111112E-2</v>
      </c>
      <c r="E56" s="9">
        <f t="shared" si="0"/>
        <v>4.8611111111111112E-2</v>
      </c>
      <c r="F56" s="10">
        <f t="shared" si="18"/>
        <v>0.34032407407407406</v>
      </c>
      <c r="G56" s="10">
        <v>0.39663194444444444</v>
      </c>
      <c r="H56" s="8">
        <f t="shared" si="1"/>
        <v>4.4004629629629644E-2</v>
      </c>
      <c r="I56" s="11">
        <f t="shared" si="2"/>
        <v>0.4012384259259259</v>
      </c>
      <c r="J56" s="8"/>
      <c r="K56" s="8"/>
      <c r="L56" s="8">
        <v>1.2303240740740741E-2</v>
      </c>
      <c r="M56" s="18"/>
      <c r="N56" s="13">
        <f t="shared" si="3"/>
        <v>1.1046817464492369</v>
      </c>
      <c r="P56" s="4"/>
    </row>
    <row r="57" spans="1:23" ht="14.5">
      <c r="A57" s="6">
        <v>45733</v>
      </c>
      <c r="B57" s="7" t="s">
        <v>37</v>
      </c>
      <c r="C57" s="7">
        <v>57</v>
      </c>
      <c r="D57" s="8">
        <f>IFERROR(VLOOKUP($B57,Task!$B$1:$G$65,6,0)," ")</f>
        <v>1.3888888888888889E-3</v>
      </c>
      <c r="E57" s="9">
        <f t="shared" si="0"/>
        <v>7.9166666666666663E-2</v>
      </c>
      <c r="F57" s="10">
        <f t="shared" si="18"/>
        <v>0.39663194444444444</v>
      </c>
      <c r="G57" s="10">
        <v>0.47247685185185184</v>
      </c>
      <c r="H57" s="8">
        <f t="shared" si="1"/>
        <v>7.092592592592592E-2</v>
      </c>
      <c r="I57" s="11">
        <f t="shared" si="2"/>
        <v>0.48071759259259256</v>
      </c>
      <c r="J57" s="8"/>
      <c r="K57" s="8"/>
      <c r="L57" s="8">
        <v>4.9189814814814816E-3</v>
      </c>
      <c r="M57" s="18"/>
      <c r="N57" s="13">
        <f t="shared" si="3"/>
        <v>1.1161879895561357</v>
      </c>
      <c r="O57" s="19"/>
      <c r="P57" s="4"/>
    </row>
    <row r="58" spans="1:23" ht="14.5">
      <c r="A58" s="6">
        <v>45733</v>
      </c>
      <c r="B58" s="7" t="s">
        <v>48</v>
      </c>
      <c r="C58" s="7">
        <v>40</v>
      </c>
      <c r="D58" s="8">
        <f>IFERROR(VLOOKUP($B58,Task!$B$1:$G$65,6,0)," ")</f>
        <v>1.736111111111111E-3</v>
      </c>
      <c r="E58" s="9">
        <f t="shared" si="0"/>
        <v>6.9444444444444448E-2</v>
      </c>
      <c r="F58" s="10">
        <f t="shared" si="18"/>
        <v>0.47247685185185184</v>
      </c>
      <c r="G58" s="10">
        <v>0.54107638888888887</v>
      </c>
      <c r="H58" s="8">
        <f t="shared" si="1"/>
        <v>6.3182870370370361E-2</v>
      </c>
      <c r="I58" s="11">
        <f t="shared" si="2"/>
        <v>0.54733796296296289</v>
      </c>
      <c r="J58" s="8"/>
      <c r="K58" s="8"/>
      <c r="L58" s="8">
        <v>5.4166666666666669E-3</v>
      </c>
      <c r="M58" s="12"/>
      <c r="N58" s="13">
        <f t="shared" si="3"/>
        <v>1.0991023997069063</v>
      </c>
      <c r="O58" s="19"/>
      <c r="P58" s="24"/>
    </row>
    <row r="59" spans="1:23" ht="14.5">
      <c r="A59" s="6">
        <v>45733</v>
      </c>
      <c r="B59" s="7" t="s">
        <v>16</v>
      </c>
      <c r="C59" s="7">
        <v>18</v>
      </c>
      <c r="D59" s="8">
        <f>IFERROR(VLOOKUP($B59,Task!$B$1:$G$65,6,0)," ")</f>
        <v>5.5555555555555558E-3</v>
      </c>
      <c r="E59" s="9">
        <f t="shared" si="0"/>
        <v>0.1</v>
      </c>
      <c r="F59" s="10">
        <f t="shared" si="18"/>
        <v>0.54107638888888887</v>
      </c>
      <c r="G59" s="10">
        <v>0.67708333333333337</v>
      </c>
      <c r="H59" s="8">
        <f t="shared" si="1"/>
        <v>8.7870370370370432E-2</v>
      </c>
      <c r="I59" s="11">
        <f t="shared" si="2"/>
        <v>0.68921296296296297</v>
      </c>
      <c r="J59" s="8"/>
      <c r="K59" s="8"/>
      <c r="L59" s="8">
        <v>4.8136574074074075E-2</v>
      </c>
      <c r="M59" s="12"/>
      <c r="N59" s="13">
        <f t="shared" si="3"/>
        <v>1.1380400421496304</v>
      </c>
      <c r="O59" s="25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45734</v>
      </c>
      <c r="B60" s="7" t="s">
        <v>18</v>
      </c>
      <c r="C60" s="7">
        <v>1</v>
      </c>
      <c r="D60" s="8">
        <f>IFERROR(VLOOKUP($B60,Task!$B$1:$G$65,6,0)," ")</f>
        <v>4.8611111111111112E-2</v>
      </c>
      <c r="E60" s="9">
        <f t="shared" si="0"/>
        <v>4.8611111111111112E-2</v>
      </c>
      <c r="F60" s="10">
        <v>0.29947916666666674</v>
      </c>
      <c r="G60" s="10">
        <v>0.34407407407407409</v>
      </c>
      <c r="H60" s="8">
        <f t="shared" si="1"/>
        <v>4.4594907407407347E-2</v>
      </c>
      <c r="I60" s="11">
        <f t="shared" si="2"/>
        <v>0.34809027777777785</v>
      </c>
      <c r="J60" s="8"/>
      <c r="K60" s="8"/>
      <c r="L60" s="8"/>
      <c r="M60" s="12"/>
      <c r="N60" s="13">
        <f t="shared" si="3"/>
        <v>1.0900596937451352</v>
      </c>
      <c r="O60" s="19"/>
      <c r="Q60" s="4"/>
    </row>
    <row r="61" spans="1:23" ht="14.5">
      <c r="A61" s="6">
        <v>45734</v>
      </c>
      <c r="B61" s="7" t="s">
        <v>29</v>
      </c>
      <c r="C61" s="7">
        <v>40</v>
      </c>
      <c r="D61" s="8">
        <f>IFERROR(VLOOKUP($B61,Task!$B$1:$G$65,6,0)," ")</f>
        <v>2.0833333333333333E-3</v>
      </c>
      <c r="E61" s="9">
        <f t="shared" si="0"/>
        <v>8.3333333333333329E-2</v>
      </c>
      <c r="F61" s="10">
        <f t="shared" ref="F61:F63" si="19">G60</f>
        <v>0.34407407407407409</v>
      </c>
      <c r="G61" s="10">
        <v>0.43177083333333333</v>
      </c>
      <c r="H61" s="8">
        <f t="shared" si="1"/>
        <v>7.6967592592592574E-2</v>
      </c>
      <c r="I61" s="11">
        <f t="shared" si="2"/>
        <v>0.43813657407407408</v>
      </c>
      <c r="J61" s="8"/>
      <c r="K61" s="8"/>
      <c r="L61" s="8">
        <v>1.0729166666666666E-2</v>
      </c>
      <c r="M61" s="12"/>
      <c r="N61" s="13">
        <f t="shared" si="3"/>
        <v>1.0827067669172934</v>
      </c>
      <c r="O61" s="19"/>
      <c r="Q61" s="4"/>
    </row>
    <row r="62" spans="1:23" ht="14.5">
      <c r="A62" s="6">
        <v>45734</v>
      </c>
      <c r="B62" s="7" t="s">
        <v>34</v>
      </c>
      <c r="C62" s="7">
        <v>16</v>
      </c>
      <c r="D62" s="8">
        <f>IFERROR(VLOOKUP($B62,Task!$B$1:$G$65,6,0)," ")</f>
        <v>8.3333333333333332E-3</v>
      </c>
      <c r="E62" s="9">
        <f t="shared" si="0"/>
        <v>0.13333333333333333</v>
      </c>
      <c r="F62" s="10">
        <f t="shared" si="19"/>
        <v>0.43177083333333333</v>
      </c>
      <c r="G62" s="10">
        <v>0.59636574074074078</v>
      </c>
      <c r="H62" s="8">
        <f t="shared" si="1"/>
        <v>0.11803240740740745</v>
      </c>
      <c r="I62" s="11">
        <f t="shared" si="2"/>
        <v>0.61166666666666658</v>
      </c>
      <c r="J62" s="8"/>
      <c r="K62" s="8"/>
      <c r="L62" s="8">
        <v>4.65625E-2</v>
      </c>
      <c r="M62" s="18"/>
      <c r="N62" s="13">
        <f t="shared" si="3"/>
        <v>1.1296332614238083</v>
      </c>
      <c r="O62" s="19"/>
    </row>
    <row r="63" spans="1:23" ht="14.5">
      <c r="A63" s="6">
        <v>45734</v>
      </c>
      <c r="B63" s="7" t="s">
        <v>34</v>
      </c>
      <c r="C63" s="7">
        <v>8</v>
      </c>
      <c r="D63" s="8">
        <f>IFERROR(VLOOKUP($B63,Task!$B$1:$G$65,6,0)," ")</f>
        <v>8.3333333333333332E-3</v>
      </c>
      <c r="E63" s="9">
        <f t="shared" si="0"/>
        <v>6.6666666666666666E-2</v>
      </c>
      <c r="F63" s="10">
        <f t="shared" si="19"/>
        <v>0.59636574074074078</v>
      </c>
      <c r="G63" s="10">
        <v>0.67361111111111116</v>
      </c>
      <c r="H63" s="8">
        <f t="shared" si="1"/>
        <v>5.7974537037037047E-2</v>
      </c>
      <c r="I63" s="11">
        <f t="shared" si="2"/>
        <v>0.68230324074074078</v>
      </c>
      <c r="J63" s="8"/>
      <c r="K63" s="8"/>
      <c r="L63" s="8">
        <v>1.9270833333333334E-2</v>
      </c>
      <c r="M63" s="12"/>
      <c r="N63" s="13">
        <f t="shared" si="3"/>
        <v>1.1499301257736072</v>
      </c>
    </row>
    <row r="64" spans="1:23" ht="14.5">
      <c r="A64" s="6">
        <v>45735</v>
      </c>
      <c r="B64" s="7" t="s">
        <v>20</v>
      </c>
      <c r="C64" s="7">
        <v>40</v>
      </c>
      <c r="D64" s="8">
        <f>IFERROR(VLOOKUP($B64,Task!$B$1:$G$65,6,0)," ")</f>
        <v>2.0833333333333333E-3</v>
      </c>
      <c r="E64" s="9">
        <f t="shared" si="0"/>
        <v>8.3333333333333329E-2</v>
      </c>
      <c r="F64" s="10">
        <v>0.29329861111111111</v>
      </c>
      <c r="G64" s="10">
        <v>0.36687500000000001</v>
      </c>
      <c r="H64" s="8">
        <f t="shared" si="1"/>
        <v>7.3576388888888899E-2</v>
      </c>
      <c r="I64" s="11">
        <f t="shared" si="2"/>
        <v>0.37663194444444442</v>
      </c>
      <c r="J64" s="8"/>
      <c r="K64" s="8"/>
      <c r="L64" s="8"/>
      <c r="M64" s="12"/>
      <c r="N64" s="13">
        <f t="shared" si="3"/>
        <v>1.1326097215667765</v>
      </c>
      <c r="O64" s="4"/>
    </row>
    <row r="65" spans="1:15" ht="14.5">
      <c r="A65" s="6">
        <v>45735</v>
      </c>
      <c r="B65" s="7" t="s">
        <v>30</v>
      </c>
      <c r="C65" s="7">
        <v>3</v>
      </c>
      <c r="D65" s="8">
        <f>IFERROR(VLOOKUP($B65,Task!$B$1:$G$65,6,0)," ")</f>
        <v>4.8611111111111112E-2</v>
      </c>
      <c r="E65" s="9">
        <f t="shared" si="0"/>
        <v>0.14583333333333334</v>
      </c>
      <c r="F65" s="10">
        <f t="shared" ref="F65:F66" si="20">G64</f>
        <v>0.36687500000000001</v>
      </c>
      <c r="G65" s="10">
        <v>0.53322916666666664</v>
      </c>
      <c r="H65" s="8">
        <f t="shared" si="1"/>
        <v>0.12980324074074071</v>
      </c>
      <c r="I65" s="11">
        <f t="shared" si="2"/>
        <v>0.54925925925925922</v>
      </c>
      <c r="J65" s="8"/>
      <c r="K65" s="8"/>
      <c r="L65" s="8">
        <v>3.6550925925925924E-2</v>
      </c>
      <c r="M65" s="12"/>
      <c r="N65" s="13">
        <f t="shared" si="3"/>
        <v>1.1234953187695056</v>
      </c>
      <c r="O65" s="19"/>
    </row>
    <row r="66" spans="1:15" ht="14.5">
      <c r="A66" s="6">
        <v>45735</v>
      </c>
      <c r="B66" s="7" t="s">
        <v>34</v>
      </c>
      <c r="C66" s="7">
        <v>12</v>
      </c>
      <c r="D66" s="8">
        <f>IFERROR(VLOOKUP($B66,Task!$B$1:$G$65,6,0)," ")</f>
        <v>8.3333333333333332E-3</v>
      </c>
      <c r="E66" s="9">
        <f t="shared" si="0"/>
        <v>0.1</v>
      </c>
      <c r="F66" s="10">
        <f t="shared" si="20"/>
        <v>0.53322916666666664</v>
      </c>
      <c r="G66" s="10">
        <v>0.67013888888888884</v>
      </c>
      <c r="H66" s="8">
        <f t="shared" si="1"/>
        <v>8.9537037037037012E-2</v>
      </c>
      <c r="I66" s="11">
        <f t="shared" si="2"/>
        <v>0.68060185185185185</v>
      </c>
      <c r="J66" s="8"/>
      <c r="K66" s="8"/>
      <c r="L66" s="8">
        <v>4.7372685185185184E-2</v>
      </c>
      <c r="M66" s="12"/>
      <c r="N66" s="13">
        <f t="shared" si="3"/>
        <v>1.1168562564632889</v>
      </c>
      <c r="O66" s="19"/>
    </row>
    <row r="67" spans="1:15" ht="14.5">
      <c r="A67" s="6">
        <v>45736</v>
      </c>
      <c r="B67" s="7" t="s">
        <v>43</v>
      </c>
      <c r="C67" s="7">
        <v>1</v>
      </c>
      <c r="D67" s="8">
        <f>IFERROR(VLOOKUP($B67,Task!$B$1:$G$65,6,0)," ")</f>
        <v>3.4722222222222224E-2</v>
      </c>
      <c r="E67" s="9">
        <f t="shared" si="0"/>
        <v>3.4722222222222224E-2</v>
      </c>
      <c r="F67" s="10">
        <v>0.30857638888888894</v>
      </c>
      <c r="G67" s="10">
        <v>0.33994212962962961</v>
      </c>
      <c r="H67" s="8">
        <f t="shared" si="1"/>
        <v>3.1365740740740666E-2</v>
      </c>
      <c r="I67" s="11">
        <f t="shared" si="2"/>
        <v>0.34329861111111115</v>
      </c>
      <c r="J67" s="8"/>
      <c r="K67" s="8"/>
      <c r="L67" s="8"/>
      <c r="M67" s="18"/>
      <c r="N67" s="13">
        <f t="shared" si="3"/>
        <v>1.1070110701107039</v>
      </c>
      <c r="O67" s="19"/>
    </row>
    <row r="68" spans="1:15" ht="14.5">
      <c r="A68" s="6">
        <v>45736</v>
      </c>
      <c r="B68" s="7" t="s">
        <v>42</v>
      </c>
      <c r="C68" s="7">
        <v>1</v>
      </c>
      <c r="D68" s="8">
        <f>IFERROR(VLOOKUP($B68,Task!$B$1:$G$65,6,0)," ")</f>
        <v>6.9444444444444441E-3</v>
      </c>
      <c r="E68" s="9">
        <f t="shared" si="0"/>
        <v>6.9444444444444441E-3</v>
      </c>
      <c r="F68" s="10">
        <f t="shared" ref="F68:F69" si="21">G67</f>
        <v>0.33994212962962961</v>
      </c>
      <c r="G68" s="10">
        <v>0.34636574074074078</v>
      </c>
      <c r="H68" s="8">
        <f t="shared" si="1"/>
        <v>6.4236111111111716E-3</v>
      </c>
      <c r="I68" s="11">
        <f t="shared" si="2"/>
        <v>0.34688657407407403</v>
      </c>
      <c r="J68" s="8"/>
      <c r="K68" s="8"/>
      <c r="L68" s="8"/>
      <c r="M68" s="12"/>
      <c r="N68" s="13">
        <f t="shared" si="3"/>
        <v>1.0810810810810709</v>
      </c>
      <c r="O68" s="19"/>
    </row>
    <row r="69" spans="1:15" ht="14.5">
      <c r="A69" s="6">
        <v>45736</v>
      </c>
      <c r="B69" s="7" t="s">
        <v>18</v>
      </c>
      <c r="C69" s="7">
        <v>1</v>
      </c>
      <c r="D69" s="8">
        <f>IFERROR(VLOOKUP($B69,Task!$B$1:$G$65,6,0)," ")</f>
        <v>4.8611111111111112E-2</v>
      </c>
      <c r="E69" s="9">
        <f t="shared" si="0"/>
        <v>4.8611111111111112E-2</v>
      </c>
      <c r="F69" s="10">
        <f t="shared" si="21"/>
        <v>0.34636574074074078</v>
      </c>
      <c r="G69" s="10">
        <v>0.39096064814814824</v>
      </c>
      <c r="H69" s="8">
        <f t="shared" si="1"/>
        <v>4.4594907407407458E-2</v>
      </c>
      <c r="I69" s="11">
        <f t="shared" si="2"/>
        <v>0.39497685185185188</v>
      </c>
      <c r="J69" s="8"/>
      <c r="K69" s="8"/>
      <c r="L69" s="8"/>
      <c r="M69" s="12"/>
      <c r="N69" s="13">
        <f t="shared" si="3"/>
        <v>1.0900596937451323</v>
      </c>
      <c r="O69" s="19"/>
    </row>
    <row r="70" spans="1:15" ht="14.5">
      <c r="A70" s="6">
        <v>45736</v>
      </c>
      <c r="B70" s="7" t="s">
        <v>34</v>
      </c>
      <c r="C70" s="7">
        <v>7</v>
      </c>
      <c r="D70" s="8">
        <f>IFERROR(VLOOKUP($B70,Task!$B$1:$G$65,6,0)," ")</f>
        <v>8.3333333333333332E-3</v>
      </c>
      <c r="E70" s="9">
        <f t="shared" si="0"/>
        <v>5.8333333333333334E-2</v>
      </c>
      <c r="F70" s="10">
        <v>0.39096064814814824</v>
      </c>
      <c r="G70" s="10">
        <v>0.50254629629629632</v>
      </c>
      <c r="H70" s="8">
        <f t="shared" si="1"/>
        <v>5.2256944444444384E-2</v>
      </c>
      <c r="I70" s="11">
        <f t="shared" si="2"/>
        <v>0.50862268518518527</v>
      </c>
      <c r="J70" s="8"/>
      <c r="K70" s="8"/>
      <c r="L70" s="8">
        <v>5.9328703703703703E-2</v>
      </c>
      <c r="M70" s="12"/>
      <c r="N70" s="13">
        <f t="shared" si="3"/>
        <v>1.1162790697674432</v>
      </c>
      <c r="O70" s="19"/>
    </row>
    <row r="71" spans="1:15" ht="14.5">
      <c r="A71" s="6">
        <v>45736</v>
      </c>
      <c r="B71" s="7" t="s">
        <v>19</v>
      </c>
      <c r="C71" s="7">
        <v>5</v>
      </c>
      <c r="D71" s="8">
        <f>IFERROR(VLOOKUP($B71,Task!$B$1:$G$65,6,0)," ")</f>
        <v>2.7777777777777779E-3</v>
      </c>
      <c r="E71" s="9">
        <f t="shared" si="0"/>
        <v>1.388888888888889E-2</v>
      </c>
      <c r="F71" s="10">
        <f t="shared" ref="F71:F72" si="22">G70</f>
        <v>0.50254629629629632</v>
      </c>
      <c r="G71" s="10">
        <v>0.51572916666666668</v>
      </c>
      <c r="H71" s="8">
        <f t="shared" si="1"/>
        <v>1.3182870370370359E-2</v>
      </c>
      <c r="I71" s="11">
        <f t="shared" si="2"/>
        <v>0.51643518518518516</v>
      </c>
      <c r="J71" s="8"/>
      <c r="K71" s="8"/>
      <c r="L71" s="8"/>
      <c r="M71" s="12"/>
      <c r="N71" s="13">
        <f t="shared" si="3"/>
        <v>1.0535557506584734</v>
      </c>
      <c r="O71" s="4"/>
    </row>
    <row r="72" spans="1:15" ht="14.5">
      <c r="A72" s="6">
        <v>45736</v>
      </c>
      <c r="B72" s="7" t="s">
        <v>16</v>
      </c>
      <c r="C72" s="7">
        <v>26</v>
      </c>
      <c r="D72" s="8">
        <f>IFERROR(VLOOKUP($B72,Task!$B$1:$G$65,6,0)," ")</f>
        <v>5.5555555555555558E-3</v>
      </c>
      <c r="E72" s="9">
        <f t="shared" si="0"/>
        <v>0.14444444444444446</v>
      </c>
      <c r="F72" s="10">
        <f t="shared" si="22"/>
        <v>0.51572916666666668</v>
      </c>
      <c r="G72" s="10">
        <v>0.68931635416811332</v>
      </c>
      <c r="H72" s="8">
        <f t="shared" si="1"/>
        <v>0.12289274305700219</v>
      </c>
      <c r="I72" s="11">
        <f t="shared" si="2"/>
        <v>0.71086805555555566</v>
      </c>
      <c r="J72" s="8"/>
      <c r="K72" s="8"/>
      <c r="L72" s="8">
        <v>5.0694444444444445E-2</v>
      </c>
      <c r="M72" s="18"/>
      <c r="N72" s="13">
        <f t="shared" si="3"/>
        <v>1.1753700084426124</v>
      </c>
      <c r="O72" s="19"/>
    </row>
    <row r="73" spans="1:15" ht="14.5">
      <c r="A73" s="6">
        <v>45740</v>
      </c>
      <c r="B73" s="7" t="s">
        <v>36</v>
      </c>
      <c r="C73" s="7">
        <v>95</v>
      </c>
      <c r="D73" s="8">
        <f>IFERROR(VLOOKUP($B73,Task!$B$1:$G$65,6,0)," ")</f>
        <v>6.9444444444444447E-4</v>
      </c>
      <c r="E73" s="9">
        <f t="shared" si="0"/>
        <v>6.5972222222222224E-2</v>
      </c>
      <c r="F73" s="10">
        <v>0.30564814814814822</v>
      </c>
      <c r="G73" s="10">
        <v>0.37432208333484596</v>
      </c>
      <c r="H73" s="8">
        <f t="shared" si="1"/>
        <v>5.6139212964475507E-2</v>
      </c>
      <c r="I73" s="11">
        <f t="shared" si="2"/>
        <v>0.38415509259259267</v>
      </c>
      <c r="J73" s="8"/>
      <c r="K73" s="8"/>
      <c r="L73" s="8">
        <v>1.2534722222222221E-2</v>
      </c>
      <c r="M73" s="18"/>
      <c r="N73" s="13">
        <f t="shared" si="3"/>
        <v>1.1751540276129089</v>
      </c>
      <c r="O73" s="19"/>
    </row>
    <row r="74" spans="1:15" ht="14.5">
      <c r="A74" s="6">
        <v>45740</v>
      </c>
      <c r="B74" s="7" t="s">
        <v>42</v>
      </c>
      <c r="C74" s="7">
        <v>1</v>
      </c>
      <c r="D74" s="8">
        <f>IFERROR(VLOOKUP($B74,Task!$B$1:$G$65,6,0)," ")</f>
        <v>6.9444444444444441E-3</v>
      </c>
      <c r="E74" s="9">
        <f t="shared" si="0"/>
        <v>6.9444444444444441E-3</v>
      </c>
      <c r="F74" s="10">
        <v>0.40057870370370374</v>
      </c>
      <c r="G74" s="10">
        <v>0.40725694444444444</v>
      </c>
      <c r="H74" s="8">
        <f t="shared" si="1"/>
        <v>6.678240740740693E-3</v>
      </c>
      <c r="I74" s="11">
        <f t="shared" si="2"/>
        <v>0.40752314814814816</v>
      </c>
      <c r="J74" s="8"/>
      <c r="K74" s="8"/>
      <c r="L74" s="8"/>
      <c r="M74" s="12"/>
      <c r="N74" s="13">
        <f t="shared" si="3"/>
        <v>1.0398613518197648</v>
      </c>
    </row>
    <row r="75" spans="1:15" ht="14.5">
      <c r="A75" s="6">
        <v>45740</v>
      </c>
      <c r="B75" s="7" t="s">
        <v>43</v>
      </c>
      <c r="C75" s="7">
        <v>1</v>
      </c>
      <c r="D75" s="8">
        <f>IFERROR(VLOOKUP($B75,Task!$B$1:$G$65,6,0)," ")</f>
        <v>3.4722222222222224E-2</v>
      </c>
      <c r="E75" s="9">
        <f t="shared" si="0"/>
        <v>3.4722222222222224E-2</v>
      </c>
      <c r="F75" s="10">
        <f t="shared" ref="F75:F77" si="23">G74</f>
        <v>0.40725694444444444</v>
      </c>
      <c r="G75" s="10">
        <v>0.44996527777777784</v>
      </c>
      <c r="H75" s="8">
        <f t="shared" si="1"/>
        <v>3.1296296296296364E-2</v>
      </c>
      <c r="I75" s="11">
        <f t="shared" si="2"/>
        <v>0.45339120370370367</v>
      </c>
      <c r="J75" s="8"/>
      <c r="K75" s="8"/>
      <c r="L75" s="8">
        <v>1.1412037037037037E-2</v>
      </c>
      <c r="M75" s="12"/>
      <c r="N75" s="13">
        <f t="shared" si="3"/>
        <v>1.1094674556212993</v>
      </c>
    </row>
    <row r="76" spans="1:15" ht="14.5">
      <c r="A76" s="6">
        <v>45740</v>
      </c>
      <c r="B76" s="7" t="s">
        <v>18</v>
      </c>
      <c r="C76" s="7">
        <v>2</v>
      </c>
      <c r="D76" s="8">
        <f>IFERROR(VLOOKUP($B76,Task!$B$1:$G$65,6,0)," ")</f>
        <v>4.8611111111111112E-2</v>
      </c>
      <c r="E76" s="9">
        <f t="shared" si="0"/>
        <v>9.7222222222222224E-2</v>
      </c>
      <c r="F76" s="10">
        <f t="shared" si="23"/>
        <v>0.44996527777777784</v>
      </c>
      <c r="G76" s="10">
        <v>0.54003472222222226</v>
      </c>
      <c r="H76" s="8">
        <f t="shared" si="1"/>
        <v>9.0069444444444424E-2</v>
      </c>
      <c r="I76" s="11">
        <f t="shared" si="2"/>
        <v>0.54718750000000005</v>
      </c>
      <c r="J76" s="8"/>
      <c r="K76" s="8"/>
      <c r="L76" s="8"/>
      <c r="M76" s="12"/>
      <c r="N76" s="13">
        <f t="shared" si="3"/>
        <v>1.0794140323824213</v>
      </c>
      <c r="O76" s="19"/>
    </row>
    <row r="77" spans="1:15" ht="14.5">
      <c r="A77" s="6">
        <v>45740</v>
      </c>
      <c r="B77" s="7" t="s">
        <v>16</v>
      </c>
      <c r="C77" s="7">
        <v>20</v>
      </c>
      <c r="D77" s="8">
        <f>IFERROR(VLOOKUP($B77,Task!$B$1:$G$65,6,0)," ")</f>
        <v>5.5555555555555558E-3</v>
      </c>
      <c r="E77" s="9">
        <f t="shared" si="0"/>
        <v>0.11111111111111112</v>
      </c>
      <c r="F77" s="10">
        <f t="shared" si="23"/>
        <v>0.54003472222222226</v>
      </c>
      <c r="G77" s="10">
        <v>0.6875</v>
      </c>
      <c r="H77" s="8">
        <f t="shared" si="1"/>
        <v>9.7453703703703654E-2</v>
      </c>
      <c r="I77" s="11">
        <f t="shared" si="2"/>
        <v>0.70115740740740751</v>
      </c>
      <c r="J77" s="8"/>
      <c r="K77" s="8"/>
      <c r="L77" s="8">
        <v>5.0011574074074076E-2</v>
      </c>
      <c r="M77" s="12"/>
      <c r="N77" s="13">
        <f t="shared" si="3"/>
        <v>1.1401425178147275</v>
      </c>
      <c r="O77" s="19"/>
    </row>
    <row r="78" spans="1:15" ht="14.5">
      <c r="A78" s="6">
        <v>45741</v>
      </c>
      <c r="B78" s="7" t="s">
        <v>18</v>
      </c>
      <c r="C78" s="7">
        <v>3</v>
      </c>
      <c r="D78" s="8">
        <f>IFERROR(VLOOKUP($B78,Task!$B$1:$G$65,6,0)," ")</f>
        <v>4.8611111111111112E-2</v>
      </c>
      <c r="E78" s="9">
        <f t="shared" si="0"/>
        <v>0.14583333333333334</v>
      </c>
      <c r="F78" s="10">
        <v>0.31570601851851854</v>
      </c>
      <c r="G78" s="10">
        <v>0.45019675925925928</v>
      </c>
      <c r="H78" s="8">
        <f t="shared" si="1"/>
        <v>0.13449074074074074</v>
      </c>
      <c r="I78" s="11">
        <f t="shared" si="2"/>
        <v>0.46153935185185191</v>
      </c>
      <c r="J78" s="8"/>
      <c r="K78" s="8"/>
      <c r="L78" s="8"/>
      <c r="M78" s="12"/>
      <c r="N78" s="13">
        <f t="shared" si="3"/>
        <v>1.0843373493975903</v>
      </c>
      <c r="O78" s="19"/>
    </row>
    <row r="79" spans="1:15" ht="14.5">
      <c r="A79" s="6">
        <v>45741</v>
      </c>
      <c r="B79" s="7" t="s">
        <v>34</v>
      </c>
      <c r="C79" s="7">
        <v>25</v>
      </c>
      <c r="D79" s="8">
        <f>IFERROR(VLOOKUP($B79,Task!$B$1:$G$65,6,0)," ")</f>
        <v>8.3333333333333332E-3</v>
      </c>
      <c r="E79" s="9">
        <f t="shared" si="0"/>
        <v>0.20833333333333334</v>
      </c>
      <c r="F79" s="10">
        <f>G78</f>
        <v>0.45019675925925928</v>
      </c>
      <c r="G79" s="10">
        <v>0.69444444444444442</v>
      </c>
      <c r="H79" s="8">
        <f t="shared" si="1"/>
        <v>0.17767361111111107</v>
      </c>
      <c r="I79" s="11">
        <f t="shared" si="2"/>
        <v>0.72510416666666677</v>
      </c>
      <c r="J79" s="8"/>
      <c r="K79" s="8"/>
      <c r="L79" s="8">
        <v>6.6574074074074077E-2</v>
      </c>
      <c r="M79" s="12"/>
      <c r="N79" s="13">
        <f t="shared" si="3"/>
        <v>1.1725620480750443</v>
      </c>
      <c r="O79" s="4"/>
    </row>
    <row r="80" spans="1:15" ht="14.5">
      <c r="A80" s="6">
        <v>45742</v>
      </c>
      <c r="B80" s="7" t="s">
        <v>34</v>
      </c>
      <c r="C80" s="7">
        <v>5</v>
      </c>
      <c r="D80" s="8">
        <f>IFERROR(VLOOKUP($B80,Task!$B$1:$G$65,6,0)," ")</f>
        <v>8.3333333333333332E-3</v>
      </c>
      <c r="E80" s="9">
        <f t="shared" si="0"/>
        <v>4.1666666666666664E-2</v>
      </c>
      <c r="F80" s="10">
        <v>0.31626157407407407</v>
      </c>
      <c r="G80" s="10">
        <v>0.35342592592592592</v>
      </c>
      <c r="H80" s="8">
        <f t="shared" si="1"/>
        <v>3.7164351851851851E-2</v>
      </c>
      <c r="I80" s="11">
        <f t="shared" si="2"/>
        <v>0.35792824074074076</v>
      </c>
      <c r="J80" s="8"/>
      <c r="K80" s="8"/>
      <c r="L80" s="8"/>
      <c r="M80" s="12"/>
      <c r="N80" s="13">
        <f t="shared" si="3"/>
        <v>1.1211460604173153</v>
      </c>
      <c r="O80" s="19"/>
    </row>
    <row r="81" spans="1:16" ht="14.5">
      <c r="A81" s="6">
        <v>45742</v>
      </c>
      <c r="B81" s="7" t="s">
        <v>18</v>
      </c>
      <c r="C81" s="7">
        <v>1</v>
      </c>
      <c r="D81" s="8">
        <f>IFERROR(VLOOKUP($B81,Task!$B$1:$G$65,6,0)," ")</f>
        <v>4.8611111111111112E-2</v>
      </c>
      <c r="E81" s="9">
        <f t="shared" si="0"/>
        <v>4.8611111111111112E-2</v>
      </c>
      <c r="F81" s="10">
        <f t="shared" ref="F81:F83" si="24">G80</f>
        <v>0.35342592592592592</v>
      </c>
      <c r="G81" s="10">
        <v>0.39724537037037039</v>
      </c>
      <c r="H81" s="8">
        <f t="shared" si="1"/>
        <v>4.3819444444444466E-2</v>
      </c>
      <c r="I81" s="11">
        <f t="shared" si="2"/>
        <v>0.40203703703703703</v>
      </c>
      <c r="J81" s="8"/>
      <c r="K81" s="8"/>
      <c r="L81" s="8"/>
      <c r="M81" s="12"/>
      <c r="N81" s="13">
        <f t="shared" si="3"/>
        <v>1.1093502377179076</v>
      </c>
      <c r="O81" s="4"/>
    </row>
    <row r="82" spans="1:16" ht="14.5">
      <c r="A82" s="6">
        <v>45742</v>
      </c>
      <c r="B82" s="7" t="s">
        <v>79</v>
      </c>
      <c r="C82" s="7">
        <v>95</v>
      </c>
      <c r="D82" s="8">
        <f>IFERROR(VLOOKUP($B82,Task!$B$1:$G$65,6,0)," ")</f>
        <v>1.3888888888888889E-3</v>
      </c>
      <c r="E82" s="9">
        <f t="shared" si="0"/>
        <v>0.13194444444444445</v>
      </c>
      <c r="F82" s="10">
        <f t="shared" si="24"/>
        <v>0.39724537037037039</v>
      </c>
      <c r="G82" s="10">
        <v>0.53700231481481486</v>
      </c>
      <c r="H82" s="8">
        <f t="shared" si="1"/>
        <v>0.11937500000000004</v>
      </c>
      <c r="I82" s="11">
        <f t="shared" si="2"/>
        <v>0.54957175925925927</v>
      </c>
      <c r="J82" s="8"/>
      <c r="K82" s="8"/>
      <c r="L82" s="8">
        <v>2.0381944444444446E-2</v>
      </c>
      <c r="M82" s="12"/>
      <c r="N82" s="13">
        <f t="shared" si="3"/>
        <v>1.1052937754508432</v>
      </c>
    </row>
    <row r="83" spans="1:16" ht="14.5">
      <c r="A83" s="6">
        <v>45742</v>
      </c>
      <c r="B83" s="7" t="s">
        <v>16</v>
      </c>
      <c r="C83" s="7">
        <v>16</v>
      </c>
      <c r="D83" s="8">
        <f>IFERROR(VLOOKUP($B83,Task!$B$1:$G$65,6,0)," ")</f>
        <v>5.5555555555555558E-3</v>
      </c>
      <c r="E83" s="9">
        <f t="shared" si="0"/>
        <v>8.8888888888888892E-2</v>
      </c>
      <c r="F83" s="10">
        <f t="shared" si="24"/>
        <v>0.53700231481481486</v>
      </c>
      <c r="G83" s="10">
        <v>0.69444444444444442</v>
      </c>
      <c r="H83" s="8">
        <f t="shared" si="1"/>
        <v>7.6458333333333267E-2</v>
      </c>
      <c r="I83" s="11">
        <f t="shared" si="2"/>
        <v>0.70687500000000003</v>
      </c>
      <c r="J83" s="8"/>
      <c r="K83" s="8"/>
      <c r="L83" s="8">
        <v>8.098379629629629E-2</v>
      </c>
      <c r="M83" s="18"/>
      <c r="N83" s="13">
        <f t="shared" si="3"/>
        <v>1.1625794732061772</v>
      </c>
      <c r="O83" s="19"/>
    </row>
    <row r="84" spans="1:16" ht="14.5">
      <c r="A84" s="6">
        <v>45743</v>
      </c>
      <c r="B84" s="7" t="s">
        <v>18</v>
      </c>
      <c r="C84" s="7">
        <v>1</v>
      </c>
      <c r="D84" s="8">
        <f>IFERROR(VLOOKUP($B84,Task!$B$1:$G$65,6,0)," ")</f>
        <v>4.8611111111111112E-2</v>
      </c>
      <c r="E84" s="9">
        <f t="shared" si="0"/>
        <v>4.8611111111111112E-2</v>
      </c>
      <c r="F84" s="10">
        <v>0.3605902777777778</v>
      </c>
      <c r="G84" s="10">
        <v>0.40422453703703709</v>
      </c>
      <c r="H84" s="8">
        <f t="shared" si="1"/>
        <v>4.3634259259259289E-2</v>
      </c>
      <c r="I84" s="11">
        <f t="shared" si="2"/>
        <v>0.40920138888888891</v>
      </c>
      <c r="J84" s="8"/>
      <c r="K84" s="8"/>
      <c r="L84" s="8"/>
      <c r="M84" s="12"/>
      <c r="N84" s="13">
        <f t="shared" si="3"/>
        <v>1.1140583554376651</v>
      </c>
      <c r="O84" s="19"/>
    </row>
    <row r="85" spans="1:16" ht="14.5">
      <c r="A85" s="6">
        <v>45743</v>
      </c>
      <c r="B85" s="7" t="s">
        <v>16</v>
      </c>
      <c r="C85" s="7">
        <v>18</v>
      </c>
      <c r="D85" s="8">
        <f>IFERROR(VLOOKUP($B85,Task!$B$1:$G$65,6,0)," ")</f>
        <v>5.5555555555555558E-3</v>
      </c>
      <c r="E85" s="9">
        <f t="shared" si="0"/>
        <v>0.1</v>
      </c>
      <c r="F85" s="10">
        <f t="shared" ref="F85:F87" si="25">G84</f>
        <v>0.40422453703703709</v>
      </c>
      <c r="G85" s="10">
        <v>0.49478009259259259</v>
      </c>
      <c r="H85" s="8">
        <f t="shared" si="1"/>
        <v>9.05555555555555E-2</v>
      </c>
      <c r="I85" s="11">
        <f t="shared" si="2"/>
        <v>0.50422453703703707</v>
      </c>
      <c r="J85" s="8"/>
      <c r="K85" s="8"/>
      <c r="L85" s="8"/>
      <c r="M85" s="12"/>
      <c r="N85" s="13">
        <f t="shared" si="3"/>
        <v>1.1042944785276081</v>
      </c>
      <c r="O85" s="4"/>
    </row>
    <row r="86" spans="1:16" ht="14.5">
      <c r="A86" s="6">
        <v>45743</v>
      </c>
      <c r="B86" s="7" t="s">
        <v>65</v>
      </c>
      <c r="C86" s="7">
        <v>4</v>
      </c>
      <c r="D86" s="8">
        <f>IFERROR(VLOOKUP($B86,Task!$B$1:$G$65,6,0)," ")</f>
        <v>2.0833333333333332E-2</v>
      </c>
      <c r="E86" s="9">
        <f t="shared" si="0"/>
        <v>8.3333333333333329E-2</v>
      </c>
      <c r="F86" s="10">
        <f t="shared" si="25"/>
        <v>0.49478009259259259</v>
      </c>
      <c r="G86" s="10">
        <v>0.61793956018664176</v>
      </c>
      <c r="H86" s="8">
        <f t="shared" si="1"/>
        <v>7.4409467594049164E-2</v>
      </c>
      <c r="I86" s="11">
        <f t="shared" si="2"/>
        <v>0.62686342592592592</v>
      </c>
      <c r="J86" s="8"/>
      <c r="K86" s="8"/>
      <c r="L86" s="8">
        <v>4.8750000000000002E-2</v>
      </c>
      <c r="M86" s="12"/>
      <c r="N86" s="13">
        <f t="shared" si="3"/>
        <v>1.1199291706798591</v>
      </c>
      <c r="O86" s="4"/>
    </row>
    <row r="87" spans="1:16" ht="14.5">
      <c r="A87" s="6">
        <v>45743</v>
      </c>
      <c r="B87" s="7" t="s">
        <v>16</v>
      </c>
      <c r="C87" s="7">
        <v>21</v>
      </c>
      <c r="D87" s="8">
        <f>IFERROR(VLOOKUP($B87,Task!$B$1:$G$65,6,0)," ")</f>
        <v>5.5555555555555558E-3</v>
      </c>
      <c r="E87" s="9">
        <f t="shared" si="0"/>
        <v>0.11666666666666667</v>
      </c>
      <c r="F87" s="10">
        <f t="shared" si="25"/>
        <v>0.61793956018664176</v>
      </c>
      <c r="G87" s="10">
        <v>0.73611111111111116</v>
      </c>
      <c r="H87" s="8">
        <f t="shared" si="1"/>
        <v>0.10625025462817311</v>
      </c>
      <c r="I87" s="11">
        <f t="shared" si="2"/>
        <v>0.7465275231496048</v>
      </c>
      <c r="J87" s="8"/>
      <c r="K87" s="8"/>
      <c r="L87" s="8">
        <v>1.1921296296296296E-2</v>
      </c>
      <c r="M87" s="12"/>
      <c r="N87" s="13">
        <f t="shared" si="3"/>
        <v>1.0980365842411031</v>
      </c>
      <c r="O87" s="4"/>
    </row>
    <row r="88" spans="1:16" ht="14.5">
      <c r="A88" s="6"/>
      <c r="B88" s="7"/>
      <c r="C88" s="7"/>
      <c r="D88" s="8" t="str">
        <f>IFERROR(VLOOKUP($B88,Task!$B$1:$G$65,6,0)," ")</f>
        <v xml:space="preserve"> </v>
      </c>
      <c r="E88" s="9" t="str">
        <f t="shared" si="0"/>
        <v xml:space="preserve"> </v>
      </c>
      <c r="F88" s="10"/>
      <c r="G88" s="10"/>
      <c r="H88" s="8" t="str">
        <f t="shared" si="1"/>
        <v/>
      </c>
      <c r="I88" s="11" t="str">
        <f t="shared" si="2"/>
        <v/>
      </c>
      <c r="J88" s="8"/>
      <c r="K88" s="8"/>
      <c r="L88" s="8"/>
      <c r="M88" s="12"/>
      <c r="N88" s="13" t="str">
        <f t="shared" si="3"/>
        <v xml:space="preserve"> </v>
      </c>
      <c r="O88" s="19"/>
    </row>
    <row r="89" spans="1:16" ht="14.5">
      <c r="A89" s="6"/>
      <c r="B89" s="7"/>
      <c r="C89" s="7"/>
      <c r="D89" s="8" t="str">
        <f>IFERROR(VLOOKUP($B89,Task!$B$1:$G$65,6,0)," ")</f>
        <v xml:space="preserve"> </v>
      </c>
      <c r="E89" s="9" t="str">
        <f t="shared" si="0"/>
        <v xml:space="preserve"> </v>
      </c>
      <c r="F89" s="10"/>
      <c r="G89" s="10"/>
      <c r="H89" s="8" t="str">
        <f t="shared" si="1"/>
        <v/>
      </c>
      <c r="I89" s="11" t="str">
        <f t="shared" si="2"/>
        <v/>
      </c>
      <c r="J89" s="8"/>
      <c r="K89" s="8"/>
      <c r="L89" s="8"/>
      <c r="M89" s="12"/>
      <c r="N89" s="13" t="str">
        <f t="shared" si="3"/>
        <v xml:space="preserve"> </v>
      </c>
      <c r="O89" s="19" t="e">
        <f ca="1">AVERAGEIF(A:A,TODAY(),N:N)</f>
        <v>#DIV/0!</v>
      </c>
      <c r="P89" s="4"/>
    </row>
    <row r="90" spans="1:16" ht="14.5">
      <c r="A90" s="6"/>
      <c r="B90" s="7"/>
      <c r="C90" s="7"/>
      <c r="D90" s="8" t="str">
        <f>IFERROR(VLOOKUP($B90,Task!$B$1:$G$65,6,0)," ")</f>
        <v xml:space="preserve"> </v>
      </c>
      <c r="E90" s="9" t="str">
        <f t="shared" si="0"/>
        <v xml:space="preserve"> </v>
      </c>
      <c r="F90" s="10"/>
      <c r="G90" s="10"/>
      <c r="H90" s="8" t="str">
        <f t="shared" si="1"/>
        <v/>
      </c>
      <c r="I90" s="11" t="str">
        <f t="shared" si="2"/>
        <v/>
      </c>
      <c r="J90" s="8"/>
      <c r="K90" s="8"/>
      <c r="L90" s="8"/>
      <c r="M90" s="12"/>
      <c r="N90" s="13" t="str">
        <f t="shared" si="3"/>
        <v xml:space="preserve"> </v>
      </c>
      <c r="O90" s="19"/>
    </row>
    <row r="91" spans="1:16" ht="14.5">
      <c r="A91" s="6"/>
      <c r="B91" s="7"/>
      <c r="C91" s="7"/>
      <c r="D91" s="8" t="str">
        <f>IFERROR(VLOOKUP($B91,Task!$B$1:$G$65,6,0)," ")</f>
        <v xml:space="preserve"> </v>
      </c>
      <c r="E91" s="9" t="str">
        <f t="shared" si="0"/>
        <v xml:space="preserve"> </v>
      </c>
      <c r="F91" s="10"/>
      <c r="G91" s="10"/>
      <c r="H91" s="8" t="str">
        <f t="shared" si="1"/>
        <v/>
      </c>
      <c r="I91" s="11" t="str">
        <f t="shared" si="2"/>
        <v/>
      </c>
      <c r="J91" s="8"/>
      <c r="K91" s="8"/>
      <c r="L91" s="8"/>
      <c r="M91" s="12"/>
      <c r="N91" s="13" t="str">
        <f t="shared" si="3"/>
        <v xml:space="preserve"> </v>
      </c>
      <c r="O91" s="19"/>
    </row>
    <row r="92" spans="1:16" ht="14.5">
      <c r="A92" s="6"/>
      <c r="B92" s="7"/>
      <c r="C92" s="7"/>
      <c r="D92" s="8" t="str">
        <f>IFERROR(VLOOKUP($B92,Task!$B$1:$G$65,6,0)," ")</f>
        <v xml:space="preserve"> </v>
      </c>
      <c r="E92" s="9" t="str">
        <f t="shared" si="0"/>
        <v xml:space="preserve"> </v>
      </c>
      <c r="F92" s="10"/>
      <c r="G92" s="10"/>
      <c r="H92" s="8" t="str">
        <f t="shared" si="1"/>
        <v/>
      </c>
      <c r="I92" s="11" t="str">
        <f t="shared" si="2"/>
        <v/>
      </c>
      <c r="J92" s="8"/>
      <c r="K92" s="8"/>
      <c r="L92" s="8"/>
      <c r="M92" s="18"/>
      <c r="N92" s="13" t="str">
        <f t="shared" si="3"/>
        <v xml:space="preserve"> </v>
      </c>
      <c r="O92" s="19"/>
    </row>
    <row r="93" spans="1:16" ht="14.5">
      <c r="A93" s="6"/>
      <c r="B93" s="7"/>
      <c r="C93" s="7"/>
      <c r="D93" s="8" t="str">
        <f>IFERROR(VLOOKUP($B93,Task!$B$1:$G$65,6,0)," ")</f>
        <v xml:space="preserve"> </v>
      </c>
      <c r="E93" s="9" t="str">
        <f t="shared" si="0"/>
        <v xml:space="preserve"> </v>
      </c>
      <c r="F93" s="10"/>
      <c r="G93" s="10"/>
      <c r="H93" s="8" t="str">
        <f t="shared" si="1"/>
        <v/>
      </c>
      <c r="I93" s="11" t="str">
        <f t="shared" si="2"/>
        <v/>
      </c>
      <c r="J93" s="8"/>
      <c r="K93" s="8"/>
      <c r="L93" s="8"/>
      <c r="M93" s="12"/>
      <c r="N93" s="13" t="str">
        <f t="shared" si="3"/>
        <v xml:space="preserve"> </v>
      </c>
      <c r="O93" s="19"/>
    </row>
    <row r="94" spans="1:16" ht="14.5">
      <c r="A94" s="6"/>
      <c r="B94" s="7"/>
      <c r="C94" s="7"/>
      <c r="D94" s="8" t="str">
        <f>IFERROR(VLOOKUP($B94,Task!$B$1:$G$65,6,0)," ")</f>
        <v xml:space="preserve"> </v>
      </c>
      <c r="E94" s="9" t="str">
        <f t="shared" si="0"/>
        <v xml:space="preserve"> </v>
      </c>
      <c r="F94" s="10"/>
      <c r="G94" s="10"/>
      <c r="H94" s="8" t="str">
        <f t="shared" si="1"/>
        <v/>
      </c>
      <c r="I94" s="11" t="str">
        <f t="shared" si="2"/>
        <v/>
      </c>
      <c r="J94" s="8"/>
      <c r="K94" s="8"/>
      <c r="L94" s="8"/>
      <c r="M94" s="12"/>
      <c r="N94" s="13" t="str">
        <f t="shared" si="3"/>
        <v xml:space="preserve"> </v>
      </c>
    </row>
    <row r="95" spans="1:16" ht="14.5">
      <c r="A95" s="6"/>
      <c r="B95" s="7"/>
      <c r="C95" s="7"/>
      <c r="D95" s="8" t="str">
        <f>IFERROR(VLOOKUP($B95,Task!$B$1:$G$65,6,0)," ")</f>
        <v xml:space="preserve"> </v>
      </c>
      <c r="E95" s="9" t="str">
        <f t="shared" si="0"/>
        <v xml:space="preserve"> </v>
      </c>
      <c r="F95" s="10"/>
      <c r="G95" s="10"/>
      <c r="H95" s="8" t="str">
        <f t="shared" si="1"/>
        <v/>
      </c>
      <c r="I95" s="11" t="str">
        <f t="shared" si="2"/>
        <v/>
      </c>
      <c r="J95" s="8"/>
      <c r="K95" s="8"/>
      <c r="L95" s="8"/>
      <c r="M95" s="12"/>
      <c r="N95" s="13" t="str">
        <f t="shared" si="3"/>
        <v xml:space="preserve"> </v>
      </c>
      <c r="O95" s="4"/>
    </row>
    <row r="96" spans="1:16" ht="14.5">
      <c r="A96" s="6"/>
      <c r="B96" s="7"/>
      <c r="C96" s="7"/>
      <c r="D96" s="8" t="str">
        <f>IFERROR(VLOOKUP($B96,Task!$B$1:$G$65,6,0)," ")</f>
        <v xml:space="preserve"> </v>
      </c>
      <c r="E96" s="9" t="str">
        <f t="shared" si="0"/>
        <v xml:space="preserve"> </v>
      </c>
      <c r="F96" s="10"/>
      <c r="G96" s="10"/>
      <c r="H96" s="8" t="str">
        <f t="shared" si="1"/>
        <v/>
      </c>
      <c r="I96" s="11" t="str">
        <f t="shared" si="2"/>
        <v/>
      </c>
      <c r="J96" s="8"/>
      <c r="K96" s="8"/>
      <c r="L96" s="8"/>
      <c r="M96" s="12"/>
      <c r="N96" s="13" t="str">
        <f t="shared" si="3"/>
        <v xml:space="preserve"> </v>
      </c>
      <c r="O96" s="19"/>
    </row>
    <row r="97" spans="1:15" ht="14.5">
      <c r="A97" s="6"/>
      <c r="B97" s="7"/>
      <c r="C97" s="7"/>
      <c r="D97" s="8" t="str">
        <f>IFERROR(VLOOKUP($B97,Task!$B$1:$G$65,6,0)," ")</f>
        <v xml:space="preserve"> </v>
      </c>
      <c r="E97" s="9" t="str">
        <f t="shared" si="0"/>
        <v xml:space="preserve"> </v>
      </c>
      <c r="F97" s="10"/>
      <c r="G97" s="10"/>
      <c r="H97" s="8" t="str">
        <f t="shared" si="1"/>
        <v/>
      </c>
      <c r="I97" s="11" t="str">
        <f t="shared" si="2"/>
        <v/>
      </c>
      <c r="J97" s="8"/>
      <c r="K97" s="8"/>
      <c r="L97" s="8"/>
      <c r="M97" s="12"/>
      <c r="N97" s="13" t="str">
        <f t="shared" si="3"/>
        <v xml:space="preserve"> </v>
      </c>
      <c r="O97" s="19"/>
    </row>
    <row r="98" spans="1:15" ht="14.5">
      <c r="A98" s="6"/>
      <c r="B98" s="7"/>
      <c r="C98" s="7"/>
      <c r="D98" s="8" t="str">
        <f>IFERROR(VLOOKUP($B98,Task!$B$1:$G$65,6,0)," ")</f>
        <v xml:space="preserve"> </v>
      </c>
      <c r="E98" s="9" t="str">
        <f t="shared" si="0"/>
        <v xml:space="preserve"> </v>
      </c>
      <c r="F98" s="10"/>
      <c r="G98" s="10"/>
      <c r="H98" s="8" t="str">
        <f t="shared" si="1"/>
        <v/>
      </c>
      <c r="I98" s="11" t="str">
        <f t="shared" si="2"/>
        <v/>
      </c>
      <c r="J98" s="8"/>
      <c r="K98" s="8"/>
      <c r="L98" s="8"/>
      <c r="M98" s="18"/>
      <c r="N98" s="13" t="str">
        <f t="shared" si="3"/>
        <v xml:space="preserve"> </v>
      </c>
    </row>
    <row r="99" spans="1:15" ht="14.5">
      <c r="A99" s="6"/>
      <c r="B99" s="7"/>
      <c r="C99" s="7"/>
      <c r="D99" s="8" t="str">
        <f>IFERROR(VLOOKUP($B99,Task!$B$1:$G$65,6,0)," ")</f>
        <v xml:space="preserve"> </v>
      </c>
      <c r="E99" s="9" t="str">
        <f t="shared" si="0"/>
        <v xml:space="preserve"> </v>
      </c>
      <c r="F99" s="10"/>
      <c r="G99" s="10"/>
      <c r="H99" s="8" t="str">
        <f t="shared" si="1"/>
        <v/>
      </c>
      <c r="I99" s="11" t="str">
        <f t="shared" si="2"/>
        <v/>
      </c>
      <c r="J99" s="8"/>
      <c r="K99" s="8"/>
      <c r="L99" s="8"/>
      <c r="M99" s="18"/>
      <c r="N99" s="13" t="str">
        <f t="shared" si="3"/>
        <v xml:space="preserve"> </v>
      </c>
      <c r="O99" s="19"/>
    </row>
    <row r="100" spans="1:15" ht="14.5">
      <c r="A100" s="6"/>
      <c r="B100" s="7"/>
      <c r="C100" s="7"/>
      <c r="D100" s="8" t="str">
        <f>IFERROR(VLOOKUP($B100,Task!$B$1:$G$65,6,0)," ")</f>
        <v xml:space="preserve"> </v>
      </c>
      <c r="E100" s="9" t="str">
        <f t="shared" si="0"/>
        <v xml:space="preserve"> </v>
      </c>
      <c r="F100" s="10"/>
      <c r="G100" s="10"/>
      <c r="H100" s="8" t="str">
        <f t="shared" si="1"/>
        <v/>
      </c>
      <c r="I100" s="11" t="str">
        <f t="shared" si="2"/>
        <v/>
      </c>
      <c r="J100" s="8"/>
      <c r="K100" s="8"/>
      <c r="L100" s="8"/>
      <c r="M100" s="18"/>
      <c r="N100" s="13" t="str">
        <f t="shared" si="3"/>
        <v xml:space="preserve"> </v>
      </c>
      <c r="O100" s="19"/>
    </row>
    <row r="101" spans="1:15" ht="14.5">
      <c r="A101" s="6"/>
      <c r="B101" s="7"/>
      <c r="C101" s="7"/>
      <c r="D101" s="8" t="str">
        <f>IFERROR(VLOOKUP($B101,Task!$B$1:$G$65,6,0)," ")</f>
        <v xml:space="preserve"> </v>
      </c>
      <c r="E101" s="9" t="str">
        <f t="shared" si="0"/>
        <v xml:space="preserve"> </v>
      </c>
      <c r="F101" s="10"/>
      <c r="G101" s="10"/>
      <c r="H101" s="8" t="str">
        <f t="shared" si="1"/>
        <v/>
      </c>
      <c r="I101" s="11" t="str">
        <f t="shared" si="2"/>
        <v/>
      </c>
      <c r="J101" s="8"/>
      <c r="K101" s="8"/>
      <c r="L101" s="8"/>
      <c r="M101" s="12"/>
      <c r="N101" s="13" t="str">
        <f t="shared" si="3"/>
        <v xml:space="preserve"> </v>
      </c>
      <c r="O101" s="19"/>
    </row>
    <row r="102" spans="1:15" ht="14.5">
      <c r="A102" s="6"/>
      <c r="B102" s="7"/>
      <c r="C102" s="7"/>
      <c r="D102" s="8" t="str">
        <f>IFERROR(VLOOKUP($B102,Task!$B$1:$G$65,6,0)," ")</f>
        <v xml:space="preserve"> </v>
      </c>
      <c r="E102" s="9" t="str">
        <f t="shared" si="0"/>
        <v xml:space="preserve"> </v>
      </c>
      <c r="F102" s="10"/>
      <c r="G102" s="10"/>
      <c r="H102" s="8" t="str">
        <f t="shared" si="1"/>
        <v/>
      </c>
      <c r="I102" s="11" t="str">
        <f t="shared" si="2"/>
        <v/>
      </c>
      <c r="J102" s="8"/>
      <c r="K102" s="8"/>
      <c r="L102" s="8"/>
      <c r="M102" s="12"/>
      <c r="N102" s="13" t="str">
        <f t="shared" si="3"/>
        <v xml:space="preserve"> </v>
      </c>
    </row>
    <row r="103" spans="1:15" ht="14.5">
      <c r="A103" s="6"/>
      <c r="B103" s="7"/>
      <c r="C103" s="7"/>
      <c r="D103" s="8" t="str">
        <f>IFERROR(VLOOKUP($B103,Task!$B$1:$G$65,6,0)," ")</f>
        <v xml:space="preserve"> </v>
      </c>
      <c r="E103" s="9" t="str">
        <f t="shared" si="0"/>
        <v xml:space="preserve"> </v>
      </c>
      <c r="F103" s="10"/>
      <c r="G103" s="10"/>
      <c r="H103" s="8" t="str">
        <f t="shared" si="1"/>
        <v/>
      </c>
      <c r="I103" s="11" t="str">
        <f t="shared" si="2"/>
        <v/>
      </c>
      <c r="J103" s="8"/>
      <c r="K103" s="8"/>
      <c r="L103" s="8"/>
      <c r="M103" s="12"/>
      <c r="N103" s="13" t="str">
        <f t="shared" si="3"/>
        <v xml:space="preserve"> </v>
      </c>
      <c r="O103" s="19"/>
    </row>
    <row r="104" spans="1:15" ht="14.5">
      <c r="A104" s="6"/>
      <c r="B104" s="7"/>
      <c r="C104" s="7"/>
      <c r="D104" s="8" t="str">
        <f>IFERROR(VLOOKUP($B104,Task!$B$1:$G$65,6,0)," ")</f>
        <v xml:space="preserve"> </v>
      </c>
      <c r="E104" s="9" t="str">
        <f t="shared" si="0"/>
        <v xml:space="preserve"> </v>
      </c>
      <c r="F104" s="10"/>
      <c r="G104" s="10"/>
      <c r="H104" s="8" t="str">
        <f t="shared" si="1"/>
        <v/>
      </c>
      <c r="I104" s="11" t="str">
        <f t="shared" si="2"/>
        <v/>
      </c>
      <c r="J104" s="8"/>
      <c r="K104" s="8"/>
      <c r="L104" s="8"/>
      <c r="M104" s="12"/>
      <c r="N104" s="13" t="str">
        <f t="shared" si="3"/>
        <v xml:space="preserve"> </v>
      </c>
    </row>
    <row r="105" spans="1:15" ht="14.5">
      <c r="A105" s="6"/>
      <c r="B105" s="7"/>
      <c r="C105" s="7"/>
      <c r="D105" s="8" t="str">
        <f>IFERROR(VLOOKUP($B105,Task!$B$1:$G$65,6,0)," ")</f>
        <v xml:space="preserve"> </v>
      </c>
      <c r="E105" s="9" t="str">
        <f t="shared" si="0"/>
        <v xml:space="preserve"> </v>
      </c>
      <c r="F105" s="10"/>
      <c r="G105" s="10"/>
      <c r="H105" s="8" t="str">
        <f t="shared" si="1"/>
        <v/>
      </c>
      <c r="I105" s="11" t="str">
        <f t="shared" si="2"/>
        <v/>
      </c>
      <c r="J105" s="8"/>
      <c r="K105" s="8"/>
      <c r="L105" s="8"/>
      <c r="M105" s="12"/>
      <c r="N105" s="13" t="str">
        <f t="shared" si="3"/>
        <v xml:space="preserve"> </v>
      </c>
      <c r="O105" s="4"/>
    </row>
    <row r="106" spans="1:15" ht="14.5">
      <c r="A106" s="6"/>
      <c r="B106" s="7"/>
      <c r="C106" s="7"/>
      <c r="D106" s="8" t="str">
        <f>IFERROR(VLOOKUP($B106,Task!$B$1:$G$65,6,0)," ")</f>
        <v xml:space="preserve"> </v>
      </c>
      <c r="E106" s="9" t="str">
        <f t="shared" si="0"/>
        <v xml:space="preserve"> </v>
      </c>
      <c r="F106" s="10"/>
      <c r="G106" s="10"/>
      <c r="H106" s="8" t="str">
        <f t="shared" si="1"/>
        <v/>
      </c>
      <c r="I106" s="11" t="str">
        <f t="shared" si="2"/>
        <v/>
      </c>
      <c r="J106" s="8"/>
      <c r="K106" s="8"/>
      <c r="L106" s="8"/>
      <c r="M106" s="12"/>
      <c r="N106" s="13" t="str">
        <f t="shared" si="3"/>
        <v xml:space="preserve"> </v>
      </c>
      <c r="O106" s="19"/>
    </row>
    <row r="107" spans="1:15" ht="14.5">
      <c r="A107" s="6"/>
      <c r="B107" s="7"/>
      <c r="C107" s="7"/>
      <c r="D107" s="8" t="str">
        <f>IFERROR(VLOOKUP($B107,Task!$B$1:$G$65,6,0)," ")</f>
        <v xml:space="preserve"> </v>
      </c>
      <c r="E107" s="9" t="str">
        <f t="shared" si="0"/>
        <v xml:space="preserve"> </v>
      </c>
      <c r="F107" s="10"/>
      <c r="G107" s="10"/>
      <c r="H107" s="8" t="str">
        <f t="shared" si="1"/>
        <v/>
      </c>
      <c r="I107" s="11" t="str">
        <f t="shared" si="2"/>
        <v/>
      </c>
      <c r="J107" s="8"/>
      <c r="K107" s="8"/>
      <c r="L107" s="8"/>
      <c r="M107" s="12"/>
      <c r="N107" s="13" t="str">
        <f t="shared" si="3"/>
        <v xml:space="preserve"> </v>
      </c>
    </row>
    <row r="108" spans="1:15" ht="14.5">
      <c r="A108" s="6"/>
      <c r="B108" s="7"/>
      <c r="C108" s="7"/>
      <c r="D108" s="8" t="str">
        <f>IFERROR(VLOOKUP($B108,Task!$B$1:$G$65,6,0)," ")</f>
        <v xml:space="preserve"> </v>
      </c>
      <c r="E108" s="9" t="str">
        <f t="shared" si="0"/>
        <v xml:space="preserve"> </v>
      </c>
      <c r="F108" s="10"/>
      <c r="G108" s="8"/>
      <c r="H108" s="8" t="str">
        <f t="shared" si="1"/>
        <v/>
      </c>
      <c r="I108" s="11" t="str">
        <f t="shared" si="2"/>
        <v/>
      </c>
      <c r="J108" s="8"/>
      <c r="K108" s="8"/>
      <c r="L108" s="8"/>
      <c r="M108" s="12"/>
      <c r="N108" s="13" t="str">
        <f t="shared" si="3"/>
        <v xml:space="preserve"> </v>
      </c>
    </row>
    <row r="109" spans="1:15" ht="14.5">
      <c r="A109" s="6"/>
      <c r="B109" s="7"/>
      <c r="C109" s="7"/>
      <c r="D109" s="8" t="str">
        <f>IFERROR(VLOOKUP($B109,Task!$B$1:$G$65,6,0)," ")</f>
        <v xml:space="preserve"> </v>
      </c>
      <c r="E109" s="9" t="str">
        <f t="shared" si="0"/>
        <v xml:space="preserve"> </v>
      </c>
      <c r="F109" s="10"/>
      <c r="G109" s="10"/>
      <c r="H109" s="8" t="str">
        <f t="shared" si="1"/>
        <v/>
      </c>
      <c r="I109" s="11" t="str">
        <f t="shared" si="2"/>
        <v/>
      </c>
      <c r="J109" s="8"/>
      <c r="K109" s="8"/>
      <c r="L109" s="8"/>
      <c r="M109" s="12"/>
      <c r="N109" s="13" t="str">
        <f t="shared" si="3"/>
        <v xml:space="preserve"> </v>
      </c>
    </row>
    <row r="110" spans="1:15" ht="14.5">
      <c r="A110" s="6"/>
      <c r="B110" s="7"/>
      <c r="C110" s="7"/>
      <c r="D110" s="8" t="str">
        <f>IFERROR(VLOOKUP($B110,Task!$B$1:$G$65,6,0),"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5" ht="14.5">
      <c r="A111" s="6"/>
      <c r="B111" s="7"/>
      <c r="C111" s="7"/>
      <c r="D111" s="8" t="str">
        <f>IFERROR(VLOOKUP($B111,Task!$B$1:$G$65,6,0),"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5" ht="14.5">
      <c r="A112" s="6"/>
      <c r="B112" s="7"/>
      <c r="C112" s="7"/>
      <c r="D112" s="8" t="str">
        <f>IFERROR(VLOOKUP($B112,Task!$B$1:$G$65,6,0),"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2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IFERROR(VLOOKUP($B113,Task!$B$1:$G$65,6,0),"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IFERROR(VLOOKUP($B114,Task!$B$1:$G$65,6,0),"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IFERROR(VLOOKUP($B115,Task!$B$1:$G$65,6,0),"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2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IFERROR(VLOOKUP($B116,Task!$B$1:$G$65,6,0),"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 t="e">
        <f ca="1">AVERAGEIF(A:A,TODAY(),N:N)</f>
        <v>#DIV/0!</v>
      </c>
    </row>
    <row r="117" spans="1:15" ht="14.5">
      <c r="A117" s="6"/>
      <c r="B117" s="7"/>
      <c r="C117" s="7"/>
      <c r="D117" s="8" t="str">
        <f>IFERROR(VLOOKUP($B117,Task!$B$1:$G$65,6,0),"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IFERROR(VLOOKUP($B118,Task!$B$1:$G$65,6,0),"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IFERROR(VLOOKUP($B119,Task!$B$1:$G$65,6,0),"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IFERROR(VLOOKUP($B120,Task!$B$1:$G$65,6,0),"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IFERROR(VLOOKUP($B121,Task!$B$1:$G$65,6,0),"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IFERROR(VLOOKUP($B122,Task!$B$1:$G$65,6,0),"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IFERROR(VLOOKUP($B123,Task!$B$1:$G$65,6,0),"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IFERROR(VLOOKUP($B124,Task!$B$1:$G$65,6,0),"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IFERROR(VLOOKUP($B125,Task!$B$1:$G$65,6,0),"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IFERROR(VLOOKUP($B126,Task!$B$1:$G$65,6,0),"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IFERROR(VLOOKUP($B127,Task!$B$1:$G$65,6,0),"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IFERROR(VLOOKUP($B128,Task!$B$1:$G$65,6,0),"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IFERROR(VLOOKUP($B129,Task!$B$1:$G$65,6,0),"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IFERROR(VLOOKUP($B130,Task!$B$1:$G$65,6,0),"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IFERROR(VLOOKUP($B131,Task!$B$1:$G$65,6,0),"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IFERROR(VLOOKUP($B132,Task!$B$1:$G$65,6,0),"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IFERROR(VLOOKUP($B133,Task!$B$1:$G$65,6,0),"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IFERROR(VLOOKUP($B134,Task!$B$1:$G$65,6,0),"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IFERROR(VLOOKUP($B135,Task!$B$1:$G$65,6,0),"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IFERROR(VLOOKUP($B136,Task!$B$1:$G$65,6,0),"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IFERROR(VLOOKUP($B137,Task!$B$1:$G$65,6,0),"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IFERROR(VLOOKUP($B138,Task!$B$1:$G$65,6,0),"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IFERROR(VLOOKUP($B139,Task!$B$1:$G$65,6,0),"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IFERROR(VLOOKUP($B140,Task!$B$1:$G$65,6,0),"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IFERROR(VLOOKUP($B141,Task!$B$1:$G$65,6,0),"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IFERROR(VLOOKUP($B142,Task!$B$1:$G$65,6,0),"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IFERROR(VLOOKUP($B143,Task!$B$1:$G$65,6,0),"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IFERROR(VLOOKUP($B144,Task!$B$1:$G$65,6,0),"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IFERROR(VLOOKUP($B145,Task!$B$1:$G$65,6,0),"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IFERROR(VLOOKUP($B146,Task!$B$1:$G$65,6,0),"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IFERROR(VLOOKUP($B147,Task!$B$1:$G$65,6,0),"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IFERROR(VLOOKUP($B148,Task!$B$1:$G$65,6,0),"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IFERROR(VLOOKUP($B149,Task!$B$1:$G$65,6,0),"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IFERROR(VLOOKUP($B150,Task!$B$1:$G$65,6,0),"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IFERROR(VLOOKUP($B151,Task!$B$1:$G$65,6,0),"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IFERROR(VLOOKUP($B152,Task!$B$1:$G$65,6,0),"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IFERROR(VLOOKUP($B153,Task!$B$1:$G$65,6,0),"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IFERROR(VLOOKUP($B154,Task!$B$1:$G$65,6,0),"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IFERROR(VLOOKUP($B155,Task!$B$1:$G$65,6,0),"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IFERROR(VLOOKUP($B156,Task!$B$1:$G$65,6,0),"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IFERROR(VLOOKUP($B157,Task!$B$1:$G$65,6,0),"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IFERROR(VLOOKUP($B158,Task!$B$1:$G$65,6,0),"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IFERROR(VLOOKUP($B159,Task!$B$1:$G$65,6,0),"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IFERROR(VLOOKUP($B160,Task!$B$1:$G$65,6,0),"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IFERROR(VLOOKUP($B161,Task!$B$1:$G$65,6,0),"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IFERROR(VLOOKUP($B162,Task!$B$1:$G$65,6,0),"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IFERROR(VLOOKUP($B163,Task!$B$1:$G$65,6,0),"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IFERROR(VLOOKUP($B164,Task!$B$1:$G$65,6,0),"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IFERROR(VLOOKUP($B165,Task!$B$1:$G$65,6,0),"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IFERROR(VLOOKUP($B166,Task!$B$1:$G$65,6,0),"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IFERROR(VLOOKUP($B167,Task!$B$1:$G$65,6,0),"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IFERROR(VLOOKUP($B168,Task!$B$1:$G$65,6,0),"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IFERROR(VLOOKUP($B169,Task!$B$1:$G$65,6,0),"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IFERROR(VLOOKUP($B170,Task!$B$1:$G$65,6,0),"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IFERROR(VLOOKUP($B171,Task!$B$1:$G$65,6,0),"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IFERROR(VLOOKUP($B172,Task!$B$1:$G$65,6,0),"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IFERROR(VLOOKUP($B173,Task!$B$1:$G$65,6,0),"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IFERROR(VLOOKUP($B174,Task!$B$1:$G$65,6,0),"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IFERROR(VLOOKUP($B175,Task!$B$1:$G$65,6,0),"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IFERROR(VLOOKUP($B176,Task!$B$1:$G$65,6,0),"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IFERROR(VLOOKUP($B177,Task!$B$1:$G$65,6,0),"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IFERROR(VLOOKUP($B178,Task!$B$1:$G$65,6,0),"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IFERROR(VLOOKUP($B179,Task!$B$1:$G$65,6,0),"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IFERROR(VLOOKUP($B180,Task!$B$1:$G$65,6,0),"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IFERROR(VLOOKUP($B181,Task!$B$1:$G$65,6,0),"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IFERROR(VLOOKUP($B182,Task!$B$1:$G$65,6,0),"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IFERROR(VLOOKUP($B183,Task!$B$1:$G$65,6,0),"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IFERROR(VLOOKUP($B184,Task!$B$1:$G$65,6,0),"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IFERROR(VLOOKUP($B185,Task!$B$1:$G$65,6,0),"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IFERROR(VLOOKUP($B186,Task!$B$1:$G$65,6,0),"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IFERROR(VLOOKUP($B187,Task!$B$1:$G$65,6,0),"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IFERROR(VLOOKUP($B188,Task!$B$1:$G$65,6,0),"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IFERROR(VLOOKUP($B189,Task!$B$1:$G$65,6,0),"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IFERROR(VLOOKUP($B190,Task!$B$1:$G$65,6,0),"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IFERROR(VLOOKUP($B191,Task!$B$1:$G$65,6,0),"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IFERROR(VLOOKUP($B192,Task!$B$1:$G$65,6,0),"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IFERROR(VLOOKUP($B193,Task!$B$1:$G$65,6,0),"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IFERROR(VLOOKUP($B194,Task!$B$1:$G$65,6,0),"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IFERROR(VLOOKUP($B195,Task!$B$1:$G$65,6,0),"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IFERROR(VLOOKUP($B196,Task!$B$1:$G$65,6,0),"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IFERROR(VLOOKUP($B197,Task!$B$1:$G$65,6,0),"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IFERROR(VLOOKUP($B198,Task!$B$1:$G$65,6,0),"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IFERROR(VLOOKUP($B199,Task!$B$1:$G$65,6,0),"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IFERROR(VLOOKUP($B200,Task!$B$1:$G$65,6,0),"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IFERROR(VLOOKUP($B201,Task!$B$1:$G$65,6,0),"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IFERROR(VLOOKUP($B202,Task!$B$1:$G$65,6,0),"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IFERROR(VLOOKUP($B203,Task!$B$1:$G$65,6,0),"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IFERROR(VLOOKUP($B204,Task!$B$1:$G$65,6,0),"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IFERROR(VLOOKUP($B205,Task!$B$1:$G$65,6,0),"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IFERROR(VLOOKUP($B206,Task!$B$1:$G$65,6,0),"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/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1" xr:uid="{00000000-0009-0000-0000-000004000000}"/>
  <conditionalFormatting sqref="N2:N206">
    <cfRule type="expression" dxfId="11" priority="1">
      <formula>A2=TODAY()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Task!$B$2:$B$65</xm:f>
          </x14:formula1>
          <xm:sqref>B2:B206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993"/>
  <sheetViews>
    <sheetView workbookViewId="0">
      <pane ySplit="4" topLeftCell="A89" activePane="bottomLeft" state="frozen"/>
      <selection pane="bottomLeft" activeCell="A98" sqref="A98"/>
    </sheetView>
  </sheetViews>
  <sheetFormatPr defaultColWidth="12.6328125" defaultRowHeight="15.75" customHeight="1"/>
  <cols>
    <col min="1" max="1" width="10.453125" bestFit="1" customWidth="1"/>
    <col min="2" max="2" width="38.4531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9.7265625" customWidth="1"/>
    <col min="8" max="8" width="11.269531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7" width="10.26953125" customWidth="1"/>
    <col min="18" max="18" width="8" customWidth="1"/>
    <col min="19" max="19" width="11.6328125" customWidth="1"/>
    <col min="20" max="20" width="14" customWidth="1"/>
    <col min="21" max="21" width="7.453125" customWidth="1"/>
    <col min="23" max="23" width="13.6328125" customWidth="1"/>
  </cols>
  <sheetData>
    <row r="1" spans="1:2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0.22916666666666666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45691</v>
      </c>
      <c r="B2" s="7" t="s">
        <v>43</v>
      </c>
      <c r="C2" s="7">
        <v>1</v>
      </c>
      <c r="D2" s="8">
        <f>IFERROR(VLOOKUP($B2,Task!$B$1:$G$65,6,0)," ")</f>
        <v>3.4722222222222224E-2</v>
      </c>
      <c r="E2" s="9">
        <f t="shared" ref="E2:E206" si="0">IFERROR(D2*C2," ")</f>
        <v>3.4722222222222224E-2</v>
      </c>
      <c r="F2" s="10">
        <v>0.37659722222222225</v>
      </c>
      <c r="G2" s="10">
        <v>0.40811342592592592</v>
      </c>
      <c r="H2" s="8">
        <f t="shared" ref="H2:H206" si="1">IF(G2="","", IF(L2=" ",IF(OR(F2=0,G2=0),"",G2-F2),((G2-F2)-L2)))</f>
        <v>3.1516203703703671E-2</v>
      </c>
      <c r="I2" s="11">
        <f t="shared" ref="I2:I206" si="2">IFERROR(IF(L2=" ",(F2+E2),(F2+E2+L2)),"")</f>
        <v>0.41131944444444446</v>
      </c>
      <c r="J2" s="8"/>
      <c r="K2" s="8"/>
      <c r="L2" s="8"/>
      <c r="M2" s="12"/>
      <c r="N2" s="13">
        <f t="shared" ref="N2:N206" si="3">IFERROR(E2/H2," ")</f>
        <v>1.1017260374586864</v>
      </c>
      <c r="O2" s="8">
        <v>0.61469907407407409</v>
      </c>
      <c r="P2" s="14">
        <f ca="1">IFERROR(__xludf.DUMMYFUNCTION("UNIQUE($A$2:$A$993)"),45691)</f>
        <v>45691</v>
      </c>
      <c r="Q2" s="15">
        <f ca="1">SUMIF($A:$A,$P2,$E:$E)</f>
        <v>0.34375</v>
      </c>
      <c r="R2" s="15">
        <f ca="1">SUMIF($A:$A,$P2,$H:$H)</f>
        <v>0.32901620370370366</v>
      </c>
      <c r="S2" s="15">
        <f t="shared" ref="S2:S18" ca="1" si="4">IF(OR(R2="",R2&gt;=$U$1)," ",$U$1-R2)</f>
        <v>4.3171296296296569E-3</v>
      </c>
      <c r="T2" s="16">
        <f t="shared" ref="T2:T23" ca="1" si="5">IFERROR(AVERAGEIF($A:$A,$P2,$N:$N)," ")</f>
        <v>1.0644296143897294</v>
      </c>
      <c r="U2" s="17"/>
    </row>
    <row r="3" spans="1:21" ht="15.75" customHeight="1">
      <c r="A3" s="6">
        <v>45691</v>
      </c>
      <c r="B3" s="7" t="s">
        <v>42</v>
      </c>
      <c r="C3" s="7">
        <v>1</v>
      </c>
      <c r="D3" s="8">
        <f>IFERROR(VLOOKUP($B3,Task!$B$1:$G$65,6,0)," ")</f>
        <v>6.9444444444444441E-3</v>
      </c>
      <c r="E3" s="9">
        <f t="shared" si="0"/>
        <v>6.9444444444444441E-3</v>
      </c>
      <c r="F3" s="10">
        <f t="shared" ref="F3:F6" si="6">G2</f>
        <v>0.40811342592592592</v>
      </c>
      <c r="G3" s="8">
        <v>0.41453703703703704</v>
      </c>
      <c r="H3" s="8">
        <f t="shared" si="1"/>
        <v>6.423611111111116E-3</v>
      </c>
      <c r="I3" s="11">
        <f t="shared" si="2"/>
        <v>0.41505787037037034</v>
      </c>
      <c r="J3" s="8"/>
      <c r="K3" s="8"/>
      <c r="L3" s="8"/>
      <c r="M3" s="12"/>
      <c r="N3" s="13">
        <f t="shared" si="3"/>
        <v>1.0810810810810803</v>
      </c>
      <c r="O3" s="8">
        <f>O2-O1</f>
        <v>0.38553240740740746</v>
      </c>
      <c r="P3" s="14">
        <f ca="1">IFERROR(__xludf.DUMMYFUNCTION("""COMPUTED_VALUE"""),45692)</f>
        <v>45692</v>
      </c>
      <c r="Q3" s="15">
        <f t="shared" ref="Q3:Q23" ca="1" si="7">IF(SUMIF($A:$A,$P3,$E:$E)=0,"",SUMIF($A:$A,$P3,$E:$E))</f>
        <v>0.33055555555555555</v>
      </c>
      <c r="R3" s="15">
        <f t="shared" ref="R3:R23" ca="1" si="8">IF(SUMIF($A:$A,$P3,$H:$H)=0,"",SUMIF($A:$A,$P3,$H:$H))</f>
        <v>0.31247363426102781</v>
      </c>
      <c r="S3" s="15">
        <f t="shared" ca="1" si="4"/>
        <v>2.0859699072305504E-2</v>
      </c>
      <c r="T3" s="16">
        <f t="shared" ca="1" si="5"/>
        <v>1.0557760020003668</v>
      </c>
      <c r="U3" s="17"/>
    </row>
    <row r="4" spans="1:21" ht="15.75" customHeight="1">
      <c r="A4" s="6">
        <v>45691</v>
      </c>
      <c r="B4" s="7" t="s">
        <v>18</v>
      </c>
      <c r="C4" s="7">
        <v>1</v>
      </c>
      <c r="D4" s="8">
        <f>IFERROR(VLOOKUP($B4,Task!$B$1:$G$65,6,0)," ")</f>
        <v>4.8611111111111112E-2</v>
      </c>
      <c r="E4" s="9">
        <f t="shared" si="0"/>
        <v>4.8611111111111112E-2</v>
      </c>
      <c r="F4" s="10">
        <f t="shared" si="6"/>
        <v>0.41453703703703704</v>
      </c>
      <c r="G4" s="10">
        <v>0.45997685185185183</v>
      </c>
      <c r="H4" s="8">
        <f t="shared" si="1"/>
        <v>4.5439814814814794E-2</v>
      </c>
      <c r="I4" s="11">
        <f t="shared" si="2"/>
        <v>0.46314814814814814</v>
      </c>
      <c r="J4" s="8"/>
      <c r="K4" s="8"/>
      <c r="L4" s="8"/>
      <c r="M4" s="12"/>
      <c r="N4" s="13">
        <f t="shared" si="3"/>
        <v>1.0697911360163022</v>
      </c>
      <c r="P4" s="14">
        <f ca="1">IFERROR(__xludf.DUMMYFUNCTION("""COMPUTED_VALUE"""),45693)</f>
        <v>45693</v>
      </c>
      <c r="Q4" s="15">
        <f t="shared" ca="1" si="7"/>
        <v>0.35138888888888886</v>
      </c>
      <c r="R4" s="15">
        <f t="shared" ca="1" si="8"/>
        <v>0.33048611111111098</v>
      </c>
      <c r="S4" s="15">
        <f t="shared" ca="1" si="4"/>
        <v>2.8472222222223342E-3</v>
      </c>
      <c r="T4" s="16">
        <f t="shared" ca="1" si="5"/>
        <v>1.0793417663513825</v>
      </c>
      <c r="U4" s="17"/>
    </row>
    <row r="5" spans="1:21" ht="15.75" customHeight="1">
      <c r="A5" s="6">
        <v>45691</v>
      </c>
      <c r="B5" s="7" t="s">
        <v>67</v>
      </c>
      <c r="C5" s="7">
        <v>115</v>
      </c>
      <c r="D5" s="8">
        <f>IFERROR(VLOOKUP($B5,Task!$B$1:$G$65,6,0)," ")</f>
        <v>1.3888888888888889E-3</v>
      </c>
      <c r="E5" s="9">
        <f t="shared" si="0"/>
        <v>0.15972222222222224</v>
      </c>
      <c r="F5" s="10">
        <f t="shared" si="6"/>
        <v>0.45997685185185183</v>
      </c>
      <c r="G5" s="10">
        <v>0.6504050925925926</v>
      </c>
      <c r="H5" s="8">
        <f t="shared" si="1"/>
        <v>0.1559606481481482</v>
      </c>
      <c r="I5" s="11">
        <f t="shared" si="2"/>
        <v>0.65416666666666667</v>
      </c>
      <c r="J5" s="8"/>
      <c r="K5" s="8"/>
      <c r="L5" s="8">
        <v>3.4467592592592591E-2</v>
      </c>
      <c r="M5" s="18" t="s">
        <v>68</v>
      </c>
      <c r="N5" s="13">
        <f t="shared" si="3"/>
        <v>1.0241187384044526</v>
      </c>
      <c r="P5" s="14">
        <f ca="1">IFERROR(__xludf.DUMMYFUNCTION("""COMPUTED_VALUE"""),45694)</f>
        <v>45694</v>
      </c>
      <c r="Q5" s="15">
        <f t="shared" ca="1" si="7"/>
        <v>0.31527777777777777</v>
      </c>
      <c r="R5" s="15">
        <f t="shared" ca="1" si="8"/>
        <v>0.30510416666666651</v>
      </c>
      <c r="S5" s="15">
        <f t="shared" ca="1" si="4"/>
        <v>2.8229166666666805E-2</v>
      </c>
      <c r="T5" s="16">
        <f t="shared" ca="1" si="5"/>
        <v>1.0427248061650971</v>
      </c>
      <c r="U5" s="17"/>
    </row>
    <row r="6" spans="1:21" ht="15.75" customHeight="1">
      <c r="A6" s="6">
        <v>45691</v>
      </c>
      <c r="B6" s="7" t="s">
        <v>20</v>
      </c>
      <c r="C6" s="7">
        <v>45</v>
      </c>
      <c r="D6" s="8">
        <f>IFERROR(VLOOKUP($B6,Task!$B$1:$G$65,6,0)," ")</f>
        <v>2.0833333333333333E-3</v>
      </c>
      <c r="E6" s="9">
        <f t="shared" si="0"/>
        <v>9.375E-2</v>
      </c>
      <c r="F6" s="10">
        <f t="shared" si="6"/>
        <v>0.6504050925925926</v>
      </c>
      <c r="G6" s="10">
        <v>0.75347222222222221</v>
      </c>
      <c r="H6" s="8">
        <f t="shared" si="1"/>
        <v>8.9675925925925909E-2</v>
      </c>
      <c r="I6" s="11">
        <f t="shared" si="2"/>
        <v>0.75754629629629633</v>
      </c>
      <c r="J6" s="8"/>
      <c r="K6" s="8"/>
      <c r="L6" s="8">
        <v>1.3391203703703704E-2</v>
      </c>
      <c r="M6" s="12"/>
      <c r="N6" s="13">
        <f t="shared" si="3"/>
        <v>1.0454310789881263</v>
      </c>
      <c r="O6" s="19"/>
      <c r="P6" s="14">
        <f ca="1">IFERROR(__xludf.DUMMYFUNCTION("""COMPUTED_VALUE"""),45695)</f>
        <v>45695</v>
      </c>
      <c r="Q6" s="15">
        <f t="shared" ca="1" si="7"/>
        <v>0.3298611111111111</v>
      </c>
      <c r="R6" s="15">
        <f t="shared" ca="1" si="8"/>
        <v>0.3098263888888888</v>
      </c>
      <c r="S6" s="15">
        <f t="shared" ca="1" si="4"/>
        <v>2.3506944444444511E-2</v>
      </c>
      <c r="T6" s="16">
        <f t="shared" ca="1" si="5"/>
        <v>1.054896326548185</v>
      </c>
      <c r="U6" s="17"/>
    </row>
    <row r="7" spans="1:21" ht="15.75" customHeight="1">
      <c r="A7" s="6">
        <v>45692</v>
      </c>
      <c r="B7" s="7" t="s">
        <v>18</v>
      </c>
      <c r="C7" s="7">
        <v>1</v>
      </c>
      <c r="D7" s="8">
        <f>IFERROR(VLOOKUP($B7,Task!$B$1:$G$65,6,0)," ")</f>
        <v>4.8611111111111112E-2</v>
      </c>
      <c r="E7" s="9">
        <f t="shared" si="0"/>
        <v>4.8611111111111112E-2</v>
      </c>
      <c r="F7" s="10">
        <v>0.37458333333333338</v>
      </c>
      <c r="G7" s="10">
        <v>0.42402777777777778</v>
      </c>
      <c r="H7" s="8">
        <f t="shared" si="1"/>
        <v>4.9444444444444402E-2</v>
      </c>
      <c r="I7" s="11">
        <f t="shared" si="2"/>
        <v>0.42319444444444448</v>
      </c>
      <c r="J7" s="8"/>
      <c r="K7" s="8"/>
      <c r="L7" s="8"/>
      <c r="M7" s="18"/>
      <c r="N7" s="13">
        <f t="shared" si="3"/>
        <v>0.98314606741573118</v>
      </c>
      <c r="P7" s="14">
        <f ca="1">IFERROR(__xludf.DUMMYFUNCTION("""COMPUTED_VALUE"""),45698)</f>
        <v>45698</v>
      </c>
      <c r="Q7" s="15">
        <f t="shared" ca="1" si="7"/>
        <v>0.3263888888888889</v>
      </c>
      <c r="R7" s="15">
        <f t="shared" ca="1" si="8"/>
        <v>0.30366898148148141</v>
      </c>
      <c r="S7" s="15">
        <f t="shared" ca="1" si="4"/>
        <v>2.96643518518519E-2</v>
      </c>
      <c r="T7" s="16">
        <f t="shared" ca="1" si="5"/>
        <v>1.0754124597893904</v>
      </c>
      <c r="U7" s="17"/>
    </row>
    <row r="8" spans="1:21" ht="15.75" customHeight="1">
      <c r="A8" s="6">
        <v>45692</v>
      </c>
      <c r="B8" s="7" t="s">
        <v>67</v>
      </c>
      <c r="C8" s="7">
        <v>47</v>
      </c>
      <c r="D8" s="8">
        <f>IFERROR(VLOOKUP($B8,Task!$B$1:$G$65,6,0)," ")</f>
        <v>1.3888888888888889E-3</v>
      </c>
      <c r="E8" s="9">
        <f t="shared" si="0"/>
        <v>6.5277777777777782E-2</v>
      </c>
      <c r="F8" s="10">
        <f t="shared" ref="F8:F11" si="9">G7</f>
        <v>0.42402777777777778</v>
      </c>
      <c r="G8" s="10">
        <v>0.48304398148148153</v>
      </c>
      <c r="H8" s="8">
        <f t="shared" si="1"/>
        <v>5.9016203703703751E-2</v>
      </c>
      <c r="I8" s="11">
        <f t="shared" si="2"/>
        <v>0.48930555555555555</v>
      </c>
      <c r="J8" s="8"/>
      <c r="K8" s="8"/>
      <c r="L8" s="8"/>
      <c r="M8" s="18" t="s">
        <v>68</v>
      </c>
      <c r="N8" s="13">
        <f t="shared" si="3"/>
        <v>1.106099235144145</v>
      </c>
      <c r="O8" s="19"/>
      <c r="P8" s="14">
        <f ca="1">IFERROR(__xludf.DUMMYFUNCTION("""COMPUTED_VALUE"""),45699)</f>
        <v>45699</v>
      </c>
      <c r="Q8" s="15">
        <f t="shared" ca="1" si="7"/>
        <v>0.29652777777777778</v>
      </c>
      <c r="R8" s="15">
        <f t="shared" ca="1" si="8"/>
        <v>0.28773696759436496</v>
      </c>
      <c r="S8" s="15">
        <f t="shared" ca="1" si="4"/>
        <v>4.5596365738968359E-2</v>
      </c>
      <c r="T8" s="16">
        <f t="shared" ca="1" si="5"/>
        <v>1.0253634355877874</v>
      </c>
      <c r="U8" s="17"/>
    </row>
    <row r="9" spans="1:21" ht="15.75" customHeight="1">
      <c r="A9" s="6">
        <v>45692</v>
      </c>
      <c r="B9" s="7" t="s">
        <v>20</v>
      </c>
      <c r="C9" s="7">
        <v>29</v>
      </c>
      <c r="D9" s="8">
        <f>IFERROR(VLOOKUP($B9,Task!$B$1:$G$65,6,0)," ")</f>
        <v>2.0833333333333333E-3</v>
      </c>
      <c r="E9" s="9">
        <f t="shared" si="0"/>
        <v>6.0416666666666667E-2</v>
      </c>
      <c r="F9" s="10">
        <f t="shared" si="9"/>
        <v>0.48304398148148153</v>
      </c>
      <c r="G9" s="8">
        <v>0.57208333333333339</v>
      </c>
      <c r="H9" s="8">
        <f t="shared" si="1"/>
        <v>5.7650462962962966E-2</v>
      </c>
      <c r="I9" s="11">
        <f t="shared" si="2"/>
        <v>0.57484953703703712</v>
      </c>
      <c r="J9" s="8"/>
      <c r="K9" s="8"/>
      <c r="L9" s="8">
        <v>3.138888888888889E-2</v>
      </c>
      <c r="M9" s="18"/>
      <c r="N9" s="13">
        <f t="shared" si="3"/>
        <v>1.0479823328648865</v>
      </c>
      <c r="O9" s="4"/>
      <c r="P9" s="14">
        <f ca="1">IFERROR(__xludf.DUMMYFUNCTION("""COMPUTED_VALUE"""),45701)</f>
        <v>45701</v>
      </c>
      <c r="Q9" s="15">
        <f t="shared" ca="1" si="7"/>
        <v>0.32430555555555557</v>
      </c>
      <c r="R9" s="15">
        <f t="shared" ca="1" si="8"/>
        <v>0.30419656250470628</v>
      </c>
      <c r="S9" s="15">
        <f t="shared" ca="1" si="4"/>
        <v>2.9136770828627034E-2</v>
      </c>
      <c r="T9" s="16">
        <f t="shared" ca="1" si="5"/>
        <v>1.0853730559905856</v>
      </c>
      <c r="U9" s="17"/>
    </row>
    <row r="10" spans="1:21" ht="15.75" customHeight="1">
      <c r="A10" s="6">
        <v>45692</v>
      </c>
      <c r="B10" s="7" t="s">
        <v>48</v>
      </c>
      <c r="C10" s="7">
        <v>55</v>
      </c>
      <c r="D10" s="8">
        <f>IFERROR(VLOOKUP($B10,Task!$B$1:$G$65,6,0)," ")</f>
        <v>1.736111111111111E-3</v>
      </c>
      <c r="E10" s="9">
        <f t="shared" si="0"/>
        <v>9.5486111111111105E-2</v>
      </c>
      <c r="F10" s="10">
        <f t="shared" si="9"/>
        <v>0.57208333333333339</v>
      </c>
      <c r="G10" s="10">
        <v>0.70800925925925928</v>
      </c>
      <c r="H10" s="8">
        <f t="shared" si="1"/>
        <v>9.034722222222219E-2</v>
      </c>
      <c r="I10" s="11">
        <f t="shared" si="2"/>
        <v>0.71314814814814809</v>
      </c>
      <c r="J10" s="8"/>
      <c r="K10" s="8"/>
      <c r="L10" s="8">
        <v>4.5578703703703705E-2</v>
      </c>
      <c r="M10" s="18"/>
      <c r="N10" s="13">
        <f t="shared" si="3"/>
        <v>1.0568793235972331</v>
      </c>
      <c r="O10" s="4"/>
      <c r="P10" s="14">
        <f ca="1">IFERROR(__xludf.DUMMYFUNCTION("""COMPUTED_VALUE"""),45702)</f>
        <v>45702</v>
      </c>
      <c r="Q10" s="15">
        <f t="shared" ca="1" si="7"/>
        <v>0.31666666666666665</v>
      </c>
      <c r="R10" s="15">
        <f t="shared" ca="1" si="8"/>
        <v>0.30382186342800388</v>
      </c>
      <c r="S10" s="15">
        <f t="shared" ca="1" si="4"/>
        <v>2.9511469905329435E-2</v>
      </c>
      <c r="T10" s="16">
        <f t="shared" ca="1" si="5"/>
        <v>1.0531727708290854</v>
      </c>
      <c r="U10" s="17"/>
    </row>
    <row r="11" spans="1:21" ht="15.75" customHeight="1">
      <c r="A11" s="6">
        <v>45692</v>
      </c>
      <c r="B11" s="7" t="s">
        <v>48</v>
      </c>
      <c r="C11" s="7">
        <v>35</v>
      </c>
      <c r="D11" s="8">
        <f>IFERROR(VLOOKUP($B11,Task!$B$1:$G$65,6,0)," ")</f>
        <v>1.736111111111111E-3</v>
      </c>
      <c r="E11" s="9">
        <f t="shared" si="0"/>
        <v>6.0763888888888888E-2</v>
      </c>
      <c r="F11" s="10">
        <f t="shared" si="9"/>
        <v>0.70800925925925928</v>
      </c>
      <c r="G11" s="10">
        <v>0.76402456018695375</v>
      </c>
      <c r="H11" s="8">
        <f t="shared" si="1"/>
        <v>5.6015300927694467E-2</v>
      </c>
      <c r="I11" s="11">
        <f t="shared" si="2"/>
        <v>0.76877314814814812</v>
      </c>
      <c r="J11" s="8"/>
      <c r="K11" s="8"/>
      <c r="L11" s="8"/>
      <c r="M11" s="12"/>
      <c r="N11" s="13">
        <f t="shared" si="3"/>
        <v>1.0847730509798381</v>
      </c>
      <c r="O11" s="4"/>
      <c r="P11" s="14">
        <f ca="1">IFERROR(__xludf.DUMMYFUNCTION("""COMPUTED_VALUE"""),45705)</f>
        <v>45705</v>
      </c>
      <c r="Q11" s="15">
        <f t="shared" ca="1" si="7"/>
        <v>0.34583333333333333</v>
      </c>
      <c r="R11" s="15">
        <f t="shared" ca="1" si="8"/>
        <v>0.31865740740740744</v>
      </c>
      <c r="S11" s="15">
        <f t="shared" ca="1" si="4"/>
        <v>1.467592592592587E-2</v>
      </c>
      <c r="T11" s="16">
        <f t="shared" ca="1" si="5"/>
        <v>1.0888167944244496</v>
      </c>
      <c r="U11" s="17"/>
    </row>
    <row r="12" spans="1:21" ht="15.75" customHeight="1">
      <c r="A12" s="6">
        <v>45693</v>
      </c>
      <c r="B12" s="7" t="s">
        <v>18</v>
      </c>
      <c r="C12" s="7">
        <v>1</v>
      </c>
      <c r="D12" s="8">
        <f>IFERROR(VLOOKUP($B12,Task!$B$1:$G$65,6,0)," ")</f>
        <v>4.8611111111111112E-2</v>
      </c>
      <c r="E12" s="9">
        <f t="shared" si="0"/>
        <v>4.8611111111111112E-2</v>
      </c>
      <c r="F12" s="10">
        <v>0.38030092592592601</v>
      </c>
      <c r="G12" s="10">
        <v>0.42546296296296299</v>
      </c>
      <c r="H12" s="8">
        <f t="shared" si="1"/>
        <v>4.5162037037036973E-2</v>
      </c>
      <c r="I12" s="11">
        <f t="shared" si="2"/>
        <v>0.42891203703703712</v>
      </c>
      <c r="J12" s="8"/>
      <c r="K12" s="8"/>
      <c r="L12" s="8"/>
      <c r="M12" s="18" t="s">
        <v>69</v>
      </c>
      <c r="N12" s="13">
        <f t="shared" si="3"/>
        <v>1.0763710917478231</v>
      </c>
      <c r="O12" s="19"/>
      <c r="P12" s="14">
        <f ca="1">IFERROR(__xludf.DUMMYFUNCTION("""COMPUTED_VALUE"""),45706)</f>
        <v>45706</v>
      </c>
      <c r="Q12" s="15">
        <f t="shared" ca="1" si="7"/>
        <v>0.31319444444444444</v>
      </c>
      <c r="R12" s="15">
        <f t="shared" ca="1" si="8"/>
        <v>0.30130748843002408</v>
      </c>
      <c r="S12" s="15">
        <f t="shared" ca="1" si="4"/>
        <v>3.2025844903309231E-2</v>
      </c>
      <c r="T12" s="16">
        <f t="shared" ca="1" si="5"/>
        <v>1.0625952523796371</v>
      </c>
      <c r="U12" s="17"/>
    </row>
    <row r="13" spans="1:21" ht="15.75" customHeight="1">
      <c r="A13" s="6">
        <v>45693</v>
      </c>
      <c r="B13" s="7" t="s">
        <v>16</v>
      </c>
      <c r="C13" s="7">
        <v>4</v>
      </c>
      <c r="D13" s="8">
        <f>IFERROR(VLOOKUP($B13,Task!$B$1:$G$65,6,0)," ")</f>
        <v>5.5555555555555558E-3</v>
      </c>
      <c r="E13" s="9">
        <f t="shared" si="0"/>
        <v>2.2222222222222223E-2</v>
      </c>
      <c r="F13" s="10">
        <f t="shared" ref="F13:F17" si="10">G12</f>
        <v>0.42546296296296299</v>
      </c>
      <c r="G13" s="10">
        <v>0.44598379629629636</v>
      </c>
      <c r="H13" s="8">
        <f t="shared" si="1"/>
        <v>2.0520833333333377E-2</v>
      </c>
      <c r="I13" s="11">
        <f t="shared" si="2"/>
        <v>0.44768518518518519</v>
      </c>
      <c r="J13" s="8"/>
      <c r="K13" s="8"/>
      <c r="L13" s="8"/>
      <c r="M13" s="12"/>
      <c r="N13" s="13">
        <f t="shared" si="3"/>
        <v>1.0829103214889995</v>
      </c>
      <c r="O13" s="19"/>
      <c r="P13" s="14">
        <f ca="1">IFERROR(__xludf.DUMMYFUNCTION("""COMPUTED_VALUE"""),45707)</f>
        <v>45707</v>
      </c>
      <c r="Q13" s="15">
        <f t="shared" ca="1" si="7"/>
        <v>0.19583333333333333</v>
      </c>
      <c r="R13" s="15">
        <f t="shared" ca="1" si="8"/>
        <v>0.1829513888888889</v>
      </c>
      <c r="S13" s="15">
        <f t="shared" ca="1" si="4"/>
        <v>0.15038194444444442</v>
      </c>
      <c r="T13" s="16">
        <f t="shared" ca="1" si="5"/>
        <v>1.0724313659528559</v>
      </c>
      <c r="U13" s="17"/>
    </row>
    <row r="14" spans="1:21" ht="15.75" customHeight="1">
      <c r="A14" s="6">
        <v>45693</v>
      </c>
      <c r="B14" s="7" t="s">
        <v>48</v>
      </c>
      <c r="C14" s="7">
        <v>68</v>
      </c>
      <c r="D14" s="8">
        <f>IFERROR(VLOOKUP($B14,Task!$B$1:$G$65,6,0)," ")</f>
        <v>1.736111111111111E-3</v>
      </c>
      <c r="E14" s="9">
        <f t="shared" si="0"/>
        <v>0.11805555555555555</v>
      </c>
      <c r="F14" s="10">
        <f t="shared" si="10"/>
        <v>0.44598379629629636</v>
      </c>
      <c r="G14" s="10">
        <v>0.57981481481481478</v>
      </c>
      <c r="H14" s="8">
        <f t="shared" si="1"/>
        <v>0.11076388888888879</v>
      </c>
      <c r="I14" s="11">
        <f t="shared" si="2"/>
        <v>0.58710648148148159</v>
      </c>
      <c r="J14" s="8"/>
      <c r="K14" s="8"/>
      <c r="L14" s="8">
        <v>2.3067129629629628E-2</v>
      </c>
      <c r="M14" s="18"/>
      <c r="N14" s="13">
        <f t="shared" si="3"/>
        <v>1.0658307210031357</v>
      </c>
      <c r="O14" s="19"/>
      <c r="P14" s="20">
        <f ca="1">IFERROR(__xludf.DUMMYFUNCTION("""COMPUTED_VALUE"""),45708)</f>
        <v>45708</v>
      </c>
      <c r="Q14" s="15">
        <f t="shared" ca="1" si="7"/>
        <v>0.25416666666666671</v>
      </c>
      <c r="R14" s="15">
        <f t="shared" ca="1" si="8"/>
        <v>0.23662037037037034</v>
      </c>
      <c r="S14" s="15">
        <f t="shared" ca="1" si="4"/>
        <v>9.6712962962962973E-2</v>
      </c>
      <c r="T14" s="16">
        <f t="shared" ca="1" si="5"/>
        <v>1.075153472226456</v>
      </c>
      <c r="U14" s="17"/>
    </row>
    <row r="15" spans="1:21" ht="15.75" customHeight="1">
      <c r="A15" s="6">
        <v>45693</v>
      </c>
      <c r="B15" s="7" t="s">
        <v>38</v>
      </c>
      <c r="C15" s="7">
        <v>3</v>
      </c>
      <c r="D15" s="8">
        <f>IFERROR(VLOOKUP($B15,Task!$B$1:$G$65,6,0)," ")</f>
        <v>2.7777777777777779E-3</v>
      </c>
      <c r="E15" s="9">
        <f t="shared" si="0"/>
        <v>8.3333333333333332E-3</v>
      </c>
      <c r="F15" s="10">
        <f t="shared" si="10"/>
        <v>0.57981481481481478</v>
      </c>
      <c r="G15" s="10">
        <v>0.58725694444444443</v>
      </c>
      <c r="H15" s="8">
        <f t="shared" si="1"/>
        <v>7.4421296296296457E-3</v>
      </c>
      <c r="I15" s="11">
        <f t="shared" si="2"/>
        <v>0.58814814814814809</v>
      </c>
      <c r="J15" s="8"/>
      <c r="K15" s="8"/>
      <c r="L15" s="8"/>
      <c r="M15" s="18"/>
      <c r="N15" s="13">
        <f t="shared" si="3"/>
        <v>1.1197511664074626</v>
      </c>
      <c r="O15" s="4"/>
      <c r="P15" s="20">
        <f ca="1">IFERROR(__xludf.DUMMYFUNCTION("""COMPUTED_VALUE"""),45709)</f>
        <v>45709</v>
      </c>
      <c r="Q15" s="15">
        <f t="shared" ca="1" si="7"/>
        <v>0.34166666666666667</v>
      </c>
      <c r="R15" s="15">
        <f t="shared" ca="1" si="8"/>
        <v>0.31555555555555548</v>
      </c>
      <c r="S15" s="15">
        <f t="shared" ca="1" si="4"/>
        <v>1.7777777777777837E-2</v>
      </c>
      <c r="T15" s="16">
        <f t="shared" ca="1" si="5"/>
        <v>1.0921114306072925</v>
      </c>
      <c r="U15" s="17"/>
    </row>
    <row r="16" spans="1:21" ht="15.75" customHeight="1">
      <c r="A16" s="6">
        <v>45693</v>
      </c>
      <c r="B16" s="7" t="s">
        <v>27</v>
      </c>
      <c r="C16" s="7">
        <v>9</v>
      </c>
      <c r="D16" s="8">
        <f>IFERROR(VLOOKUP($B16,Task!$B$1:$G$65,6,0)," ")</f>
        <v>1.3888888888888889E-3</v>
      </c>
      <c r="E16" s="9">
        <f t="shared" si="0"/>
        <v>1.2500000000000001E-2</v>
      </c>
      <c r="F16" s="10">
        <f t="shared" si="10"/>
        <v>0.58725694444444443</v>
      </c>
      <c r="G16" s="10">
        <v>0.59880787037037042</v>
      </c>
      <c r="H16" s="8">
        <f t="shared" si="1"/>
        <v>1.1550925925925992E-2</v>
      </c>
      <c r="I16" s="11">
        <f t="shared" si="2"/>
        <v>0.59975694444444438</v>
      </c>
      <c r="J16" s="8"/>
      <c r="K16" s="8"/>
      <c r="L16" s="8"/>
      <c r="M16" s="18" t="s">
        <v>70</v>
      </c>
      <c r="N16" s="13">
        <f t="shared" si="3"/>
        <v>1.0821643286573084</v>
      </c>
      <c r="O16" s="4"/>
      <c r="P16" s="20">
        <f ca="1">IFERROR(__xludf.DUMMYFUNCTION("""COMPUTED_VALUE"""),45712)</f>
        <v>45712</v>
      </c>
      <c r="Q16" s="15">
        <f t="shared" ca="1" si="7"/>
        <v>0.34861111111111109</v>
      </c>
      <c r="R16" s="15">
        <f t="shared" ca="1" si="8"/>
        <v>0.32798797453335415</v>
      </c>
      <c r="S16" s="15">
        <f t="shared" ca="1" si="4"/>
        <v>5.3453587999791607E-3</v>
      </c>
      <c r="T16" s="16">
        <f t="shared" ca="1" si="5"/>
        <v>1.0748907038393951</v>
      </c>
      <c r="U16" s="17"/>
    </row>
    <row r="17" spans="1:23" ht="15.75" customHeight="1">
      <c r="A17" s="6">
        <v>45693</v>
      </c>
      <c r="B17" s="7" t="s">
        <v>20</v>
      </c>
      <c r="C17" s="7">
        <v>68</v>
      </c>
      <c r="D17" s="8">
        <f>IFERROR(VLOOKUP($B17,Task!$B$1:$G$65,6,0)," ")</f>
        <v>2.0833333333333333E-3</v>
      </c>
      <c r="E17" s="9">
        <f t="shared" si="0"/>
        <v>0.14166666666666666</v>
      </c>
      <c r="F17" s="10">
        <f t="shared" si="10"/>
        <v>0.59880787037037042</v>
      </c>
      <c r="G17" s="10">
        <v>0.76041666666666663</v>
      </c>
      <c r="H17" s="8">
        <f t="shared" si="1"/>
        <v>0.13504629629629622</v>
      </c>
      <c r="I17" s="11">
        <f t="shared" si="2"/>
        <v>0.76703703703703718</v>
      </c>
      <c r="J17" s="8"/>
      <c r="K17" s="8"/>
      <c r="L17" s="8">
        <v>2.6562499999999999E-2</v>
      </c>
      <c r="M17" s="12"/>
      <c r="N17" s="13">
        <f t="shared" si="3"/>
        <v>1.0490229688035659</v>
      </c>
      <c r="O17" s="19"/>
      <c r="P17" s="20">
        <f ca="1">IFERROR(__xludf.DUMMYFUNCTION("""COMPUTED_VALUE"""),45713)</f>
        <v>45713</v>
      </c>
      <c r="Q17" s="15">
        <f t="shared" ca="1" si="7"/>
        <v>0.34236111111111117</v>
      </c>
      <c r="R17" s="15">
        <f t="shared" ca="1" si="8"/>
        <v>0.31785879629629621</v>
      </c>
      <c r="S17" s="15">
        <f t="shared" ca="1" si="4"/>
        <v>1.5474537037037106E-2</v>
      </c>
      <c r="T17" s="16">
        <f t="shared" ca="1" si="5"/>
        <v>1.0745648217511612</v>
      </c>
      <c r="U17" s="17"/>
    </row>
    <row r="18" spans="1:23" ht="15.75" customHeight="1">
      <c r="A18" s="6">
        <v>45694</v>
      </c>
      <c r="B18" s="7" t="s">
        <v>43</v>
      </c>
      <c r="C18" s="7">
        <v>1</v>
      </c>
      <c r="D18" s="8">
        <f>IFERROR(VLOOKUP($B18,Task!$B$1:$G$65,6,0)," ")</f>
        <v>3.4722222222222224E-2</v>
      </c>
      <c r="E18" s="9">
        <f t="shared" si="0"/>
        <v>3.4722222222222224E-2</v>
      </c>
      <c r="F18" s="10">
        <v>0.38099537037037046</v>
      </c>
      <c r="G18" s="10">
        <v>0.42350694444444448</v>
      </c>
      <c r="H18" s="8">
        <f t="shared" si="1"/>
        <v>3.1527777777777724E-2</v>
      </c>
      <c r="I18" s="11">
        <f t="shared" si="2"/>
        <v>0.42670138888888898</v>
      </c>
      <c r="J18" s="8"/>
      <c r="K18" s="8"/>
      <c r="L18" s="8">
        <v>1.0983796296296297E-2</v>
      </c>
      <c r="M18" s="18"/>
      <c r="N18" s="13">
        <f t="shared" si="3"/>
        <v>1.1013215859030856</v>
      </c>
      <c r="O18" s="19"/>
      <c r="P18" s="20">
        <f ca="1">IFERROR(__xludf.DUMMYFUNCTION("""COMPUTED_VALUE"""),45714)</f>
        <v>45714</v>
      </c>
      <c r="Q18" s="15">
        <f t="shared" ca="1" si="7"/>
        <v>0.32222222222222224</v>
      </c>
      <c r="R18" s="15">
        <f t="shared" ca="1" si="8"/>
        <v>0.29908564814814809</v>
      </c>
      <c r="S18" s="15">
        <f t="shared" ca="1" si="4"/>
        <v>3.4247685185185228E-2</v>
      </c>
      <c r="T18" s="16">
        <f t="shared" ca="1" si="5"/>
        <v>1.0760694038519227</v>
      </c>
      <c r="U18" s="17"/>
    </row>
    <row r="19" spans="1:23" ht="15.75" customHeight="1">
      <c r="A19" s="6">
        <v>45694</v>
      </c>
      <c r="B19" s="7" t="s">
        <v>42</v>
      </c>
      <c r="C19" s="7">
        <v>1</v>
      </c>
      <c r="D19" s="8">
        <f>IFERROR(VLOOKUP($B19,Task!$B$1:$G$65,6,0)," ")</f>
        <v>6.9444444444444441E-3</v>
      </c>
      <c r="E19" s="9">
        <f t="shared" si="0"/>
        <v>6.9444444444444441E-3</v>
      </c>
      <c r="F19" s="10">
        <f t="shared" ref="F19:F23" si="11">G18</f>
        <v>0.42350694444444448</v>
      </c>
      <c r="G19" s="10">
        <v>0.43011574074074077</v>
      </c>
      <c r="H19" s="8">
        <f t="shared" si="1"/>
        <v>6.6087962962962932E-3</v>
      </c>
      <c r="I19" s="11">
        <f t="shared" si="2"/>
        <v>0.4304513888888889</v>
      </c>
      <c r="J19" s="8"/>
      <c r="K19" s="8"/>
      <c r="L19" s="8"/>
      <c r="M19" s="12"/>
      <c r="N19" s="13">
        <f t="shared" si="3"/>
        <v>1.0507880910683016</v>
      </c>
      <c r="P19" s="20">
        <f ca="1">IFERROR(__xludf.DUMMYFUNCTION("""COMPUTED_VALUE"""),45715)</f>
        <v>45715</v>
      </c>
      <c r="Q19" s="15">
        <f t="shared" ca="1" si="7"/>
        <v>0.27986111111111112</v>
      </c>
      <c r="R19" s="15">
        <f t="shared" ca="1" si="8"/>
        <v>0.27290509259259255</v>
      </c>
      <c r="S19" s="15">
        <f t="shared" ref="S19:S23" ca="1" si="12">IF(R19=""," ",$U$1-R19)</f>
        <v>6.0428240740740768E-2</v>
      </c>
      <c r="T19" s="16">
        <f t="shared" ca="1" si="5"/>
        <v>1.080371117616139</v>
      </c>
      <c r="U19" s="17"/>
    </row>
    <row r="20" spans="1:23" ht="15.75" customHeight="1">
      <c r="A20" s="6">
        <v>45694</v>
      </c>
      <c r="B20" s="7" t="s">
        <v>18</v>
      </c>
      <c r="C20" s="7">
        <v>1</v>
      </c>
      <c r="D20" s="8">
        <f>IFERROR(VLOOKUP($B20,Task!$B$1:$G$65,6,0)," ")</f>
        <v>4.8611111111111112E-2</v>
      </c>
      <c r="E20" s="9">
        <f t="shared" si="0"/>
        <v>4.8611111111111112E-2</v>
      </c>
      <c r="F20" s="10">
        <f t="shared" si="11"/>
        <v>0.43011574074074077</v>
      </c>
      <c r="G20" s="10">
        <v>0.48857638888888888</v>
      </c>
      <c r="H20" s="8">
        <f t="shared" si="1"/>
        <v>4.7592592592592554E-2</v>
      </c>
      <c r="I20" s="11">
        <f t="shared" si="2"/>
        <v>0.48959490740740741</v>
      </c>
      <c r="J20" s="8"/>
      <c r="K20" s="8"/>
      <c r="L20" s="8">
        <v>1.0868055555555556E-2</v>
      </c>
      <c r="M20" s="18"/>
      <c r="N20" s="13">
        <f t="shared" si="3"/>
        <v>1.0214007782101175</v>
      </c>
      <c r="P20" s="20">
        <f ca="1">IFERROR(__xludf.DUMMYFUNCTION("""COMPUTED_VALUE"""),45716)</f>
        <v>45716</v>
      </c>
      <c r="Q20" s="15">
        <f t="shared" ca="1" si="7"/>
        <v>4.8611111111111112E-2</v>
      </c>
      <c r="R20" s="15">
        <f t="shared" ca="1" si="8"/>
        <v>4.3298611111111045E-2</v>
      </c>
      <c r="S20" s="15">
        <f t="shared" ca="1" si="12"/>
        <v>0.29003472222222226</v>
      </c>
      <c r="T20" s="16">
        <f t="shared" ca="1" si="5"/>
        <v>1.12269446672013</v>
      </c>
      <c r="U20" s="17"/>
      <c r="W20" s="4"/>
    </row>
    <row r="21" spans="1:23" ht="15.75" customHeight="1">
      <c r="A21" s="6">
        <v>45694</v>
      </c>
      <c r="B21" s="7" t="s">
        <v>16</v>
      </c>
      <c r="C21" s="7">
        <v>15</v>
      </c>
      <c r="D21" s="8">
        <f>IFERROR(VLOOKUP($B21,Task!$B$1:$G$65,6,0)," ")</f>
        <v>5.5555555555555558E-3</v>
      </c>
      <c r="E21" s="9">
        <f t="shared" si="0"/>
        <v>8.3333333333333343E-2</v>
      </c>
      <c r="F21" s="10">
        <f t="shared" si="11"/>
        <v>0.48857638888888888</v>
      </c>
      <c r="G21" s="10">
        <v>0.59673611111111113</v>
      </c>
      <c r="H21" s="8">
        <f t="shared" si="1"/>
        <v>8.3194444444444474E-2</v>
      </c>
      <c r="I21" s="11">
        <f t="shared" si="2"/>
        <v>0.59687500000000004</v>
      </c>
      <c r="J21" s="8"/>
      <c r="K21" s="8"/>
      <c r="L21" s="8">
        <v>2.4965277777777777E-2</v>
      </c>
      <c r="M21" s="12"/>
      <c r="N21" s="13">
        <f t="shared" si="3"/>
        <v>1.0016694490818028</v>
      </c>
      <c r="P21" s="20"/>
      <c r="Q21" s="15" t="str">
        <f t="shared" si="7"/>
        <v/>
      </c>
      <c r="R21" s="15" t="str">
        <f t="shared" si="8"/>
        <v/>
      </c>
      <c r="S21" s="15" t="str">
        <f t="shared" si="12"/>
        <v xml:space="preserve"> </v>
      </c>
      <c r="T21" s="16" t="str">
        <f t="shared" si="5"/>
        <v xml:space="preserve"> </v>
      </c>
    </row>
    <row r="22" spans="1:23" ht="15.75" customHeight="1">
      <c r="A22" s="6">
        <v>45694</v>
      </c>
      <c r="B22" s="7" t="s">
        <v>20</v>
      </c>
      <c r="C22" s="7">
        <v>38</v>
      </c>
      <c r="D22" s="8">
        <f>IFERROR(VLOOKUP($B22,Task!$B$1:$G$65,6,0)," ")</f>
        <v>2.0833333333333333E-3</v>
      </c>
      <c r="E22" s="9">
        <f t="shared" si="0"/>
        <v>7.9166666666666663E-2</v>
      </c>
      <c r="F22" s="10">
        <f t="shared" si="11"/>
        <v>0.59673611111111113</v>
      </c>
      <c r="G22" s="10">
        <v>0.70049768518518518</v>
      </c>
      <c r="H22" s="8">
        <f t="shared" si="1"/>
        <v>7.6261574074074051E-2</v>
      </c>
      <c r="I22" s="11">
        <f t="shared" si="2"/>
        <v>0.70340277777777771</v>
      </c>
      <c r="J22" s="8"/>
      <c r="K22" s="8"/>
      <c r="L22" s="8">
        <v>2.75E-2</v>
      </c>
      <c r="M22" s="12"/>
      <c r="N22" s="13">
        <f t="shared" si="3"/>
        <v>1.038093792684778</v>
      </c>
      <c r="O22" s="19"/>
      <c r="P22" s="20"/>
      <c r="Q22" s="15" t="str">
        <f t="shared" si="7"/>
        <v/>
      </c>
      <c r="R22" s="15" t="str">
        <f t="shared" si="8"/>
        <v/>
      </c>
      <c r="S22" s="15" t="str">
        <f t="shared" si="12"/>
        <v xml:space="preserve"> </v>
      </c>
      <c r="T22" s="16" t="str">
        <f t="shared" si="5"/>
        <v xml:space="preserve"> </v>
      </c>
    </row>
    <row r="23" spans="1:23" ht="15.75" customHeight="1">
      <c r="A23" s="6">
        <v>45694</v>
      </c>
      <c r="B23" s="7" t="s">
        <v>20</v>
      </c>
      <c r="C23" s="7">
        <v>30</v>
      </c>
      <c r="D23" s="8">
        <f>IFERROR(VLOOKUP($B23,Task!$B$1:$G$65,6,0)," ")</f>
        <v>2.0833333333333333E-3</v>
      </c>
      <c r="E23" s="9">
        <f t="shared" si="0"/>
        <v>6.25E-2</v>
      </c>
      <c r="F23" s="10">
        <f t="shared" si="11"/>
        <v>0.70049768518518518</v>
      </c>
      <c r="G23" s="10">
        <v>0.76041666666666663</v>
      </c>
      <c r="H23" s="8">
        <f t="shared" si="1"/>
        <v>5.9918981481481448E-2</v>
      </c>
      <c r="I23" s="11">
        <f t="shared" si="2"/>
        <v>0.76299768518518518</v>
      </c>
      <c r="J23" s="8"/>
      <c r="K23" s="8"/>
      <c r="L23" s="8"/>
      <c r="M23" s="12"/>
      <c r="N23" s="13">
        <f t="shared" si="3"/>
        <v>1.0430751400424962</v>
      </c>
      <c r="P23" s="20"/>
      <c r="Q23" s="15" t="str">
        <f t="shared" si="7"/>
        <v/>
      </c>
      <c r="R23" s="15" t="str">
        <f t="shared" si="8"/>
        <v/>
      </c>
      <c r="S23" s="15" t="str">
        <f t="shared" si="12"/>
        <v xml:space="preserve"> </v>
      </c>
      <c r="T23" s="16" t="str">
        <f t="shared" si="5"/>
        <v xml:space="preserve"> </v>
      </c>
    </row>
    <row r="24" spans="1:23" ht="15.75" customHeight="1">
      <c r="A24" s="6">
        <v>45695</v>
      </c>
      <c r="B24" s="7" t="s">
        <v>67</v>
      </c>
      <c r="C24" s="7">
        <v>60</v>
      </c>
      <c r="D24" s="8">
        <f>IFERROR(VLOOKUP($B24,Task!$B$1:$G$65,6,0)," ")</f>
        <v>1.3888888888888889E-3</v>
      </c>
      <c r="E24" s="9">
        <f t="shared" si="0"/>
        <v>8.3333333333333343E-2</v>
      </c>
      <c r="F24" s="10">
        <v>0.36597222222222225</v>
      </c>
      <c r="G24" s="10">
        <v>0.44797453703703705</v>
      </c>
      <c r="H24" s="8">
        <f t="shared" si="1"/>
        <v>8.2002314814814792E-2</v>
      </c>
      <c r="I24" s="11">
        <f t="shared" si="2"/>
        <v>0.44930555555555562</v>
      </c>
      <c r="J24" s="8"/>
      <c r="K24" s="8"/>
      <c r="L24" s="8"/>
      <c r="M24" s="18"/>
      <c r="N24" s="13">
        <f t="shared" si="3"/>
        <v>1.0162314749470718</v>
      </c>
      <c r="W24" s="4"/>
    </row>
    <row r="25" spans="1:23" ht="15.75" customHeight="1">
      <c r="A25" s="6">
        <v>45695</v>
      </c>
      <c r="B25" s="7" t="s">
        <v>18</v>
      </c>
      <c r="C25" s="7">
        <v>1</v>
      </c>
      <c r="D25" s="8">
        <f>IFERROR(VLOOKUP($B25,Task!$B$1:$G$65,6,0)," ")</f>
        <v>4.8611111111111112E-2</v>
      </c>
      <c r="E25" s="9">
        <f t="shared" si="0"/>
        <v>4.8611111111111112E-2</v>
      </c>
      <c r="F25" s="10">
        <f t="shared" ref="F25:F27" si="13">G24</f>
        <v>0.44797453703703705</v>
      </c>
      <c r="G25" s="10">
        <v>0.4931712962962963</v>
      </c>
      <c r="H25" s="8">
        <f t="shared" si="1"/>
        <v>4.5196759259259256E-2</v>
      </c>
      <c r="I25" s="11">
        <f t="shared" si="2"/>
        <v>0.49658564814814815</v>
      </c>
      <c r="J25" s="8"/>
      <c r="K25" s="8"/>
      <c r="L25" s="8"/>
      <c r="M25" s="18"/>
      <c r="N25" s="13">
        <f t="shared" si="3"/>
        <v>1.0755441741357235</v>
      </c>
      <c r="O25" s="4"/>
    </row>
    <row r="26" spans="1:23" ht="14.5">
      <c r="A26" s="6">
        <v>45695</v>
      </c>
      <c r="B26" s="7" t="s">
        <v>20</v>
      </c>
      <c r="C26" s="7">
        <v>23</v>
      </c>
      <c r="D26" s="8">
        <f>IFERROR(VLOOKUP($B26,Task!$B$1:$G$65,6,0)," ")</f>
        <v>2.0833333333333333E-3</v>
      </c>
      <c r="E26" s="9">
        <f t="shared" si="0"/>
        <v>4.7916666666666663E-2</v>
      </c>
      <c r="F26" s="10">
        <f t="shared" si="13"/>
        <v>0.4931712962962963</v>
      </c>
      <c r="G26" s="10">
        <v>0.58236111111111111</v>
      </c>
      <c r="H26" s="8">
        <f t="shared" si="1"/>
        <v>4.6828703703703692E-2</v>
      </c>
      <c r="I26" s="11">
        <f t="shared" si="2"/>
        <v>0.58344907407407409</v>
      </c>
      <c r="J26" s="8"/>
      <c r="K26" s="8"/>
      <c r="L26" s="8">
        <v>4.2361111111111113E-2</v>
      </c>
      <c r="M26" s="18"/>
      <c r="N26" s="13">
        <f t="shared" si="3"/>
        <v>1.0232328225407812</v>
      </c>
    </row>
    <row r="27" spans="1:23" ht="14.5">
      <c r="A27" s="6">
        <v>45695</v>
      </c>
      <c r="B27" s="7" t="s">
        <v>67</v>
      </c>
      <c r="C27" s="7">
        <v>108</v>
      </c>
      <c r="D27" s="8">
        <f>IFERROR(VLOOKUP($B27,Task!$B$1:$G$65,6,0)," ")</f>
        <v>1.3888888888888889E-3</v>
      </c>
      <c r="E27" s="9">
        <f t="shared" si="0"/>
        <v>0.15</v>
      </c>
      <c r="F27" s="10">
        <f t="shared" si="13"/>
        <v>0.58236111111111111</v>
      </c>
      <c r="G27" s="10">
        <v>0.75</v>
      </c>
      <c r="H27" s="8">
        <f t="shared" si="1"/>
        <v>0.13579861111111111</v>
      </c>
      <c r="I27" s="11">
        <f t="shared" si="2"/>
        <v>0.76420138888888889</v>
      </c>
      <c r="J27" s="8"/>
      <c r="K27" s="8"/>
      <c r="L27" s="8">
        <v>3.184027777777778E-2</v>
      </c>
      <c r="M27" s="18" t="s">
        <v>71</v>
      </c>
      <c r="N27" s="13">
        <f t="shared" si="3"/>
        <v>1.104576834569164</v>
      </c>
      <c r="O27" s="19"/>
    </row>
    <row r="28" spans="1:23" ht="14.5">
      <c r="A28" s="6">
        <v>45698</v>
      </c>
      <c r="B28" s="7" t="s">
        <v>43</v>
      </c>
      <c r="C28" s="7">
        <v>1</v>
      </c>
      <c r="D28" s="8">
        <f>IFERROR(VLOOKUP($B28,Task!$B$1:$G$65,6,0)," ")</f>
        <v>3.4722222222222224E-2</v>
      </c>
      <c r="E28" s="9">
        <f t="shared" si="0"/>
        <v>3.4722222222222224E-2</v>
      </c>
      <c r="F28" s="10">
        <v>0.37475694444444452</v>
      </c>
      <c r="G28" s="10">
        <v>0.40674768518518523</v>
      </c>
      <c r="H28" s="8">
        <f t="shared" si="1"/>
        <v>3.1990740740740709E-2</v>
      </c>
      <c r="I28" s="11">
        <f t="shared" si="2"/>
        <v>0.40947916666666673</v>
      </c>
      <c r="J28" s="8"/>
      <c r="K28" s="8"/>
      <c r="L28" s="8"/>
      <c r="M28" s="12"/>
      <c r="N28" s="13">
        <f t="shared" si="3"/>
        <v>1.0853835021707681</v>
      </c>
      <c r="O28" s="19"/>
    </row>
    <row r="29" spans="1:23" ht="14.5">
      <c r="A29" s="6">
        <v>45698</v>
      </c>
      <c r="B29" s="7" t="s">
        <v>42</v>
      </c>
      <c r="C29" s="7">
        <v>1</v>
      </c>
      <c r="D29" s="8">
        <f>IFERROR(VLOOKUP($B29,Task!$B$1:$G$65,6,0)," ")</f>
        <v>6.9444444444444441E-3</v>
      </c>
      <c r="E29" s="9">
        <f t="shared" si="0"/>
        <v>6.9444444444444441E-3</v>
      </c>
      <c r="F29" s="10">
        <f t="shared" ref="F29:F32" si="14">G28</f>
        <v>0.40674768518518523</v>
      </c>
      <c r="G29" s="10">
        <v>0.41348379629629628</v>
      </c>
      <c r="H29" s="8">
        <f t="shared" si="1"/>
        <v>6.7361111111110539E-3</v>
      </c>
      <c r="I29" s="11">
        <f t="shared" si="2"/>
        <v>0.41369212962962965</v>
      </c>
      <c r="J29" s="8"/>
      <c r="K29" s="8"/>
      <c r="L29" s="8"/>
      <c r="M29" s="12"/>
      <c r="N29" s="13">
        <f t="shared" si="3"/>
        <v>1.0309278350515552</v>
      </c>
      <c r="O29" s="19"/>
    </row>
    <row r="30" spans="1:23" ht="14.5">
      <c r="A30" s="6">
        <v>45698</v>
      </c>
      <c r="B30" s="7" t="s">
        <v>30</v>
      </c>
      <c r="C30" s="7">
        <v>2</v>
      </c>
      <c r="D30" s="8">
        <f>IFERROR(VLOOKUP($B30,Task!$B$1:$G$65,6,0)," ")</f>
        <v>4.8611111111111112E-2</v>
      </c>
      <c r="E30" s="9">
        <f t="shared" si="0"/>
        <v>9.7222222222222224E-2</v>
      </c>
      <c r="F30" s="10">
        <f t="shared" si="14"/>
        <v>0.41348379629629628</v>
      </c>
      <c r="G30" s="10">
        <v>0.52647416666150093</v>
      </c>
      <c r="H30" s="8">
        <f t="shared" si="1"/>
        <v>8.9460277772612062E-2</v>
      </c>
      <c r="I30" s="11">
        <f t="shared" si="2"/>
        <v>0.53423611111111113</v>
      </c>
      <c r="J30" s="8"/>
      <c r="K30" s="8"/>
      <c r="L30" s="8">
        <v>2.3530092592592592E-2</v>
      </c>
      <c r="M30" s="12"/>
      <c r="N30" s="13">
        <f t="shared" si="3"/>
        <v>1.0867641442980904</v>
      </c>
      <c r="O30" s="4"/>
    </row>
    <row r="31" spans="1:23" ht="14.5">
      <c r="A31" s="6">
        <v>45698</v>
      </c>
      <c r="B31" s="7" t="s">
        <v>38</v>
      </c>
      <c r="C31" s="7">
        <v>27</v>
      </c>
      <c r="D31" s="8">
        <f>IFERROR(VLOOKUP($B31,Task!$B$1:$G$65,6,0)," ")</f>
        <v>2.7777777777777779E-3</v>
      </c>
      <c r="E31" s="9">
        <f t="shared" si="0"/>
        <v>7.4999999999999997E-2</v>
      </c>
      <c r="F31" s="10">
        <f t="shared" si="14"/>
        <v>0.52647416666150093</v>
      </c>
      <c r="G31" s="10">
        <v>0.64626157407407403</v>
      </c>
      <c r="H31" s="8">
        <f t="shared" si="1"/>
        <v>7.174342593109162E-2</v>
      </c>
      <c r="I31" s="11">
        <f t="shared" si="2"/>
        <v>0.64951814814298237</v>
      </c>
      <c r="J31" s="8"/>
      <c r="K31" s="8"/>
      <c r="L31" s="8">
        <v>4.8043981481481479E-2</v>
      </c>
      <c r="M31" s="12"/>
      <c r="N31" s="13">
        <f t="shared" si="3"/>
        <v>1.0453919509229495</v>
      </c>
      <c r="O31" s="19"/>
    </row>
    <row r="32" spans="1:23" ht="14.5">
      <c r="A32" s="6">
        <v>45698</v>
      </c>
      <c r="B32" s="7" t="s">
        <v>38</v>
      </c>
      <c r="C32" s="7">
        <v>33</v>
      </c>
      <c r="D32" s="8">
        <f>IFERROR(VLOOKUP($B32,Task!$B$1:$G$65,6,0)," ")</f>
        <v>2.7777777777777779E-3</v>
      </c>
      <c r="E32" s="9">
        <f t="shared" si="0"/>
        <v>9.1666666666666674E-2</v>
      </c>
      <c r="F32" s="10">
        <f t="shared" si="14"/>
        <v>0.64626157407407403</v>
      </c>
      <c r="G32" s="10">
        <v>0.75</v>
      </c>
      <c r="H32" s="8">
        <f t="shared" si="1"/>
        <v>8.5289351851851936E-2</v>
      </c>
      <c r="I32" s="11">
        <f t="shared" si="2"/>
        <v>0.75637731481481474</v>
      </c>
      <c r="J32" s="8"/>
      <c r="K32" s="8"/>
      <c r="L32" s="8">
        <f>H33</f>
        <v>1.8449074074074034E-2</v>
      </c>
      <c r="M32" s="12"/>
      <c r="N32" s="13">
        <f t="shared" si="3"/>
        <v>1.0747726964309938</v>
      </c>
      <c r="O32" s="4"/>
    </row>
    <row r="33" spans="1:15" ht="14.5">
      <c r="A33" s="6">
        <v>45698</v>
      </c>
      <c r="B33" s="7" t="s">
        <v>65</v>
      </c>
      <c r="C33" s="7">
        <v>1</v>
      </c>
      <c r="D33" s="8">
        <f>IFERROR(VLOOKUP($B33,Task!$B$1:$G$65,6,0)," ")</f>
        <v>2.0833333333333332E-2</v>
      </c>
      <c r="E33" s="9">
        <f t="shared" si="0"/>
        <v>2.0833333333333332E-2</v>
      </c>
      <c r="F33" s="10">
        <v>0.66547453703703707</v>
      </c>
      <c r="G33" s="10">
        <v>0.68392361111111111</v>
      </c>
      <c r="H33" s="8">
        <f t="shared" si="1"/>
        <v>1.8449074074074034E-2</v>
      </c>
      <c r="I33" s="11">
        <f t="shared" si="2"/>
        <v>0.68630787037037044</v>
      </c>
      <c r="J33" s="8"/>
      <c r="K33" s="8"/>
      <c r="L33" s="8"/>
      <c r="M33" s="18" t="s">
        <v>72</v>
      </c>
      <c r="N33" s="13">
        <f t="shared" si="3"/>
        <v>1.1292346298619849</v>
      </c>
      <c r="O33" s="19"/>
    </row>
    <row r="34" spans="1:15" ht="14.5">
      <c r="A34" s="6">
        <v>45699</v>
      </c>
      <c r="B34" s="7" t="s">
        <v>30</v>
      </c>
      <c r="C34" s="7">
        <v>2</v>
      </c>
      <c r="D34" s="8">
        <f>IFERROR(VLOOKUP($B34,Task!$B$1:$G$65,6,0)," ")</f>
        <v>4.8611111111111112E-2</v>
      </c>
      <c r="E34" s="9">
        <f t="shared" si="0"/>
        <v>9.7222222222222224E-2</v>
      </c>
      <c r="F34" s="10">
        <v>0.37900462962962966</v>
      </c>
      <c r="G34" s="10">
        <v>0.50983796296296291</v>
      </c>
      <c r="H34" s="8">
        <f t="shared" si="1"/>
        <v>0.10297453703703695</v>
      </c>
      <c r="I34" s="11">
        <f t="shared" si="2"/>
        <v>0.50408564814814816</v>
      </c>
      <c r="J34" s="8"/>
      <c r="K34" s="8"/>
      <c r="L34" s="8">
        <v>2.7858796296296295E-2</v>
      </c>
      <c r="M34" s="12"/>
      <c r="N34" s="13">
        <f t="shared" si="3"/>
        <v>0.94413847364280179</v>
      </c>
      <c r="O34" s="19"/>
    </row>
    <row r="35" spans="1:15" ht="14.5">
      <c r="A35" s="6">
        <v>45699</v>
      </c>
      <c r="B35" s="7" t="s">
        <v>38</v>
      </c>
      <c r="C35" s="7">
        <v>23</v>
      </c>
      <c r="D35" s="8">
        <f>IFERROR(VLOOKUP($B35,Task!$B$1:$G$65,6,0)," ")</f>
        <v>2.7777777777777779E-3</v>
      </c>
      <c r="E35" s="9">
        <f t="shared" si="0"/>
        <v>6.3888888888888898E-2</v>
      </c>
      <c r="F35" s="10">
        <f t="shared" ref="F35:F36" si="15">G34</f>
        <v>0.50983796296296291</v>
      </c>
      <c r="G35" s="10">
        <v>0.59940972222222222</v>
      </c>
      <c r="H35" s="8">
        <f t="shared" si="1"/>
        <v>6.2210648148148195E-2</v>
      </c>
      <c r="I35" s="11">
        <f t="shared" si="2"/>
        <v>0.60108796296296285</v>
      </c>
      <c r="J35" s="8"/>
      <c r="K35" s="8"/>
      <c r="L35" s="8">
        <v>2.736111111111111E-2</v>
      </c>
      <c r="M35" s="12"/>
      <c r="N35" s="13">
        <f t="shared" si="3"/>
        <v>1.0269767441860458</v>
      </c>
    </row>
    <row r="36" spans="1:15" ht="14.5">
      <c r="A36" s="6">
        <v>45699</v>
      </c>
      <c r="B36" s="7" t="s">
        <v>20</v>
      </c>
      <c r="C36" s="7">
        <v>65</v>
      </c>
      <c r="D36" s="8">
        <f>IFERROR(VLOOKUP($B36,Task!$B$1:$G$65,6,0)," ")</f>
        <v>2.0833333333333333E-3</v>
      </c>
      <c r="E36" s="9">
        <f t="shared" si="0"/>
        <v>0.13541666666666666</v>
      </c>
      <c r="F36" s="10">
        <f t="shared" si="15"/>
        <v>0.59940972222222222</v>
      </c>
      <c r="G36" s="10">
        <v>0.7652138194462168</v>
      </c>
      <c r="H36" s="8">
        <f t="shared" si="1"/>
        <v>0.12255178240917977</v>
      </c>
      <c r="I36" s="11">
        <f t="shared" si="2"/>
        <v>0.77807870370370369</v>
      </c>
      <c r="J36" s="8"/>
      <c r="K36" s="8"/>
      <c r="L36" s="8">
        <v>4.3252314814814813E-2</v>
      </c>
      <c r="M36" s="12"/>
      <c r="N36" s="13">
        <f t="shared" si="3"/>
        <v>1.1049750889345142</v>
      </c>
    </row>
    <row r="37" spans="1:15" ht="14.5">
      <c r="A37" s="6">
        <v>45701</v>
      </c>
      <c r="B37" s="7" t="s">
        <v>43</v>
      </c>
      <c r="C37" s="7">
        <v>1</v>
      </c>
      <c r="D37" s="8">
        <f>IFERROR(VLOOKUP($B37,Task!$B$1:$G$65,6,0)," ")</f>
        <v>3.4722222222222224E-2</v>
      </c>
      <c r="E37" s="9">
        <f t="shared" si="0"/>
        <v>3.4722222222222224E-2</v>
      </c>
      <c r="F37" s="10">
        <v>0.37922453703703707</v>
      </c>
      <c r="G37" s="10">
        <v>0.41098379629629633</v>
      </c>
      <c r="H37" s="8">
        <f t="shared" si="1"/>
        <v>3.1759259259259265E-2</v>
      </c>
      <c r="I37" s="11">
        <f t="shared" si="2"/>
        <v>0.41394675925925928</v>
      </c>
      <c r="J37" s="8"/>
      <c r="K37" s="8"/>
      <c r="L37" s="8"/>
      <c r="M37" s="12"/>
      <c r="N37" s="13">
        <f t="shared" si="3"/>
        <v>1.0932944606413992</v>
      </c>
      <c r="O37" s="19"/>
    </row>
    <row r="38" spans="1:15" ht="14.5">
      <c r="A38" s="6">
        <v>45701</v>
      </c>
      <c r="B38" s="7" t="s">
        <v>42</v>
      </c>
      <c r="C38" s="7">
        <v>1</v>
      </c>
      <c r="D38" s="8">
        <f>IFERROR(VLOOKUP($B38,Task!$B$1:$G$65,6,0)," ")</f>
        <v>6.9444444444444441E-3</v>
      </c>
      <c r="E38" s="9">
        <f t="shared" si="0"/>
        <v>6.9444444444444441E-3</v>
      </c>
      <c r="F38" s="10">
        <f t="shared" ref="F38:F39" si="16">G37</f>
        <v>0.41098379629629633</v>
      </c>
      <c r="G38" s="10">
        <v>0.41739583333333335</v>
      </c>
      <c r="H38" s="8">
        <f t="shared" si="1"/>
        <v>6.4120370370370217E-3</v>
      </c>
      <c r="I38" s="11">
        <f t="shared" si="2"/>
        <v>0.41792824074074075</v>
      </c>
      <c r="J38" s="8"/>
      <c r="K38" s="8"/>
      <c r="L38" s="8"/>
      <c r="M38" s="12"/>
      <c r="N38" s="13">
        <f t="shared" si="3"/>
        <v>1.0830324909747318</v>
      </c>
      <c r="O38" s="19"/>
    </row>
    <row r="39" spans="1:15" ht="14.5">
      <c r="A39" s="6">
        <v>45701</v>
      </c>
      <c r="B39" s="7" t="s">
        <v>30</v>
      </c>
      <c r="C39" s="7">
        <v>2</v>
      </c>
      <c r="D39" s="8">
        <f>IFERROR(VLOOKUP($B39,Task!$B$1:$G$65,6,0)," ")</f>
        <v>4.8611111111111112E-2</v>
      </c>
      <c r="E39" s="9">
        <f t="shared" si="0"/>
        <v>9.7222222222222224E-2</v>
      </c>
      <c r="F39" s="10">
        <f t="shared" si="16"/>
        <v>0.41739583333333335</v>
      </c>
      <c r="G39" s="10">
        <v>0.52210648148148153</v>
      </c>
      <c r="H39" s="8">
        <f t="shared" si="1"/>
        <v>8.7824074074074165E-2</v>
      </c>
      <c r="I39" s="11">
        <f t="shared" si="2"/>
        <v>0.53150462962962963</v>
      </c>
      <c r="J39" s="8"/>
      <c r="K39" s="8"/>
      <c r="L39" s="8">
        <f>H40</f>
        <v>1.6886574074074012E-2</v>
      </c>
      <c r="M39" s="12"/>
      <c r="N39" s="13">
        <f t="shared" si="3"/>
        <v>1.1070110701106999</v>
      </c>
      <c r="O39" s="19"/>
    </row>
    <row r="40" spans="1:15" ht="14.5">
      <c r="A40" s="6">
        <v>45701</v>
      </c>
      <c r="B40" s="7" t="s">
        <v>20</v>
      </c>
      <c r="C40" s="7">
        <v>9</v>
      </c>
      <c r="D40" s="8">
        <f>IFERROR(VLOOKUP($B40,Task!$B$1:$G$65,6,0)," ")</f>
        <v>2.0833333333333333E-3</v>
      </c>
      <c r="E40" s="9">
        <f t="shared" si="0"/>
        <v>1.8749999999999999E-2</v>
      </c>
      <c r="F40" s="10">
        <v>0.45752314814814821</v>
      </c>
      <c r="G40" s="10">
        <v>0.47440972222222222</v>
      </c>
      <c r="H40" s="8">
        <f t="shared" si="1"/>
        <v>1.6886574074074012E-2</v>
      </c>
      <c r="I40" s="11">
        <f t="shared" si="2"/>
        <v>0.4762731481481482</v>
      </c>
      <c r="J40" s="8"/>
      <c r="K40" s="8"/>
      <c r="L40" s="8"/>
      <c r="M40" s="12"/>
      <c r="N40" s="13">
        <f t="shared" si="3"/>
        <v>1.1103495544893802</v>
      </c>
      <c r="O40" s="4"/>
    </row>
    <row r="41" spans="1:15" ht="14.5">
      <c r="A41" s="6">
        <v>45701</v>
      </c>
      <c r="B41" s="7" t="s">
        <v>16</v>
      </c>
      <c r="C41" s="7">
        <v>30</v>
      </c>
      <c r="D41" s="8">
        <f>IFERROR(VLOOKUP($B41,Task!$B$1:$G$65,6,0)," ")</f>
        <v>5.5555555555555558E-3</v>
      </c>
      <c r="E41" s="9">
        <f t="shared" si="0"/>
        <v>0.16666666666666669</v>
      </c>
      <c r="F41" s="10">
        <f>G39</f>
        <v>0.52210648148148153</v>
      </c>
      <c r="G41" s="10">
        <v>0.75805072917137295</v>
      </c>
      <c r="H41" s="8">
        <f t="shared" si="1"/>
        <v>0.16131461806026179</v>
      </c>
      <c r="I41" s="11">
        <f t="shared" si="2"/>
        <v>0.76340277777777787</v>
      </c>
      <c r="J41" s="8"/>
      <c r="K41" s="8"/>
      <c r="L41" s="8">
        <v>7.4629629629629629E-2</v>
      </c>
      <c r="M41" s="12"/>
      <c r="N41" s="13">
        <f t="shared" si="3"/>
        <v>1.0331777037367162</v>
      </c>
      <c r="O41" s="4"/>
    </row>
    <row r="42" spans="1:15" ht="14.5">
      <c r="A42" s="6">
        <v>45702</v>
      </c>
      <c r="B42" s="7" t="s">
        <v>30</v>
      </c>
      <c r="C42" s="7">
        <v>2</v>
      </c>
      <c r="D42" s="8">
        <f>IFERROR(VLOOKUP($B42,Task!$B$1:$G$65,6,0)," ")</f>
        <v>4.8611111111111112E-2</v>
      </c>
      <c r="E42" s="9">
        <f t="shared" si="0"/>
        <v>9.7222222222222224E-2</v>
      </c>
      <c r="F42" s="10">
        <v>0.39293981481481488</v>
      </c>
      <c r="G42" s="10">
        <v>0.49799768518518517</v>
      </c>
      <c r="H42" s="8">
        <f t="shared" si="1"/>
        <v>9.0428240740740656E-2</v>
      </c>
      <c r="I42" s="11">
        <f t="shared" si="2"/>
        <v>0.50479166666666675</v>
      </c>
      <c r="J42" s="8"/>
      <c r="K42" s="8"/>
      <c r="L42" s="8">
        <v>1.462962962962963E-2</v>
      </c>
      <c r="M42" s="12"/>
      <c r="N42" s="13">
        <f t="shared" si="3"/>
        <v>1.0751311916037385</v>
      </c>
      <c r="O42" s="4"/>
    </row>
    <row r="43" spans="1:15" ht="14.5">
      <c r="A43" s="6">
        <v>45702</v>
      </c>
      <c r="B43" s="7" t="s">
        <v>19</v>
      </c>
      <c r="C43" s="7">
        <v>68</v>
      </c>
      <c r="D43" s="8">
        <f>IFERROR(VLOOKUP($B43,Task!$B$1:$G$65,6,0)," ")</f>
        <v>2.7777777777777779E-3</v>
      </c>
      <c r="E43" s="9">
        <f t="shared" si="0"/>
        <v>0.18888888888888888</v>
      </c>
      <c r="F43" s="10">
        <f>G42</f>
        <v>0.49799768518518517</v>
      </c>
      <c r="G43" s="10">
        <v>0.77180797453911509</v>
      </c>
      <c r="H43" s="8">
        <f t="shared" si="1"/>
        <v>0.18364825231689288</v>
      </c>
      <c r="I43" s="11">
        <f t="shared" si="2"/>
        <v>0.77704861111111112</v>
      </c>
      <c r="J43" s="8"/>
      <c r="K43" s="8"/>
      <c r="L43" s="8">
        <v>9.0162037037037041E-2</v>
      </c>
      <c r="M43" s="12"/>
      <c r="N43" s="13">
        <f t="shared" si="3"/>
        <v>1.0285362724985427</v>
      </c>
      <c r="O43" s="19"/>
    </row>
    <row r="44" spans="1:15" ht="14.5">
      <c r="A44" s="6">
        <v>45702</v>
      </c>
      <c r="B44" s="7" t="s">
        <v>36</v>
      </c>
      <c r="C44" s="7">
        <v>36</v>
      </c>
      <c r="D44" s="8">
        <f>IFERROR(VLOOKUP($B44,Task!$B$1:$G$65,6,0)," ")</f>
        <v>6.9444444444444447E-4</v>
      </c>
      <c r="E44" s="9">
        <f t="shared" si="0"/>
        <v>2.5000000000000001E-2</v>
      </c>
      <c r="F44" s="10">
        <v>0.54759259259259263</v>
      </c>
      <c r="G44" s="10">
        <v>0.58534722222222224</v>
      </c>
      <c r="H44" s="8">
        <f t="shared" si="1"/>
        <v>2.4675925925925907E-2</v>
      </c>
      <c r="I44" s="11">
        <f t="shared" si="2"/>
        <v>0.58567129629629633</v>
      </c>
      <c r="J44" s="8"/>
      <c r="K44" s="8"/>
      <c r="L44" s="8">
        <v>1.3078703703703703E-2</v>
      </c>
      <c r="M44" s="12"/>
      <c r="N44" s="13">
        <f t="shared" si="3"/>
        <v>1.0131332082551603</v>
      </c>
      <c r="O44" s="19"/>
    </row>
    <row r="45" spans="1:15" ht="14.5">
      <c r="A45" s="6">
        <v>45702</v>
      </c>
      <c r="B45" s="7" t="s">
        <v>16</v>
      </c>
      <c r="C45" s="7">
        <v>1</v>
      </c>
      <c r="D45" s="8">
        <f>IFERROR(VLOOKUP($B45,Task!$B$1:$G$65,6,0)," ")</f>
        <v>5.5555555555555558E-3</v>
      </c>
      <c r="E45" s="9">
        <f t="shared" si="0"/>
        <v>5.5555555555555558E-3</v>
      </c>
      <c r="F45" s="10">
        <v>0.50747685185185187</v>
      </c>
      <c r="G45" s="10">
        <v>0.51254629629629633</v>
      </c>
      <c r="H45" s="8">
        <f t="shared" si="1"/>
        <v>5.0694444444444597E-3</v>
      </c>
      <c r="I45" s="11">
        <f t="shared" si="2"/>
        <v>0.51303240740740741</v>
      </c>
      <c r="J45" s="8"/>
      <c r="K45" s="8"/>
      <c r="L45" s="8"/>
      <c r="M45" s="12"/>
      <c r="N45" s="13">
        <f t="shared" si="3"/>
        <v>1.0958904109589009</v>
      </c>
      <c r="O45" s="19"/>
    </row>
    <row r="46" spans="1:15" ht="14.5">
      <c r="A46" s="6">
        <v>45705</v>
      </c>
      <c r="B46" s="7" t="s">
        <v>43</v>
      </c>
      <c r="C46" s="7">
        <v>1</v>
      </c>
      <c r="D46" s="8">
        <f>IFERROR(VLOOKUP($B46,Task!$B$1:$G$65,6,0)," ")</f>
        <v>3.4722222222222224E-2</v>
      </c>
      <c r="E46" s="9">
        <f t="shared" si="0"/>
        <v>3.4722222222222224E-2</v>
      </c>
      <c r="F46" s="10">
        <v>0.38728009259259266</v>
      </c>
      <c r="G46" s="8">
        <v>0.41924768518518518</v>
      </c>
      <c r="H46" s="8">
        <f t="shared" si="1"/>
        <v>3.196759259259252E-2</v>
      </c>
      <c r="I46" s="11">
        <f t="shared" si="2"/>
        <v>0.42200231481481487</v>
      </c>
      <c r="J46" s="8"/>
      <c r="K46" s="8"/>
      <c r="L46" s="8"/>
      <c r="M46" s="12"/>
      <c r="N46" s="13">
        <f t="shared" si="3"/>
        <v>1.0861694424330222</v>
      </c>
      <c r="O46" s="4"/>
    </row>
    <row r="47" spans="1:15" ht="14.5">
      <c r="A47" s="6">
        <v>45705</v>
      </c>
      <c r="B47" s="7" t="s">
        <v>16</v>
      </c>
      <c r="C47" s="7">
        <v>7</v>
      </c>
      <c r="D47" s="8">
        <f>IFERROR(VLOOKUP($B47,Task!$B$1:$G$65,6,0)," ")</f>
        <v>5.5555555555555558E-3</v>
      </c>
      <c r="E47" s="9">
        <f t="shared" si="0"/>
        <v>3.888888888888889E-2</v>
      </c>
      <c r="F47" s="8">
        <f>G46</f>
        <v>0.41924768518518518</v>
      </c>
      <c r="G47" s="10">
        <v>0.46047453703703711</v>
      </c>
      <c r="H47" s="8">
        <f t="shared" si="1"/>
        <v>3.4826388888888893E-2</v>
      </c>
      <c r="I47" s="11">
        <f t="shared" si="2"/>
        <v>0.46453703703703708</v>
      </c>
      <c r="J47" s="8"/>
      <c r="K47" s="8"/>
      <c r="L47" s="8">
        <v>6.4004629629630383E-3</v>
      </c>
      <c r="M47" s="18"/>
      <c r="N47" s="13">
        <f t="shared" si="3"/>
        <v>1.1166500498504486</v>
      </c>
      <c r="O47" s="19"/>
    </row>
    <row r="48" spans="1:15" ht="14.5">
      <c r="A48" s="6">
        <v>45705</v>
      </c>
      <c r="B48" s="7" t="s">
        <v>42</v>
      </c>
      <c r="C48" s="7">
        <v>1</v>
      </c>
      <c r="D48" s="8">
        <f>IFERROR(VLOOKUP($B48,Task!$B$1:$G$65,6,0)," ")</f>
        <v>6.9444444444444441E-3</v>
      </c>
      <c r="E48" s="9">
        <f t="shared" si="0"/>
        <v>6.9444444444444441E-3</v>
      </c>
      <c r="F48" s="10">
        <v>0.42863425925925924</v>
      </c>
      <c r="G48" s="10">
        <v>0.43503472222222228</v>
      </c>
      <c r="H48" s="8">
        <f t="shared" si="1"/>
        <v>6.4004629629630383E-3</v>
      </c>
      <c r="I48" s="11">
        <f t="shared" si="2"/>
        <v>0.43557870370370366</v>
      </c>
      <c r="J48" s="8"/>
      <c r="K48" s="8"/>
      <c r="L48" s="8"/>
      <c r="M48" s="12"/>
      <c r="N48" s="13">
        <f t="shared" si="3"/>
        <v>1.084990958408667</v>
      </c>
      <c r="O48" s="4"/>
    </row>
    <row r="49" spans="1:23" ht="14.5">
      <c r="A49" s="6">
        <v>45705</v>
      </c>
      <c r="B49" s="7" t="s">
        <v>46</v>
      </c>
      <c r="C49" s="7">
        <v>26</v>
      </c>
      <c r="D49" s="8">
        <f>IFERROR(VLOOKUP($B49,Task!$B$1:$G$65,6,0)," ")</f>
        <v>3.472222222222222E-3</v>
      </c>
      <c r="E49" s="9">
        <f t="shared" si="0"/>
        <v>9.0277777777777776E-2</v>
      </c>
      <c r="F49" s="10">
        <v>0.46096064814814819</v>
      </c>
      <c r="G49" s="10">
        <v>0.57429398148148147</v>
      </c>
      <c r="H49" s="8">
        <f t="shared" si="1"/>
        <v>8.4803240740740693E-2</v>
      </c>
      <c r="I49" s="11">
        <f t="shared" si="2"/>
        <v>0.57976851851851863</v>
      </c>
      <c r="J49" s="8"/>
      <c r="K49" s="8"/>
      <c r="L49" s="8">
        <v>2.8530092592592593E-2</v>
      </c>
      <c r="M49" s="18" t="s">
        <v>73</v>
      </c>
      <c r="N49" s="13">
        <f t="shared" si="3"/>
        <v>1.0645557526955103</v>
      </c>
      <c r="O49" s="19"/>
    </row>
    <row r="50" spans="1:23" ht="14.5">
      <c r="A50" s="6">
        <v>45705</v>
      </c>
      <c r="B50" s="7" t="s">
        <v>30</v>
      </c>
      <c r="C50" s="7">
        <v>2</v>
      </c>
      <c r="D50" s="8">
        <f>IFERROR(VLOOKUP($B50,Task!$B$1:$G$65,6,0)," ")</f>
        <v>4.8611111111111112E-2</v>
      </c>
      <c r="E50" s="9">
        <f t="shared" si="0"/>
        <v>9.7222222222222224E-2</v>
      </c>
      <c r="F50" s="10">
        <f t="shared" ref="F50:F51" si="17">G49</f>
        <v>0.57429398148148147</v>
      </c>
      <c r="G50" s="10">
        <v>0.69657407407407412</v>
      </c>
      <c r="H50" s="8">
        <f t="shared" si="1"/>
        <v>8.9872685185185236E-2</v>
      </c>
      <c r="I50" s="11">
        <f t="shared" si="2"/>
        <v>0.70392361111111112</v>
      </c>
      <c r="J50" s="8"/>
      <c r="K50" s="8"/>
      <c r="L50" s="8">
        <v>3.2407407407407406E-2</v>
      </c>
      <c r="M50" s="12"/>
      <c r="N50" s="13">
        <f t="shared" si="3"/>
        <v>1.0817772054088854</v>
      </c>
      <c r="O50" s="4"/>
    </row>
    <row r="51" spans="1:23" ht="14.5">
      <c r="A51" s="6">
        <v>45705</v>
      </c>
      <c r="B51" s="7" t="s">
        <v>16</v>
      </c>
      <c r="C51" s="7">
        <v>14</v>
      </c>
      <c r="D51" s="8">
        <f>IFERROR(VLOOKUP($B51,Task!$B$1:$G$65,6,0)," ")</f>
        <v>5.5555555555555558E-3</v>
      </c>
      <c r="E51" s="9">
        <f t="shared" si="0"/>
        <v>7.7777777777777779E-2</v>
      </c>
      <c r="F51" s="10">
        <f t="shared" si="17"/>
        <v>0.69657407407407412</v>
      </c>
      <c r="G51" s="10">
        <v>0.76736111111111116</v>
      </c>
      <c r="H51" s="8">
        <f t="shared" si="1"/>
        <v>7.0787037037037037E-2</v>
      </c>
      <c r="I51" s="11">
        <f t="shared" si="2"/>
        <v>0.77435185185185196</v>
      </c>
      <c r="J51" s="8"/>
      <c r="K51" s="8"/>
      <c r="L51" s="8"/>
      <c r="M51" s="12"/>
      <c r="N51" s="13">
        <f t="shared" si="3"/>
        <v>1.0987573577501635</v>
      </c>
      <c r="O51" s="19"/>
    </row>
    <row r="52" spans="1:23" ht="14.5">
      <c r="A52" s="6">
        <v>45706</v>
      </c>
      <c r="B52" s="7" t="s">
        <v>18</v>
      </c>
      <c r="C52" s="7">
        <v>1</v>
      </c>
      <c r="D52" s="8">
        <f>IFERROR(VLOOKUP($B52,Task!$B$1:$G$65,6,0)," ")</f>
        <v>4.8611111111111112E-2</v>
      </c>
      <c r="E52" s="9">
        <f t="shared" si="0"/>
        <v>4.8611111111111112E-2</v>
      </c>
      <c r="F52" s="10">
        <v>0.37642361111111111</v>
      </c>
      <c r="G52" s="10">
        <v>0.44387731481481485</v>
      </c>
      <c r="H52" s="8">
        <f t="shared" si="1"/>
        <v>4.5995370370370409E-2</v>
      </c>
      <c r="I52" s="11">
        <f t="shared" si="2"/>
        <v>0.44649305555555557</v>
      </c>
      <c r="J52" s="8"/>
      <c r="K52" s="8"/>
      <c r="L52" s="8">
        <v>2.1458333333333333E-2</v>
      </c>
      <c r="M52" s="12"/>
      <c r="N52" s="13">
        <f t="shared" si="3"/>
        <v>1.0568696527428276</v>
      </c>
      <c r="O52" s="19"/>
    </row>
    <row r="53" spans="1:23" ht="14.5">
      <c r="A53" s="6">
        <v>45706</v>
      </c>
      <c r="B53" s="7" t="s">
        <v>46</v>
      </c>
      <c r="C53" s="7">
        <v>15</v>
      </c>
      <c r="D53" s="8">
        <f>IFERROR(VLOOKUP($B53,Task!$B$1:$G$65,6,0)," ")</f>
        <v>3.472222222222222E-3</v>
      </c>
      <c r="E53" s="9">
        <f t="shared" si="0"/>
        <v>5.2083333333333329E-2</v>
      </c>
      <c r="F53" s="10">
        <f t="shared" ref="F53:F56" si="18">G52</f>
        <v>0.44387731481481485</v>
      </c>
      <c r="G53" s="10">
        <v>0.49068287037037039</v>
      </c>
      <c r="H53" s="8">
        <f t="shared" si="1"/>
        <v>4.6805555555555545E-2</v>
      </c>
      <c r="I53" s="11">
        <f t="shared" si="2"/>
        <v>0.49596064814814816</v>
      </c>
      <c r="J53" s="8"/>
      <c r="K53" s="8"/>
      <c r="L53" s="8"/>
      <c r="M53" s="12"/>
      <c r="N53" s="13">
        <f t="shared" si="3"/>
        <v>1.1127596439169141</v>
      </c>
      <c r="O53" s="19"/>
    </row>
    <row r="54" spans="1:23" ht="14.5">
      <c r="A54" s="6">
        <v>45706</v>
      </c>
      <c r="B54" s="7" t="s">
        <v>28</v>
      </c>
      <c r="C54" s="7">
        <v>10</v>
      </c>
      <c r="D54" s="8">
        <f>IFERROR(VLOOKUP($B54,Task!$B$1:$G$65,6,0)," ")</f>
        <v>1.3888888888888889E-3</v>
      </c>
      <c r="E54" s="9">
        <f t="shared" si="0"/>
        <v>1.388888888888889E-2</v>
      </c>
      <c r="F54" s="10">
        <f t="shared" si="18"/>
        <v>0.49068287037037039</v>
      </c>
      <c r="G54" s="10">
        <v>0.50414351851851846</v>
      </c>
      <c r="H54" s="8">
        <f t="shared" si="1"/>
        <v>1.3460648148148069E-2</v>
      </c>
      <c r="I54" s="11">
        <f t="shared" si="2"/>
        <v>0.50457175925925923</v>
      </c>
      <c r="J54" s="8"/>
      <c r="K54" s="8"/>
      <c r="L54" s="8"/>
      <c r="M54" s="18" t="s">
        <v>74</v>
      </c>
      <c r="N54" s="13">
        <f t="shared" si="3"/>
        <v>1.0318142734307887</v>
      </c>
      <c r="O54" s="19"/>
    </row>
    <row r="55" spans="1:23" ht="14.5">
      <c r="A55" s="6">
        <v>45706</v>
      </c>
      <c r="B55" s="7" t="s">
        <v>65</v>
      </c>
      <c r="C55" s="7">
        <v>1</v>
      </c>
      <c r="D55" s="8">
        <f>IFERROR(VLOOKUP($B55,Task!$B$1:$G$65,6,0)," ")</f>
        <v>2.0833333333333332E-2</v>
      </c>
      <c r="E55" s="9">
        <f t="shared" si="0"/>
        <v>2.0833333333333332E-2</v>
      </c>
      <c r="F55" s="10">
        <f t="shared" si="18"/>
        <v>0.50414351851851846</v>
      </c>
      <c r="G55" s="10">
        <v>0.52304398148148146</v>
      </c>
      <c r="H55" s="8">
        <f t="shared" si="1"/>
        <v>1.8900462962962994E-2</v>
      </c>
      <c r="I55" s="11">
        <f t="shared" si="2"/>
        <v>0.52497685185185183</v>
      </c>
      <c r="J55" s="8"/>
      <c r="K55" s="8"/>
      <c r="L55" s="8"/>
      <c r="M55" s="18"/>
      <c r="N55" s="13">
        <f t="shared" si="3"/>
        <v>1.1022657685241868</v>
      </c>
    </row>
    <row r="56" spans="1:23" ht="14.5">
      <c r="A56" s="6">
        <v>45706</v>
      </c>
      <c r="B56" s="7" t="s">
        <v>16</v>
      </c>
      <c r="C56" s="7">
        <v>32</v>
      </c>
      <c r="D56" s="8">
        <f>IFERROR(VLOOKUP($B56,Task!$B$1:$G$65,6,0)," ")</f>
        <v>5.5555555555555558E-3</v>
      </c>
      <c r="E56" s="9">
        <f t="shared" si="0"/>
        <v>0.17777777777777778</v>
      </c>
      <c r="F56" s="10">
        <f t="shared" si="18"/>
        <v>0.52304398148148146</v>
      </c>
      <c r="G56" s="10">
        <v>0.75636535880039446</v>
      </c>
      <c r="H56" s="8">
        <f t="shared" si="1"/>
        <v>0.17614545139298707</v>
      </c>
      <c r="I56" s="11">
        <f t="shared" si="2"/>
        <v>0.75799768518518518</v>
      </c>
      <c r="J56" s="8"/>
      <c r="K56" s="8"/>
      <c r="L56" s="8">
        <v>5.7175925925925929E-2</v>
      </c>
      <c r="M56" s="18"/>
      <c r="N56" s="13">
        <f t="shared" si="3"/>
        <v>1.0092669232834683</v>
      </c>
      <c r="P56" s="4"/>
    </row>
    <row r="57" spans="1:23" ht="14.5">
      <c r="A57" s="6">
        <v>45707</v>
      </c>
      <c r="B57" s="7" t="s">
        <v>18</v>
      </c>
      <c r="C57" s="7">
        <v>1</v>
      </c>
      <c r="D57" s="8">
        <f>IFERROR(VLOOKUP($B57,Task!$B$1:$G$65,6,0)," ")</f>
        <v>4.8611111111111112E-2</v>
      </c>
      <c r="E57" s="9">
        <f t="shared" si="0"/>
        <v>4.8611111111111112E-2</v>
      </c>
      <c r="F57" s="8">
        <v>0.37186342592592592</v>
      </c>
      <c r="G57" s="10">
        <v>0.4177199074074075</v>
      </c>
      <c r="H57" s="8">
        <f t="shared" si="1"/>
        <v>4.5856481481481581E-2</v>
      </c>
      <c r="I57" s="11">
        <f t="shared" si="2"/>
        <v>0.42047453703703702</v>
      </c>
      <c r="J57" s="8"/>
      <c r="K57" s="8"/>
      <c r="L57" s="8"/>
      <c r="M57" s="18"/>
      <c r="N57" s="13">
        <f t="shared" si="3"/>
        <v>1.0600706713780896</v>
      </c>
      <c r="O57" s="19"/>
      <c r="P57" s="4"/>
    </row>
    <row r="58" spans="1:23" ht="14.5">
      <c r="A58" s="6">
        <v>45707</v>
      </c>
      <c r="B58" s="7" t="s">
        <v>42</v>
      </c>
      <c r="C58" s="7">
        <v>1</v>
      </c>
      <c r="D58" s="8">
        <f>IFERROR(VLOOKUP($B58,Task!$B$1:$G$65,6,0)," ")</f>
        <v>6.9444444444444441E-3</v>
      </c>
      <c r="E58" s="9">
        <f t="shared" si="0"/>
        <v>6.9444444444444441E-3</v>
      </c>
      <c r="F58" s="10">
        <f t="shared" ref="F58:F62" si="19">G57</f>
        <v>0.4177199074074075</v>
      </c>
      <c r="G58" s="10">
        <v>0.4241435185185185</v>
      </c>
      <c r="H58" s="8">
        <f t="shared" si="1"/>
        <v>6.423611111111005E-3</v>
      </c>
      <c r="I58" s="11">
        <f t="shared" si="2"/>
        <v>0.42466435185185192</v>
      </c>
      <c r="J58" s="8"/>
      <c r="K58" s="8"/>
      <c r="L58" s="8"/>
      <c r="M58" s="12"/>
      <c r="N58" s="13">
        <f t="shared" si="3"/>
        <v>1.0810810810810989</v>
      </c>
      <c r="O58" s="19"/>
      <c r="P58" s="4"/>
    </row>
    <row r="59" spans="1:23" ht="14.5">
      <c r="A59" s="6">
        <v>45707</v>
      </c>
      <c r="B59" s="7" t="s">
        <v>43</v>
      </c>
      <c r="C59" s="7">
        <v>1</v>
      </c>
      <c r="D59" s="8">
        <f>IFERROR(VLOOKUP($B59,Task!$B$1:$G$65,6,0)," ")</f>
        <v>3.4722222222222224E-2</v>
      </c>
      <c r="E59" s="9">
        <f t="shared" si="0"/>
        <v>3.4722222222222224E-2</v>
      </c>
      <c r="F59" s="10">
        <f t="shared" si="19"/>
        <v>0.4241435185185185</v>
      </c>
      <c r="G59" s="10">
        <v>0.45552083333333337</v>
      </c>
      <c r="H59" s="8">
        <f t="shared" si="1"/>
        <v>3.1377314814814872E-2</v>
      </c>
      <c r="I59" s="11">
        <f t="shared" si="2"/>
        <v>0.45886574074074071</v>
      </c>
      <c r="J59" s="8"/>
      <c r="K59" s="8"/>
      <c r="L59" s="8"/>
      <c r="M59" s="12"/>
      <c r="N59" s="13">
        <f t="shared" si="3"/>
        <v>1.1066027296200645</v>
      </c>
      <c r="O59" s="25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45707</v>
      </c>
      <c r="B60" s="7" t="s">
        <v>19</v>
      </c>
      <c r="C60" s="7">
        <v>2</v>
      </c>
      <c r="D60" s="8">
        <f>IFERROR(VLOOKUP($B60,Task!$B$1:$G$65,6,0)," ")</f>
        <v>2.7777777777777779E-3</v>
      </c>
      <c r="E60" s="9">
        <f t="shared" si="0"/>
        <v>5.5555555555555558E-3</v>
      </c>
      <c r="F60" s="10">
        <f t="shared" si="19"/>
        <v>0.45552083333333337</v>
      </c>
      <c r="G60" s="10">
        <v>0.46068287037037037</v>
      </c>
      <c r="H60" s="8">
        <f t="shared" si="1"/>
        <v>5.1620370370369928E-3</v>
      </c>
      <c r="I60" s="11">
        <f t="shared" si="2"/>
        <v>0.46107638888888891</v>
      </c>
      <c r="J60" s="8"/>
      <c r="K60" s="8"/>
      <c r="L60" s="8"/>
      <c r="M60" s="12"/>
      <c r="N60" s="13">
        <f t="shared" si="3"/>
        <v>1.0762331838565116</v>
      </c>
      <c r="O60" s="19"/>
      <c r="Q60" s="4"/>
    </row>
    <row r="61" spans="1:23" ht="14.5">
      <c r="A61" s="6">
        <v>45707</v>
      </c>
      <c r="B61" s="7" t="s">
        <v>16</v>
      </c>
      <c r="C61" s="7">
        <v>3</v>
      </c>
      <c r="D61" s="8">
        <f>IFERROR(VLOOKUP($B61,Task!$B$1:$G$65,6,0)," ")</f>
        <v>5.5555555555555558E-3</v>
      </c>
      <c r="E61" s="9">
        <f t="shared" si="0"/>
        <v>1.6666666666666666E-2</v>
      </c>
      <c r="F61" s="10">
        <f t="shared" si="19"/>
        <v>0.46068287037037037</v>
      </c>
      <c r="G61" s="10">
        <v>0.47598379629629628</v>
      </c>
      <c r="H61" s="8">
        <f t="shared" si="1"/>
        <v>1.5300925925925912E-2</v>
      </c>
      <c r="I61" s="11">
        <f t="shared" si="2"/>
        <v>0.47734953703703703</v>
      </c>
      <c r="J61" s="8"/>
      <c r="K61" s="8"/>
      <c r="L61" s="8"/>
      <c r="M61" s="12"/>
      <c r="N61" s="13">
        <f t="shared" si="3"/>
        <v>1.0892586989409994</v>
      </c>
      <c r="O61" s="19"/>
      <c r="Q61" s="4"/>
    </row>
    <row r="62" spans="1:23" ht="14.5">
      <c r="A62" s="6">
        <v>45707</v>
      </c>
      <c r="B62" s="7" t="s">
        <v>36</v>
      </c>
      <c r="C62" s="7">
        <v>48</v>
      </c>
      <c r="D62" s="8">
        <f>IFERROR(VLOOKUP($B62,Task!$B$1:$G$65,6,0)," ")</f>
        <v>6.9444444444444447E-4</v>
      </c>
      <c r="E62" s="9">
        <f t="shared" si="0"/>
        <v>3.3333333333333333E-2</v>
      </c>
      <c r="F62" s="10">
        <f t="shared" si="19"/>
        <v>0.47598379629629628</v>
      </c>
      <c r="G62" s="10">
        <v>0.5075115740740741</v>
      </c>
      <c r="H62" s="8">
        <f t="shared" si="1"/>
        <v>3.1527777777777821E-2</v>
      </c>
      <c r="I62" s="11">
        <f t="shared" si="2"/>
        <v>0.50931712962962961</v>
      </c>
      <c r="J62" s="8"/>
      <c r="K62" s="8"/>
      <c r="L62" s="8"/>
      <c r="M62" s="18"/>
      <c r="N62" s="13">
        <f t="shared" si="3"/>
        <v>1.0572687224669588</v>
      </c>
      <c r="O62" s="19"/>
    </row>
    <row r="63" spans="1:23" ht="14.5">
      <c r="A63" s="6">
        <v>45707</v>
      </c>
      <c r="B63" s="7" t="s">
        <v>38</v>
      </c>
      <c r="C63" s="7">
        <v>8</v>
      </c>
      <c r="D63" s="8">
        <f>IFERROR(VLOOKUP($B63,Task!$B$1:$G$65,6,0)," ")</f>
        <v>2.7777777777777779E-3</v>
      </c>
      <c r="E63" s="9">
        <f t="shared" si="0"/>
        <v>2.2222222222222223E-2</v>
      </c>
      <c r="F63" s="10">
        <v>0.55486111111111114</v>
      </c>
      <c r="G63" s="10">
        <v>0.58163194444444444</v>
      </c>
      <c r="H63" s="8">
        <f t="shared" si="1"/>
        <v>2.1712962962962927E-2</v>
      </c>
      <c r="I63" s="11">
        <f t="shared" si="2"/>
        <v>0.58214120370370381</v>
      </c>
      <c r="J63" s="8"/>
      <c r="K63" s="8"/>
      <c r="L63" s="8">
        <v>5.0578703703703706E-3</v>
      </c>
      <c r="M63" s="12"/>
      <c r="N63" s="13">
        <f t="shared" si="3"/>
        <v>1.0234541577825178</v>
      </c>
    </row>
    <row r="64" spans="1:23" ht="14.5">
      <c r="A64" s="6">
        <v>45707</v>
      </c>
      <c r="B64" s="7" t="s">
        <v>16</v>
      </c>
      <c r="C64" s="7">
        <v>5</v>
      </c>
      <c r="D64" s="8">
        <f>IFERROR(VLOOKUP($B64,Task!$B$1:$G$65,6,0)," ")</f>
        <v>5.5555555555555558E-3</v>
      </c>
      <c r="E64" s="9">
        <f t="shared" si="0"/>
        <v>2.777777777777778E-2</v>
      </c>
      <c r="F64" s="10">
        <v>0.68841435185185185</v>
      </c>
      <c r="G64" s="10">
        <v>0.71400462962962963</v>
      </c>
      <c r="H64" s="8">
        <f t="shared" si="1"/>
        <v>2.5590277777777781E-2</v>
      </c>
      <c r="I64" s="11">
        <f t="shared" si="2"/>
        <v>0.71619212962962964</v>
      </c>
      <c r="J64" s="8"/>
      <c r="K64" s="8"/>
      <c r="L64" s="8"/>
      <c r="M64" s="12"/>
      <c r="N64" s="13">
        <f t="shared" si="3"/>
        <v>1.0854816824966078</v>
      </c>
      <c r="O64" s="4"/>
    </row>
    <row r="65" spans="1:15" ht="14.5">
      <c r="A65" s="6">
        <v>45708</v>
      </c>
      <c r="B65" s="7" t="s">
        <v>18</v>
      </c>
      <c r="C65" s="7">
        <v>1</v>
      </c>
      <c r="D65" s="8">
        <f>IFERROR(VLOOKUP($B65,Task!$B$1:$G$65,6,0)," ")</f>
        <v>4.8611111111111112E-2</v>
      </c>
      <c r="E65" s="9">
        <f t="shared" si="0"/>
        <v>4.8611111111111112E-2</v>
      </c>
      <c r="F65" s="10">
        <v>0.3759837962962963</v>
      </c>
      <c r="G65" s="10">
        <v>0.42578703703703702</v>
      </c>
      <c r="H65" s="8">
        <f t="shared" si="1"/>
        <v>4.4571759259259235E-2</v>
      </c>
      <c r="I65" s="11">
        <f t="shared" si="2"/>
        <v>0.42982638888888891</v>
      </c>
      <c r="J65" s="8"/>
      <c r="K65" s="8"/>
      <c r="L65" s="8">
        <v>5.2314814814814811E-3</v>
      </c>
      <c r="M65" s="12"/>
      <c r="N65" s="13">
        <f t="shared" si="3"/>
        <v>1.0906258114775389</v>
      </c>
      <c r="O65" s="19"/>
    </row>
    <row r="66" spans="1:15" ht="14.5">
      <c r="A66" s="6">
        <v>45708</v>
      </c>
      <c r="B66" s="7" t="s">
        <v>16</v>
      </c>
      <c r="C66" s="7">
        <v>8</v>
      </c>
      <c r="D66" s="8">
        <f>IFERROR(VLOOKUP($B66,Task!$B$1:$G$65,6,0)," ")</f>
        <v>5.5555555555555558E-3</v>
      </c>
      <c r="E66" s="9">
        <f t="shared" si="0"/>
        <v>4.4444444444444446E-2</v>
      </c>
      <c r="F66" s="10">
        <f t="shared" ref="F66:F70" si="20">G65</f>
        <v>0.42578703703703702</v>
      </c>
      <c r="G66" s="10">
        <v>0.4674652777777778</v>
      </c>
      <c r="H66" s="8">
        <f t="shared" si="1"/>
        <v>4.167824074074078E-2</v>
      </c>
      <c r="I66" s="11">
        <f t="shared" si="2"/>
        <v>0.47023148148148147</v>
      </c>
      <c r="J66" s="8"/>
      <c r="K66" s="8"/>
      <c r="L66" s="8"/>
      <c r="M66" s="12"/>
      <c r="N66" s="13">
        <f t="shared" si="3"/>
        <v>1.0663704526520401</v>
      </c>
      <c r="O66" s="19"/>
    </row>
    <row r="67" spans="1:15" ht="14.5">
      <c r="A67" s="6">
        <v>45708</v>
      </c>
      <c r="B67" s="7" t="s">
        <v>27</v>
      </c>
      <c r="C67" s="7">
        <v>16</v>
      </c>
      <c r="D67" s="8">
        <f>IFERROR(VLOOKUP($B67,Task!$B$1:$G$65,6,0)," ")</f>
        <v>1.3888888888888889E-3</v>
      </c>
      <c r="E67" s="9">
        <f t="shared" si="0"/>
        <v>2.2222222222222223E-2</v>
      </c>
      <c r="F67" s="10">
        <f t="shared" si="20"/>
        <v>0.4674652777777778</v>
      </c>
      <c r="G67" s="10">
        <v>0.49648148148148147</v>
      </c>
      <c r="H67" s="8">
        <f t="shared" si="1"/>
        <v>2.1099537037037E-2</v>
      </c>
      <c r="I67" s="11">
        <f t="shared" si="2"/>
        <v>0.49760416666666668</v>
      </c>
      <c r="J67" s="8"/>
      <c r="K67" s="8"/>
      <c r="L67" s="8">
        <v>7.9166666666666673E-3</v>
      </c>
      <c r="M67" s="18" t="s">
        <v>75</v>
      </c>
      <c r="N67" s="13">
        <f t="shared" si="3"/>
        <v>1.0532089961601774</v>
      </c>
      <c r="O67" s="19"/>
    </row>
    <row r="68" spans="1:15" ht="14.5">
      <c r="A68" s="6">
        <v>45708</v>
      </c>
      <c r="B68" s="7" t="s">
        <v>19</v>
      </c>
      <c r="C68" s="7">
        <v>13</v>
      </c>
      <c r="D68" s="8">
        <f>IFERROR(VLOOKUP($B68,Task!$B$1:$G$65,6,0)," ")</f>
        <v>2.7777777777777779E-3</v>
      </c>
      <c r="E68" s="9">
        <f t="shared" si="0"/>
        <v>3.6111111111111115E-2</v>
      </c>
      <c r="F68" s="10">
        <f t="shared" si="20"/>
        <v>0.49648148148148147</v>
      </c>
      <c r="G68" s="10">
        <v>0.53017361111111116</v>
      </c>
      <c r="H68" s="8">
        <f t="shared" si="1"/>
        <v>3.3692129629629697E-2</v>
      </c>
      <c r="I68" s="11">
        <f t="shared" si="2"/>
        <v>0.53259259259259262</v>
      </c>
      <c r="J68" s="8"/>
      <c r="K68" s="8"/>
      <c r="L68" s="8"/>
      <c r="M68" s="12"/>
      <c r="N68" s="13">
        <f t="shared" si="3"/>
        <v>1.0717966334592903</v>
      </c>
      <c r="O68" s="19"/>
    </row>
    <row r="69" spans="1:15" ht="14.5">
      <c r="A69" s="6">
        <v>45708</v>
      </c>
      <c r="B69" s="7" t="s">
        <v>36</v>
      </c>
      <c r="C69" s="7">
        <v>20</v>
      </c>
      <c r="D69" s="8">
        <f>IFERROR(VLOOKUP($B69,Task!$B$1:$G$65,6,0)," ")</f>
        <v>6.9444444444444447E-4</v>
      </c>
      <c r="E69" s="9">
        <f t="shared" si="0"/>
        <v>1.388888888888889E-2</v>
      </c>
      <c r="F69" s="10">
        <f t="shared" si="20"/>
        <v>0.53017361111111116</v>
      </c>
      <c r="G69" s="10">
        <v>0.56821759259259264</v>
      </c>
      <c r="H69" s="8">
        <f t="shared" si="1"/>
        <v>1.2662037037037027E-2</v>
      </c>
      <c r="I69" s="11">
        <f t="shared" si="2"/>
        <v>0.56944444444444442</v>
      </c>
      <c r="J69" s="8"/>
      <c r="K69" s="8"/>
      <c r="L69" s="8">
        <v>2.5381944444444443E-2</v>
      </c>
      <c r="M69" s="12"/>
      <c r="N69" s="13">
        <f t="shared" si="3"/>
        <v>1.096892138939672</v>
      </c>
      <c r="O69" s="19"/>
    </row>
    <row r="70" spans="1:15" ht="14.5">
      <c r="A70" s="6">
        <v>45708</v>
      </c>
      <c r="B70" s="7" t="s">
        <v>16</v>
      </c>
      <c r="C70" s="7">
        <v>16</v>
      </c>
      <c r="D70" s="8">
        <f>IFERROR(VLOOKUP($B70,Task!$B$1:$G$65,6,0)," ")</f>
        <v>5.5555555555555558E-3</v>
      </c>
      <c r="E70" s="9">
        <f t="shared" si="0"/>
        <v>8.8888888888888892E-2</v>
      </c>
      <c r="F70" s="10">
        <f t="shared" si="20"/>
        <v>0.56821759259259264</v>
      </c>
      <c r="G70" s="10">
        <v>0.68251157407407403</v>
      </c>
      <c r="H70" s="8">
        <f t="shared" si="1"/>
        <v>8.2916666666666583E-2</v>
      </c>
      <c r="I70" s="11">
        <f t="shared" si="2"/>
        <v>0.68848379629629641</v>
      </c>
      <c r="J70" s="8"/>
      <c r="K70" s="8"/>
      <c r="L70" s="8">
        <v>3.1377314814814816E-2</v>
      </c>
      <c r="M70" s="12"/>
      <c r="N70" s="13">
        <f t="shared" si="3"/>
        <v>1.0720268006700178</v>
      </c>
      <c r="O70" s="19"/>
    </row>
    <row r="71" spans="1:15" ht="14.5">
      <c r="A71" s="6">
        <v>45709</v>
      </c>
      <c r="B71" s="7" t="s">
        <v>18</v>
      </c>
      <c r="C71" s="7">
        <v>1</v>
      </c>
      <c r="D71" s="8">
        <f>IFERROR(VLOOKUP($B71,Task!$B$1:$G$65,6,0)," ")</f>
        <v>4.8611111111111112E-2</v>
      </c>
      <c r="E71" s="9">
        <f t="shared" si="0"/>
        <v>4.8611111111111112E-2</v>
      </c>
      <c r="F71" s="10">
        <v>0.33649305555555564</v>
      </c>
      <c r="G71" s="10">
        <v>0.40445601851851853</v>
      </c>
      <c r="H71" s="8">
        <f t="shared" si="1"/>
        <v>4.4675925925925855E-2</v>
      </c>
      <c r="I71" s="11">
        <f t="shared" si="2"/>
        <v>0.4083912037037038</v>
      </c>
      <c r="J71" s="8"/>
      <c r="K71" s="8"/>
      <c r="L71" s="8">
        <v>2.3287037037037037E-2</v>
      </c>
      <c r="M71" s="12"/>
      <c r="N71" s="13">
        <f t="shared" si="3"/>
        <v>1.0880829015544058</v>
      </c>
      <c r="O71" s="4"/>
    </row>
    <row r="72" spans="1:15" ht="14.5">
      <c r="A72" s="6">
        <v>45709</v>
      </c>
      <c r="B72" s="7" t="s">
        <v>20</v>
      </c>
      <c r="C72" s="7">
        <v>2</v>
      </c>
      <c r="D72" s="8">
        <f>IFERROR(VLOOKUP($B72,Task!$B$1:$G$65,6,0)," ")</f>
        <v>2.0833333333333333E-3</v>
      </c>
      <c r="E72" s="9">
        <f t="shared" si="0"/>
        <v>4.1666666666666666E-3</v>
      </c>
      <c r="F72" s="10">
        <f t="shared" ref="F72:F74" si="21">G71</f>
        <v>0.40445601851851853</v>
      </c>
      <c r="G72" s="10">
        <v>0.40818287037037038</v>
      </c>
      <c r="H72" s="8">
        <f t="shared" si="1"/>
        <v>3.7268518518518423E-3</v>
      </c>
      <c r="I72" s="11">
        <f t="shared" si="2"/>
        <v>0.40862268518518519</v>
      </c>
      <c r="J72" s="8"/>
      <c r="K72" s="8"/>
      <c r="L72" s="8"/>
      <c r="M72" s="18" t="s">
        <v>76</v>
      </c>
      <c r="N72" s="13">
        <f t="shared" si="3"/>
        <v>1.1180124223602512</v>
      </c>
      <c r="O72" s="19"/>
    </row>
    <row r="73" spans="1:15" ht="14.5">
      <c r="A73" s="6">
        <v>45709</v>
      </c>
      <c r="B73" s="7" t="s">
        <v>16</v>
      </c>
      <c r="C73" s="7">
        <v>27</v>
      </c>
      <c r="D73" s="8">
        <f>IFERROR(VLOOKUP($B73,Task!$B$1:$G$65,6,0)," ")</f>
        <v>5.5555555555555558E-3</v>
      </c>
      <c r="E73" s="9">
        <f t="shared" si="0"/>
        <v>0.15</v>
      </c>
      <c r="F73" s="10">
        <f t="shared" si="21"/>
        <v>0.40818287037037038</v>
      </c>
      <c r="G73" s="10">
        <v>0.55581018518518521</v>
      </c>
      <c r="H73" s="8">
        <f t="shared" si="1"/>
        <v>0.13802083333333334</v>
      </c>
      <c r="I73" s="11">
        <f t="shared" si="2"/>
        <v>0.56778935185185186</v>
      </c>
      <c r="J73" s="8"/>
      <c r="K73" s="8"/>
      <c r="L73" s="8">
        <v>9.6064814814814815E-3</v>
      </c>
      <c r="M73" s="18"/>
      <c r="N73" s="13">
        <f t="shared" si="3"/>
        <v>1.0867924528301887</v>
      </c>
      <c r="O73" s="19"/>
    </row>
    <row r="74" spans="1:15" ht="14.5">
      <c r="A74" s="6">
        <v>45709</v>
      </c>
      <c r="B74" s="7" t="s">
        <v>16</v>
      </c>
      <c r="C74" s="7">
        <v>25</v>
      </c>
      <c r="D74" s="8">
        <f>IFERROR(VLOOKUP($B74,Task!$B$1:$G$65,6,0)," ")</f>
        <v>5.5555555555555558E-3</v>
      </c>
      <c r="E74" s="9">
        <f t="shared" si="0"/>
        <v>0.1388888888888889</v>
      </c>
      <c r="F74" s="10">
        <f t="shared" si="21"/>
        <v>0.55581018518518521</v>
      </c>
      <c r="G74" s="10">
        <v>0.71875</v>
      </c>
      <c r="H74" s="8">
        <f t="shared" si="1"/>
        <v>0.12913194444444442</v>
      </c>
      <c r="I74" s="11">
        <f t="shared" si="2"/>
        <v>0.72850694444444453</v>
      </c>
      <c r="J74" s="8"/>
      <c r="K74" s="8"/>
      <c r="L74" s="8">
        <v>3.380787037037037E-2</v>
      </c>
      <c r="M74" s="12"/>
      <c r="N74" s="13">
        <f t="shared" si="3"/>
        <v>1.0755579456843241</v>
      </c>
    </row>
    <row r="75" spans="1:15" ht="14.5">
      <c r="A75" s="6">
        <v>45712</v>
      </c>
      <c r="B75" s="7" t="s">
        <v>50</v>
      </c>
      <c r="C75" s="7">
        <v>2</v>
      </c>
      <c r="D75" s="8">
        <f>IFERROR(VLOOKUP($B75,Task!$B$1:$G$65,6,0)," ")</f>
        <v>1.0416666666666666E-2</v>
      </c>
      <c r="E75" s="9">
        <f t="shared" si="0"/>
        <v>2.0833333333333332E-2</v>
      </c>
      <c r="F75" s="10">
        <v>0.28918981481481487</v>
      </c>
      <c r="G75" s="10">
        <v>0.30851851851851853</v>
      </c>
      <c r="H75" s="8">
        <f t="shared" si="1"/>
        <v>1.9328703703703654E-2</v>
      </c>
      <c r="I75" s="11">
        <f t="shared" si="2"/>
        <v>0.31002314814814819</v>
      </c>
      <c r="J75" s="8"/>
      <c r="K75" s="8"/>
      <c r="L75" s="8"/>
      <c r="M75" s="12"/>
      <c r="N75" s="13">
        <f t="shared" si="3"/>
        <v>1.0778443113772482</v>
      </c>
    </row>
    <row r="76" spans="1:15" ht="14.5">
      <c r="A76" s="6">
        <v>45712</v>
      </c>
      <c r="B76" s="7" t="s">
        <v>51</v>
      </c>
      <c r="C76" s="7">
        <v>2</v>
      </c>
      <c r="D76" s="8">
        <f>IFERROR(VLOOKUP($B76,Task!$B$1:$G$65,6,0)," ")</f>
        <v>1.0416666666666666E-2</v>
      </c>
      <c r="E76" s="9">
        <f t="shared" si="0"/>
        <v>2.0833333333333332E-2</v>
      </c>
      <c r="F76" s="10">
        <f t="shared" ref="F76:F84" si="22">G75</f>
        <v>0.30851851851851853</v>
      </c>
      <c r="G76" s="10">
        <v>0.32758101851851851</v>
      </c>
      <c r="H76" s="8">
        <f t="shared" si="1"/>
        <v>1.9062499999999982E-2</v>
      </c>
      <c r="I76" s="11">
        <f t="shared" si="2"/>
        <v>0.32935185185185184</v>
      </c>
      <c r="J76" s="8"/>
      <c r="K76" s="8"/>
      <c r="L76" s="8"/>
      <c r="M76" s="12"/>
      <c r="N76" s="13">
        <f t="shared" si="3"/>
        <v>1.092896174863389</v>
      </c>
      <c r="O76" s="19"/>
    </row>
    <row r="77" spans="1:15" ht="14.5">
      <c r="A77" s="6">
        <v>45712</v>
      </c>
      <c r="B77" s="7" t="s">
        <v>52</v>
      </c>
      <c r="C77" s="7">
        <v>2</v>
      </c>
      <c r="D77" s="8">
        <f>IFERROR(VLOOKUP($B77,Task!$B$1:$G$65,6,0)," ")</f>
        <v>1.0416666666666666E-2</v>
      </c>
      <c r="E77" s="9">
        <f t="shared" si="0"/>
        <v>2.0833333333333332E-2</v>
      </c>
      <c r="F77" s="10">
        <f t="shared" si="22"/>
        <v>0.32758101851851851</v>
      </c>
      <c r="G77" s="10">
        <v>0.34562500000000007</v>
      </c>
      <c r="H77" s="8">
        <f t="shared" si="1"/>
        <v>1.8043981481481564E-2</v>
      </c>
      <c r="I77" s="11">
        <f t="shared" si="2"/>
        <v>0.34841435185185182</v>
      </c>
      <c r="J77" s="8"/>
      <c r="K77" s="8"/>
      <c r="L77" s="8"/>
      <c r="M77" s="12"/>
      <c r="N77" s="13">
        <f t="shared" si="3"/>
        <v>1.1545862732520793</v>
      </c>
      <c r="O77" s="19"/>
    </row>
    <row r="78" spans="1:15" ht="14.5">
      <c r="A78" s="6">
        <v>45712</v>
      </c>
      <c r="B78" s="7" t="s">
        <v>53</v>
      </c>
      <c r="C78" s="7">
        <v>2</v>
      </c>
      <c r="D78" s="8">
        <f>IFERROR(VLOOKUP($B78,Task!$B$1:$G$65,6,0)," ")</f>
        <v>1.0416666666666666E-2</v>
      </c>
      <c r="E78" s="9">
        <f t="shared" si="0"/>
        <v>2.0833333333333332E-2</v>
      </c>
      <c r="F78" s="10">
        <f t="shared" si="22"/>
        <v>0.34562500000000007</v>
      </c>
      <c r="G78" s="10">
        <v>0.36460648148148156</v>
      </c>
      <c r="H78" s="8">
        <f t="shared" si="1"/>
        <v>1.8981481481481488E-2</v>
      </c>
      <c r="I78" s="11">
        <f t="shared" si="2"/>
        <v>0.36645833333333339</v>
      </c>
      <c r="J78" s="8"/>
      <c r="K78" s="8"/>
      <c r="L78" s="8"/>
      <c r="M78" s="12"/>
      <c r="N78" s="13">
        <f t="shared" si="3"/>
        <v>1.0975609756097557</v>
      </c>
      <c r="O78" s="19"/>
    </row>
    <row r="79" spans="1:15" ht="14.5">
      <c r="A79" s="6">
        <v>45712</v>
      </c>
      <c r="B79" s="7" t="s">
        <v>30</v>
      </c>
      <c r="C79" s="7">
        <v>2</v>
      </c>
      <c r="D79" s="8">
        <f>IFERROR(VLOOKUP($B79,Task!$B$1:$G$65,6,0)," ")</f>
        <v>4.8611111111111112E-2</v>
      </c>
      <c r="E79" s="9">
        <f t="shared" si="0"/>
        <v>9.7222222222222224E-2</v>
      </c>
      <c r="F79" s="10">
        <f t="shared" si="22"/>
        <v>0.36460648148148156</v>
      </c>
      <c r="G79" s="10">
        <v>0.47560185185185189</v>
      </c>
      <c r="H79" s="8">
        <f t="shared" si="1"/>
        <v>9.2326388888888847E-2</v>
      </c>
      <c r="I79" s="11">
        <f t="shared" si="2"/>
        <v>0.48049768518518526</v>
      </c>
      <c r="J79" s="8"/>
      <c r="K79" s="8"/>
      <c r="L79" s="8">
        <v>1.8668981481481481E-2</v>
      </c>
      <c r="M79" s="12"/>
      <c r="N79" s="13">
        <f t="shared" si="3"/>
        <v>1.0530274539300495</v>
      </c>
      <c r="O79" s="4"/>
    </row>
    <row r="80" spans="1:15" ht="14.5">
      <c r="A80" s="6">
        <v>45712</v>
      </c>
      <c r="B80" s="7" t="s">
        <v>42</v>
      </c>
      <c r="C80" s="7">
        <v>1</v>
      </c>
      <c r="D80" s="8">
        <f>IFERROR(VLOOKUP($B80,Task!$B$1:$G$65,6,0)," ")</f>
        <v>6.9444444444444441E-3</v>
      </c>
      <c r="E80" s="9">
        <f t="shared" si="0"/>
        <v>6.9444444444444441E-3</v>
      </c>
      <c r="F80" s="10">
        <f t="shared" si="22"/>
        <v>0.47560185185185189</v>
      </c>
      <c r="G80" s="10">
        <v>0.48214120370370372</v>
      </c>
      <c r="H80" s="8">
        <f t="shared" si="1"/>
        <v>6.5393518518518379E-3</v>
      </c>
      <c r="I80" s="11">
        <f t="shared" si="2"/>
        <v>0.48254629629629631</v>
      </c>
      <c r="J80" s="8"/>
      <c r="K80" s="8"/>
      <c r="L80" s="8"/>
      <c r="M80" s="12"/>
      <c r="N80" s="13">
        <f t="shared" si="3"/>
        <v>1.0619469026548696</v>
      </c>
      <c r="O80" s="19"/>
    </row>
    <row r="81" spans="1:16" ht="14.5">
      <c r="A81" s="6">
        <v>45712</v>
      </c>
      <c r="B81" s="7" t="s">
        <v>43</v>
      </c>
      <c r="C81" s="7">
        <v>1</v>
      </c>
      <c r="D81" s="8">
        <f>IFERROR(VLOOKUP($B81,Task!$B$1:$G$65,6,0)," ")</f>
        <v>3.4722222222222224E-2</v>
      </c>
      <c r="E81" s="9">
        <f t="shared" si="0"/>
        <v>3.4722222222222224E-2</v>
      </c>
      <c r="F81" s="10">
        <f t="shared" si="22"/>
        <v>0.48214120370370372</v>
      </c>
      <c r="G81" s="10">
        <v>0.51722222222222225</v>
      </c>
      <c r="H81" s="8">
        <f t="shared" si="1"/>
        <v>3.5081018518518525E-2</v>
      </c>
      <c r="I81" s="11">
        <f t="shared" si="2"/>
        <v>0.51686342592592593</v>
      </c>
      <c r="J81" s="8"/>
      <c r="K81" s="8"/>
      <c r="L81" s="8"/>
      <c r="M81" s="12"/>
      <c r="N81" s="13">
        <f t="shared" si="3"/>
        <v>0.98977235235895733</v>
      </c>
      <c r="O81" s="4"/>
    </row>
    <row r="82" spans="1:16" ht="14.5">
      <c r="A82" s="6">
        <v>45712</v>
      </c>
      <c r="B82" s="7" t="s">
        <v>37</v>
      </c>
      <c r="C82" s="7">
        <v>11</v>
      </c>
      <c r="D82" s="8">
        <f>IFERROR(VLOOKUP($B82,Task!$B$1:$G$65,6,0)," ")</f>
        <v>1.3888888888888889E-3</v>
      </c>
      <c r="E82" s="9">
        <f t="shared" si="0"/>
        <v>1.5277777777777779E-2</v>
      </c>
      <c r="F82" s="10">
        <f t="shared" si="22"/>
        <v>0.51722222222222225</v>
      </c>
      <c r="G82" s="10">
        <v>0.53868055555555561</v>
      </c>
      <c r="H82" s="8">
        <f t="shared" si="1"/>
        <v>1.4444444444444468E-2</v>
      </c>
      <c r="I82" s="11">
        <f t="shared" si="2"/>
        <v>0.53951388888888885</v>
      </c>
      <c r="J82" s="8"/>
      <c r="K82" s="8"/>
      <c r="L82" s="8">
        <v>7.013888888888889E-3</v>
      </c>
      <c r="M82" s="12"/>
      <c r="N82" s="13">
        <f t="shared" si="3"/>
        <v>1.0576923076923062</v>
      </c>
    </row>
    <row r="83" spans="1:16" ht="14.5">
      <c r="A83" s="6">
        <v>45712</v>
      </c>
      <c r="B83" s="7" t="s">
        <v>16</v>
      </c>
      <c r="C83" s="7">
        <v>12</v>
      </c>
      <c r="D83" s="8">
        <f>IFERROR(VLOOKUP($B83,Task!$B$1:$G$65,6,0)," ")</f>
        <v>5.5555555555555558E-3</v>
      </c>
      <c r="E83" s="9">
        <f t="shared" si="0"/>
        <v>6.6666666666666666E-2</v>
      </c>
      <c r="F83" s="10">
        <f t="shared" si="22"/>
        <v>0.53868055555555561</v>
      </c>
      <c r="G83" s="10">
        <v>0.61481481481481481</v>
      </c>
      <c r="H83" s="8">
        <f t="shared" si="1"/>
        <v>6.5266203703703646E-2</v>
      </c>
      <c r="I83" s="11">
        <f t="shared" si="2"/>
        <v>0.61621527777777785</v>
      </c>
      <c r="J83" s="8"/>
      <c r="K83" s="8"/>
      <c r="L83" s="8">
        <v>1.0868055555555556E-2</v>
      </c>
      <c r="M83" s="18"/>
      <c r="N83" s="13">
        <f t="shared" si="3"/>
        <v>1.0214577052668923</v>
      </c>
      <c r="O83" s="19"/>
    </row>
    <row r="84" spans="1:16" ht="14.5">
      <c r="A84" s="6">
        <v>45712</v>
      </c>
      <c r="B84" s="7" t="s">
        <v>16</v>
      </c>
      <c r="C84" s="7">
        <v>8</v>
      </c>
      <c r="D84" s="8">
        <f>IFERROR(VLOOKUP($B84,Task!$B$1:$G$65,6,0)," ")</f>
        <v>5.5555555555555558E-3</v>
      </c>
      <c r="E84" s="9">
        <f t="shared" si="0"/>
        <v>4.4444444444444446E-2</v>
      </c>
      <c r="F84" s="10">
        <f t="shared" si="22"/>
        <v>0.61481481481481481</v>
      </c>
      <c r="G84" s="10">
        <v>0.67352038194076158</v>
      </c>
      <c r="H84" s="8">
        <f t="shared" si="1"/>
        <v>3.8913900459280101E-2</v>
      </c>
      <c r="I84" s="11">
        <f t="shared" si="2"/>
        <v>0.67905092592592586</v>
      </c>
      <c r="J84" s="8"/>
      <c r="K84" s="8"/>
      <c r="L84" s="8">
        <v>1.9791666666666666E-2</v>
      </c>
      <c r="M84" s="12"/>
      <c r="N84" s="13">
        <f t="shared" si="3"/>
        <v>1.1421225813884055</v>
      </c>
      <c r="O84" s="19"/>
    </row>
    <row r="85" spans="1:16" ht="14.5">
      <c r="A85" s="6">
        <v>45713</v>
      </c>
      <c r="B85" s="7" t="s">
        <v>16</v>
      </c>
      <c r="C85" s="7">
        <v>23</v>
      </c>
      <c r="D85" s="8">
        <f>IFERROR(VLOOKUP($B85,Task!$B$1:$G$65,6,0)," ")</f>
        <v>5.5555555555555558E-3</v>
      </c>
      <c r="E85" s="9">
        <f t="shared" si="0"/>
        <v>0.1277777777777778</v>
      </c>
      <c r="F85" s="10">
        <v>0.37746527777777783</v>
      </c>
      <c r="G85" s="10">
        <v>0.5204050925925926</v>
      </c>
      <c r="H85" s="8">
        <f t="shared" si="1"/>
        <v>0.11776620370370366</v>
      </c>
      <c r="I85" s="11">
        <f t="shared" si="2"/>
        <v>0.53041666666666676</v>
      </c>
      <c r="J85" s="8"/>
      <c r="K85" s="8"/>
      <c r="L85" s="8">
        <v>2.5173611111111112E-2</v>
      </c>
      <c r="M85" s="12"/>
      <c r="N85" s="13">
        <f t="shared" si="3"/>
        <v>1.0850122850122854</v>
      </c>
      <c r="O85" s="4"/>
    </row>
    <row r="86" spans="1:16" ht="14.5">
      <c r="A86" s="6">
        <v>45713</v>
      </c>
      <c r="B86" s="7" t="s">
        <v>18</v>
      </c>
      <c r="C86" s="7">
        <v>2</v>
      </c>
      <c r="D86" s="8">
        <f>IFERROR(VLOOKUP($B86,Task!$B$1:$G$65,6,0)," ")</f>
        <v>4.8611111111111112E-2</v>
      </c>
      <c r="E86" s="9">
        <f t="shared" si="0"/>
        <v>9.7222222222222224E-2</v>
      </c>
      <c r="F86" s="10">
        <f t="shared" ref="F86:F89" si="23">G85</f>
        <v>0.5204050925925926</v>
      </c>
      <c r="G86" s="10">
        <v>0.64869212962962963</v>
      </c>
      <c r="H86" s="8">
        <f t="shared" si="1"/>
        <v>8.8368055555555547E-2</v>
      </c>
      <c r="I86" s="11">
        <f t="shared" si="2"/>
        <v>0.65754629629629624</v>
      </c>
      <c r="J86" s="8"/>
      <c r="K86" s="8"/>
      <c r="L86" s="8">
        <v>3.9918981481481479E-2</v>
      </c>
      <c r="M86" s="12"/>
      <c r="N86" s="13">
        <f t="shared" si="3"/>
        <v>1.1001964636542241</v>
      </c>
      <c r="O86" s="4"/>
    </row>
    <row r="87" spans="1:16" ht="14.5">
      <c r="A87" s="6">
        <v>45713</v>
      </c>
      <c r="B87" s="7" t="s">
        <v>36</v>
      </c>
      <c r="C87" s="7">
        <v>19</v>
      </c>
      <c r="D87" s="8">
        <f>IFERROR(VLOOKUP($B87,Task!$B$1:$G$65,6,0)," ")</f>
        <v>6.9444444444444447E-4</v>
      </c>
      <c r="E87" s="9">
        <f t="shared" si="0"/>
        <v>1.3194444444444444E-2</v>
      </c>
      <c r="F87" s="10">
        <f t="shared" si="23"/>
        <v>0.64869212962962963</v>
      </c>
      <c r="G87" s="10">
        <v>0.66085648148148146</v>
      </c>
      <c r="H87" s="8">
        <f t="shared" si="1"/>
        <v>1.2164351851851829E-2</v>
      </c>
      <c r="I87" s="11">
        <f t="shared" si="2"/>
        <v>0.66188657407407403</v>
      </c>
      <c r="J87" s="8"/>
      <c r="K87" s="8"/>
      <c r="L87" s="8"/>
      <c r="M87" s="12"/>
      <c r="N87" s="13">
        <f t="shared" si="3"/>
        <v>1.0846812559467194</v>
      </c>
      <c r="O87" s="4"/>
    </row>
    <row r="88" spans="1:16" ht="14.5">
      <c r="A88" s="6">
        <v>45713</v>
      </c>
      <c r="B88" s="7" t="s">
        <v>19</v>
      </c>
      <c r="C88" s="7">
        <v>10</v>
      </c>
      <c r="D88" s="8">
        <f>IFERROR(VLOOKUP($B88,Task!$B$1:$G$65,6,0)," ")</f>
        <v>2.7777777777777779E-3</v>
      </c>
      <c r="E88" s="9">
        <f t="shared" si="0"/>
        <v>2.777777777777778E-2</v>
      </c>
      <c r="F88" s="10">
        <f t="shared" si="23"/>
        <v>0.66085648148148146</v>
      </c>
      <c r="G88" s="10">
        <v>0.68700231481481477</v>
      </c>
      <c r="H88" s="8">
        <f t="shared" si="1"/>
        <v>2.6145833333333313E-2</v>
      </c>
      <c r="I88" s="11">
        <f t="shared" si="2"/>
        <v>0.68863425925925925</v>
      </c>
      <c r="J88" s="8"/>
      <c r="K88" s="8"/>
      <c r="L88" s="8"/>
      <c r="M88" s="12"/>
      <c r="N88" s="13">
        <f t="shared" si="3"/>
        <v>1.0624169986719796</v>
      </c>
      <c r="O88" s="19"/>
    </row>
    <row r="89" spans="1:16" ht="14.5">
      <c r="A89" s="6">
        <v>45713</v>
      </c>
      <c r="B89" s="7" t="s">
        <v>37</v>
      </c>
      <c r="C89" s="7">
        <v>55</v>
      </c>
      <c r="D89" s="8">
        <f>IFERROR(VLOOKUP($B89,Task!$B$1:$G$65,6,0)," ")</f>
        <v>1.3888888888888889E-3</v>
      </c>
      <c r="E89" s="9">
        <f t="shared" si="0"/>
        <v>7.6388888888888895E-2</v>
      </c>
      <c r="F89" s="10">
        <f t="shared" si="23"/>
        <v>0.68700231481481477</v>
      </c>
      <c r="G89" s="10">
        <v>0.76041666666666663</v>
      </c>
      <c r="H89" s="8">
        <f t="shared" si="1"/>
        <v>7.3414351851851856E-2</v>
      </c>
      <c r="I89" s="11">
        <f t="shared" si="2"/>
        <v>0.76339120370370361</v>
      </c>
      <c r="J89" s="8"/>
      <c r="K89" s="8"/>
      <c r="L89" s="8"/>
      <c r="M89" s="12"/>
      <c r="N89" s="13">
        <f t="shared" si="3"/>
        <v>1.0405171054705975</v>
      </c>
      <c r="O89" s="19"/>
      <c r="P89" s="4"/>
    </row>
    <row r="90" spans="1:16" ht="14.5">
      <c r="A90" s="6">
        <v>45714</v>
      </c>
      <c r="B90" s="7" t="s">
        <v>18</v>
      </c>
      <c r="C90" s="7">
        <v>2</v>
      </c>
      <c r="D90" s="8">
        <f>IFERROR(VLOOKUP($B90,Task!$B$1:$G$65,6,0)," ")</f>
        <v>4.8611111111111112E-2</v>
      </c>
      <c r="E90" s="9">
        <f t="shared" si="0"/>
        <v>9.7222222222222224E-2</v>
      </c>
      <c r="F90" s="10">
        <v>0.38273148148148151</v>
      </c>
      <c r="G90" s="10">
        <v>0.48633101851851851</v>
      </c>
      <c r="H90" s="8">
        <f t="shared" si="1"/>
        <v>8.8217592592592556E-2</v>
      </c>
      <c r="I90" s="11">
        <f t="shared" si="2"/>
        <v>0.49533564814814818</v>
      </c>
      <c r="J90" s="8"/>
      <c r="K90" s="8"/>
      <c r="L90" s="8">
        <v>1.5381944444444445E-2</v>
      </c>
      <c r="M90" s="12"/>
      <c r="N90" s="13">
        <f t="shared" si="3"/>
        <v>1.1020729467331414</v>
      </c>
      <c r="O90" s="19"/>
    </row>
    <row r="91" spans="1:16" ht="14.5">
      <c r="A91" s="6">
        <v>45714</v>
      </c>
      <c r="B91" s="7" t="s">
        <v>37</v>
      </c>
      <c r="C91" s="7">
        <v>122</v>
      </c>
      <c r="D91" s="8">
        <f>IFERROR(VLOOKUP($B91,Task!$B$1:$G$65,6,0)," ")</f>
        <v>1.3888888888888889E-3</v>
      </c>
      <c r="E91" s="9">
        <f t="shared" si="0"/>
        <v>0.16944444444444445</v>
      </c>
      <c r="F91" s="10">
        <f t="shared" ref="F91:F92" si="24">G90</f>
        <v>0.48633101851851851</v>
      </c>
      <c r="G91" s="10">
        <v>0.70776620370370369</v>
      </c>
      <c r="H91" s="8">
        <f t="shared" si="1"/>
        <v>0.1582175925925926</v>
      </c>
      <c r="I91" s="11">
        <f t="shared" si="2"/>
        <v>0.71899305555555559</v>
      </c>
      <c r="J91" s="8"/>
      <c r="K91" s="8"/>
      <c r="L91" s="8">
        <v>6.3217592592592589E-2</v>
      </c>
      <c r="M91" s="12"/>
      <c r="N91" s="13">
        <f t="shared" si="3"/>
        <v>1.0709583028529626</v>
      </c>
      <c r="O91" s="19"/>
    </row>
    <row r="92" spans="1:16" ht="14.5">
      <c r="A92" s="6">
        <v>45714</v>
      </c>
      <c r="B92" s="7" t="s">
        <v>37</v>
      </c>
      <c r="C92" s="7">
        <v>40</v>
      </c>
      <c r="D92" s="8">
        <f>IFERROR(VLOOKUP($B92,Task!$B$1:$G$65,6,0)," ")</f>
        <v>1.3888888888888889E-3</v>
      </c>
      <c r="E92" s="9">
        <f t="shared" si="0"/>
        <v>5.5555555555555559E-2</v>
      </c>
      <c r="F92" s="10">
        <f t="shared" si="24"/>
        <v>0.70776620370370369</v>
      </c>
      <c r="G92" s="10">
        <v>0.76041666666666663</v>
      </c>
      <c r="H92" s="8">
        <f t="shared" si="1"/>
        <v>5.2650462962962941E-2</v>
      </c>
      <c r="I92" s="11">
        <f t="shared" si="2"/>
        <v>0.76332175925925927</v>
      </c>
      <c r="J92" s="8"/>
      <c r="K92" s="8"/>
      <c r="L92" s="8"/>
      <c r="M92" s="18"/>
      <c r="N92" s="13">
        <f t="shared" si="3"/>
        <v>1.0551769619696643</v>
      </c>
      <c r="O92" s="19"/>
    </row>
    <row r="93" spans="1:16" ht="14.5">
      <c r="A93" s="6">
        <v>45715</v>
      </c>
      <c r="B93" s="7" t="s">
        <v>18</v>
      </c>
      <c r="C93" s="7">
        <v>1</v>
      </c>
      <c r="D93" s="8">
        <f>IFERROR(VLOOKUP($B93,Task!$B$1:$G$65,6,0)," ")</f>
        <v>4.8611111111111112E-2</v>
      </c>
      <c r="E93" s="9">
        <f t="shared" si="0"/>
        <v>4.8611111111111112E-2</v>
      </c>
      <c r="F93" s="10">
        <v>0.37959490740740742</v>
      </c>
      <c r="G93" s="10">
        <v>0.42262731481481486</v>
      </c>
      <c r="H93" s="8">
        <f t="shared" si="1"/>
        <v>4.3032407407407436E-2</v>
      </c>
      <c r="I93" s="11">
        <f t="shared" si="2"/>
        <v>0.42820601851851853</v>
      </c>
      <c r="J93" s="8"/>
      <c r="K93" s="8"/>
      <c r="L93" s="8"/>
      <c r="M93" s="12"/>
      <c r="N93" s="13">
        <f t="shared" si="3"/>
        <v>1.1296395911780519</v>
      </c>
      <c r="O93" s="19"/>
    </row>
    <row r="94" spans="1:16" ht="14.5">
      <c r="A94" s="6">
        <v>45715</v>
      </c>
      <c r="B94" s="7" t="s">
        <v>42</v>
      </c>
      <c r="C94" s="7">
        <v>1</v>
      </c>
      <c r="D94" s="8">
        <f>IFERROR(VLOOKUP($B94,Task!$B$1:$G$65,6,0)," ")</f>
        <v>6.9444444444444441E-3</v>
      </c>
      <c r="E94" s="9">
        <f t="shared" si="0"/>
        <v>6.9444444444444441E-3</v>
      </c>
      <c r="F94" s="10">
        <f t="shared" ref="F94:F97" si="25">G93</f>
        <v>0.42262731481481486</v>
      </c>
      <c r="G94" s="10">
        <v>0.42881944444444453</v>
      </c>
      <c r="H94" s="8">
        <f t="shared" si="1"/>
        <v>6.1921296296296724E-3</v>
      </c>
      <c r="I94" s="11">
        <f t="shared" si="2"/>
        <v>0.42957175925925928</v>
      </c>
      <c r="J94" s="8"/>
      <c r="K94" s="8"/>
      <c r="L94" s="8"/>
      <c r="M94" s="12"/>
      <c r="N94" s="13">
        <f t="shared" si="3"/>
        <v>1.1214953271027959</v>
      </c>
    </row>
    <row r="95" spans="1:16" ht="14.5">
      <c r="A95" s="6">
        <v>45715</v>
      </c>
      <c r="B95" s="7" t="s">
        <v>43</v>
      </c>
      <c r="C95" s="7">
        <v>1</v>
      </c>
      <c r="D95" s="8">
        <f>IFERROR(VLOOKUP($B95,Task!$B$1:$G$65,6,0)," ")</f>
        <v>3.4722222222222224E-2</v>
      </c>
      <c r="E95" s="9">
        <f t="shared" si="0"/>
        <v>3.4722222222222224E-2</v>
      </c>
      <c r="F95" s="10">
        <f t="shared" si="25"/>
        <v>0.42881944444444453</v>
      </c>
      <c r="G95" s="10">
        <v>0.46010416666666676</v>
      </c>
      <c r="H95" s="8">
        <f t="shared" si="1"/>
        <v>3.1284722222222228E-2</v>
      </c>
      <c r="I95" s="11">
        <f t="shared" si="2"/>
        <v>0.46354166666666674</v>
      </c>
      <c r="J95" s="8"/>
      <c r="K95" s="8"/>
      <c r="L95" s="8"/>
      <c r="M95" s="12"/>
      <c r="N95" s="13">
        <f t="shared" si="3"/>
        <v>1.1098779134295227</v>
      </c>
      <c r="O95" s="4"/>
    </row>
    <row r="96" spans="1:16" ht="14.5">
      <c r="A96" s="6">
        <v>45715</v>
      </c>
      <c r="B96" s="7" t="s">
        <v>20</v>
      </c>
      <c r="C96" s="7">
        <v>23</v>
      </c>
      <c r="D96" s="8">
        <f>IFERROR(VLOOKUP($B96,Task!$B$1:$G$65,6,0)," ")</f>
        <v>2.0833333333333333E-3</v>
      </c>
      <c r="E96" s="9">
        <f t="shared" si="0"/>
        <v>4.7916666666666663E-2</v>
      </c>
      <c r="F96" s="10">
        <f t="shared" si="25"/>
        <v>0.46010416666666676</v>
      </c>
      <c r="G96" s="10">
        <v>0.5042592592592593</v>
      </c>
      <c r="H96" s="8">
        <f t="shared" si="1"/>
        <v>4.4155092592592537E-2</v>
      </c>
      <c r="I96" s="11">
        <f t="shared" si="2"/>
        <v>0.50802083333333337</v>
      </c>
      <c r="J96" s="8"/>
      <c r="K96" s="8"/>
      <c r="L96" s="8"/>
      <c r="M96" s="12"/>
      <c r="N96" s="13">
        <f t="shared" si="3"/>
        <v>1.085190039318481</v>
      </c>
      <c r="O96" s="19"/>
    </row>
    <row r="97" spans="1:15" ht="14.5">
      <c r="A97" s="6">
        <v>45715</v>
      </c>
      <c r="B97" s="7" t="s">
        <v>19</v>
      </c>
      <c r="C97" s="7">
        <v>51</v>
      </c>
      <c r="D97" s="8">
        <f>IFERROR(VLOOKUP($B97,Task!$B$1:$G$65,6,0)," ")</f>
        <v>2.7777777777777779E-3</v>
      </c>
      <c r="E97" s="9">
        <f t="shared" si="0"/>
        <v>0.14166666666666666</v>
      </c>
      <c r="F97" s="10">
        <f t="shared" si="25"/>
        <v>0.5042592592592593</v>
      </c>
      <c r="G97" s="10">
        <v>0.75694444444444442</v>
      </c>
      <c r="H97" s="8">
        <f t="shared" si="1"/>
        <v>0.14824074074074067</v>
      </c>
      <c r="I97" s="11">
        <f t="shared" si="2"/>
        <v>0.75037037037037047</v>
      </c>
      <c r="J97" s="8"/>
      <c r="K97" s="8"/>
      <c r="L97" s="8">
        <v>0.10444444444444445</v>
      </c>
      <c r="M97" s="12"/>
      <c r="N97" s="13">
        <f t="shared" si="3"/>
        <v>0.95565271705184296</v>
      </c>
      <c r="O97" s="19"/>
    </row>
    <row r="98" spans="1:15" ht="14.5">
      <c r="A98" s="6">
        <v>45716</v>
      </c>
      <c r="B98" s="7" t="s">
        <v>18</v>
      </c>
      <c r="C98" s="7">
        <v>1</v>
      </c>
      <c r="D98" s="8">
        <f>IFERROR(VLOOKUP($B98,Task!$B$1:$G$65,6,0)," ")</f>
        <v>4.8611111111111112E-2</v>
      </c>
      <c r="E98" s="9">
        <f t="shared" si="0"/>
        <v>4.8611111111111112E-2</v>
      </c>
      <c r="F98" s="10">
        <v>0.38553240740740746</v>
      </c>
      <c r="G98" s="10">
        <v>0.43587962962962962</v>
      </c>
      <c r="H98" s="8">
        <f t="shared" si="1"/>
        <v>4.3298611111111045E-2</v>
      </c>
      <c r="I98" s="11">
        <f t="shared" si="2"/>
        <v>0.44119212962962967</v>
      </c>
      <c r="J98" s="8"/>
      <c r="K98" s="8"/>
      <c r="L98" s="8">
        <v>7.0486111111111114E-3</v>
      </c>
      <c r="M98" s="18"/>
      <c r="N98" s="13">
        <f t="shared" si="3"/>
        <v>1.12269446672013</v>
      </c>
    </row>
    <row r="99" spans="1:15" ht="14.5">
      <c r="A99" s="6"/>
      <c r="B99" s="7" t="s">
        <v>27</v>
      </c>
      <c r="C99" s="7">
        <v>46</v>
      </c>
      <c r="D99" s="8">
        <f>IFERROR(VLOOKUP($B99,Task!$B$1:$G$65,6,0)," ")</f>
        <v>1.3888888888888889E-3</v>
      </c>
      <c r="E99" s="9">
        <f t="shared" si="0"/>
        <v>6.3888888888888898E-2</v>
      </c>
      <c r="F99" s="10"/>
      <c r="G99" s="10"/>
      <c r="H99" s="8" t="str">
        <f t="shared" si="1"/>
        <v/>
      </c>
      <c r="I99" s="11">
        <f t="shared" si="2"/>
        <v>6.3888888888888898E-2</v>
      </c>
      <c r="J99" s="8"/>
      <c r="K99" s="8"/>
      <c r="L99" s="8"/>
      <c r="M99" s="18" t="s">
        <v>77</v>
      </c>
      <c r="N99" s="13" t="str">
        <f t="shared" si="3"/>
        <v xml:space="preserve"> </v>
      </c>
      <c r="O99" s="19"/>
    </row>
    <row r="100" spans="1:15" ht="14.5">
      <c r="A100" s="6"/>
      <c r="B100" s="7"/>
      <c r="C100" s="7"/>
      <c r="D100" s="8" t="str">
        <f>IFERROR(VLOOKUP($B100,Task!$B$1:$G$65,6,0)," ")</f>
        <v xml:space="preserve"> </v>
      </c>
      <c r="E100" s="9" t="str">
        <f t="shared" si="0"/>
        <v xml:space="preserve"> </v>
      </c>
      <c r="F100" s="10"/>
      <c r="G100" s="10"/>
      <c r="H100" s="8" t="str">
        <f t="shared" si="1"/>
        <v/>
      </c>
      <c r="I100" s="11" t="str">
        <f t="shared" si="2"/>
        <v/>
      </c>
      <c r="J100" s="8"/>
      <c r="K100" s="8"/>
      <c r="L100" s="8"/>
      <c r="M100" s="18"/>
      <c r="N100" s="13" t="str">
        <f t="shared" si="3"/>
        <v xml:space="preserve"> </v>
      </c>
      <c r="O100" s="19"/>
    </row>
    <row r="101" spans="1:15" ht="14.5">
      <c r="A101" s="6"/>
      <c r="B101" s="7"/>
      <c r="C101" s="7"/>
      <c r="D101" s="8" t="str">
        <f>IFERROR(VLOOKUP($B101,Task!$B$1:$G$65,6,0)," ")</f>
        <v xml:space="preserve"> </v>
      </c>
      <c r="E101" s="9" t="str">
        <f t="shared" si="0"/>
        <v xml:space="preserve"> </v>
      </c>
      <c r="F101" s="10"/>
      <c r="G101" s="10"/>
      <c r="H101" s="8" t="str">
        <f t="shared" si="1"/>
        <v/>
      </c>
      <c r="I101" s="11" t="str">
        <f t="shared" si="2"/>
        <v/>
      </c>
      <c r="J101" s="8"/>
      <c r="K101" s="8"/>
      <c r="L101" s="8"/>
      <c r="M101" s="12"/>
      <c r="N101" s="13" t="str">
        <f t="shared" si="3"/>
        <v xml:space="preserve"> </v>
      </c>
      <c r="O101" s="19" t="e">
        <f ca="1">AVERAGEIF(A:A,TODAY(),N:N)</f>
        <v>#DIV/0!</v>
      </c>
    </row>
    <row r="102" spans="1:15" ht="14.5">
      <c r="A102" s="6"/>
      <c r="B102" s="7"/>
      <c r="C102" s="7"/>
      <c r="D102" s="8" t="str">
        <f>IFERROR(VLOOKUP($B102,Task!$B$1:$G$65,6,0)," ")</f>
        <v xml:space="preserve"> </v>
      </c>
      <c r="E102" s="9" t="str">
        <f t="shared" si="0"/>
        <v xml:space="preserve"> </v>
      </c>
      <c r="F102" s="10"/>
      <c r="G102" s="10"/>
      <c r="H102" s="8" t="str">
        <f t="shared" si="1"/>
        <v/>
      </c>
      <c r="I102" s="11" t="str">
        <f t="shared" si="2"/>
        <v/>
      </c>
      <c r="J102" s="8"/>
      <c r="K102" s="8"/>
      <c r="L102" s="8"/>
      <c r="M102" s="12"/>
      <c r="N102" s="13" t="str">
        <f t="shared" si="3"/>
        <v xml:space="preserve"> </v>
      </c>
    </row>
    <row r="103" spans="1:15" ht="14.5">
      <c r="A103" s="6"/>
      <c r="B103" s="7"/>
      <c r="C103" s="7"/>
      <c r="D103" s="8" t="str">
        <f>IFERROR(VLOOKUP($B103,Task!$B$1:$G$65,6,0)," ")</f>
        <v xml:space="preserve"> </v>
      </c>
      <c r="E103" s="9" t="str">
        <f t="shared" si="0"/>
        <v xml:space="preserve"> </v>
      </c>
      <c r="F103" s="10"/>
      <c r="G103" s="10"/>
      <c r="H103" s="8" t="str">
        <f t="shared" si="1"/>
        <v/>
      </c>
      <c r="I103" s="11" t="str">
        <f t="shared" si="2"/>
        <v/>
      </c>
      <c r="J103" s="8"/>
      <c r="K103" s="8"/>
      <c r="L103" s="8"/>
      <c r="M103" s="12"/>
      <c r="N103" s="13" t="str">
        <f t="shared" si="3"/>
        <v xml:space="preserve"> </v>
      </c>
      <c r="O103" s="19"/>
    </row>
    <row r="104" spans="1:15" ht="14.5">
      <c r="A104" s="6"/>
      <c r="B104" s="7"/>
      <c r="C104" s="7"/>
      <c r="D104" s="8" t="str">
        <f>IFERROR(VLOOKUP($B104,Task!$B$1:$G$65,6,0)," ")</f>
        <v xml:space="preserve"> </v>
      </c>
      <c r="E104" s="9" t="str">
        <f t="shared" si="0"/>
        <v xml:space="preserve"> </v>
      </c>
      <c r="F104" s="10"/>
      <c r="G104" s="10"/>
      <c r="H104" s="8" t="str">
        <f t="shared" si="1"/>
        <v/>
      </c>
      <c r="I104" s="11" t="str">
        <f t="shared" si="2"/>
        <v/>
      </c>
      <c r="J104" s="8"/>
      <c r="K104" s="8"/>
      <c r="L104" s="8"/>
      <c r="M104" s="12"/>
      <c r="N104" s="13" t="str">
        <f t="shared" si="3"/>
        <v xml:space="preserve"> </v>
      </c>
    </row>
    <row r="105" spans="1:15" ht="14.5">
      <c r="A105" s="6"/>
      <c r="B105" s="7"/>
      <c r="C105" s="7"/>
      <c r="D105" s="8" t="str">
        <f>IFERROR(VLOOKUP($B105,Task!$B$1:$G$65,6,0)," ")</f>
        <v xml:space="preserve"> </v>
      </c>
      <c r="E105" s="9" t="str">
        <f t="shared" si="0"/>
        <v xml:space="preserve"> </v>
      </c>
      <c r="F105" s="10"/>
      <c r="G105" s="10"/>
      <c r="H105" s="8" t="str">
        <f t="shared" si="1"/>
        <v/>
      </c>
      <c r="I105" s="11" t="str">
        <f t="shared" si="2"/>
        <v/>
      </c>
      <c r="J105" s="8"/>
      <c r="K105" s="8"/>
      <c r="L105" s="8"/>
      <c r="M105" s="12"/>
      <c r="N105" s="13" t="str">
        <f t="shared" si="3"/>
        <v xml:space="preserve"> </v>
      </c>
      <c r="O105" s="4"/>
    </row>
    <row r="106" spans="1:15" ht="14.5">
      <c r="A106" s="6"/>
      <c r="B106" s="7"/>
      <c r="C106" s="7"/>
      <c r="D106" s="8" t="str">
        <f>IFERROR(VLOOKUP($B106,Task!$B$1:$G$65,6,0)," ")</f>
        <v xml:space="preserve"> </v>
      </c>
      <c r="E106" s="9" t="str">
        <f t="shared" si="0"/>
        <v xml:space="preserve"> </v>
      </c>
      <c r="F106" s="10"/>
      <c r="G106" s="10"/>
      <c r="H106" s="8" t="str">
        <f t="shared" si="1"/>
        <v/>
      </c>
      <c r="I106" s="11" t="str">
        <f t="shared" si="2"/>
        <v/>
      </c>
      <c r="J106" s="8"/>
      <c r="K106" s="8"/>
      <c r="L106" s="8"/>
      <c r="M106" s="12"/>
      <c r="N106" s="13" t="str">
        <f t="shared" si="3"/>
        <v xml:space="preserve"> </v>
      </c>
      <c r="O106" s="19"/>
    </row>
    <row r="107" spans="1:15" ht="14.5">
      <c r="A107" s="6"/>
      <c r="B107" s="7"/>
      <c r="C107" s="7"/>
      <c r="D107" s="8" t="str">
        <f>IFERROR(VLOOKUP($B107,Task!$B$1:$G$65,6,0)," ")</f>
        <v xml:space="preserve"> </v>
      </c>
      <c r="E107" s="9" t="str">
        <f t="shared" si="0"/>
        <v xml:space="preserve"> </v>
      </c>
      <c r="F107" s="10"/>
      <c r="G107" s="10"/>
      <c r="H107" s="8" t="str">
        <f t="shared" si="1"/>
        <v/>
      </c>
      <c r="I107" s="11" t="str">
        <f t="shared" si="2"/>
        <v/>
      </c>
      <c r="J107" s="8"/>
      <c r="K107" s="8"/>
      <c r="L107" s="8"/>
      <c r="M107" s="12"/>
      <c r="N107" s="13" t="str">
        <f t="shared" si="3"/>
        <v xml:space="preserve"> </v>
      </c>
    </row>
    <row r="108" spans="1:15" ht="14.5">
      <c r="A108" s="6"/>
      <c r="B108" s="7"/>
      <c r="C108" s="7"/>
      <c r="D108" s="8" t="str">
        <f>IFERROR(VLOOKUP($B108,Task!$B$1:$G$65,6,0)," ")</f>
        <v xml:space="preserve"> </v>
      </c>
      <c r="E108" s="9" t="str">
        <f t="shared" si="0"/>
        <v xml:space="preserve"> </v>
      </c>
      <c r="F108" s="10"/>
      <c r="G108" s="8"/>
      <c r="H108" s="8" t="str">
        <f t="shared" si="1"/>
        <v/>
      </c>
      <c r="I108" s="11" t="str">
        <f t="shared" si="2"/>
        <v/>
      </c>
      <c r="J108" s="8"/>
      <c r="K108" s="8"/>
      <c r="L108" s="8"/>
      <c r="M108" s="12"/>
      <c r="N108" s="13" t="str">
        <f t="shared" si="3"/>
        <v xml:space="preserve"> </v>
      </c>
    </row>
    <row r="109" spans="1:15" ht="14.5">
      <c r="A109" s="6"/>
      <c r="B109" s="7"/>
      <c r="C109" s="7"/>
      <c r="D109" s="8" t="str">
        <f>IFERROR(VLOOKUP($B109,Task!$B$1:$G$65,6,0)," ")</f>
        <v xml:space="preserve"> </v>
      </c>
      <c r="E109" s="9" t="str">
        <f t="shared" si="0"/>
        <v xml:space="preserve"> </v>
      </c>
      <c r="F109" s="10"/>
      <c r="G109" s="10"/>
      <c r="H109" s="8" t="str">
        <f t="shared" si="1"/>
        <v/>
      </c>
      <c r="I109" s="11" t="str">
        <f t="shared" si="2"/>
        <v/>
      </c>
      <c r="J109" s="8"/>
      <c r="K109" s="8"/>
      <c r="L109" s="8"/>
      <c r="M109" s="12"/>
      <c r="N109" s="13" t="str">
        <f t="shared" si="3"/>
        <v xml:space="preserve"> </v>
      </c>
    </row>
    <row r="110" spans="1:15" ht="14.5">
      <c r="A110" s="6"/>
      <c r="B110" s="7"/>
      <c r="C110" s="7"/>
      <c r="D110" s="8" t="str">
        <f>IFERROR(VLOOKUP($B110,Task!$B$1:$G$65,6,0),"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5" ht="14.5">
      <c r="A111" s="6"/>
      <c r="B111" s="7"/>
      <c r="C111" s="7"/>
      <c r="D111" s="8" t="str">
        <f>IFERROR(VLOOKUP($B111,Task!$B$1:$G$65,6,0),"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5" ht="14.5">
      <c r="A112" s="6"/>
      <c r="B112" s="7"/>
      <c r="C112" s="7"/>
      <c r="D112" s="8" t="str">
        <f>IFERROR(VLOOKUP($B112,Task!$B$1:$G$65,6,0),"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2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IFERROR(VLOOKUP($B113,Task!$B$1:$G$65,6,0),"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IFERROR(VLOOKUP($B114,Task!$B$1:$G$65,6,0),"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IFERROR(VLOOKUP($B115,Task!$B$1:$G$65,6,0),"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2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IFERROR(VLOOKUP($B116,Task!$B$1:$G$65,6,0),"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 t="e">
        <f ca="1">AVERAGEIF(A:A,TODAY(),N:N)</f>
        <v>#DIV/0!</v>
      </c>
    </row>
    <row r="117" spans="1:15" ht="14.5">
      <c r="A117" s="6"/>
      <c r="B117" s="7"/>
      <c r="C117" s="7"/>
      <c r="D117" s="8" t="str">
        <f>IFERROR(VLOOKUP($B117,Task!$B$1:$G$65,6,0),"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IFERROR(VLOOKUP($B118,Task!$B$1:$G$65,6,0),"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IFERROR(VLOOKUP($B119,Task!$B$1:$G$65,6,0),"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IFERROR(VLOOKUP($B120,Task!$B$1:$G$65,6,0),"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IFERROR(VLOOKUP($B121,Task!$B$1:$G$65,6,0),"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IFERROR(VLOOKUP($B122,Task!$B$1:$G$65,6,0),"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 t="s">
        <v>37</v>
      </c>
      <c r="C123" s="7">
        <v>154</v>
      </c>
      <c r="D123" s="8">
        <f>IFERROR(VLOOKUP($B123,Task!$B$1:$G$65,6,0)," ")</f>
        <v>1.3888888888888889E-3</v>
      </c>
      <c r="E123" s="9">
        <f t="shared" si="0"/>
        <v>0.21388888888888891</v>
      </c>
      <c r="F123" s="10"/>
      <c r="G123" s="10"/>
      <c r="H123" s="8" t="str">
        <f t="shared" si="1"/>
        <v/>
      </c>
      <c r="I123" s="11">
        <f t="shared" si="2"/>
        <v>0.21388888888888891</v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IFERROR(VLOOKUP($B124,Task!$B$1:$G$65,6,0),"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IFERROR(VLOOKUP($B125,Task!$B$1:$G$65,6,0),"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IFERROR(VLOOKUP($B126,Task!$B$1:$G$65,6,0),"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IFERROR(VLOOKUP($B127,Task!$B$1:$G$65,6,0),"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IFERROR(VLOOKUP($B128,Task!$B$1:$G$65,6,0),"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IFERROR(VLOOKUP($B129,Task!$B$1:$G$65,6,0),"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IFERROR(VLOOKUP($B130,Task!$B$1:$G$65,6,0),"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IFERROR(VLOOKUP($B131,Task!$B$1:$G$65,6,0),"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IFERROR(VLOOKUP($B132,Task!$B$1:$G$65,6,0),"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IFERROR(VLOOKUP($B133,Task!$B$1:$G$65,6,0),"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IFERROR(VLOOKUP($B134,Task!$B$1:$G$65,6,0),"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IFERROR(VLOOKUP($B135,Task!$B$1:$G$65,6,0),"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IFERROR(VLOOKUP($B136,Task!$B$1:$G$65,6,0),"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IFERROR(VLOOKUP($B137,Task!$B$1:$G$65,6,0),"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IFERROR(VLOOKUP($B138,Task!$B$1:$G$65,6,0),"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IFERROR(VLOOKUP($B139,Task!$B$1:$G$65,6,0),"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IFERROR(VLOOKUP($B140,Task!$B$1:$G$65,6,0),"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IFERROR(VLOOKUP($B141,Task!$B$1:$G$65,6,0),"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IFERROR(VLOOKUP($B142,Task!$B$1:$G$65,6,0),"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IFERROR(VLOOKUP($B143,Task!$B$1:$G$65,6,0),"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IFERROR(VLOOKUP($B144,Task!$B$1:$G$65,6,0),"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IFERROR(VLOOKUP($B145,Task!$B$1:$G$65,6,0),"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IFERROR(VLOOKUP($B146,Task!$B$1:$G$65,6,0),"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IFERROR(VLOOKUP($B147,Task!$B$1:$G$65,6,0),"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IFERROR(VLOOKUP($B148,Task!$B$1:$G$65,6,0),"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IFERROR(VLOOKUP($B149,Task!$B$1:$G$65,6,0),"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IFERROR(VLOOKUP($B150,Task!$B$1:$G$65,6,0),"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IFERROR(VLOOKUP($B151,Task!$B$1:$G$65,6,0),"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IFERROR(VLOOKUP($B152,Task!$B$1:$G$65,6,0),"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IFERROR(VLOOKUP($B153,Task!$B$1:$G$65,6,0),"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IFERROR(VLOOKUP($B154,Task!$B$1:$G$65,6,0),"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IFERROR(VLOOKUP($B155,Task!$B$1:$G$65,6,0),"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IFERROR(VLOOKUP($B156,Task!$B$1:$G$65,6,0),"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IFERROR(VLOOKUP($B157,Task!$B$1:$G$65,6,0),"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IFERROR(VLOOKUP($B158,Task!$B$1:$G$65,6,0),"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IFERROR(VLOOKUP($B159,Task!$B$1:$G$65,6,0),"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IFERROR(VLOOKUP($B160,Task!$B$1:$G$65,6,0),"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IFERROR(VLOOKUP($B161,Task!$B$1:$G$65,6,0),"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IFERROR(VLOOKUP($B162,Task!$B$1:$G$65,6,0),"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IFERROR(VLOOKUP($B163,Task!$B$1:$G$65,6,0),"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IFERROR(VLOOKUP($B164,Task!$B$1:$G$65,6,0),"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IFERROR(VLOOKUP($B165,Task!$B$1:$G$65,6,0),"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IFERROR(VLOOKUP($B166,Task!$B$1:$G$65,6,0),"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IFERROR(VLOOKUP($B167,Task!$B$1:$G$65,6,0),"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IFERROR(VLOOKUP($B168,Task!$B$1:$G$65,6,0),"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IFERROR(VLOOKUP($B169,Task!$B$1:$G$65,6,0),"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IFERROR(VLOOKUP($B170,Task!$B$1:$G$65,6,0),"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IFERROR(VLOOKUP($B171,Task!$B$1:$G$65,6,0),"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IFERROR(VLOOKUP($B172,Task!$B$1:$G$65,6,0),"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IFERROR(VLOOKUP($B173,Task!$B$1:$G$65,6,0),"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IFERROR(VLOOKUP($B174,Task!$B$1:$G$65,6,0),"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IFERROR(VLOOKUP($B175,Task!$B$1:$G$65,6,0),"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IFERROR(VLOOKUP($B176,Task!$B$1:$G$65,6,0),"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IFERROR(VLOOKUP($B177,Task!$B$1:$G$65,6,0),"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IFERROR(VLOOKUP($B178,Task!$B$1:$G$65,6,0),"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IFERROR(VLOOKUP($B179,Task!$B$1:$G$65,6,0),"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IFERROR(VLOOKUP($B180,Task!$B$1:$G$65,6,0),"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IFERROR(VLOOKUP($B181,Task!$B$1:$G$65,6,0),"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IFERROR(VLOOKUP($B182,Task!$B$1:$G$65,6,0),"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IFERROR(VLOOKUP($B183,Task!$B$1:$G$65,6,0),"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IFERROR(VLOOKUP($B184,Task!$B$1:$G$65,6,0),"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IFERROR(VLOOKUP($B185,Task!$B$1:$G$65,6,0),"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IFERROR(VLOOKUP($B186,Task!$B$1:$G$65,6,0),"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IFERROR(VLOOKUP($B187,Task!$B$1:$G$65,6,0),"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IFERROR(VLOOKUP($B188,Task!$B$1:$G$65,6,0),"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IFERROR(VLOOKUP($B189,Task!$B$1:$G$65,6,0),"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IFERROR(VLOOKUP($B190,Task!$B$1:$G$65,6,0),"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IFERROR(VLOOKUP($B191,Task!$B$1:$G$65,6,0),"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IFERROR(VLOOKUP($B192,Task!$B$1:$G$65,6,0),"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IFERROR(VLOOKUP($B193,Task!$B$1:$G$65,6,0),"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IFERROR(VLOOKUP($B194,Task!$B$1:$G$65,6,0),"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IFERROR(VLOOKUP($B195,Task!$B$1:$G$65,6,0),"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IFERROR(VLOOKUP($B196,Task!$B$1:$G$65,6,0),"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IFERROR(VLOOKUP($B197,Task!$B$1:$G$65,6,0),"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IFERROR(VLOOKUP($B198,Task!$B$1:$G$65,6,0),"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IFERROR(VLOOKUP($B199,Task!$B$1:$G$65,6,0),"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IFERROR(VLOOKUP($B200,Task!$B$1:$G$65,6,0),"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IFERROR(VLOOKUP($B201,Task!$B$1:$G$65,6,0),"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IFERROR(VLOOKUP($B202,Task!$B$1:$G$65,6,0),"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IFERROR(VLOOKUP($B203,Task!$B$1:$G$65,6,0),"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IFERROR(VLOOKUP($B204,Task!$B$1:$G$65,6,0),"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IFERROR(VLOOKUP($B205,Task!$B$1:$G$65,6,0),"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IFERROR(VLOOKUP($B206,Task!$B$1:$G$65,6,0),"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/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1" xr:uid="{00000000-0009-0000-0000-000005000000}"/>
  <conditionalFormatting sqref="N2:N206">
    <cfRule type="expression" dxfId="10" priority="1">
      <formula>A2=TODAY()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Task!$B$2:$B$64</xm:f>
          </x14:formula1>
          <xm:sqref>B2:B206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9.90625" customWidth="1"/>
    <col min="2" max="2" width="39.906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8" customWidth="1"/>
    <col min="8" max="8" width="14.72656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7" width="10.26953125" customWidth="1"/>
    <col min="18" max="18" width="8" customWidth="1"/>
    <col min="19" max="19" width="11.6328125" customWidth="1"/>
    <col min="20" max="20" width="14" customWidth="1"/>
    <col min="21" max="21" width="7.453125" customWidth="1"/>
    <col min="23" max="23" width="13.6328125" customWidth="1"/>
  </cols>
  <sheetData>
    <row r="1" spans="1:2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0.22916666666666666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45659</v>
      </c>
      <c r="B2" s="7" t="s">
        <v>42</v>
      </c>
      <c r="C2" s="7">
        <v>1</v>
      </c>
      <c r="D2" s="8">
        <f>IFERROR(VLOOKUP($B2,Task!$B$1:$G$61,6,0)," ")</f>
        <v>6.9444444444444441E-3</v>
      </c>
      <c r="E2" s="9">
        <f t="shared" ref="E2:E206" si="0">IFERROR(D2*C2," ")</f>
        <v>6.9444444444444441E-3</v>
      </c>
      <c r="F2" s="10">
        <v>0.37465277777777783</v>
      </c>
      <c r="G2" s="10">
        <v>0.3810763888888889</v>
      </c>
      <c r="H2" s="8">
        <f t="shared" ref="H2:H206" si="1">IF(G2="","", IF(L2=" ",IF(OR(F2=0,G2=0),"",G2-F2),((G2-F2)-L2)))</f>
        <v>6.4236111111110605E-3</v>
      </c>
      <c r="I2" s="11">
        <f t="shared" ref="I2:I206" si="2">IFERROR(IF(L2=" ",(F2+E2),(F2+E2+L2)),"")</f>
        <v>0.38159722222222225</v>
      </c>
      <c r="J2" s="8"/>
      <c r="K2" s="8"/>
      <c r="L2" s="8"/>
      <c r="M2" s="12"/>
      <c r="N2" s="13">
        <f t="shared" ref="N2:N206" si="3">IFERROR(E2/H2," ")</f>
        <v>1.0810810810810896</v>
      </c>
      <c r="O2" s="8">
        <v>0.70892361111111113</v>
      </c>
      <c r="P2" s="14">
        <f ca="1">IFERROR(__xludf.DUMMYFUNCTION("UNIQUE($A$2:$A$993)"),45659)</f>
        <v>45659</v>
      </c>
      <c r="Q2" s="15">
        <f ca="1">SUMIF($A:$A,$P2,$E:$E)</f>
        <v>0.35069444444444442</v>
      </c>
      <c r="R2" s="15">
        <f ca="1">SUMIF($A:$A,$P2,$H:$H)</f>
        <v>0.30892361111111105</v>
      </c>
      <c r="S2" s="15">
        <f t="shared" ref="S2:S18" ca="1" si="4">IF(OR(R2="",R2&gt;=$U$1)," ",$U$1-R2)</f>
        <v>2.4409722222222263E-2</v>
      </c>
      <c r="T2" s="16">
        <f t="shared" ref="T2:T23" ca="1" si="5">IFERROR(AVERAGEIF($A:$A,$P2,$N:$N)," ")</f>
        <v>1.1119442456365989</v>
      </c>
      <c r="U2" s="33"/>
    </row>
    <row r="3" spans="1:21" ht="15.75" customHeight="1">
      <c r="A3" s="6">
        <v>45659</v>
      </c>
      <c r="B3" s="7" t="s">
        <v>43</v>
      </c>
      <c r="C3" s="7">
        <v>1</v>
      </c>
      <c r="D3" s="8">
        <f>IFERROR(VLOOKUP($B3,Task!$B$1:$G$61,6,0)," ")</f>
        <v>3.4722222222222224E-2</v>
      </c>
      <c r="E3" s="9">
        <f t="shared" si="0"/>
        <v>3.4722222222222224E-2</v>
      </c>
      <c r="F3" s="10">
        <f t="shared" ref="F3:F5" si="6">G2</f>
        <v>0.3810763888888889</v>
      </c>
      <c r="G3" s="8">
        <v>0.41223379629629631</v>
      </c>
      <c r="H3" s="8">
        <f t="shared" si="1"/>
        <v>3.1157407407407411E-2</v>
      </c>
      <c r="I3" s="11">
        <f t="shared" si="2"/>
        <v>0.4157986111111111</v>
      </c>
      <c r="J3" s="8"/>
      <c r="K3" s="8"/>
      <c r="L3" s="8"/>
      <c r="M3" s="12"/>
      <c r="N3" s="13">
        <f t="shared" si="3"/>
        <v>1.114413075780089</v>
      </c>
      <c r="O3" s="8">
        <f>O2-O1</f>
        <v>0.4797569444444445</v>
      </c>
      <c r="P3" s="14">
        <f ca="1">IFERROR(__xludf.DUMMYFUNCTION("""COMPUTED_VALUE"""),45660)</f>
        <v>45660</v>
      </c>
      <c r="Q3" s="15">
        <f t="shared" ref="Q3:Q23" ca="1" si="7">IF(SUMIF($A:$A,$P3,$E:$E)=0,"",SUMIF($A:$A,$P3,$E:$E))</f>
        <v>0.35416666666666663</v>
      </c>
      <c r="R3" s="15">
        <f t="shared" ref="R3:R23" ca="1" si="8">IF(SUMIF($A:$A,$P3,$H:$H)=0,"",SUMIF($A:$A,$P3,$H:$H))</f>
        <v>0.3217054629585645</v>
      </c>
      <c r="S3" s="15">
        <f t="shared" ca="1" si="4"/>
        <v>1.1627870374768812E-2</v>
      </c>
      <c r="T3" s="16">
        <f t="shared" ca="1" si="5"/>
        <v>1.1012522247673595</v>
      </c>
    </row>
    <row r="4" spans="1:21" ht="15.75" customHeight="1">
      <c r="A4" s="6">
        <v>45659</v>
      </c>
      <c r="B4" s="7" t="s">
        <v>18</v>
      </c>
      <c r="C4" s="7">
        <v>1</v>
      </c>
      <c r="D4" s="8">
        <f>IFERROR(VLOOKUP($B4,Task!$B$1:$G$61,6,0)," ")</f>
        <v>4.8611111111111112E-2</v>
      </c>
      <c r="E4" s="9">
        <f t="shared" si="0"/>
        <v>4.8611111111111112E-2</v>
      </c>
      <c r="F4" s="10">
        <f t="shared" si="6"/>
        <v>0.41223379629629631</v>
      </c>
      <c r="G4" s="10">
        <v>0.45613425925925927</v>
      </c>
      <c r="H4" s="8">
        <f t="shared" si="1"/>
        <v>4.3900462962962961E-2</v>
      </c>
      <c r="I4" s="11">
        <f t="shared" si="2"/>
        <v>0.46084490740740741</v>
      </c>
      <c r="J4" s="8"/>
      <c r="K4" s="8"/>
      <c r="L4" s="8"/>
      <c r="M4" s="12"/>
      <c r="N4" s="13">
        <f t="shared" si="3"/>
        <v>1.1073029264434486</v>
      </c>
      <c r="P4" s="14">
        <f ca="1">IFERROR(__xludf.DUMMYFUNCTION("""COMPUTED_VALUE"""),45663)</f>
        <v>45663</v>
      </c>
      <c r="Q4" s="15">
        <f t="shared" ca="1" si="7"/>
        <v>0.30416666666666664</v>
      </c>
      <c r="R4" s="15">
        <f t="shared" ca="1" si="8"/>
        <v>0.29184027777777777</v>
      </c>
      <c r="S4" s="15">
        <f t="shared" ca="1" si="4"/>
        <v>4.1493055555555547E-2</v>
      </c>
      <c r="T4" s="16">
        <f t="shared" ca="1" si="5"/>
        <v>1.0538161550888792</v>
      </c>
    </row>
    <row r="5" spans="1:21" ht="15.75" customHeight="1">
      <c r="A5" s="6">
        <v>45659</v>
      </c>
      <c r="B5" s="7" t="s">
        <v>44</v>
      </c>
      <c r="C5" s="7">
        <v>75</v>
      </c>
      <c r="D5" s="8">
        <f>IFERROR(VLOOKUP($B5,Task!$B$1:$G$61,6,0)," ")</f>
        <v>3.472222222222222E-3</v>
      </c>
      <c r="E5" s="9">
        <f t="shared" si="0"/>
        <v>0.26041666666666663</v>
      </c>
      <c r="F5" s="10">
        <f t="shared" si="6"/>
        <v>0.45613425925925927</v>
      </c>
      <c r="G5" s="10">
        <v>0.75</v>
      </c>
      <c r="H5" s="8">
        <f t="shared" si="1"/>
        <v>0.22744212962962962</v>
      </c>
      <c r="I5" s="11">
        <f t="shared" si="2"/>
        <v>0.78297453703703712</v>
      </c>
      <c r="J5" s="8"/>
      <c r="K5" s="8"/>
      <c r="L5" s="8">
        <v>6.6423611111111114E-2</v>
      </c>
      <c r="M5" s="18" t="s">
        <v>45</v>
      </c>
      <c r="N5" s="13">
        <f t="shared" si="3"/>
        <v>1.1449798992417688</v>
      </c>
      <c r="P5" s="14">
        <f ca="1">IFERROR(__xludf.DUMMYFUNCTION("""COMPUTED_VALUE"""),45664)</f>
        <v>45664</v>
      </c>
      <c r="Q5" s="15">
        <f t="shared" ca="1" si="7"/>
        <v>0.31319444444444444</v>
      </c>
      <c r="R5" s="15">
        <f t="shared" ca="1" si="8"/>
        <v>0.28886443286573643</v>
      </c>
      <c r="S5" s="15">
        <f t="shared" ca="1" si="4"/>
        <v>4.4468900467596884E-2</v>
      </c>
      <c r="T5" s="16">
        <f t="shared" ca="1" si="5"/>
        <v>1.0657392886123862</v>
      </c>
    </row>
    <row r="6" spans="1:21" ht="15.75" customHeight="1">
      <c r="A6" s="6">
        <v>45660</v>
      </c>
      <c r="B6" s="7" t="s">
        <v>18</v>
      </c>
      <c r="C6" s="7">
        <v>1</v>
      </c>
      <c r="D6" s="8">
        <f>IFERROR(VLOOKUP($B6,Task!$B$1:$G$61,6,0)," ")</f>
        <v>4.8611111111111112E-2</v>
      </c>
      <c r="E6" s="9">
        <f t="shared" si="0"/>
        <v>4.8611111111111112E-2</v>
      </c>
      <c r="F6" s="10">
        <v>0.37079861111111112</v>
      </c>
      <c r="G6" s="10">
        <v>0.41489583333333335</v>
      </c>
      <c r="H6" s="8">
        <f t="shared" si="1"/>
        <v>4.4097222222222232E-2</v>
      </c>
      <c r="I6" s="11">
        <f t="shared" si="2"/>
        <v>0.41940972222222223</v>
      </c>
      <c r="J6" s="8"/>
      <c r="K6" s="8"/>
      <c r="L6" s="8"/>
      <c r="M6" s="12"/>
      <c r="N6" s="13">
        <f t="shared" si="3"/>
        <v>1.1023622047244093</v>
      </c>
      <c r="O6" s="19"/>
      <c r="P6" s="14">
        <f ca="1">IFERROR(__xludf.DUMMYFUNCTION("""COMPUTED_VALUE"""),45665)</f>
        <v>45665</v>
      </c>
      <c r="Q6" s="15">
        <f t="shared" ca="1" si="7"/>
        <v>0.33854166666666663</v>
      </c>
      <c r="R6" s="15">
        <f t="shared" ca="1" si="8"/>
        <v>0.3142361111111111</v>
      </c>
      <c r="S6" s="15">
        <f t="shared" ca="1" si="4"/>
        <v>1.909722222222221E-2</v>
      </c>
      <c r="T6" s="16">
        <f t="shared" ca="1" si="5"/>
        <v>1.0961630042282673</v>
      </c>
    </row>
    <row r="7" spans="1:21" ht="15.75" customHeight="1">
      <c r="A7" s="6">
        <v>45660</v>
      </c>
      <c r="B7" s="7" t="s">
        <v>46</v>
      </c>
      <c r="C7" s="7">
        <v>44</v>
      </c>
      <c r="D7" s="8">
        <f>IFERROR(VLOOKUP($B7,Task!$B$1:$G$61,6,0)," ")</f>
        <v>3.472222222222222E-3</v>
      </c>
      <c r="E7" s="9">
        <f t="shared" si="0"/>
        <v>0.15277777777777776</v>
      </c>
      <c r="F7" s="10">
        <f t="shared" ref="F7:F8" si="9">G6</f>
        <v>0.41489583333333335</v>
      </c>
      <c r="G7" s="10">
        <v>0.58552083333333338</v>
      </c>
      <c r="H7" s="8">
        <f t="shared" si="1"/>
        <v>0.13813657407407409</v>
      </c>
      <c r="I7" s="11">
        <f t="shared" si="2"/>
        <v>0.60016203703703708</v>
      </c>
      <c r="J7" s="8"/>
      <c r="K7" s="8"/>
      <c r="L7" s="8">
        <v>3.2488425925925928E-2</v>
      </c>
      <c r="M7" s="12"/>
      <c r="N7" s="13">
        <f t="shared" si="3"/>
        <v>1.1059907834101379</v>
      </c>
      <c r="P7" s="14">
        <f ca="1">IFERROR(__xludf.DUMMYFUNCTION("""COMPUTED_VALUE"""),45666)</f>
        <v>45666</v>
      </c>
      <c r="Q7" s="15">
        <f t="shared" ca="1" si="7"/>
        <v>0.30625000000000002</v>
      </c>
      <c r="R7" s="15">
        <f t="shared" ca="1" si="8"/>
        <v>0.28035879629629629</v>
      </c>
      <c r="S7" s="15">
        <f t="shared" ca="1" si="4"/>
        <v>5.2974537037037028E-2</v>
      </c>
      <c r="T7" s="16">
        <f t="shared" ca="1" si="5"/>
        <v>1.0883233580289871</v>
      </c>
    </row>
    <row r="8" spans="1:21" ht="15.75" customHeight="1">
      <c r="A8" s="6">
        <v>45660</v>
      </c>
      <c r="B8" s="7" t="s">
        <v>46</v>
      </c>
      <c r="C8" s="7">
        <v>44</v>
      </c>
      <c r="D8" s="8">
        <f>IFERROR(VLOOKUP($B8,Task!$B$1:$G$61,6,0)," ")</f>
        <v>3.472222222222222E-3</v>
      </c>
      <c r="E8" s="9">
        <f t="shared" si="0"/>
        <v>0.15277777777777776</v>
      </c>
      <c r="F8" s="10">
        <f t="shared" si="9"/>
        <v>0.58552083333333338</v>
      </c>
      <c r="G8" s="10">
        <v>0.75277027777337935</v>
      </c>
      <c r="H8" s="8">
        <f t="shared" si="1"/>
        <v>0.13947166666226818</v>
      </c>
      <c r="I8" s="11">
        <f t="shared" si="2"/>
        <v>0.76607638888888896</v>
      </c>
      <c r="J8" s="8"/>
      <c r="K8" s="8"/>
      <c r="L8" s="8">
        <v>2.7777777777777776E-2</v>
      </c>
      <c r="M8" s="12"/>
      <c r="N8" s="13">
        <f t="shared" si="3"/>
        <v>1.0954036861675314</v>
      </c>
      <c r="O8" s="19"/>
      <c r="P8" s="14">
        <f ca="1">IFERROR(__xludf.DUMMYFUNCTION("""COMPUTED_VALUE"""),45667)</f>
        <v>45667</v>
      </c>
      <c r="Q8" s="15">
        <f t="shared" ca="1" si="7"/>
        <v>0.30555555555555558</v>
      </c>
      <c r="R8" s="15">
        <f t="shared" ca="1" si="8"/>
        <v>0.29127314814814803</v>
      </c>
      <c r="S8" s="15">
        <f t="shared" ca="1" si="4"/>
        <v>4.2060185185185284E-2</v>
      </c>
      <c r="T8" s="16">
        <f t="shared" ca="1" si="5"/>
        <v>1.0206922568803092</v>
      </c>
    </row>
    <row r="9" spans="1:21" ht="15.75" customHeight="1">
      <c r="A9" s="6">
        <v>45663</v>
      </c>
      <c r="B9" s="7" t="s">
        <v>28</v>
      </c>
      <c r="C9" s="7">
        <v>60</v>
      </c>
      <c r="D9" s="8">
        <f>IFERROR(VLOOKUP($B9,Task!$B$1:$G$61,6,0)," ")</f>
        <v>1.3888888888888889E-3</v>
      </c>
      <c r="E9" s="9">
        <f t="shared" si="0"/>
        <v>8.3333333333333343E-2</v>
      </c>
      <c r="F9" s="10">
        <v>0.36949074074074073</v>
      </c>
      <c r="G9" s="10">
        <v>0.46828703703703706</v>
      </c>
      <c r="H9" s="8">
        <f t="shared" si="1"/>
        <v>8.0706018518518552E-2</v>
      </c>
      <c r="I9" s="11">
        <f t="shared" si="2"/>
        <v>0.47091435185185188</v>
      </c>
      <c r="J9" s="8"/>
      <c r="K9" s="8"/>
      <c r="L9" s="8">
        <v>1.8090277777777778E-2</v>
      </c>
      <c r="M9" s="18" t="s">
        <v>47</v>
      </c>
      <c r="N9" s="13">
        <f t="shared" si="3"/>
        <v>1.0325541373870641</v>
      </c>
      <c r="O9" s="4"/>
      <c r="P9" s="14">
        <f ca="1">IFERROR(__xludf.DUMMYFUNCTION("""COMPUTED_VALUE"""),45670)</f>
        <v>45670</v>
      </c>
      <c r="Q9" s="15">
        <f t="shared" ca="1" si="7"/>
        <v>0.33611111111111108</v>
      </c>
      <c r="R9" s="15">
        <f t="shared" ca="1" si="8"/>
        <v>0.31266203703703699</v>
      </c>
      <c r="S9" s="15">
        <f t="shared" ca="1" si="4"/>
        <v>2.0671296296296326E-2</v>
      </c>
      <c r="T9" s="16">
        <f t="shared" ca="1" si="5"/>
        <v>1.0907161977250992</v>
      </c>
    </row>
    <row r="10" spans="1:21" ht="15.75" customHeight="1">
      <c r="A10" s="6">
        <v>45663</v>
      </c>
      <c r="B10" s="7" t="s">
        <v>28</v>
      </c>
      <c r="C10" s="7">
        <v>79</v>
      </c>
      <c r="D10" s="8">
        <f>IFERROR(VLOOKUP($B10,Task!$B$1:$G$61,6,0)," ")</f>
        <v>1.3888888888888889E-3</v>
      </c>
      <c r="E10" s="9">
        <f t="shared" si="0"/>
        <v>0.10972222222222222</v>
      </c>
      <c r="F10" s="10">
        <v>0.47031250000000002</v>
      </c>
      <c r="G10" s="10">
        <v>0.62635416666666666</v>
      </c>
      <c r="H10" s="8">
        <f t="shared" si="1"/>
        <v>0.10964120370370367</v>
      </c>
      <c r="I10" s="11">
        <f t="shared" si="2"/>
        <v>0.62643518518518515</v>
      </c>
      <c r="J10" s="8"/>
      <c r="K10" s="8"/>
      <c r="L10" s="8">
        <v>4.6400462962962963E-2</v>
      </c>
      <c r="M10" s="18" t="s">
        <v>47</v>
      </c>
      <c r="N10" s="13">
        <f t="shared" si="3"/>
        <v>1.000738942256941</v>
      </c>
      <c r="O10" s="4"/>
      <c r="P10" s="14">
        <f ca="1">IFERROR(__xludf.DUMMYFUNCTION("""COMPUTED_VALUE"""),45671)</f>
        <v>45671</v>
      </c>
      <c r="Q10" s="15">
        <f t="shared" ca="1" si="7"/>
        <v>0.33888888888888896</v>
      </c>
      <c r="R10" s="15">
        <f t="shared" ca="1" si="8"/>
        <v>0.29510416666666661</v>
      </c>
      <c r="S10" s="15">
        <f t="shared" ca="1" si="4"/>
        <v>3.8229166666666703E-2</v>
      </c>
      <c r="T10" s="16">
        <f t="shared" ca="1" si="5"/>
        <v>1.0908615229661107</v>
      </c>
    </row>
    <row r="11" spans="1:21" ht="15.75" customHeight="1">
      <c r="A11" s="6">
        <v>45663</v>
      </c>
      <c r="B11" s="7" t="s">
        <v>18</v>
      </c>
      <c r="C11" s="7">
        <v>1</v>
      </c>
      <c r="D11" s="8">
        <f>IFERROR(VLOOKUP($B11,Task!$B$1:$G$61,6,0)," ")</f>
        <v>4.8611111111111112E-2</v>
      </c>
      <c r="E11" s="9">
        <f t="shared" si="0"/>
        <v>4.8611111111111112E-2</v>
      </c>
      <c r="F11" s="10">
        <f t="shared" ref="F11:F14" si="10">G10</f>
        <v>0.62635416666666666</v>
      </c>
      <c r="G11" s="10">
        <v>0.69571759259259258</v>
      </c>
      <c r="H11" s="8">
        <f t="shared" si="1"/>
        <v>4.3738425925925931E-2</v>
      </c>
      <c r="I11" s="11">
        <f t="shared" si="2"/>
        <v>0.70059027777777783</v>
      </c>
      <c r="J11" s="8"/>
      <c r="K11" s="8"/>
      <c r="L11" s="8">
        <v>2.5624999999999998E-2</v>
      </c>
      <c r="M11" s="12"/>
      <c r="N11" s="13">
        <f t="shared" si="3"/>
        <v>1.1114051336332362</v>
      </c>
      <c r="O11" s="4"/>
      <c r="P11" s="14">
        <f ca="1">IFERROR(__xludf.DUMMYFUNCTION("""COMPUTED_VALUE"""),45672)</f>
        <v>45672</v>
      </c>
      <c r="Q11" s="15">
        <f t="shared" ca="1" si="7"/>
        <v>0.35625000000000007</v>
      </c>
      <c r="R11" s="15">
        <f t="shared" ca="1" si="8"/>
        <v>0.32134259259259257</v>
      </c>
      <c r="S11" s="15">
        <f t="shared" ca="1" si="4"/>
        <v>1.1990740740740746E-2</v>
      </c>
      <c r="T11" s="16">
        <f t="shared" ca="1" si="5"/>
        <v>1.1089729065389242</v>
      </c>
    </row>
    <row r="12" spans="1:21" ht="15.75" customHeight="1">
      <c r="A12" s="6">
        <v>45663</v>
      </c>
      <c r="B12" s="7" t="s">
        <v>42</v>
      </c>
      <c r="C12" s="7">
        <v>1</v>
      </c>
      <c r="D12" s="8">
        <f>IFERROR(VLOOKUP($B12,Task!$B$1:$G$61,6,0)," ")</f>
        <v>6.9444444444444441E-3</v>
      </c>
      <c r="E12" s="9">
        <f t="shared" si="0"/>
        <v>6.9444444444444441E-3</v>
      </c>
      <c r="F12" s="10">
        <f t="shared" si="10"/>
        <v>0.69571759259259258</v>
      </c>
      <c r="G12" s="10">
        <v>0.70251157407407416</v>
      </c>
      <c r="H12" s="8">
        <f t="shared" si="1"/>
        <v>6.7939814814815813E-3</v>
      </c>
      <c r="I12" s="11">
        <f t="shared" si="2"/>
        <v>0.702662037037037</v>
      </c>
      <c r="J12" s="8"/>
      <c r="K12" s="8"/>
      <c r="L12" s="8"/>
      <c r="M12" s="12"/>
      <c r="N12" s="13">
        <f t="shared" si="3"/>
        <v>1.0221465076660838</v>
      </c>
      <c r="O12" s="19"/>
      <c r="P12" s="14">
        <f ca="1">IFERROR(__xludf.DUMMYFUNCTION("""COMPUTED_VALUE"""),45673)</f>
        <v>45673</v>
      </c>
      <c r="Q12" s="15">
        <f t="shared" ca="1" si="7"/>
        <v>0.36111111111111116</v>
      </c>
      <c r="R12" s="15">
        <f t="shared" ca="1" si="8"/>
        <v>0.32837962962962952</v>
      </c>
      <c r="S12" s="15">
        <f t="shared" ca="1" si="4"/>
        <v>4.9537037037037934E-3</v>
      </c>
      <c r="T12" s="16">
        <f t="shared" ca="1" si="5"/>
        <v>1.1027697055195802</v>
      </c>
    </row>
    <row r="13" spans="1:21" ht="15.75" customHeight="1">
      <c r="A13" s="6">
        <v>45663</v>
      </c>
      <c r="B13" s="7" t="s">
        <v>43</v>
      </c>
      <c r="C13" s="7">
        <v>1</v>
      </c>
      <c r="D13" s="8">
        <f>IFERROR(VLOOKUP($B13,Task!$B$1:$G$61,6,0)," ")</f>
        <v>3.4722222222222224E-2</v>
      </c>
      <c r="E13" s="9">
        <f t="shared" si="0"/>
        <v>3.4722222222222224E-2</v>
      </c>
      <c r="F13" s="10">
        <f t="shared" si="10"/>
        <v>0.70251157407407416</v>
      </c>
      <c r="G13" s="10">
        <v>0.73296296296296293</v>
      </c>
      <c r="H13" s="8">
        <f t="shared" si="1"/>
        <v>3.0451388888888764E-2</v>
      </c>
      <c r="I13" s="11">
        <f t="shared" si="2"/>
        <v>0.73723379629629637</v>
      </c>
      <c r="J13" s="8"/>
      <c r="K13" s="8"/>
      <c r="L13" s="8"/>
      <c r="M13" s="12"/>
      <c r="N13" s="13">
        <f t="shared" si="3"/>
        <v>1.1402508551881461</v>
      </c>
      <c r="O13" s="19"/>
      <c r="P13" s="14">
        <f ca="1">IFERROR(__xludf.DUMMYFUNCTION("""COMPUTED_VALUE"""),45674)</f>
        <v>45674</v>
      </c>
      <c r="Q13" s="15">
        <f t="shared" ca="1" si="7"/>
        <v>0.31805555555555565</v>
      </c>
      <c r="R13" s="15">
        <f t="shared" ca="1" si="8"/>
        <v>0.28652777777777777</v>
      </c>
      <c r="S13" s="15">
        <f t="shared" ca="1" si="4"/>
        <v>4.6805555555555545E-2</v>
      </c>
      <c r="T13" s="16">
        <f t="shared" ca="1" si="5"/>
        <v>1.1104706816827206</v>
      </c>
    </row>
    <row r="14" spans="1:21" ht="15.75" customHeight="1">
      <c r="A14" s="6">
        <v>45663</v>
      </c>
      <c r="B14" s="7" t="s">
        <v>28</v>
      </c>
      <c r="C14" s="7">
        <v>15</v>
      </c>
      <c r="D14" s="8">
        <f>IFERROR(VLOOKUP($B14,Task!$B$1:$G$61,6,0)," ")</f>
        <v>1.3888888888888889E-3</v>
      </c>
      <c r="E14" s="9">
        <f t="shared" si="0"/>
        <v>2.0833333333333336E-2</v>
      </c>
      <c r="F14" s="10">
        <f t="shared" si="10"/>
        <v>0.73296296296296293</v>
      </c>
      <c r="G14" s="10">
        <v>0.75347222222222221</v>
      </c>
      <c r="H14" s="8">
        <f t="shared" si="1"/>
        <v>2.0509259259259283E-2</v>
      </c>
      <c r="I14" s="11">
        <f t="shared" si="2"/>
        <v>0.7537962962962963</v>
      </c>
      <c r="J14" s="8"/>
      <c r="K14" s="8"/>
      <c r="L14" s="8"/>
      <c r="M14" s="18" t="s">
        <v>47</v>
      </c>
      <c r="N14" s="13">
        <f t="shared" si="3"/>
        <v>1.0158013544018047</v>
      </c>
      <c r="O14" s="19"/>
      <c r="P14" s="20">
        <f ca="1">IFERROR(__xludf.DUMMYFUNCTION("""COMPUTED_VALUE"""),45677)</f>
        <v>45677</v>
      </c>
      <c r="Q14" s="15">
        <f t="shared" ca="1" si="7"/>
        <v>0.35069444444444448</v>
      </c>
      <c r="R14" s="15">
        <f t="shared" ca="1" si="8"/>
        <v>0.32086805555555553</v>
      </c>
      <c r="S14" s="15">
        <f t="shared" ca="1" si="4"/>
        <v>1.2465277777777783E-2</v>
      </c>
      <c r="T14" s="16">
        <f t="shared" ca="1" si="5"/>
        <v>1.080534367251154</v>
      </c>
    </row>
    <row r="15" spans="1:21" ht="15.75" customHeight="1">
      <c r="A15" s="6">
        <v>45664</v>
      </c>
      <c r="B15" s="7" t="s">
        <v>28</v>
      </c>
      <c r="C15" s="7">
        <v>51</v>
      </c>
      <c r="D15" s="8">
        <f>IFERROR(VLOOKUP($B15,Task!$B$1:$G$61,6,0)," ")</f>
        <v>1.3888888888888889E-3</v>
      </c>
      <c r="E15" s="9">
        <f t="shared" si="0"/>
        <v>7.0833333333333331E-2</v>
      </c>
      <c r="F15" s="10">
        <v>0.36640046296296302</v>
      </c>
      <c r="G15" s="10">
        <v>0.49557870370370372</v>
      </c>
      <c r="H15" s="8">
        <f t="shared" si="1"/>
        <v>7.0208333333333289E-2</v>
      </c>
      <c r="I15" s="11">
        <f t="shared" si="2"/>
        <v>0.49620370370370376</v>
      </c>
      <c r="J15" s="8"/>
      <c r="K15" s="8"/>
      <c r="L15" s="8">
        <v>5.8969907407407408E-2</v>
      </c>
      <c r="M15" s="18" t="s">
        <v>47</v>
      </c>
      <c r="N15" s="13">
        <f t="shared" si="3"/>
        <v>1.008902077151336</v>
      </c>
      <c r="O15" s="4"/>
      <c r="P15" s="20">
        <f ca="1">IFERROR(__xludf.DUMMYFUNCTION("""COMPUTED_VALUE"""),45678)</f>
        <v>45678</v>
      </c>
      <c r="Q15" s="15">
        <f t="shared" ca="1" si="7"/>
        <v>0.31388888888888894</v>
      </c>
      <c r="R15" s="15">
        <f t="shared" ca="1" si="8"/>
        <v>0.30196759259259259</v>
      </c>
      <c r="S15" s="15">
        <f t="shared" ca="1" si="4"/>
        <v>3.1365740740740722E-2</v>
      </c>
      <c r="T15" s="16">
        <f t="shared" ca="1" si="5"/>
        <v>1.0769273640488177</v>
      </c>
    </row>
    <row r="16" spans="1:21" ht="15.75" customHeight="1">
      <c r="A16" s="6">
        <v>45664</v>
      </c>
      <c r="B16" s="7" t="s">
        <v>18</v>
      </c>
      <c r="C16" s="7">
        <v>1</v>
      </c>
      <c r="D16" s="8">
        <f>IFERROR(VLOOKUP($B16,Task!$B$1:$G$61,6,0)," ")</f>
        <v>4.8611111111111112E-2</v>
      </c>
      <c r="E16" s="9">
        <f t="shared" si="0"/>
        <v>4.8611111111111112E-2</v>
      </c>
      <c r="F16" s="10">
        <v>0.39353009259259264</v>
      </c>
      <c r="G16" s="10">
        <v>0.43966435185185193</v>
      </c>
      <c r="H16" s="8">
        <f t="shared" si="1"/>
        <v>4.6134259259259291E-2</v>
      </c>
      <c r="I16" s="11">
        <f t="shared" si="2"/>
        <v>0.44214120370370374</v>
      </c>
      <c r="J16" s="8"/>
      <c r="K16" s="8"/>
      <c r="L16" s="8"/>
      <c r="M16" s="12"/>
      <c r="N16" s="13">
        <f t="shared" si="3"/>
        <v>1.0536879076768684</v>
      </c>
      <c r="O16" s="4"/>
      <c r="P16" s="20">
        <f ca="1">IFERROR(__xludf.DUMMYFUNCTION("""COMPUTED_VALUE"""),45679)</f>
        <v>45679</v>
      </c>
      <c r="Q16" s="15">
        <f t="shared" ca="1" si="7"/>
        <v>0.3611111111111111</v>
      </c>
      <c r="R16" s="15">
        <f t="shared" ca="1" si="8"/>
        <v>0.33585648148148139</v>
      </c>
      <c r="S16" s="15" t="str">
        <f t="shared" ca="1" si="4"/>
        <v xml:space="preserve"> </v>
      </c>
      <c r="T16" s="16">
        <f t="shared" ca="1" si="5"/>
        <v>1.077286923408648</v>
      </c>
    </row>
    <row r="17" spans="1:23" ht="15.75" customHeight="1">
      <c r="A17" s="6">
        <v>45664</v>
      </c>
      <c r="B17" s="7" t="s">
        <v>46</v>
      </c>
      <c r="C17" s="7">
        <v>1</v>
      </c>
      <c r="D17" s="8">
        <f>IFERROR(VLOOKUP($B17,Task!$B$1:$G$61,6,0)," ")</f>
        <v>3.472222222222222E-3</v>
      </c>
      <c r="E17" s="9">
        <f t="shared" si="0"/>
        <v>3.472222222222222E-3</v>
      </c>
      <c r="F17" s="10">
        <f>G16</f>
        <v>0.43966435185185193</v>
      </c>
      <c r="G17" s="10">
        <v>0.44277777777777777</v>
      </c>
      <c r="H17" s="8">
        <f t="shared" si="1"/>
        <v>3.113425925925839E-3</v>
      </c>
      <c r="I17" s="11">
        <f t="shared" si="2"/>
        <v>0.44313657407407414</v>
      </c>
      <c r="J17" s="8"/>
      <c r="K17" s="8"/>
      <c r="L17" s="8"/>
      <c r="M17" s="12"/>
      <c r="N17" s="13">
        <f t="shared" si="3"/>
        <v>1.1152416356877635</v>
      </c>
      <c r="O17" s="19"/>
      <c r="P17" s="20">
        <f ca="1">IFERROR(__xludf.DUMMYFUNCTION("""COMPUTED_VALUE"""),45680)</f>
        <v>45680</v>
      </c>
      <c r="Q17" s="15">
        <f t="shared" ca="1" si="7"/>
        <v>0.27916666666666667</v>
      </c>
      <c r="R17" s="15">
        <f t="shared" ca="1" si="8"/>
        <v>0.25931712962962949</v>
      </c>
      <c r="S17" s="15">
        <f t="shared" ca="1" si="4"/>
        <v>7.401620370370382E-2</v>
      </c>
      <c r="T17" s="16">
        <f t="shared" ca="1" si="5"/>
        <v>1.0854153743148907</v>
      </c>
    </row>
    <row r="18" spans="1:23" ht="15.75" customHeight="1">
      <c r="A18" s="6">
        <v>45664</v>
      </c>
      <c r="B18" s="7" t="s">
        <v>28</v>
      </c>
      <c r="C18" s="7">
        <v>22</v>
      </c>
      <c r="D18" s="8">
        <f>IFERROR(VLOOKUP($B18,Task!$B$1:$G$61,6,0)," ")</f>
        <v>1.3888888888888889E-3</v>
      </c>
      <c r="E18" s="9">
        <f t="shared" si="0"/>
        <v>3.0555555555555558E-2</v>
      </c>
      <c r="F18" s="10">
        <v>0.49557870370370372</v>
      </c>
      <c r="G18" s="10">
        <v>0.58473379629629629</v>
      </c>
      <c r="H18" s="8">
        <f t="shared" si="1"/>
        <v>3.053240740740739E-2</v>
      </c>
      <c r="I18" s="11">
        <f t="shared" si="2"/>
        <v>0.58475694444444448</v>
      </c>
      <c r="J18" s="8"/>
      <c r="K18" s="8"/>
      <c r="L18" s="8">
        <v>5.8622685185185187E-2</v>
      </c>
      <c r="M18" s="18" t="s">
        <v>47</v>
      </c>
      <c r="N18" s="13">
        <f t="shared" si="3"/>
        <v>1.0007581501137233</v>
      </c>
      <c r="P18" s="20">
        <f ca="1">IFERROR(__xludf.DUMMYFUNCTION("""COMPUTED_VALUE"""),45686)</f>
        <v>45686</v>
      </c>
      <c r="Q18" s="15">
        <f t="shared" ca="1" si="7"/>
        <v>0.2986111111111111</v>
      </c>
      <c r="R18" s="15">
        <f t="shared" ca="1" si="8"/>
        <v>0.27457175925925925</v>
      </c>
      <c r="S18" s="15">
        <f t="shared" ca="1" si="4"/>
        <v>5.8761574074074063E-2</v>
      </c>
      <c r="T18" s="16">
        <f t="shared" ca="1" si="5"/>
        <v>1.0836807240918653</v>
      </c>
    </row>
    <row r="19" spans="1:23" ht="15.75" customHeight="1">
      <c r="A19" s="6">
        <v>45664</v>
      </c>
      <c r="B19" s="7" t="s">
        <v>46</v>
      </c>
      <c r="C19" s="7">
        <v>46</v>
      </c>
      <c r="D19" s="8">
        <f>IFERROR(VLOOKUP($B19,Task!$B$1:$G$61,6,0)," ")</f>
        <v>3.472222222222222E-3</v>
      </c>
      <c r="E19" s="9">
        <f t="shared" si="0"/>
        <v>0.15972222222222221</v>
      </c>
      <c r="F19" s="10">
        <f>G18</f>
        <v>0.58473379629629629</v>
      </c>
      <c r="G19" s="10">
        <v>0.75311211805092171</v>
      </c>
      <c r="H19" s="8">
        <f t="shared" si="1"/>
        <v>0.13887600693981061</v>
      </c>
      <c r="I19" s="11">
        <f t="shared" si="2"/>
        <v>0.7739583333333333</v>
      </c>
      <c r="J19" s="8"/>
      <c r="K19" s="8"/>
      <c r="L19" s="8">
        <v>2.9502314814814815E-2</v>
      </c>
      <c r="M19" s="12"/>
      <c r="N19" s="13">
        <f t="shared" si="3"/>
        <v>1.1501066724322397</v>
      </c>
      <c r="P19" s="20">
        <f ca="1">IFERROR(__xludf.DUMMYFUNCTION("""COMPUTED_VALUE"""),45687)</f>
        <v>45687</v>
      </c>
      <c r="Q19" s="15">
        <f t="shared" ca="1" si="7"/>
        <v>0.35</v>
      </c>
      <c r="R19" s="15">
        <f t="shared" ca="1" si="8"/>
        <v>0.31325231481481469</v>
      </c>
      <c r="S19" s="15">
        <f t="shared" ref="S19:S23" ca="1" si="11">IF(R19=""," ",$U$1-R19)</f>
        <v>2.0081018518518623E-2</v>
      </c>
      <c r="T19" s="16">
        <f t="shared" ca="1" si="5"/>
        <v>1.1134525232404269</v>
      </c>
    </row>
    <row r="20" spans="1:23" ht="15.75" customHeight="1">
      <c r="A20" s="6">
        <v>45665</v>
      </c>
      <c r="B20" s="7" t="s">
        <v>28</v>
      </c>
      <c r="C20" s="7">
        <v>90</v>
      </c>
      <c r="D20" s="8">
        <f>IFERROR(VLOOKUP($B20,Task!$B$1:$G$61,6,0)," ")</f>
        <v>1.3888888888888889E-3</v>
      </c>
      <c r="E20" s="9">
        <f t="shared" si="0"/>
        <v>0.125</v>
      </c>
      <c r="F20" s="10">
        <v>0.37543981481481481</v>
      </c>
      <c r="G20" s="10">
        <v>0.50219907407407416</v>
      </c>
      <c r="H20" s="8">
        <f t="shared" si="1"/>
        <v>0.11969907407407417</v>
      </c>
      <c r="I20" s="11">
        <f t="shared" si="2"/>
        <v>0.50749999999999995</v>
      </c>
      <c r="J20" s="8"/>
      <c r="K20" s="8"/>
      <c r="L20" s="8">
        <v>7.060185185185185E-3</v>
      </c>
      <c r="M20" s="18" t="s">
        <v>47</v>
      </c>
      <c r="N20" s="13">
        <f t="shared" si="3"/>
        <v>1.0442854380197246</v>
      </c>
      <c r="P20" s="20"/>
      <c r="Q20" s="15" t="str">
        <f t="shared" si="7"/>
        <v/>
      </c>
      <c r="R20" s="15" t="str">
        <f t="shared" si="8"/>
        <v/>
      </c>
      <c r="S20" s="15" t="str">
        <f t="shared" si="11"/>
        <v xml:space="preserve"> </v>
      </c>
      <c r="T20" s="16" t="str">
        <f t="shared" si="5"/>
        <v xml:space="preserve"> </v>
      </c>
      <c r="W20" s="4"/>
    </row>
    <row r="21" spans="1:23" ht="15.75" customHeight="1">
      <c r="A21" s="6">
        <v>45665</v>
      </c>
      <c r="B21" s="7" t="s">
        <v>18</v>
      </c>
      <c r="C21" s="7">
        <v>1</v>
      </c>
      <c r="D21" s="8">
        <f>IFERROR(VLOOKUP($B21,Task!$B$1:$G$61,6,0)," ")</f>
        <v>4.8611111111111112E-2</v>
      </c>
      <c r="E21" s="9">
        <f t="shared" si="0"/>
        <v>4.8611111111111112E-2</v>
      </c>
      <c r="F21" s="10">
        <f t="shared" ref="F21:F23" si="12">G20</f>
        <v>0.50219907407407416</v>
      </c>
      <c r="G21" s="10">
        <v>0.57217592592592592</v>
      </c>
      <c r="H21" s="8">
        <f t="shared" si="1"/>
        <v>4.3842592592592503E-2</v>
      </c>
      <c r="I21" s="11">
        <f t="shared" si="2"/>
        <v>0.57694444444444459</v>
      </c>
      <c r="J21" s="8"/>
      <c r="K21" s="8"/>
      <c r="L21" s="8">
        <v>2.613425925925926E-2</v>
      </c>
      <c r="M21" s="12"/>
      <c r="N21" s="13">
        <f t="shared" si="3"/>
        <v>1.1087645195353772</v>
      </c>
      <c r="P21" s="20"/>
      <c r="Q21" s="15" t="str">
        <f t="shared" si="7"/>
        <v/>
      </c>
      <c r="R21" s="15" t="str">
        <f t="shared" si="8"/>
        <v/>
      </c>
      <c r="S21" s="15" t="str">
        <f t="shared" si="11"/>
        <v xml:space="preserve"> </v>
      </c>
      <c r="T21" s="16" t="str">
        <f t="shared" si="5"/>
        <v xml:space="preserve"> </v>
      </c>
    </row>
    <row r="22" spans="1:23" ht="15.75" customHeight="1">
      <c r="A22" s="6">
        <v>45665</v>
      </c>
      <c r="B22" s="7" t="s">
        <v>48</v>
      </c>
      <c r="C22" s="7">
        <v>73</v>
      </c>
      <c r="D22" s="8">
        <f>IFERROR(VLOOKUP($B22,Task!$B$1:$G$61,6,0)," ")</f>
        <v>1.736111111111111E-3</v>
      </c>
      <c r="E22" s="9">
        <f t="shared" si="0"/>
        <v>0.1267361111111111</v>
      </c>
      <c r="F22" s="10">
        <f t="shared" si="12"/>
        <v>0.57217592592592592</v>
      </c>
      <c r="G22" s="10">
        <v>0.72037037037037044</v>
      </c>
      <c r="H22" s="8">
        <f t="shared" si="1"/>
        <v>0.11759259259259267</v>
      </c>
      <c r="I22" s="11">
        <f t="shared" si="2"/>
        <v>0.7295138888888888</v>
      </c>
      <c r="J22" s="8"/>
      <c r="K22" s="8"/>
      <c r="L22" s="8">
        <v>3.0601851851851852E-2</v>
      </c>
      <c r="M22" s="12"/>
      <c r="N22" s="13">
        <f t="shared" si="3"/>
        <v>1.0777559055118102</v>
      </c>
      <c r="O22" s="19"/>
      <c r="P22" s="20"/>
      <c r="Q22" s="15" t="str">
        <f t="shared" si="7"/>
        <v/>
      </c>
      <c r="R22" s="15" t="str">
        <f t="shared" si="8"/>
        <v/>
      </c>
      <c r="S22" s="15" t="str">
        <f t="shared" si="11"/>
        <v xml:space="preserve"> </v>
      </c>
      <c r="T22" s="16" t="str">
        <f t="shared" si="5"/>
        <v xml:space="preserve"> </v>
      </c>
    </row>
    <row r="23" spans="1:23" ht="15.75" customHeight="1">
      <c r="A23" s="6">
        <v>45665</v>
      </c>
      <c r="B23" s="7" t="s">
        <v>46</v>
      </c>
      <c r="C23" s="7">
        <v>11</v>
      </c>
      <c r="D23" s="8">
        <f>IFERROR(VLOOKUP($B23,Task!$B$1:$G$61,6,0)," ")</f>
        <v>3.472222222222222E-3</v>
      </c>
      <c r="E23" s="9">
        <f t="shared" si="0"/>
        <v>3.8194444444444441E-2</v>
      </c>
      <c r="F23" s="10">
        <f t="shared" si="12"/>
        <v>0.72037037037037044</v>
      </c>
      <c r="G23" s="10">
        <v>0.75347222222222221</v>
      </c>
      <c r="H23" s="8">
        <f t="shared" si="1"/>
        <v>3.3101851851851771E-2</v>
      </c>
      <c r="I23" s="11">
        <f t="shared" si="2"/>
        <v>0.75856481481481486</v>
      </c>
      <c r="J23" s="8"/>
      <c r="K23" s="8"/>
      <c r="L23" s="8"/>
      <c r="M23" s="12"/>
      <c r="N23" s="13">
        <f t="shared" si="3"/>
        <v>1.1538461538461566</v>
      </c>
      <c r="P23" s="20"/>
      <c r="Q23" s="15" t="str">
        <f t="shared" si="7"/>
        <v/>
      </c>
      <c r="R23" s="15" t="str">
        <f t="shared" si="8"/>
        <v/>
      </c>
      <c r="S23" s="15" t="str">
        <f t="shared" si="11"/>
        <v xml:space="preserve"> </v>
      </c>
      <c r="T23" s="16" t="str">
        <f t="shared" si="5"/>
        <v xml:space="preserve"> </v>
      </c>
    </row>
    <row r="24" spans="1:23" ht="15.75" customHeight="1">
      <c r="A24" s="6">
        <v>45666</v>
      </c>
      <c r="B24" s="7" t="s">
        <v>42</v>
      </c>
      <c r="C24" s="7">
        <v>1</v>
      </c>
      <c r="D24" s="8">
        <f>IFERROR(VLOOKUP($B24,Task!$B$1:$G$61,6,0)," ")</f>
        <v>6.9444444444444441E-3</v>
      </c>
      <c r="E24" s="9">
        <f t="shared" si="0"/>
        <v>6.9444444444444441E-3</v>
      </c>
      <c r="F24" s="10">
        <v>0.36710648148148151</v>
      </c>
      <c r="G24" s="10">
        <v>0.37357638888888889</v>
      </c>
      <c r="H24" s="8">
        <f t="shared" si="1"/>
        <v>6.4699074074073826E-3</v>
      </c>
      <c r="I24" s="11">
        <f t="shared" si="2"/>
        <v>0.37405092592592593</v>
      </c>
      <c r="J24" s="8"/>
      <c r="K24" s="8"/>
      <c r="L24" s="8"/>
      <c r="M24" s="12"/>
      <c r="N24" s="13">
        <f t="shared" si="3"/>
        <v>1.0733452593917752</v>
      </c>
      <c r="W24" s="4"/>
    </row>
    <row r="25" spans="1:23" ht="15.75" customHeight="1">
      <c r="A25" s="6">
        <v>45666</v>
      </c>
      <c r="B25" s="7" t="s">
        <v>43</v>
      </c>
      <c r="C25" s="7">
        <v>1</v>
      </c>
      <c r="D25" s="8">
        <f>IFERROR(VLOOKUP($B25,Task!$B$1:$G$61,6,0)," ")</f>
        <v>3.4722222222222224E-2</v>
      </c>
      <c r="E25" s="9">
        <f t="shared" si="0"/>
        <v>3.4722222222222224E-2</v>
      </c>
      <c r="F25" s="10">
        <f t="shared" ref="F25:F28" si="13">G24</f>
        <v>0.37357638888888889</v>
      </c>
      <c r="G25" s="10">
        <v>0.40358796296296295</v>
      </c>
      <c r="H25" s="8">
        <f t="shared" si="1"/>
        <v>3.0011574074074066E-2</v>
      </c>
      <c r="I25" s="11">
        <f t="shared" si="2"/>
        <v>0.4082986111111111</v>
      </c>
      <c r="J25" s="8"/>
      <c r="K25" s="8"/>
      <c r="L25" s="8"/>
      <c r="M25" s="12"/>
      <c r="N25" s="13">
        <f t="shared" si="3"/>
        <v>1.1569610489780182</v>
      </c>
      <c r="O25" s="19"/>
    </row>
    <row r="26" spans="1:23" ht="14.5">
      <c r="A26" s="6">
        <v>45666</v>
      </c>
      <c r="B26" s="7" t="s">
        <v>18</v>
      </c>
      <c r="C26" s="7">
        <v>1</v>
      </c>
      <c r="D26" s="8">
        <f>IFERROR(VLOOKUP($B26,Task!$B$1:$G$61,6,0)," ")</f>
        <v>4.8611111111111112E-2</v>
      </c>
      <c r="E26" s="9">
        <f t="shared" si="0"/>
        <v>4.8611111111111112E-2</v>
      </c>
      <c r="F26" s="10">
        <f t="shared" si="13"/>
        <v>0.40358796296296295</v>
      </c>
      <c r="G26" s="10">
        <v>0.44997685185185188</v>
      </c>
      <c r="H26" s="8">
        <f t="shared" si="1"/>
        <v>4.6388888888888924E-2</v>
      </c>
      <c r="I26" s="11">
        <f t="shared" si="2"/>
        <v>0.45219907407407406</v>
      </c>
      <c r="J26" s="8"/>
      <c r="K26" s="8"/>
      <c r="L26" s="8"/>
      <c r="M26" s="12"/>
      <c r="N26" s="13">
        <f t="shared" si="3"/>
        <v>1.0479041916167657</v>
      </c>
      <c r="O26" s="19"/>
    </row>
    <row r="27" spans="1:23" ht="14.5">
      <c r="A27" s="6">
        <v>45666</v>
      </c>
      <c r="B27" s="7" t="s">
        <v>46</v>
      </c>
      <c r="C27" s="7">
        <v>19</v>
      </c>
      <c r="D27" s="8">
        <f>IFERROR(VLOOKUP($B27,Task!$B$1:$G$61,6,0)," ")</f>
        <v>3.472222222222222E-3</v>
      </c>
      <c r="E27" s="9">
        <f t="shared" si="0"/>
        <v>6.5972222222222224E-2</v>
      </c>
      <c r="F27" s="10">
        <f t="shared" si="13"/>
        <v>0.44997685185185188</v>
      </c>
      <c r="G27" s="10">
        <v>0.54521990740740744</v>
      </c>
      <c r="H27" s="8">
        <f t="shared" si="1"/>
        <v>6.2893518518518529E-2</v>
      </c>
      <c r="I27" s="11">
        <f t="shared" si="2"/>
        <v>0.54829861111111111</v>
      </c>
      <c r="J27" s="8"/>
      <c r="K27" s="8"/>
      <c r="L27" s="8">
        <v>3.2349537037037038E-2</v>
      </c>
      <c r="M27" s="12"/>
      <c r="N27" s="13">
        <f t="shared" si="3"/>
        <v>1.0489510489510487</v>
      </c>
      <c r="O27" s="4"/>
    </row>
    <row r="28" spans="1:23" ht="14.5">
      <c r="A28" s="6">
        <v>45666</v>
      </c>
      <c r="B28" s="7" t="s">
        <v>16</v>
      </c>
      <c r="C28" s="7">
        <v>27</v>
      </c>
      <c r="D28" s="8">
        <f>IFERROR(VLOOKUP($B28,Task!$B$1:$G$61,6,0)," ")</f>
        <v>5.5555555555555558E-3</v>
      </c>
      <c r="E28" s="9">
        <f t="shared" si="0"/>
        <v>0.15</v>
      </c>
      <c r="F28" s="10">
        <f t="shared" si="13"/>
        <v>0.54521990740740744</v>
      </c>
      <c r="G28" s="10">
        <v>0.75</v>
      </c>
      <c r="H28" s="8">
        <f t="shared" si="1"/>
        <v>0.13459490740740737</v>
      </c>
      <c r="I28" s="11">
        <f t="shared" si="2"/>
        <v>0.7654050925925926</v>
      </c>
      <c r="J28" s="8"/>
      <c r="K28" s="8"/>
      <c r="L28" s="8">
        <v>7.0185185185185184E-2</v>
      </c>
      <c r="M28" s="12"/>
      <c r="N28" s="13">
        <f t="shared" si="3"/>
        <v>1.1144552412073268</v>
      </c>
      <c r="O28" s="19"/>
    </row>
    <row r="29" spans="1:23" ht="14.5">
      <c r="A29" s="6">
        <v>45667</v>
      </c>
      <c r="B29" s="7" t="s">
        <v>18</v>
      </c>
      <c r="C29" s="7">
        <v>1</v>
      </c>
      <c r="D29" s="8">
        <f>IFERROR(VLOOKUP($B29,Task!$B$1:$G$61,6,0)," ")</f>
        <v>4.8611111111111112E-2</v>
      </c>
      <c r="E29" s="9">
        <f t="shared" si="0"/>
        <v>4.8611111111111112E-2</v>
      </c>
      <c r="F29" s="10">
        <v>0.33172453703703708</v>
      </c>
      <c r="G29" s="10">
        <v>0.41035879629629635</v>
      </c>
      <c r="H29" s="8">
        <f t="shared" si="1"/>
        <v>4.9351851851851855E-2</v>
      </c>
      <c r="I29" s="11">
        <f t="shared" si="2"/>
        <v>0.40961805555555558</v>
      </c>
      <c r="J29" s="8"/>
      <c r="K29" s="8"/>
      <c r="L29" s="8">
        <v>2.9282407407407406E-2</v>
      </c>
      <c r="M29" s="12"/>
      <c r="N29" s="13">
        <f t="shared" si="3"/>
        <v>0.98499061913696051</v>
      </c>
      <c r="O29" s="19"/>
    </row>
    <row r="30" spans="1:23" ht="14.5">
      <c r="A30" s="6">
        <v>45667</v>
      </c>
      <c r="B30" s="7" t="s">
        <v>16</v>
      </c>
      <c r="C30" s="7">
        <v>30</v>
      </c>
      <c r="D30" s="8">
        <f>IFERROR(VLOOKUP($B30,Task!$B$1:$G$61,6,0)," ")</f>
        <v>5.5555555555555558E-3</v>
      </c>
      <c r="E30" s="9">
        <f t="shared" si="0"/>
        <v>0.16666666666666669</v>
      </c>
      <c r="F30" s="10">
        <f>G29</f>
        <v>0.41035879629629635</v>
      </c>
      <c r="G30" s="10">
        <v>0.5955555555555555</v>
      </c>
      <c r="H30" s="8">
        <f t="shared" si="1"/>
        <v>0.15170138888888879</v>
      </c>
      <c r="I30" s="11">
        <f t="shared" si="2"/>
        <v>0.6105208333333334</v>
      </c>
      <c r="J30" s="8"/>
      <c r="K30" s="8"/>
      <c r="L30" s="8">
        <v>3.349537037037037E-2</v>
      </c>
      <c r="M30" s="12"/>
      <c r="N30" s="13">
        <f t="shared" si="3"/>
        <v>1.0986495765621431</v>
      </c>
      <c r="O30" s="4"/>
    </row>
    <row r="31" spans="1:23" ht="14.5">
      <c r="A31" s="6">
        <v>45667</v>
      </c>
      <c r="B31" s="7" t="s">
        <v>49</v>
      </c>
      <c r="C31" s="7">
        <v>12</v>
      </c>
      <c r="D31" s="8">
        <f>IFERROR(VLOOKUP($B31,Task!$B$1:$G$61,6,0)," ")</f>
        <v>3.472222222222222E-3</v>
      </c>
      <c r="E31" s="9">
        <f t="shared" si="0"/>
        <v>4.1666666666666664E-2</v>
      </c>
      <c r="F31" s="10">
        <v>0.62495370370370373</v>
      </c>
      <c r="G31" s="10">
        <v>0.66741898148148149</v>
      </c>
      <c r="H31" s="8">
        <f t="shared" si="1"/>
        <v>4.2465277777777755E-2</v>
      </c>
      <c r="I31" s="11">
        <f t="shared" si="2"/>
        <v>0.66662037037037036</v>
      </c>
      <c r="J31" s="8"/>
      <c r="K31" s="8"/>
      <c r="L31" s="8"/>
      <c r="M31" s="12"/>
      <c r="N31" s="13">
        <f t="shared" si="3"/>
        <v>0.98119378577269056</v>
      </c>
      <c r="O31" s="19"/>
    </row>
    <row r="32" spans="1:23" ht="14.5">
      <c r="A32" s="6">
        <v>45667</v>
      </c>
      <c r="B32" s="7" t="s">
        <v>48</v>
      </c>
      <c r="C32" s="7">
        <v>28</v>
      </c>
      <c r="D32" s="8">
        <f>IFERROR(VLOOKUP($B32,Task!$B$1:$G$61,6,0)," ")</f>
        <v>1.736111111111111E-3</v>
      </c>
      <c r="E32" s="9">
        <f t="shared" si="0"/>
        <v>4.8611111111111105E-2</v>
      </c>
      <c r="F32" s="10">
        <v>0.66752314814814817</v>
      </c>
      <c r="G32" s="10">
        <v>0.71527777777777779</v>
      </c>
      <c r="H32" s="8">
        <f t="shared" si="1"/>
        <v>4.7754629629629619E-2</v>
      </c>
      <c r="I32" s="11">
        <f t="shared" si="2"/>
        <v>0.71613425925925922</v>
      </c>
      <c r="J32" s="8"/>
      <c r="K32" s="8"/>
      <c r="L32" s="8"/>
      <c r="M32" s="12"/>
      <c r="N32" s="13">
        <f t="shared" si="3"/>
        <v>1.0179350460494427</v>
      </c>
      <c r="O32" s="4"/>
    </row>
    <row r="33" spans="1:15" ht="14.5">
      <c r="A33" s="6">
        <v>45670</v>
      </c>
      <c r="B33" s="7" t="s">
        <v>50</v>
      </c>
      <c r="C33" s="7">
        <v>2</v>
      </c>
      <c r="D33" s="8">
        <f>IFERROR(VLOOKUP($B33,Task!$B$1:$G$61,6,0)," ")</f>
        <v>1.0416666666666666E-2</v>
      </c>
      <c r="E33" s="9">
        <f t="shared" si="0"/>
        <v>2.0833333333333332E-2</v>
      </c>
      <c r="F33" s="10">
        <v>0.2952893518518519</v>
      </c>
      <c r="G33" s="10">
        <v>0.31452546296296297</v>
      </c>
      <c r="H33" s="8">
        <f t="shared" si="1"/>
        <v>1.9236111111111065E-2</v>
      </c>
      <c r="I33" s="11">
        <f t="shared" si="2"/>
        <v>0.31612268518518521</v>
      </c>
      <c r="J33" s="8"/>
      <c r="K33" s="8"/>
      <c r="L33" s="8"/>
      <c r="M33" s="12"/>
      <c r="N33" s="13">
        <f t="shared" si="3"/>
        <v>1.0830324909747318</v>
      </c>
    </row>
    <row r="34" spans="1:15" ht="14.5">
      <c r="A34" s="6">
        <v>45670</v>
      </c>
      <c r="B34" s="7" t="s">
        <v>51</v>
      </c>
      <c r="C34" s="7">
        <v>2</v>
      </c>
      <c r="D34" s="8">
        <f>IFERROR(VLOOKUP($B34,Task!$B$1:$G$61,6,0)," ")</f>
        <v>1.0416666666666666E-2</v>
      </c>
      <c r="E34" s="9">
        <f t="shared" si="0"/>
        <v>2.0833333333333332E-2</v>
      </c>
      <c r="F34" s="10">
        <f t="shared" ref="F34:F44" si="14">G33</f>
        <v>0.31452546296296297</v>
      </c>
      <c r="G34" s="10">
        <v>0.33283564814814814</v>
      </c>
      <c r="H34" s="8">
        <f t="shared" si="1"/>
        <v>1.8310185185185179E-2</v>
      </c>
      <c r="I34" s="11">
        <f t="shared" si="2"/>
        <v>0.33535879629629628</v>
      </c>
      <c r="J34" s="8"/>
      <c r="K34" s="8"/>
      <c r="L34" s="8"/>
      <c r="M34" s="12"/>
      <c r="N34" s="13">
        <f t="shared" si="3"/>
        <v>1.137800252844501</v>
      </c>
      <c r="O34" s="19"/>
    </row>
    <row r="35" spans="1:15" ht="14.5">
      <c r="A35" s="6">
        <v>45670</v>
      </c>
      <c r="B35" s="7" t="s">
        <v>52</v>
      </c>
      <c r="C35" s="7">
        <v>2</v>
      </c>
      <c r="D35" s="8">
        <f>IFERROR(VLOOKUP($B35,Task!$B$1:$G$61,6,0)," ")</f>
        <v>1.0416666666666666E-2</v>
      </c>
      <c r="E35" s="9">
        <f t="shared" si="0"/>
        <v>2.0833333333333332E-2</v>
      </c>
      <c r="F35" s="10">
        <f t="shared" si="14"/>
        <v>0.33283564814814814</v>
      </c>
      <c r="G35" s="10">
        <v>0.35184027777777782</v>
      </c>
      <c r="H35" s="8">
        <f t="shared" si="1"/>
        <v>1.9004629629629677E-2</v>
      </c>
      <c r="I35" s="11">
        <f t="shared" si="2"/>
        <v>0.35366898148148146</v>
      </c>
      <c r="J35" s="8"/>
      <c r="K35" s="8"/>
      <c r="L35" s="8"/>
      <c r="M35" s="12"/>
      <c r="N35" s="13">
        <f t="shared" si="3"/>
        <v>1.0962241169305698</v>
      </c>
    </row>
    <row r="36" spans="1:15" ht="14.5">
      <c r="A36" s="6">
        <v>45670</v>
      </c>
      <c r="B36" s="7" t="s">
        <v>53</v>
      </c>
      <c r="C36" s="7">
        <v>2</v>
      </c>
      <c r="D36" s="8">
        <f>IFERROR(VLOOKUP($B36,Task!$B$1:$G$61,6,0)," ")</f>
        <v>1.0416666666666666E-2</v>
      </c>
      <c r="E36" s="9">
        <f t="shared" si="0"/>
        <v>2.0833333333333332E-2</v>
      </c>
      <c r="F36" s="10">
        <f t="shared" si="14"/>
        <v>0.35184027777777782</v>
      </c>
      <c r="G36" s="10">
        <v>0.37040509259259258</v>
      </c>
      <c r="H36" s="8">
        <f t="shared" si="1"/>
        <v>1.8564814814814756E-2</v>
      </c>
      <c r="I36" s="11">
        <f t="shared" si="2"/>
        <v>0.37267361111111114</v>
      </c>
      <c r="J36" s="8"/>
      <c r="K36" s="8"/>
      <c r="L36" s="8"/>
      <c r="M36" s="12"/>
      <c r="N36" s="13">
        <f t="shared" si="3"/>
        <v>1.1221945137157141</v>
      </c>
    </row>
    <row r="37" spans="1:15" ht="14.5">
      <c r="A37" s="6">
        <v>45670</v>
      </c>
      <c r="B37" s="7" t="s">
        <v>42</v>
      </c>
      <c r="C37" s="7">
        <v>1</v>
      </c>
      <c r="D37" s="8">
        <f>IFERROR(VLOOKUP($B37,Task!$B$1:$G$61,6,0)," ")</f>
        <v>6.9444444444444441E-3</v>
      </c>
      <c r="E37" s="9">
        <f t="shared" si="0"/>
        <v>6.9444444444444441E-3</v>
      </c>
      <c r="F37" s="10">
        <f t="shared" si="14"/>
        <v>0.37040509259259258</v>
      </c>
      <c r="G37" s="10">
        <v>0.37685185185185188</v>
      </c>
      <c r="H37" s="8">
        <f t="shared" si="1"/>
        <v>6.4467592592593048E-3</v>
      </c>
      <c r="I37" s="11">
        <f t="shared" si="2"/>
        <v>0.377349537037037</v>
      </c>
      <c r="J37" s="8"/>
      <c r="K37" s="8"/>
      <c r="L37" s="8"/>
      <c r="M37" s="12"/>
      <c r="N37" s="13">
        <f t="shared" si="3"/>
        <v>1.0771992818671376</v>
      </c>
      <c r="O37" s="19"/>
    </row>
    <row r="38" spans="1:15" ht="14.5">
      <c r="A38" s="6">
        <v>45670</v>
      </c>
      <c r="B38" s="7" t="s">
        <v>43</v>
      </c>
      <c r="C38" s="7">
        <v>1</v>
      </c>
      <c r="D38" s="8">
        <f>IFERROR(VLOOKUP($B38,Task!$B$1:$G$61,6,0)," ")</f>
        <v>3.4722222222222224E-2</v>
      </c>
      <c r="E38" s="9">
        <f t="shared" si="0"/>
        <v>3.4722222222222224E-2</v>
      </c>
      <c r="F38" s="10">
        <f t="shared" si="14"/>
        <v>0.37685185185185188</v>
      </c>
      <c r="G38" s="10">
        <v>0.44120370370370376</v>
      </c>
      <c r="H38" s="8">
        <f t="shared" si="1"/>
        <v>3.1134259259259292E-2</v>
      </c>
      <c r="I38" s="11">
        <f t="shared" si="2"/>
        <v>0.4447916666666667</v>
      </c>
      <c r="J38" s="8"/>
      <c r="K38" s="8"/>
      <c r="L38" s="8">
        <v>3.321759259259259E-2</v>
      </c>
      <c r="M38" s="12"/>
      <c r="N38" s="13">
        <f t="shared" si="3"/>
        <v>1.1152416356877313</v>
      </c>
      <c r="O38" s="19"/>
    </row>
    <row r="39" spans="1:15" ht="14.5">
      <c r="A39" s="6">
        <v>45670</v>
      </c>
      <c r="B39" s="7" t="s">
        <v>50</v>
      </c>
      <c r="C39" s="7">
        <v>1</v>
      </c>
      <c r="D39" s="8">
        <f>IFERROR(VLOOKUP($B39,Task!$B$1:$G$61,6,0)," ")</f>
        <v>1.0416666666666666E-2</v>
      </c>
      <c r="E39" s="9">
        <f t="shared" si="0"/>
        <v>1.0416666666666666E-2</v>
      </c>
      <c r="F39" s="10">
        <f t="shared" si="14"/>
        <v>0.44120370370370376</v>
      </c>
      <c r="G39" s="10">
        <v>0.450625</v>
      </c>
      <c r="H39" s="8">
        <f t="shared" si="1"/>
        <v>9.4212962962962332E-3</v>
      </c>
      <c r="I39" s="11">
        <f t="shared" si="2"/>
        <v>0.45162037037037045</v>
      </c>
      <c r="J39" s="8"/>
      <c r="K39" s="8"/>
      <c r="L39" s="8"/>
      <c r="M39" s="12"/>
      <c r="N39" s="13">
        <f t="shared" si="3"/>
        <v>1.1056511056511129</v>
      </c>
      <c r="O39" s="19"/>
    </row>
    <row r="40" spans="1:15" ht="14.5">
      <c r="A40" s="6">
        <v>45670</v>
      </c>
      <c r="B40" s="7" t="s">
        <v>51</v>
      </c>
      <c r="C40" s="7">
        <v>1</v>
      </c>
      <c r="D40" s="8">
        <f>IFERROR(VLOOKUP($B40,Task!$B$1:$G$61,6,0)," ")</f>
        <v>1.0416666666666666E-2</v>
      </c>
      <c r="E40" s="9">
        <f t="shared" si="0"/>
        <v>1.0416666666666666E-2</v>
      </c>
      <c r="F40" s="10">
        <f t="shared" si="14"/>
        <v>0.450625</v>
      </c>
      <c r="G40" s="10">
        <v>0.46028935185185182</v>
      </c>
      <c r="H40" s="8">
        <f t="shared" si="1"/>
        <v>9.6643518518518268E-3</v>
      </c>
      <c r="I40" s="11">
        <f t="shared" si="2"/>
        <v>0.46104166666666668</v>
      </c>
      <c r="J40" s="8"/>
      <c r="K40" s="8"/>
      <c r="L40" s="8"/>
      <c r="M40" s="12"/>
      <c r="N40" s="13">
        <f t="shared" si="3"/>
        <v>1.0778443113772482</v>
      </c>
      <c r="O40" s="4"/>
    </row>
    <row r="41" spans="1:15" ht="14.5">
      <c r="A41" s="6">
        <v>45670</v>
      </c>
      <c r="B41" s="7" t="s">
        <v>52</v>
      </c>
      <c r="C41" s="7">
        <v>1</v>
      </c>
      <c r="D41" s="8">
        <f>IFERROR(VLOOKUP($B41,Task!$B$1:$G$61,6,0)," ")</f>
        <v>1.0416666666666666E-2</v>
      </c>
      <c r="E41" s="9">
        <f t="shared" si="0"/>
        <v>1.0416666666666666E-2</v>
      </c>
      <c r="F41" s="10">
        <f t="shared" si="14"/>
        <v>0.46028935185185182</v>
      </c>
      <c r="G41" s="10">
        <v>0.46975694444444444</v>
      </c>
      <c r="H41" s="8">
        <f t="shared" si="1"/>
        <v>9.4675925925926108E-3</v>
      </c>
      <c r="I41" s="11">
        <f t="shared" si="2"/>
        <v>0.47070601851851851</v>
      </c>
      <c r="J41" s="8"/>
      <c r="K41" s="8"/>
      <c r="L41" s="8"/>
      <c r="M41" s="12"/>
      <c r="N41" s="13">
        <f t="shared" si="3"/>
        <v>1.100244498777504</v>
      </c>
      <c r="O41" s="4"/>
    </row>
    <row r="42" spans="1:15" ht="14.5">
      <c r="A42" s="6">
        <v>45670</v>
      </c>
      <c r="B42" s="7" t="s">
        <v>53</v>
      </c>
      <c r="C42" s="7">
        <v>1</v>
      </c>
      <c r="D42" s="8">
        <f>IFERROR(VLOOKUP($B42,Task!$B$1:$G$61,6,0)," ")</f>
        <v>1.0416666666666666E-2</v>
      </c>
      <c r="E42" s="9">
        <f t="shared" si="0"/>
        <v>1.0416666666666666E-2</v>
      </c>
      <c r="F42" s="10">
        <f t="shared" si="14"/>
        <v>0.46975694444444444</v>
      </c>
      <c r="G42" s="10">
        <v>0.47932870370370373</v>
      </c>
      <c r="H42" s="8">
        <f t="shared" si="1"/>
        <v>9.5717592592592937E-3</v>
      </c>
      <c r="I42" s="11">
        <f t="shared" si="2"/>
        <v>0.48017361111111112</v>
      </c>
      <c r="J42" s="8"/>
      <c r="K42" s="8"/>
      <c r="L42" s="8"/>
      <c r="M42" s="12"/>
      <c r="N42" s="13">
        <f t="shared" si="3"/>
        <v>1.0882708585247844</v>
      </c>
      <c r="O42" s="4"/>
    </row>
    <row r="43" spans="1:15" ht="14.5">
      <c r="A43" s="6">
        <v>45670</v>
      </c>
      <c r="B43" s="7" t="s">
        <v>18</v>
      </c>
      <c r="C43" s="7">
        <v>2</v>
      </c>
      <c r="D43" s="8">
        <f>IFERROR(VLOOKUP($B43,Task!$B$1:$G$61,6,0)," ")</f>
        <v>4.8611111111111112E-2</v>
      </c>
      <c r="E43" s="9">
        <f t="shared" si="0"/>
        <v>9.7222222222222224E-2</v>
      </c>
      <c r="F43" s="10">
        <f t="shared" si="14"/>
        <v>0.47932870370370373</v>
      </c>
      <c r="G43" s="10">
        <v>0.60349537037037038</v>
      </c>
      <c r="H43" s="8">
        <f t="shared" si="1"/>
        <v>8.9641203703703681E-2</v>
      </c>
      <c r="I43" s="11">
        <f t="shared" si="2"/>
        <v>0.61107638888888893</v>
      </c>
      <c r="J43" s="8"/>
      <c r="K43" s="8"/>
      <c r="L43" s="8">
        <v>3.4525462962962966E-2</v>
      </c>
      <c r="M43" s="12"/>
      <c r="N43" s="13">
        <f t="shared" si="3"/>
        <v>1.0845706907682378</v>
      </c>
      <c r="O43" s="19"/>
    </row>
    <row r="44" spans="1:15" ht="14.5">
      <c r="A44" s="6">
        <v>45670</v>
      </c>
      <c r="B44" s="7" t="s">
        <v>16</v>
      </c>
      <c r="C44" s="7">
        <v>13</v>
      </c>
      <c r="D44" s="8">
        <f>IFERROR(VLOOKUP($B44,Task!$B$1:$G$61,6,0)," ")</f>
        <v>5.5555555555555558E-3</v>
      </c>
      <c r="E44" s="9">
        <f t="shared" si="0"/>
        <v>7.2222222222222229E-2</v>
      </c>
      <c r="F44" s="10">
        <f t="shared" si="14"/>
        <v>0.60349537037037038</v>
      </c>
      <c r="G44" s="10">
        <v>0.67569444444444449</v>
      </c>
      <c r="H44" s="8">
        <f t="shared" si="1"/>
        <v>7.219907407407411E-2</v>
      </c>
      <c r="I44" s="11">
        <f t="shared" si="2"/>
        <v>0.67571759259259256</v>
      </c>
      <c r="J44" s="8"/>
      <c r="K44" s="8"/>
      <c r="L44" s="8"/>
      <c r="M44" s="12"/>
      <c r="N44" s="13">
        <f t="shared" si="3"/>
        <v>1.0003206155819169</v>
      </c>
      <c r="O44" s="19"/>
    </row>
    <row r="45" spans="1:15" ht="14.5">
      <c r="A45" s="6">
        <v>45671</v>
      </c>
      <c r="B45" s="7" t="s">
        <v>16</v>
      </c>
      <c r="C45" s="7">
        <v>1</v>
      </c>
      <c r="D45" s="8">
        <f>IFERROR(VLOOKUP($B45,Task!$B$1:$G$61,6,0)," ")</f>
        <v>5.5555555555555558E-3</v>
      </c>
      <c r="E45" s="9">
        <f t="shared" si="0"/>
        <v>5.5555555555555558E-3</v>
      </c>
      <c r="F45" s="10">
        <v>0.36409722222222229</v>
      </c>
      <c r="G45" s="10">
        <v>0.37012731481481487</v>
      </c>
      <c r="H45" s="8">
        <f t="shared" si="1"/>
        <v>6.030092592592573E-3</v>
      </c>
      <c r="I45" s="11">
        <f t="shared" si="2"/>
        <v>0.36965277777777783</v>
      </c>
      <c r="J45" s="8"/>
      <c r="K45" s="8"/>
      <c r="L45" s="8"/>
      <c r="M45" s="12"/>
      <c r="N45" s="13">
        <f t="shared" si="3"/>
        <v>0.92130518234165371</v>
      </c>
      <c r="O45" s="19"/>
    </row>
    <row r="46" spans="1:15" ht="14.5">
      <c r="A46" s="6">
        <v>45671</v>
      </c>
      <c r="B46" s="7" t="s">
        <v>18</v>
      </c>
      <c r="C46" s="7">
        <v>1</v>
      </c>
      <c r="D46" s="8">
        <f>IFERROR(VLOOKUP($B46,Task!$B$1:$G$61,6,0)," ")</f>
        <v>4.8611111111111112E-2</v>
      </c>
      <c r="E46" s="9">
        <f t="shared" si="0"/>
        <v>4.8611111111111112E-2</v>
      </c>
      <c r="F46" s="10">
        <v>0.37082175925925925</v>
      </c>
      <c r="G46" s="10">
        <v>0.41214120370370377</v>
      </c>
      <c r="H46" s="8">
        <f t="shared" si="1"/>
        <v>4.131944444444452E-2</v>
      </c>
      <c r="I46" s="11">
        <f t="shared" si="2"/>
        <v>0.41943287037037036</v>
      </c>
      <c r="J46" s="8"/>
      <c r="K46" s="8"/>
      <c r="L46" s="8"/>
      <c r="M46" s="12"/>
      <c r="N46" s="13">
        <f t="shared" si="3"/>
        <v>1.1764705882352919</v>
      </c>
      <c r="O46" s="4"/>
    </row>
    <row r="47" spans="1:15" ht="14.5">
      <c r="A47" s="6">
        <v>45671</v>
      </c>
      <c r="B47" s="7" t="s">
        <v>54</v>
      </c>
      <c r="C47" s="7">
        <v>1</v>
      </c>
      <c r="D47" s="8">
        <f>IFERROR(VLOOKUP($B47,Task!$B$1:$G$61,6,0)," ")</f>
        <v>2.0833333333333332E-2</v>
      </c>
      <c r="E47" s="9">
        <f t="shared" si="0"/>
        <v>2.0833333333333332E-2</v>
      </c>
      <c r="F47" s="10">
        <f>G46</f>
        <v>0.41214120370370377</v>
      </c>
      <c r="G47" s="10">
        <v>0.43071759259259257</v>
      </c>
      <c r="H47" s="8">
        <f t="shared" si="1"/>
        <v>1.8576388888888795E-2</v>
      </c>
      <c r="I47" s="11">
        <f t="shared" si="2"/>
        <v>0.43297453703703709</v>
      </c>
      <c r="J47" s="8"/>
      <c r="K47" s="8"/>
      <c r="L47" s="8"/>
      <c r="M47" s="18" t="s">
        <v>55</v>
      </c>
      <c r="N47" s="13">
        <f t="shared" si="3"/>
        <v>1.1214953271028094</v>
      </c>
      <c r="O47" s="4"/>
    </row>
    <row r="48" spans="1:15" ht="14.5">
      <c r="A48" s="6">
        <v>45671</v>
      </c>
      <c r="B48" s="7" t="s">
        <v>38</v>
      </c>
      <c r="C48" s="7">
        <v>80</v>
      </c>
      <c r="D48" s="8">
        <f>IFERROR(VLOOKUP($B48,Task!$B$1:$G$61,6,0)," ")</f>
        <v>2.7777777777777779E-3</v>
      </c>
      <c r="E48" s="9">
        <f t="shared" si="0"/>
        <v>0.22222222222222224</v>
      </c>
      <c r="F48" s="10">
        <v>0.45651620370370372</v>
      </c>
      <c r="G48" s="10">
        <v>0.71157407407407414</v>
      </c>
      <c r="H48" s="8">
        <f t="shared" si="1"/>
        <v>0.19075231481481486</v>
      </c>
      <c r="I48" s="11">
        <f t="shared" si="2"/>
        <v>0.74304398148148154</v>
      </c>
      <c r="J48" s="8"/>
      <c r="K48" s="8"/>
      <c r="L48" s="8">
        <v>6.430555555555556E-2</v>
      </c>
      <c r="M48" s="12"/>
      <c r="N48" s="13">
        <f t="shared" si="3"/>
        <v>1.1649778532856014</v>
      </c>
      <c r="O48" s="4"/>
    </row>
    <row r="49" spans="1:23" ht="14.5">
      <c r="A49" s="6">
        <v>45671</v>
      </c>
      <c r="B49" s="7" t="s">
        <v>50</v>
      </c>
      <c r="C49" s="7">
        <v>1</v>
      </c>
      <c r="D49" s="8">
        <f>IFERROR(VLOOKUP($B49,Task!$B$1:$G$61,6,0)," ")</f>
        <v>1.0416666666666666E-2</v>
      </c>
      <c r="E49" s="9">
        <f t="shared" si="0"/>
        <v>1.0416666666666666E-2</v>
      </c>
      <c r="F49" s="10">
        <f t="shared" ref="F49:F52" si="15">G48</f>
        <v>0.71157407407407414</v>
      </c>
      <c r="G49" s="10">
        <v>0.72099537037037043</v>
      </c>
      <c r="H49" s="8">
        <f t="shared" si="1"/>
        <v>9.4212962962962887E-3</v>
      </c>
      <c r="I49" s="11">
        <f t="shared" si="2"/>
        <v>0.72199074074074077</v>
      </c>
      <c r="J49" s="8"/>
      <c r="K49" s="8"/>
      <c r="L49" s="8"/>
      <c r="M49" s="12"/>
      <c r="N49" s="13">
        <f t="shared" si="3"/>
        <v>1.1056511056511065</v>
      </c>
      <c r="O49" s="19"/>
    </row>
    <row r="50" spans="1:23" ht="14.5">
      <c r="A50" s="6">
        <v>45671</v>
      </c>
      <c r="B50" s="7" t="s">
        <v>51</v>
      </c>
      <c r="C50" s="7">
        <v>1</v>
      </c>
      <c r="D50" s="8">
        <f>IFERROR(VLOOKUP($B50,Task!$B$1:$G$61,6,0)," ")</f>
        <v>1.0416666666666666E-2</v>
      </c>
      <c r="E50" s="9">
        <f t="shared" si="0"/>
        <v>1.0416666666666666E-2</v>
      </c>
      <c r="F50" s="10">
        <f t="shared" si="15"/>
        <v>0.72099537037037043</v>
      </c>
      <c r="G50" s="10">
        <v>0.7303587962962963</v>
      </c>
      <c r="H50" s="8">
        <f t="shared" si="1"/>
        <v>9.3634259259258723E-3</v>
      </c>
      <c r="I50" s="11">
        <f t="shared" si="2"/>
        <v>0.73141203703703705</v>
      </c>
      <c r="J50" s="8"/>
      <c r="K50" s="8"/>
      <c r="L50" s="8"/>
      <c r="M50" s="12"/>
      <c r="N50" s="13">
        <f t="shared" si="3"/>
        <v>1.1124845488257171</v>
      </c>
      <c r="O50" s="4"/>
    </row>
    <row r="51" spans="1:23" ht="14.5">
      <c r="A51" s="6">
        <v>45671</v>
      </c>
      <c r="B51" s="7" t="s">
        <v>52</v>
      </c>
      <c r="C51" s="7">
        <v>1</v>
      </c>
      <c r="D51" s="8">
        <f>IFERROR(VLOOKUP($B51,Task!$B$1:$G$61,6,0)," ")</f>
        <v>1.0416666666666666E-2</v>
      </c>
      <c r="E51" s="9">
        <f t="shared" si="0"/>
        <v>1.0416666666666666E-2</v>
      </c>
      <c r="F51" s="10">
        <f t="shared" si="15"/>
        <v>0.7303587962962963</v>
      </c>
      <c r="G51" s="10">
        <v>0.73980324074074078</v>
      </c>
      <c r="H51" s="8">
        <f t="shared" si="1"/>
        <v>9.4444444444444775E-3</v>
      </c>
      <c r="I51" s="11">
        <f t="shared" si="2"/>
        <v>0.74077546296296293</v>
      </c>
      <c r="J51" s="8"/>
      <c r="K51" s="8"/>
      <c r="L51" s="8"/>
      <c r="M51" s="12"/>
      <c r="N51" s="13">
        <f t="shared" si="3"/>
        <v>1.1029411764705843</v>
      </c>
      <c r="O51" s="19"/>
    </row>
    <row r="52" spans="1:23" ht="14.5">
      <c r="A52" s="6">
        <v>45671</v>
      </c>
      <c r="B52" s="7" t="s">
        <v>53</v>
      </c>
      <c r="C52" s="7">
        <v>1</v>
      </c>
      <c r="D52" s="8">
        <f>IFERROR(VLOOKUP($B52,Task!$B$1:$G$61,6,0)," ")</f>
        <v>1.0416666666666666E-2</v>
      </c>
      <c r="E52" s="9">
        <f t="shared" si="0"/>
        <v>1.0416666666666666E-2</v>
      </c>
      <c r="F52" s="10">
        <f t="shared" si="15"/>
        <v>0.73980324074074078</v>
      </c>
      <c r="G52" s="10">
        <v>0.75</v>
      </c>
      <c r="H52" s="8">
        <f t="shared" si="1"/>
        <v>1.0196759259259225E-2</v>
      </c>
      <c r="I52" s="11">
        <f t="shared" si="2"/>
        <v>0.7502199074074074</v>
      </c>
      <c r="J52" s="8"/>
      <c r="K52" s="8"/>
      <c r="L52" s="8"/>
      <c r="M52" s="12"/>
      <c r="N52" s="13">
        <f t="shared" si="3"/>
        <v>1.0215664018161215</v>
      </c>
      <c r="O52" s="19"/>
    </row>
    <row r="53" spans="1:23" ht="14.5">
      <c r="A53" s="6">
        <v>45672</v>
      </c>
      <c r="B53" s="7" t="s">
        <v>18</v>
      </c>
      <c r="C53" s="7">
        <v>1</v>
      </c>
      <c r="D53" s="8">
        <f>IFERROR(VLOOKUP($B53,Task!$B$1:$G$61,6,0)," ")</f>
        <v>4.8611111111111112E-2</v>
      </c>
      <c r="E53" s="9">
        <f t="shared" si="0"/>
        <v>4.8611111111111112E-2</v>
      </c>
      <c r="F53" s="10">
        <v>0.38137731481481485</v>
      </c>
      <c r="G53" s="10">
        <v>0.42418981481481483</v>
      </c>
      <c r="H53" s="8">
        <f t="shared" si="1"/>
        <v>4.2812499999999976E-2</v>
      </c>
      <c r="I53" s="11">
        <f t="shared" si="2"/>
        <v>0.42998842592592595</v>
      </c>
      <c r="J53" s="8"/>
      <c r="K53" s="8"/>
      <c r="L53" s="8"/>
      <c r="M53" s="12"/>
      <c r="N53" s="13">
        <f t="shared" si="3"/>
        <v>1.1354420113544208</v>
      </c>
      <c r="O53" s="19"/>
    </row>
    <row r="54" spans="1:23" ht="14.5">
      <c r="A54" s="6">
        <v>45672</v>
      </c>
      <c r="B54" s="7" t="s">
        <v>56</v>
      </c>
      <c r="C54" s="7">
        <v>1</v>
      </c>
      <c r="D54" s="8">
        <f>IFERROR(VLOOKUP($B54,Task!$B$1:$G$61,6,0)," ")</f>
        <v>4.1666666666666664E-2</v>
      </c>
      <c r="E54" s="9">
        <f t="shared" si="0"/>
        <v>4.1666666666666664E-2</v>
      </c>
      <c r="F54" s="10">
        <f t="shared" ref="F54:F62" si="16">G53</f>
        <v>0.42418981481481483</v>
      </c>
      <c r="G54" s="10">
        <v>0.46226851851851852</v>
      </c>
      <c r="H54" s="8">
        <f t="shared" si="1"/>
        <v>3.8078703703703698E-2</v>
      </c>
      <c r="I54" s="11">
        <f t="shared" si="2"/>
        <v>0.46585648148148151</v>
      </c>
      <c r="J54" s="8"/>
      <c r="K54" s="8"/>
      <c r="L54" s="8"/>
      <c r="M54" s="12"/>
      <c r="N54" s="13">
        <f t="shared" si="3"/>
        <v>1.0942249240121582</v>
      </c>
    </row>
    <row r="55" spans="1:23" ht="14.5">
      <c r="A55" s="6">
        <v>45672</v>
      </c>
      <c r="B55" s="7" t="s">
        <v>57</v>
      </c>
      <c r="C55" s="7">
        <v>7</v>
      </c>
      <c r="D55" s="8">
        <f>IFERROR(VLOOKUP($B55,Task!$B$1:$G$61,6,0)," ")</f>
        <v>2.7777777777777779E-3</v>
      </c>
      <c r="E55" s="9">
        <f t="shared" si="0"/>
        <v>1.9444444444444445E-2</v>
      </c>
      <c r="F55" s="10">
        <f t="shared" si="16"/>
        <v>0.46226851851851852</v>
      </c>
      <c r="G55" s="10">
        <v>0.47958333333333331</v>
      </c>
      <c r="H55" s="8">
        <f t="shared" si="1"/>
        <v>1.7314814814814783E-2</v>
      </c>
      <c r="I55" s="11">
        <f t="shared" si="2"/>
        <v>0.48171296296296295</v>
      </c>
      <c r="J55" s="8"/>
      <c r="K55" s="8"/>
      <c r="L55" s="8"/>
      <c r="M55" s="18" t="s">
        <v>58</v>
      </c>
      <c r="N55" s="13">
        <f t="shared" si="3"/>
        <v>1.1229946524064192</v>
      </c>
    </row>
    <row r="56" spans="1:23" ht="14.5">
      <c r="A56" s="6">
        <v>45672</v>
      </c>
      <c r="B56" s="7" t="s">
        <v>20</v>
      </c>
      <c r="C56" s="7">
        <v>11</v>
      </c>
      <c r="D56" s="8">
        <f>IFERROR(VLOOKUP($B56,Task!$B$1:$G$61,6,0)," ")</f>
        <v>2.0833333333333333E-3</v>
      </c>
      <c r="E56" s="9">
        <f t="shared" si="0"/>
        <v>2.2916666666666665E-2</v>
      </c>
      <c r="F56" s="10">
        <f t="shared" si="16"/>
        <v>0.47958333333333331</v>
      </c>
      <c r="G56" s="10">
        <v>0.52836805555555555</v>
      </c>
      <c r="H56" s="8">
        <f t="shared" si="1"/>
        <v>2.0937500000000022E-2</v>
      </c>
      <c r="I56" s="11">
        <f t="shared" si="2"/>
        <v>0.53034722222222219</v>
      </c>
      <c r="J56" s="8"/>
      <c r="K56" s="8"/>
      <c r="L56" s="8">
        <v>2.7847222222222221E-2</v>
      </c>
      <c r="M56" s="18" t="s">
        <v>59</v>
      </c>
      <c r="N56" s="13">
        <f t="shared" si="3"/>
        <v>1.0945273631840784</v>
      </c>
      <c r="P56" s="4"/>
    </row>
    <row r="57" spans="1:23" ht="14.5">
      <c r="A57" s="6">
        <v>45672</v>
      </c>
      <c r="B57" s="7" t="s">
        <v>38</v>
      </c>
      <c r="C57" s="7">
        <v>52</v>
      </c>
      <c r="D57" s="8">
        <f>IFERROR(VLOOKUP($B57,Task!$B$1:$G$61,6,0)," ")</f>
        <v>2.7777777777777779E-3</v>
      </c>
      <c r="E57" s="9">
        <f t="shared" si="0"/>
        <v>0.14444444444444446</v>
      </c>
      <c r="F57" s="10">
        <f t="shared" si="16"/>
        <v>0.52836805555555555</v>
      </c>
      <c r="G57" s="10">
        <v>0.6884837962962963</v>
      </c>
      <c r="H57" s="8">
        <f t="shared" si="1"/>
        <v>0.13026620370370373</v>
      </c>
      <c r="I57" s="11">
        <f t="shared" si="2"/>
        <v>0.70266203703703711</v>
      </c>
      <c r="J57" s="8"/>
      <c r="K57" s="8"/>
      <c r="L57" s="8">
        <v>2.9849537037037036E-2</v>
      </c>
      <c r="M57" s="18" t="s">
        <v>60</v>
      </c>
      <c r="N57" s="13">
        <f t="shared" si="3"/>
        <v>1.1088405153265215</v>
      </c>
      <c r="O57" s="19"/>
      <c r="P57" s="4"/>
    </row>
    <row r="58" spans="1:23" ht="14.5">
      <c r="A58" s="6">
        <v>45672</v>
      </c>
      <c r="B58" s="7" t="s">
        <v>50</v>
      </c>
      <c r="C58" s="7">
        <v>1</v>
      </c>
      <c r="D58" s="8">
        <f>IFERROR(VLOOKUP($B58,Task!$B$1:$G$61,6,0)," ")</f>
        <v>1.0416666666666666E-2</v>
      </c>
      <c r="E58" s="9">
        <f t="shared" si="0"/>
        <v>1.0416666666666666E-2</v>
      </c>
      <c r="F58" s="10">
        <f t="shared" si="16"/>
        <v>0.6884837962962963</v>
      </c>
      <c r="G58" s="10">
        <v>0.69777777777777783</v>
      </c>
      <c r="H58" s="8">
        <f t="shared" si="1"/>
        <v>9.293981481481528E-3</v>
      </c>
      <c r="I58" s="11">
        <f t="shared" si="2"/>
        <v>0.69890046296296293</v>
      </c>
      <c r="J58" s="8"/>
      <c r="K58" s="8"/>
      <c r="L58" s="8"/>
      <c r="M58" s="12"/>
      <c r="N58" s="13">
        <f t="shared" si="3"/>
        <v>1.1207970112079644</v>
      </c>
      <c r="O58" s="19"/>
      <c r="P58" s="4"/>
    </row>
    <row r="59" spans="1:23" ht="14.5">
      <c r="A59" s="6">
        <v>45672</v>
      </c>
      <c r="B59" s="7" t="s">
        <v>51</v>
      </c>
      <c r="C59" s="7">
        <v>1</v>
      </c>
      <c r="D59" s="8">
        <f>IFERROR(VLOOKUP($B59,Task!$B$1:$G$61,6,0)," ")</f>
        <v>1.0416666666666666E-2</v>
      </c>
      <c r="E59" s="9">
        <f t="shared" si="0"/>
        <v>1.0416666666666666E-2</v>
      </c>
      <c r="F59" s="10">
        <f t="shared" si="16"/>
        <v>0.69777777777777783</v>
      </c>
      <c r="G59" s="10">
        <v>0.70712962962962966</v>
      </c>
      <c r="H59" s="8">
        <f t="shared" si="1"/>
        <v>9.3518518518518334E-3</v>
      </c>
      <c r="I59" s="11">
        <f t="shared" si="2"/>
        <v>0.70819444444444446</v>
      </c>
      <c r="J59" s="8"/>
      <c r="K59" s="8"/>
      <c r="L59" s="8"/>
      <c r="M59" s="12"/>
      <c r="N59" s="13">
        <f t="shared" si="3"/>
        <v>1.113861386138616</v>
      </c>
      <c r="O59" s="25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45672</v>
      </c>
      <c r="B60" s="7" t="s">
        <v>52</v>
      </c>
      <c r="C60" s="7">
        <v>1</v>
      </c>
      <c r="D60" s="8">
        <f>IFERROR(VLOOKUP($B60,Task!$B$1:$G$61,6,0)," ")</f>
        <v>1.0416666666666666E-2</v>
      </c>
      <c r="E60" s="9">
        <f t="shared" si="0"/>
        <v>1.0416666666666666E-2</v>
      </c>
      <c r="F60" s="10">
        <f t="shared" si="16"/>
        <v>0.70712962962962966</v>
      </c>
      <c r="G60" s="10">
        <v>0.71658564814814818</v>
      </c>
      <c r="H60" s="8">
        <f t="shared" si="1"/>
        <v>9.4560185185185164E-3</v>
      </c>
      <c r="I60" s="11">
        <f t="shared" si="2"/>
        <v>0.71754629629629629</v>
      </c>
      <c r="J60" s="8"/>
      <c r="K60" s="8"/>
      <c r="L60" s="8"/>
      <c r="M60" s="12"/>
      <c r="N60" s="13">
        <f t="shared" si="3"/>
        <v>1.101591187270502</v>
      </c>
      <c r="O60" s="4"/>
      <c r="Q60" s="4"/>
    </row>
    <row r="61" spans="1:23" ht="14.5">
      <c r="A61" s="6">
        <v>45672</v>
      </c>
      <c r="B61" s="7" t="s">
        <v>53</v>
      </c>
      <c r="C61" s="7">
        <v>1</v>
      </c>
      <c r="D61" s="8">
        <f>IFERROR(VLOOKUP($B61,Task!$B$1:$G$61,6,0)," ")</f>
        <v>1.0416666666666666E-2</v>
      </c>
      <c r="E61" s="9">
        <f t="shared" si="0"/>
        <v>1.0416666666666666E-2</v>
      </c>
      <c r="F61" s="10">
        <f t="shared" si="16"/>
        <v>0.71658564814814818</v>
      </c>
      <c r="G61" s="10">
        <v>0.72598379629629628</v>
      </c>
      <c r="H61" s="8">
        <f t="shared" si="1"/>
        <v>9.3981481481481E-3</v>
      </c>
      <c r="I61" s="11">
        <f t="shared" si="2"/>
        <v>0.72700231481481481</v>
      </c>
      <c r="J61" s="8"/>
      <c r="K61" s="8"/>
      <c r="L61" s="8"/>
      <c r="M61" s="12"/>
      <c r="N61" s="13">
        <f t="shared" si="3"/>
        <v>1.1083743842364588</v>
      </c>
      <c r="O61" s="19"/>
      <c r="Q61" s="4"/>
    </row>
    <row r="62" spans="1:23" ht="14.5">
      <c r="A62" s="6">
        <v>45672</v>
      </c>
      <c r="B62" s="7" t="s">
        <v>20</v>
      </c>
      <c r="C62" s="7">
        <v>18</v>
      </c>
      <c r="D62" s="8">
        <f>IFERROR(VLOOKUP($B62,Task!$B$1:$G$61,6,0)," ")</f>
        <v>2.0833333333333333E-3</v>
      </c>
      <c r="E62" s="9">
        <f t="shared" si="0"/>
        <v>3.7499999999999999E-2</v>
      </c>
      <c r="F62" s="10">
        <f t="shared" si="16"/>
        <v>0.72598379629629628</v>
      </c>
      <c r="G62" s="10">
        <v>0.76041666666666663</v>
      </c>
      <c r="H62" s="8">
        <f t="shared" si="1"/>
        <v>3.443287037037035E-2</v>
      </c>
      <c r="I62" s="11">
        <f t="shared" si="2"/>
        <v>0.76348379629629626</v>
      </c>
      <c r="J62" s="8"/>
      <c r="K62" s="8"/>
      <c r="L62" s="8"/>
      <c r="M62" s="18" t="s">
        <v>61</v>
      </c>
      <c r="N62" s="13">
        <f t="shared" si="3"/>
        <v>1.0890756302521014</v>
      </c>
      <c r="O62" s="19"/>
    </row>
    <row r="63" spans="1:23" ht="14.5">
      <c r="A63" s="6">
        <v>45673</v>
      </c>
      <c r="B63" s="7" t="s">
        <v>43</v>
      </c>
      <c r="C63" s="7">
        <v>1</v>
      </c>
      <c r="D63" s="8">
        <f>IFERROR(VLOOKUP($B63,Task!$B$1:$G$61,6,0)," ")</f>
        <v>3.4722222222222224E-2</v>
      </c>
      <c r="E63" s="9">
        <f t="shared" si="0"/>
        <v>3.4722222222222224E-2</v>
      </c>
      <c r="F63" s="10">
        <v>0.36460648148148156</v>
      </c>
      <c r="G63" s="10">
        <v>0.3964699074074074</v>
      </c>
      <c r="H63" s="8">
        <f t="shared" si="1"/>
        <v>3.1863425925925837E-2</v>
      </c>
      <c r="I63" s="11">
        <f t="shared" si="2"/>
        <v>0.39932870370370377</v>
      </c>
      <c r="J63" s="8"/>
      <c r="K63" s="8"/>
      <c r="L63" s="8"/>
      <c r="M63" s="12"/>
      <c r="N63" s="13">
        <f t="shared" si="3"/>
        <v>1.0897203051216886</v>
      </c>
    </row>
    <row r="64" spans="1:23" ht="14.5">
      <c r="A64" s="6">
        <v>45673</v>
      </c>
      <c r="B64" s="7" t="s">
        <v>42</v>
      </c>
      <c r="C64" s="7">
        <v>1</v>
      </c>
      <c r="D64" s="8">
        <f>IFERROR(VLOOKUP($B64,Task!$B$1:$G$61,6,0)," ")</f>
        <v>6.9444444444444441E-3</v>
      </c>
      <c r="E64" s="9">
        <f t="shared" si="0"/>
        <v>6.9444444444444441E-3</v>
      </c>
      <c r="F64" s="10">
        <f t="shared" ref="F64:F71" si="17">G63</f>
        <v>0.3964699074074074</v>
      </c>
      <c r="G64" s="10">
        <v>0.40283564814814821</v>
      </c>
      <c r="H64" s="8">
        <f t="shared" si="1"/>
        <v>6.3657407407408106E-3</v>
      </c>
      <c r="I64" s="11">
        <f t="shared" si="2"/>
        <v>0.40341435185185182</v>
      </c>
      <c r="J64" s="8"/>
      <c r="K64" s="8"/>
      <c r="L64" s="8"/>
      <c r="M64" s="12"/>
      <c r="N64" s="13">
        <f t="shared" si="3"/>
        <v>1.0909090909090788</v>
      </c>
      <c r="O64" s="4"/>
    </row>
    <row r="65" spans="1:15" ht="14.5">
      <c r="A65" s="6">
        <v>45673</v>
      </c>
      <c r="B65" s="7" t="s">
        <v>18</v>
      </c>
      <c r="C65" s="7">
        <v>2</v>
      </c>
      <c r="D65" s="8">
        <f>IFERROR(VLOOKUP($B65,Task!$B$1:$G$61,6,0)," ")</f>
        <v>4.8611111111111112E-2</v>
      </c>
      <c r="E65" s="9">
        <f t="shared" si="0"/>
        <v>9.7222222222222224E-2</v>
      </c>
      <c r="F65" s="10">
        <f t="shared" si="17"/>
        <v>0.40283564814814821</v>
      </c>
      <c r="G65" s="10">
        <v>0.5125925925925926</v>
      </c>
      <c r="H65" s="8">
        <f t="shared" si="1"/>
        <v>9.0115740740740691E-2</v>
      </c>
      <c r="I65" s="11">
        <f t="shared" si="2"/>
        <v>0.51969907407407412</v>
      </c>
      <c r="J65" s="8"/>
      <c r="K65" s="8"/>
      <c r="L65" s="8">
        <v>1.9641203703703702E-2</v>
      </c>
      <c r="M65" s="12"/>
      <c r="N65" s="13">
        <f t="shared" si="3"/>
        <v>1.0788594913948117</v>
      </c>
      <c r="O65" s="19"/>
    </row>
    <row r="66" spans="1:15" ht="14.5">
      <c r="A66" s="6">
        <v>45673</v>
      </c>
      <c r="B66" s="7" t="s">
        <v>38</v>
      </c>
      <c r="C66" s="7">
        <v>42</v>
      </c>
      <c r="D66" s="8">
        <f>IFERROR(VLOOKUP($B66,Task!$B$1:$G$61,6,0)," ")</f>
        <v>2.7777777777777779E-3</v>
      </c>
      <c r="E66" s="9">
        <f t="shared" si="0"/>
        <v>0.11666666666666667</v>
      </c>
      <c r="F66" s="10">
        <f t="shared" si="17"/>
        <v>0.5125925925925926</v>
      </c>
      <c r="G66" s="10">
        <v>0.65473379629629624</v>
      </c>
      <c r="H66" s="8">
        <f t="shared" si="1"/>
        <v>0.10476851851851846</v>
      </c>
      <c r="I66" s="11">
        <f t="shared" si="2"/>
        <v>0.66663194444444451</v>
      </c>
      <c r="J66" s="8"/>
      <c r="K66" s="8"/>
      <c r="L66" s="8">
        <v>3.7372685185185182E-2</v>
      </c>
      <c r="M66" s="12"/>
      <c r="N66" s="13">
        <f t="shared" si="3"/>
        <v>1.1135660627485646</v>
      </c>
      <c r="O66" s="19"/>
    </row>
    <row r="67" spans="1:15" ht="14.5">
      <c r="A67" s="6">
        <v>45673</v>
      </c>
      <c r="B67" s="7" t="s">
        <v>50</v>
      </c>
      <c r="C67" s="7">
        <v>1</v>
      </c>
      <c r="D67" s="8">
        <f>IFERROR(VLOOKUP($B67,Task!$B$1:$G$61,6,0)," ")</f>
        <v>1.0416666666666666E-2</v>
      </c>
      <c r="E67" s="9">
        <f t="shared" si="0"/>
        <v>1.0416666666666666E-2</v>
      </c>
      <c r="F67" s="10">
        <f t="shared" si="17"/>
        <v>0.65473379629629624</v>
      </c>
      <c r="G67" s="10">
        <v>0.66417824074074072</v>
      </c>
      <c r="H67" s="8">
        <f t="shared" si="1"/>
        <v>9.4444444444444775E-3</v>
      </c>
      <c r="I67" s="11">
        <f t="shared" si="2"/>
        <v>0.66515046296296287</v>
      </c>
      <c r="J67" s="8"/>
      <c r="K67" s="8"/>
      <c r="L67" s="8"/>
      <c r="M67" s="12"/>
      <c r="N67" s="13">
        <f t="shared" si="3"/>
        <v>1.1029411764705843</v>
      </c>
      <c r="O67" s="19"/>
    </row>
    <row r="68" spans="1:15" ht="14.5">
      <c r="A68" s="6">
        <v>45673</v>
      </c>
      <c r="B68" s="7" t="s">
        <v>51</v>
      </c>
      <c r="C68" s="7">
        <v>1</v>
      </c>
      <c r="D68" s="8">
        <f>IFERROR(VLOOKUP($B68,Task!$B$1:$G$61,6,0)," ")</f>
        <v>1.0416666666666666E-2</v>
      </c>
      <c r="E68" s="9">
        <f t="shared" si="0"/>
        <v>1.0416666666666666E-2</v>
      </c>
      <c r="F68" s="10">
        <f t="shared" si="17"/>
        <v>0.66417824074074072</v>
      </c>
      <c r="G68" s="10">
        <v>0.67344907407407406</v>
      </c>
      <c r="H68" s="8">
        <f t="shared" si="1"/>
        <v>9.2708333333333393E-3</v>
      </c>
      <c r="I68" s="11">
        <f t="shared" si="2"/>
        <v>0.67459490740740735</v>
      </c>
      <c r="J68" s="8"/>
      <c r="K68" s="8"/>
      <c r="L68" s="8"/>
      <c r="M68" s="12"/>
      <c r="N68" s="13">
        <f t="shared" si="3"/>
        <v>1.1235955056179767</v>
      </c>
      <c r="O68" s="19"/>
    </row>
    <row r="69" spans="1:15" ht="14.5">
      <c r="A69" s="6">
        <v>45673</v>
      </c>
      <c r="B69" s="7" t="s">
        <v>52</v>
      </c>
      <c r="C69" s="7">
        <v>1</v>
      </c>
      <c r="D69" s="8">
        <f>IFERROR(VLOOKUP($B69,Task!$B$1:$G$61,6,0)," ")</f>
        <v>1.0416666666666666E-2</v>
      </c>
      <c r="E69" s="9">
        <f t="shared" si="0"/>
        <v>1.0416666666666666E-2</v>
      </c>
      <c r="F69" s="10">
        <f t="shared" si="17"/>
        <v>0.67344907407407406</v>
      </c>
      <c r="G69" s="10">
        <v>0.68289351851851854</v>
      </c>
      <c r="H69" s="8">
        <f t="shared" si="1"/>
        <v>9.4444444444444775E-3</v>
      </c>
      <c r="I69" s="11">
        <f t="shared" si="2"/>
        <v>0.68386574074074069</v>
      </c>
      <c r="J69" s="8"/>
      <c r="K69" s="8"/>
      <c r="L69" s="8"/>
      <c r="M69" s="12"/>
      <c r="N69" s="13">
        <f t="shared" si="3"/>
        <v>1.1029411764705843</v>
      </c>
      <c r="O69" s="19"/>
    </row>
    <row r="70" spans="1:15" ht="14.5">
      <c r="A70" s="6">
        <v>45673</v>
      </c>
      <c r="B70" s="7" t="s">
        <v>53</v>
      </c>
      <c r="C70" s="7">
        <v>1</v>
      </c>
      <c r="D70" s="8">
        <f>IFERROR(VLOOKUP($B70,Task!$B$1:$G$61,6,0)," ")</f>
        <v>1.0416666666666666E-2</v>
      </c>
      <c r="E70" s="9">
        <f t="shared" si="0"/>
        <v>1.0416666666666666E-2</v>
      </c>
      <c r="F70" s="10">
        <f t="shared" si="17"/>
        <v>0.68289351851851854</v>
      </c>
      <c r="G70" s="10">
        <v>0.69222222222222218</v>
      </c>
      <c r="H70" s="8">
        <f t="shared" si="1"/>
        <v>9.3287037037036447E-3</v>
      </c>
      <c r="I70" s="11">
        <f t="shared" si="2"/>
        <v>0.69331018518518517</v>
      </c>
      <c r="J70" s="8"/>
      <c r="K70" s="8"/>
      <c r="L70" s="8"/>
      <c r="M70" s="12"/>
      <c r="N70" s="13">
        <f t="shared" si="3"/>
        <v>1.1166253101737043</v>
      </c>
      <c r="O70" s="19"/>
    </row>
    <row r="71" spans="1:15" ht="14.5">
      <c r="A71" s="6">
        <v>45673</v>
      </c>
      <c r="B71" s="7" t="s">
        <v>38</v>
      </c>
      <c r="C71" s="7">
        <v>23</v>
      </c>
      <c r="D71" s="8">
        <f>IFERROR(VLOOKUP($B71,Task!$B$1:$G$61,6,0)," ")</f>
        <v>2.7777777777777779E-3</v>
      </c>
      <c r="E71" s="9">
        <f t="shared" si="0"/>
        <v>6.3888888888888898E-2</v>
      </c>
      <c r="F71" s="10">
        <f t="shared" si="17"/>
        <v>0.69222222222222218</v>
      </c>
      <c r="G71" s="10">
        <v>0.75</v>
      </c>
      <c r="H71" s="8">
        <f t="shared" si="1"/>
        <v>5.7777777777777817E-2</v>
      </c>
      <c r="I71" s="11">
        <f t="shared" si="2"/>
        <v>0.75611111111111107</v>
      </c>
      <c r="J71" s="8"/>
      <c r="K71" s="8"/>
      <c r="L71" s="8"/>
      <c r="M71" s="12"/>
      <c r="N71" s="13">
        <f t="shared" si="3"/>
        <v>1.1057692307692302</v>
      </c>
      <c r="O71" s="4"/>
    </row>
    <row r="72" spans="1:15" ht="14.5">
      <c r="A72" s="6">
        <v>45674</v>
      </c>
      <c r="B72" s="7" t="s">
        <v>18</v>
      </c>
      <c r="C72" s="7">
        <v>1</v>
      </c>
      <c r="D72" s="8">
        <f>IFERROR(VLOOKUP($B72,Task!$B$1:$G$61,6,0)," ")</f>
        <v>4.8611111111111112E-2</v>
      </c>
      <c r="E72" s="9">
        <f t="shared" si="0"/>
        <v>4.8611111111111112E-2</v>
      </c>
      <c r="F72" s="10">
        <v>0.33193287037037045</v>
      </c>
      <c r="G72" s="10">
        <v>0.39949133101617917</v>
      </c>
      <c r="H72" s="8">
        <f t="shared" si="1"/>
        <v>4.3438090275438351E-2</v>
      </c>
      <c r="I72" s="11">
        <f t="shared" si="2"/>
        <v>0.4046643518518519</v>
      </c>
      <c r="J72" s="8"/>
      <c r="K72" s="8"/>
      <c r="L72" s="8">
        <v>2.4120370370370372E-2</v>
      </c>
      <c r="M72" s="12"/>
      <c r="N72" s="13">
        <f t="shared" si="3"/>
        <v>1.1190895088359305</v>
      </c>
      <c r="O72" s="19"/>
    </row>
    <row r="73" spans="1:15" ht="14.5">
      <c r="A73" s="6">
        <v>45674</v>
      </c>
      <c r="B73" s="7" t="s">
        <v>38</v>
      </c>
      <c r="C73" s="7">
        <v>63</v>
      </c>
      <c r="D73" s="8">
        <f>IFERROR(VLOOKUP($B73,Task!$B$1:$G$61,6,0)," ")</f>
        <v>2.7777777777777779E-3</v>
      </c>
      <c r="E73" s="9">
        <f t="shared" si="0"/>
        <v>0.17500000000000002</v>
      </c>
      <c r="F73" s="10">
        <f t="shared" ref="F73:F74" si="18">G72</f>
        <v>0.39949133101617917</v>
      </c>
      <c r="G73" s="10">
        <v>0.60040509259259256</v>
      </c>
      <c r="H73" s="8">
        <f t="shared" si="1"/>
        <v>0.15824015046530227</v>
      </c>
      <c r="I73" s="11">
        <f t="shared" si="2"/>
        <v>0.61716494212729034</v>
      </c>
      <c r="J73" s="8"/>
      <c r="K73" s="8"/>
      <c r="L73" s="8">
        <v>4.2673611111111114E-2</v>
      </c>
      <c r="M73" s="18" t="s">
        <v>62</v>
      </c>
      <c r="N73" s="13">
        <f t="shared" si="3"/>
        <v>1.1059140141450556</v>
      </c>
      <c r="O73" s="19"/>
    </row>
    <row r="74" spans="1:15" ht="14.5">
      <c r="A74" s="6">
        <v>45674</v>
      </c>
      <c r="B74" s="7" t="s">
        <v>27</v>
      </c>
      <c r="C74" s="7">
        <v>38</v>
      </c>
      <c r="D74" s="8">
        <f>IFERROR(VLOOKUP($B74,Task!$B$1:$G$61,6,0)," ")</f>
        <v>1.3888888888888889E-3</v>
      </c>
      <c r="E74" s="9">
        <f t="shared" si="0"/>
        <v>5.2777777777777778E-2</v>
      </c>
      <c r="F74" s="10">
        <f t="shared" si="18"/>
        <v>0.60040509259259256</v>
      </c>
      <c r="G74" s="10">
        <v>0.71527777777777779</v>
      </c>
      <c r="H74" s="8">
        <f t="shared" si="1"/>
        <v>4.7233796296296343E-2</v>
      </c>
      <c r="I74" s="11">
        <f t="shared" si="2"/>
        <v>0.72082175925925929</v>
      </c>
      <c r="J74" s="8"/>
      <c r="K74" s="8"/>
      <c r="L74" s="8">
        <v>6.7638888888888887E-2</v>
      </c>
      <c r="M74" s="12"/>
      <c r="N74" s="13">
        <f t="shared" si="3"/>
        <v>1.1173731928448898</v>
      </c>
    </row>
    <row r="75" spans="1:15" ht="14.5">
      <c r="A75" s="6">
        <v>45674</v>
      </c>
      <c r="B75" s="7" t="s">
        <v>50</v>
      </c>
      <c r="C75" s="7">
        <v>1</v>
      </c>
      <c r="D75" s="8">
        <f>IFERROR(VLOOKUP($B75,Task!$B$1:$G$61,6,0)," ")</f>
        <v>1.0416666666666666E-2</v>
      </c>
      <c r="E75" s="9">
        <f t="shared" si="0"/>
        <v>1.0416666666666666E-2</v>
      </c>
      <c r="F75" s="10">
        <v>0.66041666666666665</v>
      </c>
      <c r="G75" s="10">
        <v>0.66975694444444445</v>
      </c>
      <c r="H75" s="8">
        <f t="shared" si="1"/>
        <v>9.3402777777777946E-3</v>
      </c>
      <c r="I75" s="11">
        <f t="shared" si="2"/>
        <v>0.67083333333333328</v>
      </c>
      <c r="J75" s="8"/>
      <c r="K75" s="8"/>
      <c r="L75" s="8"/>
      <c r="M75" s="12"/>
      <c r="N75" s="13">
        <f t="shared" si="3"/>
        <v>1.1152416356877304</v>
      </c>
    </row>
    <row r="76" spans="1:15" ht="14.5">
      <c r="A76" s="6">
        <v>45674</v>
      </c>
      <c r="B76" s="7" t="s">
        <v>51</v>
      </c>
      <c r="C76" s="7">
        <v>1</v>
      </c>
      <c r="D76" s="8">
        <f>IFERROR(VLOOKUP($B76,Task!$B$1:$G$61,6,0)," ")</f>
        <v>1.0416666666666666E-2</v>
      </c>
      <c r="E76" s="9">
        <f t="shared" si="0"/>
        <v>1.0416666666666666E-2</v>
      </c>
      <c r="F76" s="10">
        <f t="shared" ref="F76:F78" si="19">G75</f>
        <v>0.66975694444444445</v>
      </c>
      <c r="G76" s="10">
        <v>0.67915509259259255</v>
      </c>
      <c r="H76" s="8">
        <f t="shared" si="1"/>
        <v>9.3981481481481E-3</v>
      </c>
      <c r="I76" s="11">
        <f t="shared" si="2"/>
        <v>0.68017361111111108</v>
      </c>
      <c r="J76" s="8"/>
      <c r="K76" s="8"/>
      <c r="L76" s="8"/>
      <c r="M76" s="12"/>
      <c r="N76" s="13">
        <f t="shared" si="3"/>
        <v>1.1083743842364588</v>
      </c>
      <c r="O76" s="19"/>
    </row>
    <row r="77" spans="1:15" ht="14.5">
      <c r="A77" s="6">
        <v>45674</v>
      </c>
      <c r="B77" s="7" t="s">
        <v>52</v>
      </c>
      <c r="C77" s="7">
        <v>1</v>
      </c>
      <c r="D77" s="8">
        <f>IFERROR(VLOOKUP($B77,Task!$B$1:$G$61,6,0)," ")</f>
        <v>1.0416666666666666E-2</v>
      </c>
      <c r="E77" s="9">
        <f t="shared" si="0"/>
        <v>1.0416666666666666E-2</v>
      </c>
      <c r="F77" s="10">
        <f t="shared" si="19"/>
        <v>0.67915509259259255</v>
      </c>
      <c r="G77" s="10">
        <v>0.68854166666666672</v>
      </c>
      <c r="H77" s="8">
        <f t="shared" si="1"/>
        <v>9.3865740740741721E-3</v>
      </c>
      <c r="I77" s="11">
        <f t="shared" si="2"/>
        <v>0.68957175925925918</v>
      </c>
      <c r="J77" s="8"/>
      <c r="K77" s="8"/>
      <c r="L77" s="8"/>
      <c r="M77" s="12"/>
      <c r="N77" s="13">
        <f t="shared" si="3"/>
        <v>1.1097410604192239</v>
      </c>
      <c r="O77" s="19"/>
    </row>
    <row r="78" spans="1:15" ht="14.5">
      <c r="A78" s="6">
        <v>45674</v>
      </c>
      <c r="B78" s="7" t="s">
        <v>53</v>
      </c>
      <c r="C78" s="7">
        <v>1</v>
      </c>
      <c r="D78" s="8">
        <f>IFERROR(VLOOKUP($B78,Task!$B$1:$G$61,6,0)," ")</f>
        <v>1.0416666666666666E-2</v>
      </c>
      <c r="E78" s="9">
        <f t="shared" si="0"/>
        <v>1.0416666666666666E-2</v>
      </c>
      <c r="F78" s="10">
        <f t="shared" si="19"/>
        <v>0.68854166666666672</v>
      </c>
      <c r="G78" s="10">
        <v>0.69803240740740746</v>
      </c>
      <c r="H78" s="8">
        <f t="shared" si="1"/>
        <v>9.490740740740744E-3</v>
      </c>
      <c r="I78" s="11">
        <f t="shared" si="2"/>
        <v>0.69895833333333335</v>
      </c>
      <c r="J78" s="8"/>
      <c r="K78" s="8"/>
      <c r="L78" s="8"/>
      <c r="M78" s="12"/>
      <c r="N78" s="13">
        <f t="shared" si="3"/>
        <v>1.0975609756097557</v>
      </c>
      <c r="O78" s="19"/>
    </row>
    <row r="79" spans="1:15" ht="14.5">
      <c r="A79" s="6">
        <v>45677</v>
      </c>
      <c r="B79" s="7" t="s">
        <v>43</v>
      </c>
      <c r="C79" s="7">
        <v>1</v>
      </c>
      <c r="D79" s="8">
        <f>IFERROR(VLOOKUP($B79,Task!$B$1:$G$61,6,0)," ")</f>
        <v>3.4722222222222224E-2</v>
      </c>
      <c r="E79" s="9">
        <f t="shared" si="0"/>
        <v>3.4722222222222224E-2</v>
      </c>
      <c r="F79" s="10">
        <v>0.37664351851851852</v>
      </c>
      <c r="G79" s="10">
        <v>0.41333333333333333</v>
      </c>
      <c r="H79" s="8">
        <f t="shared" si="1"/>
        <v>3.6689814814814814E-2</v>
      </c>
      <c r="I79" s="11">
        <f t="shared" si="2"/>
        <v>0.41136574074074073</v>
      </c>
      <c r="J79" s="8"/>
      <c r="K79" s="8"/>
      <c r="L79" s="8"/>
      <c r="M79" s="12"/>
      <c r="N79" s="13">
        <f t="shared" si="3"/>
        <v>0.94637223974763418</v>
      </c>
      <c r="O79" s="4"/>
    </row>
    <row r="80" spans="1:15" ht="14.5">
      <c r="A80" s="6">
        <v>45677</v>
      </c>
      <c r="B80" s="7" t="s">
        <v>42</v>
      </c>
      <c r="C80" s="7">
        <v>1</v>
      </c>
      <c r="D80" s="8">
        <f>IFERROR(VLOOKUP($B80,Task!$B$1:$G$61,6,0)," ")</f>
        <v>6.9444444444444441E-3</v>
      </c>
      <c r="E80" s="9">
        <f t="shared" si="0"/>
        <v>6.9444444444444441E-3</v>
      </c>
      <c r="F80" s="10">
        <f t="shared" ref="F80:F85" si="20">G79</f>
        <v>0.41333333333333333</v>
      </c>
      <c r="G80" s="10">
        <v>0.41973379629629631</v>
      </c>
      <c r="H80" s="8">
        <f t="shared" si="1"/>
        <v>6.4004629629629828E-3</v>
      </c>
      <c r="I80" s="11">
        <f t="shared" si="2"/>
        <v>0.42027777777777775</v>
      </c>
      <c r="J80" s="8"/>
      <c r="K80" s="8"/>
      <c r="L80" s="8"/>
      <c r="M80" s="12"/>
      <c r="N80" s="13">
        <f t="shared" si="3"/>
        <v>1.0849909584086765</v>
      </c>
      <c r="O80" s="19"/>
    </row>
    <row r="81" spans="1:16" ht="14.5">
      <c r="A81" s="6">
        <v>45677</v>
      </c>
      <c r="B81" s="7" t="s">
        <v>18</v>
      </c>
      <c r="C81" s="7">
        <v>1</v>
      </c>
      <c r="D81" s="8">
        <f>IFERROR(VLOOKUP($B81,Task!$B$1:$G$61,6,0)," ")</f>
        <v>4.8611111111111112E-2</v>
      </c>
      <c r="E81" s="9">
        <f t="shared" si="0"/>
        <v>4.8611111111111112E-2</v>
      </c>
      <c r="F81" s="10">
        <f t="shared" si="20"/>
        <v>0.41973379629629631</v>
      </c>
      <c r="G81" s="10">
        <v>0.46247685185185183</v>
      </c>
      <c r="H81" s="8">
        <f t="shared" si="1"/>
        <v>4.274305555555552E-2</v>
      </c>
      <c r="I81" s="11">
        <f t="shared" si="2"/>
        <v>0.46834490740740742</v>
      </c>
      <c r="J81" s="8"/>
      <c r="K81" s="8"/>
      <c r="L81" s="8"/>
      <c r="M81" s="12"/>
      <c r="N81" s="13">
        <f t="shared" si="3"/>
        <v>1.1372867587327387</v>
      </c>
      <c r="O81" s="4"/>
    </row>
    <row r="82" spans="1:16" ht="14.5">
      <c r="A82" s="6">
        <v>45677</v>
      </c>
      <c r="B82" s="7" t="s">
        <v>63</v>
      </c>
      <c r="C82" s="7">
        <v>1</v>
      </c>
      <c r="D82" s="8">
        <f>IFERROR(VLOOKUP($B82,Task!$B$1:$G$61,6,0)," ")</f>
        <v>4.5138888888888888E-2</v>
      </c>
      <c r="E82" s="9">
        <f t="shared" si="0"/>
        <v>4.5138888888888888E-2</v>
      </c>
      <c r="F82" s="10">
        <f t="shared" si="20"/>
        <v>0.46247685185185183</v>
      </c>
      <c r="G82" s="10">
        <v>0.50290509259259264</v>
      </c>
      <c r="H82" s="8">
        <f t="shared" si="1"/>
        <v>4.0428240740740806E-2</v>
      </c>
      <c r="I82" s="11">
        <f t="shared" si="2"/>
        <v>0.50761574074074067</v>
      </c>
      <c r="J82" s="8"/>
      <c r="K82" s="8"/>
      <c r="L82" s="8"/>
      <c r="M82" s="12"/>
      <c r="N82" s="13">
        <f t="shared" si="3"/>
        <v>1.1165187517892909</v>
      </c>
    </row>
    <row r="83" spans="1:16" ht="14.5">
      <c r="A83" s="6">
        <v>45677</v>
      </c>
      <c r="B83" s="7" t="s">
        <v>27</v>
      </c>
      <c r="C83" s="7">
        <v>80</v>
      </c>
      <c r="D83" s="8">
        <f>IFERROR(VLOOKUP($B83,Task!$B$1:$G$61,6,0)," ")</f>
        <v>1.3888888888888889E-3</v>
      </c>
      <c r="E83" s="9">
        <f t="shared" si="0"/>
        <v>0.11111111111111112</v>
      </c>
      <c r="F83" s="10">
        <f t="shared" si="20"/>
        <v>0.50290509259259264</v>
      </c>
      <c r="G83" s="10">
        <v>0.6045949074074074</v>
      </c>
      <c r="H83" s="8">
        <f t="shared" si="1"/>
        <v>8.7557870370370314E-2</v>
      </c>
      <c r="I83" s="11">
        <f t="shared" si="2"/>
        <v>0.62814814814814823</v>
      </c>
      <c r="J83" s="8"/>
      <c r="K83" s="8"/>
      <c r="L83" s="8">
        <v>1.4131944444444445E-2</v>
      </c>
      <c r="M83" s="18" t="s">
        <v>64</v>
      </c>
      <c r="N83" s="13">
        <f t="shared" si="3"/>
        <v>1.269001982815599</v>
      </c>
      <c r="O83" s="19"/>
    </row>
    <row r="84" spans="1:16" ht="14.5">
      <c r="A84" s="6">
        <v>45677</v>
      </c>
      <c r="B84" s="7" t="s">
        <v>27</v>
      </c>
      <c r="C84" s="7">
        <v>45</v>
      </c>
      <c r="D84" s="8">
        <f>IFERROR(VLOOKUP($B84,Task!$B$1:$G$61,6,0)," ")</f>
        <v>1.3888888888888889E-3</v>
      </c>
      <c r="E84" s="9">
        <f t="shared" si="0"/>
        <v>6.25E-2</v>
      </c>
      <c r="F84" s="10">
        <f t="shared" si="20"/>
        <v>0.6045949074074074</v>
      </c>
      <c r="G84" s="10">
        <v>0.7194328703703704</v>
      </c>
      <c r="H84" s="8">
        <f t="shared" si="1"/>
        <v>6.9537037037037078E-2</v>
      </c>
      <c r="I84" s="11">
        <f t="shared" si="2"/>
        <v>0.71239583333333334</v>
      </c>
      <c r="J84" s="8"/>
      <c r="K84" s="8"/>
      <c r="L84" s="8">
        <v>4.5300925925925925E-2</v>
      </c>
      <c r="M84" s="12"/>
      <c r="N84" s="13">
        <f t="shared" si="3"/>
        <v>0.89880159786950675</v>
      </c>
      <c r="O84" s="19"/>
    </row>
    <row r="85" spans="1:16" ht="14.5">
      <c r="A85" s="6">
        <v>45677</v>
      </c>
      <c r="B85" s="7" t="s">
        <v>27</v>
      </c>
      <c r="C85" s="7">
        <v>30</v>
      </c>
      <c r="D85" s="8">
        <f>IFERROR(VLOOKUP($B85,Task!$B$1:$G$61,6,0)," ")</f>
        <v>1.3888888888888889E-3</v>
      </c>
      <c r="E85" s="9">
        <f t="shared" si="0"/>
        <v>4.1666666666666671E-2</v>
      </c>
      <c r="F85" s="10">
        <f t="shared" si="20"/>
        <v>0.7194328703703704</v>
      </c>
      <c r="G85" s="10">
        <v>0.75694444444444442</v>
      </c>
      <c r="H85" s="8">
        <f t="shared" si="1"/>
        <v>3.7511574074074017E-2</v>
      </c>
      <c r="I85" s="11">
        <f t="shared" si="2"/>
        <v>0.76109953703703703</v>
      </c>
      <c r="J85" s="8"/>
      <c r="K85" s="8"/>
      <c r="L85" s="8"/>
      <c r="M85" s="12"/>
      <c r="N85" s="13">
        <f t="shared" si="3"/>
        <v>1.1107682813946331</v>
      </c>
      <c r="O85" s="4"/>
    </row>
    <row r="86" spans="1:16" ht="14.5">
      <c r="A86" s="6">
        <v>45678</v>
      </c>
      <c r="B86" s="7" t="s">
        <v>20</v>
      </c>
      <c r="C86" s="7">
        <v>9</v>
      </c>
      <c r="D86" s="8">
        <f>IFERROR(VLOOKUP($B86,Task!$B$1:$G$61,6,0)," ")</f>
        <v>2.0833333333333333E-3</v>
      </c>
      <c r="E86" s="9">
        <f t="shared" si="0"/>
        <v>1.8749999999999999E-2</v>
      </c>
      <c r="F86" s="10">
        <v>0.3759837962962963</v>
      </c>
      <c r="G86" s="10">
        <v>0.39314814814814814</v>
      </c>
      <c r="H86" s="8">
        <f t="shared" si="1"/>
        <v>1.7164351851851833E-2</v>
      </c>
      <c r="I86" s="11">
        <f t="shared" si="2"/>
        <v>0.39473379629629629</v>
      </c>
      <c r="J86" s="8"/>
      <c r="K86" s="8"/>
      <c r="L86" s="8"/>
      <c r="M86" s="12"/>
      <c r="N86" s="13">
        <f t="shared" si="3"/>
        <v>1.0923803101820646</v>
      </c>
      <c r="O86" s="4"/>
    </row>
    <row r="87" spans="1:16" ht="14.5">
      <c r="A87" s="6">
        <v>45678</v>
      </c>
      <c r="B87" s="7" t="s">
        <v>16</v>
      </c>
      <c r="C87" s="7">
        <v>43</v>
      </c>
      <c r="D87" s="8">
        <f>IFERROR(VLOOKUP($B87,Task!$B$1:$G$61,6,0)," ")</f>
        <v>5.5555555555555558E-3</v>
      </c>
      <c r="E87" s="9">
        <f t="shared" si="0"/>
        <v>0.2388888888888889</v>
      </c>
      <c r="F87" s="10">
        <f>G86</f>
        <v>0.39314814814814814</v>
      </c>
      <c r="G87" s="10">
        <v>0.7299768518518519</v>
      </c>
      <c r="H87" s="8">
        <f t="shared" si="1"/>
        <v>0.23290509259259268</v>
      </c>
      <c r="I87" s="11">
        <f t="shared" si="2"/>
        <v>0.73596064814814821</v>
      </c>
      <c r="J87" s="8"/>
      <c r="K87" s="8"/>
      <c r="L87" s="8">
        <v>0.10392361111111111</v>
      </c>
      <c r="M87" s="12"/>
      <c r="N87" s="13">
        <f t="shared" si="3"/>
        <v>1.0256919942354517</v>
      </c>
      <c r="O87" s="4"/>
    </row>
    <row r="88" spans="1:16" ht="14.5">
      <c r="A88" s="6">
        <v>45678</v>
      </c>
      <c r="B88" s="7" t="s">
        <v>65</v>
      </c>
      <c r="C88" s="7">
        <v>1</v>
      </c>
      <c r="D88" s="8">
        <f>IFERROR(VLOOKUP($B88,Task!$B$1:$G$61,6,0)," ")</f>
        <v>2.0833333333333332E-2</v>
      </c>
      <c r="E88" s="9">
        <f t="shared" si="0"/>
        <v>2.0833333333333332E-2</v>
      </c>
      <c r="F88" s="10">
        <v>0.57103009259259263</v>
      </c>
      <c r="G88" s="10">
        <v>0.59</v>
      </c>
      <c r="H88" s="8">
        <f t="shared" si="1"/>
        <v>1.8969907407407338E-2</v>
      </c>
      <c r="I88" s="11">
        <f t="shared" si="2"/>
        <v>0.591863425925926</v>
      </c>
      <c r="J88" s="8"/>
      <c r="K88" s="8"/>
      <c r="L88" s="8"/>
      <c r="M88" s="12"/>
      <c r="N88" s="13">
        <f t="shared" si="3"/>
        <v>1.0982306284319747</v>
      </c>
      <c r="O88" s="19"/>
    </row>
    <row r="89" spans="1:16" ht="14.5">
      <c r="A89" s="6">
        <v>45678</v>
      </c>
      <c r="B89" s="7" t="s">
        <v>20</v>
      </c>
      <c r="C89" s="7">
        <v>5</v>
      </c>
      <c r="D89" s="8">
        <f>IFERROR(VLOOKUP($B89,Task!$B$1:$G$61,6,0)," ")</f>
        <v>2.0833333333333333E-3</v>
      </c>
      <c r="E89" s="9">
        <f t="shared" si="0"/>
        <v>1.0416666666666666E-2</v>
      </c>
      <c r="F89" s="10">
        <f>G88</f>
        <v>0.59</v>
      </c>
      <c r="G89" s="10">
        <v>0.59943287037037041</v>
      </c>
      <c r="H89" s="8">
        <f t="shared" si="1"/>
        <v>9.4328703703704386E-3</v>
      </c>
      <c r="I89" s="11">
        <f t="shared" si="2"/>
        <v>0.6004166666666666</v>
      </c>
      <c r="J89" s="8"/>
      <c r="K89" s="8"/>
      <c r="L89" s="8"/>
      <c r="M89" s="12"/>
      <c r="N89" s="13">
        <f t="shared" si="3"/>
        <v>1.1042944785275992</v>
      </c>
      <c r="O89" s="19"/>
      <c r="P89" s="4"/>
    </row>
    <row r="90" spans="1:16" ht="14.5">
      <c r="A90" s="6">
        <v>45678</v>
      </c>
      <c r="B90" s="7" t="s">
        <v>38</v>
      </c>
      <c r="C90" s="7">
        <v>9</v>
      </c>
      <c r="D90" s="8">
        <f>IFERROR(VLOOKUP($B90,Task!$B$1:$G$61,6,0)," ")</f>
        <v>2.7777777777777779E-3</v>
      </c>
      <c r="E90" s="9">
        <f t="shared" si="0"/>
        <v>2.5000000000000001E-2</v>
      </c>
      <c r="F90" s="10">
        <v>0.7299768518518519</v>
      </c>
      <c r="G90" s="10">
        <v>0.75347222222222221</v>
      </c>
      <c r="H90" s="8">
        <f t="shared" si="1"/>
        <v>2.3495370370370305E-2</v>
      </c>
      <c r="I90" s="11">
        <f t="shared" si="2"/>
        <v>0.75497685185185193</v>
      </c>
      <c r="J90" s="8"/>
      <c r="K90" s="8"/>
      <c r="L90" s="8"/>
      <c r="M90" s="12"/>
      <c r="N90" s="13">
        <f t="shared" si="3"/>
        <v>1.064039408866998</v>
      </c>
      <c r="O90" s="19"/>
    </row>
    <row r="91" spans="1:16" ht="14.5">
      <c r="A91" s="6">
        <v>45679</v>
      </c>
      <c r="B91" s="7" t="s">
        <v>18</v>
      </c>
      <c r="C91" s="7">
        <v>1</v>
      </c>
      <c r="D91" s="8">
        <f>IFERROR(VLOOKUP($B91,Task!$B$1:$G$61,6,0)," ")</f>
        <v>4.8611111111111112E-2</v>
      </c>
      <c r="E91" s="9">
        <f t="shared" si="0"/>
        <v>4.8611111111111112E-2</v>
      </c>
      <c r="F91" s="10">
        <v>0.34901620370370379</v>
      </c>
      <c r="G91" s="10">
        <v>0.40120370370370373</v>
      </c>
      <c r="H91" s="8">
        <f t="shared" si="1"/>
        <v>4.3912037037036979E-2</v>
      </c>
      <c r="I91" s="11">
        <f t="shared" si="2"/>
        <v>0.40590277777777783</v>
      </c>
      <c r="J91" s="8"/>
      <c r="K91" s="8"/>
      <c r="L91" s="8">
        <v>8.2754629629629636E-3</v>
      </c>
      <c r="M91" s="12"/>
      <c r="N91" s="13">
        <f t="shared" si="3"/>
        <v>1.1070110701107025</v>
      </c>
      <c r="O91" s="19"/>
    </row>
    <row r="92" spans="1:16" ht="14.5">
      <c r="A92" s="6">
        <v>45679</v>
      </c>
      <c r="B92" s="7" t="s">
        <v>28</v>
      </c>
      <c r="C92" s="7">
        <v>108</v>
      </c>
      <c r="D92" s="8">
        <f>IFERROR(VLOOKUP($B92,Task!$B$1:$G$61,6,0)," ")</f>
        <v>1.3888888888888889E-3</v>
      </c>
      <c r="E92" s="9">
        <f t="shared" si="0"/>
        <v>0.15</v>
      </c>
      <c r="F92" s="10">
        <f t="shared" ref="F92:F95" si="21">G91</f>
        <v>0.40120370370370373</v>
      </c>
      <c r="G92" s="10">
        <v>0.5516550925925926</v>
      </c>
      <c r="H92" s="8">
        <f t="shared" si="1"/>
        <v>0.14074074074074072</v>
      </c>
      <c r="I92" s="11">
        <f t="shared" si="2"/>
        <v>0.5609143518518519</v>
      </c>
      <c r="J92" s="8"/>
      <c r="K92" s="8"/>
      <c r="L92" s="8">
        <v>9.7106481481481488E-3</v>
      </c>
      <c r="M92" s="18" t="s">
        <v>66</v>
      </c>
      <c r="N92" s="13">
        <f t="shared" si="3"/>
        <v>1.0657894736842106</v>
      </c>
      <c r="O92" s="19"/>
    </row>
    <row r="93" spans="1:16" ht="14.5">
      <c r="A93" s="6">
        <v>45679</v>
      </c>
      <c r="B93" s="7" t="s">
        <v>16</v>
      </c>
      <c r="C93" s="7">
        <v>6</v>
      </c>
      <c r="D93" s="8">
        <f>IFERROR(VLOOKUP($B93,Task!$B$1:$G$61,6,0)," ")</f>
        <v>5.5555555555555558E-3</v>
      </c>
      <c r="E93" s="9">
        <f t="shared" si="0"/>
        <v>3.3333333333333333E-2</v>
      </c>
      <c r="F93" s="10">
        <f t="shared" si="21"/>
        <v>0.5516550925925926</v>
      </c>
      <c r="G93" s="10">
        <v>0.60085648148148152</v>
      </c>
      <c r="H93" s="8">
        <f t="shared" si="1"/>
        <v>3.1527777777777807E-2</v>
      </c>
      <c r="I93" s="11">
        <f t="shared" si="2"/>
        <v>0.60266203703703702</v>
      </c>
      <c r="J93" s="8"/>
      <c r="K93" s="8"/>
      <c r="L93" s="8">
        <v>1.7673611111111112E-2</v>
      </c>
      <c r="M93" s="12"/>
      <c r="N93" s="13">
        <f t="shared" si="3"/>
        <v>1.0572687224669592</v>
      </c>
      <c r="O93" s="19"/>
    </row>
    <row r="94" spans="1:16" ht="14.5">
      <c r="A94" s="6">
        <v>45679</v>
      </c>
      <c r="B94" s="7" t="s">
        <v>20</v>
      </c>
      <c r="C94" s="7">
        <v>26</v>
      </c>
      <c r="D94" s="8">
        <f>IFERROR(VLOOKUP($B94,Task!$B$1:$G$61,6,0)," ")</f>
        <v>2.0833333333333333E-3</v>
      </c>
      <c r="E94" s="9">
        <f t="shared" si="0"/>
        <v>5.4166666666666669E-2</v>
      </c>
      <c r="F94" s="10">
        <f t="shared" si="21"/>
        <v>0.60085648148148152</v>
      </c>
      <c r="G94" s="10">
        <v>0.68090277777777775</v>
      </c>
      <c r="H94" s="8">
        <f t="shared" si="1"/>
        <v>5.0578703703703633E-2</v>
      </c>
      <c r="I94" s="11">
        <f t="shared" si="2"/>
        <v>0.68449074074074079</v>
      </c>
      <c r="J94" s="8"/>
      <c r="K94" s="8"/>
      <c r="L94" s="8">
        <v>2.9467592592592594E-2</v>
      </c>
      <c r="M94" s="12"/>
      <c r="N94" s="13">
        <f t="shared" si="3"/>
        <v>1.0709382151029763</v>
      </c>
    </row>
    <row r="95" spans="1:16" ht="14.5">
      <c r="A95" s="6">
        <v>45679</v>
      </c>
      <c r="B95" s="7" t="s">
        <v>38</v>
      </c>
      <c r="C95" s="7">
        <v>27</v>
      </c>
      <c r="D95" s="8">
        <f>IFERROR(VLOOKUP($B95,Task!$B$1:$G$61,6,0)," ")</f>
        <v>2.7777777777777779E-3</v>
      </c>
      <c r="E95" s="9">
        <f t="shared" si="0"/>
        <v>7.4999999999999997E-2</v>
      </c>
      <c r="F95" s="10">
        <f t="shared" si="21"/>
        <v>0.68090277777777775</v>
      </c>
      <c r="G95" s="10">
        <v>0.75</v>
      </c>
      <c r="H95" s="8">
        <f t="shared" si="1"/>
        <v>6.9097222222222254E-2</v>
      </c>
      <c r="I95" s="11">
        <f t="shared" si="2"/>
        <v>0.7559027777777777</v>
      </c>
      <c r="J95" s="8"/>
      <c r="K95" s="8"/>
      <c r="L95" s="8"/>
      <c r="M95" s="12"/>
      <c r="N95" s="13">
        <f t="shared" si="3"/>
        <v>1.0854271356783913</v>
      </c>
      <c r="O95" s="4"/>
    </row>
    <row r="96" spans="1:16" ht="14.5">
      <c r="A96" s="6">
        <v>45680</v>
      </c>
      <c r="B96" s="7" t="s">
        <v>43</v>
      </c>
      <c r="C96" s="7">
        <v>1</v>
      </c>
      <c r="D96" s="8">
        <f>IFERROR(VLOOKUP($B96,Task!$B$1:$G$61,6,0)," ")</f>
        <v>3.4722222222222224E-2</v>
      </c>
      <c r="E96" s="9">
        <f t="shared" si="0"/>
        <v>3.4722222222222224E-2</v>
      </c>
      <c r="F96" s="10">
        <v>0.37950231481481489</v>
      </c>
      <c r="G96" s="10">
        <v>0.41017361111111111</v>
      </c>
      <c r="H96" s="8">
        <f t="shared" si="1"/>
        <v>3.0671296296296224E-2</v>
      </c>
      <c r="I96" s="11">
        <f t="shared" si="2"/>
        <v>0.4142245370370371</v>
      </c>
      <c r="J96" s="8"/>
      <c r="K96" s="8"/>
      <c r="L96" s="8"/>
      <c r="M96" s="12"/>
      <c r="N96" s="13">
        <f t="shared" si="3"/>
        <v>1.1320754716981158</v>
      </c>
      <c r="O96" s="19"/>
    </row>
    <row r="97" spans="1:17" ht="14.5">
      <c r="A97" s="6">
        <v>45680</v>
      </c>
      <c r="B97" s="7" t="s">
        <v>18</v>
      </c>
      <c r="C97" s="7">
        <v>1</v>
      </c>
      <c r="D97" s="8">
        <f>IFERROR(VLOOKUP($B97,Task!$B$1:$G$61,6,0)," ")</f>
        <v>4.8611111111111112E-2</v>
      </c>
      <c r="E97" s="9">
        <f t="shared" si="0"/>
        <v>4.8611111111111112E-2</v>
      </c>
      <c r="F97" s="10">
        <f>G96</f>
        <v>0.41017361111111111</v>
      </c>
      <c r="G97" s="10">
        <v>0.46106481481481487</v>
      </c>
      <c r="H97" s="8">
        <f t="shared" si="1"/>
        <v>4.4490740740740775E-2</v>
      </c>
      <c r="I97" s="11">
        <f t="shared" si="2"/>
        <v>0.4651851851851852</v>
      </c>
      <c r="J97" s="8"/>
      <c r="K97" s="8"/>
      <c r="L97" s="8">
        <f>H98</f>
        <v>6.4004629629629828E-3</v>
      </c>
      <c r="M97" s="12"/>
      <c r="N97" s="13">
        <f t="shared" si="3"/>
        <v>1.0926118626430792</v>
      </c>
    </row>
    <row r="98" spans="1:17" ht="14.5">
      <c r="A98" s="6">
        <v>45680</v>
      </c>
      <c r="B98" s="7" t="s">
        <v>42</v>
      </c>
      <c r="C98" s="7">
        <v>1</v>
      </c>
      <c r="D98" s="8">
        <f>IFERROR(VLOOKUP($B98,Task!$B$1:$G$61,6,0)," ")</f>
        <v>6.9444444444444441E-3</v>
      </c>
      <c r="E98" s="9">
        <f t="shared" si="0"/>
        <v>6.9444444444444441E-3</v>
      </c>
      <c r="F98" s="10">
        <v>0.41819444444444442</v>
      </c>
      <c r="G98" s="10">
        <v>0.42459490740740741</v>
      </c>
      <c r="H98" s="8">
        <f t="shared" si="1"/>
        <v>6.4004629629629828E-3</v>
      </c>
      <c r="I98" s="11">
        <f t="shared" si="2"/>
        <v>0.42513888888888884</v>
      </c>
      <c r="J98" s="8"/>
      <c r="K98" s="8"/>
      <c r="L98" s="8"/>
      <c r="M98" s="12"/>
      <c r="N98" s="13">
        <f t="shared" si="3"/>
        <v>1.0849909584086765</v>
      </c>
    </row>
    <row r="99" spans="1:17" ht="14.5">
      <c r="A99" s="6">
        <v>45680</v>
      </c>
      <c r="B99" s="7" t="s">
        <v>37</v>
      </c>
      <c r="C99" s="7">
        <v>40</v>
      </c>
      <c r="D99" s="8">
        <f>IFERROR(VLOOKUP($B99,Task!$B$1:$G$61,6,0)," ")</f>
        <v>1.3888888888888889E-3</v>
      </c>
      <c r="E99" s="9">
        <f t="shared" si="0"/>
        <v>5.5555555555555559E-2</v>
      </c>
      <c r="F99" s="10">
        <f>G97</f>
        <v>0.46106481481481487</v>
      </c>
      <c r="G99" s="10">
        <v>0.52099537037037036</v>
      </c>
      <c r="H99" s="8">
        <f t="shared" si="1"/>
        <v>5.0844907407407339E-2</v>
      </c>
      <c r="I99" s="11">
        <f t="shared" si="2"/>
        <v>0.52570601851851861</v>
      </c>
      <c r="J99" s="8"/>
      <c r="K99" s="8"/>
      <c r="L99" s="8">
        <v>9.0856481481481483E-3</v>
      </c>
      <c r="M99" s="12"/>
      <c r="N99" s="13">
        <f t="shared" si="3"/>
        <v>1.0926473935806982</v>
      </c>
      <c r="O99" s="19"/>
      <c r="Q99" s="22">
        <v>-95</v>
      </c>
    </row>
    <row r="100" spans="1:17" ht="14.5">
      <c r="A100" s="6">
        <v>45680</v>
      </c>
      <c r="B100" s="7" t="s">
        <v>28</v>
      </c>
      <c r="C100" s="7">
        <v>24</v>
      </c>
      <c r="D100" s="8">
        <f>IFERROR(VLOOKUP($B100,Task!$B$1:$G$61,6,0)," ")</f>
        <v>1.3888888888888889E-3</v>
      </c>
      <c r="E100" s="9">
        <f t="shared" si="0"/>
        <v>3.3333333333333333E-2</v>
      </c>
      <c r="F100" s="10">
        <f>G99</f>
        <v>0.52099537037037036</v>
      </c>
      <c r="G100" s="10">
        <v>0.57076388888888885</v>
      </c>
      <c r="H100" s="8">
        <f t="shared" si="1"/>
        <v>3.1331018518518494E-2</v>
      </c>
      <c r="I100" s="11">
        <f t="shared" si="2"/>
        <v>0.57276620370370368</v>
      </c>
      <c r="J100" s="8"/>
      <c r="K100" s="8"/>
      <c r="L100" s="8">
        <v>1.8437499999999999E-2</v>
      </c>
      <c r="M100" s="18" t="s">
        <v>66</v>
      </c>
      <c r="N100" s="13">
        <f t="shared" si="3"/>
        <v>1.0639083856667906</v>
      </c>
      <c r="O100" s="19"/>
      <c r="Q100" s="22">
        <v>42</v>
      </c>
    </row>
    <row r="101" spans="1:17" ht="14.5">
      <c r="A101" s="6">
        <v>45680</v>
      </c>
      <c r="B101" s="7" t="s">
        <v>38</v>
      </c>
      <c r="C101" s="7">
        <v>36</v>
      </c>
      <c r="D101" s="8">
        <f>IFERROR(VLOOKUP($B101,Task!$B$1:$G$61,6,0)," ")</f>
        <v>2.7777777777777779E-3</v>
      </c>
      <c r="E101" s="9">
        <f t="shared" si="0"/>
        <v>0.1</v>
      </c>
      <c r="F101" s="10">
        <v>0.66136574074074073</v>
      </c>
      <c r="G101" s="10">
        <v>0.75694444444444442</v>
      </c>
      <c r="H101" s="8">
        <f t="shared" si="1"/>
        <v>9.5578703703703694E-2</v>
      </c>
      <c r="I101" s="11">
        <f t="shared" si="2"/>
        <v>0.7613657407407407</v>
      </c>
      <c r="J101" s="8"/>
      <c r="K101" s="8"/>
      <c r="L101" s="8"/>
      <c r="M101" s="12"/>
      <c r="N101" s="13">
        <f t="shared" si="3"/>
        <v>1.0462581738919836</v>
      </c>
      <c r="O101" s="19"/>
      <c r="Q101" s="22">
        <v>42</v>
      </c>
    </row>
    <row r="102" spans="1:17" ht="14.5">
      <c r="A102" s="6">
        <v>45686</v>
      </c>
      <c r="B102" s="7" t="s">
        <v>43</v>
      </c>
      <c r="C102" s="7">
        <v>1</v>
      </c>
      <c r="D102" s="8">
        <f>IFERROR(VLOOKUP($B102,Task!$B$1:$G$61,6,0)," ")</f>
        <v>3.4722222222222224E-2</v>
      </c>
      <c r="E102" s="9">
        <f t="shared" si="0"/>
        <v>3.4722222222222224E-2</v>
      </c>
      <c r="F102" s="10">
        <v>0.37211805555555555</v>
      </c>
      <c r="G102" s="10">
        <v>0.40552083333333333</v>
      </c>
      <c r="H102" s="8">
        <f t="shared" si="1"/>
        <v>3.1331018518518522E-2</v>
      </c>
      <c r="I102" s="11">
        <f t="shared" si="2"/>
        <v>0.40891203703703705</v>
      </c>
      <c r="J102" s="8"/>
      <c r="K102" s="8"/>
      <c r="L102" s="8">
        <v>2.0717592592592593E-3</v>
      </c>
      <c r="M102" s="12"/>
      <c r="N102" s="13">
        <f t="shared" si="3"/>
        <v>1.1082379017362394</v>
      </c>
    </row>
    <row r="103" spans="1:17" ht="14.5">
      <c r="A103" s="6">
        <v>45686</v>
      </c>
      <c r="B103" s="7" t="s">
        <v>42</v>
      </c>
      <c r="C103" s="7">
        <v>1</v>
      </c>
      <c r="D103" s="8">
        <f>IFERROR(VLOOKUP($B103,Task!$B$1:$G$61,6,0)," ")</f>
        <v>6.9444444444444441E-3</v>
      </c>
      <c r="E103" s="9">
        <f t="shared" si="0"/>
        <v>6.9444444444444441E-3</v>
      </c>
      <c r="F103" s="10">
        <f t="shared" ref="F103:F106" si="22">G102</f>
        <v>0.40552083333333333</v>
      </c>
      <c r="G103" s="10">
        <v>0.4119560185185186</v>
      </c>
      <c r="H103" s="8">
        <f t="shared" si="1"/>
        <v>6.4351851851852659E-3</v>
      </c>
      <c r="I103" s="11">
        <f t="shared" si="2"/>
        <v>0.41246527777777775</v>
      </c>
      <c r="J103" s="8"/>
      <c r="K103" s="8"/>
      <c r="L103" s="8"/>
      <c r="M103" s="12"/>
      <c r="N103" s="13">
        <f t="shared" si="3"/>
        <v>1.0791366906474684</v>
      </c>
      <c r="O103" s="19"/>
    </row>
    <row r="104" spans="1:17" ht="14.5">
      <c r="A104" s="6">
        <v>45686</v>
      </c>
      <c r="B104" s="7" t="s">
        <v>18</v>
      </c>
      <c r="C104" s="7">
        <v>2</v>
      </c>
      <c r="D104" s="8">
        <f>IFERROR(VLOOKUP($B104,Task!$B$1:$G$61,6,0)," ")</f>
        <v>4.8611111111111112E-2</v>
      </c>
      <c r="E104" s="9">
        <f t="shared" si="0"/>
        <v>9.7222222222222224E-2</v>
      </c>
      <c r="F104" s="10">
        <f t="shared" si="22"/>
        <v>0.4119560185185186</v>
      </c>
      <c r="G104" s="10">
        <v>0.50140046296296303</v>
      </c>
      <c r="H104" s="8">
        <f t="shared" si="1"/>
        <v>8.9444444444444438E-2</v>
      </c>
      <c r="I104" s="11">
        <f t="shared" si="2"/>
        <v>0.50917824074074081</v>
      </c>
      <c r="J104" s="8"/>
      <c r="K104" s="8"/>
      <c r="L104" s="8"/>
      <c r="M104" s="12"/>
      <c r="N104" s="13">
        <f t="shared" si="3"/>
        <v>1.0869565217391306</v>
      </c>
    </row>
    <row r="105" spans="1:17" ht="14.5">
      <c r="A105" s="6">
        <v>45686</v>
      </c>
      <c r="B105" s="7" t="s">
        <v>63</v>
      </c>
      <c r="C105" s="7">
        <v>1</v>
      </c>
      <c r="D105" s="8">
        <f>IFERROR(VLOOKUP($B105,Task!$B$1:$G$61,6,0)," ")</f>
        <v>4.5138888888888888E-2</v>
      </c>
      <c r="E105" s="9">
        <f t="shared" si="0"/>
        <v>4.5138888888888888E-2</v>
      </c>
      <c r="F105" s="10">
        <f t="shared" si="22"/>
        <v>0.50140046296296303</v>
      </c>
      <c r="G105" s="10">
        <v>0.60436342592592596</v>
      </c>
      <c r="H105" s="8">
        <f t="shared" si="1"/>
        <v>4.3263888888888852E-2</v>
      </c>
      <c r="I105" s="11">
        <f t="shared" si="2"/>
        <v>0.60623842592592592</v>
      </c>
      <c r="J105" s="8"/>
      <c r="K105" s="8"/>
      <c r="L105" s="8">
        <v>5.9699074074074071E-2</v>
      </c>
      <c r="M105" s="12"/>
      <c r="N105" s="13">
        <f t="shared" si="3"/>
        <v>1.0433386837881229</v>
      </c>
      <c r="O105" s="4"/>
    </row>
    <row r="106" spans="1:17" ht="14.5">
      <c r="A106" s="6">
        <v>45686</v>
      </c>
      <c r="B106" s="7" t="s">
        <v>20</v>
      </c>
      <c r="C106" s="7">
        <v>55</v>
      </c>
      <c r="D106" s="8">
        <f>IFERROR(VLOOKUP($B106,Task!$B$1:$G$61,6,0)," ")</f>
        <v>2.0833333333333333E-3</v>
      </c>
      <c r="E106" s="9">
        <f t="shared" si="0"/>
        <v>0.11458333333333333</v>
      </c>
      <c r="F106" s="10">
        <f t="shared" si="22"/>
        <v>0.60436342592592596</v>
      </c>
      <c r="G106" s="10">
        <v>0.75</v>
      </c>
      <c r="H106" s="8">
        <f t="shared" si="1"/>
        <v>0.10409722222222219</v>
      </c>
      <c r="I106" s="11">
        <f t="shared" si="2"/>
        <v>0.7604861111111112</v>
      </c>
      <c r="J106" s="8"/>
      <c r="K106" s="8"/>
      <c r="L106" s="8">
        <v>4.1539351851851855E-2</v>
      </c>
      <c r="M106" s="12"/>
      <c r="N106" s="13">
        <f t="shared" si="3"/>
        <v>1.1007338225483658</v>
      </c>
      <c r="O106" s="19" t="e">
        <f ca="1">AVERAGEIF(A:A,TODAY(),N:N)</f>
        <v>#DIV/0!</v>
      </c>
    </row>
    <row r="107" spans="1:17" ht="14.5">
      <c r="A107" s="6">
        <v>45687</v>
      </c>
      <c r="B107" s="7" t="s">
        <v>20</v>
      </c>
      <c r="C107" s="7">
        <v>55</v>
      </c>
      <c r="D107" s="8">
        <f>IFERROR(VLOOKUP($B107,Task!$B$1:$G$61,6,0)," ")</f>
        <v>2.0833333333333333E-3</v>
      </c>
      <c r="E107" s="9">
        <f t="shared" si="0"/>
        <v>0.11458333333333333</v>
      </c>
      <c r="F107" s="10">
        <v>0.37625000000000008</v>
      </c>
      <c r="G107" s="10">
        <v>0.4797569444444445</v>
      </c>
      <c r="H107" s="8">
        <f t="shared" si="1"/>
        <v>0.10350694444444442</v>
      </c>
      <c r="I107" s="11">
        <f t="shared" si="2"/>
        <v>0.4908333333333334</v>
      </c>
      <c r="J107" s="8"/>
      <c r="K107" s="8"/>
      <c r="L107" s="8"/>
      <c r="M107" s="12"/>
      <c r="N107" s="13">
        <f t="shared" si="3"/>
        <v>1.1070110701107014</v>
      </c>
    </row>
    <row r="108" spans="1:17" ht="14.5">
      <c r="A108" s="6">
        <v>45687</v>
      </c>
      <c r="B108" s="7" t="s">
        <v>16</v>
      </c>
      <c r="C108" s="7">
        <v>18</v>
      </c>
      <c r="D108" s="8">
        <f>IFERROR(VLOOKUP($B108,Task!$B$1:$G$61,6,0)," ")</f>
        <v>5.5555555555555558E-3</v>
      </c>
      <c r="E108" s="9">
        <f t="shared" si="0"/>
        <v>0.1</v>
      </c>
      <c r="F108" s="10">
        <f t="shared" ref="F108:F109" si="23">G107</f>
        <v>0.4797569444444445</v>
      </c>
      <c r="G108" s="8">
        <v>0.60677083333333337</v>
      </c>
      <c r="H108" s="8">
        <f t="shared" si="1"/>
        <v>9.4386574074074053E-2</v>
      </c>
      <c r="I108" s="11">
        <f t="shared" si="2"/>
        <v>0.61238425925925932</v>
      </c>
      <c r="J108" s="8"/>
      <c r="K108" s="8"/>
      <c r="L108" s="8">
        <v>3.2627314814814817E-2</v>
      </c>
      <c r="M108" s="12"/>
      <c r="N108" s="13">
        <f t="shared" si="3"/>
        <v>1.059472716125077</v>
      </c>
    </row>
    <row r="109" spans="1:17" ht="14.5">
      <c r="A109" s="6">
        <v>45687</v>
      </c>
      <c r="B109" s="7" t="s">
        <v>20</v>
      </c>
      <c r="C109" s="7">
        <v>65</v>
      </c>
      <c r="D109" s="8">
        <f>IFERROR(VLOOKUP($B109,Task!$B$1:$G$61,6,0)," ")</f>
        <v>2.0833333333333333E-3</v>
      </c>
      <c r="E109" s="9">
        <f t="shared" si="0"/>
        <v>0.13541666666666666</v>
      </c>
      <c r="F109" s="10">
        <f t="shared" si="23"/>
        <v>0.60677083333333337</v>
      </c>
      <c r="G109" s="10">
        <v>0.75694444444444442</v>
      </c>
      <c r="H109" s="8">
        <f t="shared" si="1"/>
        <v>0.11535879629629624</v>
      </c>
      <c r="I109" s="11">
        <f t="shared" si="2"/>
        <v>0.77700231481481485</v>
      </c>
      <c r="J109" s="8"/>
      <c r="K109" s="8"/>
      <c r="L109" s="8">
        <v>3.4814814814814812E-2</v>
      </c>
      <c r="M109" s="12"/>
      <c r="N109" s="13">
        <f t="shared" si="3"/>
        <v>1.1738737834855026</v>
      </c>
    </row>
    <row r="110" spans="1:17" ht="14.5">
      <c r="A110" s="6"/>
      <c r="B110" s="7"/>
      <c r="C110" s="7"/>
      <c r="D110" s="8" t="str">
        <f>IFERROR(VLOOKUP($B110,Task!$B$1:$G$61,6,0),"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7" ht="14.5">
      <c r="A111" s="6"/>
      <c r="B111" s="7"/>
      <c r="C111" s="7"/>
      <c r="D111" s="8" t="str">
        <f>IFERROR(VLOOKUP($B111,Task!$B$1:$G$61,6,0),"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7" ht="14.5">
      <c r="A112" s="6"/>
      <c r="B112" s="7"/>
      <c r="C112" s="7"/>
      <c r="D112" s="8" t="str">
        <f>IFERROR(VLOOKUP($B112,Task!$B$1:$G$61,6,0),"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2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IFERROR(VLOOKUP($B113,Task!$B$1:$G$61,6,0),"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IFERROR(VLOOKUP($B114,Task!$B$1:$G$61,6,0),"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IFERROR(VLOOKUP($B115,Task!$B$1:$G$61,6,0),"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2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IFERROR(VLOOKUP($B116,Task!$B$1:$G$61,6,0),"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 t="e">
        <f ca="1">AVERAGEIF(A:A,TODAY(),N:N)</f>
        <v>#DIV/0!</v>
      </c>
    </row>
    <row r="117" spans="1:15" ht="14.5">
      <c r="A117" s="6"/>
      <c r="B117" s="7"/>
      <c r="C117" s="7"/>
      <c r="D117" s="8" t="str">
        <f>IFERROR(VLOOKUP($B117,Task!$B$1:$G$61,6,0),"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IFERROR(VLOOKUP($B118,Task!$B$1:$G$61,6,0),"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IFERROR(VLOOKUP($B119,Task!$B$1:$G$61,6,0),"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IFERROR(VLOOKUP($B120,Task!$B$1:$G$61,6,0),"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IFERROR(VLOOKUP($B121,Task!$B$1:$G$61,6,0),"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IFERROR(VLOOKUP($B122,Task!$B$1:$G$61,6,0),"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IFERROR(VLOOKUP($B123,Task!$B$1:$G$61,6,0),"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IFERROR(VLOOKUP($B124,Task!$B$1:$G$61,6,0),"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IFERROR(VLOOKUP($B125,Task!$B$1:$G$61,6,0),"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IFERROR(VLOOKUP($B126,Task!$B$1:$G$61,6,0),"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IFERROR(VLOOKUP($B127,Task!$B$1:$G$61,6,0),"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IFERROR(VLOOKUP($B128,Task!$B$1:$G$61,6,0),"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IFERROR(VLOOKUP($B129,Task!$B$1:$G$61,6,0),"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IFERROR(VLOOKUP($B130,Task!$B$1:$G$61,6,0),"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IFERROR(VLOOKUP($B131,Task!$B$1:$G$61,6,0),"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IFERROR(VLOOKUP($B132,Task!$B$1:$G$61,6,0),"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IFERROR(VLOOKUP($B133,Task!$B$1:$G$61,6,0),"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IFERROR(VLOOKUP($B134,Task!$B$1:$G$61,6,0),"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IFERROR(VLOOKUP($B135,Task!$B$1:$G$61,6,0),"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IFERROR(VLOOKUP($B136,Task!$B$1:$G$61,6,0),"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IFERROR(VLOOKUP($B137,Task!$B$1:$G$61,6,0),"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IFERROR(VLOOKUP($B138,Task!$B$1:$G$61,6,0),"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IFERROR(VLOOKUP($B139,Task!$B$1:$G$61,6,0),"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IFERROR(VLOOKUP($B140,Task!$B$1:$G$61,6,0),"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IFERROR(VLOOKUP($B141,Task!$B$1:$G$61,6,0),"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IFERROR(VLOOKUP($B142,Task!$B$1:$G$61,6,0),"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IFERROR(VLOOKUP($B143,Task!$B$1:$G$61,6,0),"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IFERROR(VLOOKUP($B144,Task!$B$1:$G$61,6,0),"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IFERROR(VLOOKUP($B145,Task!$B$1:$G$61,6,0),"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IFERROR(VLOOKUP($B146,Task!$B$1:$G$61,6,0),"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IFERROR(VLOOKUP($B147,Task!$B$1:$G$61,6,0),"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IFERROR(VLOOKUP($B148,Task!$B$1:$G$61,6,0),"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IFERROR(VLOOKUP($B149,Task!$B$1:$G$61,6,0),"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IFERROR(VLOOKUP($B150,Task!$B$1:$G$61,6,0),"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IFERROR(VLOOKUP($B151,Task!$B$1:$G$61,6,0),"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IFERROR(VLOOKUP($B152,Task!$B$1:$G$61,6,0),"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IFERROR(VLOOKUP($B153,Task!$B$1:$G$61,6,0),"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IFERROR(VLOOKUP($B154,Task!$B$1:$G$61,6,0),"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IFERROR(VLOOKUP($B155,Task!$B$1:$G$61,6,0),"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IFERROR(VLOOKUP($B156,Task!$B$1:$G$61,6,0),"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IFERROR(VLOOKUP($B157,Task!$B$1:$G$61,6,0),"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IFERROR(VLOOKUP($B158,Task!$B$1:$G$61,6,0),"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IFERROR(VLOOKUP($B159,Task!$B$1:$G$61,6,0),"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IFERROR(VLOOKUP($B160,Task!$B$1:$G$61,6,0),"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IFERROR(VLOOKUP($B161,Task!$B$1:$G$61,6,0),"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IFERROR(VLOOKUP($B162,Task!$B$1:$G$61,6,0),"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IFERROR(VLOOKUP($B163,Task!$B$1:$G$61,6,0),"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IFERROR(VLOOKUP($B164,Task!$B$1:$G$61,6,0),"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IFERROR(VLOOKUP($B165,Task!$B$1:$G$61,6,0),"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IFERROR(VLOOKUP($B166,Task!$B$1:$G$61,6,0),"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IFERROR(VLOOKUP($B167,Task!$B$1:$G$61,6,0),"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IFERROR(VLOOKUP($B168,Task!$B$1:$G$61,6,0),"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IFERROR(VLOOKUP($B169,Task!$B$1:$G$61,6,0),"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IFERROR(VLOOKUP($B170,Task!$B$1:$G$61,6,0),"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IFERROR(VLOOKUP($B171,Task!$B$1:$G$61,6,0),"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IFERROR(VLOOKUP($B172,Task!$B$1:$G$61,6,0),"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IFERROR(VLOOKUP($B173,Task!$B$1:$G$61,6,0),"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IFERROR(VLOOKUP($B174,Task!$B$1:$G$61,6,0),"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IFERROR(VLOOKUP($B175,Task!$B$1:$G$61,6,0),"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IFERROR(VLOOKUP($B176,Task!$B$1:$G$61,6,0),"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IFERROR(VLOOKUP($B177,Task!$B$1:$G$61,6,0),"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IFERROR(VLOOKUP($B178,Task!$B$1:$G$61,6,0),"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IFERROR(VLOOKUP($B179,Task!$B$1:$G$61,6,0),"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IFERROR(VLOOKUP($B180,Task!$B$1:$G$61,6,0),"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IFERROR(VLOOKUP($B181,Task!$B$1:$G$61,6,0),"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IFERROR(VLOOKUP($B182,Task!$B$1:$G$61,6,0),"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IFERROR(VLOOKUP($B183,Task!$B$1:$G$61,6,0),"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IFERROR(VLOOKUP($B184,Task!$B$1:$G$61,6,0),"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IFERROR(VLOOKUP($B185,Task!$B$1:$G$61,6,0),"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IFERROR(VLOOKUP($B186,Task!$B$1:$G$61,6,0),"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IFERROR(VLOOKUP($B187,Task!$B$1:$G$61,6,0),"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IFERROR(VLOOKUP($B188,Task!$B$1:$G$61,6,0),"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IFERROR(VLOOKUP($B189,Task!$B$1:$G$61,6,0),"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IFERROR(VLOOKUP($B190,Task!$B$1:$G$61,6,0),"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IFERROR(VLOOKUP($B191,Task!$B$1:$G$61,6,0),"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IFERROR(VLOOKUP($B192,Task!$B$1:$G$61,6,0),"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IFERROR(VLOOKUP($B193,Task!$B$1:$G$61,6,0),"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IFERROR(VLOOKUP($B194,Task!$B$1:$G$61,6,0),"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IFERROR(VLOOKUP($B195,Task!$B$1:$G$61,6,0),"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IFERROR(VLOOKUP($B196,Task!$B$1:$G$61,6,0),"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IFERROR(VLOOKUP($B197,Task!$B$1:$G$61,6,0),"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IFERROR(VLOOKUP($B198,Task!$B$1:$G$61,6,0),"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IFERROR(VLOOKUP($B199,Task!$B$1:$G$61,6,0),"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IFERROR(VLOOKUP($B200,Task!$B$1:$G$61,6,0),"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IFERROR(VLOOKUP($B201,Task!$B$1:$G$61,6,0),"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IFERROR(VLOOKUP($B202,Task!$B$1:$G$61,6,0),"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IFERROR(VLOOKUP($B203,Task!$B$1:$G$61,6,0),"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IFERROR(VLOOKUP($B204,Task!$B$1:$G$61,6,0),"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IFERROR(VLOOKUP($B205,Task!$B$1:$G$61,6,0),"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IFERROR(VLOOKUP($B206,Task!$B$1:$G$61,6,0),"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/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9" xr:uid="{00000000-0009-0000-0000-000006000000}"/>
  <conditionalFormatting sqref="N2:N206">
    <cfRule type="expression" dxfId="9" priority="1">
      <formula>A2=TODAY()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Task!$B$2:$B$60</xm:f>
          </x14:formula1>
          <xm:sqref>B2:B206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9.90625" customWidth="1"/>
    <col min="2" max="2" width="39.906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8" customWidth="1"/>
    <col min="8" max="8" width="14.72656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8" width="8.08984375" customWidth="1"/>
    <col min="19" max="19" width="8.90625" customWidth="1"/>
    <col min="20" max="20" width="11" customWidth="1"/>
    <col min="21" max="21" width="7.453125" customWidth="1"/>
    <col min="23" max="23" width="13.6328125" customWidth="1"/>
  </cols>
  <sheetData>
    <row r="1" spans="1:2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0.22916666666666666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45628</v>
      </c>
      <c r="B2" s="7" t="s">
        <v>50</v>
      </c>
      <c r="C2" s="7">
        <v>2</v>
      </c>
      <c r="D2" s="8">
        <f>IFERROR(VLOOKUP($B2,Task!$B$1:$G$61,6,0)," ")</f>
        <v>1.0416666666666666E-2</v>
      </c>
      <c r="E2" s="9">
        <f t="shared" ref="E2:E206" si="0">IFERROR(D2*C2," ")</f>
        <v>2.0833333333333332E-2</v>
      </c>
      <c r="F2" s="10">
        <v>0.29155092592592591</v>
      </c>
      <c r="G2" s="10">
        <v>0.31184027777777779</v>
      </c>
      <c r="H2" s="8">
        <f t="shared" ref="H2:H206" si="1">IF(G2="","", IF(L2=" ",IF(OR(F2=0,G2=0)," ",G2-F2),((G2-F2)-L2)))</f>
        <v>2.0289351851851878E-2</v>
      </c>
      <c r="I2" s="11">
        <f t="shared" ref="I2:I206" si="2">IFERROR(IF(L2=" ",(F2+E2),(F2+E2+L2)),"")</f>
        <v>0.31238425925925922</v>
      </c>
      <c r="J2" s="8"/>
      <c r="K2" s="8"/>
      <c r="L2" s="8"/>
      <c r="M2" s="12"/>
      <c r="N2" s="13">
        <f t="shared" ref="N2:N206" si="3">IFERROR(E2/H2," ")</f>
        <v>1.0268111808328566</v>
      </c>
      <c r="O2" s="8">
        <v>0.85416666666666663</v>
      </c>
      <c r="P2" s="14">
        <f ca="1">IFERROR(__xludf.DUMMYFUNCTION("UNIQUE($A$2:$A$993)"),45628)</f>
        <v>45628</v>
      </c>
      <c r="Q2" s="15">
        <f ca="1">SUMIF($A:$A,$P2,$E:$E)</f>
        <v>0.34930555555555559</v>
      </c>
      <c r="R2" s="15">
        <f ca="1">SUMIF($A:$A,$P2,$H:$H)</f>
        <v>0.31645833333333329</v>
      </c>
      <c r="S2" s="15">
        <f t="shared" ref="S2:S18" ca="1" si="4">IF(OR(R2="",R2&gt;=$U$1)," ",$U$1-R2)</f>
        <v>1.6875000000000029E-2</v>
      </c>
      <c r="T2" s="16">
        <f t="shared" ref="T2:T23" ca="1" si="5">IFERROR(AVERAGEIF($A:$A,$P2,$N:$N)," ")</f>
        <v>1.0945567003892229</v>
      </c>
      <c r="U2" s="33"/>
    </row>
    <row r="3" spans="1:21" ht="15.75" customHeight="1">
      <c r="A3" s="6">
        <v>45628</v>
      </c>
      <c r="B3" s="7" t="s">
        <v>51</v>
      </c>
      <c r="C3" s="7">
        <v>2</v>
      </c>
      <c r="D3" s="8">
        <f>IFERROR(VLOOKUP($B3,Task!$B$1:$G$61,6,0)," ")</f>
        <v>1.0416666666666666E-2</v>
      </c>
      <c r="E3" s="9">
        <f t="shared" si="0"/>
        <v>2.0833333333333332E-2</v>
      </c>
      <c r="F3" s="10">
        <f t="shared" ref="F3:F11" si="6">G2</f>
        <v>0.31184027777777779</v>
      </c>
      <c r="G3" s="8">
        <v>0.33410879629629631</v>
      </c>
      <c r="H3" s="8">
        <f t="shared" si="1"/>
        <v>2.2268518518518521E-2</v>
      </c>
      <c r="I3" s="11">
        <f t="shared" si="2"/>
        <v>0.3326736111111111</v>
      </c>
      <c r="J3" s="8"/>
      <c r="K3" s="8"/>
      <c r="L3" s="8"/>
      <c r="M3" s="12"/>
      <c r="N3" s="13">
        <f t="shared" si="3"/>
        <v>0.93555093555093538</v>
      </c>
      <c r="O3" s="8">
        <f>O2-O1</f>
        <v>0.625</v>
      </c>
      <c r="P3" s="14">
        <f ca="1">IFERROR(__xludf.DUMMYFUNCTION("""COMPUTED_VALUE"""),45629)</f>
        <v>45629</v>
      </c>
      <c r="Q3" s="15">
        <f t="shared" ref="Q3:Q23" ca="1" si="7">IF(SUMIF($A:$A,$P3,$E:$E)=0,"",SUMIF($A:$A,$P3,$E:$E))</f>
        <v>0.33680555555555558</v>
      </c>
      <c r="R3" s="15">
        <f t="shared" ref="R3:R23" ca="1" si="8">IF(SUMIF($A:$A,$P3,$H:$H)=0,"",SUMIF($A:$A,$P3,$H:$H))</f>
        <v>0.304553275461798</v>
      </c>
      <c r="S3" s="15">
        <f t="shared" ca="1" si="4"/>
        <v>2.8780057871535314E-2</v>
      </c>
      <c r="T3" s="16">
        <f t="shared" ca="1" si="5"/>
        <v>1.1014020897706065</v>
      </c>
    </row>
    <row r="4" spans="1:21" ht="15.75" customHeight="1">
      <c r="A4" s="6">
        <v>45628</v>
      </c>
      <c r="B4" s="7" t="s">
        <v>52</v>
      </c>
      <c r="C4" s="7">
        <v>2</v>
      </c>
      <c r="D4" s="8">
        <f>IFERROR(VLOOKUP($B4,Task!$B$1:$G$61,6,0)," ")</f>
        <v>1.0416666666666666E-2</v>
      </c>
      <c r="E4" s="9">
        <f t="shared" si="0"/>
        <v>2.0833333333333332E-2</v>
      </c>
      <c r="F4" s="10">
        <f t="shared" si="6"/>
        <v>0.33410879629629631</v>
      </c>
      <c r="G4" s="8">
        <v>0.35276620370370371</v>
      </c>
      <c r="H4" s="8">
        <f t="shared" si="1"/>
        <v>1.86574074074074E-2</v>
      </c>
      <c r="I4" s="11">
        <f t="shared" si="2"/>
        <v>0.35494212962962962</v>
      </c>
      <c r="J4" s="8"/>
      <c r="K4" s="8"/>
      <c r="L4" s="8"/>
      <c r="M4" s="12"/>
      <c r="N4" s="13">
        <f t="shared" si="3"/>
        <v>1.1166253101736976</v>
      </c>
      <c r="P4" s="14">
        <f ca="1">IFERROR(__xludf.DUMMYFUNCTION("""COMPUTED_VALUE"""),45630)</f>
        <v>45630</v>
      </c>
      <c r="Q4" s="15">
        <f t="shared" ca="1" si="7"/>
        <v>0.31319444444444444</v>
      </c>
      <c r="R4" s="15">
        <f t="shared" ca="1" si="8"/>
        <v>0.28501157407407401</v>
      </c>
      <c r="S4" s="15">
        <f t="shared" ca="1" si="4"/>
        <v>4.83217592592593E-2</v>
      </c>
      <c r="T4" s="16">
        <f t="shared" ca="1" si="5"/>
        <v>1.096996557922105</v>
      </c>
    </row>
    <row r="5" spans="1:21" ht="15.75" customHeight="1">
      <c r="A5" s="6">
        <v>45628</v>
      </c>
      <c r="B5" s="7" t="s">
        <v>53</v>
      </c>
      <c r="C5" s="7">
        <v>2</v>
      </c>
      <c r="D5" s="8">
        <f>IFERROR(VLOOKUP($B5,Task!$B$1:$G$61,6,0)," ")</f>
        <v>1.0416666666666666E-2</v>
      </c>
      <c r="E5" s="9">
        <f t="shared" si="0"/>
        <v>2.0833333333333332E-2</v>
      </c>
      <c r="F5" s="10">
        <f t="shared" si="6"/>
        <v>0.35276620370370371</v>
      </c>
      <c r="G5" s="10">
        <v>0.37105324074074075</v>
      </c>
      <c r="H5" s="8">
        <f t="shared" si="1"/>
        <v>1.8287037037037046E-2</v>
      </c>
      <c r="I5" s="11">
        <f t="shared" si="2"/>
        <v>0.37359953703703702</v>
      </c>
      <c r="J5" s="8"/>
      <c r="K5" s="8"/>
      <c r="L5" s="8"/>
      <c r="M5" s="12"/>
      <c r="N5" s="13">
        <f t="shared" si="3"/>
        <v>1.1392405063291133</v>
      </c>
      <c r="P5" s="14">
        <f ca="1">IFERROR(__xludf.DUMMYFUNCTION("""COMPUTED_VALUE"""),45631)</f>
        <v>45631</v>
      </c>
      <c r="Q5" s="15">
        <f t="shared" ca="1" si="7"/>
        <v>0.35694444444444445</v>
      </c>
      <c r="R5" s="15">
        <f t="shared" ca="1" si="8"/>
        <v>0.32319789352393447</v>
      </c>
      <c r="S5" s="15">
        <f t="shared" ca="1" si="4"/>
        <v>1.013543980939885E-2</v>
      </c>
      <c r="T5" s="16">
        <f t="shared" ca="1" si="5"/>
        <v>1.1086286056419905</v>
      </c>
    </row>
    <row r="6" spans="1:21" ht="15.75" customHeight="1">
      <c r="A6" s="6">
        <v>45628</v>
      </c>
      <c r="B6" s="7" t="s">
        <v>42</v>
      </c>
      <c r="C6" s="7">
        <v>1</v>
      </c>
      <c r="D6" s="8">
        <f>IFERROR(VLOOKUP($B6,Task!$B$1:$G$61,6,0)," ")</f>
        <v>6.9444444444444441E-3</v>
      </c>
      <c r="E6" s="9">
        <f t="shared" si="0"/>
        <v>6.9444444444444441E-3</v>
      </c>
      <c r="F6" s="10">
        <f t="shared" si="6"/>
        <v>0.37105324074074075</v>
      </c>
      <c r="G6" s="10">
        <v>0.38420138888888888</v>
      </c>
      <c r="H6" s="8">
        <f t="shared" si="1"/>
        <v>6.273148148148131E-3</v>
      </c>
      <c r="I6" s="11">
        <f t="shared" si="2"/>
        <v>0.38487268518518519</v>
      </c>
      <c r="J6" s="8"/>
      <c r="K6" s="8"/>
      <c r="L6" s="8">
        <v>6.875E-3</v>
      </c>
      <c r="M6" s="12"/>
      <c r="N6" s="13">
        <f t="shared" si="3"/>
        <v>1.1070110701107041</v>
      </c>
      <c r="O6" s="19"/>
      <c r="P6" s="14">
        <f ca="1">IFERROR(__xludf.DUMMYFUNCTION("""COMPUTED_VALUE"""),45632)</f>
        <v>45632</v>
      </c>
      <c r="Q6" s="15">
        <f t="shared" ca="1" si="7"/>
        <v>0.3347222222222222</v>
      </c>
      <c r="R6" s="15">
        <f t="shared" ca="1" si="8"/>
        <v>0.30535103008743908</v>
      </c>
      <c r="S6" s="15">
        <f t="shared" ca="1" si="4"/>
        <v>2.7982303245894236E-2</v>
      </c>
      <c r="T6" s="16">
        <f t="shared" ca="1" si="5"/>
        <v>1.0954177359200958</v>
      </c>
    </row>
    <row r="7" spans="1:21" ht="15.75" customHeight="1">
      <c r="A7" s="6">
        <v>45628</v>
      </c>
      <c r="B7" s="7" t="s">
        <v>43</v>
      </c>
      <c r="C7" s="7">
        <v>1</v>
      </c>
      <c r="D7" s="8">
        <f>IFERROR(VLOOKUP($B7,Task!$B$1:$G$61,6,0)," ")</f>
        <v>3.4722222222222224E-2</v>
      </c>
      <c r="E7" s="9">
        <f t="shared" si="0"/>
        <v>3.4722222222222224E-2</v>
      </c>
      <c r="F7" s="10">
        <f t="shared" si="6"/>
        <v>0.38420138888888888</v>
      </c>
      <c r="G7" s="10">
        <v>0.41432870370370378</v>
      </c>
      <c r="H7" s="8">
        <f t="shared" si="1"/>
        <v>3.0127314814814898E-2</v>
      </c>
      <c r="I7" s="11">
        <f t="shared" si="2"/>
        <v>0.41892361111111109</v>
      </c>
      <c r="J7" s="8"/>
      <c r="K7" s="8"/>
      <c r="L7" s="8"/>
      <c r="M7" s="12"/>
      <c r="N7" s="13">
        <f t="shared" si="3"/>
        <v>1.1525163273146337</v>
      </c>
      <c r="P7" s="14">
        <f ca="1">IFERROR(__xludf.DUMMYFUNCTION("""COMPUTED_VALUE"""),45635)</f>
        <v>45635</v>
      </c>
      <c r="Q7" s="15">
        <f t="shared" ca="1" si="7"/>
        <v>0.3034722222222222</v>
      </c>
      <c r="R7" s="15">
        <f t="shared" ca="1" si="8"/>
        <v>0.2984606481481481</v>
      </c>
      <c r="S7" s="15">
        <f t="shared" ca="1" si="4"/>
        <v>3.4872685185185215E-2</v>
      </c>
      <c r="T7" s="16">
        <f t="shared" ca="1" si="5"/>
        <v>1.0671668456219408</v>
      </c>
    </row>
    <row r="8" spans="1:21" ht="15.75" customHeight="1">
      <c r="A8" s="6">
        <v>45628</v>
      </c>
      <c r="B8" s="7" t="s">
        <v>83</v>
      </c>
      <c r="C8" s="7">
        <v>1</v>
      </c>
      <c r="D8" s="8">
        <f>IFERROR(VLOOKUP($B8,Task!$B$1:$G$61,6,0)," ")</f>
        <v>2.0833333333333332E-2</v>
      </c>
      <c r="E8" s="9">
        <f t="shared" si="0"/>
        <v>2.0833333333333332E-2</v>
      </c>
      <c r="F8" s="10">
        <f t="shared" si="6"/>
        <v>0.41432870370370378</v>
      </c>
      <c r="G8" s="10">
        <v>0.45418981481481491</v>
      </c>
      <c r="H8" s="8">
        <f t="shared" si="1"/>
        <v>1.891203703703705E-2</v>
      </c>
      <c r="I8" s="11">
        <f t="shared" si="2"/>
        <v>0.45611111111111119</v>
      </c>
      <c r="J8" s="8"/>
      <c r="K8" s="8"/>
      <c r="L8" s="8">
        <v>2.0949074074074075E-2</v>
      </c>
      <c r="M8" s="12"/>
      <c r="N8" s="13">
        <f t="shared" si="3"/>
        <v>1.1015911872705011</v>
      </c>
      <c r="O8" s="19"/>
      <c r="P8" s="14">
        <f ca="1">IFERROR(__xludf.DUMMYFUNCTION("""COMPUTED_VALUE"""),45636)</f>
        <v>45636</v>
      </c>
      <c r="Q8" s="15">
        <f t="shared" ca="1" si="7"/>
        <v>0.30138888888888893</v>
      </c>
      <c r="R8" s="15">
        <f t="shared" ca="1" si="8"/>
        <v>0.2715569212989174</v>
      </c>
      <c r="S8" s="15">
        <f t="shared" ca="1" si="4"/>
        <v>6.1776412034415917E-2</v>
      </c>
      <c r="T8" s="16">
        <f t="shared" ca="1" si="5"/>
        <v>1.1131868078952953</v>
      </c>
    </row>
    <row r="9" spans="1:21" ht="15.75" customHeight="1">
      <c r="A9" s="6">
        <v>45628</v>
      </c>
      <c r="B9" s="7" t="s">
        <v>63</v>
      </c>
      <c r="C9" s="7">
        <v>1</v>
      </c>
      <c r="D9" s="8">
        <f>IFERROR(VLOOKUP($B9,Task!$B$1:$G$61,6,0)," ")</f>
        <v>4.5138888888888888E-2</v>
      </c>
      <c r="E9" s="9">
        <f t="shared" si="0"/>
        <v>4.5138888888888888E-2</v>
      </c>
      <c r="F9" s="10">
        <f t="shared" si="6"/>
        <v>0.45418981481481491</v>
      </c>
      <c r="G9" s="10">
        <v>0.49266203703703704</v>
      </c>
      <c r="H9" s="8">
        <f t="shared" si="1"/>
        <v>3.847222222222213E-2</v>
      </c>
      <c r="I9" s="11">
        <f t="shared" si="2"/>
        <v>0.4993287037037038</v>
      </c>
      <c r="J9" s="8"/>
      <c r="K9" s="8"/>
      <c r="L9" s="8"/>
      <c r="M9" s="12"/>
      <c r="N9" s="13">
        <f t="shared" si="3"/>
        <v>1.1732851985559594</v>
      </c>
      <c r="O9" s="4"/>
      <c r="P9" s="14">
        <f ca="1">IFERROR(__xludf.DUMMYFUNCTION("""COMPUTED_VALUE"""),45637)</f>
        <v>45637</v>
      </c>
      <c r="Q9" s="15">
        <f t="shared" ca="1" si="7"/>
        <v>0.33333333333333331</v>
      </c>
      <c r="R9" s="15">
        <f t="shared" ca="1" si="8"/>
        <v>0.30787037037037035</v>
      </c>
      <c r="S9" s="15">
        <f t="shared" ca="1" si="4"/>
        <v>2.5462962962962965E-2</v>
      </c>
      <c r="T9" s="16">
        <f t="shared" ca="1" si="5"/>
        <v>1.0845799836082781</v>
      </c>
    </row>
    <row r="10" spans="1:21" ht="15.75" customHeight="1">
      <c r="A10" s="6">
        <v>45628</v>
      </c>
      <c r="B10" s="7" t="s">
        <v>18</v>
      </c>
      <c r="C10" s="7">
        <v>2</v>
      </c>
      <c r="D10" s="8">
        <f>IFERROR(VLOOKUP($B10,Task!$B$1:$G$61,6,0)," ")</f>
        <v>4.8611111111111112E-2</v>
      </c>
      <c r="E10" s="9">
        <f t="shared" si="0"/>
        <v>9.7222222222222224E-2</v>
      </c>
      <c r="F10" s="10">
        <f t="shared" si="6"/>
        <v>0.49266203703703704</v>
      </c>
      <c r="G10" s="10">
        <v>0.60481481481481481</v>
      </c>
      <c r="H10" s="8">
        <f t="shared" si="1"/>
        <v>8.4687499999999985E-2</v>
      </c>
      <c r="I10" s="11">
        <f t="shared" si="2"/>
        <v>0.61734953703703699</v>
      </c>
      <c r="J10" s="8"/>
      <c r="K10" s="8"/>
      <c r="L10" s="8">
        <v>2.7465277777777779E-2</v>
      </c>
      <c r="M10" s="12"/>
      <c r="N10" s="13">
        <f t="shared" si="3"/>
        <v>1.1480114801148014</v>
      </c>
      <c r="O10" s="4"/>
      <c r="P10" s="14">
        <f ca="1">IFERROR(__xludf.DUMMYFUNCTION("""COMPUTED_VALUE"""),45638)</f>
        <v>45638</v>
      </c>
      <c r="Q10" s="15">
        <f t="shared" ca="1" si="7"/>
        <v>0.3298611111111111</v>
      </c>
      <c r="R10" s="15">
        <f t="shared" ca="1" si="8"/>
        <v>0.31543981481481476</v>
      </c>
      <c r="S10" s="15">
        <f t="shared" ca="1" si="4"/>
        <v>1.7893518518518559E-2</v>
      </c>
      <c r="T10" s="16">
        <f t="shared" ca="1" si="5"/>
        <v>1.0822278161781598</v>
      </c>
    </row>
    <row r="11" spans="1:21" ht="15.75" customHeight="1">
      <c r="A11" s="6">
        <v>45628</v>
      </c>
      <c r="B11" s="7" t="s">
        <v>16</v>
      </c>
      <c r="C11" s="7">
        <v>11</v>
      </c>
      <c r="D11" s="8">
        <f>IFERROR(VLOOKUP($B11,Task!$B$1:$G$61,6,0)," ")</f>
        <v>5.5555555555555558E-3</v>
      </c>
      <c r="E11" s="9">
        <f t="shared" si="0"/>
        <v>6.1111111111111116E-2</v>
      </c>
      <c r="F11" s="10">
        <f t="shared" si="6"/>
        <v>0.60481481481481481</v>
      </c>
      <c r="G11" s="10">
        <v>0.67013888888888884</v>
      </c>
      <c r="H11" s="8">
        <f t="shared" si="1"/>
        <v>5.8483796296296256E-2</v>
      </c>
      <c r="I11" s="11">
        <f t="shared" si="2"/>
        <v>0.67276620370370366</v>
      </c>
      <c r="J11" s="8"/>
      <c r="K11" s="8"/>
      <c r="L11" s="8">
        <v>6.8402777777777776E-3</v>
      </c>
      <c r="M11" s="12"/>
      <c r="N11" s="13">
        <f t="shared" si="3"/>
        <v>1.044923807639027</v>
      </c>
      <c r="O11" s="4"/>
      <c r="P11" s="14">
        <f ca="1">IFERROR(__xludf.DUMMYFUNCTION("""COMPUTED_VALUE"""),45639)</f>
        <v>45639</v>
      </c>
      <c r="Q11" s="15">
        <f t="shared" ca="1" si="7"/>
        <v>0.20972222222222223</v>
      </c>
      <c r="R11" s="15">
        <f t="shared" ca="1" si="8"/>
        <v>0.18668981481481481</v>
      </c>
      <c r="S11" s="15">
        <f t="shared" ca="1" si="4"/>
        <v>0.14664351851851851</v>
      </c>
      <c r="T11" s="16">
        <f t="shared" ca="1" si="5"/>
        <v>1.1092963183126741</v>
      </c>
    </row>
    <row r="12" spans="1:21" ht="15.75" customHeight="1">
      <c r="A12" s="6">
        <v>45629</v>
      </c>
      <c r="B12" s="7" t="s">
        <v>56</v>
      </c>
      <c r="C12" s="7">
        <v>1</v>
      </c>
      <c r="D12" s="8">
        <f>IFERROR(VLOOKUP($B12,Task!$B$1:$G$61,6,0)," ")</f>
        <v>4.1666666666666664E-2</v>
      </c>
      <c r="E12" s="9">
        <f t="shared" si="0"/>
        <v>4.1666666666666664E-2</v>
      </c>
      <c r="F12" s="10">
        <v>0.37715277777777778</v>
      </c>
      <c r="G12" s="10">
        <v>0.4150462962962963</v>
      </c>
      <c r="H12" s="8">
        <f t="shared" si="1"/>
        <v>3.7893518518518521E-2</v>
      </c>
      <c r="I12" s="11">
        <f t="shared" si="2"/>
        <v>0.41881944444444447</v>
      </c>
      <c r="J12" s="8"/>
      <c r="K12" s="8"/>
      <c r="L12" s="8"/>
      <c r="M12" s="12"/>
      <c r="N12" s="13">
        <f t="shared" si="3"/>
        <v>1.099572388515577</v>
      </c>
      <c r="O12" s="4"/>
      <c r="P12" s="14">
        <f ca="1">IFERROR(__xludf.DUMMYFUNCTION("""COMPUTED_VALUE"""),45642)</f>
        <v>45642</v>
      </c>
      <c r="Q12" s="15">
        <f t="shared" ca="1" si="7"/>
        <v>0.35069444444444442</v>
      </c>
      <c r="R12" s="15">
        <f t="shared" ca="1" si="8"/>
        <v>0.31443287037037038</v>
      </c>
      <c r="S12" s="15">
        <f t="shared" ca="1" si="4"/>
        <v>1.8900462962962938E-2</v>
      </c>
      <c r="T12" s="16">
        <f t="shared" ca="1" si="5"/>
        <v>1.1089176007907899</v>
      </c>
    </row>
    <row r="13" spans="1:21" ht="15.75" customHeight="1">
      <c r="A13" s="6">
        <v>45629</v>
      </c>
      <c r="B13" s="7" t="s">
        <v>57</v>
      </c>
      <c r="C13" s="7">
        <v>7</v>
      </c>
      <c r="D13" s="8">
        <f>IFERROR(VLOOKUP($B13,Task!$B$1:$G$61,6,0)," ")</f>
        <v>2.7777777777777779E-3</v>
      </c>
      <c r="E13" s="9">
        <f t="shared" si="0"/>
        <v>1.9444444444444445E-2</v>
      </c>
      <c r="F13" s="10">
        <f t="shared" ref="F13:F17" si="9">G12</f>
        <v>0.4150462962962963</v>
      </c>
      <c r="G13" s="10">
        <v>0.43218750000000006</v>
      </c>
      <c r="H13" s="8">
        <f t="shared" si="1"/>
        <v>1.7141203703703756E-2</v>
      </c>
      <c r="I13" s="11">
        <f t="shared" si="2"/>
        <v>0.43449074074074073</v>
      </c>
      <c r="J13" s="8"/>
      <c r="K13" s="8"/>
      <c r="L13" s="8"/>
      <c r="M13" s="12"/>
      <c r="N13" s="13">
        <f t="shared" si="3"/>
        <v>1.1343686698176874</v>
      </c>
      <c r="O13" s="19"/>
      <c r="P13" s="14">
        <f ca="1">IFERROR(__xludf.DUMMYFUNCTION("""COMPUTED_VALUE"""),45643)</f>
        <v>45643</v>
      </c>
      <c r="Q13" s="15">
        <f t="shared" ca="1" si="7"/>
        <v>0.37083333333333335</v>
      </c>
      <c r="R13" s="15">
        <f t="shared" ca="1" si="8"/>
        <v>0.28803240740740732</v>
      </c>
      <c r="S13" s="15">
        <f t="shared" ca="1" si="4"/>
        <v>4.5300925925925994E-2</v>
      </c>
      <c r="T13" s="16">
        <f t="shared" ca="1" si="5"/>
        <v>1.2360628804142229</v>
      </c>
    </row>
    <row r="14" spans="1:21" ht="15.75" customHeight="1">
      <c r="A14" s="6">
        <v>45629</v>
      </c>
      <c r="B14" s="7" t="s">
        <v>44</v>
      </c>
      <c r="C14" s="7">
        <v>5</v>
      </c>
      <c r="D14" s="8">
        <f>IFERROR(VLOOKUP($B14,Task!$B$1:$G$61,6,0)," ")</f>
        <v>3.472222222222222E-3</v>
      </c>
      <c r="E14" s="9">
        <f t="shared" si="0"/>
        <v>1.7361111111111112E-2</v>
      </c>
      <c r="F14" s="10">
        <f t="shared" si="9"/>
        <v>0.43218750000000006</v>
      </c>
      <c r="G14" s="10">
        <v>0.44847222222222227</v>
      </c>
      <c r="H14" s="8">
        <f t="shared" si="1"/>
        <v>1.6284722222222214E-2</v>
      </c>
      <c r="I14" s="11">
        <f t="shared" si="2"/>
        <v>0.44954861111111116</v>
      </c>
      <c r="J14" s="8"/>
      <c r="K14" s="8"/>
      <c r="L14" s="8"/>
      <c r="M14" s="18"/>
      <c r="N14" s="13">
        <f t="shared" si="3"/>
        <v>1.0660980810234548</v>
      </c>
      <c r="O14" s="19"/>
      <c r="P14" s="20">
        <f ca="1">IFERROR(__xludf.DUMMYFUNCTION("""COMPUTED_VALUE"""),45644)</f>
        <v>45644</v>
      </c>
      <c r="Q14" s="15">
        <f t="shared" ca="1" si="7"/>
        <v>0.29097222222222219</v>
      </c>
      <c r="R14" s="15">
        <f t="shared" ca="1" si="8"/>
        <v>0.26984953703703696</v>
      </c>
      <c r="S14" s="15">
        <f t="shared" ca="1" si="4"/>
        <v>6.3483796296296358E-2</v>
      </c>
      <c r="T14" s="16">
        <f t="shared" ca="1" si="5"/>
        <v>1.0700895283858449</v>
      </c>
    </row>
    <row r="15" spans="1:21" ht="15.75" customHeight="1">
      <c r="A15" s="6">
        <v>45629</v>
      </c>
      <c r="B15" s="7" t="s">
        <v>18</v>
      </c>
      <c r="C15" s="7">
        <v>1</v>
      </c>
      <c r="D15" s="8">
        <f>IFERROR(VLOOKUP($B15,Task!$B$1:$G$61,6,0)," ")</f>
        <v>4.8611111111111112E-2</v>
      </c>
      <c r="E15" s="9">
        <f t="shared" si="0"/>
        <v>4.8611111111111112E-2</v>
      </c>
      <c r="F15" s="10">
        <f t="shared" si="9"/>
        <v>0.44847222222222227</v>
      </c>
      <c r="G15" s="10">
        <v>0.4933333333333334</v>
      </c>
      <c r="H15" s="8">
        <f t="shared" si="1"/>
        <v>4.4861111111111129E-2</v>
      </c>
      <c r="I15" s="11">
        <f t="shared" si="2"/>
        <v>0.49708333333333338</v>
      </c>
      <c r="J15" s="8"/>
      <c r="K15" s="8"/>
      <c r="L15" s="8"/>
      <c r="M15" s="18"/>
      <c r="N15" s="13">
        <f t="shared" si="3"/>
        <v>1.0835913312693495</v>
      </c>
      <c r="O15" s="4"/>
      <c r="P15" s="20">
        <f ca="1">IFERROR(__xludf.DUMMYFUNCTION("""COMPUTED_VALUE"""),45645)</f>
        <v>45645</v>
      </c>
      <c r="Q15" s="15">
        <f t="shared" ca="1" si="7"/>
        <v>0.32916666666666672</v>
      </c>
      <c r="R15" s="15">
        <f t="shared" ca="1" si="8"/>
        <v>0.29267361111111095</v>
      </c>
      <c r="S15" s="15">
        <f t="shared" ca="1" si="4"/>
        <v>4.0659722222222361E-2</v>
      </c>
      <c r="T15" s="16">
        <f t="shared" ca="1" si="5"/>
        <v>1.1190438259333093</v>
      </c>
    </row>
    <row r="16" spans="1:21" ht="15.75" customHeight="1">
      <c r="A16" s="6">
        <v>45629</v>
      </c>
      <c r="B16" s="7" t="s">
        <v>84</v>
      </c>
      <c r="C16" s="7">
        <v>1</v>
      </c>
      <c r="D16" s="8">
        <f>IFERROR(VLOOKUP($B16,Task!$B$1:$G$61,6,0)," ")</f>
        <v>7.6388888888888895E-2</v>
      </c>
      <c r="E16" s="9">
        <f t="shared" si="0"/>
        <v>7.6388888888888895E-2</v>
      </c>
      <c r="F16" s="10">
        <f t="shared" si="9"/>
        <v>0.4933333333333334</v>
      </c>
      <c r="G16" s="10">
        <v>0.58907407407407408</v>
      </c>
      <c r="H16" s="8">
        <f t="shared" si="1"/>
        <v>6.8888888888888833E-2</v>
      </c>
      <c r="I16" s="11">
        <f t="shared" si="2"/>
        <v>0.59657407407407415</v>
      </c>
      <c r="J16" s="8"/>
      <c r="K16" s="8"/>
      <c r="L16" s="8">
        <v>2.6851851851851852E-2</v>
      </c>
      <c r="M16" s="12"/>
      <c r="N16" s="13">
        <f t="shared" si="3"/>
        <v>1.1088709677419364</v>
      </c>
      <c r="O16" s="4"/>
      <c r="P16" s="20">
        <f ca="1">IFERROR(__xludf.DUMMYFUNCTION("""COMPUTED_VALUE"""),45646)</f>
        <v>45646</v>
      </c>
      <c r="Q16" s="15">
        <f t="shared" ca="1" si="7"/>
        <v>0.29444444444444445</v>
      </c>
      <c r="R16" s="15">
        <f t="shared" ca="1" si="8"/>
        <v>0.27204217592486035</v>
      </c>
      <c r="S16" s="15">
        <f t="shared" ca="1" si="4"/>
        <v>6.1291157408472963E-2</v>
      </c>
      <c r="T16" s="16">
        <f t="shared" ca="1" si="5"/>
        <v>1.0836097279354751</v>
      </c>
    </row>
    <row r="17" spans="1:20" ht="15.75" customHeight="1">
      <c r="A17" s="6">
        <v>45629</v>
      </c>
      <c r="B17" s="7" t="s">
        <v>16</v>
      </c>
      <c r="C17" s="7">
        <v>24</v>
      </c>
      <c r="D17" s="8">
        <f>IFERROR(VLOOKUP($B17,Task!$B$1:$G$61,6,0)," ")</f>
        <v>5.5555555555555558E-3</v>
      </c>
      <c r="E17" s="9">
        <f t="shared" si="0"/>
        <v>0.13333333333333333</v>
      </c>
      <c r="F17" s="10">
        <f t="shared" si="9"/>
        <v>0.58907407407407408</v>
      </c>
      <c r="G17" s="10">
        <v>0.7583611458321684</v>
      </c>
      <c r="H17" s="8">
        <f t="shared" si="1"/>
        <v>0.11948383101735358</v>
      </c>
      <c r="I17" s="11">
        <f t="shared" si="2"/>
        <v>0.7722106481481481</v>
      </c>
      <c r="J17" s="8"/>
      <c r="K17" s="8"/>
      <c r="L17" s="8">
        <v>4.9803240740740738E-2</v>
      </c>
      <c r="M17" s="12"/>
      <c r="N17" s="13">
        <f t="shared" si="3"/>
        <v>1.1159111002556346</v>
      </c>
      <c r="O17" s="19"/>
      <c r="P17" s="20">
        <f ca="1">IFERROR(__xludf.DUMMYFUNCTION("""COMPUTED_VALUE"""),45649)</f>
        <v>45649</v>
      </c>
      <c r="Q17" s="15">
        <f t="shared" ca="1" si="7"/>
        <v>0.32500000000000001</v>
      </c>
      <c r="R17" s="15">
        <f t="shared" ca="1" si="8"/>
        <v>0.29989680555733178</v>
      </c>
      <c r="S17" s="15">
        <f t="shared" ca="1" si="4"/>
        <v>3.3436527776001534E-2</v>
      </c>
      <c r="T17" s="16">
        <f t="shared" ca="1" si="5"/>
        <v>1.0938188392908257</v>
      </c>
    </row>
    <row r="18" spans="1:20" ht="15.75" customHeight="1">
      <c r="A18" s="6">
        <v>45630</v>
      </c>
      <c r="B18" s="7" t="s">
        <v>18</v>
      </c>
      <c r="C18" s="7">
        <v>1</v>
      </c>
      <c r="D18" s="8">
        <f>IFERROR(VLOOKUP($B18,Task!$B$1:$G$61,6,0)," ")</f>
        <v>4.8611111111111112E-2</v>
      </c>
      <c r="E18" s="9">
        <f t="shared" si="0"/>
        <v>4.8611111111111112E-2</v>
      </c>
      <c r="F18" s="10">
        <v>0.37278935185185191</v>
      </c>
      <c r="G18" s="10">
        <v>0.41739583333333341</v>
      </c>
      <c r="H18" s="8">
        <f t="shared" si="1"/>
        <v>4.4606481481481497E-2</v>
      </c>
      <c r="I18" s="11">
        <f t="shared" si="2"/>
        <v>0.42140046296296302</v>
      </c>
      <c r="J18" s="8"/>
      <c r="K18" s="8"/>
      <c r="L18" s="8"/>
      <c r="M18" s="12"/>
      <c r="N18" s="13">
        <f t="shared" si="3"/>
        <v>1.0897768552153604</v>
      </c>
      <c r="P18" s="20">
        <f ca="1">IFERROR(__xludf.DUMMYFUNCTION("""COMPUTED_VALUE"""),45650)</f>
        <v>45650</v>
      </c>
      <c r="Q18" s="15">
        <f t="shared" ca="1" si="7"/>
        <v>0.33819444444444446</v>
      </c>
      <c r="R18" s="15">
        <f t="shared" ca="1" si="8"/>
        <v>0.30601851851851841</v>
      </c>
      <c r="S18" s="15">
        <f t="shared" ca="1" si="4"/>
        <v>2.7314814814814903E-2</v>
      </c>
      <c r="T18" s="16">
        <f t="shared" ca="1" si="5"/>
        <v>1.1002424049372566</v>
      </c>
    </row>
    <row r="19" spans="1:20" ht="15.75" customHeight="1">
      <c r="A19" s="6">
        <v>45630</v>
      </c>
      <c r="B19" s="7" t="s">
        <v>85</v>
      </c>
      <c r="C19" s="7">
        <v>1</v>
      </c>
      <c r="D19" s="8">
        <f>IFERROR(VLOOKUP($B19,Task!$B$1:$G$61,6,0)," ")</f>
        <v>0.11458333333333333</v>
      </c>
      <c r="E19" s="9">
        <f t="shared" si="0"/>
        <v>0.11458333333333333</v>
      </c>
      <c r="F19" s="10">
        <f t="shared" ref="F19:F20" si="10">G18</f>
        <v>0.41739583333333341</v>
      </c>
      <c r="G19" s="10">
        <v>0.57859953703703704</v>
      </c>
      <c r="H19" s="8">
        <f t="shared" si="1"/>
        <v>0.10408564814814808</v>
      </c>
      <c r="I19" s="11">
        <f t="shared" si="2"/>
        <v>0.58909722222222238</v>
      </c>
      <c r="J19" s="8"/>
      <c r="K19" s="8"/>
      <c r="L19" s="8">
        <v>5.7118055555555554E-2</v>
      </c>
      <c r="M19" s="18"/>
      <c r="N19" s="13">
        <f t="shared" si="3"/>
        <v>1.1008562215056161</v>
      </c>
      <c r="P19" s="20">
        <f ca="1">IFERROR(__xludf.DUMMYFUNCTION("""COMPUTED_VALUE"""),45653)</f>
        <v>45653</v>
      </c>
      <c r="Q19" s="15">
        <f t="shared" ca="1" si="7"/>
        <v>0.34375</v>
      </c>
      <c r="R19" s="15">
        <f t="shared" ca="1" si="8"/>
        <v>0.31466435185185182</v>
      </c>
      <c r="S19" s="15">
        <f t="shared" ref="S19:S23" ca="1" si="11">IF(R19=""," ",$U$1-R19)</f>
        <v>1.8668981481481495E-2</v>
      </c>
      <c r="T19" s="16">
        <f t="shared" ca="1" si="5"/>
        <v>1.0987789343146808</v>
      </c>
    </row>
    <row r="20" spans="1:20" ht="15.75" customHeight="1">
      <c r="A20" s="6">
        <v>45630</v>
      </c>
      <c r="B20" s="7" t="s">
        <v>16</v>
      </c>
      <c r="C20" s="7">
        <v>27</v>
      </c>
      <c r="D20" s="8">
        <f>IFERROR(VLOOKUP($B20,Task!$B$1:$G$61,6,0)," ")</f>
        <v>5.5555555555555558E-3</v>
      </c>
      <c r="E20" s="9">
        <f t="shared" si="0"/>
        <v>0.15</v>
      </c>
      <c r="F20" s="10">
        <f t="shared" si="10"/>
        <v>0.57859953703703704</v>
      </c>
      <c r="G20" s="10">
        <v>0.75</v>
      </c>
      <c r="H20" s="8">
        <f t="shared" si="1"/>
        <v>0.13631944444444444</v>
      </c>
      <c r="I20" s="11">
        <f t="shared" si="2"/>
        <v>0.76368055555555558</v>
      </c>
      <c r="J20" s="8"/>
      <c r="K20" s="8"/>
      <c r="L20" s="8">
        <v>3.5081018518518518E-2</v>
      </c>
      <c r="M20" s="18"/>
      <c r="N20" s="13">
        <f t="shared" si="3"/>
        <v>1.1003565970453388</v>
      </c>
      <c r="P20" s="20">
        <f ca="1">IFERROR(__xludf.DUMMYFUNCTION("""COMPUTED_VALUE"""),45656)</f>
        <v>45656</v>
      </c>
      <c r="Q20" s="15">
        <f t="shared" ca="1" si="7"/>
        <v>0.3576388888888889</v>
      </c>
      <c r="R20" s="15">
        <f t="shared" ca="1" si="8"/>
        <v>0.3244318749991254</v>
      </c>
      <c r="S20" s="15">
        <f t="shared" ca="1" si="11"/>
        <v>8.9014583342079123E-3</v>
      </c>
      <c r="T20" s="16">
        <f t="shared" ca="1" si="5"/>
        <v>1.0999518076910832</v>
      </c>
    </row>
    <row r="21" spans="1:20" ht="15.75" customHeight="1">
      <c r="A21" s="6">
        <v>45631</v>
      </c>
      <c r="B21" s="7" t="s">
        <v>43</v>
      </c>
      <c r="C21" s="7">
        <v>1</v>
      </c>
      <c r="D21" s="8">
        <f>IFERROR(VLOOKUP($B21,Task!$B$1:$G$61,6,0)," ")</f>
        <v>3.4722222222222224E-2</v>
      </c>
      <c r="E21" s="9">
        <f t="shared" si="0"/>
        <v>3.4722222222222224E-2</v>
      </c>
      <c r="F21" s="10">
        <v>0.32045138888888891</v>
      </c>
      <c r="G21" s="10">
        <v>0.35048611111111116</v>
      </c>
      <c r="H21" s="8">
        <f t="shared" si="1"/>
        <v>3.0034722222222254E-2</v>
      </c>
      <c r="I21" s="11">
        <f t="shared" si="2"/>
        <v>0.35517361111111112</v>
      </c>
      <c r="J21" s="8"/>
      <c r="K21" s="8"/>
      <c r="L21" s="8"/>
      <c r="M21" s="12"/>
      <c r="N21" s="13">
        <f t="shared" si="3"/>
        <v>1.1560693641618485</v>
      </c>
      <c r="P21" s="20">
        <f ca="1">IFERROR(__xludf.DUMMYFUNCTION("""COMPUTED_VALUE"""),45657)</f>
        <v>45657</v>
      </c>
      <c r="Q21" s="15">
        <f t="shared" ca="1" si="7"/>
        <v>0.34375</v>
      </c>
      <c r="R21" s="15">
        <f t="shared" ca="1" si="8"/>
        <v>0.32215978009380503</v>
      </c>
      <c r="S21" s="15">
        <f t="shared" ca="1" si="11"/>
        <v>1.1173553239528289E-2</v>
      </c>
      <c r="T21" s="16">
        <f t="shared" ca="1" si="5"/>
        <v>1.0736586521207683</v>
      </c>
    </row>
    <row r="22" spans="1:20" ht="15.75" customHeight="1">
      <c r="A22" s="6">
        <v>45631</v>
      </c>
      <c r="B22" s="7" t="s">
        <v>42</v>
      </c>
      <c r="C22" s="7">
        <v>1</v>
      </c>
      <c r="D22" s="8">
        <f>IFERROR(VLOOKUP($B22,Task!$B$1:$G$61,6,0)," ")</f>
        <v>6.9444444444444441E-3</v>
      </c>
      <c r="E22" s="9">
        <f t="shared" si="0"/>
        <v>6.9444444444444441E-3</v>
      </c>
      <c r="F22" s="10">
        <f t="shared" ref="F22:F25" si="12">G21</f>
        <v>0.35048611111111116</v>
      </c>
      <c r="G22" s="10">
        <v>0.35679398148148156</v>
      </c>
      <c r="H22" s="8">
        <f t="shared" si="1"/>
        <v>6.3078703703703942E-3</v>
      </c>
      <c r="I22" s="11">
        <f t="shared" si="2"/>
        <v>0.35743055555555558</v>
      </c>
      <c r="J22" s="8"/>
      <c r="K22" s="8"/>
      <c r="L22" s="8"/>
      <c r="M22" s="12"/>
      <c r="N22" s="13">
        <f t="shared" si="3"/>
        <v>1.1009174311926564</v>
      </c>
      <c r="P22" s="20"/>
      <c r="Q22" s="15" t="str">
        <f t="shared" si="7"/>
        <v/>
      </c>
      <c r="R22" s="15" t="str">
        <f t="shared" si="8"/>
        <v/>
      </c>
      <c r="S22" s="15" t="str">
        <f t="shared" si="11"/>
        <v xml:space="preserve"> </v>
      </c>
      <c r="T22" s="16" t="str">
        <f t="shared" si="5"/>
        <v xml:space="preserve"> </v>
      </c>
    </row>
    <row r="23" spans="1:20" ht="15.75" customHeight="1">
      <c r="A23" s="6">
        <v>45631</v>
      </c>
      <c r="B23" s="7" t="s">
        <v>16</v>
      </c>
      <c r="C23" s="7">
        <v>16</v>
      </c>
      <c r="D23" s="8">
        <f>IFERROR(VLOOKUP($B23,Task!$B$1:$G$61,6,0)," ")</f>
        <v>5.5555555555555558E-3</v>
      </c>
      <c r="E23" s="9">
        <f t="shared" si="0"/>
        <v>8.8888888888888892E-2</v>
      </c>
      <c r="F23" s="10">
        <f t="shared" si="12"/>
        <v>0.35679398148148156</v>
      </c>
      <c r="G23" s="10">
        <v>0.43675278934824746</v>
      </c>
      <c r="H23" s="8">
        <f t="shared" si="1"/>
        <v>7.9958807866765902E-2</v>
      </c>
      <c r="I23" s="11">
        <f t="shared" si="2"/>
        <v>0.44568287037037047</v>
      </c>
      <c r="J23" s="8"/>
      <c r="K23" s="8"/>
      <c r="L23" s="8"/>
      <c r="M23" s="12"/>
      <c r="N23" s="13">
        <f t="shared" si="3"/>
        <v>1.1116835188063714</v>
      </c>
      <c r="P23" s="20"/>
      <c r="Q23" s="15" t="str">
        <f t="shared" si="7"/>
        <v/>
      </c>
      <c r="R23" s="15" t="str">
        <f t="shared" si="8"/>
        <v/>
      </c>
      <c r="S23" s="15" t="str">
        <f t="shared" si="11"/>
        <v xml:space="preserve"> </v>
      </c>
      <c r="T23" s="16" t="str">
        <f t="shared" si="5"/>
        <v xml:space="preserve"> </v>
      </c>
    </row>
    <row r="24" spans="1:20" ht="15.75" customHeight="1">
      <c r="A24" s="6">
        <v>45631</v>
      </c>
      <c r="B24" s="7" t="s">
        <v>18</v>
      </c>
      <c r="C24" s="7">
        <v>1</v>
      </c>
      <c r="D24" s="8">
        <f>IFERROR(VLOOKUP($B24,Task!$B$1:$G$61,6,0)," ")</f>
        <v>4.8611111111111112E-2</v>
      </c>
      <c r="E24" s="9">
        <f t="shared" si="0"/>
        <v>4.8611111111111112E-2</v>
      </c>
      <c r="F24" s="10">
        <f t="shared" si="12"/>
        <v>0.43675278934824746</v>
      </c>
      <c r="G24" s="10">
        <v>0.48197916666666674</v>
      </c>
      <c r="H24" s="8">
        <f t="shared" si="1"/>
        <v>4.5226377318419275E-2</v>
      </c>
      <c r="I24" s="11">
        <f t="shared" si="2"/>
        <v>0.48536390045935857</v>
      </c>
      <c r="J24" s="8"/>
      <c r="K24" s="8"/>
      <c r="L24" s="8"/>
      <c r="M24" s="12"/>
      <c r="N24" s="13">
        <f t="shared" si="3"/>
        <v>1.0748398167923421</v>
      </c>
    </row>
    <row r="25" spans="1:20" ht="15.75" customHeight="1">
      <c r="A25" s="6">
        <v>45631</v>
      </c>
      <c r="B25" s="7" t="s">
        <v>16</v>
      </c>
      <c r="C25" s="7">
        <v>32</v>
      </c>
      <c r="D25" s="8">
        <f>IFERROR(VLOOKUP($B25,Task!$B$1:$G$61,6,0)," ")</f>
        <v>5.5555555555555558E-3</v>
      </c>
      <c r="E25" s="9">
        <f t="shared" si="0"/>
        <v>0.17777777777777778</v>
      </c>
      <c r="F25" s="10">
        <f t="shared" si="12"/>
        <v>0.48197916666666674</v>
      </c>
      <c r="G25" s="10">
        <v>0.70910067130171228</v>
      </c>
      <c r="H25" s="8">
        <f t="shared" si="1"/>
        <v>0.16167011574615664</v>
      </c>
      <c r="I25" s="11">
        <f t="shared" si="2"/>
        <v>0.72520833333333345</v>
      </c>
      <c r="J25" s="8"/>
      <c r="K25" s="8"/>
      <c r="L25" s="8">
        <v>6.5451388888888892E-2</v>
      </c>
      <c r="M25" s="12"/>
      <c r="N25" s="13">
        <f t="shared" si="3"/>
        <v>1.0996328972567342</v>
      </c>
      <c r="O25" s="19"/>
    </row>
    <row r="26" spans="1:20" ht="14.5">
      <c r="A26" s="6">
        <v>45632</v>
      </c>
      <c r="B26" s="7" t="s">
        <v>18</v>
      </c>
      <c r="C26" s="7">
        <v>1</v>
      </c>
      <c r="D26" s="8">
        <f>IFERROR(VLOOKUP($B26,Task!$B$1:$G$61,6,0)," ")</f>
        <v>4.8611111111111112E-2</v>
      </c>
      <c r="E26" s="9">
        <f t="shared" si="0"/>
        <v>4.8611111111111112E-2</v>
      </c>
      <c r="F26" s="10">
        <v>0.33285879629629633</v>
      </c>
      <c r="G26" s="10">
        <v>0.40250000000000008</v>
      </c>
      <c r="H26" s="8">
        <f t="shared" si="1"/>
        <v>4.5833333333333379E-2</v>
      </c>
      <c r="I26" s="11">
        <f t="shared" si="2"/>
        <v>0.40527777777777779</v>
      </c>
      <c r="J26" s="8"/>
      <c r="K26" s="8"/>
      <c r="L26" s="8">
        <v>2.3807870370370372E-2</v>
      </c>
      <c r="M26" s="12"/>
      <c r="N26" s="13">
        <f t="shared" si="3"/>
        <v>1.0606060606060597</v>
      </c>
      <c r="O26" s="19"/>
    </row>
    <row r="27" spans="1:20" ht="14.5">
      <c r="A27" s="6">
        <v>45632</v>
      </c>
      <c r="B27" s="7" t="s">
        <v>16</v>
      </c>
      <c r="C27" s="7">
        <v>35</v>
      </c>
      <c r="D27" s="8">
        <f>IFERROR(VLOOKUP($B27,Task!$B$1:$G$61,6,0)," ")</f>
        <v>5.5555555555555558E-3</v>
      </c>
      <c r="E27" s="9">
        <f t="shared" si="0"/>
        <v>0.19444444444444445</v>
      </c>
      <c r="F27" s="10">
        <f>G26</f>
        <v>0.40250000000000008</v>
      </c>
      <c r="G27" s="10">
        <v>0.71044362268003169</v>
      </c>
      <c r="H27" s="8">
        <f t="shared" si="1"/>
        <v>0.17730704860595764</v>
      </c>
      <c r="I27" s="11">
        <f t="shared" si="2"/>
        <v>0.72758101851851853</v>
      </c>
      <c r="J27" s="8"/>
      <c r="K27" s="8">
        <v>4.8425925925925928E-2</v>
      </c>
      <c r="L27" s="8">
        <f>K27+H28+H29</f>
        <v>0.13063657407407397</v>
      </c>
      <c r="M27" s="12"/>
      <c r="N27" s="13">
        <f t="shared" si="3"/>
        <v>1.0966537764472775</v>
      </c>
      <c r="O27" s="4"/>
    </row>
    <row r="28" spans="1:20" ht="14.5">
      <c r="A28" s="6">
        <v>45632</v>
      </c>
      <c r="B28" s="7" t="s">
        <v>86</v>
      </c>
      <c r="C28" s="7">
        <v>51</v>
      </c>
      <c r="D28" s="8">
        <v>1.3888888888888889E-3</v>
      </c>
      <c r="E28" s="9">
        <f t="shared" si="0"/>
        <v>7.0833333333333331E-2</v>
      </c>
      <c r="F28" s="10">
        <v>0.466863425925926</v>
      </c>
      <c r="G28" s="10">
        <v>0.53667824074074078</v>
      </c>
      <c r="H28" s="8">
        <f t="shared" si="1"/>
        <v>6.3391203703703658E-2</v>
      </c>
      <c r="I28" s="11">
        <f t="shared" si="2"/>
        <v>0.54412037037037042</v>
      </c>
      <c r="J28" s="8"/>
      <c r="K28" s="8"/>
      <c r="L28" s="8">
        <v>6.4236111111111108E-3</v>
      </c>
      <c r="M28" s="12"/>
      <c r="N28" s="13">
        <f t="shared" si="3"/>
        <v>1.1174000365163419</v>
      </c>
      <c r="O28" s="19"/>
    </row>
    <row r="29" spans="1:20" ht="14.5">
      <c r="A29" s="6">
        <v>45632</v>
      </c>
      <c r="B29" s="7" t="s">
        <v>65</v>
      </c>
      <c r="C29" s="7">
        <v>1</v>
      </c>
      <c r="D29" s="8">
        <f>IFERROR(VLOOKUP($B29,Task!$B$1:$G$61,6,0)," ")</f>
        <v>2.0833333333333332E-2</v>
      </c>
      <c r="E29" s="9">
        <f t="shared" si="0"/>
        <v>2.0833333333333332E-2</v>
      </c>
      <c r="F29" s="10">
        <v>0.54903935185185193</v>
      </c>
      <c r="G29" s="10">
        <v>0.56785879629629632</v>
      </c>
      <c r="H29" s="8">
        <f t="shared" si="1"/>
        <v>1.8819444444444389E-2</v>
      </c>
      <c r="I29" s="11">
        <f t="shared" si="2"/>
        <v>0.5698726851851853</v>
      </c>
      <c r="J29" s="8"/>
      <c r="K29" s="8"/>
      <c r="L29" s="8"/>
      <c r="M29" s="12"/>
      <c r="N29" s="13">
        <f t="shared" si="3"/>
        <v>1.1070110701107043</v>
      </c>
      <c r="O29" s="4"/>
    </row>
    <row r="30" spans="1:20" ht="14.5">
      <c r="A30" s="6">
        <v>45635</v>
      </c>
      <c r="B30" s="7" t="s">
        <v>43</v>
      </c>
      <c r="C30" s="7">
        <v>1</v>
      </c>
      <c r="D30" s="8">
        <f>IFERROR(VLOOKUP($B30,Task!$B$1:$G$61,6,0)," ")</f>
        <v>3.4722222222222224E-2</v>
      </c>
      <c r="E30" s="9">
        <f t="shared" si="0"/>
        <v>3.4722222222222224E-2</v>
      </c>
      <c r="F30" s="10">
        <v>0.36884259259259267</v>
      </c>
      <c r="G30" s="10">
        <v>0.39947916666666672</v>
      </c>
      <c r="H30" s="8">
        <f t="shared" si="1"/>
        <v>3.0636574074074052E-2</v>
      </c>
      <c r="I30" s="11">
        <f t="shared" si="2"/>
        <v>0.40356481481481488</v>
      </c>
      <c r="J30" s="8"/>
      <c r="K30" s="8"/>
      <c r="L30" s="8"/>
      <c r="M30" s="12"/>
      <c r="N30" s="13">
        <f t="shared" si="3"/>
        <v>1.1333585190782025</v>
      </c>
      <c r="O30" s="4"/>
    </row>
    <row r="31" spans="1:20" ht="14.5">
      <c r="A31" s="6">
        <v>45635</v>
      </c>
      <c r="B31" s="7" t="s">
        <v>42</v>
      </c>
      <c r="C31" s="7">
        <v>1</v>
      </c>
      <c r="D31" s="8">
        <f>IFERROR(VLOOKUP($B31,Task!$B$1:$G$61,6,0)," ")</f>
        <v>6.9444444444444441E-3</v>
      </c>
      <c r="E31" s="9">
        <f t="shared" si="0"/>
        <v>6.9444444444444441E-3</v>
      </c>
      <c r="F31" s="10">
        <f t="shared" ref="F31:F34" si="13">G30</f>
        <v>0.39947916666666672</v>
      </c>
      <c r="G31" s="10">
        <v>0.40584490740740742</v>
      </c>
      <c r="H31" s="8">
        <f t="shared" si="1"/>
        <v>6.3657407407406996E-3</v>
      </c>
      <c r="I31" s="11">
        <f t="shared" si="2"/>
        <v>0.40642361111111114</v>
      </c>
      <c r="J31" s="8"/>
      <c r="K31" s="8"/>
      <c r="L31" s="8"/>
      <c r="M31" s="12"/>
      <c r="N31" s="13">
        <f t="shared" si="3"/>
        <v>1.0909090909090979</v>
      </c>
      <c r="O31" s="19"/>
    </row>
    <row r="32" spans="1:20" ht="14.5">
      <c r="A32" s="6">
        <v>45635</v>
      </c>
      <c r="B32" s="7" t="s">
        <v>63</v>
      </c>
      <c r="C32" s="7">
        <v>1</v>
      </c>
      <c r="D32" s="8">
        <f>IFERROR(VLOOKUP($B32,Task!$B$1:$G$61,6,0)," ")</f>
        <v>4.5138888888888888E-2</v>
      </c>
      <c r="E32" s="9">
        <f t="shared" si="0"/>
        <v>4.5138888888888888E-2</v>
      </c>
      <c r="F32" s="10">
        <f t="shared" si="13"/>
        <v>0.40584490740740742</v>
      </c>
      <c r="G32" s="10">
        <v>0.47645833333333332</v>
      </c>
      <c r="H32" s="8">
        <f t="shared" si="1"/>
        <v>4.4432870370370345E-2</v>
      </c>
      <c r="I32" s="11">
        <f t="shared" si="2"/>
        <v>0.47716435185185185</v>
      </c>
      <c r="J32" s="8"/>
      <c r="K32" s="8"/>
      <c r="L32" s="8">
        <v>2.6180555555555554E-2</v>
      </c>
      <c r="M32" s="12"/>
      <c r="N32" s="13">
        <f t="shared" si="3"/>
        <v>1.0158895545715037</v>
      </c>
      <c r="O32" s="4"/>
    </row>
    <row r="33" spans="1:15" ht="14.5">
      <c r="A33" s="6">
        <v>45635</v>
      </c>
      <c r="B33" s="7" t="s">
        <v>30</v>
      </c>
      <c r="C33" s="7">
        <v>4</v>
      </c>
      <c r="D33" s="8">
        <f>IFERROR(VLOOKUP($B33,Task!$B$1:$G$61,6,0)," ")</f>
        <v>4.8611111111111112E-2</v>
      </c>
      <c r="E33" s="9">
        <f t="shared" si="0"/>
        <v>0.19444444444444445</v>
      </c>
      <c r="F33" s="10">
        <f t="shared" si="13"/>
        <v>0.47645833333333332</v>
      </c>
      <c r="G33" s="10">
        <v>0.7313425925925926</v>
      </c>
      <c r="H33" s="8">
        <f t="shared" si="1"/>
        <v>0.19697916666666671</v>
      </c>
      <c r="I33" s="11">
        <f t="shared" si="2"/>
        <v>0.72880787037037031</v>
      </c>
      <c r="J33" s="8"/>
      <c r="K33" s="8"/>
      <c r="L33" s="8">
        <v>5.7905092592592591E-2</v>
      </c>
      <c r="M33" s="12"/>
      <c r="N33" s="13">
        <f t="shared" si="3"/>
        <v>0.98713202890886642</v>
      </c>
    </row>
    <row r="34" spans="1:15" ht="14.5">
      <c r="A34" s="6">
        <v>45635</v>
      </c>
      <c r="B34" s="7" t="s">
        <v>16</v>
      </c>
      <c r="C34" s="7">
        <v>4</v>
      </c>
      <c r="D34" s="8">
        <f>IFERROR(VLOOKUP($B34,Task!$B$1:$G$61,6,0)," ")</f>
        <v>5.5555555555555558E-3</v>
      </c>
      <c r="E34" s="9">
        <f t="shared" si="0"/>
        <v>2.2222222222222223E-2</v>
      </c>
      <c r="F34" s="10">
        <f t="shared" si="13"/>
        <v>0.7313425925925926</v>
      </c>
      <c r="G34" s="10">
        <v>0.75138888888888888</v>
      </c>
      <c r="H34" s="8">
        <f t="shared" si="1"/>
        <v>2.0046296296296284E-2</v>
      </c>
      <c r="I34" s="11">
        <f t="shared" si="2"/>
        <v>0.75356481481481485</v>
      </c>
      <c r="J34" s="8"/>
      <c r="K34" s="8"/>
      <c r="L34" s="8"/>
      <c r="M34" s="12"/>
      <c r="N34" s="13">
        <f t="shared" si="3"/>
        <v>1.1085450346420331</v>
      </c>
      <c r="O34" s="19"/>
    </row>
    <row r="35" spans="1:15" ht="14.5">
      <c r="A35" s="6">
        <v>45636</v>
      </c>
      <c r="B35" s="7" t="s">
        <v>16</v>
      </c>
      <c r="C35" s="7">
        <v>13</v>
      </c>
      <c r="D35" s="8">
        <f>IFERROR(VLOOKUP($B35,Task!$B$1:$G$61,6,0)," ")</f>
        <v>5.5555555555555558E-3</v>
      </c>
      <c r="E35" s="9">
        <f t="shared" si="0"/>
        <v>7.2222222222222229E-2</v>
      </c>
      <c r="F35" s="10">
        <v>0.37863425925925931</v>
      </c>
      <c r="G35" s="10">
        <v>0.48305555555555557</v>
      </c>
      <c r="H35" s="8">
        <f t="shared" si="1"/>
        <v>6.347222222222218E-2</v>
      </c>
      <c r="I35" s="11">
        <f t="shared" si="2"/>
        <v>0.49180555555555561</v>
      </c>
      <c r="J35" s="8"/>
      <c r="K35" s="8"/>
      <c r="L35" s="8">
        <v>4.0949074074074075E-2</v>
      </c>
      <c r="M35" s="18"/>
      <c r="N35" s="13">
        <f t="shared" si="3"/>
        <v>1.1378555798687098</v>
      </c>
    </row>
    <row r="36" spans="1:15" ht="14.5">
      <c r="A36" s="6">
        <v>45636</v>
      </c>
      <c r="B36" s="7" t="s">
        <v>86</v>
      </c>
      <c r="C36" s="7">
        <v>105</v>
      </c>
      <c r="D36" s="8">
        <v>1.3888888888888889E-3</v>
      </c>
      <c r="E36" s="9">
        <f t="shared" si="0"/>
        <v>0.14583333333333334</v>
      </c>
      <c r="F36" s="10">
        <f t="shared" ref="F36:F37" si="14">G35</f>
        <v>0.48305555555555557</v>
      </c>
      <c r="G36" s="10">
        <v>0.68093750000000008</v>
      </c>
      <c r="H36" s="8">
        <f t="shared" si="1"/>
        <v>0.13226851851851859</v>
      </c>
      <c r="I36" s="11">
        <f t="shared" si="2"/>
        <v>0.69450231481481484</v>
      </c>
      <c r="J36" s="8"/>
      <c r="K36" s="8"/>
      <c r="L36" s="8">
        <v>6.5613425925925922E-2</v>
      </c>
      <c r="M36" s="12"/>
      <c r="N36" s="13">
        <f t="shared" si="3"/>
        <v>1.1025551277563872</v>
      </c>
    </row>
    <row r="37" spans="1:15" ht="14.5">
      <c r="A37" s="6">
        <v>45636</v>
      </c>
      <c r="B37" s="7" t="s">
        <v>16</v>
      </c>
      <c r="C37" s="7">
        <v>15</v>
      </c>
      <c r="D37" s="8">
        <f>IFERROR(VLOOKUP($B37,Task!$B$1:$G$61,6,0)," ")</f>
        <v>5.5555555555555558E-3</v>
      </c>
      <c r="E37" s="9">
        <f t="shared" si="0"/>
        <v>8.3333333333333343E-2</v>
      </c>
      <c r="F37" s="10">
        <f t="shared" si="14"/>
        <v>0.68093750000000008</v>
      </c>
      <c r="G37" s="10">
        <v>0.75675368055817671</v>
      </c>
      <c r="H37" s="8">
        <f t="shared" si="1"/>
        <v>7.5816180558176627E-2</v>
      </c>
      <c r="I37" s="11">
        <f t="shared" si="2"/>
        <v>0.76427083333333345</v>
      </c>
      <c r="J37" s="8"/>
      <c r="K37" s="8"/>
      <c r="L37" s="8"/>
      <c r="M37" s="12"/>
      <c r="N37" s="13">
        <f t="shared" si="3"/>
        <v>1.0991497160607888</v>
      </c>
      <c r="O37" s="4"/>
    </row>
    <row r="38" spans="1:15" ht="14.5">
      <c r="A38" s="6">
        <v>45637</v>
      </c>
      <c r="B38" s="7" t="s">
        <v>18</v>
      </c>
      <c r="C38" s="7">
        <v>1</v>
      </c>
      <c r="D38" s="8">
        <f>IFERROR(VLOOKUP($B38,Task!$B$1:$G$61,6,0)," ")</f>
        <v>4.8611111111111112E-2</v>
      </c>
      <c r="E38" s="9">
        <f t="shared" si="0"/>
        <v>4.8611111111111112E-2</v>
      </c>
      <c r="F38" s="10">
        <v>0.37597222222222226</v>
      </c>
      <c r="G38" s="10">
        <v>0.42236111111111119</v>
      </c>
      <c r="H38" s="8">
        <f t="shared" si="1"/>
        <v>4.4525462962962996E-2</v>
      </c>
      <c r="I38" s="11">
        <f t="shared" si="2"/>
        <v>0.42644675925925929</v>
      </c>
      <c r="J38" s="8"/>
      <c r="K38" s="8"/>
      <c r="L38" s="8">
        <v>1.8634259259259259E-3</v>
      </c>
      <c r="M38" s="12"/>
      <c r="N38" s="13">
        <f t="shared" si="3"/>
        <v>1.0917598128411741</v>
      </c>
      <c r="O38" s="19"/>
    </row>
    <row r="39" spans="1:15" ht="14.5">
      <c r="A39" s="6">
        <v>45637</v>
      </c>
      <c r="B39" s="7" t="s">
        <v>46</v>
      </c>
      <c r="C39" s="7">
        <v>39</v>
      </c>
      <c r="D39" s="8">
        <f>IFERROR(VLOOKUP($B39,Task!$B$1:$G$61,6,0)," ")</f>
        <v>3.472222222222222E-3</v>
      </c>
      <c r="E39" s="9">
        <f t="shared" si="0"/>
        <v>0.13541666666666666</v>
      </c>
      <c r="F39" s="10">
        <f t="shared" ref="F39:F40" si="15">G38</f>
        <v>0.42236111111111119</v>
      </c>
      <c r="G39" s="10">
        <v>0.58695601851851853</v>
      </c>
      <c r="H39" s="8">
        <f t="shared" si="1"/>
        <v>0.12575231481481475</v>
      </c>
      <c r="I39" s="11">
        <f t="shared" si="2"/>
        <v>0.59662037037037041</v>
      </c>
      <c r="J39" s="8"/>
      <c r="K39" s="8"/>
      <c r="L39" s="8">
        <v>3.8842592592592595E-2</v>
      </c>
      <c r="M39" s="12"/>
      <c r="N39" s="13">
        <f t="shared" si="3"/>
        <v>1.0768522779567424</v>
      </c>
      <c r="O39" s="19"/>
    </row>
    <row r="40" spans="1:15" ht="14.5">
      <c r="A40" s="6">
        <v>45637</v>
      </c>
      <c r="B40" s="7" t="s">
        <v>86</v>
      </c>
      <c r="C40" s="7">
        <v>43</v>
      </c>
      <c r="D40" s="8">
        <f>IFERROR(VLOOKUP($B40,Task!$B$1:$G$61,6,0)," ")</f>
        <v>3.472222222222222E-3</v>
      </c>
      <c r="E40" s="9">
        <f t="shared" si="0"/>
        <v>0.14930555555555555</v>
      </c>
      <c r="F40" s="10">
        <f t="shared" si="15"/>
        <v>0.58695601851851853</v>
      </c>
      <c r="G40" s="10">
        <v>0.75696759259259261</v>
      </c>
      <c r="H40" s="8">
        <f t="shared" si="1"/>
        <v>0.1375925925925926</v>
      </c>
      <c r="I40" s="11">
        <f t="shared" si="2"/>
        <v>0.76868055555555559</v>
      </c>
      <c r="J40" s="8"/>
      <c r="K40" s="8"/>
      <c r="L40" s="8">
        <v>3.2418981481481479E-2</v>
      </c>
      <c r="M40" s="12"/>
      <c r="N40" s="13">
        <f t="shared" si="3"/>
        <v>1.0851278600269179</v>
      </c>
      <c r="O40" s="4"/>
    </row>
    <row r="41" spans="1:15" ht="14.5">
      <c r="A41" s="6">
        <v>45638</v>
      </c>
      <c r="B41" s="7" t="s">
        <v>43</v>
      </c>
      <c r="C41" s="7">
        <v>1</v>
      </c>
      <c r="D41" s="8">
        <f>IFERROR(VLOOKUP($B41,Task!$B$1:$G$61,6,0)," ")</f>
        <v>3.4722222222222224E-2</v>
      </c>
      <c r="E41" s="9">
        <f t="shared" si="0"/>
        <v>3.4722222222222224E-2</v>
      </c>
      <c r="F41" s="10">
        <v>0.37888888888888894</v>
      </c>
      <c r="G41" s="10">
        <v>0.41144675925925933</v>
      </c>
      <c r="H41" s="8">
        <f t="shared" si="1"/>
        <v>3.0520833333333351E-2</v>
      </c>
      <c r="I41" s="11">
        <f t="shared" si="2"/>
        <v>0.41564814814814821</v>
      </c>
      <c r="J41" s="8"/>
      <c r="K41" s="8"/>
      <c r="L41" s="8">
        <v>2.0370370370370369E-3</v>
      </c>
      <c r="M41" s="12"/>
      <c r="N41" s="13">
        <f t="shared" si="3"/>
        <v>1.1376564277588161</v>
      </c>
      <c r="O41" s="4"/>
    </row>
    <row r="42" spans="1:15" ht="14.5">
      <c r="A42" s="6">
        <v>45638</v>
      </c>
      <c r="B42" s="7" t="s">
        <v>42</v>
      </c>
      <c r="C42" s="7">
        <v>1</v>
      </c>
      <c r="D42" s="8">
        <f>IFERROR(VLOOKUP($B42,Task!$B$1:$G$61,6,0)," ")</f>
        <v>6.9444444444444441E-3</v>
      </c>
      <c r="E42" s="9">
        <f t="shared" si="0"/>
        <v>6.9444444444444441E-3</v>
      </c>
      <c r="F42" s="10">
        <f t="shared" ref="F42:F44" si="16">G41</f>
        <v>0.41144675925925933</v>
      </c>
      <c r="G42" s="10">
        <v>0.41768518518518527</v>
      </c>
      <c r="H42" s="8">
        <f t="shared" si="1"/>
        <v>6.2384259259259389E-3</v>
      </c>
      <c r="I42" s="11">
        <f t="shared" si="2"/>
        <v>0.41839120370370375</v>
      </c>
      <c r="J42" s="8"/>
      <c r="K42" s="8"/>
      <c r="L42" s="8"/>
      <c r="M42" s="12"/>
      <c r="N42" s="13">
        <f t="shared" si="3"/>
        <v>1.113172541743968</v>
      </c>
      <c r="O42" s="4"/>
    </row>
    <row r="43" spans="1:15" ht="14.5">
      <c r="A43" s="6">
        <v>45638</v>
      </c>
      <c r="B43" s="7" t="s">
        <v>18</v>
      </c>
      <c r="C43" s="7">
        <v>2</v>
      </c>
      <c r="D43" s="8">
        <f>IFERROR(VLOOKUP($B43,Task!$B$1:$G$61,6,0)," ")</f>
        <v>4.8611111111111112E-2</v>
      </c>
      <c r="E43" s="9">
        <f t="shared" si="0"/>
        <v>9.7222222222222224E-2</v>
      </c>
      <c r="F43" s="10">
        <f t="shared" si="16"/>
        <v>0.41768518518518527</v>
      </c>
      <c r="G43" s="10">
        <v>0.52009259259259255</v>
      </c>
      <c r="H43" s="8">
        <f t="shared" si="1"/>
        <v>9.2280092592592469E-2</v>
      </c>
      <c r="I43" s="11">
        <f t="shared" si="2"/>
        <v>0.52503472222222225</v>
      </c>
      <c r="J43" s="8"/>
      <c r="K43" s="8"/>
      <c r="L43" s="8">
        <v>1.0127314814814815E-2</v>
      </c>
      <c r="M43" s="12"/>
      <c r="N43" s="13">
        <f t="shared" si="3"/>
        <v>1.0535557506584738</v>
      </c>
      <c r="O43" s="19"/>
    </row>
    <row r="44" spans="1:15" ht="14.5">
      <c r="A44" s="6">
        <v>45638</v>
      </c>
      <c r="B44" s="7" t="s">
        <v>86</v>
      </c>
      <c r="C44" s="7">
        <v>55</v>
      </c>
      <c r="D44" s="8">
        <f>IFERROR(VLOOKUP($B44,Task!$B$1:$G$61,6,0)," ")</f>
        <v>3.472222222222222E-3</v>
      </c>
      <c r="E44" s="9">
        <f t="shared" si="0"/>
        <v>0.19097222222222221</v>
      </c>
      <c r="F44" s="10">
        <f t="shared" si="16"/>
        <v>0.52009259259259255</v>
      </c>
      <c r="G44" s="10">
        <v>0.75694444444444442</v>
      </c>
      <c r="H44" s="8">
        <f t="shared" si="1"/>
        <v>0.18640046296296298</v>
      </c>
      <c r="I44" s="11">
        <f t="shared" si="2"/>
        <v>0.76151620370370365</v>
      </c>
      <c r="J44" s="8"/>
      <c r="K44" s="8"/>
      <c r="L44" s="8">
        <v>5.0451388888888886E-2</v>
      </c>
      <c r="M44" s="12"/>
      <c r="N44" s="13">
        <f t="shared" si="3"/>
        <v>1.0245265445513814</v>
      </c>
      <c r="O44" s="19"/>
    </row>
    <row r="45" spans="1:15" ht="14.5">
      <c r="A45" s="6">
        <v>45639</v>
      </c>
      <c r="B45" s="7" t="s">
        <v>18</v>
      </c>
      <c r="C45" s="7">
        <v>1</v>
      </c>
      <c r="D45" s="8">
        <f>IFERROR(VLOOKUP($B45,Task!$B$1:$G$61,6,0)," ")</f>
        <v>4.8611111111111112E-2</v>
      </c>
      <c r="E45" s="9">
        <f t="shared" si="0"/>
        <v>4.8611111111111112E-2</v>
      </c>
      <c r="F45" s="10">
        <v>0.2872569444444445</v>
      </c>
      <c r="G45" s="10">
        <v>0.33221064814814816</v>
      </c>
      <c r="H45" s="8">
        <f t="shared" si="1"/>
        <v>4.4953703703703662E-2</v>
      </c>
      <c r="I45" s="11">
        <f t="shared" si="2"/>
        <v>0.3358680555555556</v>
      </c>
      <c r="J45" s="8"/>
      <c r="K45" s="8"/>
      <c r="L45" s="8"/>
      <c r="M45" s="12"/>
      <c r="N45" s="13">
        <f t="shared" si="3"/>
        <v>1.0813594232749753</v>
      </c>
      <c r="O45" s="19"/>
    </row>
    <row r="46" spans="1:15" ht="14.5">
      <c r="A46" s="6">
        <v>45639</v>
      </c>
      <c r="B46" s="7" t="s">
        <v>86</v>
      </c>
      <c r="C46" s="7">
        <v>10</v>
      </c>
      <c r="D46" s="8">
        <f>IFERROR(VLOOKUP($B46,Task!$B$1:$G$61,6,0)," ")</f>
        <v>3.472222222222222E-3</v>
      </c>
      <c r="E46" s="9">
        <f t="shared" si="0"/>
        <v>3.4722222222222224E-2</v>
      </c>
      <c r="F46" s="10">
        <f t="shared" ref="F46:F48" si="17">G45</f>
        <v>0.33221064814814816</v>
      </c>
      <c r="G46" s="10">
        <v>0.39846899305121042</v>
      </c>
      <c r="H46" s="8">
        <f t="shared" si="1"/>
        <v>3.2577789347506707E-2</v>
      </c>
      <c r="I46" s="11">
        <f t="shared" si="2"/>
        <v>0.40061342592592591</v>
      </c>
      <c r="J46" s="8"/>
      <c r="K46" s="8"/>
      <c r="L46" s="8">
        <v>3.3680555555555554E-2</v>
      </c>
      <c r="M46" s="12"/>
      <c r="N46" s="13">
        <f t="shared" si="3"/>
        <v>1.0658249966515803</v>
      </c>
      <c r="O46" s="4"/>
    </row>
    <row r="47" spans="1:15" ht="14.5">
      <c r="A47" s="6">
        <v>45639</v>
      </c>
      <c r="B47" s="7" t="s">
        <v>65</v>
      </c>
      <c r="C47" s="7">
        <v>1</v>
      </c>
      <c r="D47" s="8">
        <f>IFERROR(VLOOKUP($B47,Task!$B$1:$G$61,6,0)," ")</f>
        <v>2.0833333333333332E-2</v>
      </c>
      <c r="E47" s="9">
        <f t="shared" si="0"/>
        <v>2.0833333333333332E-2</v>
      </c>
      <c r="F47" s="10">
        <f t="shared" si="17"/>
        <v>0.39846899305121042</v>
      </c>
      <c r="G47" s="10">
        <v>0.43660879629629629</v>
      </c>
      <c r="H47" s="8">
        <f t="shared" si="1"/>
        <v>1.8799525467308089E-2</v>
      </c>
      <c r="I47" s="11">
        <f t="shared" si="2"/>
        <v>0.43864260416232154</v>
      </c>
      <c r="J47" s="8"/>
      <c r="K47" s="8"/>
      <c r="L47" s="8">
        <v>1.9340277777777779E-2</v>
      </c>
      <c r="M47" s="12"/>
      <c r="N47" s="13">
        <f t="shared" si="3"/>
        <v>1.1081840001526626</v>
      </c>
      <c r="O47" s="4"/>
    </row>
    <row r="48" spans="1:15" ht="14.5">
      <c r="A48" s="6">
        <v>45639</v>
      </c>
      <c r="B48" s="7" t="s">
        <v>86</v>
      </c>
      <c r="C48" s="7">
        <v>8</v>
      </c>
      <c r="D48" s="8">
        <f>IFERROR(VLOOKUP($B48,Task!$B$1:$G$61,6,0)," ")</f>
        <v>3.472222222222222E-3</v>
      </c>
      <c r="E48" s="9">
        <f t="shared" si="0"/>
        <v>2.7777777777777776E-2</v>
      </c>
      <c r="F48" s="10">
        <f t="shared" si="17"/>
        <v>0.43660879629629629</v>
      </c>
      <c r="G48" s="10">
        <v>0.46200231481481491</v>
      </c>
      <c r="H48" s="8">
        <f t="shared" si="1"/>
        <v>2.5393518518518621E-2</v>
      </c>
      <c r="I48" s="11">
        <f t="shared" si="2"/>
        <v>0.46438657407407408</v>
      </c>
      <c r="J48" s="8"/>
      <c r="K48" s="8"/>
      <c r="L48" s="8"/>
      <c r="M48" s="12"/>
      <c r="N48" s="13">
        <f t="shared" si="3"/>
        <v>1.093892433910661</v>
      </c>
      <c r="O48" s="4"/>
    </row>
    <row r="49" spans="1:23" ht="14.5">
      <c r="A49" s="6">
        <v>45639</v>
      </c>
      <c r="B49" s="7" t="s">
        <v>16</v>
      </c>
      <c r="C49" s="7">
        <v>14</v>
      </c>
      <c r="D49" s="8">
        <f>IFERROR(VLOOKUP($B49,Task!$B$1:$G$61,6,0)," ")</f>
        <v>5.5555555555555558E-3</v>
      </c>
      <c r="E49" s="9">
        <f t="shared" si="0"/>
        <v>7.7777777777777779E-2</v>
      </c>
      <c r="F49" s="10">
        <v>0.5129745370370371</v>
      </c>
      <c r="G49" s="8">
        <v>0.58359953703703704</v>
      </c>
      <c r="H49" s="8">
        <f t="shared" si="1"/>
        <v>6.4965277777777719E-2</v>
      </c>
      <c r="I49" s="11">
        <f t="shared" si="2"/>
        <v>0.59641203703703705</v>
      </c>
      <c r="J49" s="8"/>
      <c r="K49" s="8"/>
      <c r="L49" s="8">
        <v>5.6597222222222222E-3</v>
      </c>
      <c r="M49" s="12"/>
      <c r="N49" s="13">
        <f t="shared" si="3"/>
        <v>1.1972207375734911</v>
      </c>
      <c r="O49" s="4"/>
    </row>
    <row r="50" spans="1:23" ht="14.5">
      <c r="A50" s="6">
        <v>45642</v>
      </c>
      <c r="B50" s="7" t="s">
        <v>42</v>
      </c>
      <c r="C50" s="7">
        <v>1</v>
      </c>
      <c r="D50" s="8">
        <f>IFERROR(VLOOKUP($B50,Task!$B$1:$G$61,6,0)," ")</f>
        <v>6.9444444444444441E-3</v>
      </c>
      <c r="E50" s="9">
        <f t="shared" si="0"/>
        <v>6.9444444444444441E-3</v>
      </c>
      <c r="F50" s="10">
        <v>0.38025462962962964</v>
      </c>
      <c r="G50" s="10">
        <v>0.38850694444444445</v>
      </c>
      <c r="H50" s="8">
        <f t="shared" si="1"/>
        <v>6.6550925925925875E-3</v>
      </c>
      <c r="I50" s="11">
        <f t="shared" si="2"/>
        <v>0.38879629629629631</v>
      </c>
      <c r="J50" s="8"/>
      <c r="K50" s="8"/>
      <c r="L50" s="8">
        <v>1.5972222222222223E-3</v>
      </c>
      <c r="M50" s="12"/>
      <c r="N50" s="13">
        <f t="shared" si="3"/>
        <v>1.0434782608695659</v>
      </c>
      <c r="O50" s="4"/>
    </row>
    <row r="51" spans="1:23" ht="14.5">
      <c r="A51" s="6">
        <v>45642</v>
      </c>
      <c r="B51" s="7" t="s">
        <v>43</v>
      </c>
      <c r="C51" s="7">
        <v>1</v>
      </c>
      <c r="D51" s="8">
        <f>IFERROR(VLOOKUP($B51,Task!$B$1:$G$61,6,0)," ")</f>
        <v>3.4722222222222224E-2</v>
      </c>
      <c r="E51" s="9">
        <f t="shared" si="0"/>
        <v>3.4722222222222224E-2</v>
      </c>
      <c r="F51" s="10">
        <f t="shared" ref="F51:F54" si="18">G50</f>
        <v>0.38850694444444445</v>
      </c>
      <c r="G51" s="10">
        <v>0.41724537037037046</v>
      </c>
      <c r="H51" s="8">
        <f t="shared" si="1"/>
        <v>2.8738425925926014E-2</v>
      </c>
      <c r="I51" s="11">
        <f t="shared" si="2"/>
        <v>0.42322916666666666</v>
      </c>
      <c r="J51" s="8"/>
      <c r="K51" s="8"/>
      <c r="L51" s="8"/>
      <c r="M51" s="12"/>
      <c r="N51" s="13">
        <f t="shared" si="3"/>
        <v>1.2082158679017281</v>
      </c>
      <c r="O51" s="19"/>
    </row>
    <row r="52" spans="1:23" ht="14.5">
      <c r="A52" s="6">
        <v>45642</v>
      </c>
      <c r="B52" s="7" t="s">
        <v>63</v>
      </c>
      <c r="C52" s="7">
        <v>1</v>
      </c>
      <c r="D52" s="8">
        <f>IFERROR(VLOOKUP($B52,Task!$B$1:$G$61,6,0)," ")</f>
        <v>4.5138888888888888E-2</v>
      </c>
      <c r="E52" s="9">
        <f t="shared" si="0"/>
        <v>4.5138888888888888E-2</v>
      </c>
      <c r="F52" s="8">
        <f t="shared" si="18"/>
        <v>0.41724537037037046</v>
      </c>
      <c r="G52" s="10">
        <v>0.45879629629629631</v>
      </c>
      <c r="H52" s="8">
        <f t="shared" si="1"/>
        <v>4.1550925925925852E-2</v>
      </c>
      <c r="I52" s="11">
        <f t="shared" si="2"/>
        <v>0.46238425925925936</v>
      </c>
      <c r="J52" s="8"/>
      <c r="K52" s="8"/>
      <c r="L52" s="8"/>
      <c r="M52" s="12"/>
      <c r="N52" s="13">
        <f t="shared" si="3"/>
        <v>1.0863509749303639</v>
      </c>
      <c r="O52" s="19"/>
    </row>
    <row r="53" spans="1:23" ht="14.5">
      <c r="A53" s="6">
        <v>45642</v>
      </c>
      <c r="B53" s="7" t="s">
        <v>37</v>
      </c>
      <c r="C53" s="7">
        <v>50</v>
      </c>
      <c r="D53" s="8">
        <f>IFERROR(VLOOKUP($B53,Task!$B$1:$G$61,6,0)," ")</f>
        <v>1.3888888888888889E-3</v>
      </c>
      <c r="E53" s="9">
        <f t="shared" si="0"/>
        <v>6.9444444444444448E-2</v>
      </c>
      <c r="F53" s="10">
        <f t="shared" si="18"/>
        <v>0.45879629629629631</v>
      </c>
      <c r="G53" s="10">
        <v>0.52872685185185186</v>
      </c>
      <c r="H53" s="8">
        <f t="shared" si="1"/>
        <v>6.3935185185185178E-2</v>
      </c>
      <c r="I53" s="11">
        <f t="shared" si="2"/>
        <v>0.53423611111111113</v>
      </c>
      <c r="J53" s="8"/>
      <c r="K53" s="8"/>
      <c r="L53" s="8">
        <v>5.9953703703703705E-3</v>
      </c>
      <c r="M53" s="18" t="s">
        <v>30</v>
      </c>
      <c r="N53" s="13">
        <f t="shared" si="3"/>
        <v>1.0861694424330197</v>
      </c>
      <c r="O53" s="19"/>
    </row>
    <row r="54" spans="1:23" ht="14.5">
      <c r="A54" s="6">
        <v>45642</v>
      </c>
      <c r="B54" s="7" t="s">
        <v>18</v>
      </c>
      <c r="C54" s="7">
        <v>4</v>
      </c>
      <c r="D54" s="8">
        <f>IFERROR(VLOOKUP($B54,Task!$B$1:$G$61,6,0)," ")</f>
        <v>4.8611111111111112E-2</v>
      </c>
      <c r="E54" s="9">
        <f t="shared" si="0"/>
        <v>0.19444444444444445</v>
      </c>
      <c r="F54" s="10">
        <f t="shared" si="18"/>
        <v>0.52872685185185186</v>
      </c>
      <c r="G54" s="10">
        <v>0.75862268518518516</v>
      </c>
      <c r="H54" s="8">
        <f t="shared" si="1"/>
        <v>0.17355324074074072</v>
      </c>
      <c r="I54" s="11">
        <f t="shared" si="2"/>
        <v>0.77951388888888884</v>
      </c>
      <c r="J54" s="8"/>
      <c r="K54" s="8"/>
      <c r="L54" s="8">
        <v>5.634259259259259E-2</v>
      </c>
      <c r="M54" s="12"/>
      <c r="N54" s="13">
        <f t="shared" si="3"/>
        <v>1.1203734578192732</v>
      </c>
    </row>
    <row r="55" spans="1:23" ht="14.5">
      <c r="A55" s="6">
        <v>45643</v>
      </c>
      <c r="B55" s="7" t="s">
        <v>18</v>
      </c>
      <c r="C55" s="7">
        <v>1</v>
      </c>
      <c r="D55" s="8">
        <f>IFERROR(VLOOKUP($B55,Task!$B$1:$G$61,6,0)," ")</f>
        <v>4.8611111111111112E-2</v>
      </c>
      <c r="E55" s="9">
        <f t="shared" si="0"/>
        <v>4.8611111111111112E-2</v>
      </c>
      <c r="F55" s="10">
        <v>0.37329861111111118</v>
      </c>
      <c r="G55" s="10">
        <v>0.44954861111111111</v>
      </c>
      <c r="H55" s="8">
        <f t="shared" si="1"/>
        <v>4.4722222222222149E-2</v>
      </c>
      <c r="I55" s="11">
        <f t="shared" si="2"/>
        <v>0.45343750000000005</v>
      </c>
      <c r="J55" s="8"/>
      <c r="K55" s="8"/>
      <c r="L55" s="8">
        <v>3.152777777777778E-2</v>
      </c>
      <c r="M55" s="12"/>
      <c r="N55" s="13">
        <f t="shared" si="3"/>
        <v>1.0869565217391322</v>
      </c>
    </row>
    <row r="56" spans="1:23" ht="14.5">
      <c r="A56" s="6">
        <v>45643</v>
      </c>
      <c r="B56" s="7" t="s">
        <v>30</v>
      </c>
      <c r="C56" s="7">
        <v>4</v>
      </c>
      <c r="D56" s="8">
        <f>IFERROR(VLOOKUP($B56,Task!$B$1:$G$61,6,0)," ")</f>
        <v>4.8611111111111112E-2</v>
      </c>
      <c r="E56" s="9">
        <f t="shared" si="0"/>
        <v>0.19444444444444445</v>
      </c>
      <c r="F56" s="10">
        <f t="shared" ref="F56:F57" si="19">G55</f>
        <v>0.44954861111111111</v>
      </c>
      <c r="G56" s="10">
        <v>0.60922453703703705</v>
      </c>
      <c r="H56" s="8">
        <f t="shared" si="1"/>
        <v>0.1317476851851852</v>
      </c>
      <c r="I56" s="11">
        <f t="shared" si="2"/>
        <v>0.67192129629629627</v>
      </c>
      <c r="J56" s="8"/>
      <c r="K56" s="8"/>
      <c r="L56" s="8">
        <v>2.792824074074074E-2</v>
      </c>
      <c r="M56" s="12"/>
      <c r="N56" s="13">
        <f t="shared" si="3"/>
        <v>1.4758850918035666</v>
      </c>
      <c r="P56" s="4"/>
    </row>
    <row r="57" spans="1:23" ht="14.5">
      <c r="A57" s="6">
        <v>45643</v>
      </c>
      <c r="B57" s="7" t="s">
        <v>37</v>
      </c>
      <c r="C57" s="7">
        <v>92</v>
      </c>
      <c r="D57" s="8">
        <f>IFERROR(VLOOKUP($B57,Task!$B$1:$G$61,6,0)," ")</f>
        <v>1.3888888888888889E-3</v>
      </c>
      <c r="E57" s="9">
        <f t="shared" si="0"/>
        <v>0.1277777777777778</v>
      </c>
      <c r="F57" s="10">
        <f t="shared" si="19"/>
        <v>0.60922453703703705</v>
      </c>
      <c r="G57" s="10">
        <v>0.75121527777777775</v>
      </c>
      <c r="H57" s="8">
        <f t="shared" si="1"/>
        <v>0.11156249999999995</v>
      </c>
      <c r="I57" s="11">
        <f t="shared" si="2"/>
        <v>0.76743055555555562</v>
      </c>
      <c r="J57" s="8"/>
      <c r="K57" s="8"/>
      <c r="L57" s="8">
        <v>3.0428240740740742E-2</v>
      </c>
      <c r="M57" s="18" t="s">
        <v>87</v>
      </c>
      <c r="N57" s="13">
        <f t="shared" si="3"/>
        <v>1.1453470276999695</v>
      </c>
      <c r="O57" s="19"/>
      <c r="P57" s="4"/>
    </row>
    <row r="58" spans="1:23" ht="14.5">
      <c r="A58" s="6">
        <v>45644</v>
      </c>
      <c r="B58" s="7" t="s">
        <v>86</v>
      </c>
      <c r="C58" s="7">
        <v>55</v>
      </c>
      <c r="D58" s="8">
        <f>IFERROR(VLOOKUP($B58,Task!$B$1:$G$61,6,0)," ")</f>
        <v>3.472222222222222E-3</v>
      </c>
      <c r="E58" s="9">
        <f t="shared" si="0"/>
        <v>0.19097222222222221</v>
      </c>
      <c r="F58" s="10">
        <v>0.37922453703703707</v>
      </c>
      <c r="G58" s="10">
        <v>0.63918981481481485</v>
      </c>
      <c r="H58" s="8">
        <f t="shared" si="1"/>
        <v>0.17385416666666667</v>
      </c>
      <c r="I58" s="11">
        <f t="shared" si="2"/>
        <v>0.65630787037037042</v>
      </c>
      <c r="J58" s="8"/>
      <c r="K58" s="8"/>
      <c r="L58" s="8">
        <v>8.611111111111111E-2</v>
      </c>
      <c r="M58" s="12"/>
      <c r="N58" s="13">
        <f t="shared" si="3"/>
        <v>1.0984621529858198</v>
      </c>
      <c r="O58" s="19"/>
      <c r="P58" s="4"/>
    </row>
    <row r="59" spans="1:23" ht="14.5">
      <c r="A59" s="6">
        <v>45644</v>
      </c>
      <c r="B59" s="7" t="s">
        <v>16</v>
      </c>
      <c r="C59" s="7">
        <v>18</v>
      </c>
      <c r="D59" s="8">
        <f>IFERROR(VLOOKUP($B59,Task!$B$1:$G$61,6,0)," ")</f>
        <v>5.5555555555555558E-3</v>
      </c>
      <c r="E59" s="9">
        <f t="shared" si="0"/>
        <v>0.1</v>
      </c>
      <c r="F59" s="10">
        <f>G58</f>
        <v>0.63918981481481485</v>
      </c>
      <c r="G59" s="8">
        <v>0.75694444444444442</v>
      </c>
      <c r="H59" s="8">
        <f t="shared" si="1"/>
        <v>9.5995370370370314E-2</v>
      </c>
      <c r="I59" s="11">
        <f t="shared" si="2"/>
        <v>0.76094907407407408</v>
      </c>
      <c r="J59" s="8"/>
      <c r="K59" s="8"/>
      <c r="L59" s="8">
        <v>2.1759259259259259E-2</v>
      </c>
      <c r="M59" s="12"/>
      <c r="N59" s="13">
        <f t="shared" si="3"/>
        <v>1.04171690378587</v>
      </c>
      <c r="O59" s="25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45645</v>
      </c>
      <c r="B60" s="7" t="s">
        <v>42</v>
      </c>
      <c r="C60" s="7">
        <v>1</v>
      </c>
      <c r="D60" s="8">
        <f>IFERROR(VLOOKUP($B60,Task!$B$1:$G$61,6,0)," ")</f>
        <v>6.9444444444444441E-3</v>
      </c>
      <c r="E60" s="9">
        <f t="shared" si="0"/>
        <v>6.9444444444444441E-3</v>
      </c>
      <c r="F60" s="10">
        <v>0.37553240740740745</v>
      </c>
      <c r="G60" s="10">
        <v>0.38186342592592593</v>
      </c>
      <c r="H60" s="8">
        <f t="shared" si="1"/>
        <v>6.331018518518472E-3</v>
      </c>
      <c r="I60" s="11">
        <f t="shared" si="2"/>
        <v>0.38247685185185187</v>
      </c>
      <c r="J60" s="8"/>
      <c r="K60" s="8"/>
      <c r="L60" s="8"/>
      <c r="M60" s="12"/>
      <c r="N60" s="13">
        <f t="shared" si="3"/>
        <v>1.0968921389396789</v>
      </c>
      <c r="O60" s="4"/>
      <c r="Q60" s="4"/>
    </row>
    <row r="61" spans="1:23" ht="14.5">
      <c r="A61" s="6">
        <v>45645</v>
      </c>
      <c r="B61" s="7" t="s">
        <v>43</v>
      </c>
      <c r="C61" s="7">
        <v>1</v>
      </c>
      <c r="D61" s="8">
        <f>IFERROR(VLOOKUP($B61,Task!$B$1:$G$61,6,0)," ")</f>
        <v>3.4722222222222224E-2</v>
      </c>
      <c r="E61" s="9">
        <f t="shared" si="0"/>
        <v>3.4722222222222224E-2</v>
      </c>
      <c r="F61" s="10">
        <v>0.41229166666666672</v>
      </c>
      <c r="G61" s="10">
        <v>0.44204861111111116</v>
      </c>
      <c r="H61" s="8">
        <f t="shared" si="1"/>
        <v>2.9756944444444433E-2</v>
      </c>
      <c r="I61" s="11">
        <f t="shared" si="2"/>
        <v>0.44701388888888893</v>
      </c>
      <c r="J61" s="8"/>
      <c r="K61" s="8"/>
      <c r="L61" s="8"/>
      <c r="M61" s="12"/>
      <c r="N61" s="13">
        <f t="shared" si="3"/>
        <v>1.1668611435239211</v>
      </c>
      <c r="O61" s="19"/>
      <c r="Q61" s="4"/>
    </row>
    <row r="62" spans="1:23" ht="14.5">
      <c r="A62" s="6">
        <v>45645</v>
      </c>
      <c r="B62" s="7" t="s">
        <v>16</v>
      </c>
      <c r="C62" s="7">
        <v>20</v>
      </c>
      <c r="D62" s="8">
        <f>IFERROR(VLOOKUP($B62,Task!$B$1:$G$61,6,0)," ")</f>
        <v>5.5555555555555558E-3</v>
      </c>
      <c r="E62" s="9">
        <f t="shared" si="0"/>
        <v>0.11111111111111112</v>
      </c>
      <c r="F62" s="10">
        <f t="shared" ref="F62:F64" si="20">G61</f>
        <v>0.44204861111111116</v>
      </c>
      <c r="G62" s="10">
        <v>0.57125000000000004</v>
      </c>
      <c r="H62" s="8">
        <f t="shared" si="1"/>
        <v>0.10162037037037036</v>
      </c>
      <c r="I62" s="11">
        <f t="shared" si="2"/>
        <v>0.58074074074074078</v>
      </c>
      <c r="J62" s="8"/>
      <c r="K62" s="8"/>
      <c r="L62" s="8">
        <v>2.7581018518518519E-2</v>
      </c>
      <c r="M62" s="12"/>
      <c r="N62" s="13">
        <f t="shared" si="3"/>
        <v>1.0933940774487474</v>
      </c>
      <c r="O62" s="19"/>
    </row>
    <row r="63" spans="1:23" ht="14.5">
      <c r="A63" s="6">
        <v>45645</v>
      </c>
      <c r="B63" s="7" t="s">
        <v>65</v>
      </c>
      <c r="C63" s="7">
        <v>1</v>
      </c>
      <c r="D63" s="8">
        <f>IFERROR(VLOOKUP($B63,Task!$B$1:$G$61,6,0)," ")</f>
        <v>2.0833333333333332E-2</v>
      </c>
      <c r="E63" s="9">
        <f t="shared" si="0"/>
        <v>2.0833333333333332E-2</v>
      </c>
      <c r="F63" s="10">
        <f t="shared" si="20"/>
        <v>0.57125000000000004</v>
      </c>
      <c r="G63" s="10">
        <v>0.59030092592592598</v>
      </c>
      <c r="H63" s="8">
        <f t="shared" si="1"/>
        <v>1.9050925925925943E-2</v>
      </c>
      <c r="I63" s="11">
        <f t="shared" si="2"/>
        <v>0.59208333333333341</v>
      </c>
      <c r="J63" s="8"/>
      <c r="K63" s="8"/>
      <c r="L63" s="8"/>
      <c r="M63" s="12"/>
      <c r="N63" s="13">
        <f t="shared" si="3"/>
        <v>1.0935601458080184</v>
      </c>
    </row>
    <row r="64" spans="1:23" ht="14.5">
      <c r="A64" s="6">
        <v>45645</v>
      </c>
      <c r="B64" s="7" t="s">
        <v>16</v>
      </c>
      <c r="C64" s="7">
        <v>28</v>
      </c>
      <c r="D64" s="8">
        <f>IFERROR(VLOOKUP($B64,Task!$B$1:$G$61,6,0)," ")</f>
        <v>5.5555555555555558E-3</v>
      </c>
      <c r="E64" s="9">
        <f t="shared" si="0"/>
        <v>0.15555555555555556</v>
      </c>
      <c r="F64" s="10">
        <f t="shared" si="20"/>
        <v>0.59030092592592598</v>
      </c>
      <c r="G64" s="10">
        <v>0.75778935185185181</v>
      </c>
      <c r="H64" s="8">
        <f t="shared" si="1"/>
        <v>0.13591435185185174</v>
      </c>
      <c r="I64" s="11">
        <f t="shared" si="2"/>
        <v>0.77743055555555562</v>
      </c>
      <c r="J64" s="8"/>
      <c r="K64" s="8"/>
      <c r="L64" s="8">
        <v>3.1574074074074074E-2</v>
      </c>
      <c r="M64" s="12"/>
      <c r="N64" s="13">
        <f t="shared" si="3"/>
        <v>1.1445116239461817</v>
      </c>
      <c r="O64" s="4"/>
    </row>
    <row r="65" spans="1:15" ht="14.5">
      <c r="A65" s="6">
        <v>45646</v>
      </c>
      <c r="B65" s="7" t="s">
        <v>16</v>
      </c>
      <c r="C65" s="7">
        <v>18</v>
      </c>
      <c r="D65" s="8">
        <f>IFERROR(VLOOKUP($B65,Task!$B$1:$G$61,6,0)," ")</f>
        <v>5.5555555555555558E-3</v>
      </c>
      <c r="E65" s="9">
        <f t="shared" si="0"/>
        <v>0.1</v>
      </c>
      <c r="F65" s="10">
        <v>0.23006944444444447</v>
      </c>
      <c r="G65" s="10">
        <v>0.32202324074023636</v>
      </c>
      <c r="H65" s="8">
        <f t="shared" si="1"/>
        <v>9.1953796295791895E-2</v>
      </c>
      <c r="I65" s="11">
        <f t="shared" si="2"/>
        <v>0.33006944444444447</v>
      </c>
      <c r="J65" s="8"/>
      <c r="K65" s="8"/>
      <c r="L65" s="8"/>
      <c r="M65" s="12"/>
      <c r="N65" s="13">
        <f t="shared" si="3"/>
        <v>1.0875026810021582</v>
      </c>
      <c r="O65" s="19"/>
    </row>
    <row r="66" spans="1:15" ht="14.5">
      <c r="A66" s="6">
        <v>45646</v>
      </c>
      <c r="B66" s="7" t="s">
        <v>16</v>
      </c>
      <c r="C66" s="7">
        <v>35</v>
      </c>
      <c r="D66" s="8">
        <f>IFERROR(VLOOKUP($B66,Task!$B$1:$G$61,6,0)," ")</f>
        <v>5.5555555555555558E-3</v>
      </c>
      <c r="E66" s="9">
        <f t="shared" si="0"/>
        <v>0.19444444444444445</v>
      </c>
      <c r="F66" s="10">
        <v>0.57973379629629629</v>
      </c>
      <c r="G66" s="10">
        <v>0.75982217592536472</v>
      </c>
      <c r="H66" s="8">
        <f t="shared" si="1"/>
        <v>0.18008837962906843</v>
      </c>
      <c r="I66" s="11">
        <f t="shared" si="2"/>
        <v>0.77417824074074071</v>
      </c>
      <c r="J66" s="8"/>
      <c r="K66" s="8"/>
      <c r="L66" s="8"/>
      <c r="M66" s="12"/>
      <c r="N66" s="13">
        <f t="shared" si="3"/>
        <v>1.0797167748687921</v>
      </c>
      <c r="O66" s="19"/>
    </row>
    <row r="67" spans="1:15" ht="14.5">
      <c r="A67" s="6">
        <v>45649</v>
      </c>
      <c r="B67" s="7" t="s">
        <v>43</v>
      </c>
      <c r="C67" s="7">
        <v>1</v>
      </c>
      <c r="D67" s="8">
        <f>IFERROR(VLOOKUP($B67,Task!$B$1:$G$61,6,0)," ")</f>
        <v>3.4722222222222224E-2</v>
      </c>
      <c r="E67" s="9">
        <f t="shared" si="0"/>
        <v>3.4722222222222224E-2</v>
      </c>
      <c r="F67" s="10">
        <v>0.37547453703703704</v>
      </c>
      <c r="G67" s="10">
        <v>0.4097453703703704</v>
      </c>
      <c r="H67" s="8">
        <f t="shared" si="1"/>
        <v>3.0347222222222251E-2</v>
      </c>
      <c r="I67" s="11">
        <f t="shared" si="2"/>
        <v>0.41412037037037036</v>
      </c>
      <c r="J67" s="8"/>
      <c r="K67" s="8"/>
      <c r="L67" s="8">
        <v>3.9236111111111112E-3</v>
      </c>
      <c r="M67" s="12"/>
      <c r="N67" s="13">
        <f t="shared" si="3"/>
        <v>1.1441647597253994</v>
      </c>
      <c r="O67" s="19"/>
    </row>
    <row r="68" spans="1:15" ht="14.5">
      <c r="A68" s="6">
        <v>45649</v>
      </c>
      <c r="B68" s="7" t="s">
        <v>42</v>
      </c>
      <c r="C68" s="7">
        <v>1</v>
      </c>
      <c r="D68" s="8">
        <f>IFERROR(VLOOKUP($B68,Task!$B$1:$G$61,6,0)," ")</f>
        <v>6.9444444444444441E-3</v>
      </c>
      <c r="E68" s="9">
        <f t="shared" si="0"/>
        <v>6.9444444444444441E-3</v>
      </c>
      <c r="F68" s="10">
        <v>0.42160879629629633</v>
      </c>
      <c r="G68" s="10">
        <v>0.42806712962962967</v>
      </c>
      <c r="H68" s="8">
        <f t="shared" si="1"/>
        <v>6.4583333333333437E-3</v>
      </c>
      <c r="I68" s="11">
        <f t="shared" si="2"/>
        <v>0.42855324074074075</v>
      </c>
      <c r="J68" s="8"/>
      <c r="K68" s="8"/>
      <c r="L68" s="8"/>
      <c r="M68" s="12"/>
      <c r="N68" s="13">
        <f t="shared" si="3"/>
        <v>1.0752688172042992</v>
      </c>
      <c r="O68" s="19"/>
    </row>
    <row r="69" spans="1:15" ht="14.5">
      <c r="A69" s="6">
        <v>45649</v>
      </c>
      <c r="B69" s="7" t="s">
        <v>16</v>
      </c>
      <c r="C69" s="7">
        <v>19</v>
      </c>
      <c r="D69" s="8">
        <f>IFERROR(VLOOKUP($B69,Task!$B$1:$G$61,6,0)," ")</f>
        <v>5.5555555555555558E-3</v>
      </c>
      <c r="E69" s="9">
        <f t="shared" si="0"/>
        <v>0.10555555555555556</v>
      </c>
      <c r="F69" s="10">
        <f>G67</f>
        <v>0.4097453703703704</v>
      </c>
      <c r="G69" s="10">
        <v>0.56292824074074077</v>
      </c>
      <c r="H69" s="8">
        <f t="shared" si="1"/>
        <v>9.7581018518518525E-2</v>
      </c>
      <c r="I69" s="11">
        <f t="shared" si="2"/>
        <v>0.57090277777777776</v>
      </c>
      <c r="J69" s="8"/>
      <c r="K69" s="8"/>
      <c r="L69" s="8">
        <v>5.5601851851851854E-2</v>
      </c>
      <c r="M69" s="12"/>
      <c r="N69" s="13">
        <f t="shared" si="3"/>
        <v>1.0817222156327837</v>
      </c>
      <c r="O69" s="19"/>
    </row>
    <row r="70" spans="1:15" ht="14.5">
      <c r="A70" s="6">
        <v>45649</v>
      </c>
      <c r="B70" s="7" t="s">
        <v>16</v>
      </c>
      <c r="C70" s="7">
        <v>32</v>
      </c>
      <c r="D70" s="8">
        <f>IFERROR(VLOOKUP($B70,Task!$B$1:$G$61,6,0)," ")</f>
        <v>5.5555555555555558E-3</v>
      </c>
      <c r="E70" s="9">
        <f t="shared" si="0"/>
        <v>0.17777777777777778</v>
      </c>
      <c r="F70" s="10">
        <f>G69</f>
        <v>0.56292824074074077</v>
      </c>
      <c r="G70" s="10">
        <v>0.75524402777955402</v>
      </c>
      <c r="H70" s="8">
        <f t="shared" si="1"/>
        <v>0.16551023148325769</v>
      </c>
      <c r="I70" s="11">
        <f t="shared" si="2"/>
        <v>0.76751157407407411</v>
      </c>
      <c r="J70" s="8"/>
      <c r="K70" s="8"/>
      <c r="L70" s="8">
        <v>2.6805555555555555E-2</v>
      </c>
      <c r="M70" s="12"/>
      <c r="N70" s="13">
        <f t="shared" si="3"/>
        <v>1.0741195646008206</v>
      </c>
      <c r="O70" s="19"/>
    </row>
    <row r="71" spans="1:15" ht="14.5">
      <c r="A71" s="6">
        <v>45650</v>
      </c>
      <c r="B71" s="7" t="s">
        <v>18</v>
      </c>
      <c r="C71" s="7">
        <v>1</v>
      </c>
      <c r="D71" s="8">
        <f>IFERROR(VLOOKUP($B71,Task!$B$1:$G$61,6,0)," ")</f>
        <v>4.8611111111111112E-2</v>
      </c>
      <c r="E71" s="9">
        <f t="shared" si="0"/>
        <v>4.8611111111111112E-2</v>
      </c>
      <c r="F71" s="10">
        <v>0.39826388888888897</v>
      </c>
      <c r="G71" s="10">
        <v>0.44324074074074082</v>
      </c>
      <c r="H71" s="8">
        <f t="shared" si="1"/>
        <v>4.4976851851851851E-2</v>
      </c>
      <c r="I71" s="11">
        <f t="shared" si="2"/>
        <v>0.44687500000000008</v>
      </c>
      <c r="J71" s="8"/>
      <c r="K71" s="8"/>
      <c r="L71" s="8"/>
      <c r="M71" s="12"/>
      <c r="N71" s="13">
        <f t="shared" si="3"/>
        <v>1.0808028821410192</v>
      </c>
      <c r="O71" s="4"/>
    </row>
    <row r="72" spans="1:15" ht="14.5">
      <c r="A72" s="6">
        <v>45650</v>
      </c>
      <c r="B72" s="7" t="s">
        <v>16</v>
      </c>
      <c r="C72" s="7">
        <v>24</v>
      </c>
      <c r="D72" s="8">
        <f>IFERROR(VLOOKUP($B72,Task!$B$1:$G$61,6,0)," ")</f>
        <v>5.5555555555555558E-3</v>
      </c>
      <c r="E72" s="9">
        <f t="shared" si="0"/>
        <v>0.13333333333333333</v>
      </c>
      <c r="F72" s="10">
        <f t="shared" ref="F72:F73" si="21">G71</f>
        <v>0.44324074074074082</v>
      </c>
      <c r="G72" s="10">
        <v>0.59275462962962966</v>
      </c>
      <c r="H72" s="8">
        <f t="shared" si="1"/>
        <v>0.11934027777777773</v>
      </c>
      <c r="I72" s="11">
        <f t="shared" si="2"/>
        <v>0.60674768518518518</v>
      </c>
      <c r="J72" s="8"/>
      <c r="K72" s="8"/>
      <c r="L72" s="8">
        <v>3.0173611111111109E-2</v>
      </c>
      <c r="M72" s="12"/>
      <c r="N72" s="13">
        <f t="shared" si="3"/>
        <v>1.117253418679081</v>
      </c>
      <c r="O72" s="19"/>
    </row>
    <row r="73" spans="1:15" ht="14.5">
      <c r="A73" s="6">
        <v>45650</v>
      </c>
      <c r="B73" s="7" t="s">
        <v>46</v>
      </c>
      <c r="C73" s="7">
        <v>45</v>
      </c>
      <c r="D73" s="8">
        <f>IFERROR(VLOOKUP($B73,Task!$B$1:$G$61,6,0)," ")</f>
        <v>3.472222222222222E-3</v>
      </c>
      <c r="E73" s="9">
        <f t="shared" si="0"/>
        <v>0.15625</v>
      </c>
      <c r="F73" s="10">
        <f t="shared" si="21"/>
        <v>0.59275462962962966</v>
      </c>
      <c r="G73" s="10">
        <v>0.75902777777777775</v>
      </c>
      <c r="H73" s="8">
        <f t="shared" si="1"/>
        <v>0.14170138888888884</v>
      </c>
      <c r="I73" s="11">
        <f t="shared" si="2"/>
        <v>0.77357638888888891</v>
      </c>
      <c r="J73" s="8"/>
      <c r="K73" s="8"/>
      <c r="L73" s="8">
        <v>2.4571759259259258E-2</v>
      </c>
      <c r="M73" s="12"/>
      <c r="N73" s="13">
        <f t="shared" si="3"/>
        <v>1.1026709139916691</v>
      </c>
      <c r="O73" s="19"/>
    </row>
    <row r="74" spans="1:15" ht="14.5">
      <c r="A74" s="6">
        <v>45653</v>
      </c>
      <c r="B74" s="7" t="s">
        <v>46</v>
      </c>
      <c r="C74" s="7">
        <v>37</v>
      </c>
      <c r="D74" s="8">
        <f>IFERROR(VLOOKUP($B74,Task!$B$1:$G$61,6,0)," ")</f>
        <v>3.472222222222222E-3</v>
      </c>
      <c r="E74" s="9">
        <f t="shared" si="0"/>
        <v>0.12847222222222221</v>
      </c>
      <c r="F74" s="10">
        <v>0.36528935185185185</v>
      </c>
      <c r="G74" s="10">
        <v>0.60188657407407409</v>
      </c>
      <c r="H74" s="8">
        <f t="shared" si="1"/>
        <v>0.11663194444444445</v>
      </c>
      <c r="I74" s="11">
        <f t="shared" si="2"/>
        <v>0.61372685185185183</v>
      </c>
      <c r="J74" s="8"/>
      <c r="K74" s="8"/>
      <c r="L74" s="8">
        <v>0.11996527777777778</v>
      </c>
      <c r="M74" s="12"/>
      <c r="N74" s="13">
        <f t="shared" si="3"/>
        <v>1.1015183090205416</v>
      </c>
    </row>
    <row r="75" spans="1:15" ht="14.5">
      <c r="A75" s="6">
        <v>45653</v>
      </c>
      <c r="B75" s="7" t="s">
        <v>18</v>
      </c>
      <c r="C75" s="7">
        <v>1</v>
      </c>
      <c r="D75" s="8">
        <f>IFERROR(VLOOKUP($B75,Task!$B$1:$G$61,6,0)," ")</f>
        <v>4.8611111111111112E-2</v>
      </c>
      <c r="E75" s="9">
        <f t="shared" si="0"/>
        <v>4.8611111111111112E-2</v>
      </c>
      <c r="F75" s="10">
        <v>0.48090277777777779</v>
      </c>
      <c r="G75" s="10">
        <v>0.56037037037037041</v>
      </c>
      <c r="H75" s="8">
        <f t="shared" si="1"/>
        <v>4.473379629629632E-2</v>
      </c>
      <c r="I75" s="11">
        <f t="shared" si="2"/>
        <v>0.5642476851851852</v>
      </c>
      <c r="J75" s="8"/>
      <c r="K75" s="8"/>
      <c r="L75" s="8">
        <v>3.4733796296296297E-2</v>
      </c>
      <c r="M75" s="18"/>
      <c r="N75" s="13">
        <f t="shared" si="3"/>
        <v>1.0866752910737381</v>
      </c>
    </row>
    <row r="76" spans="1:15" ht="14.5">
      <c r="A76" s="6">
        <v>45653</v>
      </c>
      <c r="B76" s="7" t="s">
        <v>50</v>
      </c>
      <c r="C76" s="7">
        <v>2</v>
      </c>
      <c r="D76" s="8">
        <f>IFERROR(VLOOKUP($B76,Task!$B$1:$G$61,6,0)," ")</f>
        <v>1.0416666666666666E-2</v>
      </c>
      <c r="E76" s="9">
        <f t="shared" si="0"/>
        <v>2.0833333333333332E-2</v>
      </c>
      <c r="F76" s="10">
        <v>0.56037037037037041</v>
      </c>
      <c r="G76" s="10">
        <v>0.5855787037037038</v>
      </c>
      <c r="H76" s="8">
        <f t="shared" si="1"/>
        <v>2.5208333333333388E-2</v>
      </c>
      <c r="I76" s="11">
        <f t="shared" si="2"/>
        <v>0.58120370370370378</v>
      </c>
      <c r="J76" s="8"/>
      <c r="K76" s="8"/>
      <c r="L76" s="8"/>
      <c r="M76" s="12"/>
      <c r="N76" s="13">
        <f t="shared" si="3"/>
        <v>0.82644628099173367</v>
      </c>
      <c r="O76" s="19"/>
    </row>
    <row r="77" spans="1:15" ht="14.5">
      <c r="A77" s="6">
        <v>45653</v>
      </c>
      <c r="B77" s="7" t="s">
        <v>51</v>
      </c>
      <c r="C77" s="7">
        <v>2</v>
      </c>
      <c r="D77" s="8">
        <f>IFERROR(VLOOKUP($B77,Task!$B$1:$G$61,6,0)," ")</f>
        <v>1.0416666666666666E-2</v>
      </c>
      <c r="E77" s="9">
        <f t="shared" si="0"/>
        <v>2.0833333333333332E-2</v>
      </c>
      <c r="F77" s="10">
        <f>G76</f>
        <v>0.5855787037037038</v>
      </c>
      <c r="G77" s="10">
        <v>0.60086805555555556</v>
      </c>
      <c r="H77" s="8">
        <f t="shared" si="1"/>
        <v>1.5289351851851762E-2</v>
      </c>
      <c r="I77" s="11">
        <f t="shared" si="2"/>
        <v>0.60641203703703717</v>
      </c>
      <c r="J77" s="8"/>
      <c r="K77" s="8"/>
      <c r="L77" s="8"/>
      <c r="M77" s="18"/>
      <c r="N77" s="13">
        <f t="shared" si="3"/>
        <v>1.3626040878122714</v>
      </c>
      <c r="O77" s="19"/>
    </row>
    <row r="78" spans="1:15" ht="14.5">
      <c r="A78" s="6">
        <v>45653</v>
      </c>
      <c r="B78" s="7" t="s">
        <v>52</v>
      </c>
      <c r="C78" s="7">
        <v>2</v>
      </c>
      <c r="D78" s="8">
        <f>IFERROR(VLOOKUP($B78,Task!$B$1:$G$61,6,0)," ")</f>
        <v>1.0416666666666666E-2</v>
      </c>
      <c r="E78" s="9">
        <f t="shared" si="0"/>
        <v>2.0833333333333332E-2</v>
      </c>
      <c r="F78" s="10">
        <v>0.60188657407407409</v>
      </c>
      <c r="G78" s="10">
        <v>0.62091435185185184</v>
      </c>
      <c r="H78" s="8">
        <f t="shared" si="1"/>
        <v>1.9027777777777755E-2</v>
      </c>
      <c r="I78" s="11">
        <f t="shared" si="2"/>
        <v>0.62271990740740746</v>
      </c>
      <c r="J78" s="8"/>
      <c r="K78" s="8"/>
      <c r="L78" s="8"/>
      <c r="M78" s="12"/>
      <c r="N78" s="13">
        <f t="shared" si="3"/>
        <v>1.0948905109489064</v>
      </c>
      <c r="O78" s="19"/>
    </row>
    <row r="79" spans="1:15" ht="14.5">
      <c r="A79" s="6">
        <v>45653</v>
      </c>
      <c r="B79" s="7" t="s">
        <v>53</v>
      </c>
      <c r="C79" s="7">
        <v>2</v>
      </c>
      <c r="D79" s="8">
        <f>IFERROR(VLOOKUP($B79,Task!$B$1:$G$61,6,0)," ")</f>
        <v>1.0416666666666666E-2</v>
      </c>
      <c r="E79" s="9">
        <f t="shared" si="0"/>
        <v>2.0833333333333332E-2</v>
      </c>
      <c r="F79" s="10">
        <f t="shared" ref="F79:F80" si="22">G78</f>
        <v>0.62091435185185184</v>
      </c>
      <c r="G79" s="10">
        <v>0.67503472222222227</v>
      </c>
      <c r="H79" s="8">
        <f t="shared" si="1"/>
        <v>1.8807870370370433E-2</v>
      </c>
      <c r="I79" s="11">
        <f t="shared" si="2"/>
        <v>0.67706018518518518</v>
      </c>
      <c r="J79" s="8"/>
      <c r="K79" s="8"/>
      <c r="L79" s="8">
        <v>3.5312499999999997E-2</v>
      </c>
      <c r="M79" s="12"/>
      <c r="N79" s="13">
        <f t="shared" si="3"/>
        <v>1.107692307692304</v>
      </c>
      <c r="O79" s="4"/>
    </row>
    <row r="80" spans="1:15" ht="14.5">
      <c r="A80" s="6">
        <v>45653</v>
      </c>
      <c r="B80" s="7" t="s">
        <v>46</v>
      </c>
      <c r="C80" s="7">
        <v>24</v>
      </c>
      <c r="D80" s="8">
        <f>IFERROR(VLOOKUP($B80,Task!$B$1:$G$61,6,0)," ")</f>
        <v>3.472222222222222E-3</v>
      </c>
      <c r="E80" s="9">
        <f t="shared" si="0"/>
        <v>8.3333333333333329E-2</v>
      </c>
      <c r="F80" s="10">
        <f t="shared" si="22"/>
        <v>0.67503472222222227</v>
      </c>
      <c r="G80" s="10">
        <v>0.75</v>
      </c>
      <c r="H80" s="8">
        <f t="shared" si="1"/>
        <v>7.4965277777777728E-2</v>
      </c>
      <c r="I80" s="11">
        <f t="shared" si="2"/>
        <v>0.75836805555555564</v>
      </c>
      <c r="J80" s="8"/>
      <c r="K80" s="8"/>
      <c r="L80" s="8"/>
      <c r="M80" s="12"/>
      <c r="N80" s="13">
        <f t="shared" si="3"/>
        <v>1.1116257526632707</v>
      </c>
      <c r="O80" s="19"/>
    </row>
    <row r="81" spans="1:16" ht="14.5">
      <c r="A81" s="6">
        <v>45656</v>
      </c>
      <c r="B81" s="7" t="s">
        <v>43</v>
      </c>
      <c r="C81" s="7">
        <v>1</v>
      </c>
      <c r="D81" s="8">
        <f>IFERROR(VLOOKUP($B81,Task!$B$1:$G$61,6,0)," ")</f>
        <v>3.4722222222222224E-2</v>
      </c>
      <c r="E81" s="9">
        <f t="shared" si="0"/>
        <v>3.4722222222222224E-2</v>
      </c>
      <c r="F81" s="10">
        <v>0.38069444444444445</v>
      </c>
      <c r="G81" s="10">
        <v>0.41127314814814819</v>
      </c>
      <c r="H81" s="8">
        <f t="shared" si="1"/>
        <v>3.0578703703703747E-2</v>
      </c>
      <c r="I81" s="11">
        <f t="shared" si="2"/>
        <v>0.41541666666666666</v>
      </c>
      <c r="J81" s="8"/>
      <c r="K81" s="8"/>
      <c r="L81" s="8"/>
      <c r="M81" s="12"/>
      <c r="N81" s="13">
        <f t="shared" si="3"/>
        <v>1.1355034065102181</v>
      </c>
      <c r="O81" s="4"/>
    </row>
    <row r="82" spans="1:16" ht="14.5">
      <c r="A82" s="6">
        <v>45656</v>
      </c>
      <c r="B82" s="7" t="s">
        <v>42</v>
      </c>
      <c r="C82" s="7">
        <v>1</v>
      </c>
      <c r="D82" s="8">
        <f>IFERROR(VLOOKUP($B82,Task!$B$1:$G$61,6,0)," ")</f>
        <v>6.9444444444444441E-3</v>
      </c>
      <c r="E82" s="9">
        <f t="shared" si="0"/>
        <v>6.9444444444444441E-3</v>
      </c>
      <c r="F82" s="10">
        <f t="shared" ref="F82:F83" si="23">G81</f>
        <v>0.41127314814814819</v>
      </c>
      <c r="G82" s="10">
        <v>0.41773148148148148</v>
      </c>
      <c r="H82" s="8">
        <f t="shared" si="1"/>
        <v>6.4583333333332882E-3</v>
      </c>
      <c r="I82" s="11">
        <f t="shared" si="2"/>
        <v>0.41821759259259261</v>
      </c>
      <c r="J82" s="8"/>
      <c r="K82" s="8"/>
      <c r="L82" s="8"/>
      <c r="M82" s="12"/>
      <c r="N82" s="13">
        <f t="shared" si="3"/>
        <v>1.0752688172043086</v>
      </c>
    </row>
    <row r="83" spans="1:16" ht="14.5">
      <c r="A83" s="6">
        <v>45656</v>
      </c>
      <c r="B83" s="7" t="s">
        <v>46</v>
      </c>
      <c r="C83" s="7">
        <v>36</v>
      </c>
      <c r="D83" s="8">
        <f>IFERROR(VLOOKUP($B83,Task!$B$1:$G$61,6,0)," ")</f>
        <v>3.472222222222222E-3</v>
      </c>
      <c r="E83" s="9">
        <f t="shared" si="0"/>
        <v>0.125</v>
      </c>
      <c r="F83" s="10">
        <f t="shared" si="23"/>
        <v>0.41773148148148148</v>
      </c>
      <c r="G83" s="10">
        <v>0.58078703703703705</v>
      </c>
      <c r="H83" s="8">
        <f t="shared" si="1"/>
        <v>0.11427083333333338</v>
      </c>
      <c r="I83" s="11">
        <f t="shared" si="2"/>
        <v>0.59151620370370361</v>
      </c>
      <c r="J83" s="8"/>
      <c r="K83" s="8">
        <v>4.5706018518518521E-2</v>
      </c>
      <c r="L83" s="8">
        <f>K83+H84</f>
        <v>4.8784722222222188E-2</v>
      </c>
      <c r="M83" s="12"/>
      <c r="N83" s="13">
        <f t="shared" si="3"/>
        <v>1.093892433910665</v>
      </c>
      <c r="O83" s="19"/>
    </row>
    <row r="84" spans="1:16" ht="14.5">
      <c r="A84" s="6">
        <v>45656</v>
      </c>
      <c r="B84" s="7" t="s">
        <v>46</v>
      </c>
      <c r="C84" s="7">
        <v>1</v>
      </c>
      <c r="D84" s="8">
        <f>IFERROR(VLOOKUP($B84,Task!$B$1:$G$61,6,0)," ")</f>
        <v>3.472222222222222E-3</v>
      </c>
      <c r="E84" s="9">
        <f t="shared" si="0"/>
        <v>3.472222222222222E-3</v>
      </c>
      <c r="F84" s="10">
        <v>0.57664351851851858</v>
      </c>
      <c r="G84" s="10">
        <v>0.57972222222222225</v>
      </c>
      <c r="H84" s="8">
        <f t="shared" si="1"/>
        <v>3.0787037037036669E-3</v>
      </c>
      <c r="I84" s="11">
        <f t="shared" si="2"/>
        <v>0.58011574074074079</v>
      </c>
      <c r="J84" s="8"/>
      <c r="K84" s="8"/>
      <c r="L84" s="8"/>
      <c r="M84" s="12"/>
      <c r="N84" s="13">
        <f t="shared" si="3"/>
        <v>1.1278195488721938</v>
      </c>
      <c r="O84" s="19"/>
    </row>
    <row r="85" spans="1:16" ht="14.5">
      <c r="A85" s="6">
        <v>45656</v>
      </c>
      <c r="B85" s="7" t="s">
        <v>18</v>
      </c>
      <c r="C85" s="7">
        <v>1</v>
      </c>
      <c r="D85" s="8">
        <f>IFERROR(VLOOKUP($B85,Task!$B$1:$G$61,6,0)," ")</f>
        <v>4.8611111111111112E-2</v>
      </c>
      <c r="E85" s="9">
        <f t="shared" si="0"/>
        <v>4.8611111111111112E-2</v>
      </c>
      <c r="F85" s="10">
        <v>0.58078703703703705</v>
      </c>
      <c r="G85" s="10">
        <v>0.62746527777777783</v>
      </c>
      <c r="H85" s="8">
        <f t="shared" si="1"/>
        <v>4.6678240740740784E-2</v>
      </c>
      <c r="I85" s="11">
        <f t="shared" si="2"/>
        <v>0.62939814814814821</v>
      </c>
      <c r="J85" s="8"/>
      <c r="K85" s="8"/>
      <c r="L85" s="8"/>
      <c r="M85" s="12"/>
      <c r="N85" s="13">
        <f t="shared" si="3"/>
        <v>1.0414083808579211</v>
      </c>
      <c r="O85" s="4"/>
    </row>
    <row r="86" spans="1:16" ht="14.5">
      <c r="A86" s="6">
        <v>45656</v>
      </c>
      <c r="B86" s="7" t="s">
        <v>46</v>
      </c>
      <c r="C86" s="7">
        <v>40</v>
      </c>
      <c r="D86" s="8">
        <f>IFERROR(VLOOKUP($B86,Task!$B$1:$G$61,6,0)," ")</f>
        <v>3.472222222222222E-3</v>
      </c>
      <c r="E86" s="9">
        <f t="shared" si="0"/>
        <v>0.1388888888888889</v>
      </c>
      <c r="F86" s="10">
        <f>G85</f>
        <v>0.62746527777777783</v>
      </c>
      <c r="G86" s="10">
        <v>0.76298511573986616</v>
      </c>
      <c r="H86" s="8">
        <f t="shared" si="1"/>
        <v>0.12336706018431055</v>
      </c>
      <c r="I86" s="11">
        <f t="shared" si="2"/>
        <v>0.77850694444444446</v>
      </c>
      <c r="J86" s="8"/>
      <c r="K86" s="8"/>
      <c r="L86" s="8">
        <v>1.2152777777777778E-2</v>
      </c>
      <c r="M86" s="12"/>
      <c r="N86" s="13">
        <f t="shared" si="3"/>
        <v>1.1258182587911936</v>
      </c>
      <c r="O86" s="4"/>
    </row>
    <row r="87" spans="1:16" ht="14.5">
      <c r="A87" s="6">
        <v>45657</v>
      </c>
      <c r="B87" s="7" t="s">
        <v>46</v>
      </c>
      <c r="C87" s="7">
        <v>37</v>
      </c>
      <c r="D87" s="8">
        <f>IFERROR(VLOOKUP($B87,Task!$B$1:$G$61,6,0)," ")</f>
        <v>3.472222222222222E-3</v>
      </c>
      <c r="E87" s="9">
        <f t="shared" si="0"/>
        <v>0.12847222222222221</v>
      </c>
      <c r="F87" s="10">
        <v>0.24531250000000002</v>
      </c>
      <c r="G87" s="10">
        <v>0.36430555555555555</v>
      </c>
      <c r="H87" s="8">
        <f t="shared" si="1"/>
        <v>0.11899305555555553</v>
      </c>
      <c r="I87" s="11">
        <f t="shared" si="2"/>
        <v>0.37378472222222225</v>
      </c>
      <c r="J87" s="8"/>
      <c r="K87" s="8"/>
      <c r="L87" s="8"/>
      <c r="M87" s="12"/>
      <c r="N87" s="13">
        <f t="shared" si="3"/>
        <v>1.0796615115261163</v>
      </c>
      <c r="O87" s="4"/>
    </row>
    <row r="88" spans="1:16" ht="14.5">
      <c r="A88" s="6">
        <v>45657</v>
      </c>
      <c r="B88" s="7" t="s">
        <v>18</v>
      </c>
      <c r="C88" s="7">
        <v>1</v>
      </c>
      <c r="D88" s="8">
        <f>IFERROR(VLOOKUP($B88,Task!$B$1:$G$61,6,0)," ")</f>
        <v>4.8611111111111112E-2</v>
      </c>
      <c r="E88" s="9">
        <f t="shared" si="0"/>
        <v>4.8611111111111112E-2</v>
      </c>
      <c r="F88" s="10">
        <v>0.36430555555555555</v>
      </c>
      <c r="G88" s="10">
        <v>0.41185185185185186</v>
      </c>
      <c r="H88" s="8">
        <f t="shared" si="1"/>
        <v>4.4583333333333343E-2</v>
      </c>
      <c r="I88" s="11">
        <f t="shared" si="2"/>
        <v>0.4158796296296296</v>
      </c>
      <c r="J88" s="8"/>
      <c r="K88" s="8"/>
      <c r="L88" s="8">
        <v>2.9629629629629628E-3</v>
      </c>
      <c r="M88" s="12"/>
      <c r="N88" s="13">
        <f t="shared" si="3"/>
        <v>1.0903426791277255</v>
      </c>
      <c r="O88" s="19"/>
    </row>
    <row r="89" spans="1:16" ht="14.5">
      <c r="A89" s="6">
        <v>45657</v>
      </c>
      <c r="B89" s="7" t="s">
        <v>46</v>
      </c>
      <c r="C89" s="7">
        <v>48</v>
      </c>
      <c r="D89" s="8">
        <f>IFERROR(VLOOKUP($B89,Task!$B$1:$G$61,6,0)," ")</f>
        <v>3.472222222222222E-3</v>
      </c>
      <c r="E89" s="9">
        <f t="shared" si="0"/>
        <v>0.16666666666666666</v>
      </c>
      <c r="F89" s="10">
        <f>G88</f>
        <v>0.41185185185185186</v>
      </c>
      <c r="G89" s="10">
        <v>0.63011116898269393</v>
      </c>
      <c r="H89" s="8">
        <f t="shared" si="1"/>
        <v>0.15858339120491616</v>
      </c>
      <c r="I89" s="11">
        <f t="shared" si="2"/>
        <v>0.63819444444444451</v>
      </c>
      <c r="J89" s="8"/>
      <c r="K89" s="8"/>
      <c r="L89" s="8">
        <v>5.9675925925925924E-2</v>
      </c>
      <c r="M89" s="12"/>
      <c r="N89" s="13">
        <f t="shared" si="3"/>
        <v>1.050971765708463</v>
      </c>
      <c r="O89" s="19"/>
      <c r="P89" s="4"/>
    </row>
    <row r="90" spans="1:16" ht="14.5">
      <c r="A90" s="6"/>
      <c r="B90" s="7"/>
      <c r="C90" s="7"/>
      <c r="D90" s="8" t="str">
        <f>IFERROR(VLOOKUP($B90,Task!$B$1:$G$61,6,0)," ")</f>
        <v xml:space="preserve"> </v>
      </c>
      <c r="E90" s="9" t="str">
        <f t="shared" si="0"/>
        <v xml:space="preserve"> </v>
      </c>
      <c r="F90" s="10"/>
      <c r="G90" s="10"/>
      <c r="H90" s="8" t="str">
        <f t="shared" si="1"/>
        <v/>
      </c>
      <c r="I90" s="11" t="str">
        <f t="shared" si="2"/>
        <v/>
      </c>
      <c r="J90" s="8"/>
      <c r="K90" s="8"/>
      <c r="L90" s="8"/>
      <c r="M90" s="12"/>
      <c r="N90" s="13" t="str">
        <f t="shared" si="3"/>
        <v xml:space="preserve"> </v>
      </c>
      <c r="O90" s="19"/>
    </row>
    <row r="91" spans="1:16" ht="14.5">
      <c r="A91" s="6"/>
      <c r="B91" s="7"/>
      <c r="C91" s="7"/>
      <c r="D91" s="8" t="str">
        <f>IFERROR(VLOOKUP($B91,Task!$B$1:$G$61,6,0)," ")</f>
        <v xml:space="preserve"> </v>
      </c>
      <c r="E91" s="9" t="str">
        <f t="shared" si="0"/>
        <v xml:space="preserve"> </v>
      </c>
      <c r="F91" s="10"/>
      <c r="G91" s="10"/>
      <c r="H91" s="8" t="str">
        <f t="shared" si="1"/>
        <v/>
      </c>
      <c r="I91" s="11" t="str">
        <f t="shared" si="2"/>
        <v/>
      </c>
      <c r="J91" s="8"/>
      <c r="K91" s="8"/>
      <c r="L91" s="8"/>
      <c r="M91" s="12"/>
      <c r="N91" s="13" t="str">
        <f t="shared" si="3"/>
        <v xml:space="preserve"> </v>
      </c>
      <c r="O91" s="19"/>
    </row>
    <row r="92" spans="1:16" ht="14.5">
      <c r="A92" s="6"/>
      <c r="B92" s="7"/>
      <c r="C92" s="7"/>
      <c r="D92" s="8" t="str">
        <f>IFERROR(VLOOKUP($B92,Task!$B$1:$G$61,6,0)," ")</f>
        <v xml:space="preserve"> </v>
      </c>
      <c r="E92" s="9" t="str">
        <f t="shared" si="0"/>
        <v xml:space="preserve"> </v>
      </c>
      <c r="F92" s="10"/>
      <c r="G92" s="10"/>
      <c r="H92" s="8" t="str">
        <f t="shared" si="1"/>
        <v/>
      </c>
      <c r="I92" s="11" t="str">
        <f t="shared" si="2"/>
        <v/>
      </c>
      <c r="J92" s="8"/>
      <c r="K92" s="8"/>
      <c r="L92" s="8"/>
      <c r="M92" s="12"/>
      <c r="N92" s="13" t="str">
        <f t="shared" si="3"/>
        <v xml:space="preserve"> </v>
      </c>
      <c r="O92" s="19" t="e">
        <f ca="1">AVERAGEIF(A:A,TODAY(),N:N)</f>
        <v>#DIV/0!</v>
      </c>
    </row>
    <row r="93" spans="1:16" ht="14.5">
      <c r="A93" s="6"/>
      <c r="B93" s="7"/>
      <c r="C93" s="7"/>
      <c r="D93" s="8" t="str">
        <f>IFERROR(VLOOKUP($B93,Task!$B$1:$G$61,6,0)," ")</f>
        <v xml:space="preserve"> </v>
      </c>
      <c r="E93" s="9" t="str">
        <f t="shared" si="0"/>
        <v xml:space="preserve"> </v>
      </c>
      <c r="F93" s="10"/>
      <c r="G93" s="10"/>
      <c r="H93" s="8" t="str">
        <f t="shared" si="1"/>
        <v/>
      </c>
      <c r="I93" s="11" t="str">
        <f t="shared" si="2"/>
        <v/>
      </c>
      <c r="J93" s="8"/>
      <c r="K93" s="8"/>
      <c r="L93" s="8"/>
      <c r="M93" s="12"/>
      <c r="N93" s="13" t="str">
        <f t="shared" si="3"/>
        <v xml:space="preserve"> </v>
      </c>
      <c r="O93" s="19"/>
    </row>
    <row r="94" spans="1:16" ht="14.5">
      <c r="A94" s="6"/>
      <c r="B94" s="7"/>
      <c r="C94" s="7"/>
      <c r="D94" s="8" t="str">
        <f>IFERROR(VLOOKUP($B94,Task!$B$1:$G$61,6,0)," ")</f>
        <v xml:space="preserve"> </v>
      </c>
      <c r="E94" s="9" t="str">
        <f t="shared" si="0"/>
        <v xml:space="preserve"> </v>
      </c>
      <c r="F94" s="10"/>
      <c r="G94" s="10"/>
      <c r="H94" s="8" t="str">
        <f t="shared" si="1"/>
        <v/>
      </c>
      <c r="I94" s="11" t="str">
        <f t="shared" si="2"/>
        <v/>
      </c>
      <c r="J94" s="8"/>
      <c r="K94" s="8"/>
      <c r="L94" s="8"/>
      <c r="M94" s="12"/>
      <c r="N94" s="13" t="str">
        <f t="shared" si="3"/>
        <v xml:space="preserve"> </v>
      </c>
    </row>
    <row r="95" spans="1:16" ht="14.5">
      <c r="A95" s="6"/>
      <c r="B95" s="7" t="s">
        <v>16</v>
      </c>
      <c r="C95" s="7">
        <v>61</v>
      </c>
      <c r="D95" s="8">
        <f>IFERROR(VLOOKUP($B95,Task!$B$1:$G$61,6,0)," ")</f>
        <v>5.5555555555555558E-3</v>
      </c>
      <c r="E95" s="9">
        <f t="shared" si="0"/>
        <v>0.33888888888888891</v>
      </c>
      <c r="F95" s="10"/>
      <c r="G95" s="10"/>
      <c r="H95" s="8" t="str">
        <f t="shared" si="1"/>
        <v/>
      </c>
      <c r="I95" s="11">
        <f t="shared" si="2"/>
        <v>0.33888888888888891</v>
      </c>
      <c r="J95" s="8"/>
      <c r="K95" s="8"/>
      <c r="L95" s="8"/>
      <c r="M95" s="12"/>
      <c r="N95" s="13" t="str">
        <f t="shared" si="3"/>
        <v xml:space="preserve"> </v>
      </c>
      <c r="O95" s="4"/>
    </row>
    <row r="96" spans="1:16" ht="14.5">
      <c r="A96" s="6"/>
      <c r="B96" s="7" t="s">
        <v>37</v>
      </c>
      <c r="C96" s="7">
        <v>154</v>
      </c>
      <c r="D96" s="8">
        <f>IFERROR(VLOOKUP($B96,Task!$B$1:$G$61,6,0)," ")</f>
        <v>1.3888888888888889E-3</v>
      </c>
      <c r="E96" s="9">
        <f t="shared" si="0"/>
        <v>0.21388888888888891</v>
      </c>
      <c r="F96" s="10"/>
      <c r="G96" s="10"/>
      <c r="H96" s="8" t="str">
        <f t="shared" si="1"/>
        <v/>
      </c>
      <c r="I96" s="11">
        <f t="shared" si="2"/>
        <v>0.21388888888888891</v>
      </c>
      <c r="J96" s="8"/>
      <c r="K96" s="8"/>
      <c r="L96" s="8"/>
      <c r="M96" s="12"/>
      <c r="N96" s="13" t="str">
        <f t="shared" si="3"/>
        <v xml:space="preserve"> </v>
      </c>
      <c r="O96" s="19"/>
    </row>
    <row r="97" spans="1:17" ht="14.5">
      <c r="A97" s="6"/>
      <c r="B97" s="7"/>
      <c r="C97" s="7"/>
      <c r="D97" s="8" t="str">
        <f>IFERROR(VLOOKUP($B97,Task!$B$1:$G$61,6,0)," ")</f>
        <v xml:space="preserve"> </v>
      </c>
      <c r="E97" s="9" t="str">
        <f t="shared" si="0"/>
        <v xml:space="preserve"> </v>
      </c>
      <c r="F97" s="10"/>
      <c r="G97" s="10"/>
      <c r="H97" s="8" t="str">
        <f t="shared" si="1"/>
        <v/>
      </c>
      <c r="I97" s="11" t="str">
        <f t="shared" si="2"/>
        <v/>
      </c>
      <c r="J97" s="8"/>
      <c r="K97" s="8"/>
      <c r="L97" s="8"/>
      <c r="M97" s="12"/>
      <c r="N97" s="13" t="str">
        <f t="shared" si="3"/>
        <v xml:space="preserve"> </v>
      </c>
    </row>
    <row r="98" spans="1:17" ht="14.5">
      <c r="A98" s="6"/>
      <c r="B98" s="34"/>
      <c r="C98" s="34"/>
      <c r="D98" s="35" t="str">
        <f>IFERROR(VLOOKUP($B98,Task!$B$1:$G$61,6,0)," ")</f>
        <v xml:space="preserve"> </v>
      </c>
      <c r="E98" s="9" t="str">
        <f t="shared" si="0"/>
        <v xml:space="preserve"> </v>
      </c>
      <c r="F98" s="36"/>
      <c r="G98" s="36"/>
      <c r="H98" s="8" t="str">
        <f t="shared" si="1"/>
        <v/>
      </c>
      <c r="I98" s="11" t="str">
        <f t="shared" si="2"/>
        <v/>
      </c>
      <c r="J98" s="8"/>
      <c r="K98" s="8"/>
      <c r="L98" s="8"/>
      <c r="M98" s="12"/>
      <c r="N98" s="13" t="str">
        <f t="shared" si="3"/>
        <v xml:space="preserve"> </v>
      </c>
    </row>
    <row r="99" spans="1:17" ht="14.5">
      <c r="A99" s="6"/>
      <c r="B99" s="7"/>
      <c r="C99" s="7"/>
      <c r="D99" s="8" t="str">
        <f>IFERROR(VLOOKUP($B99,Task!$B$1:$G$61,6,0)," ")</f>
        <v xml:space="preserve"> </v>
      </c>
      <c r="E99" s="9" t="str">
        <f t="shared" si="0"/>
        <v xml:space="preserve"> </v>
      </c>
      <c r="F99" s="10"/>
      <c r="G99" s="10"/>
      <c r="H99" s="8" t="str">
        <f t="shared" si="1"/>
        <v/>
      </c>
      <c r="I99" s="11" t="str">
        <f t="shared" si="2"/>
        <v/>
      </c>
      <c r="J99" s="8"/>
      <c r="K99" s="8"/>
      <c r="L99" s="8"/>
      <c r="M99" s="12"/>
      <c r="N99" s="13" t="str">
        <f t="shared" si="3"/>
        <v xml:space="preserve"> </v>
      </c>
      <c r="O99" s="19"/>
      <c r="Q99" s="22">
        <v>-95</v>
      </c>
    </row>
    <row r="100" spans="1:17" ht="14.5">
      <c r="A100" s="6"/>
      <c r="B100" s="7"/>
      <c r="C100" s="7"/>
      <c r="D100" s="8" t="str">
        <f>IFERROR(VLOOKUP($B100,Task!$B$1:$G$61,6,0)," ")</f>
        <v xml:space="preserve"> </v>
      </c>
      <c r="E100" s="9" t="str">
        <f t="shared" si="0"/>
        <v xml:space="preserve"> </v>
      </c>
      <c r="F100" s="10"/>
      <c r="G100" s="10"/>
      <c r="H100" s="8" t="str">
        <f t="shared" si="1"/>
        <v/>
      </c>
      <c r="I100" s="11" t="str">
        <f t="shared" si="2"/>
        <v/>
      </c>
      <c r="J100" s="8"/>
      <c r="K100" s="8"/>
      <c r="L100" s="8"/>
      <c r="M100" s="12"/>
      <c r="N100" s="13" t="str">
        <f t="shared" si="3"/>
        <v xml:space="preserve"> </v>
      </c>
      <c r="O100" s="4"/>
      <c r="Q100" s="22">
        <v>42</v>
      </c>
    </row>
    <row r="101" spans="1:17" ht="14.5">
      <c r="A101" s="6"/>
      <c r="B101" s="7"/>
      <c r="C101" s="7"/>
      <c r="D101" s="8" t="str">
        <f>IFERROR(VLOOKUP($B101,Task!$B$1:$G$61,6,0)," ")</f>
        <v xml:space="preserve"> </v>
      </c>
      <c r="E101" s="9" t="str">
        <f t="shared" si="0"/>
        <v xml:space="preserve"> </v>
      </c>
      <c r="F101" s="10"/>
      <c r="G101" s="10"/>
      <c r="H101" s="8" t="str">
        <f t="shared" si="1"/>
        <v/>
      </c>
      <c r="I101" s="11" t="str">
        <f t="shared" si="2"/>
        <v/>
      </c>
      <c r="J101" s="8"/>
      <c r="K101" s="8"/>
      <c r="L101" s="8"/>
      <c r="M101" s="12"/>
      <c r="N101" s="13" t="str">
        <f t="shared" si="3"/>
        <v xml:space="preserve"> </v>
      </c>
      <c r="O101" s="19"/>
      <c r="Q101" s="22">
        <v>42</v>
      </c>
    </row>
    <row r="102" spans="1:17" ht="14.5">
      <c r="A102" s="6"/>
      <c r="B102" s="7"/>
      <c r="C102" s="7"/>
      <c r="D102" s="8" t="str">
        <f>IFERROR(VLOOKUP($B102,Task!$B$1:$G$61,6,0)," ")</f>
        <v xml:space="preserve"> </v>
      </c>
      <c r="E102" s="9" t="str">
        <f t="shared" si="0"/>
        <v xml:space="preserve"> </v>
      </c>
      <c r="F102" s="10"/>
      <c r="G102" s="10"/>
      <c r="H102" s="8" t="str">
        <f t="shared" si="1"/>
        <v/>
      </c>
      <c r="I102" s="11" t="str">
        <f t="shared" si="2"/>
        <v/>
      </c>
      <c r="J102" s="8"/>
      <c r="K102" s="8"/>
      <c r="L102" s="8"/>
      <c r="M102" s="12"/>
      <c r="N102" s="13" t="str">
        <f t="shared" si="3"/>
        <v xml:space="preserve"> </v>
      </c>
    </row>
    <row r="103" spans="1:17" ht="14.5">
      <c r="A103" s="6"/>
      <c r="B103" s="7"/>
      <c r="C103" s="7"/>
      <c r="D103" s="8" t="str">
        <f>IFERROR(VLOOKUP($B103,Task!$B$1:$G$61,6,0)," ")</f>
        <v xml:space="preserve"> </v>
      </c>
      <c r="E103" s="9" t="str">
        <f t="shared" si="0"/>
        <v xml:space="preserve"> </v>
      </c>
      <c r="F103" s="10"/>
      <c r="G103" s="10"/>
      <c r="H103" s="8" t="str">
        <f t="shared" si="1"/>
        <v/>
      </c>
      <c r="I103" s="11" t="str">
        <f t="shared" si="2"/>
        <v/>
      </c>
      <c r="J103" s="8"/>
      <c r="K103" s="8"/>
      <c r="L103" s="8"/>
      <c r="M103" s="12"/>
      <c r="N103" s="13" t="str">
        <f t="shared" si="3"/>
        <v xml:space="preserve"> </v>
      </c>
      <c r="O103" s="19"/>
    </row>
    <row r="104" spans="1:17" ht="14.5">
      <c r="A104" s="6"/>
      <c r="B104" s="7"/>
      <c r="C104" s="7"/>
      <c r="D104" s="8" t="str">
        <f>IFERROR(VLOOKUP($B104,Task!$B$1:$G$61,6,0)," ")</f>
        <v xml:space="preserve"> </v>
      </c>
      <c r="E104" s="9" t="str">
        <f t="shared" si="0"/>
        <v xml:space="preserve"> </v>
      </c>
      <c r="F104" s="10"/>
      <c r="G104" s="10"/>
      <c r="H104" s="8" t="str">
        <f t="shared" si="1"/>
        <v/>
      </c>
      <c r="I104" s="11" t="str">
        <f t="shared" si="2"/>
        <v/>
      </c>
      <c r="J104" s="8"/>
      <c r="K104" s="8"/>
      <c r="L104" s="8"/>
      <c r="M104" s="12"/>
      <c r="N104" s="13" t="str">
        <f t="shared" si="3"/>
        <v xml:space="preserve"> </v>
      </c>
    </row>
    <row r="105" spans="1:17" ht="14.5">
      <c r="A105" s="6"/>
      <c r="B105" s="7"/>
      <c r="C105" s="7"/>
      <c r="D105" s="8" t="str">
        <f>IFERROR(VLOOKUP($B105,Task!$B$1:$G$61,6,0)," ")</f>
        <v xml:space="preserve"> </v>
      </c>
      <c r="E105" s="9" t="str">
        <f t="shared" si="0"/>
        <v xml:space="preserve"> </v>
      </c>
      <c r="F105" s="10"/>
      <c r="G105" s="10"/>
      <c r="H105" s="8" t="str">
        <f t="shared" si="1"/>
        <v/>
      </c>
      <c r="I105" s="11" t="str">
        <f t="shared" si="2"/>
        <v/>
      </c>
      <c r="J105" s="8"/>
      <c r="K105" s="8"/>
      <c r="L105" s="8"/>
      <c r="M105" s="12"/>
      <c r="N105" s="13" t="str">
        <f t="shared" si="3"/>
        <v xml:space="preserve"> </v>
      </c>
      <c r="O105" s="4"/>
    </row>
    <row r="106" spans="1:17" ht="14.5">
      <c r="A106" s="6"/>
      <c r="B106" s="7"/>
      <c r="C106" s="7"/>
      <c r="D106" s="8" t="str">
        <f>IFERROR(VLOOKUP($B106,Task!$B$1:$G$61,6,0)," ")</f>
        <v xml:space="preserve"> </v>
      </c>
      <c r="E106" s="9" t="str">
        <f t="shared" si="0"/>
        <v xml:space="preserve"> </v>
      </c>
      <c r="F106" s="10"/>
      <c r="G106" s="10"/>
      <c r="H106" s="8" t="str">
        <f t="shared" si="1"/>
        <v/>
      </c>
      <c r="I106" s="11" t="str">
        <f t="shared" si="2"/>
        <v/>
      </c>
      <c r="J106" s="8"/>
      <c r="K106" s="8"/>
      <c r="L106" s="8"/>
      <c r="M106" s="12"/>
      <c r="N106" s="13" t="str">
        <f t="shared" si="3"/>
        <v xml:space="preserve"> </v>
      </c>
      <c r="O106" s="19"/>
    </row>
    <row r="107" spans="1:17" ht="14.5">
      <c r="A107" s="6"/>
      <c r="B107" s="7"/>
      <c r="C107" s="7"/>
      <c r="D107" s="8" t="str">
        <f>IFERROR(VLOOKUP($B107,Task!$B$1:$G$61,6,0)," ")</f>
        <v xml:space="preserve"> </v>
      </c>
      <c r="E107" s="9" t="str">
        <f t="shared" si="0"/>
        <v xml:space="preserve"> </v>
      </c>
      <c r="F107" s="10"/>
      <c r="G107" s="8"/>
      <c r="H107" s="8" t="str">
        <f t="shared" si="1"/>
        <v/>
      </c>
      <c r="I107" s="11" t="str">
        <f t="shared" si="2"/>
        <v/>
      </c>
      <c r="J107" s="8"/>
      <c r="K107" s="8"/>
      <c r="L107" s="8"/>
      <c r="M107" s="12"/>
      <c r="N107" s="13" t="str">
        <f t="shared" si="3"/>
        <v xml:space="preserve"> </v>
      </c>
    </row>
    <row r="108" spans="1:17" ht="14.5">
      <c r="A108" s="6"/>
      <c r="B108" s="7"/>
      <c r="C108" s="7"/>
      <c r="D108" s="8" t="str">
        <f>IFERROR(VLOOKUP($B108,Task!$B$1:$G$61,6,0)," ")</f>
        <v xml:space="preserve"> </v>
      </c>
      <c r="E108" s="9" t="str">
        <f t="shared" si="0"/>
        <v xml:space="preserve"> </v>
      </c>
      <c r="F108" s="10"/>
      <c r="G108" s="10"/>
      <c r="H108" s="8" t="str">
        <f t="shared" si="1"/>
        <v/>
      </c>
      <c r="I108" s="11" t="str">
        <f t="shared" si="2"/>
        <v/>
      </c>
      <c r="J108" s="8"/>
      <c r="K108" s="8"/>
      <c r="L108" s="8"/>
      <c r="M108" s="18"/>
      <c r="N108" s="13" t="str">
        <f t="shared" si="3"/>
        <v xml:space="preserve"> </v>
      </c>
    </row>
    <row r="109" spans="1:17" ht="14.5">
      <c r="A109" s="6"/>
      <c r="B109" s="7"/>
      <c r="C109" s="7"/>
      <c r="D109" s="8" t="str">
        <f>IFERROR(VLOOKUP($B109,Task!$B$1:$G$61,6,0)," ")</f>
        <v xml:space="preserve"> </v>
      </c>
      <c r="E109" s="9" t="str">
        <f t="shared" si="0"/>
        <v xml:space="preserve"> </v>
      </c>
      <c r="F109" s="10"/>
      <c r="G109" s="10"/>
      <c r="H109" s="8" t="str">
        <f t="shared" si="1"/>
        <v/>
      </c>
      <c r="I109" s="11" t="str">
        <f t="shared" si="2"/>
        <v/>
      </c>
      <c r="J109" s="8"/>
      <c r="K109" s="8"/>
      <c r="L109" s="8"/>
      <c r="M109" s="12"/>
      <c r="N109" s="13" t="str">
        <f t="shared" si="3"/>
        <v xml:space="preserve"> </v>
      </c>
    </row>
    <row r="110" spans="1:17" ht="14.5">
      <c r="A110" s="6"/>
      <c r="B110" s="7"/>
      <c r="C110" s="7"/>
      <c r="D110" s="8" t="str">
        <f>IFERROR(VLOOKUP($B110,Task!$B$1:$G$61,6,0)," ")</f>
        <v xml:space="preserve"> </v>
      </c>
      <c r="E110" s="9" t="str">
        <f t="shared" si="0"/>
        <v xml:space="preserve"> </v>
      </c>
      <c r="F110" s="10"/>
      <c r="G110" s="10"/>
      <c r="H110" s="8" t="str">
        <f t="shared" si="1"/>
        <v/>
      </c>
      <c r="I110" s="11" t="str">
        <f t="shared" si="2"/>
        <v/>
      </c>
      <c r="J110" s="8"/>
      <c r="K110" s="8"/>
      <c r="L110" s="8"/>
      <c r="M110" s="12"/>
      <c r="N110" s="13" t="str">
        <f t="shared" si="3"/>
        <v xml:space="preserve"> </v>
      </c>
      <c r="O110" s="19"/>
    </row>
    <row r="111" spans="1:17" ht="14.5">
      <c r="A111" s="6"/>
      <c r="B111" s="7"/>
      <c r="C111" s="7"/>
      <c r="D111" s="8" t="str">
        <f>IFERROR(VLOOKUP($B111,Task!$B$1:$G$61,6,0)," ")</f>
        <v xml:space="preserve"> </v>
      </c>
      <c r="E111" s="9" t="str">
        <f t="shared" si="0"/>
        <v xml:space="preserve"> </v>
      </c>
      <c r="F111" s="10"/>
      <c r="G111" s="10"/>
      <c r="H111" s="8" t="str">
        <f t="shared" si="1"/>
        <v/>
      </c>
      <c r="I111" s="11" t="str">
        <f t="shared" si="2"/>
        <v/>
      </c>
      <c r="J111" s="8"/>
      <c r="K111" s="8"/>
      <c r="L111" s="8"/>
      <c r="M111" s="12"/>
      <c r="N111" s="13" t="str">
        <f t="shared" si="3"/>
        <v xml:space="preserve"> </v>
      </c>
      <c r="O111" s="19"/>
    </row>
    <row r="112" spans="1:17" ht="14.5">
      <c r="A112" s="6"/>
      <c r="B112" s="7"/>
      <c r="C112" s="7"/>
      <c r="D112" s="8" t="str">
        <f>IFERROR(VLOOKUP($B112,Task!$B$1:$G$61,6,0)," ")</f>
        <v xml:space="preserve"> </v>
      </c>
      <c r="E112" s="9" t="str">
        <f t="shared" si="0"/>
        <v xml:space="preserve"> </v>
      </c>
      <c r="F112" s="10"/>
      <c r="G112" s="10"/>
      <c r="H112" s="8" t="str">
        <f t="shared" si="1"/>
        <v/>
      </c>
      <c r="I112" s="11" t="str">
        <f t="shared" si="2"/>
        <v/>
      </c>
      <c r="J112" s="8"/>
      <c r="K112" s="8"/>
      <c r="L112" s="8"/>
      <c r="M112" s="18"/>
      <c r="N112" s="13" t="str">
        <f t="shared" si="3"/>
        <v xml:space="preserve"> </v>
      </c>
    </row>
    <row r="113" spans="1:15" ht="14.5">
      <c r="A113" s="6"/>
      <c r="B113" s="7"/>
      <c r="C113" s="7"/>
      <c r="D113" s="8" t="str">
        <f>IFERROR(VLOOKUP($B113,Task!$B$1:$G$61,6,0)," ")</f>
        <v xml:space="preserve"> </v>
      </c>
      <c r="E113" s="9" t="str">
        <f t="shared" si="0"/>
        <v xml:space="preserve"> </v>
      </c>
      <c r="F113" s="10"/>
      <c r="G113" s="10"/>
      <c r="H113" s="8" t="str">
        <f t="shared" si="1"/>
        <v/>
      </c>
      <c r="I113" s="11" t="str">
        <f t="shared" si="2"/>
        <v/>
      </c>
      <c r="J113" s="8"/>
      <c r="K113" s="8"/>
      <c r="L113" s="8"/>
      <c r="M113" s="12"/>
      <c r="N113" s="13" t="str">
        <f t="shared" si="3"/>
        <v xml:space="preserve"> </v>
      </c>
      <c r="O113" s="4"/>
    </row>
    <row r="114" spans="1:15" ht="14.5">
      <c r="A114" s="6"/>
      <c r="B114" s="7"/>
      <c r="C114" s="7"/>
      <c r="D114" s="8" t="str">
        <f>IFERROR(VLOOKUP($B114,Task!$B$1:$G$61,6,0)," ")</f>
        <v xml:space="preserve"> </v>
      </c>
      <c r="E114" s="9" t="str">
        <f t="shared" si="0"/>
        <v xml:space="preserve"> </v>
      </c>
      <c r="F114" s="10"/>
      <c r="G114" s="10"/>
      <c r="H114" s="8" t="str">
        <f t="shared" si="1"/>
        <v/>
      </c>
      <c r="I114" s="11" t="str">
        <f t="shared" si="2"/>
        <v/>
      </c>
      <c r="J114" s="8"/>
      <c r="K114" s="8"/>
      <c r="L114" s="8"/>
      <c r="M114" s="12"/>
      <c r="N114" s="13" t="str">
        <f t="shared" si="3"/>
        <v xml:space="preserve"> </v>
      </c>
      <c r="O114" s="4"/>
    </row>
    <row r="115" spans="1:15" ht="14.5">
      <c r="A115" s="6"/>
      <c r="B115" s="7"/>
      <c r="C115" s="7"/>
      <c r="D115" s="8" t="str">
        <f>IFERROR(VLOOKUP($B115,Task!$B$1:$G$61,6,0)," ")</f>
        <v xml:space="preserve"> </v>
      </c>
      <c r="E115" s="9" t="str">
        <f t="shared" si="0"/>
        <v xml:space="preserve"> </v>
      </c>
      <c r="F115" s="10"/>
      <c r="G115" s="10"/>
      <c r="H115" s="8" t="str">
        <f t="shared" si="1"/>
        <v/>
      </c>
      <c r="I115" s="11" t="str">
        <f t="shared" si="2"/>
        <v/>
      </c>
      <c r="J115" s="8"/>
      <c r="K115" s="8"/>
      <c r="L115" s="8"/>
      <c r="M115" s="18"/>
      <c r="N115" s="13" t="str">
        <f t="shared" si="3"/>
        <v xml:space="preserve"> </v>
      </c>
      <c r="O115" s="4"/>
    </row>
    <row r="116" spans="1:15" ht="14.5">
      <c r="A116" s="6"/>
      <c r="B116" s="7"/>
      <c r="C116" s="7"/>
      <c r="D116" s="8" t="str">
        <f>IFERROR(VLOOKUP($B116,Task!$B$1:$G$61,6,0)," ")</f>
        <v xml:space="preserve"> </v>
      </c>
      <c r="E116" s="9" t="str">
        <f t="shared" si="0"/>
        <v xml:space="preserve"> </v>
      </c>
      <c r="F116" s="10"/>
      <c r="G116" s="10"/>
      <c r="H116" s="8" t="str">
        <f t="shared" si="1"/>
        <v/>
      </c>
      <c r="I116" s="11" t="str">
        <f t="shared" si="2"/>
        <v/>
      </c>
      <c r="J116" s="8"/>
      <c r="K116" s="8"/>
      <c r="L116" s="8"/>
      <c r="M116" s="12"/>
      <c r="N116" s="13" t="str">
        <f t="shared" si="3"/>
        <v xml:space="preserve"> </v>
      </c>
      <c r="O116" s="19" t="e">
        <f ca="1">AVERAGEIF(A:A,TODAY(),N:N)</f>
        <v>#DIV/0!</v>
      </c>
    </row>
    <row r="117" spans="1:15" ht="14.5">
      <c r="A117" s="6"/>
      <c r="B117" s="7"/>
      <c r="C117" s="7"/>
      <c r="D117" s="8" t="str">
        <f>IFERROR(VLOOKUP($B117,Task!$B$1:$G$61,6,0)," ")</f>
        <v xml:space="preserve"> </v>
      </c>
      <c r="E117" s="9" t="str">
        <f t="shared" si="0"/>
        <v xml:space="preserve"> </v>
      </c>
      <c r="F117" s="10"/>
      <c r="G117" s="10"/>
      <c r="H117" s="8" t="str">
        <f t="shared" si="1"/>
        <v/>
      </c>
      <c r="I117" s="11" t="str">
        <f t="shared" si="2"/>
        <v/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/>
      <c r="C118" s="7"/>
      <c r="D118" s="8" t="str">
        <f>IFERROR(VLOOKUP($B118,Task!$B$1:$G$61,6,0)," ")</f>
        <v xml:space="preserve"> </v>
      </c>
      <c r="E118" s="9" t="str">
        <f t="shared" si="0"/>
        <v xml:space="preserve"> </v>
      </c>
      <c r="F118" s="10"/>
      <c r="G118" s="10"/>
      <c r="H118" s="8" t="str">
        <f t="shared" si="1"/>
        <v/>
      </c>
      <c r="I118" s="11" t="str">
        <f t="shared" si="2"/>
        <v/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/>
      <c r="C119" s="7"/>
      <c r="D119" s="8" t="str">
        <f>IFERROR(VLOOKUP($B119,Task!$B$1:$G$61,6,0)," ")</f>
        <v xml:space="preserve"> </v>
      </c>
      <c r="E119" s="9" t="str">
        <f t="shared" si="0"/>
        <v xml:space="preserve"> </v>
      </c>
      <c r="F119" s="10"/>
      <c r="G119" s="10"/>
      <c r="H119" s="8" t="str">
        <f t="shared" si="1"/>
        <v/>
      </c>
      <c r="I119" s="11" t="str">
        <f t="shared" si="2"/>
        <v/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IFERROR(VLOOKUP($B120,Task!$B$1:$G$61,6,0),"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IFERROR(VLOOKUP($B121,Task!$B$1:$G$61,6,0),"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IFERROR(VLOOKUP($B122,Task!$B$1:$G$61,6,0),"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IFERROR(VLOOKUP($B123,Task!$B$1:$G$61,6,0),"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IFERROR(VLOOKUP($B124,Task!$B$1:$G$61,6,0),"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IFERROR(VLOOKUP($B125,Task!$B$1:$G$61,6,0),"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IFERROR(VLOOKUP($B126,Task!$B$1:$G$61,6,0),"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IFERROR(VLOOKUP($B127,Task!$B$1:$G$61,6,0),"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IFERROR(VLOOKUP($B128,Task!$B$1:$G$61,6,0),"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IFERROR(VLOOKUP($B129,Task!$B$1:$G$61,6,0),"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IFERROR(VLOOKUP($B130,Task!$B$1:$G$61,6,0),"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IFERROR(VLOOKUP($B131,Task!$B$1:$G$61,6,0),"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IFERROR(VLOOKUP($B132,Task!$B$1:$G$61,6,0),"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IFERROR(VLOOKUP($B133,Task!$B$1:$G$61,6,0),"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/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IFERROR(VLOOKUP($B134,Task!$B$1:$G$61,6,0),"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IFERROR(VLOOKUP($B135,Task!$B$1:$G$61,6,0),"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/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IFERROR(VLOOKUP($B136,Task!$B$1:$G$61,6,0),"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/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IFERROR(VLOOKUP($B137,Task!$B$1:$G$61,6,0),"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/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IFERROR(VLOOKUP($B138,Task!$B$1:$G$61,6,0),"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/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IFERROR(VLOOKUP($B139,Task!$B$1:$G$61,6,0),"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/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IFERROR(VLOOKUP($B140,Task!$B$1:$G$61,6,0),"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/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IFERROR(VLOOKUP($B141,Task!$B$1:$G$61,6,0),"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/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IFERROR(VLOOKUP($B142,Task!$B$1:$G$61,6,0),"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/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IFERROR(VLOOKUP($B143,Task!$B$1:$G$61,6,0),"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/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IFERROR(VLOOKUP($B144,Task!$B$1:$G$61,6,0),"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/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IFERROR(VLOOKUP($B145,Task!$B$1:$G$61,6,0),"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/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IFERROR(VLOOKUP($B146,Task!$B$1:$G$61,6,0),"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/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IFERROR(VLOOKUP($B147,Task!$B$1:$G$61,6,0),"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/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IFERROR(VLOOKUP($B148,Task!$B$1:$G$61,6,0),"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/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IFERROR(VLOOKUP($B149,Task!$B$1:$G$61,6,0),"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/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IFERROR(VLOOKUP($B150,Task!$B$1:$G$61,6,0),"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/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IFERROR(VLOOKUP($B151,Task!$B$1:$G$61,6,0),"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/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IFERROR(VLOOKUP($B152,Task!$B$1:$G$61,6,0),"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/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IFERROR(VLOOKUP($B153,Task!$B$1:$G$61,6,0),"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/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IFERROR(VLOOKUP($B154,Task!$B$1:$G$61,6,0),"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/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IFERROR(VLOOKUP($B155,Task!$B$1:$G$61,6,0),"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/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IFERROR(VLOOKUP($B156,Task!$B$1:$G$61,6,0),"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/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IFERROR(VLOOKUP($B157,Task!$B$1:$G$61,6,0),"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/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IFERROR(VLOOKUP($B158,Task!$B$1:$G$61,6,0),"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/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IFERROR(VLOOKUP($B159,Task!$B$1:$G$61,6,0),"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/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IFERROR(VLOOKUP($B160,Task!$B$1:$G$61,6,0),"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/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IFERROR(VLOOKUP($B161,Task!$B$1:$G$61,6,0),"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/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IFERROR(VLOOKUP($B162,Task!$B$1:$G$61,6,0),"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/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IFERROR(VLOOKUP($B163,Task!$B$1:$G$61,6,0),"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/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IFERROR(VLOOKUP($B164,Task!$B$1:$G$61,6,0),"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/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IFERROR(VLOOKUP($B165,Task!$B$1:$G$61,6,0),"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/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IFERROR(VLOOKUP($B166,Task!$B$1:$G$61,6,0),"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/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IFERROR(VLOOKUP($B167,Task!$B$1:$G$61,6,0),"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/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IFERROR(VLOOKUP($B168,Task!$B$1:$G$61,6,0),"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/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IFERROR(VLOOKUP($B169,Task!$B$1:$G$61,6,0),"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/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IFERROR(VLOOKUP($B170,Task!$B$1:$G$61,6,0),"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/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IFERROR(VLOOKUP($B171,Task!$B$1:$G$61,6,0),"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/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IFERROR(VLOOKUP($B172,Task!$B$1:$G$61,6,0),"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/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IFERROR(VLOOKUP($B173,Task!$B$1:$G$61,6,0),"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/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IFERROR(VLOOKUP($B174,Task!$B$1:$G$61,6,0),"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/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IFERROR(VLOOKUP($B175,Task!$B$1:$G$61,6,0),"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/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IFERROR(VLOOKUP($B176,Task!$B$1:$G$61,6,0),"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/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IFERROR(VLOOKUP($B177,Task!$B$1:$G$61,6,0),"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/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IFERROR(VLOOKUP($B178,Task!$B$1:$G$61,6,0),"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/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IFERROR(VLOOKUP($B179,Task!$B$1:$G$61,6,0),"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/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IFERROR(VLOOKUP($B180,Task!$B$1:$G$61,6,0),"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/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IFERROR(VLOOKUP($B181,Task!$B$1:$G$61,6,0),"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/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IFERROR(VLOOKUP($B182,Task!$B$1:$G$61,6,0),"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/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IFERROR(VLOOKUP($B183,Task!$B$1:$G$61,6,0),"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/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IFERROR(VLOOKUP($B184,Task!$B$1:$G$61,6,0),"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/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IFERROR(VLOOKUP($B185,Task!$B$1:$G$61,6,0),"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/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IFERROR(VLOOKUP($B186,Task!$B$1:$G$61,6,0),"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/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IFERROR(VLOOKUP($B187,Task!$B$1:$G$61,6,0),"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/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IFERROR(VLOOKUP($B188,Task!$B$1:$G$61,6,0),"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/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IFERROR(VLOOKUP($B189,Task!$B$1:$G$61,6,0),"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/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IFERROR(VLOOKUP($B190,Task!$B$1:$G$61,6,0),"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/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IFERROR(VLOOKUP($B191,Task!$B$1:$G$61,6,0),"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/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IFERROR(VLOOKUP($B192,Task!$B$1:$G$61,6,0),"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/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IFERROR(VLOOKUP($B193,Task!$B$1:$G$61,6,0),"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/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IFERROR(VLOOKUP($B194,Task!$B$1:$G$61,6,0),"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/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IFERROR(VLOOKUP($B195,Task!$B$1:$G$61,6,0),"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/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IFERROR(VLOOKUP($B196,Task!$B$1:$G$61,6,0),"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/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IFERROR(VLOOKUP($B197,Task!$B$1:$G$61,6,0),"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/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IFERROR(VLOOKUP($B198,Task!$B$1:$G$61,6,0),"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/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IFERROR(VLOOKUP($B199,Task!$B$1:$G$61,6,0),"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/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IFERROR(VLOOKUP($B200,Task!$B$1:$G$61,6,0),"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/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IFERROR(VLOOKUP($B201,Task!$B$1:$G$61,6,0),"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/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IFERROR(VLOOKUP($B202,Task!$B$1:$G$61,6,0),"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/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IFERROR(VLOOKUP($B203,Task!$B$1:$G$61,6,0),"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/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IFERROR(VLOOKUP($B204,Task!$B$1:$G$61,6,0),"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/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IFERROR(VLOOKUP($B205,Task!$B$1:$G$61,6,0),"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/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IFERROR(VLOOKUP($B206,Task!$B$1:$G$61,6,0),"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 t="str">
        <f>IF(OR(J206=0,K206=0)," ",K206-J206)</f>
        <v xml:space="preserve"> </v>
      </c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01" xr:uid="{00000000-0009-0000-0000-000007000000}"/>
  <conditionalFormatting sqref="N81:N101">
    <cfRule type="expression" dxfId="8" priority="1">
      <formula>A81=TODAY()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Task!$B$2:$B$60</xm:f>
          </x14:formula1>
          <xm:sqref>B2:B206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9.90625" customWidth="1"/>
    <col min="2" max="2" width="39.90625" customWidth="1"/>
    <col min="3" max="3" width="6.453125" customWidth="1"/>
    <col min="4" max="4" width="7" customWidth="1"/>
    <col min="5" max="5" width="8.7265625" customWidth="1"/>
    <col min="6" max="6" width="8.90625" customWidth="1"/>
    <col min="7" max="7" width="8" customWidth="1"/>
    <col min="8" max="8" width="14.72656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8" width="8.08984375" customWidth="1"/>
    <col min="19" max="19" width="8.90625" customWidth="1"/>
    <col min="20" max="20" width="11" customWidth="1"/>
    <col min="21" max="21" width="7.453125" customWidth="1"/>
    <col min="23" max="23" width="13.6328125" customWidth="1"/>
  </cols>
  <sheetData>
    <row r="1" spans="1:2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0.22916666666666666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45597</v>
      </c>
      <c r="B2" s="7" t="s">
        <v>37</v>
      </c>
      <c r="C2" s="7">
        <v>26</v>
      </c>
      <c r="D2" s="8">
        <f>IFERROR(VLOOKUP($B2,Task!$B$1:$G$61,6,0)," ")</f>
        <v>1.3888888888888889E-3</v>
      </c>
      <c r="E2" s="9">
        <f t="shared" ref="E2:E206" si="0">IFERROR(D2*C2," ")</f>
        <v>3.6111111111111115E-2</v>
      </c>
      <c r="F2" s="10">
        <v>0.33369212962962969</v>
      </c>
      <c r="G2" s="10">
        <v>0.39192129629629635</v>
      </c>
      <c r="H2" s="8">
        <f t="shared" ref="H2:H206" si="1">IF(G2="","", IF(L2=" ",IF(OR(F2=0,G2=0)," ",G2-F2),((G2-F2)-L2)))</f>
        <v>3.3379629629629627E-2</v>
      </c>
      <c r="I2" s="11">
        <f t="shared" ref="I2:I206" si="2">IFERROR(IF(L2=" ",(F2+E2),(F2+E2+L2)),"")</f>
        <v>0.3946527777777778</v>
      </c>
      <c r="J2" s="8"/>
      <c r="K2" s="8"/>
      <c r="L2" s="8">
        <v>2.4849537037037038E-2</v>
      </c>
      <c r="M2" s="12"/>
      <c r="N2" s="13">
        <f t="shared" ref="N2:N206" si="3">IFERROR(E2/H2," ")</f>
        <v>1.0818307905686548</v>
      </c>
      <c r="O2" s="8">
        <v>0.79204861111111113</v>
      </c>
      <c r="P2" s="14">
        <f ca="1">IFERROR(__xludf.DUMMYFUNCTION("UNIQUE($A$2:$A$993)"),45597)</f>
        <v>45597</v>
      </c>
      <c r="Q2" s="15">
        <f ca="1">SUMIF($A:$A,$P2,$E:$E)</f>
        <v>0.31319444444444439</v>
      </c>
      <c r="R2" s="15">
        <f ca="1">SUMIF($A:$A,$P2,$H:$H)</f>
        <v>0.30189814814814808</v>
      </c>
      <c r="S2" s="15">
        <f t="shared" ref="S2:S18" ca="1" si="4">IF(OR(R2="",R2&gt;=$U$1)," ",$U$1-R2)</f>
        <v>3.1435185185185233E-2</v>
      </c>
      <c r="T2" s="16">
        <f t="shared" ref="T2:T23" ca="1" si="5">IFERROR(AVERAGEIF($A:$A,$P2,$N:$N)," ")</f>
        <v>1.0710029549484641</v>
      </c>
      <c r="U2" s="33"/>
    </row>
    <row r="3" spans="1:21" ht="15.75" customHeight="1">
      <c r="A3" s="6">
        <v>45597</v>
      </c>
      <c r="B3" s="7" t="s">
        <v>18</v>
      </c>
      <c r="C3" s="7">
        <v>1</v>
      </c>
      <c r="D3" s="8">
        <f>IFERROR(VLOOKUP($B3,Task!$B$1:$G$61,6,0)," ")</f>
        <v>4.8611111111111112E-2</v>
      </c>
      <c r="E3" s="9">
        <f t="shared" si="0"/>
        <v>4.8611111111111112E-2</v>
      </c>
      <c r="F3" s="10">
        <f t="shared" ref="F3:F9" si="6">G2</f>
        <v>0.39192129629629635</v>
      </c>
      <c r="G3" s="8">
        <v>0.47773148148148148</v>
      </c>
      <c r="H3" s="8">
        <f t="shared" si="1"/>
        <v>4.744212962962957E-2</v>
      </c>
      <c r="I3" s="11">
        <f t="shared" si="2"/>
        <v>0.47890046296296301</v>
      </c>
      <c r="J3" s="8"/>
      <c r="K3" s="8"/>
      <c r="L3" s="8">
        <v>3.8368055555555558E-2</v>
      </c>
      <c r="M3" s="12"/>
      <c r="N3" s="13">
        <f t="shared" si="3"/>
        <v>1.0246401561356442</v>
      </c>
      <c r="O3" s="8">
        <f>O2-O1</f>
        <v>0.5628819444444445</v>
      </c>
      <c r="P3" s="14">
        <f ca="1">IFERROR(__xludf.DUMMYFUNCTION("""COMPUTED_VALUE"""),45600)</f>
        <v>45600</v>
      </c>
      <c r="Q3" s="15">
        <f t="shared" ref="Q3:Q23" ca="1" si="7">IF(SUMIF($A:$A,$P3,$E:$E)=0,"",SUMIF($A:$A,$P3,$E:$E))</f>
        <v>0.34375</v>
      </c>
      <c r="R3" s="15">
        <f t="shared" ref="R3:R23" ca="1" si="8">IF(SUMIF($A:$A,$P3,$H:$H)=0,"",SUMIF($A:$A,$P3,$H:$H))</f>
        <v>0.31927083333333339</v>
      </c>
      <c r="S3" s="15">
        <f t="shared" ca="1" si="4"/>
        <v>1.4062499999999922E-2</v>
      </c>
      <c r="T3" s="16">
        <f t="shared" ca="1" si="5"/>
        <v>1.0565588829206374</v>
      </c>
    </row>
    <row r="4" spans="1:21" ht="15.75" customHeight="1">
      <c r="A4" s="6">
        <v>45597</v>
      </c>
      <c r="B4" s="7" t="s">
        <v>16</v>
      </c>
      <c r="C4" s="7">
        <v>13</v>
      </c>
      <c r="D4" s="8">
        <f>IFERROR(VLOOKUP($B4,Task!$B$1:$G$61,6,0)," ")</f>
        <v>5.5555555555555558E-3</v>
      </c>
      <c r="E4" s="9">
        <f t="shared" si="0"/>
        <v>7.2222222222222229E-2</v>
      </c>
      <c r="F4" s="10">
        <f t="shared" si="6"/>
        <v>0.47773148148148148</v>
      </c>
      <c r="G4" s="8">
        <v>0.55099537037037039</v>
      </c>
      <c r="H4" s="8">
        <f t="shared" si="1"/>
        <v>6.3043981481481493E-2</v>
      </c>
      <c r="I4" s="11">
        <f t="shared" si="2"/>
        <v>0.56017361111111108</v>
      </c>
      <c r="J4" s="8"/>
      <c r="K4" s="8"/>
      <c r="L4" s="8">
        <v>1.0219907407407407E-2</v>
      </c>
      <c r="M4" s="12"/>
      <c r="N4" s="13">
        <f t="shared" si="3"/>
        <v>1.1455847255369926</v>
      </c>
      <c r="P4" s="14">
        <f ca="1">IFERROR(__xludf.DUMMYFUNCTION("""COMPUTED_VALUE"""),45601)</f>
        <v>45601</v>
      </c>
      <c r="Q4" s="15">
        <f t="shared" ca="1" si="7"/>
        <v>0.37847222222222227</v>
      </c>
      <c r="R4" s="15">
        <f t="shared" ca="1" si="8"/>
        <v>0.31133101851851847</v>
      </c>
      <c r="S4" s="15">
        <f t="shared" ca="1" si="4"/>
        <v>2.200231481481485E-2</v>
      </c>
      <c r="T4" s="16">
        <f t="shared" ca="1" si="5"/>
        <v>1.4101141714843728</v>
      </c>
    </row>
    <row r="5" spans="1:21" ht="15.75" customHeight="1">
      <c r="A5" s="6">
        <v>45597</v>
      </c>
      <c r="B5" s="7" t="s">
        <v>50</v>
      </c>
      <c r="C5" s="7">
        <v>1</v>
      </c>
      <c r="D5" s="8">
        <f>IFERROR(VLOOKUP($B5,Task!$B$1:$G$61,6,0)," ")</f>
        <v>1.0416666666666666E-2</v>
      </c>
      <c r="E5" s="9">
        <f t="shared" si="0"/>
        <v>1.0416666666666666E-2</v>
      </c>
      <c r="F5" s="10">
        <f t="shared" si="6"/>
        <v>0.55099537037037039</v>
      </c>
      <c r="G5" s="10">
        <v>0.56116898148148153</v>
      </c>
      <c r="H5" s="8">
        <f t="shared" si="1"/>
        <v>1.0173611111111147E-2</v>
      </c>
      <c r="I5" s="11">
        <f t="shared" si="2"/>
        <v>0.56141203703703701</v>
      </c>
      <c r="J5" s="8"/>
      <c r="K5" s="8"/>
      <c r="L5" s="8"/>
      <c r="M5" s="12"/>
      <c r="N5" s="13">
        <f t="shared" si="3"/>
        <v>1.0238907849829315</v>
      </c>
      <c r="P5" s="14">
        <f ca="1">IFERROR(__xludf.DUMMYFUNCTION("""COMPUTED_VALUE"""),45602)</f>
        <v>45602</v>
      </c>
      <c r="Q5" s="15">
        <f t="shared" ca="1" si="7"/>
        <v>0.3208333333333333</v>
      </c>
      <c r="R5" s="15">
        <f t="shared" ca="1" si="8"/>
        <v>0.30709490740740736</v>
      </c>
      <c r="S5" s="15">
        <f t="shared" ca="1" si="4"/>
        <v>2.6238425925925957E-2</v>
      </c>
      <c r="T5" s="16">
        <f t="shared" ca="1" si="5"/>
        <v>1.0475500070773989</v>
      </c>
    </row>
    <row r="6" spans="1:21" ht="15.75" customHeight="1">
      <c r="A6" s="6">
        <v>45597</v>
      </c>
      <c r="B6" s="7" t="s">
        <v>51</v>
      </c>
      <c r="C6" s="7">
        <v>1</v>
      </c>
      <c r="D6" s="8">
        <f>IFERROR(VLOOKUP($B6,Task!$B$1:$G$61,6,0)," ")</f>
        <v>1.0416666666666666E-2</v>
      </c>
      <c r="E6" s="9">
        <f t="shared" si="0"/>
        <v>1.0416666666666666E-2</v>
      </c>
      <c r="F6" s="10">
        <f t="shared" si="6"/>
        <v>0.56116898148148153</v>
      </c>
      <c r="G6" s="10">
        <v>0.57062500000000005</v>
      </c>
      <c r="H6" s="8">
        <f t="shared" si="1"/>
        <v>9.4560185185185164E-3</v>
      </c>
      <c r="I6" s="11">
        <f t="shared" si="2"/>
        <v>0.57158564814814816</v>
      </c>
      <c r="J6" s="8"/>
      <c r="K6" s="8"/>
      <c r="L6" s="8"/>
      <c r="M6" s="12"/>
      <c r="N6" s="13">
        <f t="shared" si="3"/>
        <v>1.101591187270502</v>
      </c>
      <c r="O6" s="19"/>
      <c r="P6" s="14">
        <f ca="1">IFERROR(__xludf.DUMMYFUNCTION("""COMPUTED_VALUE"""),45603)</f>
        <v>45603</v>
      </c>
      <c r="Q6" s="15">
        <f t="shared" ca="1" si="7"/>
        <v>0.33124999999999999</v>
      </c>
      <c r="R6" s="15">
        <f t="shared" ca="1" si="8"/>
        <v>0.32416666666666666</v>
      </c>
      <c r="S6" s="15">
        <f t="shared" ca="1" si="4"/>
        <v>9.1666666666666563E-3</v>
      </c>
      <c r="T6" s="16">
        <f t="shared" ca="1" si="5"/>
        <v>1.0678188888776954</v>
      </c>
    </row>
    <row r="7" spans="1:21" ht="15.75" customHeight="1">
      <c r="A7" s="6">
        <v>45597</v>
      </c>
      <c r="B7" s="7" t="s">
        <v>52</v>
      </c>
      <c r="C7" s="7">
        <v>1</v>
      </c>
      <c r="D7" s="8">
        <f>IFERROR(VLOOKUP($B7,Task!$B$1:$G$61,6,0)," ")</f>
        <v>1.0416666666666666E-2</v>
      </c>
      <c r="E7" s="9">
        <f t="shared" si="0"/>
        <v>1.0416666666666666E-2</v>
      </c>
      <c r="F7" s="10">
        <f t="shared" si="6"/>
        <v>0.57062500000000005</v>
      </c>
      <c r="G7" s="10">
        <v>0.57983796296296297</v>
      </c>
      <c r="H7" s="8">
        <f t="shared" si="1"/>
        <v>9.2129629629629228E-3</v>
      </c>
      <c r="I7" s="11">
        <f t="shared" si="2"/>
        <v>0.58104166666666668</v>
      </c>
      <c r="J7" s="8"/>
      <c r="K7" s="8"/>
      <c r="L7" s="8"/>
      <c r="M7" s="12"/>
      <c r="N7" s="13">
        <f t="shared" si="3"/>
        <v>1.1306532663316631</v>
      </c>
      <c r="P7" s="14">
        <f ca="1">IFERROR(__xludf.DUMMYFUNCTION("""COMPUTED_VALUE"""),45604)</f>
        <v>45604</v>
      </c>
      <c r="Q7" s="15">
        <f t="shared" ca="1" si="7"/>
        <v>0.21874999999999994</v>
      </c>
      <c r="R7" s="15">
        <f t="shared" ca="1" si="8"/>
        <v>0.21939814814814826</v>
      </c>
      <c r="S7" s="15">
        <f t="shared" ca="1" si="4"/>
        <v>0.11393518518518506</v>
      </c>
      <c r="T7" s="16">
        <f t="shared" ca="1" si="5"/>
        <v>1.0694546749174449</v>
      </c>
    </row>
    <row r="8" spans="1:21" ht="15.75" customHeight="1">
      <c r="A8" s="6">
        <v>45597</v>
      </c>
      <c r="B8" s="7" t="s">
        <v>53</v>
      </c>
      <c r="C8" s="7">
        <v>1</v>
      </c>
      <c r="D8" s="8">
        <f>IFERROR(VLOOKUP($B8,Task!$B$1:$G$61,6,0)," ")</f>
        <v>1.0416666666666666E-2</v>
      </c>
      <c r="E8" s="9">
        <f t="shared" si="0"/>
        <v>1.0416666666666666E-2</v>
      </c>
      <c r="F8" s="10">
        <f t="shared" si="6"/>
        <v>0.57983796296296297</v>
      </c>
      <c r="G8" s="10">
        <v>0.58928240740740745</v>
      </c>
      <c r="H8" s="8">
        <f t="shared" si="1"/>
        <v>9.4444444444444775E-3</v>
      </c>
      <c r="I8" s="11">
        <f t="shared" si="2"/>
        <v>0.5902546296296296</v>
      </c>
      <c r="J8" s="8"/>
      <c r="K8" s="8"/>
      <c r="L8" s="8"/>
      <c r="M8" s="12"/>
      <c r="N8" s="13">
        <f t="shared" si="3"/>
        <v>1.1029411764705843</v>
      </c>
      <c r="O8" s="19"/>
      <c r="P8" s="14">
        <f ca="1">IFERROR(__xludf.DUMMYFUNCTION("""COMPUTED_VALUE"""),45607)</f>
        <v>45607</v>
      </c>
      <c r="Q8" s="15">
        <f t="shared" ca="1" si="7"/>
        <v>0.3263888888888889</v>
      </c>
      <c r="R8" s="15">
        <f t="shared" ca="1" si="8"/>
        <v>0.31454722222604747</v>
      </c>
      <c r="S8" s="15">
        <f t="shared" ca="1" si="4"/>
        <v>1.8786111107285841E-2</v>
      </c>
      <c r="T8" s="16">
        <f t="shared" ca="1" si="5"/>
        <v>1.054224380494249</v>
      </c>
    </row>
    <row r="9" spans="1:21" ht="15.75" customHeight="1">
      <c r="A9" s="6">
        <v>45597</v>
      </c>
      <c r="B9" s="7" t="s">
        <v>85</v>
      </c>
      <c r="C9" s="7">
        <v>1</v>
      </c>
      <c r="D9" s="8">
        <f>IFERROR(VLOOKUP($B9,Task!$B$1:$G$61,6,0)," ")</f>
        <v>0.11458333333333333</v>
      </c>
      <c r="E9" s="9">
        <f t="shared" si="0"/>
        <v>0.11458333333333333</v>
      </c>
      <c r="F9" s="10">
        <f t="shared" si="6"/>
        <v>0.58928240740740745</v>
      </c>
      <c r="G9" s="10">
        <v>0.70902777777777781</v>
      </c>
      <c r="H9" s="8">
        <f t="shared" si="1"/>
        <v>0.11974537037037036</v>
      </c>
      <c r="I9" s="11">
        <f t="shared" si="2"/>
        <v>0.70386574074074082</v>
      </c>
      <c r="J9" s="8"/>
      <c r="K9" s="8"/>
      <c r="L9" s="8"/>
      <c r="M9" s="12"/>
      <c r="N9" s="13">
        <f t="shared" si="3"/>
        <v>0.95689155229074041</v>
      </c>
      <c r="O9" s="4"/>
      <c r="P9" s="14">
        <f ca="1">IFERROR(__xludf.DUMMYFUNCTION("""COMPUTED_VALUE"""),45608)</f>
        <v>45608</v>
      </c>
      <c r="Q9" s="15">
        <f t="shared" ca="1" si="7"/>
        <v>0.32777777777777778</v>
      </c>
      <c r="R9" s="15">
        <f t="shared" ca="1" si="8"/>
        <v>0.30899305555555545</v>
      </c>
      <c r="S9" s="15">
        <f t="shared" ca="1" si="4"/>
        <v>2.4340277777777863E-2</v>
      </c>
      <c r="T9" s="16">
        <f t="shared" ca="1" si="5"/>
        <v>1.0522566769488042</v>
      </c>
    </row>
    <row r="10" spans="1:21" ht="15.75" customHeight="1">
      <c r="A10" s="6">
        <v>45600</v>
      </c>
      <c r="B10" s="7" t="s">
        <v>43</v>
      </c>
      <c r="C10" s="7">
        <v>1</v>
      </c>
      <c r="D10" s="8">
        <f>IFERROR(VLOOKUP($B10,Task!$B$1:$G$61,6,0)," ")</f>
        <v>3.4722222222222224E-2</v>
      </c>
      <c r="E10" s="9">
        <f t="shared" si="0"/>
        <v>3.4722222222222224E-2</v>
      </c>
      <c r="F10" s="10">
        <v>0.32315972222222222</v>
      </c>
      <c r="G10" s="10">
        <v>0.3550578703703704</v>
      </c>
      <c r="H10" s="8">
        <f t="shared" si="1"/>
        <v>3.1898148148148175E-2</v>
      </c>
      <c r="I10" s="11">
        <f t="shared" si="2"/>
        <v>0.35788194444444443</v>
      </c>
      <c r="J10" s="8"/>
      <c r="K10" s="8"/>
      <c r="L10" s="8"/>
      <c r="M10" s="12"/>
      <c r="N10" s="13">
        <f t="shared" si="3"/>
        <v>1.0885341074020309</v>
      </c>
      <c r="O10" s="4"/>
      <c r="P10" s="14">
        <f ca="1">IFERROR(__xludf.DUMMYFUNCTION("""COMPUTED_VALUE"""),45609)</f>
        <v>45609</v>
      </c>
      <c r="Q10" s="15">
        <f t="shared" ca="1" si="7"/>
        <v>0.29166666666666663</v>
      </c>
      <c r="R10" s="15">
        <f t="shared" ca="1" si="8"/>
        <v>0.27969907407407413</v>
      </c>
      <c r="S10" s="15">
        <f t="shared" ca="1" si="4"/>
        <v>5.3634259259259187E-2</v>
      </c>
      <c r="T10" s="16">
        <f t="shared" ca="1" si="5"/>
        <v>1.0505365029083744</v>
      </c>
    </row>
    <row r="11" spans="1:21" ht="15.75" customHeight="1">
      <c r="A11" s="6">
        <v>45600</v>
      </c>
      <c r="B11" s="7" t="s">
        <v>42</v>
      </c>
      <c r="C11" s="7">
        <v>1</v>
      </c>
      <c r="D11" s="8">
        <f>IFERROR(VLOOKUP($B11,Task!$B$1:$G$61,6,0)," ")</f>
        <v>6.9444444444444441E-3</v>
      </c>
      <c r="E11" s="9">
        <f t="shared" si="0"/>
        <v>6.9444444444444441E-3</v>
      </c>
      <c r="F11" s="10">
        <f t="shared" ref="F11:F14" si="9">G10</f>
        <v>0.3550578703703704</v>
      </c>
      <c r="G11" s="10">
        <v>0.36167824074074073</v>
      </c>
      <c r="H11" s="8">
        <f t="shared" si="1"/>
        <v>6.620370370370332E-3</v>
      </c>
      <c r="I11" s="11">
        <f t="shared" si="2"/>
        <v>0.36200231481481482</v>
      </c>
      <c r="J11" s="8"/>
      <c r="K11" s="8"/>
      <c r="L11" s="8"/>
      <c r="M11" s="12"/>
      <c r="N11" s="13">
        <f t="shared" si="3"/>
        <v>1.048951048951055</v>
      </c>
      <c r="O11" s="4"/>
      <c r="P11" s="14">
        <f ca="1">IFERROR(__xludf.DUMMYFUNCTION("""COMPUTED_VALUE"""),45610)</f>
        <v>45610</v>
      </c>
      <c r="Q11" s="15">
        <f t="shared" ca="1" si="7"/>
        <v>0.31180555555555556</v>
      </c>
      <c r="R11" s="15">
        <f t="shared" ca="1" si="8"/>
        <v>0.29718822917211107</v>
      </c>
      <c r="S11" s="15">
        <f t="shared" ca="1" si="4"/>
        <v>3.6145104161222241E-2</v>
      </c>
      <c r="T11" s="16">
        <f t="shared" ca="1" si="5"/>
        <v>1.0465760120242384</v>
      </c>
    </row>
    <row r="12" spans="1:21" ht="15.75" customHeight="1">
      <c r="A12" s="6">
        <v>45600</v>
      </c>
      <c r="B12" s="7" t="s">
        <v>63</v>
      </c>
      <c r="C12" s="7">
        <v>1</v>
      </c>
      <c r="D12" s="8">
        <f>IFERROR(VLOOKUP($B12,Task!$B$1:$G$61,6,0)," ")</f>
        <v>4.5138888888888888E-2</v>
      </c>
      <c r="E12" s="9">
        <f t="shared" si="0"/>
        <v>4.5138888888888888E-2</v>
      </c>
      <c r="F12" s="10">
        <f t="shared" si="9"/>
        <v>0.36167824074074073</v>
      </c>
      <c r="G12" s="10">
        <v>0.40945601851851854</v>
      </c>
      <c r="H12" s="8">
        <f t="shared" si="1"/>
        <v>4.1261574074074103E-2</v>
      </c>
      <c r="I12" s="11">
        <f t="shared" si="2"/>
        <v>0.41333333333333333</v>
      </c>
      <c r="J12" s="8"/>
      <c r="K12" s="8"/>
      <c r="L12" s="8">
        <v>6.5162037037037037E-3</v>
      </c>
      <c r="M12" s="12"/>
      <c r="N12" s="13">
        <f t="shared" si="3"/>
        <v>1.0939691444600272</v>
      </c>
      <c r="O12" s="4"/>
      <c r="P12" s="14">
        <f ca="1">IFERROR(__xludf.DUMMYFUNCTION("""COMPUTED_VALUE"""),45611)</f>
        <v>45611</v>
      </c>
      <c r="Q12" s="15">
        <f t="shared" ca="1" si="7"/>
        <v>0.2986111111111111</v>
      </c>
      <c r="R12" s="15">
        <f t="shared" ca="1" si="8"/>
        <v>0.28353296296382141</v>
      </c>
      <c r="S12" s="15">
        <f t="shared" ca="1" si="4"/>
        <v>4.9800370369511904E-2</v>
      </c>
      <c r="T12" s="16">
        <f t="shared" ca="1" si="5"/>
        <v>1.0879252174107037</v>
      </c>
    </row>
    <row r="13" spans="1:21" ht="15.75" customHeight="1">
      <c r="A13" s="6">
        <v>45600</v>
      </c>
      <c r="B13" s="7" t="s">
        <v>18</v>
      </c>
      <c r="C13" s="7">
        <v>1</v>
      </c>
      <c r="D13" s="8">
        <f>IFERROR(VLOOKUP($B13,Task!$B$1:$G$61,6,0)," ")</f>
        <v>4.8611111111111112E-2</v>
      </c>
      <c r="E13" s="9">
        <f t="shared" si="0"/>
        <v>4.8611111111111112E-2</v>
      </c>
      <c r="F13" s="10">
        <f t="shared" si="9"/>
        <v>0.40945601851851854</v>
      </c>
      <c r="G13" s="10">
        <v>0.48754629629629631</v>
      </c>
      <c r="H13" s="8">
        <f t="shared" si="1"/>
        <v>5.1562499999999997E-2</v>
      </c>
      <c r="I13" s="11">
        <f t="shared" si="2"/>
        <v>0.4845949074074074</v>
      </c>
      <c r="J13" s="8"/>
      <c r="K13" s="8"/>
      <c r="L13" s="8">
        <v>2.6527777777777779E-2</v>
      </c>
      <c r="M13" s="12"/>
      <c r="N13" s="13">
        <f t="shared" si="3"/>
        <v>0.9427609427609428</v>
      </c>
      <c r="O13" s="19"/>
      <c r="P13" s="14">
        <f ca="1">IFERROR(__xludf.DUMMYFUNCTION("""COMPUTED_VALUE"""),45614)</f>
        <v>45614</v>
      </c>
      <c r="Q13" s="15">
        <f t="shared" ca="1" si="7"/>
        <v>0.32500000000000001</v>
      </c>
      <c r="R13" s="15">
        <f t="shared" ca="1" si="8"/>
        <v>0.30881944444444437</v>
      </c>
      <c r="S13" s="15">
        <f t="shared" ca="1" si="4"/>
        <v>2.4513888888888946E-2</v>
      </c>
      <c r="T13" s="16">
        <f t="shared" ca="1" si="5"/>
        <v>1.0540966038951693</v>
      </c>
    </row>
    <row r="14" spans="1:21" ht="15.75" customHeight="1">
      <c r="A14" s="6">
        <v>45600</v>
      </c>
      <c r="B14" s="7" t="s">
        <v>44</v>
      </c>
      <c r="C14" s="7">
        <v>60</v>
      </c>
      <c r="D14" s="8">
        <f>IFERROR(VLOOKUP($B14,Task!$B$1:$G$61,6,0)," ")</f>
        <v>3.472222222222222E-3</v>
      </c>
      <c r="E14" s="9">
        <f t="shared" si="0"/>
        <v>0.20833333333333331</v>
      </c>
      <c r="F14" s="10">
        <f t="shared" si="9"/>
        <v>0.48754629629629631</v>
      </c>
      <c r="G14" s="10">
        <v>0.70902777777777781</v>
      </c>
      <c r="H14" s="8">
        <f t="shared" si="1"/>
        <v>0.18792824074074077</v>
      </c>
      <c r="I14" s="11">
        <f t="shared" si="2"/>
        <v>0.72943287037037041</v>
      </c>
      <c r="J14" s="8"/>
      <c r="K14" s="8"/>
      <c r="L14" s="8">
        <v>3.3553240740740738E-2</v>
      </c>
      <c r="M14" s="18" t="s">
        <v>88</v>
      </c>
      <c r="N14" s="13">
        <f t="shared" si="3"/>
        <v>1.1085791710291306</v>
      </c>
      <c r="O14" s="4"/>
      <c r="P14" s="20">
        <f ca="1">IFERROR(__xludf.DUMMYFUNCTION("""COMPUTED_VALUE"""),45615)</f>
        <v>45615</v>
      </c>
      <c r="Q14" s="15">
        <f t="shared" ca="1" si="7"/>
        <v>0.31319444444444444</v>
      </c>
      <c r="R14" s="15">
        <f t="shared" ca="1" si="8"/>
        <v>0.30283564814814806</v>
      </c>
      <c r="S14" s="15">
        <f t="shared" ca="1" si="4"/>
        <v>3.0497685185185253E-2</v>
      </c>
      <c r="T14" s="16">
        <f t="shared" ca="1" si="5"/>
        <v>1.048670018184878</v>
      </c>
    </row>
    <row r="15" spans="1:21" ht="15.75" customHeight="1">
      <c r="A15" s="6">
        <v>45601</v>
      </c>
      <c r="B15" s="7" t="s">
        <v>44</v>
      </c>
      <c r="C15" s="7">
        <v>42</v>
      </c>
      <c r="D15" s="8">
        <f>IFERROR(VLOOKUP($B15,Task!$B$1:$G$61,6,0)," ")</f>
        <v>3.472222222222222E-3</v>
      </c>
      <c r="E15" s="9">
        <f t="shared" si="0"/>
        <v>0.14583333333333331</v>
      </c>
      <c r="F15" s="10">
        <v>0.33105324074074083</v>
      </c>
      <c r="G15" s="10">
        <v>0.49356481481481479</v>
      </c>
      <c r="H15" s="8">
        <f t="shared" si="1"/>
        <v>0.13444444444444434</v>
      </c>
      <c r="I15" s="11">
        <f t="shared" si="2"/>
        <v>0.50495370370370374</v>
      </c>
      <c r="J15" s="8"/>
      <c r="K15" s="8"/>
      <c r="L15" s="8">
        <v>2.8067129629629629E-2</v>
      </c>
      <c r="M15" s="18" t="s">
        <v>88</v>
      </c>
      <c r="N15" s="13">
        <f t="shared" si="3"/>
        <v>1.0847107438016537</v>
      </c>
      <c r="O15" s="4"/>
      <c r="P15" s="20">
        <f ca="1">IFERROR(__xludf.DUMMYFUNCTION("""COMPUTED_VALUE"""),45616)</f>
        <v>45616</v>
      </c>
      <c r="Q15" s="15">
        <f t="shared" ca="1" si="7"/>
        <v>0.35555555555555557</v>
      </c>
      <c r="R15" s="15">
        <f t="shared" ca="1" si="8"/>
        <v>0.34214120370370371</v>
      </c>
      <c r="S15" s="15" t="str">
        <f t="shared" ca="1" si="4"/>
        <v xml:space="preserve"> </v>
      </c>
      <c r="T15" s="16">
        <f t="shared" ca="1" si="5"/>
        <v>1.0398544188407901</v>
      </c>
    </row>
    <row r="16" spans="1:21" ht="15.75" customHeight="1">
      <c r="A16" s="6">
        <v>45601</v>
      </c>
      <c r="B16" s="7" t="s">
        <v>86</v>
      </c>
      <c r="C16" s="7">
        <v>20</v>
      </c>
      <c r="D16" s="8">
        <f>IFERROR(VLOOKUP($B16,Task!$B$1:$G$61,6,0)," ")</f>
        <v>3.472222222222222E-3</v>
      </c>
      <c r="E16" s="9">
        <f t="shared" si="0"/>
        <v>6.9444444444444448E-2</v>
      </c>
      <c r="F16" s="10">
        <f t="shared" ref="F16:F19" si="10">G15</f>
        <v>0.49356481481481479</v>
      </c>
      <c r="G16" s="10">
        <v>0.5286805555555556</v>
      </c>
      <c r="H16" s="8">
        <f t="shared" si="1"/>
        <v>2.5416666666666733E-2</v>
      </c>
      <c r="I16" s="11">
        <f t="shared" si="2"/>
        <v>0.57270833333333337</v>
      </c>
      <c r="J16" s="8"/>
      <c r="K16" s="8"/>
      <c r="L16" s="8">
        <v>9.6990740740740735E-3</v>
      </c>
      <c r="M16" s="12"/>
      <c r="N16" s="13">
        <f t="shared" si="3"/>
        <v>2.7322404371584628</v>
      </c>
      <c r="O16" s="4"/>
      <c r="P16" s="20">
        <f ca="1">IFERROR(__xludf.DUMMYFUNCTION("""COMPUTED_VALUE"""),45617)</f>
        <v>45617</v>
      </c>
      <c r="Q16" s="15">
        <f t="shared" ca="1" si="7"/>
        <v>0.51249999999999996</v>
      </c>
      <c r="R16" s="15">
        <f t="shared" ca="1" si="8"/>
        <v>0.29247685185185185</v>
      </c>
      <c r="S16" s="15">
        <f t="shared" ca="1" si="4"/>
        <v>4.0856481481481466E-2</v>
      </c>
      <c r="T16" s="16">
        <f t="shared" ca="1" si="5"/>
        <v>1.3298112505628843</v>
      </c>
    </row>
    <row r="17" spans="1:20" ht="15.75" customHeight="1">
      <c r="A17" s="6">
        <v>45601</v>
      </c>
      <c r="B17" s="7" t="s">
        <v>18</v>
      </c>
      <c r="C17" s="7">
        <v>1</v>
      </c>
      <c r="D17" s="8">
        <f>IFERROR(VLOOKUP($B17,Task!$B$1:$G$61,6,0)," ")</f>
        <v>4.8611111111111112E-2</v>
      </c>
      <c r="E17" s="9">
        <f t="shared" si="0"/>
        <v>4.8611111111111112E-2</v>
      </c>
      <c r="F17" s="10">
        <f t="shared" si="10"/>
        <v>0.5286805555555556</v>
      </c>
      <c r="G17" s="10">
        <v>0.58038194444444446</v>
      </c>
      <c r="H17" s="8">
        <f t="shared" si="1"/>
        <v>4.7118055555555531E-2</v>
      </c>
      <c r="I17" s="11">
        <f t="shared" si="2"/>
        <v>0.58187500000000014</v>
      </c>
      <c r="J17" s="8"/>
      <c r="K17" s="8"/>
      <c r="L17" s="8">
        <v>4.5833333333333334E-3</v>
      </c>
      <c r="M17" s="12"/>
      <c r="N17" s="13">
        <f t="shared" si="3"/>
        <v>1.0316875460574804</v>
      </c>
      <c r="O17" s="19"/>
      <c r="P17" s="20">
        <f ca="1">IFERROR(__xludf.DUMMYFUNCTION("""COMPUTED_VALUE"""),45621)</f>
        <v>45621</v>
      </c>
      <c r="Q17" s="15">
        <f t="shared" ca="1" si="7"/>
        <v>0.41319444444444448</v>
      </c>
      <c r="R17" s="15">
        <f t="shared" ca="1" si="8"/>
        <v>0.30546296296296294</v>
      </c>
      <c r="S17" s="15">
        <f t="shared" ca="1" si="4"/>
        <v>2.7870370370370379E-2</v>
      </c>
      <c r="T17" s="16">
        <f t="shared" ca="1" si="5"/>
        <v>1.3201583331670748</v>
      </c>
    </row>
    <row r="18" spans="1:20" ht="15.75" customHeight="1">
      <c r="A18" s="6">
        <v>45601</v>
      </c>
      <c r="B18" s="7" t="s">
        <v>16</v>
      </c>
      <c r="C18" s="7">
        <v>10</v>
      </c>
      <c r="D18" s="8">
        <f>IFERROR(VLOOKUP($B18,Task!$B$1:$G$61,6,0)," ")</f>
        <v>5.5555555555555558E-3</v>
      </c>
      <c r="E18" s="9">
        <f t="shared" si="0"/>
        <v>5.5555555555555559E-2</v>
      </c>
      <c r="F18" s="10">
        <f t="shared" si="10"/>
        <v>0.58038194444444446</v>
      </c>
      <c r="G18" s="10">
        <v>0.62896990740740744</v>
      </c>
      <c r="H18" s="8">
        <f t="shared" si="1"/>
        <v>4.8587962962962972E-2</v>
      </c>
      <c r="I18" s="11">
        <f t="shared" si="2"/>
        <v>0.63593750000000004</v>
      </c>
      <c r="J18" s="8"/>
      <c r="K18" s="8"/>
      <c r="L18" s="8"/>
      <c r="M18" s="12"/>
      <c r="N18" s="13">
        <f t="shared" si="3"/>
        <v>1.1434016198189614</v>
      </c>
      <c r="P18" s="20">
        <f ca="1">IFERROR(__xludf.DUMMYFUNCTION("""COMPUTED_VALUE"""),45622)</f>
        <v>45622</v>
      </c>
      <c r="Q18" s="15">
        <f t="shared" ca="1" si="7"/>
        <v>0.45833333333333343</v>
      </c>
      <c r="R18" s="15">
        <f t="shared" ca="1" si="8"/>
        <v>0.26832175925925927</v>
      </c>
      <c r="S18" s="15">
        <f t="shared" ca="1" si="4"/>
        <v>6.5011574074074041E-2</v>
      </c>
      <c r="T18" s="16">
        <f t="shared" ca="1" si="5"/>
        <v>1.3161934585523427</v>
      </c>
    </row>
    <row r="19" spans="1:20" ht="15.75" customHeight="1">
      <c r="A19" s="6">
        <v>45601</v>
      </c>
      <c r="B19" s="7" t="s">
        <v>44</v>
      </c>
      <c r="C19" s="7">
        <v>17</v>
      </c>
      <c r="D19" s="8">
        <f>IFERROR(VLOOKUP($B19,Task!$B$1:$G$61,6,0)," ")</f>
        <v>3.472222222222222E-3</v>
      </c>
      <c r="E19" s="9">
        <f t="shared" si="0"/>
        <v>5.9027777777777776E-2</v>
      </c>
      <c r="F19" s="10">
        <f t="shared" si="10"/>
        <v>0.62896990740740744</v>
      </c>
      <c r="G19" s="10">
        <v>0.70902777777777781</v>
      </c>
      <c r="H19" s="8">
        <f t="shared" si="1"/>
        <v>5.5763888888888891E-2</v>
      </c>
      <c r="I19" s="11">
        <f t="shared" si="2"/>
        <v>0.71229166666666666</v>
      </c>
      <c r="J19" s="8"/>
      <c r="K19" s="8"/>
      <c r="L19" s="8">
        <v>2.4293981481481482E-2</v>
      </c>
      <c r="M19" s="18" t="s">
        <v>88</v>
      </c>
      <c r="N19" s="13">
        <f t="shared" si="3"/>
        <v>1.0585305105853051</v>
      </c>
      <c r="O19" s="19"/>
      <c r="P19" s="20">
        <f ca="1">IFERROR(__xludf.DUMMYFUNCTION("""COMPUTED_VALUE"""),45623)</f>
        <v>45623</v>
      </c>
      <c r="Q19" s="15">
        <f t="shared" ca="1" si="7"/>
        <v>0.32847222222222222</v>
      </c>
      <c r="R19" s="15">
        <f t="shared" ca="1" si="8"/>
        <v>0.30881314814944444</v>
      </c>
      <c r="S19" s="15">
        <f t="shared" ref="S19:S23" ca="1" si="11">IF(R19=""," ",$U$1-R19)</f>
        <v>2.4520185183888876E-2</v>
      </c>
      <c r="T19" s="16">
        <f t="shared" ca="1" si="5"/>
        <v>1.0655245252694623</v>
      </c>
    </row>
    <row r="20" spans="1:20" ht="15.75" customHeight="1">
      <c r="A20" s="6">
        <v>45602</v>
      </c>
      <c r="B20" s="7" t="s">
        <v>44</v>
      </c>
      <c r="C20" s="7">
        <v>35</v>
      </c>
      <c r="D20" s="8">
        <f>IFERROR(VLOOKUP($B20,Task!$B$1:$G$61,6,0)," ")</f>
        <v>3.472222222222222E-3</v>
      </c>
      <c r="E20" s="9">
        <f t="shared" si="0"/>
        <v>0.12152777777777778</v>
      </c>
      <c r="F20" s="10">
        <v>0.341863425925926</v>
      </c>
      <c r="G20" s="10">
        <v>0.49119212962962966</v>
      </c>
      <c r="H20" s="8">
        <f t="shared" si="1"/>
        <v>0.11287037037037032</v>
      </c>
      <c r="I20" s="11">
        <f t="shared" si="2"/>
        <v>0.49984953703703711</v>
      </c>
      <c r="J20" s="8"/>
      <c r="K20" s="8"/>
      <c r="L20" s="8">
        <v>3.6458333333333336E-2</v>
      </c>
      <c r="M20" s="18" t="s">
        <v>88</v>
      </c>
      <c r="N20" s="13">
        <f t="shared" si="3"/>
        <v>1.0767022149302712</v>
      </c>
      <c r="O20" s="4"/>
      <c r="P20" s="20">
        <f ca="1">IFERROR(__xludf.DUMMYFUNCTION("""COMPUTED_VALUE"""),45624)</f>
        <v>45624</v>
      </c>
      <c r="Q20" s="15">
        <f t="shared" ca="1" si="7"/>
        <v>0.33333333333333337</v>
      </c>
      <c r="R20" s="15">
        <f t="shared" ca="1" si="8"/>
        <v>0.31461805555555544</v>
      </c>
      <c r="S20" s="15">
        <f t="shared" ca="1" si="11"/>
        <v>1.8715277777777872E-2</v>
      </c>
      <c r="T20" s="16">
        <f t="shared" ca="1" si="5"/>
        <v>1.0782344594072439</v>
      </c>
    </row>
    <row r="21" spans="1:20" ht="15.75" customHeight="1">
      <c r="A21" s="6">
        <v>45602</v>
      </c>
      <c r="B21" s="7" t="s">
        <v>38</v>
      </c>
      <c r="C21" s="7">
        <v>8</v>
      </c>
      <c r="D21" s="8">
        <f>IFERROR(VLOOKUP($B21,Task!$B$1:$G$61,6,0)," ")</f>
        <v>2.7777777777777779E-3</v>
      </c>
      <c r="E21" s="9">
        <f t="shared" si="0"/>
        <v>2.2222222222222223E-2</v>
      </c>
      <c r="F21" s="10">
        <f t="shared" ref="F21:F22" si="12">G20</f>
        <v>0.49119212962962966</v>
      </c>
      <c r="G21" s="10">
        <v>0.51273148148148151</v>
      </c>
      <c r="H21" s="8">
        <f t="shared" si="1"/>
        <v>2.1539351851851851E-2</v>
      </c>
      <c r="I21" s="11">
        <f t="shared" si="2"/>
        <v>0.51341435185185191</v>
      </c>
      <c r="J21" s="8"/>
      <c r="K21" s="8"/>
      <c r="L21" s="8"/>
      <c r="M21" s="12"/>
      <c r="N21" s="13">
        <f t="shared" si="3"/>
        <v>1.031703385276733</v>
      </c>
      <c r="O21" s="4"/>
      <c r="P21" s="20">
        <f ca="1">IFERROR(__xludf.DUMMYFUNCTION("""COMPUTED_VALUE"""),45625)</f>
        <v>45625</v>
      </c>
      <c r="Q21" s="15">
        <f t="shared" ca="1" si="7"/>
        <v>0.31944444444444442</v>
      </c>
      <c r="R21" s="15">
        <f t="shared" ca="1" si="8"/>
        <v>0.30497767360721434</v>
      </c>
      <c r="S21" s="15">
        <f t="shared" ca="1" si="11"/>
        <v>2.8355659726118976E-2</v>
      </c>
      <c r="T21" s="16">
        <f t="shared" ca="1" si="5"/>
        <v>1.0504700003205485</v>
      </c>
    </row>
    <row r="22" spans="1:20" ht="15.75" customHeight="1">
      <c r="A22" s="6">
        <v>45602</v>
      </c>
      <c r="B22" s="7" t="s">
        <v>18</v>
      </c>
      <c r="C22" s="7">
        <v>1</v>
      </c>
      <c r="D22" s="8">
        <f>IFERROR(VLOOKUP($B22,Task!$B$1:$G$61,6,0)," ")</f>
        <v>4.8611111111111112E-2</v>
      </c>
      <c r="E22" s="9">
        <f t="shared" si="0"/>
        <v>4.8611111111111112E-2</v>
      </c>
      <c r="F22" s="10">
        <f t="shared" si="12"/>
        <v>0.51273148148148151</v>
      </c>
      <c r="G22" s="10">
        <v>0.57701388888888894</v>
      </c>
      <c r="H22" s="8">
        <f t="shared" si="1"/>
        <v>4.5289351851851872E-2</v>
      </c>
      <c r="I22" s="11">
        <f t="shared" si="2"/>
        <v>0.5803356481481482</v>
      </c>
      <c r="J22" s="8"/>
      <c r="K22" s="8"/>
      <c r="L22" s="8">
        <v>1.8993055555555555E-2</v>
      </c>
      <c r="M22" s="12"/>
      <c r="N22" s="13">
        <f t="shared" si="3"/>
        <v>1.0733452593917705</v>
      </c>
      <c r="P22" s="20"/>
      <c r="Q22" s="15" t="str">
        <f t="shared" si="7"/>
        <v/>
      </c>
      <c r="R22" s="15" t="str">
        <f t="shared" si="8"/>
        <v/>
      </c>
      <c r="S22" s="15" t="str">
        <f t="shared" si="11"/>
        <v xml:space="preserve"> </v>
      </c>
      <c r="T22" s="16" t="str">
        <f t="shared" si="5"/>
        <v xml:space="preserve"> </v>
      </c>
    </row>
    <row r="23" spans="1:20" ht="15.75" customHeight="1">
      <c r="A23" s="6">
        <v>45602</v>
      </c>
      <c r="B23" s="7" t="s">
        <v>49</v>
      </c>
      <c r="C23" s="7">
        <v>37</v>
      </c>
      <c r="D23" s="8">
        <f>IFERROR(VLOOKUP($B23,Task!$B$1:$G$61,6,0)," ")</f>
        <v>3.472222222222222E-3</v>
      </c>
      <c r="E23" s="9">
        <f t="shared" si="0"/>
        <v>0.12847222222222221</v>
      </c>
      <c r="F23" s="10">
        <v>0.57753472222222224</v>
      </c>
      <c r="G23" s="10">
        <v>0.71875</v>
      </c>
      <c r="H23" s="8">
        <f t="shared" si="1"/>
        <v>0.12739583333333332</v>
      </c>
      <c r="I23" s="11">
        <f t="shared" si="2"/>
        <v>0.71982638888888895</v>
      </c>
      <c r="J23" s="8"/>
      <c r="K23" s="8"/>
      <c r="L23" s="8">
        <v>1.3819444444444445E-2</v>
      </c>
      <c r="M23" s="12"/>
      <c r="N23" s="13">
        <f t="shared" si="3"/>
        <v>1.0084491687108204</v>
      </c>
      <c r="P23" s="20"/>
      <c r="Q23" s="15" t="str">
        <f t="shared" si="7"/>
        <v/>
      </c>
      <c r="R23" s="15" t="str">
        <f t="shared" si="8"/>
        <v/>
      </c>
      <c r="S23" s="15" t="str">
        <f t="shared" si="11"/>
        <v xml:space="preserve"> </v>
      </c>
      <c r="T23" s="16" t="str">
        <f t="shared" si="5"/>
        <v xml:space="preserve"> </v>
      </c>
    </row>
    <row r="24" spans="1:20" ht="15.75" customHeight="1">
      <c r="A24" s="6">
        <v>45603</v>
      </c>
      <c r="B24" s="7" t="s">
        <v>43</v>
      </c>
      <c r="C24" s="7">
        <v>1</v>
      </c>
      <c r="D24" s="8">
        <f>IFERROR(VLOOKUP($B24,Task!$B$1:$G$61,6,0)," ")</f>
        <v>3.4722222222222224E-2</v>
      </c>
      <c r="E24" s="9">
        <f t="shared" si="0"/>
        <v>3.4722222222222224E-2</v>
      </c>
      <c r="F24" s="10">
        <v>0.33074074074074078</v>
      </c>
      <c r="G24" s="10">
        <v>0.36130787037037038</v>
      </c>
      <c r="H24" s="8">
        <f t="shared" si="1"/>
        <v>3.0567129629629597E-2</v>
      </c>
      <c r="I24" s="11">
        <f t="shared" si="2"/>
        <v>0.36546296296296299</v>
      </c>
      <c r="J24" s="8"/>
      <c r="K24" s="8"/>
      <c r="L24" s="8"/>
      <c r="M24" s="12"/>
      <c r="N24" s="13">
        <f t="shared" si="3"/>
        <v>1.1359333585762981</v>
      </c>
    </row>
    <row r="25" spans="1:20" ht="15.75" customHeight="1">
      <c r="A25" s="6">
        <v>45603</v>
      </c>
      <c r="B25" s="7" t="s">
        <v>42</v>
      </c>
      <c r="C25" s="7">
        <v>1</v>
      </c>
      <c r="D25" s="8">
        <f>IFERROR(VLOOKUP($B25,Task!$B$1:$G$61,6,0)," ")</f>
        <v>6.9444444444444441E-3</v>
      </c>
      <c r="E25" s="9">
        <f t="shared" si="0"/>
        <v>6.9444444444444441E-3</v>
      </c>
      <c r="F25" s="10">
        <f t="shared" ref="F25:F27" si="13">G24</f>
        <v>0.36130787037037038</v>
      </c>
      <c r="G25" s="10">
        <v>0.36791666666666667</v>
      </c>
      <c r="H25" s="8">
        <f t="shared" si="1"/>
        <v>6.6087962962962932E-3</v>
      </c>
      <c r="I25" s="11">
        <f t="shared" si="2"/>
        <v>0.3682523148148148</v>
      </c>
      <c r="J25" s="8"/>
      <c r="K25" s="8"/>
      <c r="L25" s="8"/>
      <c r="M25" s="12"/>
      <c r="N25" s="13">
        <f t="shared" si="3"/>
        <v>1.0507880910683016</v>
      </c>
      <c r="O25" s="4"/>
    </row>
    <row r="26" spans="1:20" ht="14.5">
      <c r="A26" s="6">
        <v>45603</v>
      </c>
      <c r="B26" s="7" t="s">
        <v>18</v>
      </c>
      <c r="C26" s="7">
        <v>2</v>
      </c>
      <c r="D26" s="8">
        <f>IFERROR(VLOOKUP($B26,Task!$B$1:$G$61,6,0)," ")</f>
        <v>4.8611111111111112E-2</v>
      </c>
      <c r="E26" s="9">
        <f t="shared" si="0"/>
        <v>9.7222222222222224E-2</v>
      </c>
      <c r="F26" s="10">
        <f t="shared" si="13"/>
        <v>0.36791666666666667</v>
      </c>
      <c r="G26" s="10">
        <v>0.52724537037037045</v>
      </c>
      <c r="H26" s="8">
        <f t="shared" si="1"/>
        <v>0.10590277777777785</v>
      </c>
      <c r="I26" s="11">
        <f t="shared" si="2"/>
        <v>0.51856481481481476</v>
      </c>
      <c r="J26" s="8"/>
      <c r="K26" s="8"/>
      <c r="L26" s="8">
        <v>5.3425925925925925E-2</v>
      </c>
      <c r="M26" s="12"/>
      <c r="N26" s="13">
        <f t="shared" si="3"/>
        <v>0.91803278688524537</v>
      </c>
      <c r="O26" s="19"/>
    </row>
    <row r="27" spans="1:20" ht="14.5">
      <c r="A27" s="6">
        <v>45603</v>
      </c>
      <c r="B27" s="7" t="s">
        <v>30</v>
      </c>
      <c r="C27" s="7">
        <v>3</v>
      </c>
      <c r="D27" s="8">
        <v>3.125E-2</v>
      </c>
      <c r="E27" s="9">
        <f t="shared" si="0"/>
        <v>9.375E-2</v>
      </c>
      <c r="F27" s="10">
        <f t="shared" si="13"/>
        <v>0.52724537037037045</v>
      </c>
      <c r="G27" s="10">
        <v>0.65140046296296295</v>
      </c>
      <c r="H27" s="8">
        <f t="shared" si="1"/>
        <v>8.6944444444444269E-2</v>
      </c>
      <c r="I27" s="11">
        <f t="shared" si="2"/>
        <v>0.65820601851851868</v>
      </c>
      <c r="J27" s="8"/>
      <c r="K27" s="8"/>
      <c r="L27" s="8">
        <f>SUM(H28:H31)</f>
        <v>3.7210648148148229E-2</v>
      </c>
      <c r="M27" s="12"/>
      <c r="N27" s="13">
        <f t="shared" si="3"/>
        <v>1.0782747603833887</v>
      </c>
      <c r="O27" s="4"/>
    </row>
    <row r="28" spans="1:20" ht="14.5">
      <c r="A28" s="6">
        <v>45603</v>
      </c>
      <c r="B28" s="7" t="s">
        <v>50</v>
      </c>
      <c r="C28" s="7">
        <v>1</v>
      </c>
      <c r="D28" s="8">
        <f>IFERROR(VLOOKUP($B28,Task!$B$1:$G$61,6,0)," ")</f>
        <v>1.0416666666666666E-2</v>
      </c>
      <c r="E28" s="9">
        <f t="shared" si="0"/>
        <v>1.0416666666666666E-2</v>
      </c>
      <c r="F28" s="10">
        <v>0.60017361111111112</v>
      </c>
      <c r="G28" s="10">
        <v>0.60936342592592596</v>
      </c>
      <c r="H28" s="8">
        <f t="shared" si="1"/>
        <v>9.1898148148148451E-3</v>
      </c>
      <c r="I28" s="11">
        <f t="shared" si="2"/>
        <v>0.61059027777777775</v>
      </c>
      <c r="J28" s="8"/>
      <c r="K28" s="8"/>
      <c r="L28" s="8"/>
      <c r="M28" s="12"/>
      <c r="N28" s="13">
        <f t="shared" si="3"/>
        <v>1.13350125944584</v>
      </c>
      <c r="O28" s="19"/>
    </row>
    <row r="29" spans="1:20" ht="14.5">
      <c r="A29" s="6">
        <v>45603</v>
      </c>
      <c r="B29" s="7" t="s">
        <v>51</v>
      </c>
      <c r="C29" s="7">
        <v>1</v>
      </c>
      <c r="D29" s="8">
        <f>IFERROR(VLOOKUP($B29,Task!$B$1:$G$61,6,0)," ")</f>
        <v>1.0416666666666666E-2</v>
      </c>
      <c r="E29" s="9">
        <f t="shared" si="0"/>
        <v>1.0416666666666666E-2</v>
      </c>
      <c r="F29" s="10">
        <f t="shared" ref="F29:F31" si="14">G28</f>
        <v>0.60936342592592596</v>
      </c>
      <c r="G29" s="10">
        <v>0.61869212962962972</v>
      </c>
      <c r="H29" s="8">
        <f t="shared" si="1"/>
        <v>9.3287037037037557E-3</v>
      </c>
      <c r="I29" s="11">
        <f t="shared" si="2"/>
        <v>0.61978009259259259</v>
      </c>
      <c r="J29" s="8"/>
      <c r="K29" s="8"/>
      <c r="L29" s="8"/>
      <c r="M29" s="12"/>
      <c r="N29" s="13">
        <f t="shared" si="3"/>
        <v>1.1166253101736909</v>
      </c>
      <c r="O29" s="4"/>
    </row>
    <row r="30" spans="1:20" ht="14.5">
      <c r="A30" s="6">
        <v>45603</v>
      </c>
      <c r="B30" s="7" t="s">
        <v>52</v>
      </c>
      <c r="C30" s="7">
        <v>1</v>
      </c>
      <c r="D30" s="8">
        <f>IFERROR(VLOOKUP($B30,Task!$B$1:$G$61,6,0)," ")</f>
        <v>1.0416666666666666E-2</v>
      </c>
      <c r="E30" s="9">
        <f t="shared" si="0"/>
        <v>1.0416666666666666E-2</v>
      </c>
      <c r="F30" s="10">
        <f t="shared" si="14"/>
        <v>0.61869212962962972</v>
      </c>
      <c r="G30" s="10">
        <v>0.62802083333333336</v>
      </c>
      <c r="H30" s="8">
        <f t="shared" si="1"/>
        <v>9.3287037037036447E-3</v>
      </c>
      <c r="I30" s="11">
        <f t="shared" si="2"/>
        <v>0.62910879629629635</v>
      </c>
      <c r="J30" s="8"/>
      <c r="K30" s="8"/>
      <c r="L30" s="8"/>
      <c r="M30" s="12"/>
      <c r="N30" s="13">
        <f t="shared" si="3"/>
        <v>1.1166253101737043</v>
      </c>
      <c r="O30" s="4"/>
    </row>
    <row r="31" spans="1:20" ht="14.5">
      <c r="A31" s="6">
        <v>45603</v>
      </c>
      <c r="B31" s="7" t="s">
        <v>53</v>
      </c>
      <c r="C31" s="7">
        <v>1</v>
      </c>
      <c r="D31" s="8">
        <f>IFERROR(VLOOKUP($B31,Task!$B$1:$G$61,6,0)," ")</f>
        <v>1.0416666666666666E-2</v>
      </c>
      <c r="E31" s="9">
        <f t="shared" si="0"/>
        <v>1.0416666666666666E-2</v>
      </c>
      <c r="F31" s="10">
        <f t="shared" si="14"/>
        <v>0.62802083333333336</v>
      </c>
      <c r="G31" s="10">
        <v>0.63738425925925934</v>
      </c>
      <c r="H31" s="8">
        <f t="shared" si="1"/>
        <v>9.3634259259259833E-3</v>
      </c>
      <c r="I31" s="11">
        <f t="shared" si="2"/>
        <v>0.63843749999999999</v>
      </c>
      <c r="J31" s="8"/>
      <c r="K31" s="8"/>
      <c r="L31" s="8"/>
      <c r="M31" s="12"/>
      <c r="N31" s="13">
        <f t="shared" si="3"/>
        <v>1.1124845488257038</v>
      </c>
      <c r="O31" s="19"/>
    </row>
    <row r="32" spans="1:20" ht="14.5">
      <c r="A32" s="6">
        <v>45603</v>
      </c>
      <c r="B32" s="7" t="s">
        <v>65</v>
      </c>
      <c r="C32" s="7">
        <v>1</v>
      </c>
      <c r="D32" s="8">
        <f>IFERROR(VLOOKUP($B32,Task!$B$1:$G$61,6,0)," ")</f>
        <v>2.0833333333333332E-2</v>
      </c>
      <c r="E32" s="9">
        <f t="shared" si="0"/>
        <v>2.0833333333333332E-2</v>
      </c>
      <c r="F32" s="10">
        <f>G27</f>
        <v>0.65140046296296295</v>
      </c>
      <c r="G32" s="10">
        <v>0.67153935185185187</v>
      </c>
      <c r="H32" s="8">
        <f t="shared" si="1"/>
        <v>2.0138888888888928E-2</v>
      </c>
      <c r="I32" s="11">
        <f t="shared" si="2"/>
        <v>0.67223379629629632</v>
      </c>
      <c r="J32" s="8"/>
      <c r="K32" s="8"/>
      <c r="L32" s="8"/>
      <c r="M32" s="12"/>
      <c r="N32" s="13">
        <f t="shared" si="3"/>
        <v>1.0344827586206875</v>
      </c>
      <c r="O32" s="4"/>
    </row>
    <row r="33" spans="1:15" ht="14.5">
      <c r="A33" s="6">
        <v>45603</v>
      </c>
      <c r="B33" s="7" t="s">
        <v>37</v>
      </c>
      <c r="C33" s="7">
        <v>26</v>
      </c>
      <c r="D33" s="8">
        <f>IFERROR(VLOOKUP($B33,Task!$B$1:$G$61,6,0)," ")</f>
        <v>1.3888888888888889E-3</v>
      </c>
      <c r="E33" s="9">
        <f t="shared" si="0"/>
        <v>3.6111111111111115E-2</v>
      </c>
      <c r="F33" s="10">
        <f>G32</f>
        <v>0.67153935185185187</v>
      </c>
      <c r="G33" s="10">
        <v>0.70833333333333337</v>
      </c>
      <c r="H33" s="8">
        <f t="shared" si="1"/>
        <v>3.6793981481481497E-2</v>
      </c>
      <c r="I33" s="11">
        <f t="shared" si="2"/>
        <v>0.70765046296296297</v>
      </c>
      <c r="J33" s="8"/>
      <c r="K33" s="8"/>
      <c r="L33" s="8"/>
      <c r="M33" s="12"/>
      <c r="N33" s="13">
        <f t="shared" si="3"/>
        <v>0.98144070462409527</v>
      </c>
    </row>
    <row r="34" spans="1:15" ht="14.5">
      <c r="A34" s="6">
        <v>45604</v>
      </c>
      <c r="B34" s="7" t="s">
        <v>18</v>
      </c>
      <c r="C34" s="7">
        <v>1</v>
      </c>
      <c r="D34" s="8">
        <f>IFERROR(VLOOKUP($B34,Task!$B$1:$G$61,6,0)," ")</f>
        <v>4.8611111111111112E-2</v>
      </c>
      <c r="E34" s="9">
        <f t="shared" si="0"/>
        <v>4.8611111111111112E-2</v>
      </c>
      <c r="F34" s="10">
        <v>0.32697916666666671</v>
      </c>
      <c r="G34" s="10">
        <v>0.40528935185185189</v>
      </c>
      <c r="H34" s="8">
        <f t="shared" si="1"/>
        <v>4.479166666666666E-2</v>
      </c>
      <c r="I34" s="11">
        <f t="shared" si="2"/>
        <v>0.40910879629629632</v>
      </c>
      <c r="J34" s="8"/>
      <c r="K34" s="8"/>
      <c r="L34" s="8">
        <v>3.3518518518518517E-2</v>
      </c>
      <c r="M34" s="12"/>
      <c r="N34" s="13">
        <f t="shared" si="3"/>
        <v>1.0852713178294575</v>
      </c>
      <c r="O34" s="19"/>
    </row>
    <row r="35" spans="1:15" ht="14.5">
      <c r="A35" s="6">
        <v>45604</v>
      </c>
      <c r="B35" s="7" t="s">
        <v>49</v>
      </c>
      <c r="C35" s="7">
        <v>28</v>
      </c>
      <c r="D35" s="8">
        <f>IFERROR(VLOOKUP($B35,Task!$B$1:$G$61,6,0)," ")</f>
        <v>3.472222222222222E-3</v>
      </c>
      <c r="E35" s="9">
        <f t="shared" si="0"/>
        <v>9.722222222222221E-2</v>
      </c>
      <c r="F35" s="10">
        <v>0.40539351851851851</v>
      </c>
      <c r="G35" s="10">
        <v>0.60944444444444446</v>
      </c>
      <c r="H35" s="8">
        <f t="shared" si="1"/>
        <v>0.10626157407407409</v>
      </c>
      <c r="I35" s="11">
        <f t="shared" si="2"/>
        <v>0.60040509259259267</v>
      </c>
      <c r="J35" s="8"/>
      <c r="K35" s="8"/>
      <c r="L35" s="8">
        <v>9.778935185185185E-2</v>
      </c>
      <c r="M35" s="18" t="s">
        <v>89</v>
      </c>
      <c r="N35" s="13">
        <f t="shared" si="3"/>
        <v>0.91493301383291559</v>
      </c>
    </row>
    <row r="36" spans="1:15" ht="14.5">
      <c r="A36" s="6">
        <v>45604</v>
      </c>
      <c r="B36" s="7" t="s">
        <v>50</v>
      </c>
      <c r="C36" s="7">
        <v>1</v>
      </c>
      <c r="D36" s="8">
        <f>IFERROR(VLOOKUP($B36,Task!$B$1:$G$61,6,0)," ")</f>
        <v>1.0416666666666666E-2</v>
      </c>
      <c r="E36" s="9">
        <f t="shared" si="0"/>
        <v>1.0416666666666666E-2</v>
      </c>
      <c r="F36" s="10">
        <v>0.60956018518518518</v>
      </c>
      <c r="G36" s="10">
        <v>0.61880787037037044</v>
      </c>
      <c r="H36" s="8">
        <f t="shared" si="1"/>
        <v>9.2476851851852615E-3</v>
      </c>
      <c r="I36" s="11">
        <f t="shared" si="2"/>
        <v>0.61997685185185181</v>
      </c>
      <c r="J36" s="8"/>
      <c r="K36" s="8"/>
      <c r="L36" s="8"/>
      <c r="M36" s="12"/>
      <c r="N36" s="13">
        <f t="shared" si="3"/>
        <v>1.1264080100125062</v>
      </c>
    </row>
    <row r="37" spans="1:15" ht="14.5">
      <c r="A37" s="6">
        <v>45604</v>
      </c>
      <c r="B37" s="7" t="s">
        <v>51</v>
      </c>
      <c r="C37" s="7">
        <v>1</v>
      </c>
      <c r="D37" s="8">
        <f>IFERROR(VLOOKUP($B37,Task!$B$1:$G$61,6,0)," ")</f>
        <v>1.0416666666666666E-2</v>
      </c>
      <c r="E37" s="9">
        <f t="shared" si="0"/>
        <v>1.0416666666666666E-2</v>
      </c>
      <c r="F37" s="10">
        <f t="shared" ref="F37:F39" si="15">G36</f>
        <v>0.61880787037037044</v>
      </c>
      <c r="G37" s="10">
        <v>0.62818287037037046</v>
      </c>
      <c r="H37" s="8">
        <f t="shared" si="1"/>
        <v>9.3750000000000222E-3</v>
      </c>
      <c r="I37" s="11">
        <f t="shared" si="2"/>
        <v>0.62922453703703707</v>
      </c>
      <c r="J37" s="8"/>
      <c r="K37" s="8"/>
      <c r="L37" s="8"/>
      <c r="M37" s="12"/>
      <c r="N37" s="13">
        <f t="shared" si="3"/>
        <v>1.1111111111111085</v>
      </c>
      <c r="O37" s="4"/>
    </row>
    <row r="38" spans="1:15" ht="14.5">
      <c r="A38" s="6">
        <v>45604</v>
      </c>
      <c r="B38" s="7" t="s">
        <v>52</v>
      </c>
      <c r="C38" s="7">
        <v>1</v>
      </c>
      <c r="D38" s="8">
        <f>IFERROR(VLOOKUP($B38,Task!$B$1:$G$61,6,0)," ")</f>
        <v>1.0416666666666666E-2</v>
      </c>
      <c r="E38" s="9">
        <f t="shared" si="0"/>
        <v>1.0416666666666666E-2</v>
      </c>
      <c r="F38" s="10">
        <f t="shared" si="15"/>
        <v>0.62818287037037046</v>
      </c>
      <c r="G38" s="10">
        <v>0.63751157407407411</v>
      </c>
      <c r="H38" s="8">
        <f t="shared" si="1"/>
        <v>9.3287037037036447E-3</v>
      </c>
      <c r="I38" s="11">
        <f t="shared" si="2"/>
        <v>0.63859953703703709</v>
      </c>
      <c r="J38" s="8"/>
      <c r="K38" s="8"/>
      <c r="L38" s="8"/>
      <c r="M38" s="12"/>
      <c r="N38" s="13">
        <f t="shared" si="3"/>
        <v>1.1166253101737043</v>
      </c>
      <c r="O38" s="19"/>
    </row>
    <row r="39" spans="1:15" ht="14.5">
      <c r="A39" s="6">
        <v>45604</v>
      </c>
      <c r="B39" s="7" t="s">
        <v>53</v>
      </c>
      <c r="C39" s="7">
        <v>1</v>
      </c>
      <c r="D39" s="8">
        <f>IFERROR(VLOOKUP($B39,Task!$B$1:$G$61,6,0)," ")</f>
        <v>1.0416666666666666E-2</v>
      </c>
      <c r="E39" s="9">
        <f t="shared" si="0"/>
        <v>1.0416666666666666E-2</v>
      </c>
      <c r="F39" s="10">
        <f t="shared" si="15"/>
        <v>0.63751157407407411</v>
      </c>
      <c r="G39" s="10">
        <v>0.64673611111111118</v>
      </c>
      <c r="H39" s="8">
        <f t="shared" si="1"/>
        <v>9.2245370370370727E-3</v>
      </c>
      <c r="I39" s="11">
        <f t="shared" si="2"/>
        <v>0.64792824074074074</v>
      </c>
      <c r="J39" s="8"/>
      <c r="K39" s="8"/>
      <c r="L39" s="8"/>
      <c r="M39" s="12"/>
      <c r="N39" s="13">
        <f t="shared" si="3"/>
        <v>1.129234629861978</v>
      </c>
      <c r="O39" s="19"/>
    </row>
    <row r="40" spans="1:15" ht="14.5">
      <c r="A40" s="6">
        <v>45604</v>
      </c>
      <c r="B40" s="7" t="s">
        <v>49</v>
      </c>
      <c r="C40" s="7">
        <v>9</v>
      </c>
      <c r="D40" s="8">
        <f>IFERROR(VLOOKUP($B40,Task!$B$1:$G$61,6,0)," ")</f>
        <v>3.472222222222222E-3</v>
      </c>
      <c r="E40" s="9">
        <f t="shared" si="0"/>
        <v>3.125E-2</v>
      </c>
      <c r="F40" s="10">
        <v>0.64682870370370371</v>
      </c>
      <c r="G40" s="10">
        <v>0.70833333333333337</v>
      </c>
      <c r="H40" s="8">
        <f t="shared" si="1"/>
        <v>3.1168981481481509E-2</v>
      </c>
      <c r="I40" s="11">
        <f t="shared" si="2"/>
        <v>0.70841435185185186</v>
      </c>
      <c r="J40" s="8"/>
      <c r="K40" s="8"/>
      <c r="L40" s="8">
        <v>3.033564814814815E-2</v>
      </c>
      <c r="M40" s="12"/>
      <c r="N40" s="13">
        <f t="shared" si="3"/>
        <v>1.0025993316004447</v>
      </c>
      <c r="O40" s="4"/>
    </row>
    <row r="41" spans="1:15" ht="14.5">
      <c r="A41" s="6">
        <v>45607</v>
      </c>
      <c r="B41" s="7" t="s">
        <v>42</v>
      </c>
      <c r="C41" s="7">
        <v>1</v>
      </c>
      <c r="D41" s="8">
        <f>IFERROR(VLOOKUP($B41,Task!$B$1:$G$61,6,0)," ")</f>
        <v>6.9444444444444441E-3</v>
      </c>
      <c r="E41" s="9">
        <f t="shared" si="0"/>
        <v>6.9444444444444441E-3</v>
      </c>
      <c r="F41" s="10">
        <v>0.34231481481481485</v>
      </c>
      <c r="G41" s="10">
        <v>0.34890046296296295</v>
      </c>
      <c r="H41" s="8">
        <f t="shared" si="1"/>
        <v>6.5856481481481044E-3</v>
      </c>
      <c r="I41" s="11">
        <f t="shared" si="2"/>
        <v>0.34925925925925927</v>
      </c>
      <c r="J41" s="8"/>
      <c r="K41" s="8"/>
      <c r="L41" s="8"/>
      <c r="M41" s="12"/>
      <c r="N41" s="13">
        <f t="shared" si="3"/>
        <v>1.054481546572942</v>
      </c>
      <c r="O41" s="4"/>
    </row>
    <row r="42" spans="1:15" ht="14.5">
      <c r="A42" s="6">
        <v>45607</v>
      </c>
      <c r="B42" s="7" t="s">
        <v>43</v>
      </c>
      <c r="C42" s="7">
        <v>1</v>
      </c>
      <c r="D42" s="8">
        <f>IFERROR(VLOOKUP($B42,Task!$B$1:$G$61,6,0)," ")</f>
        <v>3.4722222222222224E-2</v>
      </c>
      <c r="E42" s="9">
        <f t="shared" si="0"/>
        <v>3.4722222222222224E-2</v>
      </c>
      <c r="F42" s="10">
        <f t="shared" ref="F42:F46" si="16">G41</f>
        <v>0.34890046296296295</v>
      </c>
      <c r="G42" s="10">
        <v>0.37976851851851856</v>
      </c>
      <c r="H42" s="8">
        <f t="shared" si="1"/>
        <v>3.0868055555555607E-2</v>
      </c>
      <c r="I42" s="11">
        <f t="shared" si="2"/>
        <v>0.38362268518518516</v>
      </c>
      <c r="J42" s="8"/>
      <c r="K42" s="8"/>
      <c r="L42" s="8"/>
      <c r="M42" s="12"/>
      <c r="N42" s="13">
        <f t="shared" si="3"/>
        <v>1.1248593925759263</v>
      </c>
      <c r="O42" s="4"/>
    </row>
    <row r="43" spans="1:15" ht="14.5">
      <c r="A43" s="6">
        <v>45607</v>
      </c>
      <c r="B43" s="7" t="s">
        <v>18</v>
      </c>
      <c r="C43" s="7">
        <v>1</v>
      </c>
      <c r="D43" s="8">
        <f>IFERROR(VLOOKUP($B43,Task!$B$1:$G$61,6,0)," ")</f>
        <v>4.8611111111111112E-2</v>
      </c>
      <c r="E43" s="9">
        <f t="shared" si="0"/>
        <v>4.8611111111111112E-2</v>
      </c>
      <c r="F43" s="10">
        <f t="shared" si="16"/>
        <v>0.37976851851851856</v>
      </c>
      <c r="G43" s="10">
        <v>0.43130787037037044</v>
      </c>
      <c r="H43" s="8">
        <f t="shared" si="1"/>
        <v>4.6122685185185211E-2</v>
      </c>
      <c r="I43" s="11">
        <f t="shared" si="2"/>
        <v>0.43379629629629635</v>
      </c>
      <c r="J43" s="8"/>
      <c r="K43" s="8"/>
      <c r="L43" s="8">
        <v>5.4166666666666669E-3</v>
      </c>
      <c r="M43" s="12"/>
      <c r="N43" s="13">
        <f t="shared" si="3"/>
        <v>1.0539523212045163</v>
      </c>
      <c r="O43" s="4"/>
    </row>
    <row r="44" spans="1:15" ht="14.5">
      <c r="A44" s="6">
        <v>45607</v>
      </c>
      <c r="B44" s="7" t="s">
        <v>63</v>
      </c>
      <c r="C44" s="7">
        <v>1</v>
      </c>
      <c r="D44" s="8">
        <f>IFERROR(VLOOKUP($B44,Task!$B$1:$G$61,6,0)," ")</f>
        <v>4.5138888888888888E-2</v>
      </c>
      <c r="E44" s="9">
        <f t="shared" si="0"/>
        <v>4.5138888888888888E-2</v>
      </c>
      <c r="F44" s="10">
        <f t="shared" si="16"/>
        <v>0.43130787037037044</v>
      </c>
      <c r="G44" s="10">
        <v>0.47498842592592594</v>
      </c>
      <c r="H44" s="8">
        <f t="shared" si="1"/>
        <v>4.36805555555555E-2</v>
      </c>
      <c r="I44" s="11">
        <f t="shared" si="2"/>
        <v>0.47644675925925933</v>
      </c>
      <c r="J44" s="8"/>
      <c r="K44" s="8"/>
      <c r="L44" s="8"/>
      <c r="M44" s="12"/>
      <c r="N44" s="13">
        <f t="shared" si="3"/>
        <v>1.0333863275039759</v>
      </c>
      <c r="O44" s="19"/>
    </row>
    <row r="45" spans="1:15" ht="14.5">
      <c r="A45" s="6">
        <v>45607</v>
      </c>
      <c r="B45" s="7" t="s">
        <v>84</v>
      </c>
      <c r="C45" s="7">
        <v>1</v>
      </c>
      <c r="D45" s="8">
        <f>IFERROR(VLOOKUP($B45,Task!$B$1:$G$61,6,0)," ")</f>
        <v>7.6388888888888895E-2</v>
      </c>
      <c r="E45" s="9">
        <f t="shared" si="0"/>
        <v>7.6388888888888895E-2</v>
      </c>
      <c r="F45" s="10">
        <f t="shared" si="16"/>
        <v>0.47498842592592594</v>
      </c>
      <c r="G45" s="10">
        <v>0.591400462962963</v>
      </c>
      <c r="H45" s="8">
        <f t="shared" si="1"/>
        <v>7.1388888888888918E-2</v>
      </c>
      <c r="I45" s="11">
        <f t="shared" si="2"/>
        <v>0.59640046296296301</v>
      </c>
      <c r="J45" s="8"/>
      <c r="K45" s="8"/>
      <c r="L45" s="8">
        <v>4.5023148148148145E-2</v>
      </c>
      <c r="M45" s="12"/>
      <c r="N45" s="13">
        <f t="shared" si="3"/>
        <v>1.0700389105058363</v>
      </c>
      <c r="O45" s="19"/>
    </row>
    <row r="46" spans="1:15" ht="14.5">
      <c r="A46" s="6">
        <v>45607</v>
      </c>
      <c r="B46" s="7" t="s">
        <v>85</v>
      </c>
      <c r="C46" s="7">
        <v>1</v>
      </c>
      <c r="D46" s="8">
        <f>IFERROR(VLOOKUP($B46,Task!$B$1:$G$61,6,0)," ")</f>
        <v>0.11458333333333333</v>
      </c>
      <c r="E46" s="9">
        <f t="shared" si="0"/>
        <v>0.11458333333333333</v>
      </c>
      <c r="F46" s="10">
        <f t="shared" si="16"/>
        <v>0.591400462962963</v>
      </c>
      <c r="G46" s="10">
        <v>0.72668842592975125</v>
      </c>
      <c r="H46" s="8">
        <f t="shared" si="1"/>
        <v>0.11590138889271417</v>
      </c>
      <c r="I46" s="11">
        <f t="shared" si="2"/>
        <v>0.72537037037037044</v>
      </c>
      <c r="J46" s="8"/>
      <c r="K46" s="8"/>
      <c r="L46" s="8">
        <v>1.9386574074074073E-2</v>
      </c>
      <c r="M46" s="12"/>
      <c r="N46" s="13">
        <f t="shared" si="3"/>
        <v>0.98862778460229739</v>
      </c>
      <c r="O46" s="4"/>
    </row>
    <row r="47" spans="1:15" ht="14.5">
      <c r="A47" s="6">
        <v>45608</v>
      </c>
      <c r="B47" s="7" t="s">
        <v>90</v>
      </c>
      <c r="C47" s="7">
        <v>1</v>
      </c>
      <c r="D47" s="8">
        <f>IFERROR(VLOOKUP($B47,Task!$B$1:$G$61,6,0)," ")</f>
        <v>7.2916666666666671E-2</v>
      </c>
      <c r="E47" s="9">
        <f t="shared" si="0"/>
        <v>7.2916666666666671E-2</v>
      </c>
      <c r="F47" s="10">
        <v>0.35670138888888892</v>
      </c>
      <c r="G47" s="10">
        <v>0.45508813657215796</v>
      </c>
      <c r="H47" s="8">
        <f t="shared" si="1"/>
        <v>6.6650636572157945E-2</v>
      </c>
      <c r="I47" s="11">
        <f t="shared" si="2"/>
        <v>0.46135416666666673</v>
      </c>
      <c r="J47" s="8"/>
      <c r="K47" s="8"/>
      <c r="L47" s="8">
        <v>3.1736111111111111E-2</v>
      </c>
      <c r="M47" s="12"/>
      <c r="N47" s="13">
        <f t="shared" si="3"/>
        <v>1.09401305699046</v>
      </c>
      <c r="O47" s="4"/>
    </row>
    <row r="48" spans="1:15" ht="14.5">
      <c r="A48" s="6">
        <v>45608</v>
      </c>
      <c r="B48" s="7" t="s">
        <v>18</v>
      </c>
      <c r="C48" s="7">
        <v>1</v>
      </c>
      <c r="D48" s="8">
        <f>IFERROR(VLOOKUP($B48,Task!$B$1:$G$61,6,0)," ")</f>
        <v>4.8611111111111112E-2</v>
      </c>
      <c r="E48" s="9">
        <f t="shared" si="0"/>
        <v>4.8611111111111112E-2</v>
      </c>
      <c r="F48" s="10">
        <f t="shared" ref="F48:F50" si="17">G47</f>
        <v>0.45508813657215796</v>
      </c>
      <c r="G48" s="10">
        <v>0.50133101851851858</v>
      </c>
      <c r="H48" s="8">
        <f t="shared" si="1"/>
        <v>4.6242881946360614E-2</v>
      </c>
      <c r="I48" s="11">
        <f t="shared" si="2"/>
        <v>0.50369924768326912</v>
      </c>
      <c r="J48" s="8"/>
      <c r="K48" s="8"/>
      <c r="L48" s="8"/>
      <c r="M48" s="12"/>
      <c r="N48" s="13">
        <f t="shared" si="3"/>
        <v>1.0512128367669109</v>
      </c>
      <c r="O48" s="4"/>
    </row>
    <row r="49" spans="1:23" ht="14.5">
      <c r="A49" s="6">
        <v>45608</v>
      </c>
      <c r="B49" s="7" t="s">
        <v>29</v>
      </c>
      <c r="C49" s="7">
        <v>41</v>
      </c>
      <c r="D49" s="8">
        <f>IFERROR(VLOOKUP($B49,Task!$B$1:$G$61,6,0)," ")</f>
        <v>2.0833333333333333E-3</v>
      </c>
      <c r="E49" s="9">
        <f t="shared" si="0"/>
        <v>8.5416666666666669E-2</v>
      </c>
      <c r="F49" s="10">
        <f t="shared" si="17"/>
        <v>0.50133101851851858</v>
      </c>
      <c r="G49" s="8">
        <v>0.60733796296296305</v>
      </c>
      <c r="H49" s="8">
        <f t="shared" si="1"/>
        <v>8.0451388888888919E-2</v>
      </c>
      <c r="I49" s="11">
        <f t="shared" si="2"/>
        <v>0.61230324074074083</v>
      </c>
      <c r="J49" s="8"/>
      <c r="K49" s="8"/>
      <c r="L49" s="8">
        <v>2.5555555555555557E-2</v>
      </c>
      <c r="M49" s="12"/>
      <c r="N49" s="13">
        <f t="shared" si="3"/>
        <v>1.0617177384548981</v>
      </c>
      <c r="O49" s="4"/>
    </row>
    <row r="50" spans="1:23" ht="14.5">
      <c r="A50" s="6">
        <v>45608</v>
      </c>
      <c r="B50" s="7" t="s">
        <v>37</v>
      </c>
      <c r="C50" s="7">
        <v>62</v>
      </c>
      <c r="D50" s="8">
        <f>IFERROR(VLOOKUP($B50,Task!$B$1:$G$61,6,0)," ")</f>
        <v>1.3888888888888889E-3</v>
      </c>
      <c r="E50" s="9">
        <f t="shared" si="0"/>
        <v>8.611111111111111E-2</v>
      </c>
      <c r="F50" s="10">
        <f t="shared" si="17"/>
        <v>0.60733796296296305</v>
      </c>
      <c r="G50" s="10">
        <v>0.6967592592592593</v>
      </c>
      <c r="H50" s="8">
        <f t="shared" si="1"/>
        <v>8.0277777777777726E-2</v>
      </c>
      <c r="I50" s="11">
        <f t="shared" si="2"/>
        <v>0.70259259259259266</v>
      </c>
      <c r="J50" s="8"/>
      <c r="K50" s="8"/>
      <c r="L50" s="8">
        <v>9.1435185185185178E-3</v>
      </c>
      <c r="M50" s="12"/>
      <c r="N50" s="13">
        <f t="shared" si="3"/>
        <v>1.0726643598615924</v>
      </c>
      <c r="O50" s="4"/>
    </row>
    <row r="51" spans="1:23" ht="14.5">
      <c r="A51" s="6">
        <v>45608</v>
      </c>
      <c r="B51" s="7" t="s">
        <v>49</v>
      </c>
      <c r="C51" s="7">
        <v>10</v>
      </c>
      <c r="D51" s="8">
        <f>IFERROR(VLOOKUP($B51,Task!$B$1:$G$61,6,0)," ")</f>
        <v>3.472222222222222E-3</v>
      </c>
      <c r="E51" s="9">
        <f t="shared" si="0"/>
        <v>3.4722222222222224E-2</v>
      </c>
      <c r="F51" s="10">
        <v>0.69726851851851857</v>
      </c>
      <c r="G51" s="10">
        <v>0.73263888888888884</v>
      </c>
      <c r="H51" s="8">
        <f t="shared" si="1"/>
        <v>3.5370370370370274E-2</v>
      </c>
      <c r="I51" s="11">
        <f t="shared" si="2"/>
        <v>0.73199074074074078</v>
      </c>
      <c r="J51" s="8"/>
      <c r="K51" s="8"/>
      <c r="L51" s="8"/>
      <c r="M51" s="12"/>
      <c r="N51" s="13">
        <f t="shared" si="3"/>
        <v>0.9816753926701598</v>
      </c>
      <c r="O51" s="4"/>
    </row>
    <row r="52" spans="1:23" ht="14.5">
      <c r="A52" s="6">
        <v>45609</v>
      </c>
      <c r="B52" s="7" t="s">
        <v>18</v>
      </c>
      <c r="C52" s="7">
        <v>1</v>
      </c>
      <c r="D52" s="8">
        <f>IFERROR(VLOOKUP($B52,Task!$B$1:$G$61,6,0)," ")</f>
        <v>4.8611111111111112E-2</v>
      </c>
      <c r="E52" s="9">
        <f t="shared" si="0"/>
        <v>4.8611111111111112E-2</v>
      </c>
      <c r="F52" s="8">
        <v>0.3417824074074074</v>
      </c>
      <c r="G52" s="10">
        <v>0.38645833333333335</v>
      </c>
      <c r="H52" s="8">
        <f t="shared" si="1"/>
        <v>4.4675925925925952E-2</v>
      </c>
      <c r="I52" s="11">
        <f t="shared" si="2"/>
        <v>0.3903935185185185</v>
      </c>
      <c r="J52" s="8"/>
      <c r="K52" s="8"/>
      <c r="L52" s="8"/>
      <c r="M52" s="12"/>
      <c r="N52" s="13">
        <f t="shared" si="3"/>
        <v>1.0880829015544036</v>
      </c>
      <c r="O52" s="19"/>
    </row>
    <row r="53" spans="1:23" ht="14.5">
      <c r="A53" s="6">
        <v>45609</v>
      </c>
      <c r="B53" s="7" t="s">
        <v>48</v>
      </c>
      <c r="C53" s="7">
        <v>62</v>
      </c>
      <c r="D53" s="8">
        <f>IFERROR(VLOOKUP($B53,Task!$B$1:$G$61,6,0)," ")</f>
        <v>1.736111111111111E-3</v>
      </c>
      <c r="E53" s="9">
        <f t="shared" si="0"/>
        <v>0.10763888888888888</v>
      </c>
      <c r="F53" s="10">
        <f t="shared" ref="F53:F54" si="18">G52</f>
        <v>0.38645833333333335</v>
      </c>
      <c r="G53" s="10">
        <v>0.55098379629629635</v>
      </c>
      <c r="H53" s="8">
        <f t="shared" si="1"/>
        <v>0.10717592592592595</v>
      </c>
      <c r="I53" s="11">
        <f t="shared" si="2"/>
        <v>0.55144675925925923</v>
      </c>
      <c r="J53" s="8"/>
      <c r="K53" s="8"/>
      <c r="L53" s="8">
        <v>5.7349537037037039E-2</v>
      </c>
      <c r="M53" s="12"/>
      <c r="N53" s="13">
        <f t="shared" si="3"/>
        <v>1.0043196544276454</v>
      </c>
      <c r="O53" s="19"/>
    </row>
    <row r="54" spans="1:23" ht="14.5">
      <c r="A54" s="6">
        <v>45609</v>
      </c>
      <c r="B54" s="7" t="s">
        <v>20</v>
      </c>
      <c r="C54" s="7">
        <v>65</v>
      </c>
      <c r="D54" s="8">
        <f>IFERROR(VLOOKUP($B54,Task!$B$1:$G$61,6,0)," ")</f>
        <v>2.0833333333333333E-3</v>
      </c>
      <c r="E54" s="9">
        <f t="shared" si="0"/>
        <v>0.13541666666666666</v>
      </c>
      <c r="F54" s="10">
        <f t="shared" si="18"/>
        <v>0.55098379629629635</v>
      </c>
      <c r="G54" s="10">
        <v>0.71902777777777782</v>
      </c>
      <c r="H54" s="8">
        <f t="shared" si="1"/>
        <v>0.12784722222222222</v>
      </c>
      <c r="I54" s="11">
        <f t="shared" si="2"/>
        <v>0.72659722222222223</v>
      </c>
      <c r="J54" s="8"/>
      <c r="K54" s="8"/>
      <c r="L54" s="8">
        <v>4.0196759259259258E-2</v>
      </c>
      <c r="M54" s="12"/>
      <c r="N54" s="13">
        <f t="shared" si="3"/>
        <v>1.0592069527430743</v>
      </c>
    </row>
    <row r="55" spans="1:23" ht="14.5">
      <c r="A55" s="6">
        <v>45610</v>
      </c>
      <c r="B55" s="7" t="s">
        <v>43</v>
      </c>
      <c r="C55" s="7">
        <v>1</v>
      </c>
      <c r="D55" s="8">
        <f>IFERROR(VLOOKUP($B55,Task!$B$1:$G$61,6,0)," ")</f>
        <v>3.4722222222222224E-2</v>
      </c>
      <c r="E55" s="9">
        <f t="shared" si="0"/>
        <v>3.4722222222222224E-2</v>
      </c>
      <c r="F55" s="10">
        <v>0.34017361111111111</v>
      </c>
      <c r="G55" s="10">
        <v>0.3746412037037038</v>
      </c>
      <c r="H55" s="8">
        <f t="shared" si="1"/>
        <v>3.1944444444444539E-2</v>
      </c>
      <c r="I55" s="11">
        <f t="shared" si="2"/>
        <v>0.37741898148148145</v>
      </c>
      <c r="J55" s="8"/>
      <c r="K55" s="8"/>
      <c r="L55" s="8">
        <v>2.5231481481481481E-3</v>
      </c>
      <c r="M55" s="12"/>
      <c r="N55" s="13">
        <f t="shared" si="3"/>
        <v>1.0869565217391273</v>
      </c>
    </row>
    <row r="56" spans="1:23" ht="14.5">
      <c r="A56" s="6">
        <v>45610</v>
      </c>
      <c r="B56" s="7" t="s">
        <v>42</v>
      </c>
      <c r="C56" s="7">
        <v>1</v>
      </c>
      <c r="D56" s="8">
        <f>IFERROR(VLOOKUP($B56,Task!$B$1:$G$61,6,0)," ")</f>
        <v>6.9444444444444441E-3</v>
      </c>
      <c r="E56" s="9">
        <f t="shared" si="0"/>
        <v>6.9444444444444441E-3</v>
      </c>
      <c r="F56" s="10">
        <f t="shared" ref="F56:F60" si="19">G55</f>
        <v>0.3746412037037038</v>
      </c>
      <c r="G56" s="10">
        <v>0.3810648148148148</v>
      </c>
      <c r="H56" s="8">
        <f t="shared" si="1"/>
        <v>6.423611111111005E-3</v>
      </c>
      <c r="I56" s="11">
        <f t="shared" si="2"/>
        <v>0.38158564814814822</v>
      </c>
      <c r="J56" s="8"/>
      <c r="K56" s="8"/>
      <c r="L56" s="8"/>
      <c r="M56" s="12"/>
      <c r="N56" s="13">
        <f t="shared" si="3"/>
        <v>1.0810810810810989</v>
      </c>
      <c r="P56" s="4"/>
    </row>
    <row r="57" spans="1:23" ht="14.5">
      <c r="A57" s="6">
        <v>45610</v>
      </c>
      <c r="B57" s="7" t="s">
        <v>18</v>
      </c>
      <c r="C57" s="7">
        <v>1</v>
      </c>
      <c r="D57" s="8">
        <f>IFERROR(VLOOKUP($B57,Task!$B$1:$G$61,6,0)," ")</f>
        <v>4.8611111111111112E-2</v>
      </c>
      <c r="E57" s="9">
        <f t="shared" si="0"/>
        <v>4.8611111111111112E-2</v>
      </c>
      <c r="F57" s="10">
        <f t="shared" si="19"/>
        <v>0.3810648148148148</v>
      </c>
      <c r="G57" s="10">
        <v>0.46207175925925925</v>
      </c>
      <c r="H57" s="8">
        <f t="shared" si="1"/>
        <v>5.1192129629629636E-2</v>
      </c>
      <c r="I57" s="11">
        <f t="shared" si="2"/>
        <v>0.4594907407407407</v>
      </c>
      <c r="J57" s="8"/>
      <c r="K57" s="8"/>
      <c r="L57" s="8">
        <v>2.9814814814814815E-2</v>
      </c>
      <c r="M57" s="12"/>
      <c r="N57" s="13">
        <f t="shared" si="3"/>
        <v>0.94958173185620609</v>
      </c>
      <c r="O57" s="19"/>
      <c r="P57" s="4"/>
    </row>
    <row r="58" spans="1:23" ht="14.5">
      <c r="A58" s="6">
        <v>45610</v>
      </c>
      <c r="B58" s="7" t="s">
        <v>30</v>
      </c>
      <c r="C58" s="7">
        <v>1</v>
      </c>
      <c r="D58" s="8">
        <v>3.125E-2</v>
      </c>
      <c r="E58" s="9">
        <f t="shared" si="0"/>
        <v>3.125E-2</v>
      </c>
      <c r="F58" s="10">
        <f t="shared" si="19"/>
        <v>0.46207175925925925</v>
      </c>
      <c r="G58" s="10">
        <v>0.49315972222222226</v>
      </c>
      <c r="H58" s="8">
        <f t="shared" si="1"/>
        <v>3.1087962962963012E-2</v>
      </c>
      <c r="I58" s="11">
        <f t="shared" si="2"/>
        <v>0.49332175925925925</v>
      </c>
      <c r="J58" s="8"/>
      <c r="K58" s="8"/>
      <c r="L58" s="8"/>
      <c r="M58" s="12"/>
      <c r="N58" s="13">
        <f t="shared" si="3"/>
        <v>1.0052122114668636</v>
      </c>
      <c r="O58" s="19"/>
      <c r="P58" s="4"/>
    </row>
    <row r="59" spans="1:23" ht="14.5">
      <c r="A59" s="6">
        <v>45610</v>
      </c>
      <c r="B59" s="7" t="s">
        <v>65</v>
      </c>
      <c r="C59" s="7">
        <v>1</v>
      </c>
      <c r="D59" s="8">
        <f>IFERROR(VLOOKUP($B59,Task!$B$1:$G$61,6,0)," ")</f>
        <v>2.0833333333333332E-2</v>
      </c>
      <c r="E59" s="9">
        <f t="shared" si="0"/>
        <v>2.0833333333333332E-2</v>
      </c>
      <c r="F59" s="10">
        <f t="shared" si="19"/>
        <v>0.49315972222222226</v>
      </c>
      <c r="G59" s="8">
        <v>0.5136574074074074</v>
      </c>
      <c r="H59" s="8">
        <f t="shared" si="1"/>
        <v>2.0497685185185133E-2</v>
      </c>
      <c r="I59" s="11">
        <f t="shared" si="2"/>
        <v>0.51399305555555563</v>
      </c>
      <c r="J59" s="8"/>
      <c r="K59" s="8"/>
      <c r="L59" s="8"/>
      <c r="M59" s="12"/>
      <c r="N59" s="13">
        <f t="shared" si="3"/>
        <v>1.0163749294184101</v>
      </c>
      <c r="O59" s="25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45610</v>
      </c>
      <c r="B60" s="7" t="s">
        <v>16</v>
      </c>
      <c r="C60" s="7">
        <v>16</v>
      </c>
      <c r="D60" s="8">
        <f>IFERROR(VLOOKUP($B60,Task!$B$1:$G$61,6,0)," ")</f>
        <v>5.5555555555555558E-3</v>
      </c>
      <c r="E60" s="9">
        <f t="shared" si="0"/>
        <v>8.8888888888888892E-2</v>
      </c>
      <c r="F60" s="10">
        <f t="shared" si="19"/>
        <v>0.5136574074074074</v>
      </c>
      <c r="G60" s="10">
        <v>0.62562499999999999</v>
      </c>
      <c r="H60" s="8">
        <f t="shared" si="1"/>
        <v>8.0231481481481487E-2</v>
      </c>
      <c r="I60" s="11">
        <f t="shared" si="2"/>
        <v>0.63428240740740738</v>
      </c>
      <c r="J60" s="8"/>
      <c r="K60" s="8"/>
      <c r="L60" s="8">
        <v>3.1736111111111111E-2</v>
      </c>
      <c r="M60" s="12"/>
      <c r="N60" s="13">
        <f t="shared" si="3"/>
        <v>1.1079053664166185</v>
      </c>
      <c r="O60" s="4"/>
      <c r="Q60" s="4"/>
    </row>
    <row r="61" spans="1:23" ht="14.5">
      <c r="A61" s="6">
        <v>45610</v>
      </c>
      <c r="B61" s="7" t="s">
        <v>49</v>
      </c>
      <c r="C61" s="7">
        <v>12</v>
      </c>
      <c r="D61" s="8">
        <f>IFERROR(VLOOKUP($B61,Task!$B$1:$G$61,6,0)," ")</f>
        <v>3.472222222222222E-3</v>
      </c>
      <c r="E61" s="9">
        <f t="shared" si="0"/>
        <v>4.1666666666666664E-2</v>
      </c>
      <c r="F61" s="10">
        <v>0.62571759259259263</v>
      </c>
      <c r="G61" s="10">
        <v>0.66508101851851853</v>
      </c>
      <c r="H61" s="8">
        <f t="shared" si="1"/>
        <v>3.9363425925925899E-2</v>
      </c>
      <c r="I61" s="11">
        <f t="shared" si="2"/>
        <v>0.66738425925925926</v>
      </c>
      <c r="J61" s="8"/>
      <c r="K61" s="8"/>
      <c r="L61" s="8"/>
      <c r="M61" s="12"/>
      <c r="N61" s="13">
        <f t="shared" si="3"/>
        <v>1.0585122022934437</v>
      </c>
      <c r="O61" s="19"/>
      <c r="Q61" s="4"/>
    </row>
    <row r="62" spans="1:23" ht="14.5">
      <c r="A62" s="6">
        <v>45610</v>
      </c>
      <c r="B62" s="7" t="s">
        <v>16</v>
      </c>
      <c r="C62" s="7">
        <v>7</v>
      </c>
      <c r="D62" s="8">
        <f>IFERROR(VLOOKUP($B62,Task!$B$1:$G$61,6,0)," ")</f>
        <v>5.5555555555555558E-3</v>
      </c>
      <c r="E62" s="9">
        <f t="shared" si="0"/>
        <v>3.888888888888889E-2</v>
      </c>
      <c r="F62" s="10">
        <v>0.68450231481481483</v>
      </c>
      <c r="G62" s="10">
        <v>0.72094980324618518</v>
      </c>
      <c r="H62" s="8">
        <f t="shared" si="1"/>
        <v>3.6447488431370356E-2</v>
      </c>
      <c r="I62" s="11">
        <f t="shared" si="2"/>
        <v>0.72339120370370369</v>
      </c>
      <c r="J62" s="8"/>
      <c r="K62" s="8"/>
      <c r="L62" s="8"/>
      <c r="M62" s="12"/>
      <c r="N62" s="13">
        <f t="shared" si="3"/>
        <v>1.0669840519221407</v>
      </c>
      <c r="O62" s="4"/>
    </row>
    <row r="63" spans="1:23" ht="14.5">
      <c r="A63" s="6">
        <v>45611</v>
      </c>
      <c r="B63" s="7" t="s">
        <v>16</v>
      </c>
      <c r="C63" s="7">
        <v>7</v>
      </c>
      <c r="D63" s="8">
        <f>IFERROR(VLOOKUP($B63,Task!$B$1:$G$61,6,0)," ")</f>
        <v>5.5555555555555558E-3</v>
      </c>
      <c r="E63" s="9">
        <f t="shared" si="0"/>
        <v>3.888888888888889E-2</v>
      </c>
      <c r="F63" s="10">
        <v>0.34123842592592601</v>
      </c>
      <c r="G63" s="10">
        <v>0.40148148148148155</v>
      </c>
      <c r="H63" s="8">
        <f t="shared" si="1"/>
        <v>3.5416666666666652E-2</v>
      </c>
      <c r="I63" s="11">
        <f t="shared" si="2"/>
        <v>0.40495370370370376</v>
      </c>
      <c r="J63" s="8"/>
      <c r="K63" s="8"/>
      <c r="L63" s="8">
        <v>2.4826388888888887E-2</v>
      </c>
      <c r="M63" s="12"/>
      <c r="N63" s="13">
        <f t="shared" si="3"/>
        <v>1.098039215686275</v>
      </c>
    </row>
    <row r="64" spans="1:23" ht="14.5">
      <c r="A64" s="6">
        <v>45611</v>
      </c>
      <c r="B64" s="7" t="s">
        <v>18</v>
      </c>
      <c r="C64" s="7">
        <v>1</v>
      </c>
      <c r="D64" s="8">
        <f>IFERROR(VLOOKUP($B64,Task!$B$1:$G$61,6,0)," ")</f>
        <v>4.8611111111111112E-2</v>
      </c>
      <c r="E64" s="9">
        <f t="shared" si="0"/>
        <v>4.8611111111111112E-2</v>
      </c>
      <c r="F64" s="10">
        <f>G63</f>
        <v>0.40148148148148155</v>
      </c>
      <c r="G64" s="10">
        <v>0.44290509259259259</v>
      </c>
      <c r="H64" s="8">
        <f t="shared" si="1"/>
        <v>4.1423611111111036E-2</v>
      </c>
      <c r="I64" s="11">
        <f t="shared" si="2"/>
        <v>0.45009259259259266</v>
      </c>
      <c r="J64" s="8"/>
      <c r="K64" s="8"/>
      <c r="L64" s="8"/>
      <c r="M64" s="12"/>
      <c r="N64" s="13">
        <f t="shared" si="3"/>
        <v>1.1735121542330282</v>
      </c>
      <c r="O64" s="4"/>
    </row>
    <row r="65" spans="1:15" ht="14.5">
      <c r="A65" s="6">
        <v>45611</v>
      </c>
      <c r="B65" s="7" t="s">
        <v>49</v>
      </c>
      <c r="C65" s="7">
        <v>40</v>
      </c>
      <c r="D65" s="8">
        <f>IFERROR(VLOOKUP($B65,Task!$B$1:$G$61,6,0)," ")</f>
        <v>3.472222222222222E-3</v>
      </c>
      <c r="E65" s="9">
        <f t="shared" si="0"/>
        <v>0.1388888888888889</v>
      </c>
      <c r="F65" s="10">
        <v>0.44297453703703704</v>
      </c>
      <c r="G65" s="10">
        <v>0.6546643518518519</v>
      </c>
      <c r="H65" s="8">
        <f t="shared" si="1"/>
        <v>0.1405555555555556</v>
      </c>
      <c r="I65" s="11">
        <f t="shared" si="2"/>
        <v>0.65299768518518508</v>
      </c>
      <c r="J65" s="8"/>
      <c r="K65" s="8"/>
      <c r="L65" s="8">
        <v>7.1134259259259258E-2</v>
      </c>
      <c r="M65" s="12"/>
      <c r="N65" s="13">
        <f t="shared" si="3"/>
        <v>0.98814229249011831</v>
      </c>
      <c r="O65" s="19"/>
    </row>
    <row r="66" spans="1:15" ht="14.5">
      <c r="A66" s="6">
        <v>45611</v>
      </c>
      <c r="B66" s="7" t="s">
        <v>16</v>
      </c>
      <c r="C66" s="7">
        <v>13</v>
      </c>
      <c r="D66" s="8">
        <f>IFERROR(VLOOKUP($B66,Task!$B$1:$G$61,6,0)," ")</f>
        <v>5.5555555555555558E-3</v>
      </c>
      <c r="E66" s="9">
        <f t="shared" si="0"/>
        <v>7.2222222222222229E-2</v>
      </c>
      <c r="F66" s="10">
        <f>G65</f>
        <v>0.6546643518518519</v>
      </c>
      <c r="G66" s="10">
        <v>0.72080148148234002</v>
      </c>
      <c r="H66" s="8">
        <f t="shared" si="1"/>
        <v>6.6137129630488123E-2</v>
      </c>
      <c r="I66" s="11">
        <f t="shared" si="2"/>
        <v>0.72688657407407409</v>
      </c>
      <c r="J66" s="8"/>
      <c r="K66" s="8"/>
      <c r="L66" s="8"/>
      <c r="M66" s="12"/>
      <c r="N66" s="13">
        <f t="shared" si="3"/>
        <v>1.0920072072333931</v>
      </c>
    </row>
    <row r="67" spans="1:15" ht="14.5">
      <c r="A67" s="6">
        <v>45614</v>
      </c>
      <c r="B67" s="7" t="s">
        <v>43</v>
      </c>
      <c r="C67" s="7">
        <v>1</v>
      </c>
      <c r="D67" s="8">
        <f>IFERROR(VLOOKUP($B67,Task!$B$1:$G$61,6,0)," ")</f>
        <v>3.4722222222222224E-2</v>
      </c>
      <c r="E67" s="9">
        <f t="shared" si="0"/>
        <v>3.4722222222222224E-2</v>
      </c>
      <c r="F67" s="10">
        <v>0.36592592592592599</v>
      </c>
      <c r="G67" s="10">
        <v>0.4079976851851852</v>
      </c>
      <c r="H67" s="8">
        <f t="shared" si="1"/>
        <v>3.3321759259259211E-2</v>
      </c>
      <c r="I67" s="11">
        <f t="shared" si="2"/>
        <v>0.40939814814814818</v>
      </c>
      <c r="J67" s="8"/>
      <c r="K67" s="8"/>
      <c r="L67" s="8">
        <v>8.7500000000000008E-3</v>
      </c>
      <c r="M67" s="12"/>
      <c r="N67" s="13">
        <f t="shared" si="3"/>
        <v>1.042028482111846</v>
      </c>
      <c r="O67" s="19"/>
    </row>
    <row r="68" spans="1:15" ht="14.5">
      <c r="A68" s="6">
        <v>45614</v>
      </c>
      <c r="B68" s="7" t="s">
        <v>42</v>
      </c>
      <c r="C68" s="7">
        <v>1</v>
      </c>
      <c r="D68" s="8">
        <f>IFERROR(VLOOKUP($B68,Task!$B$1:$G$61,6,0)," ")</f>
        <v>6.9444444444444441E-3</v>
      </c>
      <c r="E68" s="9">
        <f t="shared" si="0"/>
        <v>6.9444444444444441E-3</v>
      </c>
      <c r="F68" s="10">
        <f t="shared" ref="F68:F73" si="20">G67</f>
        <v>0.4079976851851852</v>
      </c>
      <c r="G68" s="10">
        <v>0.41447916666666673</v>
      </c>
      <c r="H68" s="8">
        <f t="shared" si="1"/>
        <v>6.4814814814815325E-3</v>
      </c>
      <c r="I68" s="11">
        <f t="shared" si="2"/>
        <v>0.41494212962962962</v>
      </c>
      <c r="J68" s="8"/>
      <c r="K68" s="8"/>
      <c r="L68" s="8"/>
      <c r="M68" s="12"/>
      <c r="N68" s="13">
        <f t="shared" si="3"/>
        <v>1.071428571428563</v>
      </c>
      <c r="O68" s="19"/>
    </row>
    <row r="69" spans="1:15" ht="14.5">
      <c r="A69" s="6">
        <v>45614</v>
      </c>
      <c r="B69" s="7" t="s">
        <v>63</v>
      </c>
      <c r="C69" s="7">
        <v>1</v>
      </c>
      <c r="D69" s="8">
        <f>IFERROR(VLOOKUP($B69,Task!$B$1:$G$61,6,0)," ")</f>
        <v>4.5138888888888888E-2</v>
      </c>
      <c r="E69" s="9">
        <f t="shared" si="0"/>
        <v>4.5138888888888888E-2</v>
      </c>
      <c r="F69" s="10">
        <f t="shared" si="20"/>
        <v>0.41447916666666673</v>
      </c>
      <c r="G69" s="10">
        <v>0.46020833333333333</v>
      </c>
      <c r="H69" s="8">
        <f t="shared" si="1"/>
        <v>3.9629629629629563E-2</v>
      </c>
      <c r="I69" s="11">
        <f t="shared" si="2"/>
        <v>0.46571759259259266</v>
      </c>
      <c r="J69" s="8"/>
      <c r="K69" s="8"/>
      <c r="L69" s="8">
        <v>6.099537037037037E-3</v>
      </c>
      <c r="M69" s="12"/>
      <c r="N69" s="13">
        <f t="shared" si="3"/>
        <v>1.139018691588787</v>
      </c>
      <c r="O69" s="19"/>
    </row>
    <row r="70" spans="1:15" ht="14.5">
      <c r="A70" s="6">
        <v>45614</v>
      </c>
      <c r="B70" s="7" t="s">
        <v>18</v>
      </c>
      <c r="C70" s="7">
        <v>1</v>
      </c>
      <c r="D70" s="8">
        <f>IFERROR(VLOOKUP($B70,Task!$B$1:$G$61,6,0)," ")</f>
        <v>4.8611111111111112E-2</v>
      </c>
      <c r="E70" s="9">
        <f t="shared" si="0"/>
        <v>4.8611111111111112E-2</v>
      </c>
      <c r="F70" s="10">
        <f t="shared" si="20"/>
        <v>0.46020833333333333</v>
      </c>
      <c r="G70" s="10">
        <v>0.52109953703703704</v>
      </c>
      <c r="H70" s="8">
        <f t="shared" si="1"/>
        <v>4.9988425925925936E-2</v>
      </c>
      <c r="I70" s="11">
        <f t="shared" si="2"/>
        <v>0.51972222222222231</v>
      </c>
      <c r="J70" s="8"/>
      <c r="K70" s="8"/>
      <c r="L70" s="8">
        <v>1.0902777777777779E-2</v>
      </c>
      <c r="M70" s="12"/>
      <c r="N70" s="13">
        <f t="shared" si="3"/>
        <v>0.97244732576985393</v>
      </c>
      <c r="O70" s="19"/>
    </row>
    <row r="71" spans="1:15" ht="14.5">
      <c r="A71" s="6">
        <v>45614</v>
      </c>
      <c r="B71" s="7" t="s">
        <v>16</v>
      </c>
      <c r="C71" s="7">
        <v>8</v>
      </c>
      <c r="D71" s="8">
        <f>IFERROR(VLOOKUP($B71,Task!$B$1:$G$61,6,0)," ")</f>
        <v>5.5555555555555558E-3</v>
      </c>
      <c r="E71" s="9">
        <f t="shared" si="0"/>
        <v>4.4444444444444446E-2</v>
      </c>
      <c r="F71" s="10">
        <f t="shared" si="20"/>
        <v>0.52109953703703704</v>
      </c>
      <c r="G71" s="10">
        <v>0.56711805555555561</v>
      </c>
      <c r="H71" s="8">
        <f t="shared" si="1"/>
        <v>4.1782407407407456E-2</v>
      </c>
      <c r="I71" s="11">
        <f t="shared" si="2"/>
        <v>0.56978009259259255</v>
      </c>
      <c r="J71" s="8"/>
      <c r="K71" s="8"/>
      <c r="L71" s="8">
        <v>4.2361111111111115E-3</v>
      </c>
      <c r="M71" s="12"/>
      <c r="N71" s="13">
        <f t="shared" si="3"/>
        <v>1.0637119113573394</v>
      </c>
      <c r="O71" s="4"/>
    </row>
    <row r="72" spans="1:15" ht="14.5">
      <c r="A72" s="6">
        <v>45614</v>
      </c>
      <c r="B72" s="7" t="s">
        <v>85</v>
      </c>
      <c r="C72" s="7">
        <v>1</v>
      </c>
      <c r="D72" s="8">
        <f>IFERROR(VLOOKUP($B72,Task!$B$1:$G$61,6,0)," ")</f>
        <v>0.11458333333333333</v>
      </c>
      <c r="E72" s="9">
        <f t="shared" si="0"/>
        <v>0.11458333333333333</v>
      </c>
      <c r="F72" s="10">
        <f t="shared" si="20"/>
        <v>0.56711805555555561</v>
      </c>
      <c r="G72" s="10">
        <v>0.72027777777777779</v>
      </c>
      <c r="H72" s="8">
        <f t="shared" si="1"/>
        <v>0.10789351851851847</v>
      </c>
      <c r="I72" s="11">
        <f t="shared" si="2"/>
        <v>0.72696759259259269</v>
      </c>
      <c r="J72" s="8"/>
      <c r="K72" s="8"/>
      <c r="L72" s="8">
        <v>4.5266203703703704E-2</v>
      </c>
      <c r="M72" s="12"/>
      <c r="N72" s="13">
        <f t="shared" si="3"/>
        <v>1.0620038618322252</v>
      </c>
      <c r="O72" s="19"/>
    </row>
    <row r="73" spans="1:15" ht="14.5">
      <c r="A73" s="6">
        <v>45614</v>
      </c>
      <c r="B73" s="7" t="s">
        <v>27</v>
      </c>
      <c r="C73" s="7">
        <v>22</v>
      </c>
      <c r="D73" s="8">
        <f>IFERROR(VLOOKUP($B73,Task!$B$1:$G$61,6,0)," ")</f>
        <v>1.3888888888888889E-3</v>
      </c>
      <c r="E73" s="9">
        <f t="shared" si="0"/>
        <v>3.0555555555555558E-2</v>
      </c>
      <c r="F73" s="10">
        <f t="shared" si="20"/>
        <v>0.72027777777777779</v>
      </c>
      <c r="G73" s="10">
        <v>0.75</v>
      </c>
      <c r="H73" s="8">
        <f t="shared" si="1"/>
        <v>2.9722222222222205E-2</v>
      </c>
      <c r="I73" s="11">
        <f t="shared" si="2"/>
        <v>0.75083333333333335</v>
      </c>
      <c r="J73" s="8"/>
      <c r="K73" s="8"/>
      <c r="L73" s="8"/>
      <c r="M73" s="12"/>
      <c r="N73" s="13">
        <f t="shared" si="3"/>
        <v>1.0280373831775707</v>
      </c>
      <c r="O73" s="19"/>
    </row>
    <row r="74" spans="1:15" ht="14.5">
      <c r="A74" s="6">
        <v>45615</v>
      </c>
      <c r="B74" s="7" t="s">
        <v>18</v>
      </c>
      <c r="C74" s="7">
        <v>1</v>
      </c>
      <c r="D74" s="8">
        <f>IFERROR(VLOOKUP($B74,Task!$B$1:$G$61,6,0)," ")</f>
        <v>4.8611111111111112E-2</v>
      </c>
      <c r="E74" s="9">
        <f t="shared" si="0"/>
        <v>4.8611111111111112E-2</v>
      </c>
      <c r="F74" s="10">
        <v>0.37336805555555563</v>
      </c>
      <c r="G74" s="10">
        <v>0.41740740740740745</v>
      </c>
      <c r="H74" s="8">
        <f t="shared" si="1"/>
        <v>4.4039351851851816E-2</v>
      </c>
      <c r="I74" s="11">
        <f t="shared" si="2"/>
        <v>0.42197916666666674</v>
      </c>
      <c r="J74" s="8"/>
      <c r="K74" s="8"/>
      <c r="L74" s="8"/>
      <c r="M74" s="12"/>
      <c r="N74" s="13">
        <f t="shared" si="3"/>
        <v>1.1038107752956645</v>
      </c>
    </row>
    <row r="75" spans="1:15" ht="14.5">
      <c r="A75" s="6">
        <v>45615</v>
      </c>
      <c r="B75" s="7" t="s">
        <v>37</v>
      </c>
      <c r="C75" s="7">
        <v>8</v>
      </c>
      <c r="D75" s="8">
        <f>IFERROR(VLOOKUP($B75,Task!$B$1:$G$61,6,0)," ")</f>
        <v>1.3888888888888889E-3</v>
      </c>
      <c r="E75" s="9">
        <f t="shared" si="0"/>
        <v>1.1111111111111112E-2</v>
      </c>
      <c r="F75" s="10">
        <f t="shared" ref="F75:F77" si="21">G74</f>
        <v>0.41740740740740745</v>
      </c>
      <c r="G75" s="10">
        <v>0.42790509259259268</v>
      </c>
      <c r="H75" s="8">
        <f t="shared" si="1"/>
        <v>1.0497685185185235E-2</v>
      </c>
      <c r="I75" s="11">
        <f t="shared" si="2"/>
        <v>0.42851851851851858</v>
      </c>
      <c r="J75" s="8"/>
      <c r="K75" s="8"/>
      <c r="L75" s="8"/>
      <c r="M75" s="18" t="s">
        <v>91</v>
      </c>
      <c r="N75" s="13">
        <f t="shared" si="3"/>
        <v>1.0584343991179663</v>
      </c>
    </row>
    <row r="76" spans="1:15" ht="14.5">
      <c r="A76" s="6">
        <v>45615</v>
      </c>
      <c r="B76" s="7" t="s">
        <v>90</v>
      </c>
      <c r="C76" s="7">
        <v>1</v>
      </c>
      <c r="D76" s="8">
        <f>IFERROR(VLOOKUP($B76,Task!$B$1:$G$61,6,0)," ")</f>
        <v>7.2916666666666671E-2</v>
      </c>
      <c r="E76" s="9">
        <f t="shared" si="0"/>
        <v>7.2916666666666671E-2</v>
      </c>
      <c r="F76" s="10">
        <f t="shared" si="21"/>
        <v>0.42790509259259268</v>
      </c>
      <c r="G76" s="10">
        <v>0.50045138888888896</v>
      </c>
      <c r="H76" s="8">
        <f t="shared" si="1"/>
        <v>7.2546296296296275E-2</v>
      </c>
      <c r="I76" s="11">
        <f t="shared" si="2"/>
        <v>0.50082175925925931</v>
      </c>
      <c r="J76" s="8"/>
      <c r="K76" s="8"/>
      <c r="L76" s="8"/>
      <c r="M76" s="12"/>
      <c r="N76" s="13">
        <f t="shared" si="3"/>
        <v>1.0051052967453737</v>
      </c>
      <c r="O76" s="19"/>
    </row>
    <row r="77" spans="1:15" ht="14.5">
      <c r="A77" s="6">
        <v>45615</v>
      </c>
      <c r="B77" s="7" t="s">
        <v>27</v>
      </c>
      <c r="C77" s="7">
        <v>130</v>
      </c>
      <c r="D77" s="8">
        <f>IFERROR(VLOOKUP($B77,Task!$B$1:$G$61,6,0)," ")</f>
        <v>1.3888888888888889E-3</v>
      </c>
      <c r="E77" s="9">
        <f t="shared" si="0"/>
        <v>0.18055555555555555</v>
      </c>
      <c r="F77" s="10">
        <f t="shared" si="21"/>
        <v>0.50045138888888896</v>
      </c>
      <c r="G77" s="10">
        <v>0.75</v>
      </c>
      <c r="H77" s="8">
        <f t="shared" si="1"/>
        <v>0.17575231481481474</v>
      </c>
      <c r="I77" s="11">
        <f t="shared" si="2"/>
        <v>0.75480324074074079</v>
      </c>
      <c r="J77" s="8"/>
      <c r="K77" s="8"/>
      <c r="L77" s="8">
        <v>7.379629629629629E-2</v>
      </c>
      <c r="M77" s="18" t="s">
        <v>92</v>
      </c>
      <c r="N77" s="13">
        <f t="shared" si="3"/>
        <v>1.0273296015805076</v>
      </c>
    </row>
    <row r="78" spans="1:15" ht="14.5">
      <c r="A78" s="6">
        <v>45616</v>
      </c>
      <c r="B78" s="7" t="s">
        <v>18</v>
      </c>
      <c r="C78" s="7">
        <v>1</v>
      </c>
      <c r="D78" s="8">
        <f>IFERROR(VLOOKUP($B78,Task!$B$1:$G$61,6,0)," ")</f>
        <v>4.8611111111111112E-2</v>
      </c>
      <c r="E78" s="9">
        <f t="shared" si="0"/>
        <v>4.8611111111111112E-2</v>
      </c>
      <c r="F78" s="10">
        <v>0.33002314814814815</v>
      </c>
      <c r="G78" s="10">
        <v>0.3752199074074074</v>
      </c>
      <c r="H78" s="8">
        <f t="shared" si="1"/>
        <v>4.5196759259259256E-2</v>
      </c>
      <c r="I78" s="11">
        <f t="shared" si="2"/>
        <v>0.37863425925925925</v>
      </c>
      <c r="J78" s="8"/>
      <c r="K78" s="8"/>
      <c r="L78" s="8"/>
      <c r="M78" s="12"/>
      <c r="N78" s="13">
        <f t="shared" si="3"/>
        <v>1.0755441741357235</v>
      </c>
      <c r="O78" s="19"/>
    </row>
    <row r="79" spans="1:15" ht="14.5">
      <c r="A79" s="6">
        <v>45616</v>
      </c>
      <c r="B79" s="7" t="s">
        <v>27</v>
      </c>
      <c r="C79" s="7">
        <v>26</v>
      </c>
      <c r="D79" s="8">
        <f>IFERROR(VLOOKUP($B79,Task!$B$1:$G$61,6,0)," ")</f>
        <v>1.3888888888888889E-3</v>
      </c>
      <c r="E79" s="9">
        <f t="shared" si="0"/>
        <v>3.6111111111111115E-2</v>
      </c>
      <c r="F79" s="10">
        <f t="shared" ref="F79:F82" si="22">G78</f>
        <v>0.3752199074074074</v>
      </c>
      <c r="G79" s="10">
        <v>0.41000000000000003</v>
      </c>
      <c r="H79" s="8">
        <f t="shared" si="1"/>
        <v>3.4780092592592626E-2</v>
      </c>
      <c r="I79" s="11">
        <f t="shared" si="2"/>
        <v>0.4113310185185185</v>
      </c>
      <c r="J79" s="8"/>
      <c r="K79" s="8"/>
      <c r="L79" s="8"/>
      <c r="M79" s="12"/>
      <c r="N79" s="13">
        <f t="shared" si="3"/>
        <v>1.0382695507487512</v>
      </c>
      <c r="O79" s="4"/>
    </row>
    <row r="80" spans="1:15" ht="14.5">
      <c r="A80" s="6">
        <v>45616</v>
      </c>
      <c r="B80" s="7" t="s">
        <v>16</v>
      </c>
      <c r="C80" s="7">
        <v>16</v>
      </c>
      <c r="D80" s="8">
        <f>IFERROR(VLOOKUP($B80,Task!$B$1:$G$61,6,0)," ")</f>
        <v>5.5555555555555558E-3</v>
      </c>
      <c r="E80" s="9">
        <f t="shared" si="0"/>
        <v>8.8888888888888892E-2</v>
      </c>
      <c r="F80" s="10">
        <f t="shared" si="22"/>
        <v>0.41000000000000003</v>
      </c>
      <c r="G80" s="10">
        <v>0.51774969907273771</v>
      </c>
      <c r="H80" s="8">
        <f t="shared" si="1"/>
        <v>8.4971921294959896E-2</v>
      </c>
      <c r="I80" s="11">
        <f t="shared" si="2"/>
        <v>0.52166666666666672</v>
      </c>
      <c r="J80" s="8"/>
      <c r="K80" s="8"/>
      <c r="L80" s="8">
        <v>2.2777777777777779E-2</v>
      </c>
      <c r="M80" s="12"/>
      <c r="N80" s="13">
        <f t="shared" si="3"/>
        <v>1.0460971993363803</v>
      </c>
      <c r="O80" s="19"/>
    </row>
    <row r="81" spans="1:16" ht="14.5">
      <c r="A81" s="6">
        <v>45616</v>
      </c>
      <c r="B81" s="7" t="s">
        <v>16</v>
      </c>
      <c r="C81" s="7">
        <f>33-C80</f>
        <v>17</v>
      </c>
      <c r="D81" s="8">
        <f>IFERROR(VLOOKUP($B81,Task!$B$1:$G$61,6,0)," ")</f>
        <v>5.5555555555555558E-3</v>
      </c>
      <c r="E81" s="9">
        <f t="shared" si="0"/>
        <v>9.4444444444444442E-2</v>
      </c>
      <c r="F81" s="10">
        <f t="shared" si="22"/>
        <v>0.51774969907273771</v>
      </c>
      <c r="G81" s="10">
        <v>0.60892361111111115</v>
      </c>
      <c r="H81" s="8">
        <f t="shared" si="1"/>
        <v>9.1173912038373439E-2</v>
      </c>
      <c r="I81" s="11">
        <f t="shared" si="2"/>
        <v>0.61219414351718215</v>
      </c>
      <c r="J81" s="8"/>
      <c r="K81" s="8"/>
      <c r="L81" s="8"/>
      <c r="M81" s="12"/>
      <c r="N81" s="13">
        <f t="shared" si="3"/>
        <v>1.0358713620261737</v>
      </c>
      <c r="O81" s="4"/>
    </row>
    <row r="82" spans="1:16" ht="14.5">
      <c r="A82" s="6">
        <v>45616</v>
      </c>
      <c r="B82" s="7" t="s">
        <v>37</v>
      </c>
      <c r="C82" s="7">
        <v>7</v>
      </c>
      <c r="D82" s="8">
        <f>IFERROR(VLOOKUP($B82,Task!$B$1:$G$61,6,0)," ")</f>
        <v>1.3888888888888889E-3</v>
      </c>
      <c r="E82" s="9">
        <f t="shared" si="0"/>
        <v>9.7222222222222224E-3</v>
      </c>
      <c r="F82" s="10">
        <f t="shared" si="22"/>
        <v>0.60892361111111115</v>
      </c>
      <c r="G82" s="10">
        <v>0.61820601851851853</v>
      </c>
      <c r="H82" s="8">
        <f t="shared" si="1"/>
        <v>9.2824074074073781E-3</v>
      </c>
      <c r="I82" s="11">
        <f t="shared" si="2"/>
        <v>0.61864583333333334</v>
      </c>
      <c r="J82" s="8"/>
      <c r="K82" s="8"/>
      <c r="L82" s="8"/>
      <c r="M82" s="12"/>
      <c r="N82" s="13">
        <f t="shared" si="3"/>
        <v>1.0473815461346667</v>
      </c>
    </row>
    <row r="83" spans="1:16" ht="14.5">
      <c r="A83" s="6">
        <v>45616</v>
      </c>
      <c r="B83" s="7" t="s">
        <v>49</v>
      </c>
      <c r="C83" s="7">
        <v>16</v>
      </c>
      <c r="D83" s="8">
        <f>IFERROR(VLOOKUP($B83,Task!$B$1:$G$61,6,0)," ")</f>
        <v>3.472222222222222E-3</v>
      </c>
      <c r="E83" s="9">
        <f t="shared" si="0"/>
        <v>5.5555555555555552E-2</v>
      </c>
      <c r="F83" s="10">
        <v>0.61833333333333329</v>
      </c>
      <c r="G83" s="10">
        <v>0.67344907407407406</v>
      </c>
      <c r="H83" s="8">
        <f t="shared" si="1"/>
        <v>5.5115740740740771E-2</v>
      </c>
      <c r="I83" s="11">
        <f t="shared" si="2"/>
        <v>0.67388888888888887</v>
      </c>
      <c r="J83" s="8"/>
      <c r="K83" s="8"/>
      <c r="L83" s="8"/>
      <c r="M83" s="12"/>
      <c r="N83" s="13">
        <f t="shared" si="3"/>
        <v>1.0079798404031914</v>
      </c>
      <c r="O83" s="19"/>
    </row>
    <row r="84" spans="1:16" ht="14.5">
      <c r="A84" s="6">
        <v>45616</v>
      </c>
      <c r="B84" s="7" t="s">
        <v>16</v>
      </c>
      <c r="C84" s="7">
        <v>4</v>
      </c>
      <c r="D84" s="8">
        <f>IFERROR(VLOOKUP($B84,Task!$B$1:$G$61,6,0)," ")</f>
        <v>5.5555555555555558E-3</v>
      </c>
      <c r="E84" s="9">
        <f t="shared" si="0"/>
        <v>2.2222222222222223E-2</v>
      </c>
      <c r="F84" s="10">
        <v>0.67361111111111116</v>
      </c>
      <c r="G84" s="10">
        <v>0.71246527777777779</v>
      </c>
      <c r="H84" s="8">
        <f t="shared" si="1"/>
        <v>2.1620370370370338E-2</v>
      </c>
      <c r="I84" s="11">
        <f t="shared" si="2"/>
        <v>0.7130671296296297</v>
      </c>
      <c r="J84" s="8"/>
      <c r="K84" s="8"/>
      <c r="L84" s="8">
        <v>1.7233796296296296E-2</v>
      </c>
      <c r="M84" s="12"/>
      <c r="N84" s="13">
        <f t="shared" si="3"/>
        <v>1.0278372591006439</v>
      </c>
      <c r="O84" s="4"/>
    </row>
    <row r="85" spans="1:16" ht="14.5">
      <c r="A85" s="6">
        <v>45617</v>
      </c>
      <c r="B85" s="7" t="s">
        <v>43</v>
      </c>
      <c r="C85" s="7">
        <v>1</v>
      </c>
      <c r="D85" s="8">
        <f>IFERROR(VLOOKUP($B85,Task!$B$1:$G$61,6,0)," ")</f>
        <v>3.4722222222222224E-2</v>
      </c>
      <c r="E85" s="9">
        <f t="shared" si="0"/>
        <v>3.4722222222222224E-2</v>
      </c>
      <c r="F85" s="10">
        <v>0.36928240740740748</v>
      </c>
      <c r="G85" s="10">
        <v>0.40168981481481481</v>
      </c>
      <c r="H85" s="8">
        <f t="shared" si="1"/>
        <v>3.2407407407407329E-2</v>
      </c>
      <c r="I85" s="11">
        <f t="shared" si="2"/>
        <v>0.40400462962962969</v>
      </c>
      <c r="J85" s="8"/>
      <c r="K85" s="8"/>
      <c r="L85" s="8"/>
      <c r="M85" s="12"/>
      <c r="N85" s="13">
        <f t="shared" si="3"/>
        <v>1.0714285714285741</v>
      </c>
      <c r="O85" s="4"/>
    </row>
    <row r="86" spans="1:16" ht="14.5">
      <c r="A86" s="6">
        <v>45617</v>
      </c>
      <c r="B86" s="7" t="s">
        <v>42</v>
      </c>
      <c r="C86" s="7">
        <v>1</v>
      </c>
      <c r="D86" s="8">
        <f>IFERROR(VLOOKUP($B86,Task!$B$1:$G$61,6,0)," ")</f>
        <v>6.9444444444444441E-3</v>
      </c>
      <c r="E86" s="9">
        <f t="shared" si="0"/>
        <v>6.9444444444444441E-3</v>
      </c>
      <c r="F86" s="10">
        <f t="shared" ref="F86:F89" si="23">G85</f>
        <v>0.40168981481481481</v>
      </c>
      <c r="G86" s="10">
        <v>0.42065972222222225</v>
      </c>
      <c r="H86" s="8">
        <f t="shared" si="1"/>
        <v>6.342592592592634E-3</v>
      </c>
      <c r="I86" s="11">
        <f t="shared" si="2"/>
        <v>0.42126157407407405</v>
      </c>
      <c r="J86" s="8"/>
      <c r="K86" s="8"/>
      <c r="L86" s="8">
        <v>1.2627314814814815E-2</v>
      </c>
      <c r="M86" s="12"/>
      <c r="N86" s="13">
        <f t="shared" si="3"/>
        <v>1.094890510948898</v>
      </c>
      <c r="O86" s="4"/>
    </row>
    <row r="87" spans="1:16" ht="14.5">
      <c r="A87" s="6">
        <v>45617</v>
      </c>
      <c r="B87" s="7" t="s">
        <v>18</v>
      </c>
      <c r="C87" s="7">
        <v>1</v>
      </c>
      <c r="D87" s="8">
        <f>IFERROR(VLOOKUP($B87,Task!$B$1:$G$61,6,0)," ")</f>
        <v>4.8611111111111112E-2</v>
      </c>
      <c r="E87" s="9">
        <f t="shared" si="0"/>
        <v>4.8611111111111112E-2</v>
      </c>
      <c r="F87" s="10">
        <f t="shared" si="23"/>
        <v>0.42065972222222225</v>
      </c>
      <c r="G87" s="10">
        <v>0.46650462962962969</v>
      </c>
      <c r="H87" s="8">
        <f t="shared" si="1"/>
        <v>4.5844907407407431E-2</v>
      </c>
      <c r="I87" s="11">
        <f t="shared" si="2"/>
        <v>0.46927083333333336</v>
      </c>
      <c r="J87" s="8"/>
      <c r="K87" s="8"/>
      <c r="L87" s="8"/>
      <c r="M87" s="12"/>
      <c r="N87" s="13">
        <f t="shared" si="3"/>
        <v>1.060338298409492</v>
      </c>
      <c r="O87" s="4"/>
    </row>
    <row r="88" spans="1:16" ht="14.5">
      <c r="A88" s="6">
        <v>45617</v>
      </c>
      <c r="B88" s="7" t="s">
        <v>16</v>
      </c>
      <c r="C88" s="7">
        <v>11</v>
      </c>
      <c r="D88" s="8">
        <f>IFERROR(VLOOKUP($B88,Task!$B$1:$G$61,6,0)," ")</f>
        <v>5.5555555555555558E-3</v>
      </c>
      <c r="E88" s="9">
        <f t="shared" si="0"/>
        <v>6.1111111111111116E-2</v>
      </c>
      <c r="F88" s="10">
        <f t="shared" si="23"/>
        <v>0.46650462962962969</v>
      </c>
      <c r="G88" s="10">
        <v>0.55193287037037042</v>
      </c>
      <c r="H88" s="8">
        <f t="shared" si="1"/>
        <v>5.8333333333333327E-2</v>
      </c>
      <c r="I88" s="11">
        <f t="shared" si="2"/>
        <v>0.55471064814814819</v>
      </c>
      <c r="J88" s="8"/>
      <c r="K88" s="8"/>
      <c r="L88" s="8">
        <v>2.7094907407407408E-2</v>
      </c>
      <c r="M88" s="12"/>
      <c r="N88" s="13">
        <f t="shared" si="3"/>
        <v>1.0476190476190479</v>
      </c>
      <c r="O88" s="19"/>
    </row>
    <row r="89" spans="1:16" ht="14.5">
      <c r="A89" s="6">
        <v>45617</v>
      </c>
      <c r="B89" s="7" t="s">
        <v>86</v>
      </c>
      <c r="C89" s="7">
        <v>98</v>
      </c>
      <c r="D89" s="8">
        <f>IFERROR(VLOOKUP($B89,Task!$B$1:$G$61,6,0)," ")</f>
        <v>3.472222222222222E-3</v>
      </c>
      <c r="E89" s="9">
        <f t="shared" si="0"/>
        <v>0.34027777777777773</v>
      </c>
      <c r="F89" s="10">
        <f t="shared" si="23"/>
        <v>0.55193287037037042</v>
      </c>
      <c r="G89" s="10">
        <v>0.75100694444444449</v>
      </c>
      <c r="H89" s="8">
        <f t="shared" si="1"/>
        <v>0.13059027777777782</v>
      </c>
      <c r="I89" s="11">
        <f t="shared" si="2"/>
        <v>0.96069444444444452</v>
      </c>
      <c r="J89" s="8"/>
      <c r="K89" s="8">
        <v>4.9525462962962966E-2</v>
      </c>
      <c r="L89" s="8">
        <f>K89+H90</f>
        <v>6.8483796296296265E-2</v>
      </c>
      <c r="M89" s="12"/>
      <c r="N89" s="13">
        <f t="shared" si="3"/>
        <v>2.605689976070193</v>
      </c>
      <c r="O89" s="19"/>
      <c r="P89" s="4"/>
    </row>
    <row r="90" spans="1:16" ht="14.5">
      <c r="A90" s="6">
        <v>45617</v>
      </c>
      <c r="B90" s="7" t="s">
        <v>65</v>
      </c>
      <c r="C90" s="7">
        <v>1</v>
      </c>
      <c r="D90" s="8">
        <f>IFERROR(VLOOKUP($B90,Task!$B$1:$G$61,6,0)," ")</f>
        <v>2.0833333333333332E-2</v>
      </c>
      <c r="E90" s="9">
        <f t="shared" si="0"/>
        <v>2.0833333333333332E-2</v>
      </c>
      <c r="F90" s="10">
        <v>0.67861111111111116</v>
      </c>
      <c r="G90" s="10">
        <v>0.69756944444444446</v>
      </c>
      <c r="H90" s="8">
        <f t="shared" si="1"/>
        <v>1.8958333333333299E-2</v>
      </c>
      <c r="I90" s="11">
        <f t="shared" si="2"/>
        <v>0.69944444444444454</v>
      </c>
      <c r="J90" s="8"/>
      <c r="K90" s="8"/>
      <c r="L90" s="8"/>
      <c r="M90" s="12"/>
      <c r="N90" s="13">
        <f t="shared" si="3"/>
        <v>1.0989010989011008</v>
      </c>
      <c r="O90" s="19"/>
    </row>
    <row r="91" spans="1:16" ht="14.5">
      <c r="A91" s="6">
        <v>45621</v>
      </c>
      <c r="B91" s="7" t="s">
        <v>42</v>
      </c>
      <c r="C91" s="7">
        <v>1</v>
      </c>
      <c r="D91" s="8">
        <f>IFERROR(VLOOKUP($B91,Task!$B$1:$G$61,6,0)," ")</f>
        <v>6.9444444444444441E-3</v>
      </c>
      <c r="E91" s="9">
        <f t="shared" si="0"/>
        <v>6.9444444444444441E-3</v>
      </c>
      <c r="F91" s="10">
        <v>0.37839120370370372</v>
      </c>
      <c r="G91" s="10">
        <v>0.38489583333333333</v>
      </c>
      <c r="H91" s="8">
        <f t="shared" si="1"/>
        <v>6.5046296296296102E-3</v>
      </c>
      <c r="I91" s="11">
        <f t="shared" si="2"/>
        <v>0.38533564814814814</v>
      </c>
      <c r="J91" s="8"/>
      <c r="K91" s="8"/>
      <c r="L91" s="8"/>
      <c r="M91" s="12"/>
      <c r="N91" s="13">
        <f t="shared" si="3"/>
        <v>1.0676156583629925</v>
      </c>
      <c r="O91" s="19"/>
    </row>
    <row r="92" spans="1:16" ht="14.5">
      <c r="A92" s="6">
        <v>45621</v>
      </c>
      <c r="B92" s="7" t="s">
        <v>18</v>
      </c>
      <c r="C92" s="7">
        <v>1</v>
      </c>
      <c r="D92" s="8">
        <f>IFERROR(VLOOKUP($B92,Task!$B$1:$G$61,6,0)," ")</f>
        <v>4.8611111111111112E-2</v>
      </c>
      <c r="E92" s="9">
        <f t="shared" si="0"/>
        <v>4.8611111111111112E-2</v>
      </c>
      <c r="F92" s="10">
        <f t="shared" ref="F92:F97" si="24">G91</f>
        <v>0.38489583333333333</v>
      </c>
      <c r="G92" s="10">
        <v>0.43710648148148157</v>
      </c>
      <c r="H92" s="8">
        <f t="shared" si="1"/>
        <v>4.5335648148148243E-2</v>
      </c>
      <c r="I92" s="11">
        <f t="shared" si="2"/>
        <v>0.44038194444444445</v>
      </c>
      <c r="J92" s="8"/>
      <c r="K92" s="8"/>
      <c r="L92" s="8">
        <v>6.875E-3</v>
      </c>
      <c r="M92" s="12"/>
      <c r="N92" s="13">
        <f t="shared" si="3"/>
        <v>1.0722491702833779</v>
      </c>
      <c r="O92" s="4"/>
    </row>
    <row r="93" spans="1:16" ht="14.5">
      <c r="A93" s="6">
        <v>45621</v>
      </c>
      <c r="B93" s="7" t="s">
        <v>43</v>
      </c>
      <c r="C93" s="7">
        <v>1</v>
      </c>
      <c r="D93" s="8">
        <f>IFERROR(VLOOKUP($B93,Task!$B$1:$G$61,6,0)," ")</f>
        <v>3.4722222222222224E-2</v>
      </c>
      <c r="E93" s="9">
        <f t="shared" si="0"/>
        <v>3.4722222222222224E-2</v>
      </c>
      <c r="F93" s="10">
        <f t="shared" si="24"/>
        <v>0.43710648148148157</v>
      </c>
      <c r="G93" s="10">
        <v>0.46807870370370375</v>
      </c>
      <c r="H93" s="8">
        <f t="shared" si="1"/>
        <v>3.0972222222222179E-2</v>
      </c>
      <c r="I93" s="11">
        <f t="shared" si="2"/>
        <v>0.47182870370370378</v>
      </c>
      <c r="J93" s="8"/>
      <c r="K93" s="8"/>
      <c r="L93" s="8"/>
      <c r="M93" s="12"/>
      <c r="N93" s="13">
        <f t="shared" si="3"/>
        <v>1.1210762331838582</v>
      </c>
      <c r="O93" s="19"/>
    </row>
    <row r="94" spans="1:16" ht="14.5">
      <c r="A94" s="6">
        <v>45621</v>
      </c>
      <c r="B94" s="7" t="s">
        <v>93</v>
      </c>
      <c r="C94" s="7">
        <v>14</v>
      </c>
      <c r="D94" s="8">
        <f>IFERROR(VLOOKUP($B94,Task!$B$1:$G$61,6,0)," ")</f>
        <v>6.9444444444444441E-3</v>
      </c>
      <c r="E94" s="9">
        <f t="shared" si="0"/>
        <v>9.722222222222221E-2</v>
      </c>
      <c r="F94" s="10">
        <f t="shared" si="24"/>
        <v>0.46807870370370375</v>
      </c>
      <c r="G94" s="10">
        <v>0.59548611111111116</v>
      </c>
      <c r="H94" s="8">
        <f t="shared" si="1"/>
        <v>9.3275462962962963E-2</v>
      </c>
      <c r="I94" s="11">
        <f t="shared" si="2"/>
        <v>0.59943287037037041</v>
      </c>
      <c r="J94" s="8"/>
      <c r="K94" s="8"/>
      <c r="L94" s="8">
        <v>3.4131944444444444E-2</v>
      </c>
      <c r="M94" s="12"/>
      <c r="N94" s="13">
        <f t="shared" si="3"/>
        <v>1.0423129420523636</v>
      </c>
    </row>
    <row r="95" spans="1:16" ht="14.5">
      <c r="A95" s="6">
        <v>45621</v>
      </c>
      <c r="B95" s="7" t="s">
        <v>86</v>
      </c>
      <c r="C95" s="7">
        <v>40</v>
      </c>
      <c r="D95" s="8">
        <f>IFERROR(VLOOKUP($B95,Task!$B$1:$G$61,6,0)," ")</f>
        <v>3.472222222222222E-3</v>
      </c>
      <c r="E95" s="9">
        <f t="shared" si="0"/>
        <v>0.1388888888888889</v>
      </c>
      <c r="F95" s="10">
        <f t="shared" si="24"/>
        <v>0.59548611111111116</v>
      </c>
      <c r="G95" s="10">
        <v>0.67103009259259261</v>
      </c>
      <c r="H95" s="8">
        <f t="shared" si="1"/>
        <v>5.1087962962962932E-2</v>
      </c>
      <c r="I95" s="11">
        <f t="shared" si="2"/>
        <v>0.75883101851851853</v>
      </c>
      <c r="J95" s="8"/>
      <c r="K95" s="8"/>
      <c r="L95" s="8">
        <v>2.4456018518518519E-2</v>
      </c>
      <c r="M95" s="12"/>
      <c r="N95" s="13">
        <f t="shared" si="3"/>
        <v>2.7186225645672875</v>
      </c>
      <c r="O95" s="4"/>
    </row>
    <row r="96" spans="1:16" ht="14.5">
      <c r="A96" s="6">
        <v>45621</v>
      </c>
      <c r="B96" s="7" t="s">
        <v>63</v>
      </c>
      <c r="C96" s="7">
        <v>1</v>
      </c>
      <c r="D96" s="8">
        <f>IFERROR(VLOOKUP($B96,Task!$B$1:$G$61,6,0)," ")</f>
        <v>4.5138888888888888E-2</v>
      </c>
      <c r="E96" s="9">
        <f t="shared" si="0"/>
        <v>4.5138888888888888E-2</v>
      </c>
      <c r="F96" s="10">
        <f t="shared" si="24"/>
        <v>0.67103009259259261</v>
      </c>
      <c r="G96" s="10">
        <v>0.71226851851851858</v>
      </c>
      <c r="H96" s="8">
        <f t="shared" si="1"/>
        <v>4.123842592592597E-2</v>
      </c>
      <c r="I96" s="11">
        <f t="shared" si="2"/>
        <v>0.71616898148148145</v>
      </c>
      <c r="J96" s="8"/>
      <c r="K96" s="8"/>
      <c r="L96" s="8"/>
      <c r="M96" s="12"/>
      <c r="N96" s="13">
        <f t="shared" si="3"/>
        <v>1.0945832163906808</v>
      </c>
      <c r="O96" s="19"/>
    </row>
    <row r="97" spans="1:17" ht="14.5">
      <c r="A97" s="6">
        <v>45621</v>
      </c>
      <c r="B97" s="7" t="s">
        <v>37</v>
      </c>
      <c r="C97" s="7">
        <v>30</v>
      </c>
      <c r="D97" s="8">
        <f>IFERROR(VLOOKUP($B97,Task!$B$1:$G$61,6,0)," ")</f>
        <v>1.3888888888888889E-3</v>
      </c>
      <c r="E97" s="9">
        <f t="shared" si="0"/>
        <v>4.1666666666666671E-2</v>
      </c>
      <c r="F97" s="10">
        <f t="shared" si="24"/>
        <v>0.71226851851851858</v>
      </c>
      <c r="G97" s="10">
        <v>0.75347222222222221</v>
      </c>
      <c r="H97" s="8">
        <f t="shared" si="1"/>
        <v>3.7048611111111039E-2</v>
      </c>
      <c r="I97" s="11">
        <f t="shared" si="2"/>
        <v>0.75809027777777782</v>
      </c>
      <c r="J97" s="8"/>
      <c r="K97" s="8"/>
      <c r="L97" s="8">
        <v>4.1550925925925922E-3</v>
      </c>
      <c r="M97" s="12"/>
      <c r="N97" s="13">
        <f t="shared" si="3"/>
        <v>1.124648547328962</v>
      </c>
    </row>
    <row r="98" spans="1:17" ht="14.5">
      <c r="A98" s="6">
        <v>45622</v>
      </c>
      <c r="B98" s="34" t="s">
        <v>86</v>
      </c>
      <c r="C98" s="34">
        <v>82</v>
      </c>
      <c r="D98" s="35">
        <f>IFERROR(VLOOKUP($B98,Task!$B$1:$G$61,6,0)," ")</f>
        <v>3.472222222222222E-3</v>
      </c>
      <c r="E98" s="9">
        <f t="shared" si="0"/>
        <v>0.28472222222222221</v>
      </c>
      <c r="F98" s="36">
        <v>0.3732523148148148</v>
      </c>
      <c r="G98" s="36">
        <v>0.47961805555555559</v>
      </c>
      <c r="H98" s="8">
        <f t="shared" si="1"/>
        <v>0.10636574074074079</v>
      </c>
      <c r="I98" s="11">
        <f t="shared" si="2"/>
        <v>0.65797453703703701</v>
      </c>
      <c r="J98" s="8"/>
      <c r="K98" s="8"/>
      <c r="L98" s="8"/>
      <c r="M98" s="12"/>
      <c r="N98" s="13">
        <f t="shared" si="3"/>
        <v>2.6768226332970606</v>
      </c>
    </row>
    <row r="99" spans="1:17" ht="14.5">
      <c r="A99" s="6">
        <v>45622</v>
      </c>
      <c r="B99" s="7" t="s">
        <v>16</v>
      </c>
      <c r="C99" s="7">
        <v>15</v>
      </c>
      <c r="D99" s="8">
        <f>IFERROR(VLOOKUP($B99,Task!$B$1:$G$61,6,0)," ")</f>
        <v>5.5555555555555558E-3</v>
      </c>
      <c r="E99" s="9">
        <f t="shared" si="0"/>
        <v>8.3333333333333343E-2</v>
      </c>
      <c r="F99" s="10">
        <f t="shared" ref="F99:F104" si="25">G98</f>
        <v>0.47961805555555559</v>
      </c>
      <c r="G99" s="10">
        <v>0.66942129629629632</v>
      </c>
      <c r="H99" s="8">
        <f t="shared" si="1"/>
        <v>8.1377314814814805E-2</v>
      </c>
      <c r="I99" s="11">
        <f t="shared" si="2"/>
        <v>0.67137731481481489</v>
      </c>
      <c r="J99" s="8"/>
      <c r="K99" s="8"/>
      <c r="L99" s="8">
        <v>0.10842592592592593</v>
      </c>
      <c r="M99" s="12"/>
      <c r="N99" s="13">
        <f t="shared" si="3"/>
        <v>1.0240364101834734</v>
      </c>
      <c r="O99" s="19"/>
      <c r="Q99" s="22">
        <v>-95</v>
      </c>
    </row>
    <row r="100" spans="1:17" ht="14.5">
      <c r="A100" s="6">
        <v>45622</v>
      </c>
      <c r="B100" s="7" t="s">
        <v>50</v>
      </c>
      <c r="C100" s="7">
        <v>1</v>
      </c>
      <c r="D100" s="8">
        <f>IFERROR(VLOOKUP($B100,Task!$B$1:$G$61,6,0)," ")</f>
        <v>1.0416666666666666E-2</v>
      </c>
      <c r="E100" s="9">
        <f t="shared" si="0"/>
        <v>1.0416666666666666E-2</v>
      </c>
      <c r="F100" s="10">
        <f t="shared" si="25"/>
        <v>0.66942129629629632</v>
      </c>
      <c r="G100" s="10">
        <v>0.67917824074074074</v>
      </c>
      <c r="H100" s="8">
        <f t="shared" si="1"/>
        <v>9.7569444444444153E-3</v>
      </c>
      <c r="I100" s="11">
        <f t="shared" si="2"/>
        <v>0.67983796296296295</v>
      </c>
      <c r="J100" s="8"/>
      <c r="K100" s="8"/>
      <c r="L100" s="8"/>
      <c r="M100" s="12"/>
      <c r="N100" s="13">
        <f t="shared" si="3"/>
        <v>1.0676156583629925</v>
      </c>
      <c r="O100" s="4"/>
      <c r="Q100" s="22">
        <v>42</v>
      </c>
    </row>
    <row r="101" spans="1:17" ht="14.5">
      <c r="A101" s="6">
        <v>45622</v>
      </c>
      <c r="B101" s="7" t="s">
        <v>51</v>
      </c>
      <c r="C101" s="7">
        <v>1</v>
      </c>
      <c r="D101" s="8">
        <f>IFERROR(VLOOKUP($B101,Task!$B$1:$G$61,6,0)," ")</f>
        <v>1.0416666666666666E-2</v>
      </c>
      <c r="E101" s="9">
        <f t="shared" si="0"/>
        <v>1.0416666666666666E-2</v>
      </c>
      <c r="F101" s="10">
        <f t="shared" si="25"/>
        <v>0.67917824074074074</v>
      </c>
      <c r="G101" s="10">
        <v>0.68862268518518521</v>
      </c>
      <c r="H101" s="8">
        <f t="shared" si="1"/>
        <v>9.4444444444444775E-3</v>
      </c>
      <c r="I101" s="11">
        <f t="shared" si="2"/>
        <v>0.68959490740740736</v>
      </c>
      <c r="J101" s="8"/>
      <c r="K101" s="8"/>
      <c r="L101" s="8"/>
      <c r="M101" s="12"/>
      <c r="N101" s="13">
        <f t="shared" si="3"/>
        <v>1.1029411764705843</v>
      </c>
      <c r="O101" s="19"/>
      <c r="Q101" s="22">
        <v>42</v>
      </c>
    </row>
    <row r="102" spans="1:17" ht="14.5">
      <c r="A102" s="6">
        <v>45622</v>
      </c>
      <c r="B102" s="7" t="s">
        <v>52</v>
      </c>
      <c r="C102" s="7">
        <v>1</v>
      </c>
      <c r="D102" s="8">
        <f>IFERROR(VLOOKUP($B102,Task!$B$1:$G$61,6,0)," ")</f>
        <v>1.0416666666666666E-2</v>
      </c>
      <c r="E102" s="9">
        <f t="shared" si="0"/>
        <v>1.0416666666666666E-2</v>
      </c>
      <c r="F102" s="10">
        <f t="shared" si="25"/>
        <v>0.68862268518518521</v>
      </c>
      <c r="G102" s="10">
        <v>0.6983449074074074</v>
      </c>
      <c r="H102" s="8">
        <f t="shared" si="1"/>
        <v>9.7222222222221877E-3</v>
      </c>
      <c r="I102" s="11">
        <f t="shared" si="2"/>
        <v>0.69903935185185184</v>
      </c>
      <c r="J102" s="8"/>
      <c r="K102" s="8"/>
      <c r="L102" s="8"/>
      <c r="M102" s="12"/>
      <c r="N102" s="13">
        <f t="shared" si="3"/>
        <v>1.0714285714285752</v>
      </c>
    </row>
    <row r="103" spans="1:17" ht="14.5">
      <c r="A103" s="6">
        <v>45622</v>
      </c>
      <c r="B103" s="7" t="s">
        <v>53</v>
      </c>
      <c r="C103" s="7">
        <v>1</v>
      </c>
      <c r="D103" s="8">
        <f>IFERROR(VLOOKUP($B103,Task!$B$1:$G$61,6,0)," ")</f>
        <v>1.0416666666666666E-2</v>
      </c>
      <c r="E103" s="9">
        <f t="shared" si="0"/>
        <v>1.0416666666666666E-2</v>
      </c>
      <c r="F103" s="10">
        <f t="shared" si="25"/>
        <v>0.6983449074074074</v>
      </c>
      <c r="G103" s="10">
        <v>0.70761574074074074</v>
      </c>
      <c r="H103" s="8">
        <f t="shared" si="1"/>
        <v>9.2708333333333393E-3</v>
      </c>
      <c r="I103" s="11">
        <f t="shared" si="2"/>
        <v>0.70876157407407403</v>
      </c>
      <c r="J103" s="8"/>
      <c r="K103" s="8"/>
      <c r="L103" s="8"/>
      <c r="M103" s="12"/>
      <c r="N103" s="13">
        <f t="shared" si="3"/>
        <v>1.1235955056179767</v>
      </c>
      <c r="O103" s="19"/>
    </row>
    <row r="104" spans="1:17" ht="14.5">
      <c r="A104" s="6">
        <v>45622</v>
      </c>
      <c r="B104" s="7" t="s">
        <v>18</v>
      </c>
      <c r="C104" s="7">
        <v>1</v>
      </c>
      <c r="D104" s="8">
        <f>IFERROR(VLOOKUP($B104,Task!$B$1:$G$61,6,0)," ")</f>
        <v>4.8611111111111112E-2</v>
      </c>
      <c r="E104" s="9">
        <f t="shared" si="0"/>
        <v>4.8611111111111112E-2</v>
      </c>
      <c r="F104" s="10">
        <f t="shared" si="25"/>
        <v>0.70761574074074074</v>
      </c>
      <c r="G104" s="10">
        <v>0.75</v>
      </c>
      <c r="H104" s="8">
        <f t="shared" si="1"/>
        <v>4.238425925925926E-2</v>
      </c>
      <c r="I104" s="11">
        <f t="shared" si="2"/>
        <v>0.7562268518518519</v>
      </c>
      <c r="J104" s="8"/>
      <c r="K104" s="8"/>
      <c r="L104" s="8"/>
      <c r="M104" s="12"/>
      <c r="N104" s="13">
        <f t="shared" si="3"/>
        <v>1.1469142545057345</v>
      </c>
    </row>
    <row r="105" spans="1:17" ht="14.5">
      <c r="A105" s="6">
        <v>45623</v>
      </c>
      <c r="B105" s="7" t="s">
        <v>16</v>
      </c>
      <c r="C105" s="7">
        <v>6</v>
      </c>
      <c r="D105" s="8">
        <f>IFERROR(VLOOKUP($B105,Task!$B$1:$G$61,6,0)," ")</f>
        <v>5.5555555555555558E-3</v>
      </c>
      <c r="E105" s="9">
        <f t="shared" si="0"/>
        <v>3.3333333333333333E-2</v>
      </c>
      <c r="F105" s="10">
        <v>0.38471064814814815</v>
      </c>
      <c r="G105" s="10">
        <v>0.42327546296296303</v>
      </c>
      <c r="H105" s="8">
        <f t="shared" si="1"/>
        <v>3.1145833333333404E-2</v>
      </c>
      <c r="I105" s="11">
        <f t="shared" si="2"/>
        <v>0.42546296296296293</v>
      </c>
      <c r="J105" s="8"/>
      <c r="K105" s="8"/>
      <c r="L105" s="8">
        <v>7.4189814814814813E-3</v>
      </c>
      <c r="M105" s="12"/>
      <c r="N105" s="13">
        <f t="shared" si="3"/>
        <v>1.0702341137123721</v>
      </c>
      <c r="O105" s="4"/>
    </row>
    <row r="106" spans="1:17" ht="14.5">
      <c r="A106" s="6">
        <v>45623</v>
      </c>
      <c r="B106" s="7" t="s">
        <v>85</v>
      </c>
      <c r="C106" s="7">
        <v>1</v>
      </c>
      <c r="D106" s="8">
        <f>IFERROR(VLOOKUP($B106,Task!$B$1:$G$61,6,0)," ")</f>
        <v>0.11458333333333333</v>
      </c>
      <c r="E106" s="9">
        <f t="shared" si="0"/>
        <v>0.11458333333333333</v>
      </c>
      <c r="F106" s="10">
        <f t="shared" ref="F106:F108" si="26">G105</f>
        <v>0.42327546296296303</v>
      </c>
      <c r="G106" s="10">
        <v>0.5381597222222223</v>
      </c>
      <c r="H106" s="8">
        <f t="shared" si="1"/>
        <v>0.10572916666666668</v>
      </c>
      <c r="I106" s="11">
        <f t="shared" si="2"/>
        <v>0.54701388888888902</v>
      </c>
      <c r="J106" s="8"/>
      <c r="K106" s="8"/>
      <c r="L106" s="8">
        <v>9.1550925925925931E-3</v>
      </c>
      <c r="M106" s="12"/>
      <c r="N106" s="13">
        <f t="shared" si="3"/>
        <v>1.0837438423645318</v>
      </c>
      <c r="O106" s="19"/>
    </row>
    <row r="107" spans="1:17" ht="14.5">
      <c r="A107" s="6">
        <v>45623</v>
      </c>
      <c r="B107" s="7" t="s">
        <v>18</v>
      </c>
      <c r="C107" s="7">
        <v>1</v>
      </c>
      <c r="D107" s="8">
        <f>IFERROR(VLOOKUP($B107,Task!$B$1:$G$61,6,0)," ")</f>
        <v>4.8611111111111112E-2</v>
      </c>
      <c r="E107" s="9">
        <f t="shared" si="0"/>
        <v>4.8611111111111112E-2</v>
      </c>
      <c r="F107" s="10">
        <f t="shared" si="26"/>
        <v>0.5381597222222223</v>
      </c>
      <c r="G107" s="8">
        <v>0.58880787037037041</v>
      </c>
      <c r="H107" s="8">
        <f t="shared" si="1"/>
        <v>4.5752314814814773E-2</v>
      </c>
      <c r="I107" s="11">
        <f t="shared" si="2"/>
        <v>0.59166666666666679</v>
      </c>
      <c r="J107" s="8"/>
      <c r="K107" s="8"/>
      <c r="L107" s="8">
        <v>4.8958333333333336E-3</v>
      </c>
      <c r="M107" s="12"/>
      <c r="N107" s="13">
        <f t="shared" si="3"/>
        <v>1.0624841892233756</v>
      </c>
    </row>
    <row r="108" spans="1:17" ht="14.5">
      <c r="A108" s="6">
        <v>45623</v>
      </c>
      <c r="B108" s="7" t="s">
        <v>37</v>
      </c>
      <c r="C108" s="7">
        <v>95</v>
      </c>
      <c r="D108" s="8">
        <f>IFERROR(VLOOKUP($B108,Task!$B$1:$G$61,6,0)," ")</f>
        <v>1.3888888888888889E-3</v>
      </c>
      <c r="E108" s="9">
        <f t="shared" si="0"/>
        <v>0.13194444444444445</v>
      </c>
      <c r="F108" s="10">
        <f t="shared" si="26"/>
        <v>0.58880787037037041</v>
      </c>
      <c r="G108" s="10">
        <v>0.75714648148277774</v>
      </c>
      <c r="H108" s="8">
        <f t="shared" si="1"/>
        <v>0.12618583333462957</v>
      </c>
      <c r="I108" s="11">
        <f t="shared" si="2"/>
        <v>0.76290509259259265</v>
      </c>
      <c r="J108" s="8"/>
      <c r="K108" s="8"/>
      <c r="L108" s="8">
        <v>4.2152777777777775E-2</v>
      </c>
      <c r="M108" s="18" t="s">
        <v>91</v>
      </c>
      <c r="N108" s="13">
        <f t="shared" si="3"/>
        <v>1.0456359557775692</v>
      </c>
    </row>
    <row r="109" spans="1:17" ht="14.5">
      <c r="A109" s="6">
        <v>45624</v>
      </c>
      <c r="B109" s="7" t="s">
        <v>43</v>
      </c>
      <c r="C109" s="7">
        <v>1</v>
      </c>
      <c r="D109" s="8">
        <f>IFERROR(VLOOKUP($B109,Task!$B$1:$G$61,6,0)," ")</f>
        <v>3.4722222222222224E-2</v>
      </c>
      <c r="E109" s="9">
        <f t="shared" si="0"/>
        <v>3.4722222222222224E-2</v>
      </c>
      <c r="F109" s="10">
        <v>0.37804398148148155</v>
      </c>
      <c r="G109" s="10">
        <v>0.41049768518518526</v>
      </c>
      <c r="H109" s="8">
        <f t="shared" si="1"/>
        <v>3.2453703703703707E-2</v>
      </c>
      <c r="I109" s="11">
        <f t="shared" si="2"/>
        <v>0.41276620370370376</v>
      </c>
      <c r="J109" s="8"/>
      <c r="K109" s="8"/>
      <c r="L109" s="8"/>
      <c r="M109" s="12"/>
      <c r="N109" s="13">
        <f t="shared" si="3"/>
        <v>1.0699001426533523</v>
      </c>
    </row>
    <row r="110" spans="1:17" ht="14.5">
      <c r="A110" s="6">
        <v>45624</v>
      </c>
      <c r="B110" s="7" t="s">
        <v>42</v>
      </c>
      <c r="C110" s="7">
        <v>1</v>
      </c>
      <c r="D110" s="8">
        <f>IFERROR(VLOOKUP($B110,Task!$B$1:$G$61,6,0)," ")</f>
        <v>6.9444444444444441E-3</v>
      </c>
      <c r="E110" s="9">
        <f t="shared" si="0"/>
        <v>6.9444444444444441E-3</v>
      </c>
      <c r="F110" s="10">
        <f t="shared" ref="F110:F112" si="27">G109</f>
        <v>0.41049768518518526</v>
      </c>
      <c r="G110" s="10">
        <v>0.41674768518518523</v>
      </c>
      <c r="H110" s="8">
        <f t="shared" si="1"/>
        <v>6.2499999999999778E-3</v>
      </c>
      <c r="I110" s="11">
        <f t="shared" si="2"/>
        <v>0.41744212962962968</v>
      </c>
      <c r="J110" s="8"/>
      <c r="K110" s="8"/>
      <c r="L110" s="8"/>
      <c r="M110" s="12"/>
      <c r="N110" s="13">
        <f t="shared" si="3"/>
        <v>1.1111111111111149</v>
      </c>
      <c r="O110" s="19"/>
    </row>
    <row r="111" spans="1:17" ht="14.5">
      <c r="A111" s="6">
        <v>45624</v>
      </c>
      <c r="B111" s="7" t="s">
        <v>18</v>
      </c>
      <c r="C111" s="7">
        <v>1</v>
      </c>
      <c r="D111" s="8">
        <f>IFERROR(VLOOKUP($B111,Task!$B$1:$G$61,6,0)," ")</f>
        <v>4.8611111111111112E-2</v>
      </c>
      <c r="E111" s="9">
        <f t="shared" si="0"/>
        <v>4.8611111111111112E-2</v>
      </c>
      <c r="F111" s="10">
        <f t="shared" si="27"/>
        <v>0.41674768518518523</v>
      </c>
      <c r="G111" s="10">
        <v>0.48876157407407406</v>
      </c>
      <c r="H111" s="8">
        <f t="shared" si="1"/>
        <v>4.504629629629623E-2</v>
      </c>
      <c r="I111" s="11">
        <f t="shared" si="2"/>
        <v>0.49232638888888891</v>
      </c>
      <c r="J111" s="8"/>
      <c r="K111" s="8"/>
      <c r="L111" s="8">
        <v>2.6967592592592592E-2</v>
      </c>
      <c r="M111" s="12"/>
      <c r="N111" s="13">
        <f t="shared" si="3"/>
        <v>1.0791366906474835</v>
      </c>
      <c r="O111" s="19"/>
    </row>
    <row r="112" spans="1:17" ht="14.5">
      <c r="A112" s="6">
        <v>45624</v>
      </c>
      <c r="B112" s="7" t="s">
        <v>37</v>
      </c>
      <c r="C112" s="7">
        <v>175</v>
      </c>
      <c r="D112" s="8">
        <f>IFERROR(VLOOKUP($B112,Task!$B$1:$G$61,6,0)," ")</f>
        <v>1.3888888888888889E-3</v>
      </c>
      <c r="E112" s="9">
        <f t="shared" si="0"/>
        <v>0.24305555555555555</v>
      </c>
      <c r="F112" s="10">
        <f t="shared" si="27"/>
        <v>0.48876157407407406</v>
      </c>
      <c r="G112" s="10">
        <v>0.75347222222222221</v>
      </c>
      <c r="H112" s="8">
        <f t="shared" si="1"/>
        <v>0.23086805555555556</v>
      </c>
      <c r="I112" s="11">
        <f t="shared" si="2"/>
        <v>0.76565972222222223</v>
      </c>
      <c r="J112" s="8"/>
      <c r="K112" s="8"/>
      <c r="L112" s="8">
        <v>3.3842592592592591E-2</v>
      </c>
      <c r="M112" s="18" t="s">
        <v>91</v>
      </c>
      <c r="N112" s="13">
        <f t="shared" si="3"/>
        <v>1.052789893217025</v>
      </c>
    </row>
    <row r="113" spans="1:15" ht="14.5">
      <c r="A113" s="6">
        <v>45625</v>
      </c>
      <c r="B113" s="7" t="s">
        <v>18</v>
      </c>
      <c r="C113" s="7">
        <v>1</v>
      </c>
      <c r="D113" s="8">
        <f>IFERROR(VLOOKUP($B113,Task!$B$1:$G$61,6,0)," ")</f>
        <v>4.8611111111111112E-2</v>
      </c>
      <c r="E113" s="9">
        <f t="shared" si="0"/>
        <v>4.8611111111111112E-2</v>
      </c>
      <c r="F113" s="10">
        <v>0.37961805555555561</v>
      </c>
      <c r="G113" s="10">
        <v>0.42587962962962966</v>
      </c>
      <c r="H113" s="8">
        <f t="shared" si="1"/>
        <v>4.6261574074074052E-2</v>
      </c>
      <c r="I113" s="11">
        <f t="shared" si="2"/>
        <v>0.42822916666666672</v>
      </c>
      <c r="J113" s="8"/>
      <c r="K113" s="8"/>
      <c r="L113" s="8"/>
      <c r="M113" s="12"/>
      <c r="N113" s="13">
        <f t="shared" si="3"/>
        <v>1.0507880910683018</v>
      </c>
      <c r="O113" s="4"/>
    </row>
    <row r="114" spans="1:15" ht="14.5">
      <c r="A114" s="6">
        <v>45625</v>
      </c>
      <c r="B114" s="7" t="s">
        <v>65</v>
      </c>
      <c r="C114" s="7">
        <v>1</v>
      </c>
      <c r="D114" s="8">
        <f>IFERROR(VLOOKUP($B114,Task!$B$1:$G$61,6,0)," ")</f>
        <v>2.0833333333333332E-2</v>
      </c>
      <c r="E114" s="9">
        <f t="shared" si="0"/>
        <v>2.0833333333333332E-2</v>
      </c>
      <c r="F114" s="10">
        <f t="shared" ref="F114:F116" si="28">G113</f>
        <v>0.42587962962962966</v>
      </c>
      <c r="G114" s="10">
        <v>0.44559027777777782</v>
      </c>
      <c r="H114" s="8">
        <f t="shared" si="1"/>
        <v>1.9710648148148158E-2</v>
      </c>
      <c r="I114" s="11">
        <f t="shared" si="2"/>
        <v>0.44671296296296298</v>
      </c>
      <c r="J114" s="8"/>
      <c r="K114" s="8"/>
      <c r="L114" s="8"/>
      <c r="M114" s="12"/>
      <c r="N114" s="13">
        <f t="shared" si="3"/>
        <v>1.0569583088667052</v>
      </c>
      <c r="O114" s="4"/>
    </row>
    <row r="115" spans="1:15" ht="14.5">
      <c r="A115" s="6">
        <v>45625</v>
      </c>
      <c r="B115" s="7" t="s">
        <v>37</v>
      </c>
      <c r="C115" s="7">
        <v>75</v>
      </c>
      <c r="D115" s="8">
        <f>IFERROR(VLOOKUP($B115,Task!$B$1:$G$61,6,0)," ")</f>
        <v>1.3888888888888889E-3</v>
      </c>
      <c r="E115" s="9">
        <f t="shared" si="0"/>
        <v>0.10416666666666667</v>
      </c>
      <c r="F115" s="10">
        <f t="shared" si="28"/>
        <v>0.44559027777777782</v>
      </c>
      <c r="G115" s="10">
        <v>0.5628819444444445</v>
      </c>
      <c r="H115" s="8">
        <f t="shared" si="1"/>
        <v>9.8900462962962982E-2</v>
      </c>
      <c r="I115" s="11">
        <f t="shared" si="2"/>
        <v>0.56814814814814818</v>
      </c>
      <c r="J115" s="8"/>
      <c r="K115" s="8"/>
      <c r="L115" s="8">
        <v>1.8391203703703705E-2</v>
      </c>
      <c r="M115" s="18" t="s">
        <v>91</v>
      </c>
      <c r="N115" s="13">
        <f t="shared" si="3"/>
        <v>1.0532475131655938</v>
      </c>
      <c r="O115" s="4"/>
    </row>
    <row r="116" spans="1:15" ht="14.5">
      <c r="A116" s="6">
        <v>45625</v>
      </c>
      <c r="B116" s="7" t="s">
        <v>37</v>
      </c>
      <c r="C116" s="7">
        <v>105</v>
      </c>
      <c r="D116" s="8">
        <f>IFERROR(VLOOKUP($B116,Task!$B$1:$G$61,6,0)," ")</f>
        <v>1.3888888888888889E-3</v>
      </c>
      <c r="E116" s="9">
        <f t="shared" si="0"/>
        <v>0.14583333333333334</v>
      </c>
      <c r="F116" s="10">
        <f t="shared" si="28"/>
        <v>0.5628819444444445</v>
      </c>
      <c r="G116" s="10">
        <v>0.75616980323684402</v>
      </c>
      <c r="H116" s="8">
        <f t="shared" si="1"/>
        <v>0.14010498842202915</v>
      </c>
      <c r="I116" s="11">
        <f t="shared" si="2"/>
        <v>0.76189814814814827</v>
      </c>
      <c r="J116" s="8"/>
      <c r="K116" s="8"/>
      <c r="L116" s="8">
        <v>5.3182870370370373E-2</v>
      </c>
      <c r="M116" s="12"/>
      <c r="N116" s="13">
        <f t="shared" si="3"/>
        <v>1.0408860881815933</v>
      </c>
      <c r="O116" s="19" t="e">
        <f ca="1">AVERAGEIF(A:A,TODAY(),N:N)</f>
        <v>#DIV/0!</v>
      </c>
    </row>
    <row r="117" spans="1:15" ht="14.5">
      <c r="A117" s="6"/>
      <c r="B117" s="7" t="s">
        <v>16</v>
      </c>
      <c r="C117" s="7">
        <v>40</v>
      </c>
      <c r="D117" s="8">
        <f>IFERROR(VLOOKUP($B117,Task!$B$1:$G$61,6,0)," ")</f>
        <v>5.5555555555555558E-3</v>
      </c>
      <c r="E117" s="9">
        <f t="shared" si="0"/>
        <v>0.22222222222222224</v>
      </c>
      <c r="F117" s="10"/>
      <c r="G117" s="10"/>
      <c r="H117" s="8" t="str">
        <f t="shared" si="1"/>
        <v/>
      </c>
      <c r="I117" s="11">
        <f t="shared" si="2"/>
        <v>0.22222222222222224</v>
      </c>
      <c r="J117" s="8"/>
      <c r="K117" s="8"/>
      <c r="L117" s="8"/>
      <c r="M117" s="12"/>
      <c r="N117" s="13" t="str">
        <f t="shared" si="3"/>
        <v xml:space="preserve"> </v>
      </c>
    </row>
    <row r="118" spans="1:15" ht="14.5">
      <c r="A118" s="6"/>
      <c r="B118" s="7" t="s">
        <v>37</v>
      </c>
      <c r="C118" s="7">
        <f>309-C116</f>
        <v>204</v>
      </c>
      <c r="D118" s="8">
        <f>IFERROR(VLOOKUP($B118,Task!$B$1:$G$61,6,0)," ")</f>
        <v>1.3888888888888889E-3</v>
      </c>
      <c r="E118" s="9">
        <f t="shared" si="0"/>
        <v>0.28333333333333333</v>
      </c>
      <c r="F118" s="10"/>
      <c r="G118" s="10"/>
      <c r="H118" s="8" t="str">
        <f t="shared" si="1"/>
        <v/>
      </c>
      <c r="I118" s="11">
        <f t="shared" si="2"/>
        <v>0.28333333333333333</v>
      </c>
      <c r="J118" s="8"/>
      <c r="K118" s="8"/>
      <c r="L118" s="8"/>
      <c r="M118" s="12"/>
      <c r="N118" s="13" t="str">
        <f t="shared" si="3"/>
        <v xml:space="preserve"> </v>
      </c>
      <c r="O118" s="4"/>
    </row>
    <row r="119" spans="1:15" ht="14.5">
      <c r="A119" s="6"/>
      <c r="B119" s="7" t="s">
        <v>86</v>
      </c>
      <c r="C119" s="7">
        <v>18</v>
      </c>
      <c r="D119" s="8">
        <f>IFERROR(VLOOKUP($B119,Task!$B$1:$G$61,6,0)," ")</f>
        <v>3.472222222222222E-3</v>
      </c>
      <c r="E119" s="9">
        <f t="shared" si="0"/>
        <v>6.25E-2</v>
      </c>
      <c r="F119" s="10"/>
      <c r="G119" s="10"/>
      <c r="H119" s="8" t="str">
        <f t="shared" si="1"/>
        <v/>
      </c>
      <c r="I119" s="11">
        <f t="shared" si="2"/>
        <v>6.25E-2</v>
      </c>
      <c r="J119" s="8"/>
      <c r="K119" s="8"/>
      <c r="L119" s="8"/>
      <c r="M119" s="12"/>
      <c r="N119" s="13" t="str">
        <f t="shared" si="3"/>
        <v xml:space="preserve"> </v>
      </c>
      <c r="O119" s="19"/>
    </row>
    <row r="120" spans="1:15" ht="14.5">
      <c r="A120" s="6"/>
      <c r="B120" s="7"/>
      <c r="C120" s="7"/>
      <c r="D120" s="8" t="str">
        <f>IFERROR(VLOOKUP($B120,Task!$B$1:$G$61,6,0)," ")</f>
        <v xml:space="preserve"> </v>
      </c>
      <c r="E120" s="9" t="str">
        <f t="shared" si="0"/>
        <v xml:space="preserve"> </v>
      </c>
      <c r="F120" s="10"/>
      <c r="G120" s="10"/>
      <c r="H120" s="8" t="str">
        <f t="shared" si="1"/>
        <v/>
      </c>
      <c r="I120" s="11" t="str">
        <f t="shared" si="2"/>
        <v/>
      </c>
      <c r="J120" s="8"/>
      <c r="K120" s="8"/>
      <c r="L120" s="8"/>
      <c r="M120" s="12"/>
      <c r="N120" s="13" t="str">
        <f t="shared" si="3"/>
        <v xml:space="preserve"> </v>
      </c>
    </row>
    <row r="121" spans="1:15" ht="14.5">
      <c r="A121" s="6"/>
      <c r="B121" s="7"/>
      <c r="C121" s="7"/>
      <c r="D121" s="8" t="str">
        <f>IFERROR(VLOOKUP($B121,Task!$B$1:$G$61,6,0)," ")</f>
        <v xml:space="preserve"> </v>
      </c>
      <c r="E121" s="9" t="str">
        <f t="shared" si="0"/>
        <v xml:space="preserve"> </v>
      </c>
      <c r="F121" s="10"/>
      <c r="G121" s="10"/>
      <c r="H121" s="8" t="str">
        <f t="shared" si="1"/>
        <v/>
      </c>
      <c r="I121" s="11" t="str">
        <f t="shared" si="2"/>
        <v/>
      </c>
      <c r="J121" s="8"/>
      <c r="K121" s="8"/>
      <c r="L121" s="8"/>
      <c r="M121" s="12"/>
      <c r="N121" s="13" t="str">
        <f t="shared" si="3"/>
        <v xml:space="preserve"> </v>
      </c>
      <c r="O121" s="19"/>
    </row>
    <row r="122" spans="1:15" ht="14.5">
      <c r="A122" s="6"/>
      <c r="B122" s="7"/>
      <c r="C122" s="7"/>
      <c r="D122" s="8" t="str">
        <f>IFERROR(VLOOKUP($B122,Task!$B$1:$G$61,6,0)," ")</f>
        <v xml:space="preserve"> </v>
      </c>
      <c r="E122" s="9" t="str">
        <f t="shared" si="0"/>
        <v xml:space="preserve"> </v>
      </c>
      <c r="F122" s="10"/>
      <c r="G122" s="10"/>
      <c r="H122" s="8" t="str">
        <f t="shared" si="1"/>
        <v/>
      </c>
      <c r="I122" s="11" t="str">
        <f t="shared" si="2"/>
        <v/>
      </c>
      <c r="J122" s="8"/>
      <c r="K122" s="8"/>
      <c r="L122" s="8"/>
      <c r="M122" s="12"/>
      <c r="N122" s="13" t="str">
        <f t="shared" si="3"/>
        <v xml:space="preserve"> </v>
      </c>
    </row>
    <row r="123" spans="1:15" ht="14.5">
      <c r="A123" s="6"/>
      <c r="B123" s="7"/>
      <c r="C123" s="7"/>
      <c r="D123" s="8" t="str">
        <f>IFERROR(VLOOKUP($B123,Task!$B$1:$G$61,6,0)," ")</f>
        <v xml:space="preserve"> </v>
      </c>
      <c r="E123" s="9" t="str">
        <f t="shared" si="0"/>
        <v xml:space="preserve"> </v>
      </c>
      <c r="F123" s="10"/>
      <c r="G123" s="10"/>
      <c r="H123" s="8" t="str">
        <f t="shared" si="1"/>
        <v/>
      </c>
      <c r="I123" s="11" t="str">
        <f t="shared" si="2"/>
        <v/>
      </c>
      <c r="J123" s="8"/>
      <c r="K123" s="8"/>
      <c r="L123" s="8"/>
      <c r="M123" s="12"/>
      <c r="N123" s="13" t="str">
        <f t="shared" si="3"/>
        <v xml:space="preserve"> </v>
      </c>
    </row>
    <row r="124" spans="1:15" ht="14.5">
      <c r="A124" s="6"/>
      <c r="B124" s="7"/>
      <c r="C124" s="7"/>
      <c r="D124" s="8" t="str">
        <f>IFERROR(VLOOKUP($B124,Task!$B$1:$G$61,6,0)," ")</f>
        <v xml:space="preserve"> </v>
      </c>
      <c r="E124" s="9" t="str">
        <f t="shared" si="0"/>
        <v xml:space="preserve"> </v>
      </c>
      <c r="F124" s="10"/>
      <c r="G124" s="10"/>
      <c r="H124" s="8" t="str">
        <f t="shared" si="1"/>
        <v/>
      </c>
      <c r="I124" s="11" t="str">
        <f t="shared" si="2"/>
        <v/>
      </c>
      <c r="J124" s="8"/>
      <c r="K124" s="8"/>
      <c r="L124" s="8"/>
      <c r="M124" s="12"/>
      <c r="N124" s="13" t="str">
        <f t="shared" si="3"/>
        <v xml:space="preserve"> </v>
      </c>
      <c r="O124" s="19"/>
    </row>
    <row r="125" spans="1:15" ht="14.5">
      <c r="A125" s="6"/>
      <c r="B125" s="7"/>
      <c r="C125" s="7"/>
      <c r="D125" s="8" t="str">
        <f>IFERROR(VLOOKUP($B125,Task!$B$1:$G$61,6,0)," ")</f>
        <v xml:space="preserve"> </v>
      </c>
      <c r="E125" s="9" t="str">
        <f t="shared" si="0"/>
        <v xml:space="preserve"> </v>
      </c>
      <c r="F125" s="10"/>
      <c r="G125" s="10"/>
      <c r="H125" s="8" t="str">
        <f t="shared" si="1"/>
        <v/>
      </c>
      <c r="I125" s="11" t="str">
        <f t="shared" si="2"/>
        <v/>
      </c>
      <c r="J125" s="8"/>
      <c r="K125" s="8"/>
      <c r="L125" s="8"/>
      <c r="M125" s="12"/>
      <c r="N125" s="13" t="str">
        <f t="shared" si="3"/>
        <v xml:space="preserve"> </v>
      </c>
    </row>
    <row r="126" spans="1:15" ht="14.5">
      <c r="A126" s="6"/>
      <c r="B126" s="7"/>
      <c r="C126" s="7"/>
      <c r="D126" s="8" t="str">
        <f>IFERROR(VLOOKUP($B126,Task!$B$1:$G$61,6,0)," ")</f>
        <v xml:space="preserve"> </v>
      </c>
      <c r="E126" s="9" t="str">
        <f t="shared" si="0"/>
        <v xml:space="preserve"> </v>
      </c>
      <c r="F126" s="10"/>
      <c r="G126" s="10"/>
      <c r="H126" s="8" t="str">
        <f t="shared" si="1"/>
        <v/>
      </c>
      <c r="I126" s="11" t="str">
        <f t="shared" si="2"/>
        <v/>
      </c>
      <c r="J126" s="8"/>
      <c r="K126" s="8"/>
      <c r="L126" s="8"/>
      <c r="M126" s="12"/>
      <c r="N126" s="13" t="str">
        <f t="shared" si="3"/>
        <v xml:space="preserve"> </v>
      </c>
      <c r="O126" s="19"/>
    </row>
    <row r="127" spans="1:15" ht="14.5">
      <c r="A127" s="6"/>
      <c r="B127" s="7"/>
      <c r="C127" s="7"/>
      <c r="D127" s="8" t="str">
        <f>IFERROR(VLOOKUP($B127,Task!$B$1:$G$61,6,0)," ")</f>
        <v xml:space="preserve"> </v>
      </c>
      <c r="E127" s="9" t="str">
        <f t="shared" si="0"/>
        <v xml:space="preserve"> </v>
      </c>
      <c r="F127" s="10"/>
      <c r="G127" s="10"/>
      <c r="H127" s="8" t="str">
        <f t="shared" si="1"/>
        <v/>
      </c>
      <c r="I127" s="11" t="str">
        <f t="shared" si="2"/>
        <v/>
      </c>
      <c r="J127" s="8"/>
      <c r="K127" s="8"/>
      <c r="L127" s="8"/>
      <c r="M127" s="12"/>
      <c r="N127" s="13" t="str">
        <f t="shared" si="3"/>
        <v xml:space="preserve"> </v>
      </c>
    </row>
    <row r="128" spans="1:15" ht="14.5">
      <c r="A128" s="6"/>
      <c r="B128" s="7"/>
      <c r="C128" s="7"/>
      <c r="D128" s="8" t="str">
        <f>IFERROR(VLOOKUP($B128,Task!$B$1:$G$61,6,0)," ")</f>
        <v xml:space="preserve"> </v>
      </c>
      <c r="E128" s="9" t="str">
        <f t="shared" si="0"/>
        <v xml:space="preserve"> </v>
      </c>
      <c r="F128" s="10"/>
      <c r="G128" s="10"/>
      <c r="H128" s="8" t="str">
        <f t="shared" si="1"/>
        <v/>
      </c>
      <c r="I128" s="11" t="str">
        <f t="shared" si="2"/>
        <v/>
      </c>
      <c r="J128" s="8"/>
      <c r="K128" s="8"/>
      <c r="L128" s="8"/>
      <c r="M128" s="12"/>
      <c r="N128" s="13" t="str">
        <f t="shared" si="3"/>
        <v xml:space="preserve"> </v>
      </c>
      <c r="O128" s="4"/>
    </row>
    <row r="129" spans="1:15" ht="14.5">
      <c r="A129" s="6"/>
      <c r="B129" s="7"/>
      <c r="C129" s="7"/>
      <c r="D129" s="8" t="str">
        <f>IFERROR(VLOOKUP($B129,Task!$B$1:$G$61,6,0)," ")</f>
        <v xml:space="preserve"> </v>
      </c>
      <c r="E129" s="9" t="str">
        <f t="shared" si="0"/>
        <v xml:space="preserve"> </v>
      </c>
      <c r="F129" s="10"/>
      <c r="G129" s="10"/>
      <c r="H129" s="8" t="str">
        <f t="shared" si="1"/>
        <v/>
      </c>
      <c r="I129" s="11" t="str">
        <f t="shared" si="2"/>
        <v/>
      </c>
      <c r="J129" s="8"/>
      <c r="K129" s="8"/>
      <c r="L129" s="8"/>
      <c r="M129" s="12"/>
      <c r="N129" s="13" t="str">
        <f t="shared" si="3"/>
        <v xml:space="preserve"> </v>
      </c>
    </row>
    <row r="130" spans="1:15" ht="14.5">
      <c r="A130" s="6"/>
      <c r="B130" s="7"/>
      <c r="C130" s="7"/>
      <c r="D130" s="8" t="str">
        <f>IFERROR(VLOOKUP($B130,Task!$B$1:$G$61,6,0)," ")</f>
        <v xml:space="preserve"> </v>
      </c>
      <c r="E130" s="9" t="str">
        <f t="shared" si="0"/>
        <v xml:space="preserve"> </v>
      </c>
      <c r="F130" s="10"/>
      <c r="G130" s="10"/>
      <c r="H130" s="8" t="str">
        <f t="shared" si="1"/>
        <v/>
      </c>
      <c r="I130" s="11" t="str">
        <f t="shared" si="2"/>
        <v/>
      </c>
      <c r="J130" s="8"/>
      <c r="K130" s="8"/>
      <c r="L130" s="8"/>
      <c r="M130" s="12"/>
      <c r="N130" s="13" t="str">
        <f t="shared" si="3"/>
        <v xml:space="preserve"> </v>
      </c>
      <c r="O130" s="19" t="e">
        <f ca="1">AVERAGEIF(A:A,TODAY(),N:N)</f>
        <v>#DIV/0!</v>
      </c>
    </row>
    <row r="131" spans="1:15" ht="14.5">
      <c r="A131" s="6"/>
      <c r="B131" s="7"/>
      <c r="C131" s="7"/>
      <c r="D131" s="8" t="str">
        <f>IFERROR(VLOOKUP($B131,Task!$B$1:$G$61,6,0)," ")</f>
        <v xml:space="preserve"> </v>
      </c>
      <c r="E131" s="9" t="str">
        <f t="shared" si="0"/>
        <v xml:space="preserve"> </v>
      </c>
      <c r="F131" s="10"/>
      <c r="G131" s="10"/>
      <c r="H131" s="8" t="str">
        <f t="shared" si="1"/>
        <v/>
      </c>
      <c r="I131" s="11" t="str">
        <f t="shared" si="2"/>
        <v/>
      </c>
      <c r="J131" s="8"/>
      <c r="K131" s="8"/>
      <c r="L131" s="8"/>
      <c r="M131" s="12"/>
      <c r="N131" s="13" t="str">
        <f t="shared" si="3"/>
        <v xml:space="preserve"> </v>
      </c>
    </row>
    <row r="132" spans="1:15" ht="14.5">
      <c r="A132" s="6"/>
      <c r="B132" s="7"/>
      <c r="C132" s="7"/>
      <c r="D132" s="8" t="str">
        <f>IFERROR(VLOOKUP($B132,Task!$B$1:$G$61,6,0)," ")</f>
        <v xml:space="preserve"> </v>
      </c>
      <c r="E132" s="9" t="str">
        <f t="shared" si="0"/>
        <v xml:space="preserve"> </v>
      </c>
      <c r="F132" s="10"/>
      <c r="G132" s="10"/>
      <c r="H132" s="8" t="str">
        <f t="shared" si="1"/>
        <v/>
      </c>
      <c r="I132" s="11" t="str">
        <f t="shared" si="2"/>
        <v/>
      </c>
      <c r="J132" s="8"/>
      <c r="K132" s="8"/>
      <c r="L132" s="8"/>
      <c r="M132" s="12"/>
      <c r="N132" s="13" t="str">
        <f t="shared" si="3"/>
        <v xml:space="preserve"> </v>
      </c>
      <c r="O132" s="4"/>
    </row>
    <row r="133" spans="1:15" ht="14.5">
      <c r="A133" s="6"/>
      <c r="B133" s="7"/>
      <c r="C133" s="7"/>
      <c r="D133" s="8" t="str">
        <f>IFERROR(VLOOKUP($B133,Task!$B$1:$G$61,6,0)," ")</f>
        <v xml:space="preserve"> </v>
      </c>
      <c r="E133" s="9" t="str">
        <f t="shared" si="0"/>
        <v xml:space="preserve"> </v>
      </c>
      <c r="F133" s="10"/>
      <c r="G133" s="10"/>
      <c r="H133" s="8" t="str">
        <f t="shared" si="1"/>
        <v/>
      </c>
      <c r="I133" s="11" t="str">
        <f t="shared" si="2"/>
        <v/>
      </c>
      <c r="J133" s="8"/>
      <c r="K133" s="8"/>
      <c r="L133" s="8" t="str">
        <f>IF(OR(J133=0,K133=0)," ",K133-J133)</f>
        <v xml:space="preserve"> </v>
      </c>
      <c r="M133" s="12"/>
      <c r="N133" s="13" t="str">
        <f t="shared" si="3"/>
        <v xml:space="preserve"> </v>
      </c>
    </row>
    <row r="134" spans="1:15" ht="14.5">
      <c r="A134" s="6"/>
      <c r="B134" s="7"/>
      <c r="C134" s="7"/>
      <c r="D134" s="8" t="str">
        <f>IFERROR(VLOOKUP($B134,Task!$B$1:$G$61,6,0)," ")</f>
        <v xml:space="preserve"> </v>
      </c>
      <c r="E134" s="9" t="str">
        <f t="shared" si="0"/>
        <v xml:space="preserve"> </v>
      </c>
      <c r="F134" s="10"/>
      <c r="G134" s="10"/>
      <c r="H134" s="8" t="str">
        <f t="shared" si="1"/>
        <v/>
      </c>
      <c r="I134" s="11" t="str">
        <f t="shared" si="2"/>
        <v/>
      </c>
      <c r="J134" s="8"/>
      <c r="K134" s="8"/>
      <c r="L134" s="8"/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tr">
        <f>IFERROR(VLOOKUP($B135,Task!$B$1:$G$61,6,0)," ")</f>
        <v xml:space="preserve"> </v>
      </c>
      <c r="E135" s="9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 t="str">
        <f t="shared" ref="L135:L206" si="29">IF(OR(J135=0,K135=0)," ",K135-J135)</f>
        <v xml:space="preserve"> </v>
      </c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tr">
        <f>IFERROR(VLOOKUP($B136,Task!$B$1:$G$61,6,0)," ")</f>
        <v xml:space="preserve"> </v>
      </c>
      <c r="E136" s="9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 t="str">
        <f t="shared" si="29"/>
        <v xml:space="preserve"> </v>
      </c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tr">
        <f>IFERROR(VLOOKUP($B137,Task!$B$1:$G$61,6,0)," ")</f>
        <v xml:space="preserve"> </v>
      </c>
      <c r="E137" s="9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 t="str">
        <f t="shared" si="29"/>
        <v xml:space="preserve"> </v>
      </c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tr">
        <f>IFERROR(VLOOKUP($B138,Task!$B$1:$G$61,6,0)," ")</f>
        <v xml:space="preserve"> </v>
      </c>
      <c r="E138" s="9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 t="str">
        <f t="shared" si="29"/>
        <v xml:space="preserve"> </v>
      </c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tr">
        <f>IFERROR(VLOOKUP($B139,Task!$B$1:$G$61,6,0)," ")</f>
        <v xml:space="preserve"> </v>
      </c>
      <c r="E139" s="9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 t="str">
        <f t="shared" si="29"/>
        <v xml:space="preserve"> </v>
      </c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tr">
        <f>IFERROR(VLOOKUP($B140,Task!$B$1:$G$61,6,0)," ")</f>
        <v xml:space="preserve"> </v>
      </c>
      <c r="E140" s="9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 t="str">
        <f t="shared" si="29"/>
        <v xml:space="preserve"> </v>
      </c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tr">
        <f>IFERROR(VLOOKUP($B141,Task!$B$1:$G$61,6,0)," ")</f>
        <v xml:space="preserve"> </v>
      </c>
      <c r="E141" s="9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 t="str">
        <f t="shared" si="29"/>
        <v xml:space="preserve"> </v>
      </c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tr">
        <f>IFERROR(VLOOKUP($B142,Task!$B$1:$G$61,6,0)," ")</f>
        <v xml:space="preserve"> </v>
      </c>
      <c r="E142" s="9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 t="str">
        <f t="shared" si="29"/>
        <v xml:space="preserve"> </v>
      </c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tr">
        <f>IFERROR(VLOOKUP($B143,Task!$B$1:$G$61,6,0)," ")</f>
        <v xml:space="preserve"> </v>
      </c>
      <c r="E143" s="9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 t="str">
        <f t="shared" si="29"/>
        <v xml:space="preserve"> </v>
      </c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tr">
        <f>IFERROR(VLOOKUP($B144,Task!$B$1:$G$61,6,0)," ")</f>
        <v xml:space="preserve"> </v>
      </c>
      <c r="E144" s="9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 t="str">
        <f t="shared" si="29"/>
        <v xml:space="preserve"> </v>
      </c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tr">
        <f>IFERROR(VLOOKUP($B145,Task!$B$1:$G$61,6,0)," ")</f>
        <v xml:space="preserve"> </v>
      </c>
      <c r="E145" s="9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 t="str">
        <f t="shared" si="29"/>
        <v xml:space="preserve"> </v>
      </c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tr">
        <f>IFERROR(VLOOKUP($B146,Task!$B$1:$G$61,6,0)," ")</f>
        <v xml:space="preserve"> </v>
      </c>
      <c r="E146" s="9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 t="str">
        <f t="shared" si="29"/>
        <v xml:space="preserve"> </v>
      </c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tr">
        <f>IFERROR(VLOOKUP($B147,Task!$B$1:$G$61,6,0)," ")</f>
        <v xml:space="preserve"> </v>
      </c>
      <c r="E147" s="9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 t="str">
        <f t="shared" si="29"/>
        <v xml:space="preserve"> </v>
      </c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tr">
        <f>IFERROR(VLOOKUP($B148,Task!$B$1:$G$61,6,0)," ")</f>
        <v xml:space="preserve"> </v>
      </c>
      <c r="E148" s="9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 t="str">
        <f t="shared" si="29"/>
        <v xml:space="preserve"> </v>
      </c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tr">
        <f>IFERROR(VLOOKUP($B149,Task!$B$1:$G$61,6,0)," ")</f>
        <v xml:space="preserve"> </v>
      </c>
      <c r="E149" s="9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 t="str">
        <f t="shared" si="29"/>
        <v xml:space="preserve"> </v>
      </c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tr">
        <f>IFERROR(VLOOKUP($B150,Task!$B$1:$G$61,6,0)," ")</f>
        <v xml:space="preserve"> </v>
      </c>
      <c r="E150" s="9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 t="str">
        <f t="shared" si="29"/>
        <v xml:space="preserve"> </v>
      </c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tr">
        <f>IFERROR(VLOOKUP($B151,Task!$B$1:$G$61,6,0)," ")</f>
        <v xml:space="preserve"> </v>
      </c>
      <c r="E151" s="9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 t="str">
        <f t="shared" si="29"/>
        <v xml:space="preserve"> </v>
      </c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tr">
        <f>IFERROR(VLOOKUP($B152,Task!$B$1:$G$61,6,0)," ")</f>
        <v xml:space="preserve"> </v>
      </c>
      <c r="E152" s="9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 t="str">
        <f t="shared" si="29"/>
        <v xml:space="preserve"> </v>
      </c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tr">
        <f>IFERROR(VLOOKUP($B153,Task!$B$1:$G$61,6,0)," ")</f>
        <v xml:space="preserve"> </v>
      </c>
      <c r="E153" s="9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 t="str">
        <f t="shared" si="29"/>
        <v xml:space="preserve"> </v>
      </c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tr">
        <f>IFERROR(VLOOKUP($B154,Task!$B$1:$G$61,6,0)," ")</f>
        <v xml:space="preserve"> </v>
      </c>
      <c r="E154" s="9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 t="str">
        <f t="shared" si="29"/>
        <v xml:space="preserve"> </v>
      </c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tr">
        <f>IFERROR(VLOOKUP($B155,Task!$B$1:$G$61,6,0)," ")</f>
        <v xml:space="preserve"> </v>
      </c>
      <c r="E155" s="9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 t="str">
        <f t="shared" si="29"/>
        <v xml:space="preserve"> </v>
      </c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tr">
        <f>IFERROR(VLOOKUP($B156,Task!$B$1:$G$61,6,0)," ")</f>
        <v xml:space="preserve"> </v>
      </c>
      <c r="E156" s="9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 t="str">
        <f t="shared" si="29"/>
        <v xml:space="preserve"> </v>
      </c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tr">
        <f>IFERROR(VLOOKUP($B157,Task!$B$1:$G$61,6,0)," ")</f>
        <v xml:space="preserve"> </v>
      </c>
      <c r="E157" s="9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 t="str">
        <f t="shared" si="29"/>
        <v xml:space="preserve"> </v>
      </c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tr">
        <f>IFERROR(VLOOKUP($B158,Task!$B$1:$G$61,6,0)," ")</f>
        <v xml:space="preserve"> </v>
      </c>
      <c r="E158" s="9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 t="str">
        <f t="shared" si="29"/>
        <v xml:space="preserve"> </v>
      </c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tr">
        <f>IFERROR(VLOOKUP($B159,Task!$B$1:$G$61,6,0)," ")</f>
        <v xml:space="preserve"> </v>
      </c>
      <c r="E159" s="9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 t="str">
        <f t="shared" si="29"/>
        <v xml:space="preserve"> </v>
      </c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tr">
        <f>IFERROR(VLOOKUP($B160,Task!$B$1:$G$61,6,0)," ")</f>
        <v xml:space="preserve"> </v>
      </c>
      <c r="E160" s="9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 t="str">
        <f t="shared" si="29"/>
        <v xml:space="preserve"> </v>
      </c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tr">
        <f>IFERROR(VLOOKUP($B161,Task!$B$1:$G$61,6,0)," ")</f>
        <v xml:space="preserve"> </v>
      </c>
      <c r="E161" s="9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 t="str">
        <f t="shared" si="29"/>
        <v xml:space="preserve"> </v>
      </c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tr">
        <f>IFERROR(VLOOKUP($B162,Task!$B$1:$G$61,6,0)," ")</f>
        <v xml:space="preserve"> </v>
      </c>
      <c r="E162" s="9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 t="str">
        <f t="shared" si="29"/>
        <v xml:space="preserve"> </v>
      </c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tr">
        <f>IFERROR(VLOOKUP($B163,Task!$B$1:$G$61,6,0)," ")</f>
        <v xml:space="preserve"> </v>
      </c>
      <c r="E163" s="9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 t="str">
        <f t="shared" si="29"/>
        <v xml:space="preserve"> </v>
      </c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tr">
        <f>IFERROR(VLOOKUP($B164,Task!$B$1:$G$61,6,0)," ")</f>
        <v xml:space="preserve"> </v>
      </c>
      <c r="E164" s="9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 t="str">
        <f t="shared" si="29"/>
        <v xml:space="preserve"> </v>
      </c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tr">
        <f>IFERROR(VLOOKUP($B165,Task!$B$1:$G$61,6,0)," ")</f>
        <v xml:space="preserve"> </v>
      </c>
      <c r="E165" s="9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 t="str">
        <f t="shared" si="29"/>
        <v xml:space="preserve"> </v>
      </c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tr">
        <f>IFERROR(VLOOKUP($B166,Task!$B$1:$G$61,6,0)," ")</f>
        <v xml:space="preserve"> </v>
      </c>
      <c r="E166" s="9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 t="str">
        <f t="shared" si="29"/>
        <v xml:space="preserve"> </v>
      </c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tr">
        <f>IFERROR(VLOOKUP($B167,Task!$B$1:$G$61,6,0)," ")</f>
        <v xml:space="preserve"> </v>
      </c>
      <c r="E167" s="9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 t="str">
        <f t="shared" si="29"/>
        <v xml:space="preserve"> </v>
      </c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tr">
        <f>IFERROR(VLOOKUP($B168,Task!$B$1:$G$61,6,0)," ")</f>
        <v xml:space="preserve"> </v>
      </c>
      <c r="E168" s="9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 t="str">
        <f t="shared" si="29"/>
        <v xml:space="preserve"> </v>
      </c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tr">
        <f>IFERROR(VLOOKUP($B169,Task!$B$1:$G$61,6,0)," ")</f>
        <v xml:space="preserve"> </v>
      </c>
      <c r="E169" s="9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 t="str">
        <f t="shared" si="29"/>
        <v xml:space="preserve"> </v>
      </c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tr">
        <f>IFERROR(VLOOKUP($B170,Task!$B$1:$G$61,6,0)," ")</f>
        <v xml:space="preserve"> </v>
      </c>
      <c r="E170" s="9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 t="str">
        <f t="shared" si="29"/>
        <v xml:space="preserve"> </v>
      </c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tr">
        <f>IFERROR(VLOOKUP($B171,Task!$B$1:$G$61,6,0)," ")</f>
        <v xml:space="preserve"> </v>
      </c>
      <c r="E171" s="9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 t="str">
        <f t="shared" si="29"/>
        <v xml:space="preserve"> </v>
      </c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tr">
        <f>IFERROR(VLOOKUP($B172,Task!$B$1:$G$61,6,0)," ")</f>
        <v xml:space="preserve"> </v>
      </c>
      <c r="E172" s="9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 t="str">
        <f t="shared" si="29"/>
        <v xml:space="preserve"> </v>
      </c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tr">
        <f>IFERROR(VLOOKUP($B173,Task!$B$1:$G$61,6,0)," ")</f>
        <v xml:space="preserve"> </v>
      </c>
      <c r="E173" s="9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 t="str">
        <f t="shared" si="29"/>
        <v xml:space="preserve"> </v>
      </c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tr">
        <f>IFERROR(VLOOKUP($B174,Task!$B$1:$G$61,6,0)," ")</f>
        <v xml:space="preserve"> </v>
      </c>
      <c r="E174" s="9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 t="str">
        <f t="shared" si="29"/>
        <v xml:space="preserve"> </v>
      </c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tr">
        <f>IFERROR(VLOOKUP($B175,Task!$B$1:$G$61,6,0)," ")</f>
        <v xml:space="preserve"> </v>
      </c>
      <c r="E175" s="9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 t="str">
        <f t="shared" si="29"/>
        <v xml:space="preserve"> </v>
      </c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tr">
        <f>IFERROR(VLOOKUP($B176,Task!$B$1:$G$61,6,0)," ")</f>
        <v xml:space="preserve"> </v>
      </c>
      <c r="E176" s="9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 t="str">
        <f t="shared" si="29"/>
        <v xml:space="preserve"> </v>
      </c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tr">
        <f>IFERROR(VLOOKUP($B177,Task!$B$1:$G$61,6,0)," ")</f>
        <v xml:space="preserve"> </v>
      </c>
      <c r="E177" s="9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 t="str">
        <f t="shared" si="29"/>
        <v xml:space="preserve"> </v>
      </c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tr">
        <f>IFERROR(VLOOKUP($B178,Task!$B$1:$G$61,6,0)," ")</f>
        <v xml:space="preserve"> </v>
      </c>
      <c r="E178" s="9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 t="str">
        <f t="shared" si="29"/>
        <v xml:space="preserve"> </v>
      </c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tr">
        <f>IFERROR(VLOOKUP($B179,Task!$B$1:$G$61,6,0)," ")</f>
        <v xml:space="preserve"> </v>
      </c>
      <c r="E179" s="9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 t="str">
        <f t="shared" si="29"/>
        <v xml:space="preserve"> </v>
      </c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tr">
        <f>IFERROR(VLOOKUP($B180,Task!$B$1:$G$61,6,0)," ")</f>
        <v xml:space="preserve"> </v>
      </c>
      <c r="E180" s="9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 t="str">
        <f t="shared" si="29"/>
        <v xml:space="preserve"> </v>
      </c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tr">
        <f>IFERROR(VLOOKUP($B181,Task!$B$1:$G$61,6,0)," ")</f>
        <v xml:space="preserve"> </v>
      </c>
      <c r="E181" s="9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 t="str">
        <f t="shared" si="29"/>
        <v xml:space="preserve"> </v>
      </c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tr">
        <f>IFERROR(VLOOKUP($B182,Task!$B$1:$G$61,6,0)," ")</f>
        <v xml:space="preserve"> </v>
      </c>
      <c r="E182" s="9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 t="str">
        <f t="shared" si="29"/>
        <v xml:space="preserve"> </v>
      </c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tr">
        <f>IFERROR(VLOOKUP($B183,Task!$B$1:$G$61,6,0)," ")</f>
        <v xml:space="preserve"> </v>
      </c>
      <c r="E183" s="9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 t="str">
        <f t="shared" si="29"/>
        <v xml:space="preserve"> </v>
      </c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tr">
        <f>IFERROR(VLOOKUP($B184,Task!$B$1:$G$61,6,0)," ")</f>
        <v xml:space="preserve"> </v>
      </c>
      <c r="E184" s="9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 t="str">
        <f t="shared" si="29"/>
        <v xml:space="preserve"> </v>
      </c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tr">
        <f>IFERROR(VLOOKUP($B185,Task!$B$1:$G$61,6,0)," ")</f>
        <v xml:space="preserve"> </v>
      </c>
      <c r="E185" s="9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 t="str">
        <f t="shared" si="29"/>
        <v xml:space="preserve"> </v>
      </c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tr">
        <f>IFERROR(VLOOKUP($B186,Task!$B$1:$G$61,6,0)," ")</f>
        <v xml:space="preserve"> </v>
      </c>
      <c r="E186" s="9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 t="str">
        <f t="shared" si="29"/>
        <v xml:space="preserve"> </v>
      </c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tr">
        <f>IFERROR(VLOOKUP($B187,Task!$B$1:$G$61,6,0)," ")</f>
        <v xml:space="preserve"> </v>
      </c>
      <c r="E187" s="9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 t="str">
        <f t="shared" si="29"/>
        <v xml:space="preserve"> </v>
      </c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tr">
        <f>IFERROR(VLOOKUP($B188,Task!$B$1:$G$61,6,0)," ")</f>
        <v xml:space="preserve"> </v>
      </c>
      <c r="E188" s="9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 t="str">
        <f t="shared" si="29"/>
        <v xml:space="preserve"> </v>
      </c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tr">
        <f>IFERROR(VLOOKUP($B189,Task!$B$1:$G$61,6,0)," ")</f>
        <v xml:space="preserve"> </v>
      </c>
      <c r="E189" s="9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 t="str">
        <f t="shared" si="29"/>
        <v xml:space="preserve"> </v>
      </c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tr">
        <f>IFERROR(VLOOKUP($B190,Task!$B$1:$G$61,6,0)," ")</f>
        <v xml:space="preserve"> </v>
      </c>
      <c r="E190" s="9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 t="str">
        <f t="shared" si="29"/>
        <v xml:space="preserve"> </v>
      </c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tr">
        <f>IFERROR(VLOOKUP($B191,Task!$B$1:$G$61,6,0)," ")</f>
        <v xml:space="preserve"> </v>
      </c>
      <c r="E191" s="9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 t="str">
        <f t="shared" si="29"/>
        <v xml:space="preserve"> </v>
      </c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tr">
        <f>IFERROR(VLOOKUP($B192,Task!$B$1:$G$61,6,0)," ")</f>
        <v xml:space="preserve"> </v>
      </c>
      <c r="E192" s="9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 t="str">
        <f t="shared" si="29"/>
        <v xml:space="preserve"> </v>
      </c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tr">
        <f>IFERROR(VLOOKUP($B193,Task!$B$1:$G$61,6,0)," ")</f>
        <v xml:space="preserve"> </v>
      </c>
      <c r="E193" s="9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 t="str">
        <f t="shared" si="29"/>
        <v xml:space="preserve"> </v>
      </c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tr">
        <f>IFERROR(VLOOKUP($B194,Task!$B$1:$G$61,6,0)," ")</f>
        <v xml:space="preserve"> </v>
      </c>
      <c r="E194" s="9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 t="str">
        <f t="shared" si="29"/>
        <v xml:space="preserve"> </v>
      </c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tr">
        <f>IFERROR(VLOOKUP($B195,Task!$B$1:$G$61,6,0)," ")</f>
        <v xml:space="preserve"> </v>
      </c>
      <c r="E195" s="9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 t="str">
        <f t="shared" si="29"/>
        <v xml:space="preserve"> </v>
      </c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tr">
        <f>IFERROR(VLOOKUP($B196,Task!$B$1:$G$61,6,0)," ")</f>
        <v xml:space="preserve"> </v>
      </c>
      <c r="E196" s="9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 t="str">
        <f t="shared" si="29"/>
        <v xml:space="preserve"> </v>
      </c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tr">
        <f>IFERROR(VLOOKUP($B197,Task!$B$1:$G$61,6,0)," ")</f>
        <v xml:space="preserve"> </v>
      </c>
      <c r="E197" s="9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 t="str">
        <f t="shared" si="29"/>
        <v xml:space="preserve"> </v>
      </c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tr">
        <f>IFERROR(VLOOKUP($B198,Task!$B$1:$G$61,6,0)," ")</f>
        <v xml:space="preserve"> </v>
      </c>
      <c r="E198" s="9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 t="str">
        <f t="shared" si="29"/>
        <v xml:space="preserve"> </v>
      </c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tr">
        <f>IFERROR(VLOOKUP($B199,Task!$B$1:$G$61,6,0)," ")</f>
        <v xml:space="preserve"> </v>
      </c>
      <c r="E199" s="9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 t="str">
        <f t="shared" si="29"/>
        <v xml:space="preserve"> </v>
      </c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tr">
        <f>IFERROR(VLOOKUP($B200,Task!$B$1:$G$61,6,0)," ")</f>
        <v xml:space="preserve"> </v>
      </c>
      <c r="E200" s="9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 t="str">
        <f t="shared" si="29"/>
        <v xml:space="preserve"> </v>
      </c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tr">
        <f>IFERROR(VLOOKUP($B201,Task!$B$1:$G$61,6,0)," ")</f>
        <v xml:space="preserve"> </v>
      </c>
      <c r="E201" s="9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 t="str">
        <f t="shared" si="29"/>
        <v xml:space="preserve"> </v>
      </c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tr">
        <f>IFERROR(VLOOKUP($B202,Task!$B$1:$G$61,6,0)," ")</f>
        <v xml:space="preserve"> </v>
      </c>
      <c r="E202" s="9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 t="str">
        <f t="shared" si="29"/>
        <v xml:space="preserve"> </v>
      </c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tr">
        <f>IFERROR(VLOOKUP($B203,Task!$B$1:$G$61,6,0)," ")</f>
        <v xml:space="preserve"> </v>
      </c>
      <c r="E203" s="9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 t="str">
        <f t="shared" si="29"/>
        <v xml:space="preserve"> </v>
      </c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tr">
        <f>IFERROR(VLOOKUP($B204,Task!$B$1:$G$61,6,0)," ")</f>
        <v xml:space="preserve"> </v>
      </c>
      <c r="E204" s="9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 t="str">
        <f t="shared" si="29"/>
        <v xml:space="preserve"> </v>
      </c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tr">
        <f>IFERROR(VLOOKUP($B205,Task!$B$1:$G$61,6,0)," ")</f>
        <v xml:space="preserve"> </v>
      </c>
      <c r="E205" s="9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 t="str">
        <f t="shared" si="29"/>
        <v xml:space="preserve"> </v>
      </c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tr">
        <f>IFERROR(VLOOKUP($B206,Task!$B$1:$G$61,6,0)," ")</f>
        <v xml:space="preserve"> </v>
      </c>
      <c r="E206" s="9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 t="str">
        <f t="shared" si="29"/>
        <v xml:space="preserve"> </v>
      </c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119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Task!$B$2:$B$60</xm:f>
          </x14:formula1>
          <xm:sqref>B2:B206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993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9.90625" customWidth="1"/>
    <col min="2" max="2" width="39.90625" customWidth="1"/>
    <col min="3" max="3" width="6.453125" customWidth="1"/>
    <col min="4" max="5" width="7" customWidth="1"/>
    <col min="6" max="6" width="8.90625" customWidth="1"/>
    <col min="7" max="7" width="8" customWidth="1"/>
    <col min="8" max="8" width="14.72656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8" width="8.08984375" customWidth="1"/>
    <col min="19" max="19" width="8.90625" customWidth="1"/>
    <col min="20" max="20" width="11" customWidth="1"/>
    <col min="21" max="21" width="7.453125" customWidth="1"/>
    <col min="23" max="23" width="13.6328125" customWidth="1"/>
  </cols>
  <sheetData>
    <row r="1" spans="1:2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0.22916666666666666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45566</v>
      </c>
      <c r="B2" s="7" t="s">
        <v>90</v>
      </c>
      <c r="C2" s="7">
        <v>1</v>
      </c>
      <c r="D2" s="8">
        <v>7.2916666666666671E-2</v>
      </c>
      <c r="E2" s="8">
        <f t="shared" ref="E2:E206" si="0">IFERROR(D2*C2," ")</f>
        <v>7.2916666666666671E-2</v>
      </c>
      <c r="F2" s="10">
        <v>0.3299305555555555</v>
      </c>
      <c r="G2" s="10">
        <v>0.41143518518518518</v>
      </c>
      <c r="H2" s="8">
        <f t="shared" ref="H2:H206" si="1">IF(G2="","", IF(L2=" ",IF(OR(F2=0,G2=0)," ",G2-F2),((G2-F2)-L2)))</f>
        <v>6.6840277777777818E-2</v>
      </c>
      <c r="I2" s="11">
        <f t="shared" ref="I2:I206" si="2">IFERROR(IF(L2=" ",(F2+E2),(F2+E2+L2)),"")</f>
        <v>0.41751157407407402</v>
      </c>
      <c r="J2" s="8"/>
      <c r="K2" s="8"/>
      <c r="L2" s="8">
        <v>1.4664351851851852E-2</v>
      </c>
      <c r="M2" s="18"/>
      <c r="N2" s="13">
        <f t="shared" ref="N2:N206" si="3">IFERROR(E2/H2," ")</f>
        <v>1.0909090909090904</v>
      </c>
      <c r="O2" s="8">
        <v>0.56285879629629632</v>
      </c>
      <c r="P2" s="14">
        <f ca="1">IFERROR(__xludf.DUMMYFUNCTION("UNIQUE($A$2:$A$993)"),45566)</f>
        <v>45566</v>
      </c>
      <c r="Q2" s="15">
        <f ca="1">SUMIF($A:$A,$P2,$E:$E)</f>
        <v>0.34097222222222223</v>
      </c>
      <c r="R2" s="15">
        <f ca="1">SUMIF($A:$A,$P2,$H:$H)</f>
        <v>0.31968750000000001</v>
      </c>
      <c r="S2" s="15">
        <f t="shared" ref="S2:S18" ca="1" si="4">IF(OR(R2="",R2&gt;=$U$1)," ",$U$1-R2)</f>
        <v>1.3645833333333302E-2</v>
      </c>
      <c r="T2" s="16">
        <f t="shared" ref="T2:T23" ca="1" si="5">IFERROR(AVERAGEIF($A:$A,$P2,$N:$N)," ")</f>
        <v>1.0685573742168093</v>
      </c>
      <c r="U2" s="33"/>
    </row>
    <row r="3" spans="1:21" ht="15.75" customHeight="1">
      <c r="A3" s="6">
        <v>45566</v>
      </c>
      <c r="B3" s="7" t="s">
        <v>86</v>
      </c>
      <c r="C3" s="7">
        <v>45</v>
      </c>
      <c r="D3" s="8">
        <v>1.3888888888888889E-3</v>
      </c>
      <c r="E3" s="8">
        <f t="shared" si="0"/>
        <v>6.25E-2</v>
      </c>
      <c r="F3" s="10">
        <f t="shared" ref="F3:F5" si="6">G2</f>
        <v>0.41143518518518518</v>
      </c>
      <c r="G3" s="10">
        <v>0.49703703703703705</v>
      </c>
      <c r="H3" s="8">
        <f t="shared" si="1"/>
        <v>5.9895833333333356E-2</v>
      </c>
      <c r="I3" s="11">
        <f t="shared" si="2"/>
        <v>0.49964120370370368</v>
      </c>
      <c r="J3" s="8"/>
      <c r="K3" s="8"/>
      <c r="L3" s="8">
        <v>2.5706018518518517E-2</v>
      </c>
      <c r="M3" s="37" t="s">
        <v>94</v>
      </c>
      <c r="N3" s="13">
        <f t="shared" si="3"/>
        <v>1.0434782608695647</v>
      </c>
      <c r="O3" s="8">
        <f>O2-O1</f>
        <v>0.33369212962962969</v>
      </c>
      <c r="P3" s="14">
        <f ca="1">IFERROR(__xludf.DUMMYFUNCTION("""COMPUTED_VALUE"""),45567)</f>
        <v>45567</v>
      </c>
      <c r="Q3" s="15">
        <f t="shared" ref="Q3:Q23" ca="1" si="7">IF(SUMIF($A:$A,$P3,$E:$E)=0,"",SUMIF($A:$A,$P3,$E:$E))</f>
        <v>0.3534722222222223</v>
      </c>
      <c r="R3" s="15">
        <f t="shared" ref="R3:R23" ca="1" si="8">IF(SUMIF($A:$A,$P3,$H:$H)=0,"",SUMIF($A:$A,$P3,$H:$H))</f>
        <v>0.32489583333333338</v>
      </c>
      <c r="S3" s="15">
        <f t="shared" ca="1" si="4"/>
        <v>8.4374999999999312E-3</v>
      </c>
      <c r="T3" s="16">
        <f t="shared" ca="1" si="5"/>
        <v>1.094951011770136</v>
      </c>
    </row>
    <row r="4" spans="1:21" ht="15.75" customHeight="1">
      <c r="A4" s="6">
        <v>45566</v>
      </c>
      <c r="B4" s="7" t="s">
        <v>16</v>
      </c>
      <c r="C4" s="7">
        <v>7</v>
      </c>
      <c r="D4" s="8">
        <v>5.5555555555555558E-3</v>
      </c>
      <c r="E4" s="8">
        <f t="shared" si="0"/>
        <v>3.888888888888889E-2</v>
      </c>
      <c r="F4" s="10">
        <f t="shared" si="6"/>
        <v>0.49703703703703705</v>
      </c>
      <c r="G4" s="10">
        <v>0.53313657407407411</v>
      </c>
      <c r="H4" s="8">
        <f t="shared" si="1"/>
        <v>3.6099537037037055E-2</v>
      </c>
      <c r="I4" s="11">
        <f t="shared" si="2"/>
        <v>0.53592592592592592</v>
      </c>
      <c r="J4" s="8"/>
      <c r="K4" s="8"/>
      <c r="L4" s="8" t="str">
        <f>IF(OR(J4=0,K4=0)," ",K4-J4)</f>
        <v xml:space="preserve"> </v>
      </c>
      <c r="M4" s="12"/>
      <c r="N4" s="13">
        <f t="shared" si="3"/>
        <v>1.0772683552420643</v>
      </c>
      <c r="P4" s="14">
        <f ca="1">IFERROR(__xludf.DUMMYFUNCTION("""COMPUTED_VALUE"""),45568)</f>
        <v>45568</v>
      </c>
      <c r="Q4" s="15">
        <f t="shared" ca="1" si="7"/>
        <v>0.32222222222222219</v>
      </c>
      <c r="R4" s="15">
        <f t="shared" ca="1" si="8"/>
        <v>0.30180555555555555</v>
      </c>
      <c r="S4" s="15">
        <f t="shared" ca="1" si="4"/>
        <v>3.1527777777777766E-2</v>
      </c>
      <c r="T4" s="16">
        <f t="shared" ca="1" si="5"/>
        <v>1.0896475133586057</v>
      </c>
    </row>
    <row r="5" spans="1:21" ht="15.75" customHeight="1">
      <c r="A5" s="6">
        <v>45566</v>
      </c>
      <c r="B5" s="7" t="s">
        <v>38</v>
      </c>
      <c r="C5" s="7">
        <v>60</v>
      </c>
      <c r="D5" s="8">
        <v>2.7777777777777779E-3</v>
      </c>
      <c r="E5" s="8">
        <f t="shared" si="0"/>
        <v>0.16666666666666669</v>
      </c>
      <c r="F5" s="10">
        <f t="shared" si="6"/>
        <v>0.53313657407407411</v>
      </c>
      <c r="G5" s="10">
        <v>0.7129050925925926</v>
      </c>
      <c r="H5" s="8">
        <f t="shared" si="1"/>
        <v>0.15685185185185183</v>
      </c>
      <c r="I5" s="11">
        <f t="shared" si="2"/>
        <v>0.72271990740740755</v>
      </c>
      <c r="J5" s="8"/>
      <c r="K5" s="8"/>
      <c r="L5" s="8">
        <v>2.2916666666666665E-2</v>
      </c>
      <c r="M5" s="18"/>
      <c r="N5" s="13">
        <f t="shared" si="3"/>
        <v>1.0625737898465175</v>
      </c>
      <c r="P5" s="14">
        <f ca="1">IFERROR(__xludf.DUMMYFUNCTION("""COMPUTED_VALUE"""),45569)</f>
        <v>45569</v>
      </c>
      <c r="Q5" s="15">
        <f t="shared" ca="1" si="7"/>
        <v>0.35069444444444453</v>
      </c>
      <c r="R5" s="15">
        <f t="shared" ca="1" si="8"/>
        <v>0.32358140045755412</v>
      </c>
      <c r="S5" s="15">
        <f t="shared" ca="1" si="4"/>
        <v>9.7519328757791901E-3</v>
      </c>
      <c r="T5" s="16">
        <f t="shared" ca="1" si="5"/>
        <v>1.0942549774414396</v>
      </c>
    </row>
    <row r="6" spans="1:21" ht="15.75" customHeight="1">
      <c r="A6" s="6">
        <v>45567</v>
      </c>
      <c r="B6" s="7" t="s">
        <v>38</v>
      </c>
      <c r="C6" s="7">
        <v>40</v>
      </c>
      <c r="D6" s="8">
        <v>2.7777777777777779E-3</v>
      </c>
      <c r="E6" s="8">
        <f t="shared" si="0"/>
        <v>0.11111111111111112</v>
      </c>
      <c r="F6" s="10">
        <v>0.32732638888888888</v>
      </c>
      <c r="G6" s="10">
        <v>0.46892361111111114</v>
      </c>
      <c r="H6" s="8">
        <f t="shared" si="1"/>
        <v>0.10162037037037042</v>
      </c>
      <c r="I6" s="11">
        <f t="shared" si="2"/>
        <v>0.47841435185185183</v>
      </c>
      <c r="J6" s="8"/>
      <c r="K6" s="8"/>
      <c r="L6" s="8">
        <v>3.9976851851851854E-2</v>
      </c>
      <c r="M6" s="18"/>
      <c r="N6" s="13">
        <f t="shared" si="3"/>
        <v>1.0933940774487467</v>
      </c>
      <c r="O6" s="4"/>
      <c r="P6" s="14">
        <f ca="1">IFERROR(__xludf.DUMMYFUNCTION("""COMPUTED_VALUE"""),45572)</f>
        <v>45572</v>
      </c>
      <c r="Q6" s="15">
        <f t="shared" ca="1" si="7"/>
        <v>0.33194444444444449</v>
      </c>
      <c r="R6" s="15">
        <f t="shared" ca="1" si="8"/>
        <v>0.31251157407407409</v>
      </c>
      <c r="S6" s="15">
        <f t="shared" ca="1" si="4"/>
        <v>2.082175925925922E-2</v>
      </c>
      <c r="T6" s="16">
        <f t="shared" ca="1" si="5"/>
        <v>1.0700029886057998</v>
      </c>
    </row>
    <row r="7" spans="1:21" ht="15.75" customHeight="1">
      <c r="A7" s="6">
        <v>45567</v>
      </c>
      <c r="B7" s="7" t="s">
        <v>44</v>
      </c>
      <c r="C7" s="7">
        <v>1</v>
      </c>
      <c r="D7" s="8">
        <v>3.472222222222222E-3</v>
      </c>
      <c r="E7" s="8">
        <f t="shared" si="0"/>
        <v>3.472222222222222E-3</v>
      </c>
      <c r="F7" s="10">
        <v>0.39415509259259263</v>
      </c>
      <c r="G7" s="10">
        <v>0.39728009259259262</v>
      </c>
      <c r="H7" s="8">
        <f t="shared" si="1"/>
        <v>3.1249999999999889E-3</v>
      </c>
      <c r="I7" s="11">
        <f t="shared" si="2"/>
        <v>0.39762731481481484</v>
      </c>
      <c r="J7" s="8"/>
      <c r="K7" s="8"/>
      <c r="L7" s="8" t="str">
        <f t="shared" ref="L7:L8" si="9">IF(OR(J7=0,K7=0)," ",K7-J7)</f>
        <v xml:space="preserve"> </v>
      </c>
      <c r="M7" s="18"/>
      <c r="N7" s="13">
        <f t="shared" si="3"/>
        <v>1.1111111111111149</v>
      </c>
      <c r="P7" s="14">
        <f ca="1">IFERROR(__xludf.DUMMYFUNCTION("""COMPUTED_VALUE"""),45573)</f>
        <v>45573</v>
      </c>
      <c r="Q7" s="15">
        <f t="shared" ca="1" si="7"/>
        <v>0.31944444444444453</v>
      </c>
      <c r="R7" s="15">
        <f t="shared" ca="1" si="8"/>
        <v>0.30621527777777774</v>
      </c>
      <c r="S7" s="15">
        <f t="shared" ca="1" si="4"/>
        <v>2.7118055555555576E-2</v>
      </c>
      <c r="T7" s="16">
        <f t="shared" ca="1" si="5"/>
        <v>1.0449125034849365</v>
      </c>
    </row>
    <row r="8" spans="1:21" ht="15.75" customHeight="1">
      <c r="A8" s="6">
        <v>45567</v>
      </c>
      <c r="B8" s="7" t="s">
        <v>16</v>
      </c>
      <c r="C8" s="7">
        <v>13</v>
      </c>
      <c r="D8" s="8">
        <v>5.5555555555555558E-3</v>
      </c>
      <c r="E8" s="8">
        <f t="shared" si="0"/>
        <v>7.2222222222222229E-2</v>
      </c>
      <c r="F8" s="10">
        <f>G6</f>
        <v>0.46892361111111114</v>
      </c>
      <c r="G8" s="10">
        <v>0.53775462962962961</v>
      </c>
      <c r="H8" s="8">
        <f t="shared" si="1"/>
        <v>6.8831018518518472E-2</v>
      </c>
      <c r="I8" s="11">
        <f t="shared" si="2"/>
        <v>0.54114583333333333</v>
      </c>
      <c r="J8" s="8"/>
      <c r="K8" s="8"/>
      <c r="L8" s="8" t="str">
        <f t="shared" si="9"/>
        <v xml:space="preserve"> </v>
      </c>
      <c r="M8" s="18"/>
      <c r="N8" s="13">
        <f t="shared" si="3"/>
        <v>1.049268538759039</v>
      </c>
      <c r="O8" s="19"/>
      <c r="P8" s="14">
        <f ca="1">IFERROR(__xludf.DUMMYFUNCTION("""COMPUTED_VALUE"""),45574)</f>
        <v>45574</v>
      </c>
      <c r="Q8" s="15">
        <f t="shared" ca="1" si="7"/>
        <v>0.2722222222222222</v>
      </c>
      <c r="R8" s="15">
        <f t="shared" ca="1" si="8"/>
        <v>0.26436342592592588</v>
      </c>
      <c r="S8" s="15">
        <f t="shared" ca="1" si="4"/>
        <v>6.8969907407407438E-2</v>
      </c>
      <c r="T8" s="16">
        <f t="shared" ca="1" si="5"/>
        <v>1.0319874163603138</v>
      </c>
    </row>
    <row r="9" spans="1:21" ht="15.75" customHeight="1">
      <c r="A9" s="6">
        <v>45567</v>
      </c>
      <c r="B9" s="7" t="s">
        <v>54</v>
      </c>
      <c r="C9" s="7">
        <v>1</v>
      </c>
      <c r="D9" s="8">
        <v>2.0833333333333332E-2</v>
      </c>
      <c r="E9" s="8">
        <f t="shared" si="0"/>
        <v>2.0833333333333332E-2</v>
      </c>
      <c r="F9" s="10">
        <f t="shared" ref="F9:F11" si="10">G8</f>
        <v>0.53775462962962961</v>
      </c>
      <c r="G9" s="10">
        <v>0.55560185185185185</v>
      </c>
      <c r="H9" s="8">
        <f t="shared" si="1"/>
        <v>1.7847222222222237E-2</v>
      </c>
      <c r="I9" s="11">
        <f t="shared" si="2"/>
        <v>0.55858796296296298</v>
      </c>
      <c r="J9" s="8"/>
      <c r="K9" s="8"/>
      <c r="L9" s="8"/>
      <c r="M9" s="18" t="s">
        <v>95</v>
      </c>
      <c r="N9" s="13">
        <f t="shared" si="3"/>
        <v>1.1673151750972752</v>
      </c>
      <c r="O9" s="4"/>
      <c r="P9" s="14">
        <f ca="1">IFERROR(__xludf.DUMMYFUNCTION("""COMPUTED_VALUE"""),45575)</f>
        <v>45575</v>
      </c>
      <c r="Q9" s="15">
        <f t="shared" ca="1" si="7"/>
        <v>0.33055555555555549</v>
      </c>
      <c r="R9" s="15">
        <f t="shared" ca="1" si="8"/>
        <v>0.31133101851851852</v>
      </c>
      <c r="S9" s="15">
        <f t="shared" ca="1" si="4"/>
        <v>2.2002314814814794E-2</v>
      </c>
      <c r="T9" s="16">
        <f t="shared" ca="1" si="5"/>
        <v>1.0782516987729225</v>
      </c>
    </row>
    <row r="10" spans="1:21" ht="15.75" customHeight="1">
      <c r="A10" s="6">
        <v>45567</v>
      </c>
      <c r="B10" s="7" t="s">
        <v>65</v>
      </c>
      <c r="C10" s="7">
        <v>1</v>
      </c>
      <c r="D10" s="8">
        <v>2.0833333333333332E-2</v>
      </c>
      <c r="E10" s="8">
        <f t="shared" si="0"/>
        <v>2.0833333333333332E-2</v>
      </c>
      <c r="F10" s="10">
        <f t="shared" si="10"/>
        <v>0.55560185185185185</v>
      </c>
      <c r="G10" s="10">
        <v>0.57365740740740745</v>
      </c>
      <c r="H10" s="8">
        <f t="shared" si="1"/>
        <v>1.8055555555555602E-2</v>
      </c>
      <c r="I10" s="11">
        <f t="shared" si="2"/>
        <v>0.57643518518518522</v>
      </c>
      <c r="J10" s="8"/>
      <c r="K10" s="8"/>
      <c r="L10" s="8" t="str">
        <f>IF(OR(J10=0,K10=0)," ",K10-J10)</f>
        <v xml:space="preserve"> </v>
      </c>
      <c r="M10" s="18"/>
      <c r="N10" s="13">
        <f t="shared" si="3"/>
        <v>1.1538461538461509</v>
      </c>
      <c r="O10" s="4"/>
      <c r="P10" s="14">
        <f ca="1">IFERROR(__xludf.DUMMYFUNCTION("""COMPUTED_VALUE"""),45576)</f>
        <v>45576</v>
      </c>
      <c r="Q10" s="15">
        <f t="shared" ca="1" si="7"/>
        <v>0.3305555555555556</v>
      </c>
      <c r="R10" s="15">
        <f t="shared" ca="1" si="8"/>
        <v>0.3204952199098059</v>
      </c>
      <c r="S10" s="15">
        <f t="shared" ca="1" si="4"/>
        <v>1.283811342352742E-2</v>
      </c>
      <c r="T10" s="16">
        <f t="shared" ca="1" si="5"/>
        <v>1.0814725261965268</v>
      </c>
    </row>
    <row r="11" spans="1:21" ht="15.75" customHeight="1">
      <c r="A11" s="6">
        <v>45567</v>
      </c>
      <c r="B11" s="7" t="s">
        <v>16</v>
      </c>
      <c r="C11" s="7">
        <v>14</v>
      </c>
      <c r="D11" s="8">
        <v>5.5555555555555558E-3</v>
      </c>
      <c r="E11" s="9">
        <f t="shared" si="0"/>
        <v>7.7777777777777779E-2</v>
      </c>
      <c r="F11" s="10">
        <f t="shared" si="10"/>
        <v>0.57365740740740745</v>
      </c>
      <c r="G11" s="10">
        <v>0.70833333333333337</v>
      </c>
      <c r="H11" s="8">
        <f t="shared" si="1"/>
        <v>7.168981481481479E-2</v>
      </c>
      <c r="I11" s="11">
        <f t="shared" si="2"/>
        <v>0.71442129629629636</v>
      </c>
      <c r="J11" s="8"/>
      <c r="K11" s="8"/>
      <c r="L11" s="8">
        <v>6.2986111111111132E-2</v>
      </c>
      <c r="M11" s="18"/>
      <c r="N11" s="13">
        <f t="shared" si="3"/>
        <v>1.0849208911850181</v>
      </c>
      <c r="O11" s="4"/>
      <c r="P11" s="14">
        <f ca="1">IFERROR(__xludf.DUMMYFUNCTION("""COMPUTED_VALUE"""),45579)</f>
        <v>45579</v>
      </c>
      <c r="Q11" s="15">
        <f t="shared" ca="1" si="7"/>
        <v>0.33541666666666664</v>
      </c>
      <c r="R11" s="15">
        <f t="shared" ca="1" si="8"/>
        <v>0.31114583333333334</v>
      </c>
      <c r="S11" s="15">
        <f t="shared" ca="1" si="4"/>
        <v>2.2187499999999971E-2</v>
      </c>
      <c r="T11" s="16">
        <f t="shared" ca="1" si="5"/>
        <v>1.09005013570487</v>
      </c>
    </row>
    <row r="12" spans="1:21" ht="15.75" customHeight="1">
      <c r="A12" s="6">
        <v>45567</v>
      </c>
      <c r="B12" s="7" t="s">
        <v>50</v>
      </c>
      <c r="C12" s="7">
        <v>1</v>
      </c>
      <c r="D12" s="8">
        <v>1.0416666666666666E-2</v>
      </c>
      <c r="E12" s="8">
        <f t="shared" si="0"/>
        <v>1.0416666666666666E-2</v>
      </c>
      <c r="F12" s="10">
        <v>0.64718750000000003</v>
      </c>
      <c r="G12" s="10">
        <v>0.65660879629629632</v>
      </c>
      <c r="H12" s="8">
        <f t="shared" si="1"/>
        <v>9.4212962962962887E-3</v>
      </c>
      <c r="I12" s="11">
        <f t="shared" si="2"/>
        <v>0.65760416666666666</v>
      </c>
      <c r="J12" s="8"/>
      <c r="K12" s="8"/>
      <c r="L12" s="8" t="str">
        <f t="shared" ref="L12:L18" si="11">IF(OR(J12=0,K12=0)," ",K12-J12)</f>
        <v xml:space="preserve"> </v>
      </c>
      <c r="M12" s="18"/>
      <c r="N12" s="13">
        <f t="shared" si="3"/>
        <v>1.1056511056511065</v>
      </c>
      <c r="P12" s="14">
        <f ca="1">IFERROR(__xludf.DUMMYFUNCTION("""COMPUTED_VALUE"""),45580)</f>
        <v>45580</v>
      </c>
      <c r="Q12" s="15">
        <f t="shared" ca="1" si="7"/>
        <v>0.29861111111111116</v>
      </c>
      <c r="R12" s="15">
        <f t="shared" ca="1" si="8"/>
        <v>0.2868468402828418</v>
      </c>
      <c r="S12" s="15">
        <f t="shared" ca="1" si="4"/>
        <v>4.6486493050491517E-2</v>
      </c>
      <c r="T12" s="16">
        <f t="shared" ca="1" si="5"/>
        <v>1.0589745469597627</v>
      </c>
    </row>
    <row r="13" spans="1:21" ht="15.75" customHeight="1">
      <c r="A13" s="6">
        <v>45567</v>
      </c>
      <c r="B13" s="7" t="s">
        <v>51</v>
      </c>
      <c r="C13" s="7">
        <v>1</v>
      </c>
      <c r="D13" s="8">
        <v>1.0416666666666666E-2</v>
      </c>
      <c r="E13" s="8">
        <f t="shared" si="0"/>
        <v>1.0416666666666666E-2</v>
      </c>
      <c r="F13" s="10">
        <f t="shared" ref="F13:F16" si="12">G12</f>
        <v>0.65660879629629632</v>
      </c>
      <c r="G13" s="10">
        <v>0.66607638888888887</v>
      </c>
      <c r="H13" s="8">
        <f t="shared" si="1"/>
        <v>9.4675925925925553E-3</v>
      </c>
      <c r="I13" s="11">
        <f t="shared" si="2"/>
        <v>0.66702546296296295</v>
      </c>
      <c r="J13" s="8"/>
      <c r="K13" s="8"/>
      <c r="L13" s="8" t="str">
        <f t="shared" si="11"/>
        <v xml:space="preserve"> </v>
      </c>
      <c r="M13" s="18"/>
      <c r="N13" s="13">
        <f t="shared" si="3"/>
        <v>1.1002444987775104</v>
      </c>
      <c r="O13" s="4"/>
      <c r="P13" s="14">
        <f ca="1">IFERROR(__xludf.DUMMYFUNCTION("""COMPUTED_VALUE"""),45581)</f>
        <v>45581</v>
      </c>
      <c r="Q13" s="15">
        <f t="shared" ca="1" si="7"/>
        <v>0.30347222222222214</v>
      </c>
      <c r="R13" s="15">
        <f t="shared" ca="1" si="8"/>
        <v>0.29027777777777775</v>
      </c>
      <c r="S13" s="15">
        <f t="shared" ca="1" si="4"/>
        <v>4.3055555555555569E-2</v>
      </c>
      <c r="T13" s="16">
        <f t="shared" ca="1" si="5"/>
        <v>1.0700256852330103</v>
      </c>
    </row>
    <row r="14" spans="1:21" ht="15.75" customHeight="1">
      <c r="A14" s="6">
        <v>45567</v>
      </c>
      <c r="B14" s="7" t="s">
        <v>52</v>
      </c>
      <c r="C14" s="7">
        <v>1</v>
      </c>
      <c r="D14" s="8">
        <v>1.0416666666666666E-2</v>
      </c>
      <c r="E14" s="8">
        <f t="shared" si="0"/>
        <v>1.0416666666666666E-2</v>
      </c>
      <c r="F14" s="10">
        <f t="shared" si="12"/>
        <v>0.66607638888888887</v>
      </c>
      <c r="G14" s="10">
        <v>0.67583333333333329</v>
      </c>
      <c r="H14" s="8">
        <f t="shared" si="1"/>
        <v>9.7569444444444153E-3</v>
      </c>
      <c r="I14" s="11">
        <f t="shared" si="2"/>
        <v>0.6764930555555555</v>
      </c>
      <c r="J14" s="8"/>
      <c r="K14" s="8"/>
      <c r="L14" s="8" t="str">
        <f t="shared" si="11"/>
        <v xml:space="preserve"> </v>
      </c>
      <c r="M14" s="18"/>
      <c r="N14" s="13">
        <f t="shared" si="3"/>
        <v>1.0676156583629925</v>
      </c>
      <c r="O14" s="4"/>
      <c r="P14" s="20">
        <f ca="1">IFERROR(__xludf.DUMMYFUNCTION("""COMPUTED_VALUE"""),45582)</f>
        <v>45582</v>
      </c>
      <c r="Q14" s="15">
        <f t="shared" ca="1" si="7"/>
        <v>0.30416666666666664</v>
      </c>
      <c r="R14" s="15">
        <f t="shared" ca="1" si="8"/>
        <v>0.30321759259259251</v>
      </c>
      <c r="S14" s="15">
        <f t="shared" ca="1" si="4"/>
        <v>3.0115740740740804E-2</v>
      </c>
      <c r="T14" s="16">
        <f t="shared" ca="1" si="5"/>
        <v>1.058827718449471</v>
      </c>
    </row>
    <row r="15" spans="1:21" ht="15.75" customHeight="1">
      <c r="A15" s="6">
        <v>45567</v>
      </c>
      <c r="B15" s="7" t="s">
        <v>53</v>
      </c>
      <c r="C15" s="7">
        <v>1</v>
      </c>
      <c r="D15" s="8">
        <v>1.0416666666666666E-2</v>
      </c>
      <c r="E15" s="8">
        <f t="shared" si="0"/>
        <v>1.0416666666666666E-2</v>
      </c>
      <c r="F15" s="10">
        <f t="shared" si="12"/>
        <v>0.67583333333333329</v>
      </c>
      <c r="G15" s="10">
        <v>0.68559027777777781</v>
      </c>
      <c r="H15" s="8">
        <f t="shared" si="1"/>
        <v>9.7569444444445264E-3</v>
      </c>
      <c r="I15" s="11">
        <f t="shared" si="2"/>
        <v>0.68624999999999992</v>
      </c>
      <c r="J15" s="8"/>
      <c r="K15" s="8"/>
      <c r="L15" s="8" t="str">
        <f t="shared" si="11"/>
        <v xml:space="preserve"> </v>
      </c>
      <c r="M15" s="18"/>
      <c r="N15" s="13">
        <f t="shared" si="3"/>
        <v>1.0676156583629803</v>
      </c>
      <c r="O15" s="4"/>
      <c r="P15" s="20">
        <f ca="1">IFERROR(__xludf.DUMMYFUNCTION("""COMPUTED_VALUE"""),45583)</f>
        <v>45583</v>
      </c>
      <c r="Q15" s="15">
        <f t="shared" ca="1" si="7"/>
        <v>0.33125000000000004</v>
      </c>
      <c r="R15" s="15">
        <f t="shared" ca="1" si="8"/>
        <v>0.30640046296296297</v>
      </c>
      <c r="S15" s="15">
        <f t="shared" ca="1" si="4"/>
        <v>2.6932870370370343E-2</v>
      </c>
      <c r="T15" s="16">
        <f t="shared" ca="1" si="5"/>
        <v>1.0761761989735312</v>
      </c>
    </row>
    <row r="16" spans="1:21" ht="15.75" customHeight="1">
      <c r="A16" s="6">
        <v>45567</v>
      </c>
      <c r="B16" s="7" t="s">
        <v>16</v>
      </c>
      <c r="C16" s="7">
        <v>1</v>
      </c>
      <c r="D16" s="8">
        <v>5.5555555555555558E-3</v>
      </c>
      <c r="E16" s="8">
        <f t="shared" si="0"/>
        <v>5.5555555555555558E-3</v>
      </c>
      <c r="F16" s="10">
        <f t="shared" si="12"/>
        <v>0.68559027777777781</v>
      </c>
      <c r="G16" s="10">
        <v>0.6909143518518519</v>
      </c>
      <c r="H16" s="8">
        <f t="shared" si="1"/>
        <v>5.3240740740740922E-3</v>
      </c>
      <c r="I16" s="11">
        <f t="shared" si="2"/>
        <v>0.69114583333333335</v>
      </c>
      <c r="J16" s="8"/>
      <c r="K16" s="8"/>
      <c r="L16" s="8" t="str">
        <f t="shared" si="11"/>
        <v xml:space="preserve"> </v>
      </c>
      <c r="M16" s="18"/>
      <c r="N16" s="13">
        <f t="shared" si="3"/>
        <v>1.0434782608695616</v>
      </c>
      <c r="O16" s="4"/>
      <c r="P16" s="20">
        <f ca="1">IFERROR(__xludf.DUMMYFUNCTION("""COMPUTED_VALUE"""),45586)</f>
        <v>45586</v>
      </c>
      <c r="Q16" s="15">
        <f t="shared" ca="1" si="7"/>
        <v>0.31736111111111109</v>
      </c>
      <c r="R16" s="15">
        <f t="shared" ca="1" si="8"/>
        <v>0.3096458796245537</v>
      </c>
      <c r="S16" s="15">
        <f t="shared" ca="1" si="4"/>
        <v>2.3687453708779616E-2</v>
      </c>
      <c r="T16" s="16">
        <f t="shared" ca="1" si="5"/>
        <v>1.0588163554311116</v>
      </c>
    </row>
    <row r="17" spans="1:20" ht="15.75" customHeight="1">
      <c r="A17" s="6">
        <v>45568</v>
      </c>
      <c r="B17" s="7" t="s">
        <v>42</v>
      </c>
      <c r="C17" s="7">
        <v>1</v>
      </c>
      <c r="D17" s="8">
        <v>6.9444444444444441E-3</v>
      </c>
      <c r="E17" s="8">
        <f t="shared" si="0"/>
        <v>6.9444444444444441E-3</v>
      </c>
      <c r="F17" s="10">
        <v>0.33809027777777778</v>
      </c>
      <c r="G17" s="10">
        <v>0.34460648148148143</v>
      </c>
      <c r="H17" s="8">
        <f t="shared" si="1"/>
        <v>6.5162037037036491E-3</v>
      </c>
      <c r="I17" s="11">
        <f t="shared" si="2"/>
        <v>0.3450347222222222</v>
      </c>
      <c r="J17" s="8"/>
      <c r="K17" s="8"/>
      <c r="L17" s="8" t="str">
        <f t="shared" si="11"/>
        <v xml:space="preserve"> </v>
      </c>
      <c r="M17" s="18"/>
      <c r="N17" s="13">
        <f t="shared" si="3"/>
        <v>1.0657193605683926</v>
      </c>
      <c r="P17" s="20">
        <f ca="1">IFERROR(__xludf.DUMMYFUNCTION("""COMPUTED_VALUE"""),45587)</f>
        <v>45587</v>
      </c>
      <c r="Q17" s="15">
        <f t="shared" ca="1" si="7"/>
        <v>0.2673611111111111</v>
      </c>
      <c r="R17" s="15">
        <f t="shared" ca="1" si="8"/>
        <v>0.24709490740740739</v>
      </c>
      <c r="S17" s="15">
        <f t="shared" ca="1" si="4"/>
        <v>8.6238425925925927E-2</v>
      </c>
      <c r="T17" s="16">
        <f t="shared" ca="1" si="5"/>
        <v>1.0839217509940287</v>
      </c>
    </row>
    <row r="18" spans="1:20" ht="15.75" customHeight="1">
      <c r="A18" s="6">
        <v>45568</v>
      </c>
      <c r="B18" s="7" t="s">
        <v>96</v>
      </c>
      <c r="C18" s="7">
        <v>1</v>
      </c>
      <c r="D18" s="8">
        <v>3.4722222222222224E-2</v>
      </c>
      <c r="E18" s="8">
        <f t="shared" si="0"/>
        <v>3.4722222222222224E-2</v>
      </c>
      <c r="F18" s="10">
        <f t="shared" ref="F18:F25" si="13">G17</f>
        <v>0.34460648148148143</v>
      </c>
      <c r="G18" s="10">
        <v>0.37753472222222217</v>
      </c>
      <c r="H18" s="8">
        <f t="shared" si="1"/>
        <v>3.2928240740740744E-2</v>
      </c>
      <c r="I18" s="11">
        <f t="shared" si="2"/>
        <v>0.37932870370370364</v>
      </c>
      <c r="J18" s="8"/>
      <c r="K18" s="8"/>
      <c r="L18" s="8" t="str">
        <f t="shared" si="11"/>
        <v xml:space="preserve"> </v>
      </c>
      <c r="M18" s="18"/>
      <c r="N18" s="13">
        <f t="shared" si="3"/>
        <v>1.0544815465729349</v>
      </c>
      <c r="P18" s="20">
        <f ca="1">IFERROR(__xludf.DUMMYFUNCTION("""COMPUTED_VALUE"""),45588)</f>
        <v>45588</v>
      </c>
      <c r="Q18" s="15">
        <f t="shared" ca="1" si="7"/>
        <v>0.30138888888888887</v>
      </c>
      <c r="R18" s="15">
        <f t="shared" ca="1" si="8"/>
        <v>0.2826156365719012</v>
      </c>
      <c r="S18" s="15">
        <f t="shared" ca="1" si="4"/>
        <v>5.0717696761432118E-2</v>
      </c>
      <c r="T18" s="16">
        <f t="shared" ca="1" si="5"/>
        <v>1.0535728713971235</v>
      </c>
    </row>
    <row r="19" spans="1:20" ht="15.75" customHeight="1">
      <c r="A19" s="6">
        <v>45568</v>
      </c>
      <c r="B19" s="7" t="s">
        <v>16</v>
      </c>
      <c r="C19" s="7">
        <v>9</v>
      </c>
      <c r="D19" s="8">
        <v>5.5555555555555558E-3</v>
      </c>
      <c r="E19" s="8">
        <f t="shared" si="0"/>
        <v>0.05</v>
      </c>
      <c r="F19" s="10">
        <f t="shared" si="13"/>
        <v>0.37753472222222217</v>
      </c>
      <c r="G19" s="10">
        <v>0.44866898148148149</v>
      </c>
      <c r="H19" s="8">
        <f t="shared" si="1"/>
        <v>4.5046296296296348E-2</v>
      </c>
      <c r="I19" s="11">
        <f t="shared" si="2"/>
        <v>0.45362268518518511</v>
      </c>
      <c r="J19" s="8"/>
      <c r="K19" s="8"/>
      <c r="L19" s="8">
        <v>2.6087962962962962E-2</v>
      </c>
      <c r="M19" s="18"/>
      <c r="N19" s="13">
        <f t="shared" si="3"/>
        <v>1.1099691675231231</v>
      </c>
      <c r="O19" s="19"/>
      <c r="P19" s="20">
        <f ca="1">IFERROR(__xludf.DUMMYFUNCTION("""COMPUTED_VALUE"""),45589)</f>
        <v>45589</v>
      </c>
      <c r="Q19" s="15">
        <f t="shared" ca="1" si="7"/>
        <v>0.2673611111111111</v>
      </c>
      <c r="R19" s="15">
        <f t="shared" ca="1" si="8"/>
        <v>0.26502314814814809</v>
      </c>
      <c r="S19" s="15">
        <f t="shared" ref="S19:S23" ca="1" si="14">IF(R19=""," ",$U$1-R19)</f>
        <v>6.8310185185185224E-2</v>
      </c>
      <c r="T19" s="16">
        <f t="shared" ca="1" si="5"/>
        <v>1.0253747326983533</v>
      </c>
    </row>
    <row r="20" spans="1:20" ht="15.75" customHeight="1">
      <c r="A20" s="6">
        <v>45568</v>
      </c>
      <c r="B20" s="7" t="s">
        <v>16</v>
      </c>
      <c r="C20" s="7">
        <v>21</v>
      </c>
      <c r="D20" s="8">
        <v>5.5555555555555558E-3</v>
      </c>
      <c r="E20" s="8">
        <f t="shared" si="0"/>
        <v>0.11666666666666667</v>
      </c>
      <c r="F20" s="10">
        <f t="shared" si="13"/>
        <v>0.44866898148148149</v>
      </c>
      <c r="G20" s="10">
        <v>0.60151620370370373</v>
      </c>
      <c r="H20" s="8">
        <f t="shared" si="1"/>
        <v>0.11182870370370374</v>
      </c>
      <c r="I20" s="11">
        <f t="shared" si="2"/>
        <v>0.60635416666666675</v>
      </c>
      <c r="J20" s="8"/>
      <c r="K20" s="8"/>
      <c r="L20" s="8">
        <v>4.1018518518518517E-2</v>
      </c>
      <c r="M20" s="18"/>
      <c r="N20" s="13">
        <f t="shared" si="3"/>
        <v>1.0432622645415026</v>
      </c>
      <c r="O20" s="4"/>
      <c r="P20" s="20">
        <f ca="1">IFERROR(__xludf.DUMMYFUNCTION("""COMPUTED_VALUE"""),45590)</f>
        <v>45590</v>
      </c>
      <c r="Q20" s="15">
        <f t="shared" ca="1" si="7"/>
        <v>0.31597222222222221</v>
      </c>
      <c r="R20" s="15">
        <f t="shared" ca="1" si="8"/>
        <v>0.29655809027840241</v>
      </c>
      <c r="S20" s="15">
        <f t="shared" ca="1" si="14"/>
        <v>3.6775243054930906E-2</v>
      </c>
      <c r="T20" s="16">
        <f t="shared" ca="1" si="5"/>
        <v>1.0663974873368258</v>
      </c>
    </row>
    <row r="21" spans="1:20" ht="15.75" customHeight="1">
      <c r="A21" s="6">
        <v>45568</v>
      </c>
      <c r="B21" s="7" t="s">
        <v>50</v>
      </c>
      <c r="C21" s="7">
        <v>1</v>
      </c>
      <c r="D21" s="8">
        <v>1.0416666666666666E-2</v>
      </c>
      <c r="E21" s="8">
        <f t="shared" si="0"/>
        <v>1.0416666666666666E-2</v>
      </c>
      <c r="F21" s="10">
        <f t="shared" si="13"/>
        <v>0.60151620370370373</v>
      </c>
      <c r="G21" s="10">
        <v>0.61079861111111111</v>
      </c>
      <c r="H21" s="8">
        <f t="shared" si="1"/>
        <v>9.2824074074073781E-3</v>
      </c>
      <c r="I21" s="11">
        <f t="shared" si="2"/>
        <v>0.61193287037037036</v>
      </c>
      <c r="J21" s="8"/>
      <c r="K21" s="8"/>
      <c r="L21" s="8" t="str">
        <f t="shared" ref="L21:L24" si="15">IF(OR(J21=0,K21=0)," ",K21-J21)</f>
        <v xml:space="preserve"> </v>
      </c>
      <c r="M21" s="18"/>
      <c r="N21" s="13">
        <f t="shared" si="3"/>
        <v>1.1221945137157141</v>
      </c>
      <c r="O21" s="4"/>
      <c r="P21" s="20">
        <f ca="1">IFERROR(__xludf.DUMMYFUNCTION("""COMPUTED_VALUE"""),45593)</f>
        <v>45593</v>
      </c>
      <c r="Q21" s="15">
        <f t="shared" ca="1" si="7"/>
        <v>0.32847222222222222</v>
      </c>
      <c r="R21" s="15">
        <f t="shared" ca="1" si="8"/>
        <v>0.3124393750018768</v>
      </c>
      <c r="S21" s="15">
        <f t="shared" ca="1" si="14"/>
        <v>2.0893958331456519E-2</v>
      </c>
      <c r="T21" s="16">
        <f t="shared" ca="1" si="5"/>
        <v>1.0688557725654491</v>
      </c>
    </row>
    <row r="22" spans="1:20" ht="15.75" customHeight="1">
      <c r="A22" s="6">
        <v>45568</v>
      </c>
      <c r="B22" s="7" t="s">
        <v>51</v>
      </c>
      <c r="C22" s="7">
        <v>1</v>
      </c>
      <c r="D22" s="8">
        <v>1.0416666666666666E-2</v>
      </c>
      <c r="E22" s="8">
        <f t="shared" si="0"/>
        <v>1.0416666666666666E-2</v>
      </c>
      <c r="F22" s="10">
        <f t="shared" si="13"/>
        <v>0.61079861111111111</v>
      </c>
      <c r="G22" s="10">
        <v>0.62009259259259264</v>
      </c>
      <c r="H22" s="8">
        <f t="shared" si="1"/>
        <v>9.293981481481528E-3</v>
      </c>
      <c r="I22" s="11">
        <f t="shared" si="2"/>
        <v>0.62121527777777774</v>
      </c>
      <c r="J22" s="8"/>
      <c r="K22" s="8"/>
      <c r="L22" s="8" t="str">
        <f t="shared" si="15"/>
        <v xml:space="preserve"> </v>
      </c>
      <c r="M22" s="18"/>
      <c r="N22" s="13">
        <f t="shared" si="3"/>
        <v>1.1207970112079644</v>
      </c>
      <c r="P22" s="20">
        <f ca="1">IFERROR(__xludf.DUMMYFUNCTION("""COMPUTED_VALUE"""),45596)</f>
        <v>45596</v>
      </c>
      <c r="Q22" s="15">
        <f t="shared" ca="1" si="7"/>
        <v>0.31944444444444442</v>
      </c>
      <c r="R22" s="15">
        <f t="shared" ca="1" si="8"/>
        <v>0.31049126157502605</v>
      </c>
      <c r="S22" s="15">
        <f t="shared" ca="1" si="14"/>
        <v>2.284207175830727E-2</v>
      </c>
      <c r="T22" s="16">
        <f t="shared" ca="1" si="5"/>
        <v>1.0605491744572233</v>
      </c>
    </row>
    <row r="23" spans="1:20" ht="15.75" customHeight="1">
      <c r="A23" s="6">
        <v>45568</v>
      </c>
      <c r="B23" s="7" t="s">
        <v>52</v>
      </c>
      <c r="C23" s="7">
        <v>1</v>
      </c>
      <c r="D23" s="8">
        <v>1.0416666666666666E-2</v>
      </c>
      <c r="E23" s="8">
        <f t="shared" si="0"/>
        <v>1.0416666666666666E-2</v>
      </c>
      <c r="F23" s="10">
        <f t="shared" si="13"/>
        <v>0.62009259259259264</v>
      </c>
      <c r="G23" s="10">
        <v>0.62951388888888893</v>
      </c>
      <c r="H23" s="8">
        <f t="shared" si="1"/>
        <v>9.4212962962962887E-3</v>
      </c>
      <c r="I23" s="11">
        <f t="shared" si="2"/>
        <v>0.63050925925925927</v>
      </c>
      <c r="J23" s="8"/>
      <c r="K23" s="8"/>
      <c r="L23" s="8" t="str">
        <f t="shared" si="15"/>
        <v xml:space="preserve"> </v>
      </c>
      <c r="M23" s="18"/>
      <c r="N23" s="13">
        <f t="shared" si="3"/>
        <v>1.1056511056511065</v>
      </c>
      <c r="P23" s="20"/>
      <c r="Q23" s="15" t="str">
        <f t="shared" si="7"/>
        <v/>
      </c>
      <c r="R23" s="15" t="str">
        <f t="shared" si="8"/>
        <v/>
      </c>
      <c r="S23" s="15" t="str">
        <f t="shared" si="14"/>
        <v xml:space="preserve"> </v>
      </c>
      <c r="T23" s="16" t="str">
        <f t="shared" si="5"/>
        <v xml:space="preserve"> </v>
      </c>
    </row>
    <row r="24" spans="1:20" ht="15.75" customHeight="1">
      <c r="A24" s="6">
        <v>45568</v>
      </c>
      <c r="B24" s="7" t="s">
        <v>53</v>
      </c>
      <c r="C24" s="7">
        <v>1</v>
      </c>
      <c r="D24" s="8">
        <v>1.0416666666666666E-2</v>
      </c>
      <c r="E24" s="8">
        <f t="shared" si="0"/>
        <v>1.0416666666666666E-2</v>
      </c>
      <c r="F24" s="10">
        <f t="shared" si="13"/>
        <v>0.62951388888888893</v>
      </c>
      <c r="G24" s="10">
        <v>0.63876157407407408</v>
      </c>
      <c r="H24" s="8">
        <f t="shared" si="1"/>
        <v>9.2476851851851505E-3</v>
      </c>
      <c r="I24" s="11">
        <f t="shared" si="2"/>
        <v>0.63993055555555556</v>
      </c>
      <c r="J24" s="8"/>
      <c r="K24" s="8"/>
      <c r="L24" s="8" t="str">
        <f t="shared" si="15"/>
        <v xml:space="preserve"> </v>
      </c>
      <c r="M24" s="18"/>
      <c r="N24" s="13">
        <f t="shared" si="3"/>
        <v>1.1264080100125198</v>
      </c>
      <c r="P24" s="30">
        <f ca="1">IFERROR(__xludf.DUMMYFUNCTION("""COMPUTED_VALUE"""),45597)</f>
        <v>45597</v>
      </c>
    </row>
    <row r="25" spans="1:20" ht="15.75" customHeight="1">
      <c r="A25" s="6">
        <v>45568</v>
      </c>
      <c r="B25" s="7" t="s">
        <v>16</v>
      </c>
      <c r="C25" s="7">
        <v>13</v>
      </c>
      <c r="D25" s="8">
        <v>5.5555555555555558E-3</v>
      </c>
      <c r="E25" s="8">
        <f t="shared" si="0"/>
        <v>7.2222222222222229E-2</v>
      </c>
      <c r="F25" s="10">
        <f t="shared" si="13"/>
        <v>0.63876157407407408</v>
      </c>
      <c r="G25" s="10">
        <v>0.72412037037037036</v>
      </c>
      <c r="H25" s="8">
        <f t="shared" si="1"/>
        <v>6.8240740740740727E-2</v>
      </c>
      <c r="I25" s="11">
        <f t="shared" si="2"/>
        <v>0.72810185185185183</v>
      </c>
      <c r="J25" s="8"/>
      <c r="K25" s="8"/>
      <c r="L25" s="8">
        <v>1.7118055555555556E-2</v>
      </c>
      <c r="M25" s="18"/>
      <c r="N25" s="13">
        <f t="shared" si="3"/>
        <v>1.058344640434193</v>
      </c>
      <c r="O25" s="4"/>
    </row>
    <row r="26" spans="1:20" ht="14.5">
      <c r="A26" s="6">
        <v>45569</v>
      </c>
      <c r="B26" s="7" t="s">
        <v>16</v>
      </c>
      <c r="C26" s="7">
        <v>17</v>
      </c>
      <c r="D26" s="8">
        <v>5.5555555555555558E-3</v>
      </c>
      <c r="E26" s="8">
        <f t="shared" si="0"/>
        <v>9.4444444444444442E-2</v>
      </c>
      <c r="F26" s="10">
        <v>0.32193287037037033</v>
      </c>
      <c r="G26" s="10">
        <v>0.43386574074074069</v>
      </c>
      <c r="H26" s="8">
        <f t="shared" si="1"/>
        <v>8.6087962962962949E-2</v>
      </c>
      <c r="I26" s="11">
        <f t="shared" si="2"/>
        <v>0.44222222222222218</v>
      </c>
      <c r="J26" s="8"/>
      <c r="K26" s="8"/>
      <c r="L26" s="8">
        <v>2.5844907407407407E-2</v>
      </c>
      <c r="M26" s="18"/>
      <c r="N26" s="13">
        <f t="shared" si="3"/>
        <v>1.0970691045980103</v>
      </c>
    </row>
    <row r="27" spans="1:20" ht="14.5">
      <c r="A27" s="6">
        <v>45569</v>
      </c>
      <c r="B27" s="7" t="s">
        <v>44</v>
      </c>
      <c r="C27" s="7">
        <v>1</v>
      </c>
      <c r="D27" s="8">
        <v>3.472222222222222E-3</v>
      </c>
      <c r="E27" s="8">
        <f t="shared" si="0"/>
        <v>3.472222222222222E-3</v>
      </c>
      <c r="F27" s="10">
        <f t="shared" ref="F27:F34" si="16">G26</f>
        <v>0.43386574074074069</v>
      </c>
      <c r="G27" s="10">
        <v>0.43686342592592597</v>
      </c>
      <c r="H27" s="8">
        <f t="shared" si="1"/>
        <v>2.9976851851852837E-3</v>
      </c>
      <c r="I27" s="11">
        <f t="shared" si="2"/>
        <v>0.4373379629629629</v>
      </c>
      <c r="J27" s="8"/>
      <c r="K27" s="8"/>
      <c r="L27" s="8" t="str">
        <f>IF(OR(J27=0,K27=0)," ",K27-J27)</f>
        <v xml:space="preserve"> </v>
      </c>
      <c r="M27" s="18"/>
      <c r="N27" s="13">
        <f t="shared" si="3"/>
        <v>1.1583011583011202</v>
      </c>
      <c r="O27" s="4"/>
    </row>
    <row r="28" spans="1:20" ht="14.5">
      <c r="A28" s="6">
        <v>45569</v>
      </c>
      <c r="B28" s="7" t="s">
        <v>16</v>
      </c>
      <c r="C28" s="7">
        <v>21</v>
      </c>
      <c r="D28" s="8">
        <v>5.5555555555555558E-3</v>
      </c>
      <c r="E28" s="8">
        <f t="shared" si="0"/>
        <v>0.11666666666666667</v>
      </c>
      <c r="F28" s="10">
        <f t="shared" si="16"/>
        <v>0.43686342592592597</v>
      </c>
      <c r="G28" s="10">
        <v>0.58011574074074079</v>
      </c>
      <c r="H28" s="8">
        <f t="shared" si="1"/>
        <v>0.11021990740740742</v>
      </c>
      <c r="I28" s="11">
        <f t="shared" si="2"/>
        <v>0.5865625000000001</v>
      </c>
      <c r="J28" s="8"/>
      <c r="K28" s="8"/>
      <c r="L28" s="8">
        <v>3.3032407407407406E-2</v>
      </c>
      <c r="M28" s="18"/>
      <c r="N28" s="13">
        <f t="shared" si="3"/>
        <v>1.05848997164759</v>
      </c>
      <c r="O28" s="19"/>
    </row>
    <row r="29" spans="1:20" ht="14.5">
      <c r="A29" s="6">
        <v>45569</v>
      </c>
      <c r="B29" s="7" t="s">
        <v>16</v>
      </c>
      <c r="C29" s="7">
        <v>7</v>
      </c>
      <c r="D29" s="8">
        <v>5.5555555555555558E-3</v>
      </c>
      <c r="E29" s="8">
        <f t="shared" si="0"/>
        <v>3.888888888888889E-2</v>
      </c>
      <c r="F29" s="10">
        <f t="shared" si="16"/>
        <v>0.58011574074074079</v>
      </c>
      <c r="G29" s="10">
        <v>0.62549768518518523</v>
      </c>
      <c r="H29" s="8">
        <f t="shared" si="1"/>
        <v>3.7002314814814807E-2</v>
      </c>
      <c r="I29" s="11">
        <f t="shared" si="2"/>
        <v>0.62738425925925934</v>
      </c>
      <c r="J29" s="8"/>
      <c r="K29" s="8"/>
      <c r="L29" s="8">
        <v>8.3796296296296292E-3</v>
      </c>
      <c r="M29" s="18"/>
      <c r="N29" s="13">
        <f t="shared" si="3"/>
        <v>1.0509852987175479</v>
      </c>
      <c r="O29" s="4"/>
    </row>
    <row r="30" spans="1:20" ht="14.5">
      <c r="A30" s="6">
        <v>45569</v>
      </c>
      <c r="B30" s="7" t="s">
        <v>50</v>
      </c>
      <c r="C30" s="7">
        <v>1</v>
      </c>
      <c r="D30" s="8">
        <v>1.0416666666666666E-2</v>
      </c>
      <c r="E30" s="8">
        <f t="shared" si="0"/>
        <v>1.0416666666666666E-2</v>
      </c>
      <c r="F30" s="10">
        <f t="shared" si="16"/>
        <v>0.62549768518518523</v>
      </c>
      <c r="G30" s="10">
        <v>0.63510416666666669</v>
      </c>
      <c r="H30" s="8">
        <f t="shared" si="1"/>
        <v>9.6064814814814659E-3</v>
      </c>
      <c r="I30" s="11">
        <f t="shared" si="2"/>
        <v>0.63591435185185186</v>
      </c>
      <c r="J30" s="8"/>
      <c r="K30" s="8"/>
      <c r="L30" s="8" t="str">
        <f t="shared" ref="L30:L36" si="17">IF(OR(J30=0,K30=0)," ",K30-J30)</f>
        <v xml:space="preserve"> </v>
      </c>
      <c r="M30" s="18"/>
      <c r="N30" s="13">
        <f t="shared" si="3"/>
        <v>1.0843373493975921</v>
      </c>
      <c r="O30" s="4"/>
    </row>
    <row r="31" spans="1:20" ht="14.5">
      <c r="A31" s="6">
        <v>45569</v>
      </c>
      <c r="B31" s="7" t="s">
        <v>51</v>
      </c>
      <c r="C31" s="7">
        <v>1</v>
      </c>
      <c r="D31" s="8">
        <v>1.0416666666666666E-2</v>
      </c>
      <c r="E31" s="8">
        <f t="shared" si="0"/>
        <v>1.0416666666666666E-2</v>
      </c>
      <c r="F31" s="10">
        <f t="shared" si="16"/>
        <v>0.63510416666666669</v>
      </c>
      <c r="G31" s="10">
        <v>0.64430555555555558</v>
      </c>
      <c r="H31" s="8">
        <f t="shared" si="1"/>
        <v>9.201388888888884E-3</v>
      </c>
      <c r="I31" s="11">
        <f t="shared" si="2"/>
        <v>0.64552083333333332</v>
      </c>
      <c r="J31" s="8"/>
      <c r="K31" s="8"/>
      <c r="L31" s="8" t="str">
        <f t="shared" si="17"/>
        <v xml:space="preserve"> </v>
      </c>
      <c r="M31" s="18"/>
      <c r="N31" s="13">
        <f t="shared" si="3"/>
        <v>1.1320754716981138</v>
      </c>
      <c r="O31" s="19"/>
    </row>
    <row r="32" spans="1:20" ht="14.5">
      <c r="A32" s="6">
        <v>45569</v>
      </c>
      <c r="B32" s="7" t="s">
        <v>52</v>
      </c>
      <c r="C32" s="7">
        <v>1</v>
      </c>
      <c r="D32" s="8">
        <v>1.0416666666666666E-2</v>
      </c>
      <c r="E32" s="8">
        <f t="shared" si="0"/>
        <v>1.0416666666666666E-2</v>
      </c>
      <c r="F32" s="10">
        <f t="shared" si="16"/>
        <v>0.64430555555555558</v>
      </c>
      <c r="G32" s="10">
        <v>0.6537384259259259</v>
      </c>
      <c r="H32" s="8">
        <f t="shared" si="1"/>
        <v>9.4328703703703276E-3</v>
      </c>
      <c r="I32" s="11">
        <f t="shared" si="2"/>
        <v>0.65472222222222221</v>
      </c>
      <c r="J32" s="8"/>
      <c r="K32" s="8"/>
      <c r="L32" s="8" t="str">
        <f t="shared" si="17"/>
        <v xml:space="preserve"> </v>
      </c>
      <c r="M32" s="18"/>
      <c r="N32" s="13">
        <f t="shared" si="3"/>
        <v>1.1042944785276123</v>
      </c>
      <c r="O32" s="4"/>
    </row>
    <row r="33" spans="1:15" ht="14.5">
      <c r="A33" s="6">
        <v>45569</v>
      </c>
      <c r="B33" s="7" t="s">
        <v>53</v>
      </c>
      <c r="C33" s="7">
        <v>1</v>
      </c>
      <c r="D33" s="8">
        <v>1.0416666666666666E-2</v>
      </c>
      <c r="E33" s="8">
        <f t="shared" si="0"/>
        <v>1.0416666666666666E-2</v>
      </c>
      <c r="F33" s="10">
        <f t="shared" si="16"/>
        <v>0.6537384259259259</v>
      </c>
      <c r="G33" s="10">
        <v>0.66388888888888886</v>
      </c>
      <c r="H33" s="8">
        <f t="shared" si="1"/>
        <v>1.0150462962962958E-2</v>
      </c>
      <c r="I33" s="11">
        <f t="shared" si="2"/>
        <v>0.66415509259259253</v>
      </c>
      <c r="J33" s="8"/>
      <c r="K33" s="8"/>
      <c r="L33" s="8" t="str">
        <f t="shared" si="17"/>
        <v xml:space="preserve"> </v>
      </c>
      <c r="M33" s="18"/>
      <c r="N33" s="13">
        <f t="shared" si="3"/>
        <v>1.0262257696693278</v>
      </c>
    </row>
    <row r="34" spans="1:15" ht="14.5">
      <c r="A34" s="6">
        <v>45569</v>
      </c>
      <c r="B34" s="7" t="s">
        <v>16</v>
      </c>
      <c r="C34" s="7">
        <v>10</v>
      </c>
      <c r="D34" s="8">
        <v>5.5555555555555558E-3</v>
      </c>
      <c r="E34" s="8">
        <f t="shared" si="0"/>
        <v>5.5555555555555559E-2</v>
      </c>
      <c r="F34" s="10">
        <f t="shared" si="16"/>
        <v>0.66388888888888886</v>
      </c>
      <c r="G34" s="10">
        <v>0.71277121527236886</v>
      </c>
      <c r="H34" s="8">
        <f t="shared" si="1"/>
        <v>4.8882326383480001E-2</v>
      </c>
      <c r="I34" s="11">
        <f t="shared" si="2"/>
        <v>0.71944444444444444</v>
      </c>
      <c r="J34" s="8"/>
      <c r="K34" s="8"/>
      <c r="L34" s="8" t="str">
        <f t="shared" si="17"/>
        <v xml:space="preserve"> </v>
      </c>
      <c r="M34" s="18"/>
      <c r="N34" s="13">
        <f t="shared" si="3"/>
        <v>1.1365161944160416</v>
      </c>
      <c r="O34" s="19"/>
    </row>
    <row r="35" spans="1:15" ht="14.5">
      <c r="A35" s="6">
        <v>45572</v>
      </c>
      <c r="B35" s="7" t="s">
        <v>42</v>
      </c>
      <c r="C35" s="7">
        <v>1</v>
      </c>
      <c r="D35" s="8">
        <v>6.9444444444444441E-3</v>
      </c>
      <c r="E35" s="8">
        <f t="shared" si="0"/>
        <v>6.9444444444444441E-3</v>
      </c>
      <c r="F35" s="10">
        <v>0.33678240740740739</v>
      </c>
      <c r="G35" s="10">
        <v>0.34340277777777778</v>
      </c>
      <c r="H35" s="8">
        <f t="shared" si="1"/>
        <v>6.6203703703703876E-3</v>
      </c>
      <c r="I35" s="11">
        <f t="shared" si="2"/>
        <v>0.34372685185185181</v>
      </c>
      <c r="J35" s="8"/>
      <c r="K35" s="8"/>
      <c r="L35" s="8" t="str">
        <f t="shared" si="17"/>
        <v xml:space="preserve"> </v>
      </c>
      <c r="M35" s="18"/>
      <c r="N35" s="13">
        <f t="shared" si="3"/>
        <v>1.0489510489510461</v>
      </c>
    </row>
    <row r="36" spans="1:15" ht="14.5">
      <c r="A36" s="6">
        <v>45572</v>
      </c>
      <c r="B36" s="7" t="s">
        <v>96</v>
      </c>
      <c r="C36" s="7">
        <v>1</v>
      </c>
      <c r="D36" s="8">
        <v>3.4722222222222224E-2</v>
      </c>
      <c r="E36" s="8">
        <f t="shared" si="0"/>
        <v>3.4722222222222224E-2</v>
      </c>
      <c r="F36" s="10">
        <f t="shared" ref="F36:F39" si="18">G35</f>
        <v>0.34340277777777778</v>
      </c>
      <c r="G36" s="10">
        <v>0.3762847222222222</v>
      </c>
      <c r="H36" s="8">
        <f t="shared" si="1"/>
        <v>3.2881944444444422E-2</v>
      </c>
      <c r="I36" s="11">
        <f t="shared" si="2"/>
        <v>0.37812499999999999</v>
      </c>
      <c r="J36" s="8"/>
      <c r="K36" s="8"/>
      <c r="L36" s="8" t="str">
        <f t="shared" si="17"/>
        <v xml:space="preserve"> </v>
      </c>
      <c r="M36" s="18"/>
      <c r="N36" s="13">
        <f t="shared" si="3"/>
        <v>1.0559662090813102</v>
      </c>
    </row>
    <row r="37" spans="1:15" ht="14.5">
      <c r="A37" s="6">
        <v>45572</v>
      </c>
      <c r="B37" s="7" t="s">
        <v>63</v>
      </c>
      <c r="C37" s="7">
        <v>1</v>
      </c>
      <c r="D37" s="8">
        <v>3.4722222222222224E-2</v>
      </c>
      <c r="E37" s="8">
        <f t="shared" si="0"/>
        <v>3.4722222222222224E-2</v>
      </c>
      <c r="F37" s="10">
        <f t="shared" si="18"/>
        <v>0.3762847222222222</v>
      </c>
      <c r="G37" s="10">
        <v>0.42363425925925924</v>
      </c>
      <c r="H37" s="8">
        <f t="shared" si="1"/>
        <v>3.0578703703703705E-2</v>
      </c>
      <c r="I37" s="11">
        <f t="shared" si="2"/>
        <v>0.42777777777777776</v>
      </c>
      <c r="J37" s="8"/>
      <c r="K37" s="8"/>
      <c r="L37" s="8">
        <v>1.6770833333333332E-2</v>
      </c>
      <c r="M37" s="18"/>
      <c r="N37" s="13">
        <f t="shared" si="3"/>
        <v>1.1355034065102196</v>
      </c>
      <c r="O37" s="4"/>
    </row>
    <row r="38" spans="1:15" ht="14.5">
      <c r="A38" s="6">
        <v>45572</v>
      </c>
      <c r="B38" s="7" t="s">
        <v>16</v>
      </c>
      <c r="C38" s="7">
        <v>28</v>
      </c>
      <c r="D38" s="8">
        <v>5.5555555555555558E-3</v>
      </c>
      <c r="E38" s="8">
        <f t="shared" si="0"/>
        <v>0.15555555555555556</v>
      </c>
      <c r="F38" s="10">
        <f t="shared" si="18"/>
        <v>0.42363425925925924</v>
      </c>
      <c r="G38" s="10">
        <v>0.62768518518518523</v>
      </c>
      <c r="H38" s="8">
        <f t="shared" si="1"/>
        <v>0.14789351851851859</v>
      </c>
      <c r="I38" s="11">
        <f t="shared" si="2"/>
        <v>0.63534722222222217</v>
      </c>
      <c r="J38" s="8"/>
      <c r="K38" s="8"/>
      <c r="L38" s="8">
        <v>5.6157407407407406E-2</v>
      </c>
      <c r="M38" s="18"/>
      <c r="N38" s="13">
        <f t="shared" si="3"/>
        <v>1.0518077946470492</v>
      </c>
      <c r="O38" s="4"/>
    </row>
    <row r="39" spans="1:15" ht="14.5">
      <c r="A39" s="6">
        <v>45572</v>
      </c>
      <c r="B39" s="7" t="s">
        <v>16</v>
      </c>
      <c r="C39" s="7">
        <v>18</v>
      </c>
      <c r="D39" s="8">
        <v>5.5555555555555558E-3</v>
      </c>
      <c r="E39" s="8">
        <f t="shared" si="0"/>
        <v>0.1</v>
      </c>
      <c r="F39" s="10">
        <f t="shared" si="18"/>
        <v>0.62768518518518523</v>
      </c>
      <c r="G39" s="10">
        <v>0.72222222222222221</v>
      </c>
      <c r="H39" s="8">
        <f t="shared" si="1"/>
        <v>9.4537037037036975E-2</v>
      </c>
      <c r="I39" s="11">
        <f t="shared" si="2"/>
        <v>0.72768518518518521</v>
      </c>
      <c r="J39" s="8"/>
      <c r="K39" s="8"/>
      <c r="L39" s="8" t="str">
        <f>IF(OR(J39=0,K39=0)," ",K39-J39)</f>
        <v xml:space="preserve"> </v>
      </c>
      <c r="M39" s="18"/>
      <c r="N39" s="13">
        <f t="shared" si="3"/>
        <v>1.057786483839374</v>
      </c>
      <c r="O39" s="19"/>
    </row>
    <row r="40" spans="1:15" ht="14.5">
      <c r="A40" s="6">
        <v>45573</v>
      </c>
      <c r="B40" s="7" t="s">
        <v>16</v>
      </c>
      <c r="C40" s="7">
        <v>15</v>
      </c>
      <c r="D40" s="8">
        <v>5.5555555555555558E-3</v>
      </c>
      <c r="E40" s="8">
        <f t="shared" si="0"/>
        <v>8.3333333333333343E-2</v>
      </c>
      <c r="F40" s="10">
        <v>0.33416666666666667</v>
      </c>
      <c r="G40" s="10">
        <v>0.4258912037037037</v>
      </c>
      <c r="H40" s="8">
        <f t="shared" si="1"/>
        <v>7.9699074074074075E-2</v>
      </c>
      <c r="I40" s="11">
        <f t="shared" si="2"/>
        <v>0.42952546296296296</v>
      </c>
      <c r="J40" s="8"/>
      <c r="K40" s="8"/>
      <c r="L40" s="8">
        <v>1.2025462962962963E-2</v>
      </c>
      <c r="M40" s="18"/>
      <c r="N40" s="13">
        <f t="shared" si="3"/>
        <v>1.0455997676444961</v>
      </c>
      <c r="O40" s="4"/>
    </row>
    <row r="41" spans="1:15" ht="14.5">
      <c r="A41" s="6">
        <v>45573</v>
      </c>
      <c r="B41" s="7" t="s">
        <v>16</v>
      </c>
      <c r="C41" s="7">
        <v>33</v>
      </c>
      <c r="D41" s="8">
        <v>5.5555555555555558E-3</v>
      </c>
      <c r="E41" s="8">
        <f t="shared" si="0"/>
        <v>0.18333333333333335</v>
      </c>
      <c r="F41" s="10">
        <f>G40</f>
        <v>0.4258912037037037</v>
      </c>
      <c r="G41" s="10">
        <v>0.67531249999999998</v>
      </c>
      <c r="H41" s="8">
        <f t="shared" si="1"/>
        <v>0.17516203703703703</v>
      </c>
      <c r="I41" s="11">
        <f t="shared" si="2"/>
        <v>0.6834837962962963</v>
      </c>
      <c r="J41" s="8"/>
      <c r="K41" s="8"/>
      <c r="L41" s="8">
        <v>7.4259259259259261E-2</v>
      </c>
      <c r="M41" s="18"/>
      <c r="N41" s="13">
        <f t="shared" si="3"/>
        <v>1.0466499273159773</v>
      </c>
      <c r="O41" s="4"/>
    </row>
    <row r="42" spans="1:15" ht="14.5">
      <c r="A42" s="6">
        <v>45573</v>
      </c>
      <c r="B42" s="7" t="s">
        <v>97</v>
      </c>
      <c r="C42" s="7">
        <v>4</v>
      </c>
      <c r="D42" s="8">
        <v>2.0833333333333333E-3</v>
      </c>
      <c r="E42" s="8">
        <f t="shared" si="0"/>
        <v>8.3333333333333332E-3</v>
      </c>
      <c r="F42" s="10">
        <v>0.48804398148148154</v>
      </c>
      <c r="G42" s="10">
        <v>0.49585648148148148</v>
      </c>
      <c r="H42" s="8">
        <f t="shared" si="1"/>
        <v>7.8124999999999445E-3</v>
      </c>
      <c r="I42" s="11">
        <f t="shared" si="2"/>
        <v>0.4963773148148149</v>
      </c>
      <c r="J42" s="8"/>
      <c r="K42" s="8"/>
      <c r="L42" s="8" t="str">
        <f t="shared" ref="L42:L44" si="19">IF(OR(J42=0,K42=0)," ",K42-J42)</f>
        <v xml:space="preserve"> </v>
      </c>
      <c r="M42" s="18"/>
      <c r="N42" s="13">
        <f t="shared" si="3"/>
        <v>1.0666666666666742</v>
      </c>
      <c r="O42" s="4"/>
    </row>
    <row r="43" spans="1:15" ht="14.5">
      <c r="A43" s="6">
        <v>45573</v>
      </c>
      <c r="B43" s="7" t="s">
        <v>38</v>
      </c>
      <c r="C43" s="7">
        <v>16</v>
      </c>
      <c r="D43" s="8">
        <v>2.7777777777777779E-3</v>
      </c>
      <c r="E43" s="8">
        <f t="shared" si="0"/>
        <v>4.4444444444444446E-2</v>
      </c>
      <c r="F43" s="10">
        <f>G41</f>
        <v>0.67531249999999998</v>
      </c>
      <c r="G43" s="10">
        <v>0.71885416666666668</v>
      </c>
      <c r="H43" s="8">
        <f t="shared" si="1"/>
        <v>4.3541666666666701E-2</v>
      </c>
      <c r="I43" s="11">
        <f t="shared" si="2"/>
        <v>0.71975694444444438</v>
      </c>
      <c r="J43" s="8"/>
      <c r="K43" s="8"/>
      <c r="L43" s="8" t="str">
        <f t="shared" si="19"/>
        <v xml:space="preserve"> </v>
      </c>
      <c r="M43" s="18"/>
      <c r="N43" s="13">
        <f t="shared" si="3"/>
        <v>1.0207336523125989</v>
      </c>
      <c r="O43" s="4"/>
    </row>
    <row r="44" spans="1:15" ht="14.5">
      <c r="A44" s="6">
        <v>45574</v>
      </c>
      <c r="B44" s="7" t="s">
        <v>37</v>
      </c>
      <c r="C44" s="7">
        <v>16</v>
      </c>
      <c r="D44" s="8">
        <v>1.3888888888888889E-3</v>
      </c>
      <c r="E44" s="8">
        <f t="shared" si="0"/>
        <v>2.2222222222222223E-2</v>
      </c>
      <c r="F44" s="10">
        <v>0.33552083333333338</v>
      </c>
      <c r="G44" s="10">
        <v>0.35579861111111111</v>
      </c>
      <c r="H44" s="8">
        <f t="shared" si="1"/>
        <v>2.0277777777777728E-2</v>
      </c>
      <c r="I44" s="11">
        <f t="shared" si="2"/>
        <v>0.35774305555555558</v>
      </c>
      <c r="J44" s="8"/>
      <c r="K44" s="8"/>
      <c r="L44" s="8" t="str">
        <f t="shared" si="19"/>
        <v xml:space="preserve"> </v>
      </c>
      <c r="M44" s="18"/>
      <c r="N44" s="13">
        <f t="shared" si="3"/>
        <v>1.0958904109589069</v>
      </c>
      <c r="O44" s="19"/>
    </row>
    <row r="45" spans="1:15" ht="14.5">
      <c r="A45" s="6">
        <v>45574</v>
      </c>
      <c r="B45" s="7" t="s">
        <v>16</v>
      </c>
      <c r="C45" s="7">
        <v>11</v>
      </c>
      <c r="D45" s="8">
        <v>5.5555555555555558E-3</v>
      </c>
      <c r="E45" s="9">
        <f t="shared" si="0"/>
        <v>6.1111111111111116E-2</v>
      </c>
      <c r="F45" s="10">
        <v>0.42060185185185184</v>
      </c>
      <c r="G45" s="10">
        <v>0.49991898148148151</v>
      </c>
      <c r="H45" s="8">
        <f t="shared" si="1"/>
        <v>5.7511574074074111E-2</v>
      </c>
      <c r="I45" s="11">
        <f t="shared" si="2"/>
        <v>0.50351851851851848</v>
      </c>
      <c r="J45" s="8"/>
      <c r="K45" s="8"/>
      <c r="L45" s="8">
        <v>2.1805555555555557E-2</v>
      </c>
      <c r="M45" s="18"/>
      <c r="N45" s="13">
        <f t="shared" si="3"/>
        <v>1.0625880458844832</v>
      </c>
      <c r="O45" s="4"/>
    </row>
    <row r="46" spans="1:15" ht="14.5">
      <c r="A46" s="6">
        <v>45574</v>
      </c>
      <c r="B46" s="7" t="s">
        <v>49</v>
      </c>
      <c r="C46" s="7">
        <v>18</v>
      </c>
      <c r="D46" s="8">
        <v>3.472222222222222E-3</v>
      </c>
      <c r="E46" s="8">
        <f t="shared" si="0"/>
        <v>6.25E-2</v>
      </c>
      <c r="F46" s="10">
        <v>0.50005787037037042</v>
      </c>
      <c r="G46" s="10">
        <v>0.56721064814814814</v>
      </c>
      <c r="H46" s="8">
        <f t="shared" si="1"/>
        <v>6.2314814814814767E-2</v>
      </c>
      <c r="I46" s="11">
        <f t="shared" si="2"/>
        <v>0.56739583333333343</v>
      </c>
      <c r="J46" s="8"/>
      <c r="K46" s="8"/>
      <c r="L46" s="8">
        <v>4.8379629629629632E-3</v>
      </c>
      <c r="M46" s="18"/>
      <c r="N46" s="13">
        <f t="shared" si="3"/>
        <v>1.0029717682020809</v>
      </c>
      <c r="O46" s="4"/>
    </row>
    <row r="47" spans="1:15" ht="14.5">
      <c r="A47" s="6">
        <v>45574</v>
      </c>
      <c r="B47" s="7" t="s">
        <v>16</v>
      </c>
      <c r="C47" s="7">
        <v>19</v>
      </c>
      <c r="D47" s="8">
        <v>5.5555555555555558E-3</v>
      </c>
      <c r="E47" s="8">
        <f t="shared" si="0"/>
        <v>0.10555555555555556</v>
      </c>
      <c r="F47" s="10">
        <v>0.56724537037037037</v>
      </c>
      <c r="G47" s="10">
        <v>0.69625000000000004</v>
      </c>
      <c r="H47" s="8">
        <f t="shared" si="1"/>
        <v>0.10282407407407411</v>
      </c>
      <c r="I47" s="11">
        <f t="shared" si="2"/>
        <v>0.69898148148148143</v>
      </c>
      <c r="J47" s="8"/>
      <c r="K47" s="8"/>
      <c r="L47" s="8">
        <v>2.6180555555555554E-2</v>
      </c>
      <c r="M47" s="18"/>
      <c r="N47" s="13">
        <f t="shared" si="3"/>
        <v>1.0265646105357944</v>
      </c>
      <c r="O47" s="4"/>
    </row>
    <row r="48" spans="1:15" ht="14.5">
      <c r="A48" s="6">
        <v>45574</v>
      </c>
      <c r="B48" s="7" t="s">
        <v>49</v>
      </c>
      <c r="C48" s="7">
        <v>6</v>
      </c>
      <c r="D48" s="8">
        <v>3.472222222222222E-3</v>
      </c>
      <c r="E48" s="8">
        <f t="shared" si="0"/>
        <v>2.0833333333333332E-2</v>
      </c>
      <c r="F48" s="10">
        <f>G47</f>
        <v>0.69625000000000004</v>
      </c>
      <c r="G48" s="10">
        <v>0.7176851851851852</v>
      </c>
      <c r="H48" s="8">
        <f t="shared" si="1"/>
        <v>2.1435185185185168E-2</v>
      </c>
      <c r="I48" s="11">
        <f t="shared" si="2"/>
        <v>0.71708333333333341</v>
      </c>
      <c r="J48" s="8"/>
      <c r="K48" s="8"/>
      <c r="L48" s="8"/>
      <c r="M48" s="18"/>
      <c r="N48" s="13">
        <f t="shared" si="3"/>
        <v>0.9719222462203031</v>
      </c>
      <c r="O48" s="4"/>
    </row>
    <row r="49" spans="1:23" ht="14.5">
      <c r="A49" s="6">
        <v>45575</v>
      </c>
      <c r="B49" s="7" t="s">
        <v>46</v>
      </c>
      <c r="C49" s="7">
        <v>26</v>
      </c>
      <c r="D49" s="8">
        <v>3.472222222222222E-3</v>
      </c>
      <c r="E49" s="8">
        <f t="shared" si="0"/>
        <v>9.0277777777777776E-2</v>
      </c>
      <c r="F49" s="10">
        <v>0.34021990740740743</v>
      </c>
      <c r="G49" s="10">
        <v>0.44084490740740739</v>
      </c>
      <c r="H49" s="8">
        <f t="shared" si="1"/>
        <v>8.5092592592592553E-2</v>
      </c>
      <c r="I49" s="11">
        <f t="shared" si="2"/>
        <v>0.44603009259259263</v>
      </c>
      <c r="J49" s="8"/>
      <c r="K49" s="8"/>
      <c r="L49" s="8">
        <v>1.5532407407407408E-2</v>
      </c>
      <c r="M49" s="18"/>
      <c r="N49" s="13">
        <f t="shared" si="3"/>
        <v>1.0609357997823725</v>
      </c>
      <c r="O49" s="4"/>
    </row>
    <row r="50" spans="1:23" ht="14.5">
      <c r="A50" s="6">
        <v>45575</v>
      </c>
      <c r="B50" s="7" t="s">
        <v>42</v>
      </c>
      <c r="C50" s="7">
        <v>1</v>
      </c>
      <c r="D50" s="8">
        <v>6.9444444444444441E-3</v>
      </c>
      <c r="E50" s="8">
        <f t="shared" si="0"/>
        <v>6.9444444444444441E-3</v>
      </c>
      <c r="F50" s="10">
        <f>G49</f>
        <v>0.44084490740740739</v>
      </c>
      <c r="G50" s="10">
        <v>0.4472800925925926</v>
      </c>
      <c r="H50" s="8">
        <f t="shared" si="1"/>
        <v>6.4351851851852104E-3</v>
      </c>
      <c r="I50" s="11">
        <f t="shared" si="2"/>
        <v>0.44778935185185181</v>
      </c>
      <c r="J50" s="8"/>
      <c r="K50" s="8"/>
      <c r="L50" s="8" t="str">
        <f>IF(OR(J50=0,K50=0)," ",K50-J50)</f>
        <v xml:space="preserve"> </v>
      </c>
      <c r="M50" s="18"/>
      <c r="N50" s="13">
        <f t="shared" si="3"/>
        <v>1.0791366906474777</v>
      </c>
      <c r="O50" s="4"/>
    </row>
    <row r="51" spans="1:23" ht="14.5">
      <c r="A51" s="6">
        <v>45575</v>
      </c>
      <c r="B51" s="7" t="s">
        <v>49</v>
      </c>
      <c r="C51" s="7">
        <v>6</v>
      </c>
      <c r="D51" s="8">
        <v>3.472222222222222E-3</v>
      </c>
      <c r="E51" s="8">
        <f t="shared" si="0"/>
        <v>2.0833333333333332E-2</v>
      </c>
      <c r="F51" s="10">
        <v>0.44737268518518519</v>
      </c>
      <c r="G51" s="10">
        <v>0.49746527777777777</v>
      </c>
      <c r="H51" s="8">
        <f t="shared" si="1"/>
        <v>2.10648148148148E-2</v>
      </c>
      <c r="I51" s="11">
        <f t="shared" si="2"/>
        <v>0.49723379629629627</v>
      </c>
      <c r="J51" s="8"/>
      <c r="K51" s="8"/>
      <c r="L51" s="8">
        <v>2.9027777777777777E-2</v>
      </c>
      <c r="M51" s="18"/>
      <c r="N51" s="13">
        <f t="shared" si="3"/>
        <v>0.98901098901098961</v>
      </c>
      <c r="O51" s="4"/>
    </row>
    <row r="52" spans="1:23" ht="14.5">
      <c r="A52" s="6">
        <v>45575</v>
      </c>
      <c r="B52" s="7" t="s">
        <v>46</v>
      </c>
      <c r="C52" s="7">
        <v>26</v>
      </c>
      <c r="D52" s="8">
        <v>3.472222222222222E-3</v>
      </c>
      <c r="E52" s="8">
        <f t="shared" si="0"/>
        <v>9.0277777777777776E-2</v>
      </c>
      <c r="F52" s="10">
        <v>0.49752314814814813</v>
      </c>
      <c r="G52" s="10">
        <v>0.59936342592592595</v>
      </c>
      <c r="H52" s="8">
        <f t="shared" si="1"/>
        <v>8.7511574074074117E-2</v>
      </c>
      <c r="I52" s="11">
        <f t="shared" si="2"/>
        <v>0.60212962962962957</v>
      </c>
      <c r="J52" s="8"/>
      <c r="K52" s="8"/>
      <c r="L52" s="8">
        <v>1.4328703703703703E-2</v>
      </c>
      <c r="M52" s="18"/>
      <c r="N52" s="13">
        <f t="shared" si="3"/>
        <v>1.0316095754529819</v>
      </c>
      <c r="O52" s="19"/>
    </row>
    <row r="53" spans="1:23" ht="14.5">
      <c r="A53" s="6">
        <v>45575</v>
      </c>
      <c r="B53" s="7" t="s">
        <v>50</v>
      </c>
      <c r="C53" s="7">
        <v>1</v>
      </c>
      <c r="D53" s="8">
        <v>1.0416666666666666E-2</v>
      </c>
      <c r="E53" s="8">
        <f t="shared" si="0"/>
        <v>1.0416666666666666E-2</v>
      </c>
      <c r="F53" s="10">
        <f t="shared" ref="F53:F59" si="20">G52</f>
        <v>0.59936342592592595</v>
      </c>
      <c r="G53" s="10">
        <v>0.60924768518518524</v>
      </c>
      <c r="H53" s="8">
        <f t="shared" si="1"/>
        <v>9.8842592592592871E-3</v>
      </c>
      <c r="I53" s="11">
        <f t="shared" si="2"/>
        <v>0.60978009259259258</v>
      </c>
      <c r="J53" s="8"/>
      <c r="K53" s="8"/>
      <c r="L53" s="8" t="str">
        <f t="shared" ref="L53:L54" si="21">IF(OR(J53=0,K53=0)," ",K53-J53)</f>
        <v xml:space="preserve"> </v>
      </c>
      <c r="M53" s="18"/>
      <c r="N53" s="13">
        <f t="shared" si="3"/>
        <v>1.0538641686182639</v>
      </c>
    </row>
    <row r="54" spans="1:23" ht="14.5">
      <c r="A54" s="6">
        <v>45575</v>
      </c>
      <c r="B54" s="7" t="s">
        <v>51</v>
      </c>
      <c r="C54" s="7">
        <v>1</v>
      </c>
      <c r="D54" s="8">
        <v>1.0416666666666666E-2</v>
      </c>
      <c r="E54" s="8">
        <f t="shared" si="0"/>
        <v>1.0416666666666666E-2</v>
      </c>
      <c r="F54" s="10">
        <f t="shared" si="20"/>
        <v>0.60924768518518524</v>
      </c>
      <c r="G54" s="10">
        <v>0.6185532407407407</v>
      </c>
      <c r="H54" s="8">
        <f t="shared" si="1"/>
        <v>9.3055555555554559E-3</v>
      </c>
      <c r="I54" s="11">
        <f t="shared" si="2"/>
        <v>0.61966435185185187</v>
      </c>
      <c r="J54" s="8"/>
      <c r="K54" s="8"/>
      <c r="L54" s="8" t="str">
        <f t="shared" si="21"/>
        <v xml:space="preserve"> </v>
      </c>
      <c r="M54" s="18"/>
      <c r="N54" s="13">
        <f t="shared" si="3"/>
        <v>1.1194029850746388</v>
      </c>
    </row>
    <row r="55" spans="1:23" ht="14.5">
      <c r="A55" s="6">
        <v>45575</v>
      </c>
      <c r="B55" s="7" t="s">
        <v>52</v>
      </c>
      <c r="C55" s="7">
        <v>1</v>
      </c>
      <c r="D55" s="8">
        <v>1.0416666666666666E-2</v>
      </c>
      <c r="E55" s="8">
        <f t="shared" si="0"/>
        <v>1.0416666666666666E-2</v>
      </c>
      <c r="F55" s="10">
        <f t="shared" si="20"/>
        <v>0.6185532407407407</v>
      </c>
      <c r="G55" s="10">
        <v>0.64025462962962965</v>
      </c>
      <c r="H55" s="8">
        <f t="shared" si="1"/>
        <v>9.3865740740741357E-3</v>
      </c>
      <c r="I55" s="11">
        <f t="shared" si="2"/>
        <v>0.6412847222222221</v>
      </c>
      <c r="J55" s="8"/>
      <c r="K55" s="8"/>
      <c r="L55" s="8">
        <v>1.2314814814814815E-2</v>
      </c>
      <c r="M55" s="18"/>
      <c r="N55" s="13">
        <f t="shared" si="3"/>
        <v>1.1097410604192282</v>
      </c>
    </row>
    <row r="56" spans="1:23" ht="14.5">
      <c r="A56" s="6">
        <v>45575</v>
      </c>
      <c r="B56" s="7" t="s">
        <v>53</v>
      </c>
      <c r="C56" s="7">
        <v>1</v>
      </c>
      <c r="D56" s="8">
        <v>1.0416666666666666E-2</v>
      </c>
      <c r="E56" s="8">
        <f t="shared" si="0"/>
        <v>1.0416666666666666E-2</v>
      </c>
      <c r="F56" s="10">
        <f t="shared" si="20"/>
        <v>0.64025462962962965</v>
      </c>
      <c r="G56" s="10">
        <v>0.64960648148148148</v>
      </c>
      <c r="H56" s="8">
        <f t="shared" si="1"/>
        <v>9.3518518518518334E-3</v>
      </c>
      <c r="I56" s="11">
        <f t="shared" si="2"/>
        <v>0.65067129629629628</v>
      </c>
      <c r="J56" s="8"/>
      <c r="K56" s="8"/>
      <c r="L56" s="8" t="str">
        <f t="shared" ref="L56:L59" si="22">IF(OR(J56=0,K56=0)," ",K56-J56)</f>
        <v xml:space="preserve"> </v>
      </c>
      <c r="M56" s="18"/>
      <c r="N56" s="13">
        <f t="shared" si="3"/>
        <v>1.113861386138616</v>
      </c>
      <c r="P56" s="4"/>
    </row>
    <row r="57" spans="1:23" ht="14.5">
      <c r="A57" s="6">
        <v>45575</v>
      </c>
      <c r="B57" s="7" t="s">
        <v>96</v>
      </c>
      <c r="C57" s="7">
        <v>1</v>
      </c>
      <c r="D57" s="8">
        <v>3.4722222222222224E-2</v>
      </c>
      <c r="E57" s="8">
        <f t="shared" si="0"/>
        <v>3.4722222222222224E-2</v>
      </c>
      <c r="F57" s="10">
        <f t="shared" si="20"/>
        <v>0.64960648148148148</v>
      </c>
      <c r="G57" s="10">
        <v>0.68053240740740739</v>
      </c>
      <c r="H57" s="8">
        <f t="shared" si="1"/>
        <v>3.0925925925925912E-2</v>
      </c>
      <c r="I57" s="11">
        <f t="shared" si="2"/>
        <v>0.68432870370370369</v>
      </c>
      <c r="J57" s="8"/>
      <c r="K57" s="8"/>
      <c r="L57" s="8" t="str">
        <f t="shared" si="22"/>
        <v xml:space="preserve"> </v>
      </c>
      <c r="M57" s="18"/>
      <c r="N57" s="13">
        <f t="shared" si="3"/>
        <v>1.1227544910179645</v>
      </c>
      <c r="O57" s="4"/>
      <c r="P57" s="4"/>
    </row>
    <row r="58" spans="1:23" ht="14.5">
      <c r="A58" s="6">
        <v>45575</v>
      </c>
      <c r="B58" s="7" t="s">
        <v>65</v>
      </c>
      <c r="C58" s="7">
        <v>1</v>
      </c>
      <c r="D58" s="8">
        <v>2.0833333333333332E-2</v>
      </c>
      <c r="E58" s="8">
        <f t="shared" si="0"/>
        <v>2.0833333333333332E-2</v>
      </c>
      <c r="F58" s="10">
        <f t="shared" si="20"/>
        <v>0.68053240740740739</v>
      </c>
      <c r="G58" s="10">
        <v>0.69865740740740745</v>
      </c>
      <c r="H58" s="8">
        <f t="shared" si="1"/>
        <v>1.8125000000000058E-2</v>
      </c>
      <c r="I58" s="11">
        <f t="shared" si="2"/>
        <v>0.70136574074074076</v>
      </c>
      <c r="J58" s="8"/>
      <c r="K58" s="8"/>
      <c r="L58" s="8" t="str">
        <f t="shared" si="22"/>
        <v xml:space="preserve"> </v>
      </c>
      <c r="M58" s="18"/>
      <c r="N58" s="13">
        <f t="shared" si="3"/>
        <v>1.1494252873563182</v>
      </c>
      <c r="O58" s="19"/>
      <c r="P58" s="4"/>
    </row>
    <row r="59" spans="1:23" ht="14.5">
      <c r="A59" s="38">
        <v>45575</v>
      </c>
      <c r="B59" s="39" t="s">
        <v>86</v>
      </c>
      <c r="C59" s="39">
        <v>18</v>
      </c>
      <c r="D59" s="40">
        <v>1.3888888888888889E-3</v>
      </c>
      <c r="E59" s="40">
        <f t="shared" si="0"/>
        <v>2.5000000000000001E-2</v>
      </c>
      <c r="F59" s="41">
        <f t="shared" si="20"/>
        <v>0.69865740740740745</v>
      </c>
      <c r="G59" s="41">
        <v>0.72290509259259261</v>
      </c>
      <c r="H59" s="40">
        <f t="shared" si="1"/>
        <v>2.4247685185185164E-2</v>
      </c>
      <c r="I59" s="42">
        <f t="shared" si="2"/>
        <v>0.72365740740740747</v>
      </c>
      <c r="J59" s="40"/>
      <c r="K59" s="40"/>
      <c r="L59" s="40" t="str">
        <f t="shared" si="22"/>
        <v xml:space="preserve"> </v>
      </c>
      <c r="M59" s="43"/>
      <c r="N59" s="44">
        <f t="shared" si="3"/>
        <v>1.0310262529832945</v>
      </c>
      <c r="O59" s="25"/>
      <c r="P59" s="25"/>
      <c r="Q59" s="26"/>
      <c r="R59" s="26"/>
      <c r="S59" s="26"/>
      <c r="T59" s="26"/>
      <c r="U59" s="26"/>
      <c r="V59" s="26"/>
      <c r="W59" s="26"/>
    </row>
    <row r="60" spans="1:23" ht="14.5">
      <c r="A60" s="6">
        <v>45576</v>
      </c>
      <c r="B60" s="7" t="s">
        <v>16</v>
      </c>
      <c r="C60" s="7">
        <v>28</v>
      </c>
      <c r="D60" s="8">
        <v>5.5555555555555558E-3</v>
      </c>
      <c r="E60" s="8">
        <f t="shared" si="0"/>
        <v>0.15555555555555556</v>
      </c>
      <c r="F60" s="10">
        <v>0.33826388888888886</v>
      </c>
      <c r="G60" s="10">
        <v>0.54104166666666664</v>
      </c>
      <c r="H60" s="8">
        <f t="shared" si="1"/>
        <v>0.15167824074074074</v>
      </c>
      <c r="I60" s="11">
        <f t="shared" si="2"/>
        <v>0.54491898148148143</v>
      </c>
      <c r="J60" s="8"/>
      <c r="K60" s="8"/>
      <c r="L60" s="8">
        <v>5.1099537037037034E-2</v>
      </c>
      <c r="M60" s="18"/>
      <c r="N60" s="13">
        <f t="shared" si="3"/>
        <v>1.0255627623044641</v>
      </c>
      <c r="O60" s="4"/>
      <c r="Q60" s="4"/>
    </row>
    <row r="61" spans="1:23" ht="14.5">
      <c r="A61" s="6">
        <v>45576</v>
      </c>
      <c r="B61" s="7" t="s">
        <v>16</v>
      </c>
      <c r="C61" s="7">
        <v>24</v>
      </c>
      <c r="D61" s="8">
        <v>5.5555555555555558E-3</v>
      </c>
      <c r="E61" s="8">
        <f t="shared" si="0"/>
        <v>0.13333333333333333</v>
      </c>
      <c r="F61" s="10">
        <f>G60</f>
        <v>0.54104166666666664</v>
      </c>
      <c r="G61" s="10">
        <v>0.7246966087986948</v>
      </c>
      <c r="H61" s="8">
        <f t="shared" si="1"/>
        <v>0.1313401273172134</v>
      </c>
      <c r="I61" s="11">
        <f t="shared" si="2"/>
        <v>0.72668981481481465</v>
      </c>
      <c r="J61" s="8"/>
      <c r="K61" s="8"/>
      <c r="L61" s="8">
        <v>5.2314814814814752E-2</v>
      </c>
      <c r="M61" s="18"/>
      <c r="N61" s="13">
        <f t="shared" si="3"/>
        <v>1.015175910491589</v>
      </c>
      <c r="O61" s="19" t="e">
        <f ca="1">AVERAGEIF(A:A,TODAY(),N:N)</f>
        <v>#DIV/0!</v>
      </c>
      <c r="Q61" s="4"/>
    </row>
    <row r="62" spans="1:23" ht="14.5">
      <c r="A62" s="6">
        <v>45576</v>
      </c>
      <c r="B62" s="7" t="s">
        <v>50</v>
      </c>
      <c r="C62" s="7">
        <v>1</v>
      </c>
      <c r="D62" s="8">
        <v>1.0416666666666666E-2</v>
      </c>
      <c r="E62" s="8">
        <f t="shared" si="0"/>
        <v>1.0416666666666666E-2</v>
      </c>
      <c r="F62" s="10">
        <v>0.61300925925925931</v>
      </c>
      <c r="G62" s="10">
        <v>0.62222222222222223</v>
      </c>
      <c r="H62" s="8">
        <f t="shared" si="1"/>
        <v>9.2129629629629228E-3</v>
      </c>
      <c r="I62" s="11">
        <f t="shared" si="2"/>
        <v>0.62342592592592594</v>
      </c>
      <c r="J62" s="8"/>
      <c r="K62" s="8"/>
      <c r="L62" s="8" t="str">
        <f t="shared" ref="L62:L70" si="23">IF(OR(J62=0,K62=0)," ",K62-J62)</f>
        <v xml:space="preserve"> </v>
      </c>
      <c r="M62" s="18"/>
      <c r="N62" s="13">
        <f t="shared" si="3"/>
        <v>1.1306532663316631</v>
      </c>
      <c r="O62" s="4"/>
    </row>
    <row r="63" spans="1:23" ht="14.5">
      <c r="A63" s="6">
        <v>45576</v>
      </c>
      <c r="B63" s="7" t="s">
        <v>51</v>
      </c>
      <c r="C63" s="7">
        <v>1</v>
      </c>
      <c r="D63" s="8">
        <v>1.0416666666666666E-2</v>
      </c>
      <c r="E63" s="8">
        <f t="shared" si="0"/>
        <v>1.0416666666666666E-2</v>
      </c>
      <c r="F63" s="10">
        <f t="shared" ref="F63:F65" si="24">G62</f>
        <v>0.62222222222222223</v>
      </c>
      <c r="G63" s="10">
        <v>0.63180555555555551</v>
      </c>
      <c r="H63" s="8">
        <f t="shared" si="1"/>
        <v>9.5833333333332771E-3</v>
      </c>
      <c r="I63" s="11">
        <f t="shared" si="2"/>
        <v>0.63263888888888886</v>
      </c>
      <c r="J63" s="8"/>
      <c r="K63" s="8"/>
      <c r="L63" s="8" t="str">
        <f t="shared" si="23"/>
        <v xml:space="preserve"> </v>
      </c>
      <c r="M63" s="18"/>
      <c r="N63" s="13">
        <f t="shared" si="3"/>
        <v>1.0869565217391368</v>
      </c>
    </row>
    <row r="64" spans="1:23" ht="14.5">
      <c r="A64" s="6">
        <v>45576</v>
      </c>
      <c r="B64" s="7" t="s">
        <v>52</v>
      </c>
      <c r="C64" s="7">
        <v>1</v>
      </c>
      <c r="D64" s="8">
        <v>1.0416666666666666E-2</v>
      </c>
      <c r="E64" s="8">
        <f t="shared" si="0"/>
        <v>1.0416666666666666E-2</v>
      </c>
      <c r="F64" s="10">
        <f t="shared" si="24"/>
        <v>0.63180555555555551</v>
      </c>
      <c r="G64" s="10">
        <v>0.64115740740740745</v>
      </c>
      <c r="H64" s="8">
        <f t="shared" si="1"/>
        <v>9.3518518518519445E-3</v>
      </c>
      <c r="I64" s="11">
        <f t="shared" si="2"/>
        <v>0.64222222222222214</v>
      </c>
      <c r="J64" s="8"/>
      <c r="K64" s="8"/>
      <c r="L64" s="8" t="str">
        <f t="shared" si="23"/>
        <v xml:space="preserve"> </v>
      </c>
      <c r="M64" s="18"/>
      <c r="N64" s="13">
        <f t="shared" si="3"/>
        <v>1.1138613861386029</v>
      </c>
      <c r="O64" s="4"/>
    </row>
    <row r="65" spans="1:15" ht="14.5">
      <c r="A65" s="6">
        <v>45576</v>
      </c>
      <c r="B65" s="7" t="s">
        <v>53</v>
      </c>
      <c r="C65" s="7">
        <v>1</v>
      </c>
      <c r="D65" s="8">
        <v>1.0416666666666666E-2</v>
      </c>
      <c r="E65" s="8">
        <f t="shared" si="0"/>
        <v>1.0416666666666666E-2</v>
      </c>
      <c r="F65" s="10">
        <f t="shared" si="24"/>
        <v>0.64115740740740745</v>
      </c>
      <c r="G65" s="10">
        <v>0.6504861111111111</v>
      </c>
      <c r="H65" s="8">
        <f t="shared" si="1"/>
        <v>9.3287037037036447E-3</v>
      </c>
      <c r="I65" s="11">
        <f t="shared" si="2"/>
        <v>0.65157407407407408</v>
      </c>
      <c r="J65" s="8"/>
      <c r="K65" s="8"/>
      <c r="L65" s="8" t="str">
        <f t="shared" si="23"/>
        <v xml:space="preserve"> </v>
      </c>
      <c r="M65" s="18"/>
      <c r="N65" s="13">
        <f t="shared" si="3"/>
        <v>1.1166253101737043</v>
      </c>
      <c r="O65" s="19"/>
    </row>
    <row r="66" spans="1:15" ht="14.5">
      <c r="A66" s="6">
        <v>45579</v>
      </c>
      <c r="B66" s="7" t="s">
        <v>50</v>
      </c>
      <c r="C66" s="7">
        <v>2</v>
      </c>
      <c r="D66" s="8">
        <v>1.0416666666666666E-2</v>
      </c>
      <c r="E66" s="8">
        <f t="shared" si="0"/>
        <v>2.0833333333333332E-2</v>
      </c>
      <c r="F66" s="10">
        <v>0.28775462962962961</v>
      </c>
      <c r="G66" s="10">
        <v>0.30730324074074072</v>
      </c>
      <c r="H66" s="8">
        <f t="shared" si="1"/>
        <v>1.9548611111111114E-2</v>
      </c>
      <c r="I66" s="11">
        <f t="shared" si="2"/>
        <v>0.30858796296296293</v>
      </c>
      <c r="J66" s="8"/>
      <c r="K66" s="8"/>
      <c r="L66" s="8" t="str">
        <f t="shared" si="23"/>
        <v xml:space="preserve"> </v>
      </c>
      <c r="M66" s="18"/>
      <c r="N66" s="13">
        <f t="shared" si="3"/>
        <v>1.0657193605683835</v>
      </c>
    </row>
    <row r="67" spans="1:15" ht="14.5">
      <c r="A67" s="6">
        <v>45579</v>
      </c>
      <c r="B67" s="7" t="s">
        <v>51</v>
      </c>
      <c r="C67" s="7">
        <v>2</v>
      </c>
      <c r="D67" s="8">
        <v>1.0416666666666666E-2</v>
      </c>
      <c r="E67" s="8">
        <f t="shared" si="0"/>
        <v>2.0833333333333332E-2</v>
      </c>
      <c r="F67" s="10">
        <f t="shared" ref="F67:F73" si="25">G66</f>
        <v>0.30730324074074072</v>
      </c>
      <c r="G67" s="10">
        <v>0.32657407407407413</v>
      </c>
      <c r="H67" s="8">
        <f t="shared" si="1"/>
        <v>1.9270833333333404E-2</v>
      </c>
      <c r="I67" s="11">
        <f t="shared" si="2"/>
        <v>0.32813657407407404</v>
      </c>
      <c r="J67" s="8"/>
      <c r="K67" s="8"/>
      <c r="L67" s="8" t="str">
        <f t="shared" si="23"/>
        <v xml:space="preserve"> </v>
      </c>
      <c r="M67" s="18"/>
      <c r="N67" s="13">
        <f t="shared" si="3"/>
        <v>1.0810810810810771</v>
      </c>
      <c r="O67" s="19"/>
    </row>
    <row r="68" spans="1:15" ht="14.5">
      <c r="A68" s="6">
        <v>45579</v>
      </c>
      <c r="B68" s="7" t="s">
        <v>52</v>
      </c>
      <c r="C68" s="7">
        <v>2</v>
      </c>
      <c r="D68" s="8">
        <v>1.0416666666666666E-2</v>
      </c>
      <c r="E68" s="8">
        <f t="shared" si="0"/>
        <v>2.0833333333333332E-2</v>
      </c>
      <c r="F68" s="10">
        <f t="shared" si="25"/>
        <v>0.32657407407407413</v>
      </c>
      <c r="G68" s="10">
        <v>0.34543981481481478</v>
      </c>
      <c r="H68" s="8">
        <f t="shared" si="1"/>
        <v>1.8865740740740655E-2</v>
      </c>
      <c r="I68" s="11">
        <f t="shared" si="2"/>
        <v>0.34740740740740744</v>
      </c>
      <c r="J68" s="8"/>
      <c r="K68" s="8"/>
      <c r="L68" s="8" t="str">
        <f t="shared" si="23"/>
        <v xml:space="preserve"> </v>
      </c>
      <c r="M68" s="18"/>
      <c r="N68" s="13">
        <f t="shared" si="3"/>
        <v>1.1042944785276123</v>
      </c>
      <c r="O68" s="19"/>
    </row>
    <row r="69" spans="1:15" ht="14.5">
      <c r="A69" s="6">
        <v>45579</v>
      </c>
      <c r="B69" s="7" t="s">
        <v>53</v>
      </c>
      <c r="C69" s="7">
        <v>2</v>
      </c>
      <c r="D69" s="8">
        <v>1.0416666666666666E-2</v>
      </c>
      <c r="E69" s="8">
        <f t="shared" si="0"/>
        <v>2.0833333333333332E-2</v>
      </c>
      <c r="F69" s="10">
        <f t="shared" si="25"/>
        <v>0.34543981481481478</v>
      </c>
      <c r="G69" s="10">
        <v>0.36442129629629627</v>
      </c>
      <c r="H69" s="8">
        <f t="shared" si="1"/>
        <v>1.8981481481481488E-2</v>
      </c>
      <c r="I69" s="11">
        <f t="shared" si="2"/>
        <v>0.3662731481481481</v>
      </c>
      <c r="J69" s="8"/>
      <c r="K69" s="8"/>
      <c r="L69" s="8" t="str">
        <f t="shared" si="23"/>
        <v xml:space="preserve"> </v>
      </c>
      <c r="M69" s="18"/>
      <c r="N69" s="13">
        <f t="shared" si="3"/>
        <v>1.0975609756097557</v>
      </c>
      <c r="O69" s="4"/>
    </row>
    <row r="70" spans="1:15" ht="14.5">
      <c r="A70" s="6">
        <v>45579</v>
      </c>
      <c r="B70" s="7" t="s">
        <v>42</v>
      </c>
      <c r="C70" s="7">
        <v>1</v>
      </c>
      <c r="D70" s="8">
        <v>6.9444444444444441E-3</v>
      </c>
      <c r="E70" s="8">
        <f t="shared" si="0"/>
        <v>6.9444444444444441E-3</v>
      </c>
      <c r="F70" s="10">
        <f t="shared" si="25"/>
        <v>0.36442129629629627</v>
      </c>
      <c r="G70" s="10">
        <v>0.37093750000000003</v>
      </c>
      <c r="H70" s="8">
        <f t="shared" si="1"/>
        <v>6.5162037037037601E-3</v>
      </c>
      <c r="I70" s="11">
        <f t="shared" si="2"/>
        <v>0.37136574074074069</v>
      </c>
      <c r="J70" s="8"/>
      <c r="K70" s="8"/>
      <c r="L70" s="8" t="str">
        <f t="shared" si="23"/>
        <v xml:space="preserve"> </v>
      </c>
      <c r="M70" s="18"/>
      <c r="N70" s="13">
        <f t="shared" si="3"/>
        <v>1.0657193605683744</v>
      </c>
      <c r="O70" s="19"/>
    </row>
    <row r="71" spans="1:15" ht="14.5">
      <c r="A71" s="6">
        <v>45579</v>
      </c>
      <c r="B71" s="7" t="s">
        <v>96</v>
      </c>
      <c r="C71" s="7">
        <v>1</v>
      </c>
      <c r="D71" s="8">
        <v>3.4722222222222224E-2</v>
      </c>
      <c r="E71" s="8">
        <f t="shared" si="0"/>
        <v>3.4722222222222224E-2</v>
      </c>
      <c r="F71" s="10">
        <f t="shared" si="25"/>
        <v>0.37093750000000003</v>
      </c>
      <c r="G71" s="10">
        <v>0.41977569444861729</v>
      </c>
      <c r="H71" s="8">
        <f t="shared" si="1"/>
        <v>3.1778009263432071E-2</v>
      </c>
      <c r="I71" s="11">
        <f t="shared" si="2"/>
        <v>0.42271990740740745</v>
      </c>
      <c r="J71" s="8"/>
      <c r="K71" s="8"/>
      <c r="L71" s="8">
        <v>1.7060185185185185E-2</v>
      </c>
      <c r="M71" s="18"/>
      <c r="N71" s="13">
        <f t="shared" si="3"/>
        <v>1.0926493832380542</v>
      </c>
      <c r="O71" s="4"/>
    </row>
    <row r="72" spans="1:15" ht="14.5">
      <c r="A72" s="6">
        <v>45579</v>
      </c>
      <c r="B72" s="7" t="s">
        <v>63</v>
      </c>
      <c r="C72" s="7">
        <v>1</v>
      </c>
      <c r="D72" s="8">
        <v>3.4722222222222224E-2</v>
      </c>
      <c r="E72" s="8">
        <f t="shared" si="0"/>
        <v>3.4722222222222224E-2</v>
      </c>
      <c r="F72" s="10">
        <f t="shared" si="25"/>
        <v>0.41977569444861729</v>
      </c>
      <c r="G72" s="10">
        <v>0.4760416666666667</v>
      </c>
      <c r="H72" s="8">
        <f t="shared" si="1"/>
        <v>3.300208332916052E-2</v>
      </c>
      <c r="I72" s="11">
        <f t="shared" si="2"/>
        <v>0.47776180555972836</v>
      </c>
      <c r="J72" s="8"/>
      <c r="K72" s="8"/>
      <c r="L72" s="8">
        <v>2.326388888888889E-2</v>
      </c>
      <c r="M72" s="18"/>
      <c r="N72" s="13">
        <f t="shared" si="3"/>
        <v>1.0521221304699209</v>
      </c>
      <c r="O72" s="19"/>
    </row>
    <row r="73" spans="1:15" ht="14.5">
      <c r="A73" s="6">
        <v>45579</v>
      </c>
      <c r="B73" s="7" t="s">
        <v>16</v>
      </c>
      <c r="C73" s="7">
        <v>31</v>
      </c>
      <c r="D73" s="8">
        <v>5.5555555555555558E-3</v>
      </c>
      <c r="E73" s="8">
        <f t="shared" si="0"/>
        <v>0.17222222222222222</v>
      </c>
      <c r="F73" s="10">
        <f t="shared" si="25"/>
        <v>0.4760416666666667</v>
      </c>
      <c r="G73" s="10">
        <v>0.67013888888888884</v>
      </c>
      <c r="H73" s="8">
        <f t="shared" si="1"/>
        <v>0.16023148148148142</v>
      </c>
      <c r="I73" s="11">
        <f t="shared" si="2"/>
        <v>0.68212962962962975</v>
      </c>
      <c r="J73" s="8"/>
      <c r="K73" s="8"/>
      <c r="L73" s="8">
        <v>3.3865740740740738E-2</v>
      </c>
      <c r="M73" s="18"/>
      <c r="N73" s="13">
        <f t="shared" si="3"/>
        <v>1.0748338630453631</v>
      </c>
      <c r="O73" s="4"/>
    </row>
    <row r="74" spans="1:15" ht="14.5">
      <c r="A74" s="6">
        <v>45579</v>
      </c>
      <c r="B74" s="7" t="s">
        <v>44</v>
      </c>
      <c r="C74" s="7">
        <v>1</v>
      </c>
      <c r="D74" s="8">
        <v>3.472222222222222E-3</v>
      </c>
      <c r="E74" s="8">
        <f t="shared" si="0"/>
        <v>3.472222222222222E-3</v>
      </c>
      <c r="F74" s="10">
        <v>0.65196759259259263</v>
      </c>
      <c r="G74" s="10">
        <v>0.65491898148148153</v>
      </c>
      <c r="H74" s="8">
        <f t="shared" si="1"/>
        <v>2.9513888888889062E-3</v>
      </c>
      <c r="I74" s="11">
        <f t="shared" si="2"/>
        <v>0.65543981481481484</v>
      </c>
      <c r="J74" s="8"/>
      <c r="K74" s="8"/>
      <c r="L74" s="8" t="str">
        <f t="shared" ref="L74:L77" si="26">IF(OR(J74=0,K74=0)," ",K74-J74)</f>
        <v xml:space="preserve"> </v>
      </c>
      <c r="M74" s="18"/>
      <c r="N74" s="13">
        <f t="shared" si="3"/>
        <v>1.1764705882352873</v>
      </c>
    </row>
    <row r="75" spans="1:15" ht="14.5">
      <c r="A75" s="6">
        <v>45580</v>
      </c>
      <c r="B75" s="7" t="s">
        <v>98</v>
      </c>
      <c r="C75" s="7">
        <v>1</v>
      </c>
      <c r="D75" s="8">
        <v>1.0416666666666666E-2</v>
      </c>
      <c r="E75" s="8">
        <f t="shared" si="0"/>
        <v>1.0416666666666666E-2</v>
      </c>
      <c r="F75" s="10">
        <v>0.34347222222222218</v>
      </c>
      <c r="G75" s="10">
        <v>0.3533101851851852</v>
      </c>
      <c r="H75" s="8">
        <f t="shared" si="1"/>
        <v>9.8379629629630205E-3</v>
      </c>
      <c r="I75" s="11">
        <f t="shared" si="2"/>
        <v>0.35388888888888886</v>
      </c>
      <c r="J75" s="8"/>
      <c r="K75" s="8"/>
      <c r="L75" s="8" t="str">
        <f t="shared" si="26"/>
        <v xml:space="preserve"> </v>
      </c>
      <c r="M75" s="18"/>
      <c r="N75" s="13">
        <f t="shared" si="3"/>
        <v>1.0588235294117585</v>
      </c>
    </row>
    <row r="76" spans="1:15" ht="14.5">
      <c r="A76" s="6">
        <v>45580</v>
      </c>
      <c r="B76" s="7" t="s">
        <v>86</v>
      </c>
      <c r="C76" s="7">
        <v>18</v>
      </c>
      <c r="D76" s="8">
        <v>1.3888888888888889E-3</v>
      </c>
      <c r="E76" s="8">
        <f t="shared" si="0"/>
        <v>2.5000000000000001E-2</v>
      </c>
      <c r="F76" s="10">
        <f>G75</f>
        <v>0.3533101851851852</v>
      </c>
      <c r="G76" s="10">
        <v>0.37418981481481484</v>
      </c>
      <c r="H76" s="8">
        <f t="shared" si="1"/>
        <v>2.0879629629629637E-2</v>
      </c>
      <c r="I76" s="11">
        <f t="shared" si="2"/>
        <v>0.37831018518518522</v>
      </c>
      <c r="J76" s="8"/>
      <c r="K76" s="8"/>
      <c r="L76" s="8" t="str">
        <f t="shared" si="26"/>
        <v xml:space="preserve"> </v>
      </c>
      <c r="M76" s="18"/>
      <c r="N76" s="13">
        <f t="shared" si="3"/>
        <v>1.1973392461197336</v>
      </c>
    </row>
    <row r="77" spans="1:15" ht="14.5">
      <c r="A77" s="6">
        <v>45580</v>
      </c>
      <c r="B77" s="7" t="s">
        <v>49</v>
      </c>
      <c r="C77" s="7">
        <v>7</v>
      </c>
      <c r="D77" s="8">
        <v>3.472222222222222E-3</v>
      </c>
      <c r="E77" s="8">
        <f t="shared" si="0"/>
        <v>2.4305555555555552E-2</v>
      </c>
      <c r="F77" s="10">
        <v>0.37432870370370369</v>
      </c>
      <c r="G77" s="10">
        <v>0.39999498843098991</v>
      </c>
      <c r="H77" s="8">
        <f t="shared" si="1"/>
        <v>2.5666284727286215E-2</v>
      </c>
      <c r="I77" s="11">
        <f t="shared" si="2"/>
        <v>0.39863425925925922</v>
      </c>
      <c r="J77" s="8"/>
      <c r="K77" s="8"/>
      <c r="L77" s="8" t="str">
        <f t="shared" si="26"/>
        <v xml:space="preserve"> </v>
      </c>
      <c r="M77" s="18"/>
      <c r="N77" s="13">
        <f t="shared" si="3"/>
        <v>0.94698378880352518</v>
      </c>
    </row>
    <row r="78" spans="1:15" ht="14.5">
      <c r="A78" s="6">
        <v>45580</v>
      </c>
      <c r="B78" s="7" t="s">
        <v>86</v>
      </c>
      <c r="C78" s="7">
        <v>40</v>
      </c>
      <c r="D78" s="8">
        <v>1.3888888888888889E-3</v>
      </c>
      <c r="E78" s="8">
        <f t="shared" si="0"/>
        <v>5.5555555555555559E-2</v>
      </c>
      <c r="F78" s="10">
        <v>0.40065972222222224</v>
      </c>
      <c r="G78" s="10">
        <v>0.5046180555555555</v>
      </c>
      <c r="H78" s="8">
        <f t="shared" si="1"/>
        <v>5.226851851851845E-2</v>
      </c>
      <c r="I78" s="11">
        <f t="shared" si="2"/>
        <v>0.50790509259259264</v>
      </c>
      <c r="J78" s="8"/>
      <c r="K78" s="8"/>
      <c r="L78" s="8">
        <v>5.1689814814814813E-2</v>
      </c>
      <c r="M78" s="18"/>
      <c r="N78" s="13">
        <f t="shared" si="3"/>
        <v>1.0628875110717464</v>
      </c>
      <c r="O78" s="19"/>
    </row>
    <row r="79" spans="1:15" ht="14.5">
      <c r="A79" s="6">
        <v>45580</v>
      </c>
      <c r="B79" s="7" t="s">
        <v>16</v>
      </c>
      <c r="C79" s="7">
        <v>33</v>
      </c>
      <c r="D79" s="8">
        <v>5.5555555555555558E-3</v>
      </c>
      <c r="E79" s="8">
        <f t="shared" si="0"/>
        <v>0.18333333333333335</v>
      </c>
      <c r="F79" s="10">
        <f>G78</f>
        <v>0.5046180555555555</v>
      </c>
      <c r="G79" s="10">
        <v>0.72569444444444442</v>
      </c>
      <c r="H79" s="8">
        <f t="shared" si="1"/>
        <v>0.17819444444444449</v>
      </c>
      <c r="I79" s="11">
        <f t="shared" si="2"/>
        <v>0.73083333333333333</v>
      </c>
      <c r="J79" s="8"/>
      <c r="K79" s="8"/>
      <c r="L79" s="8">
        <v>4.2881944444444445E-2</v>
      </c>
      <c r="M79" s="18"/>
      <c r="N79" s="13">
        <f t="shared" si="3"/>
        <v>1.0288386593920498</v>
      </c>
      <c r="O79" s="4"/>
    </row>
    <row r="80" spans="1:15" ht="14.5">
      <c r="A80" s="6">
        <v>45581</v>
      </c>
      <c r="B80" s="7" t="s">
        <v>86</v>
      </c>
      <c r="C80" s="7">
        <v>7</v>
      </c>
      <c r="D80" s="8">
        <v>1.3888888888888889E-3</v>
      </c>
      <c r="E80" s="8">
        <f t="shared" si="0"/>
        <v>9.7222222222222224E-3</v>
      </c>
      <c r="F80" s="10">
        <v>0.34622685185185187</v>
      </c>
      <c r="G80" s="10">
        <v>0.35543981481481479</v>
      </c>
      <c r="H80" s="8">
        <f t="shared" si="1"/>
        <v>9.2129629629629228E-3</v>
      </c>
      <c r="I80" s="11">
        <f t="shared" si="2"/>
        <v>0.35594907407407411</v>
      </c>
      <c r="J80" s="8"/>
      <c r="K80" s="8"/>
      <c r="L80" s="8" t="str">
        <f>IF(OR(J80=0,K80=0)," ",K80-J80)</f>
        <v xml:space="preserve"> </v>
      </c>
      <c r="M80" s="18"/>
      <c r="N80" s="13">
        <f t="shared" si="3"/>
        <v>1.0552763819095523</v>
      </c>
      <c r="O80" s="4"/>
    </row>
    <row r="81" spans="1:16" ht="14.5">
      <c r="A81" s="6">
        <v>45581</v>
      </c>
      <c r="B81" s="7" t="s">
        <v>49</v>
      </c>
      <c r="C81" s="7">
        <v>21</v>
      </c>
      <c r="D81" s="8">
        <v>3.472222222222222E-3</v>
      </c>
      <c r="E81" s="8">
        <f t="shared" si="0"/>
        <v>7.2916666666666657E-2</v>
      </c>
      <c r="F81" s="10">
        <v>0.35559027777777774</v>
      </c>
      <c r="G81" s="10">
        <v>0.47898148148148151</v>
      </c>
      <c r="H81" s="8">
        <f t="shared" si="1"/>
        <v>7.6087962962963024E-2</v>
      </c>
      <c r="I81" s="11">
        <f t="shared" si="2"/>
        <v>0.47581018518518514</v>
      </c>
      <c r="J81" s="8"/>
      <c r="K81" s="8"/>
      <c r="L81" s="8">
        <v>4.7303240740740743E-2</v>
      </c>
      <c r="M81" s="18"/>
      <c r="N81" s="13">
        <f t="shared" si="3"/>
        <v>0.95832065713416403</v>
      </c>
      <c r="O81" s="4"/>
    </row>
    <row r="82" spans="1:16" ht="14.5">
      <c r="A82" s="6">
        <v>45581</v>
      </c>
      <c r="B82" s="7" t="s">
        <v>16</v>
      </c>
      <c r="C82" s="7">
        <v>7</v>
      </c>
      <c r="D82" s="8">
        <v>5.5555555555555558E-3</v>
      </c>
      <c r="E82" s="8">
        <f t="shared" si="0"/>
        <v>3.888888888888889E-2</v>
      </c>
      <c r="F82" s="10">
        <v>0.47909722222222223</v>
      </c>
      <c r="G82" s="10">
        <v>0.51443287037037033</v>
      </c>
      <c r="H82" s="8">
        <f t="shared" si="1"/>
        <v>3.5335648148148102E-2</v>
      </c>
      <c r="I82" s="11">
        <f t="shared" si="2"/>
        <v>0.51798611111111115</v>
      </c>
      <c r="J82" s="8"/>
      <c r="K82" s="8"/>
      <c r="L82" s="8" t="str">
        <f>IF(OR(J82=0,K82=0)," ",K82-J82)</f>
        <v xml:space="preserve"> </v>
      </c>
      <c r="M82" s="18"/>
      <c r="N82" s="13">
        <f t="shared" si="3"/>
        <v>1.1005568293481836</v>
      </c>
    </row>
    <row r="83" spans="1:16" ht="14.5">
      <c r="A83" s="6">
        <v>45581</v>
      </c>
      <c r="B83" s="7" t="s">
        <v>86</v>
      </c>
      <c r="C83" s="7">
        <v>56</v>
      </c>
      <c r="D83" s="8">
        <v>1.3888888888888889E-3</v>
      </c>
      <c r="E83" s="8">
        <f t="shared" si="0"/>
        <v>7.7777777777777779E-2</v>
      </c>
      <c r="F83" s="10">
        <f t="shared" ref="F83:F88" si="27">G82</f>
        <v>0.51443287037037033</v>
      </c>
      <c r="G83" s="10">
        <v>0.60945601851851849</v>
      </c>
      <c r="H83" s="8">
        <f t="shared" si="1"/>
        <v>7.1365740740740757E-2</v>
      </c>
      <c r="I83" s="11">
        <f t="shared" si="2"/>
        <v>0.61586805555555557</v>
      </c>
      <c r="J83" s="8"/>
      <c r="K83" s="8"/>
      <c r="L83" s="8">
        <v>2.3657407407407408E-2</v>
      </c>
      <c r="M83" s="18"/>
      <c r="N83" s="13">
        <f t="shared" si="3"/>
        <v>1.0898475510866037</v>
      </c>
      <c r="O83" s="19"/>
    </row>
    <row r="84" spans="1:16" ht="14.5">
      <c r="A84" s="6">
        <v>45581</v>
      </c>
      <c r="B84" s="7" t="s">
        <v>50</v>
      </c>
      <c r="C84" s="7">
        <v>1</v>
      </c>
      <c r="D84" s="8">
        <v>1.0416666666666666E-2</v>
      </c>
      <c r="E84" s="8">
        <f t="shared" si="0"/>
        <v>1.0416666666666666E-2</v>
      </c>
      <c r="F84" s="10">
        <f t="shared" si="27"/>
        <v>0.60945601851851849</v>
      </c>
      <c r="G84" s="10">
        <v>0.64187499999999997</v>
      </c>
      <c r="H84" s="8">
        <f t="shared" si="1"/>
        <v>9.6412037037037004E-3</v>
      </c>
      <c r="I84" s="11">
        <f t="shared" si="2"/>
        <v>0.64265046296296291</v>
      </c>
      <c r="J84" s="8"/>
      <c r="K84" s="8"/>
      <c r="L84" s="8">
        <v>2.2777777777777779E-2</v>
      </c>
      <c r="M84" s="18"/>
      <c r="N84" s="13">
        <f t="shared" si="3"/>
        <v>1.0804321728691479</v>
      </c>
      <c r="O84" s="4"/>
    </row>
    <row r="85" spans="1:16" ht="14.5">
      <c r="A85" s="6">
        <v>45581</v>
      </c>
      <c r="B85" s="7" t="s">
        <v>51</v>
      </c>
      <c r="C85" s="7">
        <v>1</v>
      </c>
      <c r="D85" s="8">
        <v>1.0416666666666666E-2</v>
      </c>
      <c r="E85" s="8">
        <f t="shared" si="0"/>
        <v>1.0416666666666666E-2</v>
      </c>
      <c r="F85" s="10">
        <f t="shared" si="27"/>
        <v>0.64187499999999997</v>
      </c>
      <c r="G85" s="10">
        <v>0.65126157407407403</v>
      </c>
      <c r="H85" s="8">
        <f t="shared" si="1"/>
        <v>9.3865740740740611E-3</v>
      </c>
      <c r="I85" s="11">
        <f t="shared" si="2"/>
        <v>0.6522916666666666</v>
      </c>
      <c r="J85" s="8"/>
      <c r="K85" s="8"/>
      <c r="L85" s="8" t="str">
        <f t="shared" ref="L85:L90" si="28">IF(OR(J85=0,K85=0)," ",K85-J85)</f>
        <v xml:space="preserve"> </v>
      </c>
      <c r="M85" s="18"/>
      <c r="N85" s="13">
        <f t="shared" si="3"/>
        <v>1.109741060419237</v>
      </c>
      <c r="O85" s="4"/>
    </row>
    <row r="86" spans="1:16" ht="14.5">
      <c r="A86" s="6">
        <v>45581</v>
      </c>
      <c r="B86" s="7" t="s">
        <v>52</v>
      </c>
      <c r="C86" s="7">
        <v>1</v>
      </c>
      <c r="D86" s="8">
        <v>1.0416666666666666E-2</v>
      </c>
      <c r="E86" s="8">
        <f t="shared" si="0"/>
        <v>1.0416666666666666E-2</v>
      </c>
      <c r="F86" s="10">
        <f t="shared" si="27"/>
        <v>0.65126157407407403</v>
      </c>
      <c r="G86" s="10">
        <v>0.66048611111111111</v>
      </c>
      <c r="H86" s="8">
        <f t="shared" si="1"/>
        <v>9.2245370370370727E-3</v>
      </c>
      <c r="I86" s="11">
        <f t="shared" si="2"/>
        <v>0.66167824074074066</v>
      </c>
      <c r="J86" s="8"/>
      <c r="K86" s="8"/>
      <c r="L86" s="8" t="str">
        <f t="shared" si="28"/>
        <v xml:space="preserve"> </v>
      </c>
      <c r="M86" s="18"/>
      <c r="N86" s="13">
        <f t="shared" si="3"/>
        <v>1.129234629861978</v>
      </c>
      <c r="O86" s="4"/>
    </row>
    <row r="87" spans="1:16" ht="14.5">
      <c r="A87" s="6">
        <v>45581</v>
      </c>
      <c r="B87" s="7" t="s">
        <v>53</v>
      </c>
      <c r="C87" s="7">
        <v>1</v>
      </c>
      <c r="D87" s="8">
        <v>1.0416666666666666E-2</v>
      </c>
      <c r="E87" s="8">
        <f t="shared" si="0"/>
        <v>1.0416666666666666E-2</v>
      </c>
      <c r="F87" s="10">
        <f t="shared" si="27"/>
        <v>0.66048611111111111</v>
      </c>
      <c r="G87" s="10">
        <v>0.67021990740740744</v>
      </c>
      <c r="H87" s="8">
        <f t="shared" si="1"/>
        <v>9.7337962962963376E-3</v>
      </c>
      <c r="I87" s="11">
        <f t="shared" si="2"/>
        <v>0.67090277777777774</v>
      </c>
      <c r="J87" s="8"/>
      <c r="K87" s="8"/>
      <c r="L87" s="8" t="str">
        <f t="shared" si="28"/>
        <v xml:space="preserve"> </v>
      </c>
      <c r="M87" s="18"/>
      <c r="N87" s="13">
        <f t="shared" si="3"/>
        <v>1.0701545778834674</v>
      </c>
      <c r="O87" s="4"/>
    </row>
    <row r="88" spans="1:16" ht="14.5">
      <c r="A88" s="6">
        <v>45581</v>
      </c>
      <c r="B88" s="7" t="s">
        <v>93</v>
      </c>
      <c r="C88" s="7">
        <v>9</v>
      </c>
      <c r="D88" s="8">
        <v>6.9444444444444441E-3</v>
      </c>
      <c r="E88" s="8">
        <f t="shared" si="0"/>
        <v>6.25E-2</v>
      </c>
      <c r="F88" s="10">
        <f t="shared" si="27"/>
        <v>0.67021990740740744</v>
      </c>
      <c r="G88" s="10">
        <v>0.73050925925925925</v>
      </c>
      <c r="H88" s="8">
        <f t="shared" si="1"/>
        <v>6.0289351851851802E-2</v>
      </c>
      <c r="I88" s="11">
        <f t="shared" si="2"/>
        <v>0.73271990740740744</v>
      </c>
      <c r="J88" s="8"/>
      <c r="K88" s="8"/>
      <c r="L88" s="8" t="str">
        <f t="shared" si="28"/>
        <v xml:space="preserve"> </v>
      </c>
      <c r="M88" s="18"/>
      <c r="N88" s="13">
        <f t="shared" si="3"/>
        <v>1.036667306584758</v>
      </c>
      <c r="O88" s="4"/>
    </row>
    <row r="89" spans="1:16" ht="14.5">
      <c r="A89" s="6">
        <v>45582</v>
      </c>
      <c r="B89" s="7" t="s">
        <v>42</v>
      </c>
      <c r="C89" s="7">
        <v>1</v>
      </c>
      <c r="D89" s="8">
        <v>6.9444444444444441E-3</v>
      </c>
      <c r="E89" s="8">
        <f t="shared" si="0"/>
        <v>6.9444444444444441E-3</v>
      </c>
      <c r="F89" s="10">
        <v>0.33694444444444449</v>
      </c>
      <c r="G89" s="10">
        <v>0.34320601851851851</v>
      </c>
      <c r="H89" s="8">
        <f t="shared" si="1"/>
        <v>6.2615740740740167E-3</v>
      </c>
      <c r="I89" s="11">
        <f t="shared" si="2"/>
        <v>0.34388888888888891</v>
      </c>
      <c r="J89" s="8"/>
      <c r="K89" s="8"/>
      <c r="L89" s="8" t="str">
        <f t="shared" si="28"/>
        <v xml:space="preserve"> </v>
      </c>
      <c r="M89" s="18"/>
      <c r="N89" s="13">
        <f t="shared" si="3"/>
        <v>1.1090573012939102</v>
      </c>
      <c r="O89" s="19"/>
      <c r="P89" s="4"/>
    </row>
    <row r="90" spans="1:16" ht="14.5">
      <c r="A90" s="6">
        <v>45582</v>
      </c>
      <c r="B90" s="7" t="s">
        <v>96</v>
      </c>
      <c r="C90" s="7">
        <v>1</v>
      </c>
      <c r="D90" s="8">
        <v>3.4722222222222224E-2</v>
      </c>
      <c r="E90" s="8">
        <f t="shared" si="0"/>
        <v>3.4722222222222224E-2</v>
      </c>
      <c r="F90" s="10">
        <f t="shared" ref="F90:F92" si="29">G89</f>
        <v>0.34320601851851851</v>
      </c>
      <c r="G90" s="10">
        <v>0.37430555555555556</v>
      </c>
      <c r="H90" s="8">
        <f t="shared" si="1"/>
        <v>3.1099537037037051E-2</v>
      </c>
      <c r="I90" s="11">
        <f t="shared" si="2"/>
        <v>0.37792824074074072</v>
      </c>
      <c r="J90" s="8"/>
      <c r="K90" s="8"/>
      <c r="L90" s="8" t="str">
        <f t="shared" si="28"/>
        <v xml:space="preserve"> </v>
      </c>
      <c r="M90" s="18"/>
      <c r="N90" s="13">
        <f t="shared" si="3"/>
        <v>1.1164867882396721</v>
      </c>
      <c r="O90" s="19"/>
    </row>
    <row r="91" spans="1:16" ht="14.5">
      <c r="A91" s="6">
        <v>45582</v>
      </c>
      <c r="B91" s="7" t="s">
        <v>93</v>
      </c>
      <c r="C91" s="7">
        <v>12</v>
      </c>
      <c r="D91" s="8">
        <v>6.9444444444444441E-3</v>
      </c>
      <c r="E91" s="8">
        <f t="shared" si="0"/>
        <v>8.3333333333333329E-2</v>
      </c>
      <c r="F91" s="10">
        <f t="shared" si="29"/>
        <v>0.37430555555555556</v>
      </c>
      <c r="G91" s="10">
        <v>0.49321759259259257</v>
      </c>
      <c r="H91" s="8">
        <f t="shared" si="1"/>
        <v>7.8553240740740715E-2</v>
      </c>
      <c r="I91" s="11">
        <f t="shared" si="2"/>
        <v>0.49799768518518517</v>
      </c>
      <c r="J91" s="8"/>
      <c r="K91" s="8"/>
      <c r="L91" s="8">
        <v>4.0358796296296295E-2</v>
      </c>
      <c r="M91" s="18"/>
      <c r="N91" s="13">
        <f t="shared" si="3"/>
        <v>1.0608516281125684</v>
      </c>
      <c r="O91" s="19"/>
    </row>
    <row r="92" spans="1:16" ht="14.5">
      <c r="A92" s="6">
        <v>45582</v>
      </c>
      <c r="B92" s="7" t="s">
        <v>38</v>
      </c>
      <c r="C92" s="7">
        <v>2</v>
      </c>
      <c r="D92" s="8">
        <v>2.7777777777777779E-3</v>
      </c>
      <c r="E92" s="8">
        <f t="shared" si="0"/>
        <v>5.5555555555555558E-3</v>
      </c>
      <c r="F92" s="10">
        <f t="shared" si="29"/>
        <v>0.49321759259259257</v>
      </c>
      <c r="G92" s="10">
        <v>0.49814814814814812</v>
      </c>
      <c r="H92" s="8">
        <f t="shared" si="1"/>
        <v>4.9305555555555491E-3</v>
      </c>
      <c r="I92" s="11">
        <f t="shared" si="2"/>
        <v>0.4987731481481481</v>
      </c>
      <c r="J92" s="8"/>
      <c r="K92" s="8"/>
      <c r="L92" s="8" t="str">
        <f>IF(OR(J92=0,K92=0)," ",K92-J92)</f>
        <v xml:space="preserve"> </v>
      </c>
      <c r="M92" s="18"/>
      <c r="N92" s="13">
        <f t="shared" si="3"/>
        <v>1.1267605633802833</v>
      </c>
      <c r="O92" s="4"/>
    </row>
    <row r="93" spans="1:16" ht="14.5">
      <c r="A93" s="6">
        <v>45582</v>
      </c>
      <c r="B93" s="7" t="s">
        <v>49</v>
      </c>
      <c r="C93" s="7">
        <v>35</v>
      </c>
      <c r="D93" s="8">
        <v>3.472222222222222E-3</v>
      </c>
      <c r="E93" s="8">
        <f t="shared" si="0"/>
        <v>0.12152777777777778</v>
      </c>
      <c r="F93" s="10">
        <v>0.49819444444444444</v>
      </c>
      <c r="G93" s="10">
        <v>0.66707175925925921</v>
      </c>
      <c r="H93" s="8">
        <f t="shared" si="1"/>
        <v>0.13081018518518514</v>
      </c>
      <c r="I93" s="11">
        <f t="shared" si="2"/>
        <v>0.65778935185185183</v>
      </c>
      <c r="J93" s="8"/>
      <c r="K93" s="8"/>
      <c r="L93" s="8">
        <v>3.8067129629629631E-2</v>
      </c>
      <c r="M93" s="18"/>
      <c r="N93" s="13">
        <f t="shared" si="3"/>
        <v>0.92903910812245649</v>
      </c>
      <c r="O93" s="4"/>
    </row>
    <row r="94" spans="1:16" ht="14.5">
      <c r="A94" s="6">
        <v>45582</v>
      </c>
      <c r="B94" s="7" t="s">
        <v>65</v>
      </c>
      <c r="C94" s="7">
        <v>1</v>
      </c>
      <c r="D94" s="8">
        <v>2.0833333333333332E-2</v>
      </c>
      <c r="E94" s="8">
        <f t="shared" si="0"/>
        <v>2.0833333333333332E-2</v>
      </c>
      <c r="F94" s="10">
        <v>0.66710648148148144</v>
      </c>
      <c r="G94" s="10">
        <v>0.68565972222222227</v>
      </c>
      <c r="H94" s="8">
        <f t="shared" si="1"/>
        <v>1.8553240740740828E-2</v>
      </c>
      <c r="I94" s="11">
        <f t="shared" si="2"/>
        <v>0.68793981481481481</v>
      </c>
      <c r="J94" s="8"/>
      <c r="K94" s="8"/>
      <c r="L94" s="8" t="str">
        <f t="shared" ref="L94:L96" si="30">IF(OR(J94=0,K94=0)," ",K94-J94)</f>
        <v xml:space="preserve"> </v>
      </c>
      <c r="M94" s="18"/>
      <c r="N94" s="13">
        <f t="shared" si="3"/>
        <v>1.1228945726762267</v>
      </c>
    </row>
    <row r="95" spans="1:16" ht="14.5">
      <c r="A95" s="6">
        <v>45582</v>
      </c>
      <c r="B95" s="7" t="s">
        <v>49</v>
      </c>
      <c r="C95" s="7">
        <v>9</v>
      </c>
      <c r="D95" s="8">
        <v>3.472222222222222E-3</v>
      </c>
      <c r="E95" s="8">
        <f t="shared" si="0"/>
        <v>3.125E-2</v>
      </c>
      <c r="F95" s="10">
        <v>0.68574074074074076</v>
      </c>
      <c r="G95" s="10">
        <v>0.71875</v>
      </c>
      <c r="H95" s="8">
        <f t="shared" si="1"/>
        <v>3.3009259259259238E-2</v>
      </c>
      <c r="I95" s="11">
        <f t="shared" si="2"/>
        <v>0.71699074074074076</v>
      </c>
      <c r="J95" s="8"/>
      <c r="K95" s="8"/>
      <c r="L95" s="8" t="str">
        <f t="shared" si="30"/>
        <v xml:space="preserve"> </v>
      </c>
      <c r="M95" s="18"/>
      <c r="N95" s="13">
        <f t="shared" si="3"/>
        <v>0.94670406732117873</v>
      </c>
      <c r="O95" s="4"/>
    </row>
    <row r="96" spans="1:16" ht="14.5">
      <c r="A96" s="6">
        <v>45583</v>
      </c>
      <c r="B96" s="7" t="s">
        <v>49</v>
      </c>
      <c r="C96" s="7">
        <v>8</v>
      </c>
      <c r="D96" s="8">
        <v>3.472222222222222E-3</v>
      </c>
      <c r="E96" s="8">
        <f t="shared" si="0"/>
        <v>2.7777777777777776E-2</v>
      </c>
      <c r="F96" s="10">
        <v>0.34211805555555552</v>
      </c>
      <c r="G96" s="10">
        <v>0.36799768518518516</v>
      </c>
      <c r="H96" s="8">
        <f t="shared" si="1"/>
        <v>2.5879629629629641E-2</v>
      </c>
      <c r="I96" s="11">
        <f t="shared" si="2"/>
        <v>0.36989583333333331</v>
      </c>
      <c r="J96" s="8"/>
      <c r="K96" s="8"/>
      <c r="L96" s="8" t="str">
        <f t="shared" si="30"/>
        <v xml:space="preserve"> </v>
      </c>
      <c r="M96" s="18"/>
      <c r="N96" s="13">
        <f t="shared" si="3"/>
        <v>1.0733452593917705</v>
      </c>
      <c r="O96" s="19"/>
    </row>
    <row r="97" spans="1:17" ht="14.5">
      <c r="A97" s="6">
        <v>45583</v>
      </c>
      <c r="B97" s="7" t="s">
        <v>99</v>
      </c>
      <c r="C97" s="7">
        <v>1</v>
      </c>
      <c r="D97" s="8">
        <v>5.2083333333333336E-2</v>
      </c>
      <c r="E97" s="8">
        <f t="shared" si="0"/>
        <v>5.2083333333333336E-2</v>
      </c>
      <c r="F97" s="10">
        <v>0.36818287037037034</v>
      </c>
      <c r="G97" s="10">
        <v>0.44255787037037042</v>
      </c>
      <c r="H97" s="8">
        <f t="shared" si="1"/>
        <v>4.975694444444452E-2</v>
      </c>
      <c r="I97" s="11">
        <f t="shared" si="2"/>
        <v>0.44488425925925923</v>
      </c>
      <c r="J97" s="8"/>
      <c r="K97" s="8"/>
      <c r="L97" s="8">
        <v>2.4618055555555556E-2</v>
      </c>
      <c r="M97" s="18" t="s">
        <v>100</v>
      </c>
      <c r="N97" s="13">
        <f t="shared" si="3"/>
        <v>1.0467550593161186</v>
      </c>
    </row>
    <row r="98" spans="1:17" ht="14.5">
      <c r="A98" s="6">
        <v>45583</v>
      </c>
      <c r="B98" s="7" t="s">
        <v>28</v>
      </c>
      <c r="C98" s="7">
        <v>61</v>
      </c>
      <c r="D98" s="8">
        <v>1.3888888888888889E-3</v>
      </c>
      <c r="E98" s="8">
        <f t="shared" si="0"/>
        <v>8.4722222222222227E-2</v>
      </c>
      <c r="F98" s="10">
        <f t="shared" ref="F98:F99" si="31">G97</f>
        <v>0.44255787037037042</v>
      </c>
      <c r="G98" s="10">
        <v>0.55795138888888884</v>
      </c>
      <c r="H98" s="8">
        <f t="shared" si="1"/>
        <v>7.6944444444444343E-2</v>
      </c>
      <c r="I98" s="11">
        <f t="shared" si="2"/>
        <v>0.56572916666666673</v>
      </c>
      <c r="J98" s="8"/>
      <c r="K98" s="8"/>
      <c r="L98" s="8">
        <v>3.8449074074074073E-2</v>
      </c>
      <c r="M98" s="18" t="s">
        <v>101</v>
      </c>
      <c r="N98" s="13">
        <f t="shared" si="3"/>
        <v>1.1010830324909762</v>
      </c>
    </row>
    <row r="99" spans="1:17" ht="14.5">
      <c r="A99" s="6">
        <v>45583</v>
      </c>
      <c r="B99" s="7" t="s">
        <v>28</v>
      </c>
      <c r="C99" s="7">
        <v>120</v>
      </c>
      <c r="D99" s="8">
        <v>1.3888888888888889E-3</v>
      </c>
      <c r="E99" s="8">
        <f t="shared" si="0"/>
        <v>0.16666666666666669</v>
      </c>
      <c r="F99" s="10">
        <f t="shared" si="31"/>
        <v>0.55795138888888884</v>
      </c>
      <c r="G99" s="10">
        <v>0.71875</v>
      </c>
      <c r="H99" s="8">
        <f t="shared" si="1"/>
        <v>0.15381944444444448</v>
      </c>
      <c r="I99" s="11">
        <f t="shared" si="2"/>
        <v>0.73159722222222212</v>
      </c>
      <c r="J99" s="8"/>
      <c r="K99" s="8"/>
      <c r="L99" s="8">
        <v>6.9791666666666665E-3</v>
      </c>
      <c r="M99" s="18" t="s">
        <v>101</v>
      </c>
      <c r="N99" s="13">
        <f t="shared" si="3"/>
        <v>1.0835214446952595</v>
      </c>
      <c r="O99" s="4"/>
      <c r="Q99" s="22">
        <v>-95</v>
      </c>
    </row>
    <row r="100" spans="1:17" ht="14.5">
      <c r="A100" s="6">
        <v>45586</v>
      </c>
      <c r="B100" s="7" t="s">
        <v>96</v>
      </c>
      <c r="C100" s="7">
        <v>1</v>
      </c>
      <c r="D100" s="8">
        <v>3.4722222222222224E-2</v>
      </c>
      <c r="E100" s="8">
        <f t="shared" si="0"/>
        <v>3.4722222222222224E-2</v>
      </c>
      <c r="F100" s="10">
        <v>0.34234953703703708</v>
      </c>
      <c r="G100" s="10">
        <v>0.37357638888888889</v>
      </c>
      <c r="H100" s="8">
        <f t="shared" si="1"/>
        <v>3.1226851851851811E-2</v>
      </c>
      <c r="I100" s="11">
        <f t="shared" si="2"/>
        <v>0.37707175925925929</v>
      </c>
      <c r="J100" s="8"/>
      <c r="K100" s="8"/>
      <c r="L100" s="8" t="str">
        <f t="shared" ref="L100:L101" si="32">IF(OR(J100=0,K100=0)," ",K100-J100)</f>
        <v xml:space="preserve"> </v>
      </c>
      <c r="M100" s="18"/>
      <c r="N100" s="13">
        <f t="shared" si="3"/>
        <v>1.1119347664937005</v>
      </c>
      <c r="O100" s="4"/>
      <c r="Q100" s="22">
        <v>42</v>
      </c>
    </row>
    <row r="101" spans="1:17" ht="14.5">
      <c r="A101" s="6">
        <v>45586</v>
      </c>
      <c r="B101" s="7" t="s">
        <v>42</v>
      </c>
      <c r="C101" s="7">
        <v>1</v>
      </c>
      <c r="D101" s="8">
        <v>6.9444444444444441E-3</v>
      </c>
      <c r="E101" s="8">
        <f t="shared" si="0"/>
        <v>6.9444444444444441E-3</v>
      </c>
      <c r="F101" s="10">
        <f t="shared" ref="F101:F105" si="33">G100</f>
        <v>0.37357638888888889</v>
      </c>
      <c r="G101" s="10">
        <v>0.38006944444444446</v>
      </c>
      <c r="H101" s="8">
        <f t="shared" si="1"/>
        <v>6.4930555555555713E-3</v>
      </c>
      <c r="I101" s="11">
        <f t="shared" si="2"/>
        <v>0.38052083333333331</v>
      </c>
      <c r="J101" s="8"/>
      <c r="K101" s="8"/>
      <c r="L101" s="8" t="str">
        <f t="shared" si="32"/>
        <v xml:space="preserve"> </v>
      </c>
      <c r="M101" s="18"/>
      <c r="N101" s="13">
        <f t="shared" si="3"/>
        <v>1.0695187165775375</v>
      </c>
      <c r="O101" s="19"/>
      <c r="Q101" s="22">
        <v>42</v>
      </c>
    </row>
    <row r="102" spans="1:17" ht="14.5">
      <c r="A102" s="6">
        <v>45586</v>
      </c>
      <c r="B102" s="7" t="s">
        <v>63</v>
      </c>
      <c r="C102" s="7">
        <v>1</v>
      </c>
      <c r="D102" s="8">
        <v>3.4722222222222224E-2</v>
      </c>
      <c r="E102" s="8">
        <f t="shared" si="0"/>
        <v>3.4722222222222224E-2</v>
      </c>
      <c r="F102" s="10">
        <f t="shared" si="33"/>
        <v>0.38006944444444446</v>
      </c>
      <c r="G102" s="10">
        <v>0.4180787037037037</v>
      </c>
      <c r="H102" s="8">
        <f t="shared" si="1"/>
        <v>3.0937499999999982E-2</v>
      </c>
      <c r="I102" s="11">
        <f t="shared" si="2"/>
        <v>0.42186342592592591</v>
      </c>
      <c r="J102" s="8"/>
      <c r="K102" s="8"/>
      <c r="L102" s="8">
        <v>7.0717592592592594E-3</v>
      </c>
      <c r="M102" s="18"/>
      <c r="N102" s="13">
        <f t="shared" si="3"/>
        <v>1.1223344556677897</v>
      </c>
    </row>
    <row r="103" spans="1:17" ht="14.5">
      <c r="A103" s="6">
        <v>45586</v>
      </c>
      <c r="B103" s="7" t="s">
        <v>28</v>
      </c>
      <c r="C103" s="7">
        <v>46</v>
      </c>
      <c r="D103" s="8">
        <v>1.3888888888888889E-3</v>
      </c>
      <c r="E103" s="8">
        <f t="shared" si="0"/>
        <v>6.3888888888888898E-2</v>
      </c>
      <c r="F103" s="10">
        <f t="shared" si="33"/>
        <v>0.4180787037037037</v>
      </c>
      <c r="G103" s="10">
        <v>0.51746527777777773</v>
      </c>
      <c r="H103" s="8">
        <f t="shared" si="1"/>
        <v>6.1874999999999958E-2</v>
      </c>
      <c r="I103" s="11">
        <f t="shared" si="2"/>
        <v>0.51947916666666671</v>
      </c>
      <c r="J103" s="8"/>
      <c r="K103" s="8"/>
      <c r="L103" s="8">
        <v>3.7511574074074072E-2</v>
      </c>
      <c r="M103" s="18" t="s">
        <v>101</v>
      </c>
      <c r="N103" s="13">
        <f t="shared" si="3"/>
        <v>1.0325476992143667</v>
      </c>
      <c r="O103" s="4"/>
    </row>
    <row r="104" spans="1:17" ht="14.5">
      <c r="A104" s="6">
        <v>45586</v>
      </c>
      <c r="B104" s="7" t="s">
        <v>99</v>
      </c>
      <c r="C104" s="7">
        <v>1</v>
      </c>
      <c r="D104" s="8">
        <v>5.2083333333333336E-2</v>
      </c>
      <c r="E104" s="8">
        <f t="shared" si="0"/>
        <v>5.2083333333333336E-2</v>
      </c>
      <c r="F104" s="10">
        <f t="shared" si="33"/>
        <v>0.51746527777777773</v>
      </c>
      <c r="G104" s="10">
        <v>0.57538194444444446</v>
      </c>
      <c r="H104" s="8">
        <f t="shared" si="1"/>
        <v>4.9502314814814874E-2</v>
      </c>
      <c r="I104" s="11">
        <f t="shared" si="2"/>
        <v>0.5779629629629629</v>
      </c>
      <c r="J104" s="8"/>
      <c r="K104" s="8"/>
      <c r="L104" s="8">
        <v>8.4143518518518517E-3</v>
      </c>
      <c r="M104" s="18" t="s">
        <v>100</v>
      </c>
      <c r="N104" s="13">
        <f t="shared" si="3"/>
        <v>1.0521393500116891</v>
      </c>
    </row>
    <row r="105" spans="1:17" ht="14.5">
      <c r="A105" s="6">
        <v>45586</v>
      </c>
      <c r="B105" s="7" t="s">
        <v>28</v>
      </c>
      <c r="C105" s="7">
        <v>90</v>
      </c>
      <c r="D105" s="8">
        <v>1.3888888888888889E-3</v>
      </c>
      <c r="E105" s="8">
        <f t="shared" si="0"/>
        <v>0.125</v>
      </c>
      <c r="F105" s="10">
        <f t="shared" si="33"/>
        <v>0.57538194444444446</v>
      </c>
      <c r="G105" s="10">
        <v>0.73468060184677597</v>
      </c>
      <c r="H105" s="8">
        <f t="shared" si="1"/>
        <v>0.12961115740233151</v>
      </c>
      <c r="I105" s="11">
        <f t="shared" si="2"/>
        <v>0.73006944444444444</v>
      </c>
      <c r="J105" s="8"/>
      <c r="K105" s="8"/>
      <c r="L105" s="8">
        <v>2.9687499999999999E-2</v>
      </c>
      <c r="M105" s="18"/>
      <c r="N105" s="13">
        <f t="shared" si="3"/>
        <v>0.96442314462158674</v>
      </c>
      <c r="O105" s="4"/>
    </row>
    <row r="106" spans="1:17" ht="14.5">
      <c r="A106" s="6">
        <v>45587</v>
      </c>
      <c r="B106" s="7" t="s">
        <v>28</v>
      </c>
      <c r="C106" s="7">
        <v>100</v>
      </c>
      <c r="D106" s="8">
        <v>1.3888888888888889E-3</v>
      </c>
      <c r="E106" s="8">
        <f t="shared" si="0"/>
        <v>0.1388888888888889</v>
      </c>
      <c r="F106" s="10">
        <v>0.37225694444444446</v>
      </c>
      <c r="G106" s="10">
        <v>0.6134722222222222</v>
      </c>
      <c r="H106" s="8">
        <f t="shared" si="1"/>
        <v>0.12924768518518515</v>
      </c>
      <c r="I106" s="11">
        <f t="shared" si="2"/>
        <v>0.623113425925926</v>
      </c>
      <c r="J106" s="8"/>
      <c r="K106" s="8"/>
      <c r="L106" s="8">
        <v>0.11196759259259259</v>
      </c>
      <c r="M106" s="18"/>
      <c r="N106" s="13">
        <f t="shared" si="3"/>
        <v>1.0745947882152775</v>
      </c>
      <c r="O106" s="19"/>
    </row>
    <row r="107" spans="1:17" ht="14.5">
      <c r="A107" s="6">
        <v>45587</v>
      </c>
      <c r="B107" s="7" t="s">
        <v>99</v>
      </c>
      <c r="C107" s="7">
        <v>1</v>
      </c>
      <c r="D107" s="8">
        <v>5.2083333333333336E-2</v>
      </c>
      <c r="E107" s="8">
        <f t="shared" si="0"/>
        <v>5.2083333333333336E-2</v>
      </c>
      <c r="F107" s="10">
        <f t="shared" ref="F107:F108" si="34">G106</f>
        <v>0.6134722222222222</v>
      </c>
      <c r="G107" s="10">
        <v>0.68038194444444444</v>
      </c>
      <c r="H107" s="8">
        <f t="shared" si="1"/>
        <v>4.8229166666666691E-2</v>
      </c>
      <c r="I107" s="11">
        <f t="shared" si="2"/>
        <v>0.68423611111111116</v>
      </c>
      <c r="J107" s="8"/>
      <c r="K107" s="8"/>
      <c r="L107" s="8">
        <v>1.8680555555555554E-2</v>
      </c>
      <c r="M107" s="18" t="s">
        <v>100</v>
      </c>
      <c r="N107" s="13">
        <f t="shared" si="3"/>
        <v>1.0799136069114466</v>
      </c>
    </row>
    <row r="108" spans="1:17" ht="14.5">
      <c r="A108" s="6">
        <v>45587</v>
      </c>
      <c r="B108" s="7" t="s">
        <v>93</v>
      </c>
      <c r="C108" s="7">
        <v>11</v>
      </c>
      <c r="D108" s="8">
        <v>6.9444444444444441E-3</v>
      </c>
      <c r="E108" s="8">
        <f t="shared" si="0"/>
        <v>7.6388888888888881E-2</v>
      </c>
      <c r="F108" s="10">
        <f t="shared" si="34"/>
        <v>0.68038194444444444</v>
      </c>
      <c r="G108" s="10">
        <v>0.75</v>
      </c>
      <c r="H108" s="8">
        <f t="shared" si="1"/>
        <v>6.9618055555555558E-2</v>
      </c>
      <c r="I108" s="11">
        <f t="shared" si="2"/>
        <v>0.75677083333333328</v>
      </c>
      <c r="J108" s="8"/>
      <c r="K108" s="8"/>
      <c r="L108" s="8" t="str">
        <f>IF(OR(J108=0,K108=0)," ",K108-J108)</f>
        <v xml:space="preserve"> </v>
      </c>
      <c r="M108" s="18"/>
      <c r="N108" s="13">
        <f t="shared" si="3"/>
        <v>1.0972568578553614</v>
      </c>
    </row>
    <row r="109" spans="1:17" ht="14.5">
      <c r="A109" s="6">
        <v>45588</v>
      </c>
      <c r="B109" s="7" t="s">
        <v>84</v>
      </c>
      <c r="C109" s="7">
        <v>1</v>
      </c>
      <c r="D109" s="8">
        <v>7.6388888888888895E-2</v>
      </c>
      <c r="E109" s="8">
        <f t="shared" si="0"/>
        <v>7.6388888888888895E-2</v>
      </c>
      <c r="F109" s="10">
        <v>0.34218749999999998</v>
      </c>
      <c r="G109" s="10">
        <v>0.44521990740740736</v>
      </c>
      <c r="H109" s="8">
        <f t="shared" si="1"/>
        <v>6.9016203703703677E-2</v>
      </c>
      <c r="I109" s="11">
        <f t="shared" si="2"/>
        <v>0.45259259259259255</v>
      </c>
      <c r="J109" s="8"/>
      <c r="K109" s="8"/>
      <c r="L109" s="8">
        <v>3.4016203703703701E-2</v>
      </c>
      <c r="M109" s="18"/>
      <c r="N109" s="13">
        <f t="shared" si="3"/>
        <v>1.1068254234445754</v>
      </c>
    </row>
    <row r="110" spans="1:17" ht="14.5">
      <c r="A110" s="6">
        <v>45588</v>
      </c>
      <c r="B110" s="7" t="s">
        <v>86</v>
      </c>
      <c r="C110" s="7">
        <v>130</v>
      </c>
      <c r="D110" s="8">
        <v>1.3888888888888889E-3</v>
      </c>
      <c r="E110" s="8">
        <f t="shared" si="0"/>
        <v>0.18055555555555555</v>
      </c>
      <c r="F110" s="10">
        <f t="shared" ref="F110:F111" si="35">G109</f>
        <v>0.44521990740740736</v>
      </c>
      <c r="G110" s="10">
        <v>0.66747481481434079</v>
      </c>
      <c r="H110" s="8">
        <f t="shared" si="1"/>
        <v>0.1682965740736001</v>
      </c>
      <c r="I110" s="11">
        <f t="shared" si="2"/>
        <v>0.67973379629629627</v>
      </c>
      <c r="J110" s="8"/>
      <c r="K110" s="8"/>
      <c r="L110" s="8">
        <v>5.395833333333333E-2</v>
      </c>
      <c r="M110" s="18"/>
      <c r="N110" s="13">
        <f t="shared" si="3"/>
        <v>1.0728415391069952</v>
      </c>
      <c r="O110" s="4"/>
    </row>
    <row r="111" spans="1:17" ht="14.5">
      <c r="A111" s="6">
        <v>45588</v>
      </c>
      <c r="B111" s="7" t="s">
        <v>16</v>
      </c>
      <c r="C111" s="7">
        <v>8</v>
      </c>
      <c r="D111" s="8">
        <v>5.5555555555555558E-3</v>
      </c>
      <c r="E111" s="8">
        <f t="shared" si="0"/>
        <v>4.4444444444444446E-2</v>
      </c>
      <c r="F111" s="10">
        <f t="shared" si="35"/>
        <v>0.66747481481434079</v>
      </c>
      <c r="G111" s="10">
        <v>0.72971054397930857</v>
      </c>
      <c r="H111" s="8">
        <f t="shared" si="1"/>
        <v>4.530285879459741E-2</v>
      </c>
      <c r="I111" s="11">
        <f t="shared" si="2"/>
        <v>0.72885212962915558</v>
      </c>
      <c r="J111" s="8"/>
      <c r="K111" s="8"/>
      <c r="L111" s="8">
        <v>1.6932870370370369E-2</v>
      </c>
      <c r="M111" s="18"/>
      <c r="N111" s="13">
        <f t="shared" si="3"/>
        <v>0.98105165163980035</v>
      </c>
      <c r="O111" s="19"/>
    </row>
    <row r="112" spans="1:17" ht="14.5">
      <c r="A112" s="6">
        <v>45589</v>
      </c>
      <c r="B112" s="7" t="s">
        <v>96</v>
      </c>
      <c r="C112" s="7">
        <v>1</v>
      </c>
      <c r="D112" s="8">
        <v>3.4722222222222224E-2</v>
      </c>
      <c r="E112" s="8">
        <f t="shared" si="0"/>
        <v>3.4722222222222224E-2</v>
      </c>
      <c r="F112" s="10">
        <v>0.3383680555555556</v>
      </c>
      <c r="G112" s="10">
        <v>0.36931712962962959</v>
      </c>
      <c r="H112" s="8">
        <f t="shared" si="1"/>
        <v>3.094907407407399E-2</v>
      </c>
      <c r="I112" s="11">
        <f t="shared" si="2"/>
        <v>0.37309027777777781</v>
      </c>
      <c r="J112" s="8"/>
      <c r="K112" s="8"/>
      <c r="L112" s="8" t="str">
        <f t="shared" ref="L112:L114" si="36">IF(OR(J112=0,K112=0)," ",K112-J112)</f>
        <v xml:space="preserve"> </v>
      </c>
      <c r="M112" s="18"/>
      <c r="N112" s="13">
        <f t="shared" si="3"/>
        <v>1.1219147344801825</v>
      </c>
    </row>
    <row r="113" spans="1:15" ht="14.5">
      <c r="A113" s="6">
        <v>45589</v>
      </c>
      <c r="B113" s="7" t="s">
        <v>42</v>
      </c>
      <c r="C113" s="7">
        <v>1</v>
      </c>
      <c r="D113" s="8">
        <v>6.9444444444444441E-3</v>
      </c>
      <c r="E113" s="8">
        <f t="shared" si="0"/>
        <v>6.9444444444444441E-3</v>
      </c>
      <c r="F113" s="10">
        <f t="shared" ref="F113:F114" si="37">G112</f>
        <v>0.36931712962962959</v>
      </c>
      <c r="G113" s="10">
        <v>0.37591435185185185</v>
      </c>
      <c r="H113" s="8">
        <f t="shared" si="1"/>
        <v>6.5972222222222543E-3</v>
      </c>
      <c r="I113" s="11">
        <f t="shared" si="2"/>
        <v>0.37626157407407401</v>
      </c>
      <c r="J113" s="8"/>
      <c r="K113" s="8"/>
      <c r="L113" s="8" t="str">
        <f t="shared" si="36"/>
        <v xml:space="preserve"> </v>
      </c>
      <c r="M113" s="18"/>
      <c r="N113" s="13">
        <f t="shared" si="3"/>
        <v>1.0526315789473633</v>
      </c>
      <c r="O113" s="4"/>
    </row>
    <row r="114" spans="1:15" ht="14.5">
      <c r="A114" s="6">
        <v>45589</v>
      </c>
      <c r="B114" s="7" t="s">
        <v>99</v>
      </c>
      <c r="C114" s="7">
        <v>1</v>
      </c>
      <c r="D114" s="8">
        <v>5.2083333333333336E-2</v>
      </c>
      <c r="E114" s="8">
        <f t="shared" si="0"/>
        <v>5.2083333333333336E-2</v>
      </c>
      <c r="F114" s="10">
        <f t="shared" si="37"/>
        <v>0.37591435185185185</v>
      </c>
      <c r="G114" s="10">
        <v>0.43343750000000003</v>
      </c>
      <c r="H114" s="8">
        <f t="shared" si="1"/>
        <v>5.7523148148148184E-2</v>
      </c>
      <c r="I114" s="11">
        <f t="shared" si="2"/>
        <v>0.42799768518518516</v>
      </c>
      <c r="J114" s="8"/>
      <c r="K114" s="8"/>
      <c r="L114" s="8" t="str">
        <f t="shared" si="36"/>
        <v xml:space="preserve"> </v>
      </c>
      <c r="M114" s="18"/>
      <c r="N114" s="13">
        <f t="shared" si="3"/>
        <v>0.90543259557344014</v>
      </c>
      <c r="O114" s="4"/>
    </row>
    <row r="115" spans="1:15" ht="14.5">
      <c r="A115" s="6">
        <v>45589</v>
      </c>
      <c r="B115" s="7" t="s">
        <v>49</v>
      </c>
      <c r="C115" s="7">
        <v>50</v>
      </c>
      <c r="D115" s="8">
        <v>3.472222222222222E-3</v>
      </c>
      <c r="E115" s="8">
        <f t="shared" si="0"/>
        <v>0.1736111111111111</v>
      </c>
      <c r="F115" s="10">
        <v>0.43353009259259262</v>
      </c>
      <c r="G115" s="10">
        <v>0.71942129629629625</v>
      </c>
      <c r="H115" s="8">
        <f t="shared" si="1"/>
        <v>0.16995370370370363</v>
      </c>
      <c r="I115" s="11">
        <f t="shared" si="2"/>
        <v>0.72307870370370375</v>
      </c>
      <c r="J115" s="8"/>
      <c r="K115" s="8"/>
      <c r="L115" s="8">
        <v>0.1159375</v>
      </c>
      <c r="M115" s="18"/>
      <c r="N115" s="13">
        <f t="shared" si="3"/>
        <v>1.0215200217924274</v>
      </c>
      <c r="O115" s="4"/>
    </row>
    <row r="116" spans="1:15" ht="14.5">
      <c r="A116" s="6">
        <v>45590</v>
      </c>
      <c r="B116" s="7" t="s">
        <v>49</v>
      </c>
      <c r="C116" s="7">
        <v>30</v>
      </c>
      <c r="D116" s="8">
        <v>3.472222222222222E-3</v>
      </c>
      <c r="E116" s="8">
        <f t="shared" si="0"/>
        <v>0.10416666666666666</v>
      </c>
      <c r="F116" s="10">
        <v>0.34221064814814817</v>
      </c>
      <c r="G116" s="10">
        <v>0.50386574074074075</v>
      </c>
      <c r="H116" s="8">
        <f t="shared" si="1"/>
        <v>9.6307870370370363E-2</v>
      </c>
      <c r="I116" s="11">
        <f t="shared" si="2"/>
        <v>0.51172453703703702</v>
      </c>
      <c r="J116" s="8"/>
      <c r="K116" s="8"/>
      <c r="L116" s="8">
        <v>6.5347222222222223E-2</v>
      </c>
      <c r="M116" s="18"/>
      <c r="N116" s="13">
        <f t="shared" si="3"/>
        <v>1.0816007691383247</v>
      </c>
      <c r="O116" s="4"/>
    </row>
    <row r="117" spans="1:15" ht="14.5">
      <c r="A117" s="6">
        <v>45590</v>
      </c>
      <c r="B117" s="7" t="s">
        <v>102</v>
      </c>
      <c r="C117" s="7">
        <v>1</v>
      </c>
      <c r="D117" s="8">
        <v>6.25E-2</v>
      </c>
      <c r="E117" s="8">
        <f t="shared" si="0"/>
        <v>6.25E-2</v>
      </c>
      <c r="F117" s="10">
        <v>0.50394675925925925</v>
      </c>
      <c r="G117" s="10">
        <v>0.569849537037037</v>
      </c>
      <c r="H117" s="8">
        <f t="shared" si="1"/>
        <v>5.6192129629629606E-2</v>
      </c>
      <c r="I117" s="11">
        <f t="shared" si="2"/>
        <v>0.5761574074074074</v>
      </c>
      <c r="J117" s="8"/>
      <c r="K117" s="8"/>
      <c r="L117" s="8">
        <v>9.7106481481481488E-3</v>
      </c>
      <c r="M117" s="18"/>
      <c r="N117" s="13">
        <f t="shared" si="3"/>
        <v>1.1122554067971169</v>
      </c>
    </row>
    <row r="118" spans="1:15" ht="14.5">
      <c r="A118" s="6">
        <v>45590</v>
      </c>
      <c r="B118" s="7" t="s">
        <v>99</v>
      </c>
      <c r="C118" s="7">
        <v>1</v>
      </c>
      <c r="D118" s="8">
        <v>5.2083333333333336E-2</v>
      </c>
      <c r="E118" s="8">
        <f t="shared" si="0"/>
        <v>5.2083333333333336E-2</v>
      </c>
      <c r="F118" s="10">
        <f t="shared" ref="F118:F119" si="38">G117</f>
        <v>0.569849537037037</v>
      </c>
      <c r="G118" s="8">
        <v>0.63111111111111107</v>
      </c>
      <c r="H118" s="8">
        <f t="shared" si="1"/>
        <v>5.0370370370370364E-2</v>
      </c>
      <c r="I118" s="11">
        <f t="shared" si="2"/>
        <v>0.63282407407407404</v>
      </c>
      <c r="J118" s="8"/>
      <c r="K118" s="8"/>
      <c r="L118" s="8">
        <v>1.0891203703703703E-2</v>
      </c>
      <c r="M118" s="18"/>
      <c r="N118" s="13">
        <f t="shared" si="3"/>
        <v>1.0340073529411766</v>
      </c>
      <c r="O118" s="4"/>
    </row>
    <row r="119" spans="1:15" ht="14.5">
      <c r="A119" s="6">
        <v>45590</v>
      </c>
      <c r="B119" s="7" t="s">
        <v>93</v>
      </c>
      <c r="C119" s="7">
        <v>14</v>
      </c>
      <c r="D119" s="8">
        <v>6.9444444444444441E-3</v>
      </c>
      <c r="E119" s="8">
        <f t="shared" si="0"/>
        <v>9.722222222222221E-2</v>
      </c>
      <c r="F119" s="10">
        <f t="shared" si="38"/>
        <v>0.63111111111111107</v>
      </c>
      <c r="G119" s="10">
        <v>0.72479883101914311</v>
      </c>
      <c r="H119" s="8">
        <f t="shared" si="1"/>
        <v>9.3687719908032041E-2</v>
      </c>
      <c r="I119" s="11">
        <f t="shared" si="2"/>
        <v>0.72833333333333328</v>
      </c>
      <c r="J119" s="8"/>
      <c r="K119" s="8"/>
      <c r="L119" s="8" t="str">
        <f t="shared" ref="L119:L121" si="39">IF(OR(J119=0,K119=0)," ",K119-J119)</f>
        <v xml:space="preserve"> </v>
      </c>
      <c r="M119" s="18" t="s">
        <v>100</v>
      </c>
      <c r="N119" s="13">
        <f t="shared" si="3"/>
        <v>1.0377264204706849</v>
      </c>
      <c r="O119" s="19"/>
    </row>
    <row r="120" spans="1:15" ht="14.5">
      <c r="A120" s="6">
        <v>45593</v>
      </c>
      <c r="B120" s="7" t="s">
        <v>93</v>
      </c>
      <c r="C120" s="7">
        <v>3</v>
      </c>
      <c r="D120" s="8">
        <v>6.9444444444444441E-3</v>
      </c>
      <c r="E120" s="8">
        <f t="shared" si="0"/>
        <v>2.0833333333333332E-2</v>
      </c>
      <c r="F120" s="10">
        <v>0.33241898148148152</v>
      </c>
      <c r="G120" s="10">
        <v>0.35085648148148152</v>
      </c>
      <c r="H120" s="8">
        <f t="shared" si="1"/>
        <v>1.8437499999999996E-2</v>
      </c>
      <c r="I120" s="11">
        <f t="shared" si="2"/>
        <v>0.35325231481481484</v>
      </c>
      <c r="J120" s="8"/>
      <c r="K120" s="8"/>
      <c r="L120" s="8" t="str">
        <f t="shared" si="39"/>
        <v xml:space="preserve"> </v>
      </c>
      <c r="M120" s="18"/>
      <c r="N120" s="13">
        <f t="shared" si="3"/>
        <v>1.129943502824859</v>
      </c>
    </row>
    <row r="121" spans="1:15" ht="14.5">
      <c r="A121" s="6">
        <v>45593</v>
      </c>
      <c r="B121" s="7" t="s">
        <v>42</v>
      </c>
      <c r="C121" s="7">
        <v>1</v>
      </c>
      <c r="D121" s="8">
        <v>6.9444444444444441E-3</v>
      </c>
      <c r="E121" s="8">
        <f t="shared" si="0"/>
        <v>6.9444444444444441E-3</v>
      </c>
      <c r="F121" s="10">
        <f t="shared" ref="F121:F125" si="40">G120</f>
        <v>0.35085648148148152</v>
      </c>
      <c r="G121" s="10">
        <v>0.35709490740740746</v>
      </c>
      <c r="H121" s="8">
        <f t="shared" si="1"/>
        <v>6.2384259259259389E-3</v>
      </c>
      <c r="I121" s="11">
        <f t="shared" si="2"/>
        <v>0.35780092592592594</v>
      </c>
      <c r="J121" s="8"/>
      <c r="K121" s="8"/>
      <c r="L121" s="8" t="str">
        <f t="shared" si="39"/>
        <v xml:space="preserve"> </v>
      </c>
      <c r="M121" s="18"/>
      <c r="N121" s="13">
        <f t="shared" si="3"/>
        <v>1.113172541743968</v>
      </c>
      <c r="O121" s="19"/>
    </row>
    <row r="122" spans="1:15" ht="14.5">
      <c r="A122" s="6">
        <v>45593</v>
      </c>
      <c r="B122" s="7" t="s">
        <v>96</v>
      </c>
      <c r="C122" s="7">
        <v>1</v>
      </c>
      <c r="D122" s="8">
        <v>3.4722222222222224E-2</v>
      </c>
      <c r="E122" s="8">
        <f t="shared" si="0"/>
        <v>3.4722222222222224E-2</v>
      </c>
      <c r="F122" s="10">
        <f t="shared" si="40"/>
        <v>0.35709490740740746</v>
      </c>
      <c r="G122" s="10">
        <v>0.4005671296296297</v>
      </c>
      <c r="H122" s="8">
        <f t="shared" si="1"/>
        <v>3.5104166666666686E-2</v>
      </c>
      <c r="I122" s="11">
        <f t="shared" si="2"/>
        <v>0.4001851851851852</v>
      </c>
      <c r="J122" s="8"/>
      <c r="K122" s="8"/>
      <c r="L122" s="8">
        <v>8.3680555555555557E-3</v>
      </c>
      <c r="M122" s="18"/>
      <c r="N122" s="13">
        <f t="shared" si="3"/>
        <v>0.98911968348170076</v>
      </c>
    </row>
    <row r="123" spans="1:15" ht="14.5">
      <c r="A123" s="6">
        <v>45593</v>
      </c>
      <c r="B123" s="7" t="s">
        <v>99</v>
      </c>
      <c r="C123" s="7">
        <v>1</v>
      </c>
      <c r="D123" s="8">
        <v>5.2083333333333336E-2</v>
      </c>
      <c r="E123" s="8">
        <f t="shared" si="0"/>
        <v>5.2083333333333336E-2</v>
      </c>
      <c r="F123" s="10">
        <f t="shared" si="40"/>
        <v>0.4005671296296297</v>
      </c>
      <c r="G123" s="10">
        <v>0.46785879629629634</v>
      </c>
      <c r="H123" s="8">
        <f t="shared" si="1"/>
        <v>4.8680555555555532E-2</v>
      </c>
      <c r="I123" s="11">
        <f t="shared" si="2"/>
        <v>0.47126157407407415</v>
      </c>
      <c r="J123" s="8"/>
      <c r="K123" s="8"/>
      <c r="L123" s="8">
        <v>1.861111111111111E-2</v>
      </c>
      <c r="M123" s="18" t="s">
        <v>100</v>
      </c>
      <c r="N123" s="13">
        <f t="shared" si="3"/>
        <v>1.069900142653353</v>
      </c>
    </row>
    <row r="124" spans="1:15" ht="14.5">
      <c r="A124" s="6">
        <v>45593</v>
      </c>
      <c r="B124" s="7" t="s">
        <v>30</v>
      </c>
      <c r="C124" s="7">
        <v>3</v>
      </c>
      <c r="D124" s="8">
        <v>3.125E-2</v>
      </c>
      <c r="E124" s="8">
        <f t="shared" si="0"/>
        <v>9.375E-2</v>
      </c>
      <c r="F124" s="10">
        <f t="shared" si="40"/>
        <v>0.46785879629629634</v>
      </c>
      <c r="G124" s="10">
        <v>0.5700115740740741</v>
      </c>
      <c r="H124" s="8">
        <f t="shared" si="1"/>
        <v>8.8425925925925908E-2</v>
      </c>
      <c r="I124" s="11">
        <f t="shared" si="2"/>
        <v>0.57533564814814819</v>
      </c>
      <c r="J124" s="8"/>
      <c r="K124" s="8"/>
      <c r="L124" s="8">
        <v>1.3726851851851851E-2</v>
      </c>
      <c r="M124" s="18"/>
      <c r="N124" s="13">
        <f t="shared" si="3"/>
        <v>1.0602094240837698</v>
      </c>
      <c r="O124" s="19"/>
    </row>
    <row r="125" spans="1:15" ht="14.5">
      <c r="A125" s="6">
        <v>45593</v>
      </c>
      <c r="B125" s="7" t="s">
        <v>63</v>
      </c>
      <c r="C125" s="7">
        <v>1</v>
      </c>
      <c r="D125" s="8">
        <v>3.4722222222222224E-2</v>
      </c>
      <c r="E125" s="8">
        <f t="shared" si="0"/>
        <v>3.4722222222222224E-2</v>
      </c>
      <c r="F125" s="10">
        <f t="shared" si="40"/>
        <v>0.5700115740740741</v>
      </c>
      <c r="G125" s="10">
        <v>0.60056712962962966</v>
      </c>
      <c r="H125" s="8">
        <f t="shared" si="1"/>
        <v>3.0555555555555558E-2</v>
      </c>
      <c r="I125" s="11">
        <f t="shared" si="2"/>
        <v>0.60473379629629631</v>
      </c>
      <c r="J125" s="8"/>
      <c r="K125" s="8"/>
      <c r="L125" s="8" t="str">
        <f>IF(OR(J125=0,K125=0)," ",K125-J125)</f>
        <v xml:space="preserve"> </v>
      </c>
      <c r="M125" s="18"/>
      <c r="N125" s="13">
        <f t="shared" si="3"/>
        <v>1.1363636363636362</v>
      </c>
    </row>
    <row r="126" spans="1:15" ht="14.5">
      <c r="A126" s="6">
        <v>45593</v>
      </c>
      <c r="B126" s="7" t="s">
        <v>49</v>
      </c>
      <c r="C126" s="7">
        <v>15</v>
      </c>
      <c r="D126" s="8">
        <v>3.472222222222222E-3</v>
      </c>
      <c r="E126" s="8">
        <f t="shared" si="0"/>
        <v>5.2083333333333329E-2</v>
      </c>
      <c r="F126" s="10">
        <v>0.60069444444444442</v>
      </c>
      <c r="G126" s="10">
        <v>0.68027777777777787</v>
      </c>
      <c r="H126" s="8">
        <f t="shared" si="1"/>
        <v>5.4687500000000118E-2</v>
      </c>
      <c r="I126" s="11">
        <f t="shared" si="2"/>
        <v>0.67767361111111113</v>
      </c>
      <c r="J126" s="8"/>
      <c r="K126" s="8"/>
      <c r="L126" s="8">
        <v>2.4895833333333332E-2</v>
      </c>
      <c r="M126" s="37"/>
      <c r="N126" s="13">
        <f t="shared" si="3"/>
        <v>0.95238095238095022</v>
      </c>
      <c r="O126" s="19"/>
    </row>
    <row r="127" spans="1:15" ht="14.5">
      <c r="A127" s="6">
        <v>45593</v>
      </c>
      <c r="B127" s="7" t="s">
        <v>16</v>
      </c>
      <c r="C127" s="7">
        <v>6</v>
      </c>
      <c r="D127" s="8">
        <v>5.5555555555555558E-3</v>
      </c>
      <c r="E127" s="8">
        <f t="shared" si="0"/>
        <v>3.3333333333333333E-2</v>
      </c>
      <c r="F127" s="10">
        <f>G126</f>
        <v>0.68027777777777787</v>
      </c>
      <c r="G127" s="10">
        <v>0.71058752315002494</v>
      </c>
      <c r="H127" s="8">
        <f t="shared" si="1"/>
        <v>3.0309745372247066E-2</v>
      </c>
      <c r="I127" s="11">
        <f t="shared" si="2"/>
        <v>0.7136111111111112</v>
      </c>
      <c r="J127" s="8"/>
      <c r="K127" s="8"/>
      <c r="L127" s="8"/>
      <c r="M127" s="12"/>
      <c r="N127" s="13">
        <f t="shared" si="3"/>
        <v>1.0997562969913564</v>
      </c>
    </row>
    <row r="128" spans="1:15" ht="14.5">
      <c r="A128" s="6">
        <v>45596</v>
      </c>
      <c r="B128" s="7" t="s">
        <v>96</v>
      </c>
      <c r="C128" s="7">
        <v>1</v>
      </c>
      <c r="D128" s="8">
        <v>3.4722222222222224E-2</v>
      </c>
      <c r="E128" s="8">
        <f t="shared" si="0"/>
        <v>3.4722222222222224E-2</v>
      </c>
      <c r="F128" s="10">
        <v>0.33611111111111114</v>
      </c>
      <c r="G128" s="10">
        <v>0.36826388888888895</v>
      </c>
      <c r="H128" s="8">
        <f t="shared" si="1"/>
        <v>3.2152777777777808E-2</v>
      </c>
      <c r="I128" s="11">
        <f t="shared" si="2"/>
        <v>0.37083333333333335</v>
      </c>
      <c r="J128" s="8"/>
      <c r="K128" s="8"/>
      <c r="L128" s="8"/>
      <c r="M128" s="18"/>
      <c r="N128" s="13">
        <f t="shared" si="3"/>
        <v>1.0799136069114461</v>
      </c>
      <c r="O128" s="4"/>
    </row>
    <row r="129" spans="1:15" ht="14.5">
      <c r="A129" s="6">
        <v>45596</v>
      </c>
      <c r="B129" s="7" t="s">
        <v>42</v>
      </c>
      <c r="C129" s="7">
        <v>1</v>
      </c>
      <c r="D129" s="8">
        <v>6.9444444444444441E-3</v>
      </c>
      <c r="E129" s="8">
        <f t="shared" si="0"/>
        <v>6.9444444444444441E-3</v>
      </c>
      <c r="F129" s="10">
        <f t="shared" ref="F129:F132" si="41">G128</f>
        <v>0.36826388888888895</v>
      </c>
      <c r="G129" s="10">
        <v>0.37429398148148152</v>
      </c>
      <c r="H129" s="8">
        <f t="shared" si="1"/>
        <v>6.030092592592573E-3</v>
      </c>
      <c r="I129" s="11">
        <f t="shared" si="2"/>
        <v>0.37520833333333337</v>
      </c>
      <c r="J129" s="8"/>
      <c r="K129" s="8"/>
      <c r="L129" s="8" t="str">
        <f>IF(OR(J129=0,K129=0)," ",K129-J129)</f>
        <v xml:space="preserve"> </v>
      </c>
      <c r="M129" s="18"/>
      <c r="N129" s="13">
        <f t="shared" si="3"/>
        <v>1.1516314779270671</v>
      </c>
    </row>
    <row r="130" spans="1:15" ht="14.5">
      <c r="A130" s="6">
        <v>45596</v>
      </c>
      <c r="B130" s="7" t="s">
        <v>99</v>
      </c>
      <c r="C130" s="7">
        <v>1</v>
      </c>
      <c r="D130" s="8">
        <v>5.2083333333333336E-2</v>
      </c>
      <c r="E130" s="8">
        <f t="shared" si="0"/>
        <v>5.2083333333333336E-2</v>
      </c>
      <c r="F130" s="10">
        <f t="shared" si="41"/>
        <v>0.37429398148148152</v>
      </c>
      <c r="G130" s="10">
        <v>0.46517361111111111</v>
      </c>
      <c r="H130" s="8">
        <f t="shared" si="1"/>
        <v>5.009259259259255E-2</v>
      </c>
      <c r="I130" s="11">
        <f t="shared" si="2"/>
        <v>0.4671643518518519</v>
      </c>
      <c r="J130" s="8"/>
      <c r="K130" s="8"/>
      <c r="L130" s="8">
        <v>4.0787037037037038E-2</v>
      </c>
      <c r="M130" s="12"/>
      <c r="N130" s="13">
        <f t="shared" si="3"/>
        <v>1.0397412199630323</v>
      </c>
      <c r="O130" s="19" t="e">
        <f ca="1">AVERAGEIF(A:A,TODAY(),N:N)</f>
        <v>#DIV/0!</v>
      </c>
    </row>
    <row r="131" spans="1:15" ht="14.5">
      <c r="A131" s="6">
        <v>45596</v>
      </c>
      <c r="B131" s="7" t="s">
        <v>86</v>
      </c>
      <c r="C131" s="7">
        <f>27+6+34+13</f>
        <v>80</v>
      </c>
      <c r="D131" s="8">
        <v>1.3888888888888889E-3</v>
      </c>
      <c r="E131" s="8">
        <f t="shared" si="0"/>
        <v>0.11111111111111112</v>
      </c>
      <c r="F131" s="10">
        <f t="shared" si="41"/>
        <v>0.46517361111111111</v>
      </c>
      <c r="G131" s="10">
        <v>0.583587962962963</v>
      </c>
      <c r="H131" s="8">
        <f t="shared" si="1"/>
        <v>0.10896990740740745</v>
      </c>
      <c r="I131" s="11">
        <f t="shared" si="2"/>
        <v>0.58572916666666675</v>
      </c>
      <c r="J131" s="8"/>
      <c r="K131" s="8"/>
      <c r="L131" s="8">
        <v>9.4444444444444445E-3</v>
      </c>
      <c r="M131" s="12"/>
      <c r="N131" s="13">
        <f t="shared" si="3"/>
        <v>1.0196494954859263</v>
      </c>
    </row>
    <row r="132" spans="1:15" ht="14.5">
      <c r="A132" s="6">
        <v>45596</v>
      </c>
      <c r="B132" s="7" t="s">
        <v>49</v>
      </c>
      <c r="C132" s="7">
        <v>33</v>
      </c>
      <c r="D132" s="8">
        <v>3.472222222222222E-3</v>
      </c>
      <c r="E132" s="8">
        <f t="shared" si="0"/>
        <v>0.11458333333333333</v>
      </c>
      <c r="F132" s="10">
        <f t="shared" si="41"/>
        <v>0.583587962962963</v>
      </c>
      <c r="G132" s="10">
        <v>0.7132574652787298</v>
      </c>
      <c r="H132" s="8">
        <f t="shared" si="1"/>
        <v>0.11324589120465568</v>
      </c>
      <c r="I132" s="11">
        <f t="shared" si="2"/>
        <v>0.7145949074074075</v>
      </c>
      <c r="J132" s="8"/>
      <c r="K132" s="8"/>
      <c r="L132" s="8">
        <v>1.6423611111111111E-2</v>
      </c>
      <c r="M132" s="12"/>
      <c r="N132" s="13">
        <f t="shared" si="3"/>
        <v>1.0118100719986445</v>
      </c>
      <c r="O132" s="4"/>
    </row>
    <row r="133" spans="1:15" ht="14.5">
      <c r="A133" s="6"/>
      <c r="B133" s="7" t="s">
        <v>49</v>
      </c>
      <c r="C133" s="7">
        <v>11</v>
      </c>
      <c r="D133" s="8">
        <v>3.472222222222222E-3</v>
      </c>
      <c r="E133" s="8">
        <f t="shared" si="0"/>
        <v>3.8194444444444441E-2</v>
      </c>
      <c r="F133" s="10"/>
      <c r="G133" s="10"/>
      <c r="H133" s="8" t="str">
        <f t="shared" si="1"/>
        <v/>
      </c>
      <c r="I133" s="11">
        <f t="shared" si="2"/>
        <v>3.8194444444444441E-2</v>
      </c>
      <c r="J133" s="8"/>
      <c r="K133" s="8"/>
      <c r="L133" s="8" t="str">
        <f>IF(OR(J133=0,K133=0)," ",K133-J133)</f>
        <v xml:space="preserve"> </v>
      </c>
      <c r="M133" s="12"/>
      <c r="N133" s="13" t="str">
        <f t="shared" si="3"/>
        <v xml:space="preserve"> </v>
      </c>
    </row>
    <row r="134" spans="1:15" ht="14.5">
      <c r="A134" s="6">
        <v>45597</v>
      </c>
      <c r="B134" s="7" t="s">
        <v>37</v>
      </c>
      <c r="C134" s="7">
        <v>24</v>
      </c>
      <c r="D134" s="8">
        <v>1.3888888888888889E-3</v>
      </c>
      <c r="E134" s="8">
        <f t="shared" si="0"/>
        <v>3.3333333333333333E-2</v>
      </c>
      <c r="F134" s="10">
        <v>0.33369212962962969</v>
      </c>
      <c r="G134" s="10"/>
      <c r="H134" s="8" t="str">
        <f t="shared" si="1"/>
        <v/>
      </c>
      <c r="I134" s="11">
        <f t="shared" si="2"/>
        <v>0.39187500000000003</v>
      </c>
      <c r="J134" s="8"/>
      <c r="K134" s="8"/>
      <c r="L134" s="8">
        <v>2.4849537037037038E-2</v>
      </c>
      <c r="M134" s="12"/>
      <c r="N134" s="13" t="str">
        <f t="shared" si="3"/>
        <v xml:space="preserve"> </v>
      </c>
    </row>
    <row r="135" spans="1:15" ht="14.5">
      <c r="A135" s="6"/>
      <c r="B135" s="7"/>
      <c r="C135" s="7"/>
      <c r="D135" s="8" t="s">
        <v>103</v>
      </c>
      <c r="E135" s="8" t="str">
        <f t="shared" si="0"/>
        <v xml:space="preserve"> </v>
      </c>
      <c r="F135" s="10"/>
      <c r="G135" s="10"/>
      <c r="H135" s="8" t="str">
        <f t="shared" si="1"/>
        <v/>
      </c>
      <c r="I135" s="11" t="str">
        <f t="shared" si="2"/>
        <v/>
      </c>
      <c r="J135" s="8"/>
      <c r="K135" s="8"/>
      <c r="L135" s="8" t="str">
        <f t="shared" ref="L135:L206" si="42">IF(OR(J135=0,K135=0)," ",K135-J135)</f>
        <v xml:space="preserve"> </v>
      </c>
      <c r="M135" s="12"/>
      <c r="N135" s="13" t="str">
        <f t="shared" si="3"/>
        <v xml:space="preserve"> </v>
      </c>
    </row>
    <row r="136" spans="1:15" ht="14.5">
      <c r="A136" s="6"/>
      <c r="B136" s="7"/>
      <c r="C136" s="7"/>
      <c r="D136" s="8" t="s">
        <v>103</v>
      </c>
      <c r="E136" s="8" t="str">
        <f t="shared" si="0"/>
        <v xml:space="preserve"> </v>
      </c>
      <c r="F136" s="10"/>
      <c r="G136" s="10"/>
      <c r="H136" s="8" t="str">
        <f t="shared" si="1"/>
        <v/>
      </c>
      <c r="I136" s="11" t="str">
        <f t="shared" si="2"/>
        <v/>
      </c>
      <c r="J136" s="8"/>
      <c r="K136" s="8"/>
      <c r="L136" s="8" t="str">
        <f t="shared" si="42"/>
        <v xml:space="preserve"> </v>
      </c>
      <c r="M136" s="12"/>
      <c r="N136" s="13" t="str">
        <f t="shared" si="3"/>
        <v xml:space="preserve"> </v>
      </c>
      <c r="O136" s="4"/>
    </row>
    <row r="137" spans="1:15" ht="14.5">
      <c r="A137" s="6"/>
      <c r="B137" s="7"/>
      <c r="C137" s="7"/>
      <c r="D137" s="8" t="s">
        <v>103</v>
      </c>
      <c r="E137" s="8" t="str">
        <f t="shared" si="0"/>
        <v xml:space="preserve"> </v>
      </c>
      <c r="F137" s="10"/>
      <c r="G137" s="10"/>
      <c r="H137" s="8" t="str">
        <f t="shared" si="1"/>
        <v/>
      </c>
      <c r="I137" s="11" t="str">
        <f t="shared" si="2"/>
        <v/>
      </c>
      <c r="J137" s="8"/>
      <c r="K137" s="8"/>
      <c r="L137" s="8" t="str">
        <f t="shared" si="42"/>
        <v xml:space="preserve"> </v>
      </c>
      <c r="M137" s="12"/>
      <c r="N137" s="13" t="str">
        <f t="shared" si="3"/>
        <v xml:space="preserve"> </v>
      </c>
    </row>
    <row r="138" spans="1:15" ht="14.5">
      <c r="A138" s="6"/>
      <c r="B138" s="7"/>
      <c r="C138" s="7"/>
      <c r="D138" s="8" t="s">
        <v>103</v>
      </c>
      <c r="E138" s="8" t="str">
        <f t="shared" si="0"/>
        <v xml:space="preserve"> </v>
      </c>
      <c r="F138" s="10"/>
      <c r="G138" s="10"/>
      <c r="H138" s="8" t="str">
        <f t="shared" si="1"/>
        <v/>
      </c>
      <c r="I138" s="11" t="str">
        <f t="shared" si="2"/>
        <v/>
      </c>
      <c r="J138" s="8"/>
      <c r="K138" s="8"/>
      <c r="L138" s="8" t="str">
        <f t="shared" si="42"/>
        <v xml:space="preserve"> </v>
      </c>
      <c r="M138" s="12"/>
      <c r="N138" s="13" t="str">
        <f t="shared" si="3"/>
        <v xml:space="preserve"> </v>
      </c>
    </row>
    <row r="139" spans="1:15" ht="14.5">
      <c r="A139" s="6"/>
      <c r="B139" s="7"/>
      <c r="C139" s="7"/>
      <c r="D139" s="8" t="s">
        <v>103</v>
      </c>
      <c r="E139" s="8" t="str">
        <f t="shared" si="0"/>
        <v xml:space="preserve"> </v>
      </c>
      <c r="F139" s="10"/>
      <c r="G139" s="10"/>
      <c r="H139" s="8" t="str">
        <f t="shared" si="1"/>
        <v/>
      </c>
      <c r="I139" s="11" t="str">
        <f t="shared" si="2"/>
        <v/>
      </c>
      <c r="J139" s="8"/>
      <c r="K139" s="8"/>
      <c r="L139" s="8" t="str">
        <f t="shared" si="42"/>
        <v xml:space="preserve"> </v>
      </c>
      <c r="M139" s="12"/>
      <c r="N139" s="13" t="str">
        <f t="shared" si="3"/>
        <v xml:space="preserve"> </v>
      </c>
    </row>
    <row r="140" spans="1:15" ht="14.5">
      <c r="A140" s="6"/>
      <c r="B140" s="7"/>
      <c r="C140" s="7"/>
      <c r="D140" s="8" t="s">
        <v>103</v>
      </c>
      <c r="E140" s="8" t="str">
        <f t="shared" si="0"/>
        <v xml:space="preserve"> </v>
      </c>
      <c r="F140" s="10"/>
      <c r="G140" s="10"/>
      <c r="H140" s="8" t="str">
        <f t="shared" si="1"/>
        <v/>
      </c>
      <c r="I140" s="11" t="str">
        <f t="shared" si="2"/>
        <v/>
      </c>
      <c r="J140" s="8"/>
      <c r="K140" s="8"/>
      <c r="L140" s="8" t="str">
        <f t="shared" si="42"/>
        <v xml:space="preserve"> </v>
      </c>
      <c r="M140" s="12"/>
      <c r="N140" s="13" t="str">
        <f t="shared" si="3"/>
        <v xml:space="preserve"> </v>
      </c>
    </row>
    <row r="141" spans="1:15" ht="14.5">
      <c r="A141" s="6"/>
      <c r="B141" s="7"/>
      <c r="C141" s="7"/>
      <c r="D141" s="8" t="s">
        <v>103</v>
      </c>
      <c r="E141" s="8" t="str">
        <f t="shared" si="0"/>
        <v xml:space="preserve"> </v>
      </c>
      <c r="F141" s="10"/>
      <c r="G141" s="10"/>
      <c r="H141" s="8" t="str">
        <f t="shared" si="1"/>
        <v/>
      </c>
      <c r="I141" s="11" t="str">
        <f t="shared" si="2"/>
        <v/>
      </c>
      <c r="J141" s="8"/>
      <c r="K141" s="8"/>
      <c r="L141" s="8" t="str">
        <f t="shared" si="42"/>
        <v xml:space="preserve"> </v>
      </c>
      <c r="M141" s="12"/>
      <c r="N141" s="13" t="str">
        <f t="shared" si="3"/>
        <v xml:space="preserve"> </v>
      </c>
    </row>
    <row r="142" spans="1:15" ht="14.5">
      <c r="A142" s="6"/>
      <c r="B142" s="7"/>
      <c r="C142" s="7"/>
      <c r="D142" s="8" t="s">
        <v>103</v>
      </c>
      <c r="E142" s="8" t="str">
        <f t="shared" si="0"/>
        <v xml:space="preserve"> </v>
      </c>
      <c r="F142" s="10"/>
      <c r="G142" s="10"/>
      <c r="H142" s="8" t="str">
        <f t="shared" si="1"/>
        <v/>
      </c>
      <c r="I142" s="11" t="str">
        <f t="shared" si="2"/>
        <v/>
      </c>
      <c r="J142" s="8"/>
      <c r="K142" s="8"/>
      <c r="L142" s="8" t="str">
        <f t="shared" si="42"/>
        <v xml:space="preserve"> </v>
      </c>
      <c r="M142" s="12"/>
      <c r="N142" s="13" t="str">
        <f t="shared" si="3"/>
        <v xml:space="preserve"> </v>
      </c>
    </row>
    <row r="143" spans="1:15" ht="14.5">
      <c r="A143" s="6"/>
      <c r="B143" s="7"/>
      <c r="C143" s="7"/>
      <c r="D143" s="8" t="s">
        <v>103</v>
      </c>
      <c r="E143" s="8" t="str">
        <f t="shared" si="0"/>
        <v xml:space="preserve"> </v>
      </c>
      <c r="F143" s="10"/>
      <c r="G143" s="10"/>
      <c r="H143" s="8" t="str">
        <f t="shared" si="1"/>
        <v/>
      </c>
      <c r="I143" s="11" t="str">
        <f t="shared" si="2"/>
        <v/>
      </c>
      <c r="J143" s="8"/>
      <c r="K143" s="8"/>
      <c r="L143" s="8" t="str">
        <f t="shared" si="42"/>
        <v xml:space="preserve"> </v>
      </c>
      <c r="M143" s="12"/>
      <c r="N143" s="13" t="str">
        <f t="shared" si="3"/>
        <v xml:space="preserve"> </v>
      </c>
    </row>
    <row r="144" spans="1:15" ht="14.5">
      <c r="A144" s="6"/>
      <c r="B144" s="7"/>
      <c r="C144" s="7"/>
      <c r="D144" s="8" t="s">
        <v>103</v>
      </c>
      <c r="E144" s="8" t="str">
        <f t="shared" si="0"/>
        <v xml:space="preserve"> </v>
      </c>
      <c r="F144" s="10"/>
      <c r="G144" s="10"/>
      <c r="H144" s="8" t="str">
        <f t="shared" si="1"/>
        <v/>
      </c>
      <c r="I144" s="11" t="str">
        <f t="shared" si="2"/>
        <v/>
      </c>
      <c r="J144" s="8"/>
      <c r="K144" s="8"/>
      <c r="L144" s="8" t="str">
        <f t="shared" si="42"/>
        <v xml:space="preserve"> </v>
      </c>
      <c r="M144" s="12"/>
      <c r="N144" s="13" t="str">
        <f t="shared" si="3"/>
        <v xml:space="preserve"> </v>
      </c>
    </row>
    <row r="145" spans="1:14" ht="14.5">
      <c r="A145" s="6"/>
      <c r="B145" s="7"/>
      <c r="C145" s="7"/>
      <c r="D145" s="8" t="s">
        <v>103</v>
      </c>
      <c r="E145" s="8" t="str">
        <f t="shared" si="0"/>
        <v xml:space="preserve"> </v>
      </c>
      <c r="F145" s="10"/>
      <c r="G145" s="10"/>
      <c r="H145" s="8" t="str">
        <f t="shared" si="1"/>
        <v/>
      </c>
      <c r="I145" s="11" t="str">
        <f t="shared" si="2"/>
        <v/>
      </c>
      <c r="J145" s="8"/>
      <c r="K145" s="8"/>
      <c r="L145" s="8" t="str">
        <f t="shared" si="42"/>
        <v xml:space="preserve"> </v>
      </c>
      <c r="M145" s="12"/>
      <c r="N145" s="13" t="str">
        <f t="shared" si="3"/>
        <v xml:space="preserve"> </v>
      </c>
    </row>
    <row r="146" spans="1:14" ht="14.5">
      <c r="A146" s="6"/>
      <c r="B146" s="7"/>
      <c r="C146" s="7"/>
      <c r="D146" s="8" t="s">
        <v>103</v>
      </c>
      <c r="E146" s="8" t="str">
        <f t="shared" si="0"/>
        <v xml:space="preserve"> </v>
      </c>
      <c r="F146" s="10"/>
      <c r="G146" s="10"/>
      <c r="H146" s="8" t="str">
        <f t="shared" si="1"/>
        <v/>
      </c>
      <c r="I146" s="11" t="str">
        <f t="shared" si="2"/>
        <v/>
      </c>
      <c r="J146" s="8"/>
      <c r="K146" s="8"/>
      <c r="L146" s="8" t="str">
        <f t="shared" si="42"/>
        <v xml:space="preserve"> </v>
      </c>
      <c r="M146" s="12"/>
      <c r="N146" s="13" t="str">
        <f t="shared" si="3"/>
        <v xml:space="preserve"> </v>
      </c>
    </row>
    <row r="147" spans="1:14" ht="14.5">
      <c r="A147" s="6"/>
      <c r="B147" s="7"/>
      <c r="C147" s="7"/>
      <c r="D147" s="8" t="s">
        <v>103</v>
      </c>
      <c r="E147" s="8" t="str">
        <f t="shared" si="0"/>
        <v xml:space="preserve"> </v>
      </c>
      <c r="F147" s="10"/>
      <c r="G147" s="10"/>
      <c r="H147" s="8" t="str">
        <f t="shared" si="1"/>
        <v/>
      </c>
      <c r="I147" s="11" t="str">
        <f t="shared" si="2"/>
        <v/>
      </c>
      <c r="J147" s="8"/>
      <c r="K147" s="8"/>
      <c r="L147" s="8" t="str">
        <f t="shared" si="42"/>
        <v xml:space="preserve"> </v>
      </c>
      <c r="M147" s="12"/>
      <c r="N147" s="13" t="str">
        <f t="shared" si="3"/>
        <v xml:space="preserve"> </v>
      </c>
    </row>
    <row r="148" spans="1:14" ht="14.5">
      <c r="A148" s="6"/>
      <c r="B148" s="7"/>
      <c r="C148" s="7"/>
      <c r="D148" s="8" t="s">
        <v>103</v>
      </c>
      <c r="E148" s="8" t="str">
        <f t="shared" si="0"/>
        <v xml:space="preserve"> </v>
      </c>
      <c r="F148" s="10"/>
      <c r="G148" s="10"/>
      <c r="H148" s="8" t="str">
        <f t="shared" si="1"/>
        <v/>
      </c>
      <c r="I148" s="11" t="str">
        <f t="shared" si="2"/>
        <v/>
      </c>
      <c r="J148" s="8"/>
      <c r="K148" s="8"/>
      <c r="L148" s="8" t="str">
        <f t="shared" si="42"/>
        <v xml:space="preserve"> </v>
      </c>
      <c r="M148" s="12"/>
      <c r="N148" s="13" t="str">
        <f t="shared" si="3"/>
        <v xml:space="preserve"> </v>
      </c>
    </row>
    <row r="149" spans="1:14" ht="14.5">
      <c r="A149" s="6"/>
      <c r="B149" s="7"/>
      <c r="C149" s="7"/>
      <c r="D149" s="8" t="s">
        <v>103</v>
      </c>
      <c r="E149" s="8" t="str">
        <f t="shared" si="0"/>
        <v xml:space="preserve"> </v>
      </c>
      <c r="F149" s="10"/>
      <c r="G149" s="10"/>
      <c r="H149" s="8" t="str">
        <f t="shared" si="1"/>
        <v/>
      </c>
      <c r="I149" s="11" t="str">
        <f t="shared" si="2"/>
        <v/>
      </c>
      <c r="J149" s="8"/>
      <c r="K149" s="8"/>
      <c r="L149" s="8" t="str">
        <f t="shared" si="42"/>
        <v xml:space="preserve"> </v>
      </c>
      <c r="M149" s="12"/>
      <c r="N149" s="13" t="str">
        <f t="shared" si="3"/>
        <v xml:space="preserve"> </v>
      </c>
    </row>
    <row r="150" spans="1:14" ht="14.5">
      <c r="A150" s="6"/>
      <c r="B150" s="7"/>
      <c r="C150" s="7"/>
      <c r="D150" s="8" t="s">
        <v>103</v>
      </c>
      <c r="E150" s="8" t="str">
        <f t="shared" si="0"/>
        <v xml:space="preserve"> </v>
      </c>
      <c r="F150" s="10"/>
      <c r="G150" s="10"/>
      <c r="H150" s="8" t="str">
        <f t="shared" si="1"/>
        <v/>
      </c>
      <c r="I150" s="11" t="str">
        <f t="shared" si="2"/>
        <v/>
      </c>
      <c r="J150" s="8"/>
      <c r="K150" s="8"/>
      <c r="L150" s="8" t="str">
        <f t="shared" si="42"/>
        <v xml:space="preserve"> </v>
      </c>
      <c r="M150" s="12"/>
      <c r="N150" s="13" t="str">
        <f t="shared" si="3"/>
        <v xml:space="preserve"> </v>
      </c>
    </row>
    <row r="151" spans="1:14" ht="14.5">
      <c r="A151" s="6"/>
      <c r="B151" s="7"/>
      <c r="C151" s="7"/>
      <c r="D151" s="8" t="s">
        <v>103</v>
      </c>
      <c r="E151" s="8" t="str">
        <f t="shared" si="0"/>
        <v xml:space="preserve"> </v>
      </c>
      <c r="F151" s="10"/>
      <c r="G151" s="10"/>
      <c r="H151" s="8" t="str">
        <f t="shared" si="1"/>
        <v/>
      </c>
      <c r="I151" s="11" t="str">
        <f t="shared" si="2"/>
        <v/>
      </c>
      <c r="J151" s="8"/>
      <c r="K151" s="8"/>
      <c r="L151" s="8" t="str">
        <f t="shared" si="42"/>
        <v xml:space="preserve"> </v>
      </c>
      <c r="M151" s="12"/>
      <c r="N151" s="13" t="str">
        <f t="shared" si="3"/>
        <v xml:space="preserve"> </v>
      </c>
    </row>
    <row r="152" spans="1:14" ht="14.5">
      <c r="A152" s="6"/>
      <c r="B152" s="7"/>
      <c r="C152" s="7"/>
      <c r="D152" s="8" t="s">
        <v>103</v>
      </c>
      <c r="E152" s="8" t="str">
        <f t="shared" si="0"/>
        <v xml:space="preserve"> </v>
      </c>
      <c r="F152" s="10"/>
      <c r="G152" s="10"/>
      <c r="H152" s="8" t="str">
        <f t="shared" si="1"/>
        <v/>
      </c>
      <c r="I152" s="11" t="str">
        <f t="shared" si="2"/>
        <v/>
      </c>
      <c r="J152" s="8"/>
      <c r="K152" s="8"/>
      <c r="L152" s="8" t="str">
        <f t="shared" si="42"/>
        <v xml:space="preserve"> </v>
      </c>
      <c r="M152" s="12"/>
      <c r="N152" s="13" t="str">
        <f t="shared" si="3"/>
        <v xml:space="preserve"> </v>
      </c>
    </row>
    <row r="153" spans="1:14" ht="14.5">
      <c r="A153" s="6"/>
      <c r="B153" s="7"/>
      <c r="C153" s="7"/>
      <c r="D153" s="8" t="s">
        <v>103</v>
      </c>
      <c r="E153" s="8" t="str">
        <f t="shared" si="0"/>
        <v xml:space="preserve"> </v>
      </c>
      <c r="F153" s="10"/>
      <c r="G153" s="10"/>
      <c r="H153" s="8" t="str">
        <f t="shared" si="1"/>
        <v/>
      </c>
      <c r="I153" s="11" t="str">
        <f t="shared" si="2"/>
        <v/>
      </c>
      <c r="J153" s="8"/>
      <c r="K153" s="8"/>
      <c r="L153" s="8" t="str">
        <f t="shared" si="42"/>
        <v xml:space="preserve"> </v>
      </c>
      <c r="M153" s="12"/>
      <c r="N153" s="13" t="str">
        <f t="shared" si="3"/>
        <v xml:space="preserve"> </v>
      </c>
    </row>
    <row r="154" spans="1:14" ht="14.5">
      <c r="A154" s="6"/>
      <c r="B154" s="7"/>
      <c r="C154" s="7"/>
      <c r="D154" s="8" t="s">
        <v>103</v>
      </c>
      <c r="E154" s="8" t="str">
        <f t="shared" si="0"/>
        <v xml:space="preserve"> </v>
      </c>
      <c r="F154" s="10"/>
      <c r="G154" s="10"/>
      <c r="H154" s="8" t="str">
        <f t="shared" si="1"/>
        <v/>
      </c>
      <c r="I154" s="11" t="str">
        <f t="shared" si="2"/>
        <v/>
      </c>
      <c r="J154" s="8"/>
      <c r="K154" s="8"/>
      <c r="L154" s="8" t="str">
        <f t="shared" si="42"/>
        <v xml:space="preserve"> </v>
      </c>
      <c r="M154" s="12"/>
      <c r="N154" s="13" t="str">
        <f t="shared" si="3"/>
        <v xml:space="preserve"> </v>
      </c>
    </row>
    <row r="155" spans="1:14" ht="14.5">
      <c r="A155" s="6"/>
      <c r="B155" s="7"/>
      <c r="C155" s="7"/>
      <c r="D155" s="8" t="s">
        <v>103</v>
      </c>
      <c r="E155" s="8" t="str">
        <f t="shared" si="0"/>
        <v xml:space="preserve"> </v>
      </c>
      <c r="F155" s="10"/>
      <c r="G155" s="10"/>
      <c r="H155" s="8" t="str">
        <f t="shared" si="1"/>
        <v/>
      </c>
      <c r="I155" s="11" t="str">
        <f t="shared" si="2"/>
        <v/>
      </c>
      <c r="J155" s="8"/>
      <c r="K155" s="8"/>
      <c r="L155" s="8" t="str">
        <f t="shared" si="42"/>
        <v xml:space="preserve"> </v>
      </c>
      <c r="M155" s="12"/>
      <c r="N155" s="13" t="str">
        <f t="shared" si="3"/>
        <v xml:space="preserve"> </v>
      </c>
    </row>
    <row r="156" spans="1:14" ht="14.5">
      <c r="A156" s="6"/>
      <c r="B156" s="7"/>
      <c r="C156" s="7"/>
      <c r="D156" s="8" t="s">
        <v>103</v>
      </c>
      <c r="E156" s="8" t="str">
        <f t="shared" si="0"/>
        <v xml:space="preserve"> </v>
      </c>
      <c r="F156" s="10"/>
      <c r="G156" s="10"/>
      <c r="H156" s="8" t="str">
        <f t="shared" si="1"/>
        <v/>
      </c>
      <c r="I156" s="11" t="str">
        <f t="shared" si="2"/>
        <v/>
      </c>
      <c r="J156" s="8"/>
      <c r="K156" s="8"/>
      <c r="L156" s="8" t="str">
        <f t="shared" si="42"/>
        <v xml:space="preserve"> </v>
      </c>
      <c r="M156" s="12"/>
      <c r="N156" s="13" t="str">
        <f t="shared" si="3"/>
        <v xml:space="preserve"> </v>
      </c>
    </row>
    <row r="157" spans="1:14" ht="14.5">
      <c r="A157" s="6"/>
      <c r="B157" s="7"/>
      <c r="C157" s="7"/>
      <c r="D157" s="8" t="s">
        <v>103</v>
      </c>
      <c r="E157" s="8" t="str">
        <f t="shared" si="0"/>
        <v xml:space="preserve"> </v>
      </c>
      <c r="F157" s="10"/>
      <c r="G157" s="10"/>
      <c r="H157" s="8" t="str">
        <f t="shared" si="1"/>
        <v/>
      </c>
      <c r="I157" s="11" t="str">
        <f t="shared" si="2"/>
        <v/>
      </c>
      <c r="J157" s="8"/>
      <c r="K157" s="8"/>
      <c r="L157" s="8" t="str">
        <f t="shared" si="42"/>
        <v xml:space="preserve"> </v>
      </c>
      <c r="M157" s="12"/>
      <c r="N157" s="13" t="str">
        <f t="shared" si="3"/>
        <v xml:space="preserve"> </v>
      </c>
    </row>
    <row r="158" spans="1:14" ht="14.5">
      <c r="A158" s="6"/>
      <c r="B158" s="7"/>
      <c r="C158" s="7"/>
      <c r="D158" s="8" t="s">
        <v>103</v>
      </c>
      <c r="E158" s="8" t="str">
        <f t="shared" si="0"/>
        <v xml:space="preserve"> </v>
      </c>
      <c r="F158" s="10"/>
      <c r="G158" s="10"/>
      <c r="H158" s="8" t="str">
        <f t="shared" si="1"/>
        <v/>
      </c>
      <c r="I158" s="11" t="str">
        <f t="shared" si="2"/>
        <v/>
      </c>
      <c r="J158" s="8"/>
      <c r="K158" s="8"/>
      <c r="L158" s="8" t="str">
        <f t="shared" si="42"/>
        <v xml:space="preserve"> </v>
      </c>
      <c r="M158" s="12"/>
      <c r="N158" s="13" t="str">
        <f t="shared" si="3"/>
        <v xml:space="preserve"> </v>
      </c>
    </row>
    <row r="159" spans="1:14" ht="14.5">
      <c r="A159" s="6"/>
      <c r="B159" s="7"/>
      <c r="C159" s="7"/>
      <c r="D159" s="8" t="s">
        <v>103</v>
      </c>
      <c r="E159" s="8" t="str">
        <f t="shared" si="0"/>
        <v xml:space="preserve"> </v>
      </c>
      <c r="F159" s="10"/>
      <c r="G159" s="10"/>
      <c r="H159" s="8" t="str">
        <f t="shared" si="1"/>
        <v/>
      </c>
      <c r="I159" s="11" t="str">
        <f t="shared" si="2"/>
        <v/>
      </c>
      <c r="J159" s="8"/>
      <c r="K159" s="8"/>
      <c r="L159" s="8" t="str">
        <f t="shared" si="42"/>
        <v xml:space="preserve"> </v>
      </c>
      <c r="M159" s="12"/>
      <c r="N159" s="13" t="str">
        <f t="shared" si="3"/>
        <v xml:space="preserve"> </v>
      </c>
    </row>
    <row r="160" spans="1:14" ht="14.5">
      <c r="A160" s="6"/>
      <c r="B160" s="7"/>
      <c r="C160" s="7"/>
      <c r="D160" s="8" t="s">
        <v>103</v>
      </c>
      <c r="E160" s="8" t="str">
        <f t="shared" si="0"/>
        <v xml:space="preserve"> </v>
      </c>
      <c r="F160" s="10"/>
      <c r="G160" s="10"/>
      <c r="H160" s="8" t="str">
        <f t="shared" si="1"/>
        <v/>
      </c>
      <c r="I160" s="11" t="str">
        <f t="shared" si="2"/>
        <v/>
      </c>
      <c r="J160" s="8"/>
      <c r="K160" s="8"/>
      <c r="L160" s="8" t="str">
        <f t="shared" si="42"/>
        <v xml:space="preserve"> </v>
      </c>
      <c r="M160" s="12"/>
      <c r="N160" s="13" t="str">
        <f t="shared" si="3"/>
        <v xml:space="preserve"> </v>
      </c>
    </row>
    <row r="161" spans="1:14" ht="14.5">
      <c r="A161" s="6"/>
      <c r="B161" s="7"/>
      <c r="C161" s="7"/>
      <c r="D161" s="8" t="s">
        <v>103</v>
      </c>
      <c r="E161" s="8" t="str">
        <f t="shared" si="0"/>
        <v xml:space="preserve"> </v>
      </c>
      <c r="F161" s="10"/>
      <c r="G161" s="10"/>
      <c r="H161" s="8" t="str">
        <f t="shared" si="1"/>
        <v/>
      </c>
      <c r="I161" s="11" t="str">
        <f t="shared" si="2"/>
        <v/>
      </c>
      <c r="J161" s="8"/>
      <c r="K161" s="8"/>
      <c r="L161" s="8" t="str">
        <f t="shared" si="42"/>
        <v xml:space="preserve"> </v>
      </c>
      <c r="M161" s="12"/>
      <c r="N161" s="13" t="str">
        <f t="shared" si="3"/>
        <v xml:space="preserve"> </v>
      </c>
    </row>
    <row r="162" spans="1:14" ht="14.5">
      <c r="A162" s="6"/>
      <c r="B162" s="7"/>
      <c r="C162" s="7"/>
      <c r="D162" s="8" t="s">
        <v>103</v>
      </c>
      <c r="E162" s="8" t="str">
        <f t="shared" si="0"/>
        <v xml:space="preserve"> </v>
      </c>
      <c r="F162" s="10"/>
      <c r="G162" s="10"/>
      <c r="H162" s="8" t="str">
        <f t="shared" si="1"/>
        <v/>
      </c>
      <c r="I162" s="11" t="str">
        <f t="shared" si="2"/>
        <v/>
      </c>
      <c r="J162" s="8"/>
      <c r="K162" s="8"/>
      <c r="L162" s="8" t="str">
        <f t="shared" si="42"/>
        <v xml:space="preserve"> </v>
      </c>
      <c r="M162" s="12"/>
      <c r="N162" s="13" t="str">
        <f t="shared" si="3"/>
        <v xml:space="preserve"> </v>
      </c>
    </row>
    <row r="163" spans="1:14" ht="14.5">
      <c r="A163" s="6"/>
      <c r="B163" s="7"/>
      <c r="C163" s="7"/>
      <c r="D163" s="8" t="s">
        <v>103</v>
      </c>
      <c r="E163" s="8" t="str">
        <f t="shared" si="0"/>
        <v xml:space="preserve"> </v>
      </c>
      <c r="F163" s="10"/>
      <c r="G163" s="10"/>
      <c r="H163" s="8" t="str">
        <f t="shared" si="1"/>
        <v/>
      </c>
      <c r="I163" s="11" t="str">
        <f t="shared" si="2"/>
        <v/>
      </c>
      <c r="J163" s="8"/>
      <c r="K163" s="8"/>
      <c r="L163" s="8" t="str">
        <f t="shared" si="42"/>
        <v xml:space="preserve"> </v>
      </c>
      <c r="M163" s="12"/>
      <c r="N163" s="13" t="str">
        <f t="shared" si="3"/>
        <v xml:space="preserve"> </v>
      </c>
    </row>
    <row r="164" spans="1:14" ht="14.5">
      <c r="A164" s="6"/>
      <c r="B164" s="7"/>
      <c r="C164" s="7"/>
      <c r="D164" s="8" t="s">
        <v>103</v>
      </c>
      <c r="E164" s="8" t="str">
        <f t="shared" si="0"/>
        <v xml:space="preserve"> </v>
      </c>
      <c r="F164" s="10"/>
      <c r="G164" s="10"/>
      <c r="H164" s="8" t="str">
        <f t="shared" si="1"/>
        <v/>
      </c>
      <c r="I164" s="11" t="str">
        <f t="shared" si="2"/>
        <v/>
      </c>
      <c r="J164" s="8"/>
      <c r="K164" s="8"/>
      <c r="L164" s="8" t="str">
        <f t="shared" si="42"/>
        <v xml:space="preserve"> </v>
      </c>
      <c r="M164" s="12"/>
      <c r="N164" s="13" t="str">
        <f t="shared" si="3"/>
        <v xml:space="preserve"> </v>
      </c>
    </row>
    <row r="165" spans="1:14" ht="14.5">
      <c r="A165" s="6"/>
      <c r="B165" s="7"/>
      <c r="C165" s="7"/>
      <c r="D165" s="8" t="s">
        <v>103</v>
      </c>
      <c r="E165" s="8" t="str">
        <f t="shared" si="0"/>
        <v xml:space="preserve"> </v>
      </c>
      <c r="F165" s="10"/>
      <c r="G165" s="10"/>
      <c r="H165" s="8" t="str">
        <f t="shared" si="1"/>
        <v/>
      </c>
      <c r="I165" s="11" t="str">
        <f t="shared" si="2"/>
        <v/>
      </c>
      <c r="J165" s="8"/>
      <c r="K165" s="8"/>
      <c r="L165" s="8" t="str">
        <f t="shared" si="42"/>
        <v xml:space="preserve"> </v>
      </c>
      <c r="M165" s="12"/>
      <c r="N165" s="13" t="str">
        <f t="shared" si="3"/>
        <v xml:space="preserve"> </v>
      </c>
    </row>
    <row r="166" spans="1:14" ht="14.5">
      <c r="A166" s="6"/>
      <c r="B166" s="7"/>
      <c r="C166" s="7"/>
      <c r="D166" s="8" t="s">
        <v>103</v>
      </c>
      <c r="E166" s="8" t="str">
        <f t="shared" si="0"/>
        <v xml:space="preserve"> </v>
      </c>
      <c r="F166" s="10"/>
      <c r="G166" s="10"/>
      <c r="H166" s="8" t="str">
        <f t="shared" si="1"/>
        <v/>
      </c>
      <c r="I166" s="11" t="str">
        <f t="shared" si="2"/>
        <v/>
      </c>
      <c r="J166" s="8"/>
      <c r="K166" s="8"/>
      <c r="L166" s="8" t="str">
        <f t="shared" si="42"/>
        <v xml:space="preserve"> </v>
      </c>
      <c r="M166" s="12"/>
      <c r="N166" s="13" t="str">
        <f t="shared" si="3"/>
        <v xml:space="preserve"> </v>
      </c>
    </row>
    <row r="167" spans="1:14" ht="14.5">
      <c r="A167" s="6"/>
      <c r="B167" s="7"/>
      <c r="C167" s="7"/>
      <c r="D167" s="8" t="s">
        <v>103</v>
      </c>
      <c r="E167" s="8" t="str">
        <f t="shared" si="0"/>
        <v xml:space="preserve"> </v>
      </c>
      <c r="F167" s="10"/>
      <c r="G167" s="10"/>
      <c r="H167" s="8" t="str">
        <f t="shared" si="1"/>
        <v/>
      </c>
      <c r="I167" s="11" t="str">
        <f t="shared" si="2"/>
        <v/>
      </c>
      <c r="J167" s="8"/>
      <c r="K167" s="8"/>
      <c r="L167" s="8" t="str">
        <f t="shared" si="42"/>
        <v xml:space="preserve"> </v>
      </c>
      <c r="M167" s="12"/>
      <c r="N167" s="13" t="str">
        <f t="shared" si="3"/>
        <v xml:space="preserve"> </v>
      </c>
    </row>
    <row r="168" spans="1:14" ht="14.5">
      <c r="A168" s="6"/>
      <c r="B168" s="7"/>
      <c r="C168" s="7"/>
      <c r="D168" s="8" t="s">
        <v>103</v>
      </c>
      <c r="E168" s="8" t="str">
        <f t="shared" si="0"/>
        <v xml:space="preserve"> </v>
      </c>
      <c r="F168" s="10"/>
      <c r="G168" s="10"/>
      <c r="H168" s="8" t="str">
        <f t="shared" si="1"/>
        <v/>
      </c>
      <c r="I168" s="11" t="str">
        <f t="shared" si="2"/>
        <v/>
      </c>
      <c r="J168" s="8"/>
      <c r="K168" s="8"/>
      <c r="L168" s="8" t="str">
        <f t="shared" si="42"/>
        <v xml:space="preserve"> </v>
      </c>
      <c r="M168" s="12"/>
      <c r="N168" s="13" t="str">
        <f t="shared" si="3"/>
        <v xml:space="preserve"> </v>
      </c>
    </row>
    <row r="169" spans="1:14" ht="14.5">
      <c r="A169" s="6"/>
      <c r="B169" s="7"/>
      <c r="C169" s="7"/>
      <c r="D169" s="8" t="s">
        <v>103</v>
      </c>
      <c r="E169" s="8" t="str">
        <f t="shared" si="0"/>
        <v xml:space="preserve"> </v>
      </c>
      <c r="F169" s="10"/>
      <c r="G169" s="10"/>
      <c r="H169" s="8" t="str">
        <f t="shared" si="1"/>
        <v/>
      </c>
      <c r="I169" s="11" t="str">
        <f t="shared" si="2"/>
        <v/>
      </c>
      <c r="J169" s="8"/>
      <c r="K169" s="8"/>
      <c r="L169" s="8" t="str">
        <f t="shared" si="42"/>
        <v xml:space="preserve"> </v>
      </c>
      <c r="M169" s="12"/>
      <c r="N169" s="13" t="str">
        <f t="shared" si="3"/>
        <v xml:space="preserve"> </v>
      </c>
    </row>
    <row r="170" spans="1:14" ht="14.5">
      <c r="A170" s="6"/>
      <c r="B170" s="7"/>
      <c r="C170" s="7"/>
      <c r="D170" s="8" t="s">
        <v>103</v>
      </c>
      <c r="E170" s="8" t="str">
        <f t="shared" si="0"/>
        <v xml:space="preserve"> </v>
      </c>
      <c r="F170" s="10"/>
      <c r="G170" s="10"/>
      <c r="H170" s="8" t="str">
        <f t="shared" si="1"/>
        <v/>
      </c>
      <c r="I170" s="11" t="str">
        <f t="shared" si="2"/>
        <v/>
      </c>
      <c r="J170" s="8"/>
      <c r="K170" s="8"/>
      <c r="L170" s="8" t="str">
        <f t="shared" si="42"/>
        <v xml:space="preserve"> </v>
      </c>
      <c r="M170" s="12"/>
      <c r="N170" s="13" t="str">
        <f t="shared" si="3"/>
        <v xml:space="preserve"> </v>
      </c>
    </row>
    <row r="171" spans="1:14" ht="14.5">
      <c r="A171" s="6"/>
      <c r="B171" s="7"/>
      <c r="C171" s="7"/>
      <c r="D171" s="8" t="s">
        <v>103</v>
      </c>
      <c r="E171" s="8" t="str">
        <f t="shared" si="0"/>
        <v xml:space="preserve"> </v>
      </c>
      <c r="F171" s="10"/>
      <c r="G171" s="10"/>
      <c r="H171" s="8" t="str">
        <f t="shared" si="1"/>
        <v/>
      </c>
      <c r="I171" s="11" t="str">
        <f t="shared" si="2"/>
        <v/>
      </c>
      <c r="J171" s="8"/>
      <c r="K171" s="8"/>
      <c r="L171" s="8" t="str">
        <f t="shared" si="42"/>
        <v xml:space="preserve"> </v>
      </c>
      <c r="M171" s="12"/>
      <c r="N171" s="13" t="str">
        <f t="shared" si="3"/>
        <v xml:space="preserve"> </v>
      </c>
    </row>
    <row r="172" spans="1:14" ht="14.5">
      <c r="A172" s="6"/>
      <c r="B172" s="7"/>
      <c r="C172" s="7"/>
      <c r="D172" s="8" t="s">
        <v>103</v>
      </c>
      <c r="E172" s="8" t="str">
        <f t="shared" si="0"/>
        <v xml:space="preserve"> </v>
      </c>
      <c r="F172" s="10"/>
      <c r="G172" s="10"/>
      <c r="H172" s="8" t="str">
        <f t="shared" si="1"/>
        <v/>
      </c>
      <c r="I172" s="11" t="str">
        <f t="shared" si="2"/>
        <v/>
      </c>
      <c r="J172" s="8"/>
      <c r="K172" s="8"/>
      <c r="L172" s="8" t="str">
        <f t="shared" si="42"/>
        <v xml:space="preserve"> </v>
      </c>
      <c r="M172" s="12"/>
      <c r="N172" s="13" t="str">
        <f t="shared" si="3"/>
        <v xml:space="preserve"> </v>
      </c>
    </row>
    <row r="173" spans="1:14" ht="14.5">
      <c r="A173" s="6"/>
      <c r="B173" s="7"/>
      <c r="C173" s="7"/>
      <c r="D173" s="8" t="s">
        <v>103</v>
      </c>
      <c r="E173" s="8" t="str">
        <f t="shared" si="0"/>
        <v xml:space="preserve"> </v>
      </c>
      <c r="F173" s="10"/>
      <c r="G173" s="10"/>
      <c r="H173" s="8" t="str">
        <f t="shared" si="1"/>
        <v/>
      </c>
      <c r="I173" s="11" t="str">
        <f t="shared" si="2"/>
        <v/>
      </c>
      <c r="J173" s="8"/>
      <c r="K173" s="8"/>
      <c r="L173" s="8" t="str">
        <f t="shared" si="42"/>
        <v xml:space="preserve"> </v>
      </c>
      <c r="M173" s="12"/>
      <c r="N173" s="13" t="str">
        <f t="shared" si="3"/>
        <v xml:space="preserve"> </v>
      </c>
    </row>
    <row r="174" spans="1:14" ht="14.5">
      <c r="A174" s="6"/>
      <c r="B174" s="7"/>
      <c r="C174" s="7"/>
      <c r="D174" s="8" t="s">
        <v>103</v>
      </c>
      <c r="E174" s="8" t="str">
        <f t="shared" si="0"/>
        <v xml:space="preserve"> </v>
      </c>
      <c r="F174" s="10"/>
      <c r="G174" s="10"/>
      <c r="H174" s="8" t="str">
        <f t="shared" si="1"/>
        <v/>
      </c>
      <c r="I174" s="11" t="str">
        <f t="shared" si="2"/>
        <v/>
      </c>
      <c r="J174" s="8"/>
      <c r="K174" s="8"/>
      <c r="L174" s="8" t="str">
        <f t="shared" si="42"/>
        <v xml:space="preserve"> </v>
      </c>
      <c r="M174" s="12"/>
      <c r="N174" s="13" t="str">
        <f t="shared" si="3"/>
        <v xml:space="preserve"> </v>
      </c>
    </row>
    <row r="175" spans="1:14" ht="14.5">
      <c r="A175" s="6"/>
      <c r="B175" s="7"/>
      <c r="C175" s="7"/>
      <c r="D175" s="8" t="s">
        <v>103</v>
      </c>
      <c r="E175" s="8" t="str">
        <f t="shared" si="0"/>
        <v xml:space="preserve"> </v>
      </c>
      <c r="F175" s="10"/>
      <c r="G175" s="10"/>
      <c r="H175" s="8" t="str">
        <f t="shared" si="1"/>
        <v/>
      </c>
      <c r="I175" s="11" t="str">
        <f t="shared" si="2"/>
        <v/>
      </c>
      <c r="J175" s="8"/>
      <c r="K175" s="8"/>
      <c r="L175" s="8" t="str">
        <f t="shared" si="42"/>
        <v xml:space="preserve"> </v>
      </c>
      <c r="M175" s="12"/>
      <c r="N175" s="13" t="str">
        <f t="shared" si="3"/>
        <v xml:space="preserve"> </v>
      </c>
    </row>
    <row r="176" spans="1:14" ht="14.5">
      <c r="A176" s="6"/>
      <c r="B176" s="7"/>
      <c r="C176" s="7"/>
      <c r="D176" s="8" t="s">
        <v>103</v>
      </c>
      <c r="E176" s="8" t="str">
        <f t="shared" si="0"/>
        <v xml:space="preserve"> </v>
      </c>
      <c r="F176" s="10"/>
      <c r="G176" s="10"/>
      <c r="H176" s="8" t="str">
        <f t="shared" si="1"/>
        <v/>
      </c>
      <c r="I176" s="11" t="str">
        <f t="shared" si="2"/>
        <v/>
      </c>
      <c r="J176" s="8"/>
      <c r="K176" s="8"/>
      <c r="L176" s="8" t="str">
        <f t="shared" si="42"/>
        <v xml:space="preserve"> </v>
      </c>
      <c r="M176" s="12"/>
      <c r="N176" s="13" t="str">
        <f t="shared" si="3"/>
        <v xml:space="preserve"> </v>
      </c>
    </row>
    <row r="177" spans="1:14" ht="14.5">
      <c r="A177" s="6"/>
      <c r="B177" s="7"/>
      <c r="C177" s="7"/>
      <c r="D177" s="8" t="s">
        <v>103</v>
      </c>
      <c r="E177" s="8" t="str">
        <f t="shared" si="0"/>
        <v xml:space="preserve"> </v>
      </c>
      <c r="F177" s="10"/>
      <c r="G177" s="10"/>
      <c r="H177" s="8" t="str">
        <f t="shared" si="1"/>
        <v/>
      </c>
      <c r="I177" s="11" t="str">
        <f t="shared" si="2"/>
        <v/>
      </c>
      <c r="J177" s="8"/>
      <c r="K177" s="8"/>
      <c r="L177" s="8" t="str">
        <f t="shared" si="42"/>
        <v xml:space="preserve"> </v>
      </c>
      <c r="M177" s="12"/>
      <c r="N177" s="13" t="str">
        <f t="shared" si="3"/>
        <v xml:space="preserve"> </v>
      </c>
    </row>
    <row r="178" spans="1:14" ht="14.5">
      <c r="A178" s="6"/>
      <c r="B178" s="7"/>
      <c r="C178" s="7"/>
      <c r="D178" s="8" t="s">
        <v>103</v>
      </c>
      <c r="E178" s="8" t="str">
        <f t="shared" si="0"/>
        <v xml:space="preserve"> </v>
      </c>
      <c r="F178" s="10"/>
      <c r="G178" s="10"/>
      <c r="H178" s="8" t="str">
        <f t="shared" si="1"/>
        <v/>
      </c>
      <c r="I178" s="11" t="str">
        <f t="shared" si="2"/>
        <v/>
      </c>
      <c r="J178" s="8"/>
      <c r="K178" s="8"/>
      <c r="L178" s="8" t="str">
        <f t="shared" si="42"/>
        <v xml:space="preserve"> </v>
      </c>
      <c r="M178" s="12"/>
      <c r="N178" s="13" t="str">
        <f t="shared" si="3"/>
        <v xml:space="preserve"> </v>
      </c>
    </row>
    <row r="179" spans="1:14" ht="14.5">
      <c r="A179" s="6"/>
      <c r="B179" s="7"/>
      <c r="C179" s="7"/>
      <c r="D179" s="8" t="s">
        <v>103</v>
      </c>
      <c r="E179" s="8" t="str">
        <f t="shared" si="0"/>
        <v xml:space="preserve"> </v>
      </c>
      <c r="F179" s="10"/>
      <c r="G179" s="10"/>
      <c r="H179" s="8" t="str">
        <f t="shared" si="1"/>
        <v/>
      </c>
      <c r="I179" s="11" t="str">
        <f t="shared" si="2"/>
        <v/>
      </c>
      <c r="J179" s="8"/>
      <c r="K179" s="8"/>
      <c r="L179" s="8" t="str">
        <f t="shared" si="42"/>
        <v xml:space="preserve"> </v>
      </c>
      <c r="M179" s="12"/>
      <c r="N179" s="13" t="str">
        <f t="shared" si="3"/>
        <v xml:space="preserve"> </v>
      </c>
    </row>
    <row r="180" spans="1:14" ht="14.5">
      <c r="A180" s="6"/>
      <c r="B180" s="7"/>
      <c r="C180" s="7"/>
      <c r="D180" s="8" t="s">
        <v>103</v>
      </c>
      <c r="E180" s="8" t="str">
        <f t="shared" si="0"/>
        <v xml:space="preserve"> </v>
      </c>
      <c r="F180" s="10"/>
      <c r="G180" s="10"/>
      <c r="H180" s="8" t="str">
        <f t="shared" si="1"/>
        <v/>
      </c>
      <c r="I180" s="11" t="str">
        <f t="shared" si="2"/>
        <v/>
      </c>
      <c r="J180" s="8"/>
      <c r="K180" s="8"/>
      <c r="L180" s="8" t="str">
        <f t="shared" si="42"/>
        <v xml:space="preserve"> </v>
      </c>
      <c r="M180" s="12"/>
      <c r="N180" s="13" t="str">
        <f t="shared" si="3"/>
        <v xml:space="preserve"> </v>
      </c>
    </row>
    <row r="181" spans="1:14" ht="14.5">
      <c r="A181" s="6"/>
      <c r="B181" s="7"/>
      <c r="C181" s="7"/>
      <c r="D181" s="8" t="s">
        <v>103</v>
      </c>
      <c r="E181" s="8" t="str">
        <f t="shared" si="0"/>
        <v xml:space="preserve"> </v>
      </c>
      <c r="F181" s="10"/>
      <c r="G181" s="10"/>
      <c r="H181" s="8" t="str">
        <f t="shared" si="1"/>
        <v/>
      </c>
      <c r="I181" s="11" t="str">
        <f t="shared" si="2"/>
        <v/>
      </c>
      <c r="J181" s="8"/>
      <c r="K181" s="8"/>
      <c r="L181" s="8" t="str">
        <f t="shared" si="42"/>
        <v xml:space="preserve"> </v>
      </c>
      <c r="M181" s="12"/>
      <c r="N181" s="13" t="str">
        <f t="shared" si="3"/>
        <v xml:space="preserve"> </v>
      </c>
    </row>
    <row r="182" spans="1:14" ht="14.5">
      <c r="A182" s="6"/>
      <c r="B182" s="7"/>
      <c r="C182" s="7"/>
      <c r="D182" s="8" t="s">
        <v>103</v>
      </c>
      <c r="E182" s="8" t="str">
        <f t="shared" si="0"/>
        <v xml:space="preserve"> </v>
      </c>
      <c r="F182" s="10"/>
      <c r="G182" s="10"/>
      <c r="H182" s="8" t="str">
        <f t="shared" si="1"/>
        <v/>
      </c>
      <c r="I182" s="11" t="str">
        <f t="shared" si="2"/>
        <v/>
      </c>
      <c r="J182" s="8"/>
      <c r="K182" s="8"/>
      <c r="L182" s="8" t="str">
        <f t="shared" si="42"/>
        <v xml:space="preserve"> </v>
      </c>
      <c r="M182" s="12"/>
      <c r="N182" s="13" t="str">
        <f t="shared" si="3"/>
        <v xml:space="preserve"> </v>
      </c>
    </row>
    <row r="183" spans="1:14" ht="14.5">
      <c r="A183" s="6"/>
      <c r="B183" s="7"/>
      <c r="C183" s="7"/>
      <c r="D183" s="8" t="s">
        <v>103</v>
      </c>
      <c r="E183" s="8" t="str">
        <f t="shared" si="0"/>
        <v xml:space="preserve"> </v>
      </c>
      <c r="F183" s="10"/>
      <c r="G183" s="10"/>
      <c r="H183" s="8" t="str">
        <f t="shared" si="1"/>
        <v/>
      </c>
      <c r="I183" s="11" t="str">
        <f t="shared" si="2"/>
        <v/>
      </c>
      <c r="J183" s="8"/>
      <c r="K183" s="8"/>
      <c r="L183" s="8" t="str">
        <f t="shared" si="42"/>
        <v xml:space="preserve"> </v>
      </c>
      <c r="M183" s="12"/>
      <c r="N183" s="13" t="str">
        <f t="shared" si="3"/>
        <v xml:space="preserve"> </v>
      </c>
    </row>
    <row r="184" spans="1:14" ht="14.5">
      <c r="A184" s="6"/>
      <c r="B184" s="7"/>
      <c r="C184" s="7"/>
      <c r="D184" s="8" t="s">
        <v>103</v>
      </c>
      <c r="E184" s="8" t="str">
        <f t="shared" si="0"/>
        <v xml:space="preserve"> </v>
      </c>
      <c r="F184" s="10"/>
      <c r="G184" s="10"/>
      <c r="H184" s="8" t="str">
        <f t="shared" si="1"/>
        <v/>
      </c>
      <c r="I184" s="11" t="str">
        <f t="shared" si="2"/>
        <v/>
      </c>
      <c r="J184" s="8"/>
      <c r="K184" s="8"/>
      <c r="L184" s="8" t="str">
        <f t="shared" si="42"/>
        <v xml:space="preserve"> </v>
      </c>
      <c r="M184" s="12"/>
      <c r="N184" s="13" t="str">
        <f t="shared" si="3"/>
        <v xml:space="preserve"> </v>
      </c>
    </row>
    <row r="185" spans="1:14" ht="14.5">
      <c r="A185" s="6"/>
      <c r="B185" s="7"/>
      <c r="C185" s="7"/>
      <c r="D185" s="8" t="s">
        <v>103</v>
      </c>
      <c r="E185" s="8" t="str">
        <f t="shared" si="0"/>
        <v xml:space="preserve"> </v>
      </c>
      <c r="F185" s="10"/>
      <c r="G185" s="10"/>
      <c r="H185" s="8" t="str">
        <f t="shared" si="1"/>
        <v/>
      </c>
      <c r="I185" s="11" t="str">
        <f t="shared" si="2"/>
        <v/>
      </c>
      <c r="J185" s="8"/>
      <c r="K185" s="8"/>
      <c r="L185" s="8" t="str">
        <f t="shared" si="42"/>
        <v xml:space="preserve"> </v>
      </c>
      <c r="M185" s="12"/>
      <c r="N185" s="13" t="str">
        <f t="shared" si="3"/>
        <v xml:space="preserve"> </v>
      </c>
    </row>
    <row r="186" spans="1:14" ht="14.5">
      <c r="A186" s="6"/>
      <c r="B186" s="7"/>
      <c r="C186" s="7"/>
      <c r="D186" s="8" t="s">
        <v>103</v>
      </c>
      <c r="E186" s="8" t="str">
        <f t="shared" si="0"/>
        <v xml:space="preserve"> </v>
      </c>
      <c r="F186" s="10"/>
      <c r="G186" s="10"/>
      <c r="H186" s="8" t="str">
        <f t="shared" si="1"/>
        <v/>
      </c>
      <c r="I186" s="11" t="str">
        <f t="shared" si="2"/>
        <v/>
      </c>
      <c r="J186" s="8"/>
      <c r="K186" s="8"/>
      <c r="L186" s="8" t="str">
        <f t="shared" si="42"/>
        <v xml:space="preserve"> </v>
      </c>
      <c r="M186" s="12"/>
      <c r="N186" s="13" t="str">
        <f t="shared" si="3"/>
        <v xml:space="preserve"> </v>
      </c>
    </row>
    <row r="187" spans="1:14" ht="14.5">
      <c r="A187" s="6"/>
      <c r="B187" s="7"/>
      <c r="C187" s="7"/>
      <c r="D187" s="8" t="s">
        <v>103</v>
      </c>
      <c r="E187" s="8" t="str">
        <f t="shared" si="0"/>
        <v xml:space="preserve"> </v>
      </c>
      <c r="F187" s="10"/>
      <c r="G187" s="10"/>
      <c r="H187" s="8" t="str">
        <f t="shared" si="1"/>
        <v/>
      </c>
      <c r="I187" s="11" t="str">
        <f t="shared" si="2"/>
        <v/>
      </c>
      <c r="J187" s="8"/>
      <c r="K187" s="8"/>
      <c r="L187" s="8" t="str">
        <f t="shared" si="42"/>
        <v xml:space="preserve"> </v>
      </c>
      <c r="M187" s="12"/>
      <c r="N187" s="13" t="str">
        <f t="shared" si="3"/>
        <v xml:space="preserve"> </v>
      </c>
    </row>
    <row r="188" spans="1:14" ht="14.5">
      <c r="A188" s="6"/>
      <c r="B188" s="7"/>
      <c r="C188" s="7"/>
      <c r="D188" s="8" t="s">
        <v>103</v>
      </c>
      <c r="E188" s="8" t="str">
        <f t="shared" si="0"/>
        <v xml:space="preserve"> </v>
      </c>
      <c r="F188" s="10"/>
      <c r="G188" s="10"/>
      <c r="H188" s="8" t="str">
        <f t="shared" si="1"/>
        <v/>
      </c>
      <c r="I188" s="11" t="str">
        <f t="shared" si="2"/>
        <v/>
      </c>
      <c r="J188" s="8"/>
      <c r="K188" s="8"/>
      <c r="L188" s="8" t="str">
        <f t="shared" si="42"/>
        <v xml:space="preserve"> </v>
      </c>
      <c r="M188" s="12"/>
      <c r="N188" s="13" t="str">
        <f t="shared" si="3"/>
        <v xml:space="preserve"> </v>
      </c>
    </row>
    <row r="189" spans="1:14" ht="14.5">
      <c r="A189" s="6"/>
      <c r="B189" s="7"/>
      <c r="C189" s="7"/>
      <c r="D189" s="8" t="s">
        <v>103</v>
      </c>
      <c r="E189" s="8" t="str">
        <f t="shared" si="0"/>
        <v xml:space="preserve"> </v>
      </c>
      <c r="F189" s="10"/>
      <c r="G189" s="10"/>
      <c r="H189" s="8" t="str">
        <f t="shared" si="1"/>
        <v/>
      </c>
      <c r="I189" s="11" t="str">
        <f t="shared" si="2"/>
        <v/>
      </c>
      <c r="J189" s="8"/>
      <c r="K189" s="8"/>
      <c r="L189" s="8" t="str">
        <f t="shared" si="42"/>
        <v xml:space="preserve"> </v>
      </c>
      <c r="M189" s="12"/>
      <c r="N189" s="13" t="str">
        <f t="shared" si="3"/>
        <v xml:space="preserve"> </v>
      </c>
    </row>
    <row r="190" spans="1:14" ht="14.5">
      <c r="A190" s="6"/>
      <c r="B190" s="7"/>
      <c r="C190" s="7"/>
      <c r="D190" s="8" t="s">
        <v>103</v>
      </c>
      <c r="E190" s="8" t="str">
        <f t="shared" si="0"/>
        <v xml:space="preserve"> </v>
      </c>
      <c r="F190" s="10"/>
      <c r="G190" s="10"/>
      <c r="H190" s="8" t="str">
        <f t="shared" si="1"/>
        <v/>
      </c>
      <c r="I190" s="11" t="str">
        <f t="shared" si="2"/>
        <v/>
      </c>
      <c r="J190" s="8"/>
      <c r="K190" s="8"/>
      <c r="L190" s="8" t="str">
        <f t="shared" si="42"/>
        <v xml:space="preserve"> </v>
      </c>
      <c r="M190" s="12"/>
      <c r="N190" s="13" t="str">
        <f t="shared" si="3"/>
        <v xml:space="preserve"> </v>
      </c>
    </row>
    <row r="191" spans="1:14" ht="14.5">
      <c r="A191" s="6"/>
      <c r="B191" s="7"/>
      <c r="C191" s="7"/>
      <c r="D191" s="8" t="s">
        <v>103</v>
      </c>
      <c r="E191" s="8" t="str">
        <f t="shared" si="0"/>
        <v xml:space="preserve"> </v>
      </c>
      <c r="F191" s="10"/>
      <c r="G191" s="10"/>
      <c r="H191" s="8" t="str">
        <f t="shared" si="1"/>
        <v/>
      </c>
      <c r="I191" s="11" t="str">
        <f t="shared" si="2"/>
        <v/>
      </c>
      <c r="J191" s="8"/>
      <c r="K191" s="8"/>
      <c r="L191" s="8" t="str">
        <f t="shared" si="42"/>
        <v xml:space="preserve"> </v>
      </c>
      <c r="M191" s="12"/>
      <c r="N191" s="13" t="str">
        <f t="shared" si="3"/>
        <v xml:space="preserve"> </v>
      </c>
    </row>
    <row r="192" spans="1:14" ht="14.5">
      <c r="A192" s="6"/>
      <c r="B192" s="7"/>
      <c r="C192" s="7"/>
      <c r="D192" s="8" t="s">
        <v>103</v>
      </c>
      <c r="E192" s="8" t="str">
        <f t="shared" si="0"/>
        <v xml:space="preserve"> </v>
      </c>
      <c r="F192" s="10"/>
      <c r="G192" s="10"/>
      <c r="H192" s="8" t="str">
        <f t="shared" si="1"/>
        <v/>
      </c>
      <c r="I192" s="11" t="str">
        <f t="shared" si="2"/>
        <v/>
      </c>
      <c r="J192" s="8"/>
      <c r="K192" s="8"/>
      <c r="L192" s="8" t="str">
        <f t="shared" si="42"/>
        <v xml:space="preserve"> </v>
      </c>
      <c r="M192" s="12"/>
      <c r="N192" s="13" t="str">
        <f t="shared" si="3"/>
        <v xml:space="preserve"> </v>
      </c>
    </row>
    <row r="193" spans="1:14" ht="14.5">
      <c r="A193" s="6"/>
      <c r="B193" s="7"/>
      <c r="C193" s="7"/>
      <c r="D193" s="8" t="s">
        <v>103</v>
      </c>
      <c r="E193" s="8" t="str">
        <f t="shared" si="0"/>
        <v xml:space="preserve"> </v>
      </c>
      <c r="F193" s="10"/>
      <c r="G193" s="10"/>
      <c r="H193" s="8" t="str">
        <f t="shared" si="1"/>
        <v/>
      </c>
      <c r="I193" s="11" t="str">
        <f t="shared" si="2"/>
        <v/>
      </c>
      <c r="J193" s="8"/>
      <c r="K193" s="8"/>
      <c r="L193" s="8" t="str">
        <f t="shared" si="42"/>
        <v xml:space="preserve"> </v>
      </c>
      <c r="M193" s="12"/>
      <c r="N193" s="13" t="str">
        <f t="shared" si="3"/>
        <v xml:space="preserve"> </v>
      </c>
    </row>
    <row r="194" spans="1:14" ht="14.5">
      <c r="A194" s="6"/>
      <c r="B194" s="7"/>
      <c r="C194" s="7"/>
      <c r="D194" s="8" t="s">
        <v>103</v>
      </c>
      <c r="E194" s="8" t="str">
        <f t="shared" si="0"/>
        <v xml:space="preserve"> </v>
      </c>
      <c r="F194" s="10"/>
      <c r="G194" s="10"/>
      <c r="H194" s="8" t="str">
        <f t="shared" si="1"/>
        <v/>
      </c>
      <c r="I194" s="11" t="str">
        <f t="shared" si="2"/>
        <v/>
      </c>
      <c r="J194" s="8"/>
      <c r="K194" s="8"/>
      <c r="L194" s="8" t="str">
        <f t="shared" si="42"/>
        <v xml:space="preserve"> </v>
      </c>
      <c r="M194" s="12"/>
      <c r="N194" s="13" t="str">
        <f t="shared" si="3"/>
        <v xml:space="preserve"> </v>
      </c>
    </row>
    <row r="195" spans="1:14" ht="14.5">
      <c r="A195" s="6"/>
      <c r="B195" s="7"/>
      <c r="C195" s="7"/>
      <c r="D195" s="8" t="s">
        <v>103</v>
      </c>
      <c r="E195" s="8" t="str">
        <f t="shared" si="0"/>
        <v xml:space="preserve"> </v>
      </c>
      <c r="F195" s="10"/>
      <c r="G195" s="10"/>
      <c r="H195" s="8" t="str">
        <f t="shared" si="1"/>
        <v/>
      </c>
      <c r="I195" s="11" t="str">
        <f t="shared" si="2"/>
        <v/>
      </c>
      <c r="J195" s="8"/>
      <c r="K195" s="8"/>
      <c r="L195" s="8" t="str">
        <f t="shared" si="42"/>
        <v xml:space="preserve"> </v>
      </c>
      <c r="M195" s="12"/>
      <c r="N195" s="13" t="str">
        <f t="shared" si="3"/>
        <v xml:space="preserve"> </v>
      </c>
    </row>
    <row r="196" spans="1:14" ht="14.5">
      <c r="A196" s="6"/>
      <c r="B196" s="7"/>
      <c r="C196" s="7"/>
      <c r="D196" s="8" t="s">
        <v>103</v>
      </c>
      <c r="E196" s="8" t="str">
        <f t="shared" si="0"/>
        <v xml:space="preserve"> </v>
      </c>
      <c r="F196" s="10"/>
      <c r="G196" s="10"/>
      <c r="H196" s="8" t="str">
        <f t="shared" si="1"/>
        <v/>
      </c>
      <c r="I196" s="11" t="str">
        <f t="shared" si="2"/>
        <v/>
      </c>
      <c r="J196" s="8"/>
      <c r="K196" s="8"/>
      <c r="L196" s="8" t="str">
        <f t="shared" si="42"/>
        <v xml:space="preserve"> </v>
      </c>
      <c r="M196" s="12"/>
      <c r="N196" s="13" t="str">
        <f t="shared" si="3"/>
        <v xml:space="preserve"> </v>
      </c>
    </row>
    <row r="197" spans="1:14" ht="14.5">
      <c r="A197" s="6"/>
      <c r="B197" s="7"/>
      <c r="C197" s="7"/>
      <c r="D197" s="8" t="s">
        <v>103</v>
      </c>
      <c r="E197" s="8" t="str">
        <f t="shared" si="0"/>
        <v xml:space="preserve"> </v>
      </c>
      <c r="F197" s="10"/>
      <c r="G197" s="10"/>
      <c r="H197" s="8" t="str">
        <f t="shared" si="1"/>
        <v/>
      </c>
      <c r="I197" s="11" t="str">
        <f t="shared" si="2"/>
        <v/>
      </c>
      <c r="J197" s="8"/>
      <c r="K197" s="8"/>
      <c r="L197" s="8" t="str">
        <f t="shared" si="42"/>
        <v xml:space="preserve"> </v>
      </c>
      <c r="M197" s="12"/>
      <c r="N197" s="13" t="str">
        <f t="shared" si="3"/>
        <v xml:space="preserve"> </v>
      </c>
    </row>
    <row r="198" spans="1:14" ht="14.5">
      <c r="A198" s="6"/>
      <c r="B198" s="7"/>
      <c r="C198" s="7"/>
      <c r="D198" s="8" t="s">
        <v>103</v>
      </c>
      <c r="E198" s="8" t="str">
        <f t="shared" si="0"/>
        <v xml:space="preserve"> </v>
      </c>
      <c r="F198" s="10"/>
      <c r="G198" s="10"/>
      <c r="H198" s="8" t="str">
        <f t="shared" si="1"/>
        <v/>
      </c>
      <c r="I198" s="11" t="str">
        <f t="shared" si="2"/>
        <v/>
      </c>
      <c r="J198" s="8"/>
      <c r="K198" s="8"/>
      <c r="L198" s="8" t="str">
        <f t="shared" si="42"/>
        <v xml:space="preserve"> </v>
      </c>
      <c r="M198" s="12"/>
      <c r="N198" s="13" t="str">
        <f t="shared" si="3"/>
        <v xml:space="preserve"> </v>
      </c>
    </row>
    <row r="199" spans="1:14" ht="14.5">
      <c r="A199" s="6"/>
      <c r="B199" s="7"/>
      <c r="C199" s="7"/>
      <c r="D199" s="8" t="s">
        <v>103</v>
      </c>
      <c r="E199" s="8" t="str">
        <f t="shared" si="0"/>
        <v xml:space="preserve"> </v>
      </c>
      <c r="F199" s="10"/>
      <c r="G199" s="10"/>
      <c r="H199" s="8" t="str">
        <f t="shared" si="1"/>
        <v/>
      </c>
      <c r="I199" s="11" t="str">
        <f t="shared" si="2"/>
        <v/>
      </c>
      <c r="J199" s="8"/>
      <c r="K199" s="8"/>
      <c r="L199" s="8" t="str">
        <f t="shared" si="42"/>
        <v xml:space="preserve"> </v>
      </c>
      <c r="M199" s="12"/>
      <c r="N199" s="13" t="str">
        <f t="shared" si="3"/>
        <v xml:space="preserve"> </v>
      </c>
    </row>
    <row r="200" spans="1:14" ht="14.5">
      <c r="A200" s="6"/>
      <c r="B200" s="7"/>
      <c r="C200" s="7"/>
      <c r="D200" s="8" t="s">
        <v>103</v>
      </c>
      <c r="E200" s="8" t="str">
        <f t="shared" si="0"/>
        <v xml:space="preserve"> </v>
      </c>
      <c r="F200" s="10"/>
      <c r="G200" s="10"/>
      <c r="H200" s="8" t="str">
        <f t="shared" si="1"/>
        <v/>
      </c>
      <c r="I200" s="11" t="str">
        <f t="shared" si="2"/>
        <v/>
      </c>
      <c r="J200" s="8"/>
      <c r="K200" s="8"/>
      <c r="L200" s="8" t="str">
        <f t="shared" si="42"/>
        <v xml:space="preserve"> </v>
      </c>
      <c r="M200" s="12"/>
      <c r="N200" s="13" t="str">
        <f t="shared" si="3"/>
        <v xml:space="preserve"> </v>
      </c>
    </row>
    <row r="201" spans="1:14" ht="14.5">
      <c r="A201" s="6"/>
      <c r="B201" s="7"/>
      <c r="C201" s="7"/>
      <c r="D201" s="8" t="s">
        <v>103</v>
      </c>
      <c r="E201" s="8" t="str">
        <f t="shared" si="0"/>
        <v xml:space="preserve"> </v>
      </c>
      <c r="F201" s="10"/>
      <c r="G201" s="10"/>
      <c r="H201" s="8" t="str">
        <f t="shared" si="1"/>
        <v/>
      </c>
      <c r="I201" s="11" t="str">
        <f t="shared" si="2"/>
        <v/>
      </c>
      <c r="J201" s="8"/>
      <c r="K201" s="8"/>
      <c r="L201" s="8" t="str">
        <f t="shared" si="42"/>
        <v xml:space="preserve"> </v>
      </c>
      <c r="M201" s="12"/>
      <c r="N201" s="13" t="str">
        <f t="shared" si="3"/>
        <v xml:space="preserve"> </v>
      </c>
    </row>
    <row r="202" spans="1:14" ht="14.5">
      <c r="A202" s="6"/>
      <c r="B202" s="7"/>
      <c r="C202" s="7"/>
      <c r="D202" s="8" t="s">
        <v>103</v>
      </c>
      <c r="E202" s="8" t="str">
        <f t="shared" si="0"/>
        <v xml:space="preserve"> </v>
      </c>
      <c r="F202" s="10"/>
      <c r="G202" s="10"/>
      <c r="H202" s="8" t="str">
        <f t="shared" si="1"/>
        <v/>
      </c>
      <c r="I202" s="11" t="str">
        <f t="shared" si="2"/>
        <v/>
      </c>
      <c r="J202" s="8"/>
      <c r="K202" s="8"/>
      <c r="L202" s="8" t="str">
        <f t="shared" si="42"/>
        <v xml:space="preserve"> </v>
      </c>
      <c r="M202" s="12"/>
      <c r="N202" s="13" t="str">
        <f t="shared" si="3"/>
        <v xml:space="preserve"> </v>
      </c>
    </row>
    <row r="203" spans="1:14" ht="14.5">
      <c r="A203" s="6"/>
      <c r="B203" s="7"/>
      <c r="C203" s="7"/>
      <c r="D203" s="8" t="s">
        <v>103</v>
      </c>
      <c r="E203" s="8" t="str">
        <f t="shared" si="0"/>
        <v xml:space="preserve"> </v>
      </c>
      <c r="F203" s="10"/>
      <c r="G203" s="10"/>
      <c r="H203" s="8" t="str">
        <f t="shared" si="1"/>
        <v/>
      </c>
      <c r="I203" s="11" t="str">
        <f t="shared" si="2"/>
        <v/>
      </c>
      <c r="J203" s="8"/>
      <c r="K203" s="8"/>
      <c r="L203" s="8" t="str">
        <f t="shared" si="42"/>
        <v xml:space="preserve"> </v>
      </c>
      <c r="M203" s="12"/>
      <c r="N203" s="13" t="str">
        <f t="shared" si="3"/>
        <v xml:space="preserve"> </v>
      </c>
    </row>
    <row r="204" spans="1:14" ht="14.5">
      <c r="A204" s="6"/>
      <c r="B204" s="7"/>
      <c r="C204" s="7"/>
      <c r="D204" s="8" t="s">
        <v>103</v>
      </c>
      <c r="E204" s="8" t="str">
        <f t="shared" si="0"/>
        <v xml:space="preserve"> </v>
      </c>
      <c r="F204" s="10"/>
      <c r="G204" s="10"/>
      <c r="H204" s="8" t="str">
        <f t="shared" si="1"/>
        <v/>
      </c>
      <c r="I204" s="11" t="str">
        <f t="shared" si="2"/>
        <v/>
      </c>
      <c r="J204" s="8"/>
      <c r="K204" s="8"/>
      <c r="L204" s="8" t="str">
        <f t="shared" si="42"/>
        <v xml:space="preserve"> </v>
      </c>
      <c r="M204" s="12"/>
      <c r="N204" s="13" t="str">
        <f t="shared" si="3"/>
        <v xml:space="preserve"> </v>
      </c>
    </row>
    <row r="205" spans="1:14" ht="14.5">
      <c r="A205" s="6"/>
      <c r="B205" s="7"/>
      <c r="C205" s="7"/>
      <c r="D205" s="8" t="s">
        <v>103</v>
      </c>
      <c r="E205" s="8" t="str">
        <f t="shared" si="0"/>
        <v xml:space="preserve"> </v>
      </c>
      <c r="F205" s="10"/>
      <c r="G205" s="10"/>
      <c r="H205" s="8" t="str">
        <f t="shared" si="1"/>
        <v/>
      </c>
      <c r="I205" s="11" t="str">
        <f t="shared" si="2"/>
        <v/>
      </c>
      <c r="J205" s="8"/>
      <c r="K205" s="8"/>
      <c r="L205" s="8" t="str">
        <f t="shared" si="42"/>
        <v xml:space="preserve"> </v>
      </c>
      <c r="M205" s="12"/>
      <c r="N205" s="13" t="str">
        <f t="shared" si="3"/>
        <v xml:space="preserve"> </v>
      </c>
    </row>
    <row r="206" spans="1:14" ht="14.5">
      <c r="A206" s="6"/>
      <c r="B206" s="7"/>
      <c r="C206" s="7"/>
      <c r="D206" s="8" t="s">
        <v>103</v>
      </c>
      <c r="E206" s="8" t="str">
        <f t="shared" si="0"/>
        <v xml:space="preserve"> </v>
      </c>
      <c r="F206" s="10"/>
      <c r="G206" s="10"/>
      <c r="H206" s="8" t="str">
        <f t="shared" si="1"/>
        <v/>
      </c>
      <c r="I206" s="11" t="str">
        <f t="shared" si="2"/>
        <v/>
      </c>
      <c r="J206" s="8"/>
      <c r="K206" s="8"/>
      <c r="L206" s="8" t="str">
        <f t="shared" si="42"/>
        <v xml:space="preserve"> </v>
      </c>
      <c r="M206" s="12"/>
      <c r="N206" s="13" t="str">
        <f t="shared" si="3"/>
        <v xml:space="preserve"> </v>
      </c>
    </row>
    <row r="207" spans="1:14" ht="13">
      <c r="F207" s="28"/>
      <c r="G207" s="28"/>
    </row>
    <row r="208" spans="1:14" ht="13">
      <c r="F208" s="28"/>
      <c r="G208" s="28"/>
    </row>
    <row r="209" spans="6:7" ht="13">
      <c r="F209" s="28"/>
      <c r="G209" s="28"/>
    </row>
    <row r="210" spans="6:7" ht="13">
      <c r="F210" s="28"/>
      <c r="G210" s="28"/>
    </row>
    <row r="211" spans="6:7" ht="13">
      <c r="F211" s="28"/>
      <c r="G211" s="28"/>
    </row>
    <row r="212" spans="6:7" ht="13">
      <c r="F212" s="28"/>
      <c r="G212" s="28"/>
    </row>
    <row r="213" spans="6:7" ht="13">
      <c r="F213" s="28"/>
      <c r="G213" s="28"/>
    </row>
    <row r="214" spans="6:7" ht="13">
      <c r="F214" s="28"/>
      <c r="G214" s="28"/>
    </row>
    <row r="215" spans="6:7" ht="13">
      <c r="F215" s="28"/>
      <c r="G215" s="28"/>
    </row>
    <row r="216" spans="6:7" ht="13">
      <c r="F216" s="28"/>
      <c r="G216" s="28"/>
    </row>
    <row r="217" spans="6:7" ht="13">
      <c r="F217" s="28"/>
      <c r="G217" s="28"/>
    </row>
    <row r="218" spans="6:7" ht="13">
      <c r="F218" s="28"/>
      <c r="G218" s="28"/>
    </row>
    <row r="219" spans="6:7" ht="13">
      <c r="F219" s="28"/>
      <c r="G219" s="28"/>
    </row>
    <row r="220" spans="6:7" ht="13">
      <c r="F220" s="28"/>
      <c r="G220" s="28"/>
    </row>
    <row r="221" spans="6:7" ht="13">
      <c r="F221" s="28"/>
      <c r="G221" s="28"/>
    </row>
    <row r="222" spans="6:7" ht="13">
      <c r="F222" s="28"/>
      <c r="G222" s="28"/>
    </row>
    <row r="223" spans="6:7" ht="13">
      <c r="F223" s="28"/>
      <c r="G223" s="28"/>
    </row>
    <row r="224" spans="6:7" ht="13">
      <c r="F224" s="28"/>
      <c r="G224" s="28"/>
    </row>
    <row r="225" spans="6:7" ht="13">
      <c r="F225" s="28"/>
      <c r="G225" s="28"/>
    </row>
    <row r="226" spans="6:7" ht="13">
      <c r="F226" s="28"/>
      <c r="G226" s="28"/>
    </row>
    <row r="227" spans="6:7" ht="13">
      <c r="F227" s="28"/>
      <c r="G227" s="28"/>
    </row>
    <row r="228" spans="6:7" ht="13">
      <c r="F228" s="28"/>
      <c r="G228" s="28"/>
    </row>
    <row r="229" spans="6:7" ht="13">
      <c r="F229" s="28"/>
      <c r="G229" s="28"/>
    </row>
    <row r="230" spans="6:7" ht="13">
      <c r="F230" s="28"/>
      <c r="G230" s="28"/>
    </row>
    <row r="231" spans="6:7" ht="13">
      <c r="F231" s="28"/>
      <c r="G231" s="28"/>
    </row>
    <row r="232" spans="6:7" ht="13">
      <c r="F232" s="28"/>
      <c r="G232" s="28"/>
    </row>
    <row r="233" spans="6:7" ht="13">
      <c r="F233" s="28"/>
      <c r="G233" s="28"/>
    </row>
    <row r="234" spans="6:7" ht="13">
      <c r="F234" s="28"/>
      <c r="G234" s="28"/>
    </row>
    <row r="235" spans="6:7" ht="13">
      <c r="F235" s="28"/>
      <c r="G235" s="28"/>
    </row>
    <row r="236" spans="6:7" ht="13">
      <c r="F236" s="28"/>
      <c r="G236" s="28"/>
    </row>
    <row r="237" spans="6:7" ht="13">
      <c r="F237" s="28"/>
      <c r="G237" s="28"/>
    </row>
    <row r="238" spans="6:7" ht="13">
      <c r="F238" s="28"/>
      <c r="G238" s="28"/>
    </row>
    <row r="239" spans="6:7" ht="13">
      <c r="F239" s="28"/>
      <c r="G239" s="28"/>
    </row>
    <row r="240" spans="6:7" ht="13">
      <c r="F240" s="28"/>
      <c r="G240" s="28"/>
    </row>
    <row r="241" spans="6:7" ht="13">
      <c r="F241" s="28"/>
      <c r="G241" s="28"/>
    </row>
    <row r="242" spans="6:7" ht="13">
      <c r="F242" s="28"/>
      <c r="G242" s="28"/>
    </row>
    <row r="243" spans="6:7" ht="13">
      <c r="F243" s="28"/>
      <c r="G243" s="28"/>
    </row>
    <row r="244" spans="6:7" ht="13">
      <c r="F244" s="28"/>
      <c r="G244" s="28"/>
    </row>
    <row r="245" spans="6:7" ht="13">
      <c r="F245" s="28"/>
      <c r="G245" s="28"/>
    </row>
    <row r="246" spans="6:7" ht="13">
      <c r="F246" s="28"/>
      <c r="G246" s="28"/>
    </row>
    <row r="247" spans="6:7" ht="13">
      <c r="F247" s="28"/>
      <c r="G247" s="28"/>
    </row>
    <row r="248" spans="6:7" ht="13">
      <c r="F248" s="28"/>
      <c r="G248" s="28"/>
    </row>
    <row r="249" spans="6:7" ht="13">
      <c r="F249" s="28"/>
      <c r="G249" s="28"/>
    </row>
    <row r="250" spans="6:7" ht="13">
      <c r="F250" s="28"/>
      <c r="G250" s="28"/>
    </row>
    <row r="251" spans="6:7" ht="13">
      <c r="F251" s="28"/>
      <c r="G251" s="28"/>
    </row>
    <row r="252" spans="6:7" ht="13">
      <c r="F252" s="28"/>
      <c r="G252" s="28"/>
    </row>
    <row r="253" spans="6:7" ht="13">
      <c r="F253" s="28"/>
      <c r="G253" s="28"/>
    </row>
    <row r="254" spans="6:7" ht="13">
      <c r="F254" s="28"/>
      <c r="G254" s="28"/>
    </row>
    <row r="255" spans="6:7" ht="13">
      <c r="F255" s="28"/>
      <c r="G255" s="28"/>
    </row>
    <row r="256" spans="6:7" ht="13">
      <c r="F256" s="28"/>
      <c r="G256" s="28"/>
    </row>
    <row r="257" spans="6:7" ht="13">
      <c r="F257" s="28"/>
      <c r="G257" s="28"/>
    </row>
    <row r="258" spans="6:7" ht="13">
      <c r="F258" s="28"/>
      <c r="G258" s="28"/>
    </row>
    <row r="259" spans="6:7" ht="13">
      <c r="F259" s="28"/>
      <c r="G259" s="28"/>
    </row>
    <row r="260" spans="6:7" ht="13">
      <c r="F260" s="28"/>
      <c r="G260" s="28"/>
    </row>
    <row r="261" spans="6:7" ht="13">
      <c r="F261" s="28"/>
      <c r="G261" s="28"/>
    </row>
    <row r="262" spans="6:7" ht="13">
      <c r="F262" s="28"/>
      <c r="G262" s="28"/>
    </row>
    <row r="263" spans="6:7" ht="13">
      <c r="F263" s="28"/>
      <c r="G263" s="28"/>
    </row>
    <row r="264" spans="6:7" ht="13">
      <c r="F264" s="28"/>
      <c r="G264" s="28"/>
    </row>
    <row r="265" spans="6:7" ht="13">
      <c r="F265" s="28"/>
      <c r="G265" s="28"/>
    </row>
    <row r="266" spans="6:7" ht="13">
      <c r="F266" s="28"/>
      <c r="G266" s="28"/>
    </row>
    <row r="267" spans="6:7" ht="13">
      <c r="F267" s="28"/>
      <c r="G267" s="28"/>
    </row>
    <row r="268" spans="6:7" ht="13">
      <c r="F268" s="28"/>
      <c r="G268" s="28"/>
    </row>
    <row r="269" spans="6:7" ht="13">
      <c r="F269" s="28"/>
      <c r="G269" s="28"/>
    </row>
    <row r="270" spans="6:7" ht="13">
      <c r="F270" s="28"/>
      <c r="G270" s="28"/>
    </row>
    <row r="271" spans="6:7" ht="13">
      <c r="F271" s="28"/>
      <c r="G271" s="28"/>
    </row>
    <row r="272" spans="6:7" ht="13">
      <c r="F272" s="28"/>
      <c r="G272" s="28"/>
    </row>
    <row r="273" spans="6:7" ht="13">
      <c r="F273" s="28"/>
      <c r="G273" s="28"/>
    </row>
    <row r="274" spans="6:7" ht="13">
      <c r="F274" s="28"/>
      <c r="G274" s="28"/>
    </row>
    <row r="275" spans="6:7" ht="13">
      <c r="F275" s="28"/>
      <c r="G275" s="28"/>
    </row>
    <row r="276" spans="6:7" ht="13">
      <c r="F276" s="28"/>
      <c r="G276" s="28"/>
    </row>
    <row r="277" spans="6:7" ht="13">
      <c r="F277" s="28"/>
      <c r="G277" s="28"/>
    </row>
    <row r="278" spans="6:7" ht="13">
      <c r="F278" s="28"/>
      <c r="G278" s="28"/>
    </row>
    <row r="279" spans="6:7" ht="13">
      <c r="F279" s="28"/>
      <c r="G279" s="28"/>
    </row>
    <row r="280" spans="6:7" ht="13">
      <c r="F280" s="28"/>
      <c r="G280" s="28"/>
    </row>
    <row r="281" spans="6:7" ht="13">
      <c r="F281" s="28"/>
      <c r="G281" s="28"/>
    </row>
    <row r="282" spans="6:7" ht="13">
      <c r="F282" s="28"/>
      <c r="G282" s="28"/>
    </row>
    <row r="283" spans="6:7" ht="13">
      <c r="F283" s="28"/>
      <c r="G283" s="28"/>
    </row>
    <row r="284" spans="6:7" ht="13">
      <c r="F284" s="28"/>
      <c r="G284" s="28"/>
    </row>
    <row r="285" spans="6:7" ht="13">
      <c r="F285" s="28"/>
      <c r="G285" s="28"/>
    </row>
    <row r="286" spans="6:7" ht="13">
      <c r="F286" s="28"/>
      <c r="G286" s="28"/>
    </row>
    <row r="287" spans="6:7" ht="13">
      <c r="F287" s="28"/>
      <c r="G287" s="28"/>
    </row>
    <row r="288" spans="6:7" ht="13">
      <c r="F288" s="28"/>
      <c r="G288" s="28"/>
    </row>
    <row r="289" spans="6:7" ht="13">
      <c r="F289" s="28"/>
      <c r="G289" s="28"/>
    </row>
    <row r="290" spans="6:7" ht="13">
      <c r="F290" s="28"/>
      <c r="G290" s="28"/>
    </row>
    <row r="291" spans="6:7" ht="13">
      <c r="F291" s="28"/>
      <c r="G291" s="28"/>
    </row>
    <row r="292" spans="6:7" ht="13">
      <c r="F292" s="28"/>
      <c r="G292" s="28"/>
    </row>
    <row r="293" spans="6:7" ht="13">
      <c r="F293" s="28"/>
      <c r="G293" s="28"/>
    </row>
    <row r="294" spans="6:7" ht="13">
      <c r="F294" s="28"/>
      <c r="G294" s="28"/>
    </row>
    <row r="295" spans="6:7" ht="13">
      <c r="F295" s="28"/>
      <c r="G295" s="28"/>
    </row>
    <row r="296" spans="6:7" ht="13">
      <c r="F296" s="28"/>
      <c r="G296" s="28"/>
    </row>
    <row r="297" spans="6:7" ht="13">
      <c r="F297" s="28"/>
      <c r="G297" s="28"/>
    </row>
    <row r="298" spans="6:7" ht="13">
      <c r="F298" s="28"/>
      <c r="G298" s="28"/>
    </row>
    <row r="299" spans="6:7" ht="13">
      <c r="F299" s="28"/>
      <c r="G299" s="28"/>
    </row>
    <row r="300" spans="6:7" ht="13">
      <c r="F300" s="28"/>
      <c r="G300" s="28"/>
    </row>
    <row r="301" spans="6:7" ht="13">
      <c r="F301" s="28"/>
      <c r="G301" s="28"/>
    </row>
    <row r="302" spans="6:7" ht="13">
      <c r="F302" s="28"/>
      <c r="G302" s="28"/>
    </row>
    <row r="303" spans="6:7" ht="13">
      <c r="F303" s="28"/>
      <c r="G303" s="28"/>
    </row>
    <row r="304" spans="6:7" ht="13">
      <c r="F304" s="28"/>
      <c r="G304" s="28"/>
    </row>
    <row r="305" spans="6:7" ht="13">
      <c r="F305" s="28"/>
      <c r="G305" s="28"/>
    </row>
    <row r="306" spans="6:7" ht="13">
      <c r="F306" s="28"/>
      <c r="G306" s="28"/>
    </row>
    <row r="307" spans="6:7" ht="13">
      <c r="F307" s="28"/>
      <c r="G307" s="28"/>
    </row>
    <row r="308" spans="6:7" ht="13">
      <c r="F308" s="28"/>
      <c r="G308" s="28"/>
    </row>
    <row r="309" spans="6:7" ht="13">
      <c r="F309" s="28"/>
      <c r="G309" s="28"/>
    </row>
    <row r="310" spans="6:7" ht="13">
      <c r="F310" s="28"/>
      <c r="G310" s="28"/>
    </row>
    <row r="311" spans="6:7" ht="13">
      <c r="F311" s="28"/>
      <c r="G311" s="28"/>
    </row>
    <row r="312" spans="6:7" ht="13">
      <c r="F312" s="28"/>
      <c r="G312" s="28"/>
    </row>
    <row r="313" spans="6:7" ht="13">
      <c r="F313" s="28"/>
      <c r="G313" s="28"/>
    </row>
    <row r="314" spans="6:7" ht="13">
      <c r="F314" s="28"/>
      <c r="G314" s="28"/>
    </row>
    <row r="315" spans="6:7" ht="13">
      <c r="F315" s="28"/>
      <c r="G315" s="28"/>
    </row>
    <row r="316" spans="6:7" ht="13">
      <c r="F316" s="28"/>
      <c r="G316" s="28"/>
    </row>
    <row r="317" spans="6:7" ht="13">
      <c r="F317" s="28"/>
      <c r="G317" s="28"/>
    </row>
    <row r="318" spans="6:7" ht="13">
      <c r="F318" s="28"/>
      <c r="G318" s="28"/>
    </row>
    <row r="319" spans="6:7" ht="13">
      <c r="F319" s="28"/>
      <c r="G319" s="28"/>
    </row>
    <row r="320" spans="6:7" ht="13">
      <c r="F320" s="28"/>
      <c r="G320" s="28"/>
    </row>
    <row r="321" spans="6:7" ht="13">
      <c r="F321" s="28"/>
      <c r="G321" s="28"/>
    </row>
    <row r="322" spans="6:7" ht="13">
      <c r="F322" s="28"/>
      <c r="G322" s="28"/>
    </row>
    <row r="323" spans="6:7" ht="13">
      <c r="F323" s="28"/>
      <c r="G323" s="28"/>
    </row>
    <row r="324" spans="6:7" ht="13">
      <c r="F324" s="28"/>
      <c r="G324" s="28"/>
    </row>
    <row r="325" spans="6:7" ht="13">
      <c r="F325" s="28"/>
      <c r="G325" s="28"/>
    </row>
    <row r="326" spans="6:7" ht="13">
      <c r="F326" s="28"/>
      <c r="G326" s="28"/>
    </row>
    <row r="327" spans="6:7" ht="13">
      <c r="F327" s="28"/>
      <c r="G327" s="28"/>
    </row>
    <row r="328" spans="6:7" ht="13">
      <c r="F328" s="28"/>
      <c r="G328" s="28"/>
    </row>
    <row r="329" spans="6:7" ht="13">
      <c r="F329" s="28"/>
      <c r="G329" s="28"/>
    </row>
    <row r="330" spans="6:7" ht="13">
      <c r="F330" s="28"/>
      <c r="G330" s="28"/>
    </row>
    <row r="331" spans="6:7" ht="13">
      <c r="F331" s="28"/>
      <c r="G331" s="28"/>
    </row>
    <row r="332" spans="6:7" ht="13">
      <c r="F332" s="28"/>
      <c r="G332" s="28"/>
    </row>
    <row r="333" spans="6:7" ht="13">
      <c r="F333" s="28"/>
      <c r="G333" s="28"/>
    </row>
    <row r="334" spans="6:7" ht="13">
      <c r="F334" s="28"/>
      <c r="G334" s="28"/>
    </row>
    <row r="335" spans="6:7" ht="13">
      <c r="F335" s="28"/>
      <c r="G335" s="28"/>
    </row>
    <row r="336" spans="6:7" ht="13">
      <c r="F336" s="28"/>
      <c r="G336" s="28"/>
    </row>
    <row r="337" spans="6:7" ht="13">
      <c r="F337" s="28"/>
      <c r="G337" s="28"/>
    </row>
    <row r="338" spans="6:7" ht="13">
      <c r="F338" s="28"/>
      <c r="G338" s="28"/>
    </row>
    <row r="339" spans="6:7" ht="13">
      <c r="F339" s="28"/>
      <c r="G339" s="28"/>
    </row>
    <row r="340" spans="6:7" ht="13">
      <c r="F340" s="28"/>
      <c r="G340" s="28"/>
    </row>
    <row r="341" spans="6:7" ht="13">
      <c r="F341" s="28"/>
      <c r="G341" s="28"/>
    </row>
    <row r="342" spans="6:7" ht="13">
      <c r="F342" s="28"/>
      <c r="G342" s="28"/>
    </row>
    <row r="343" spans="6:7" ht="13">
      <c r="F343" s="28"/>
      <c r="G343" s="28"/>
    </row>
    <row r="344" spans="6:7" ht="13">
      <c r="F344" s="28"/>
      <c r="G344" s="28"/>
    </row>
    <row r="345" spans="6:7" ht="13">
      <c r="F345" s="28"/>
      <c r="G345" s="28"/>
    </row>
    <row r="346" spans="6:7" ht="13">
      <c r="F346" s="28"/>
      <c r="G346" s="28"/>
    </row>
    <row r="347" spans="6:7" ht="13">
      <c r="F347" s="28"/>
      <c r="G347" s="28"/>
    </row>
    <row r="348" spans="6:7" ht="13">
      <c r="F348" s="28"/>
      <c r="G348" s="28"/>
    </row>
    <row r="349" spans="6:7" ht="13">
      <c r="F349" s="28"/>
      <c r="G349" s="28"/>
    </row>
    <row r="350" spans="6:7" ht="13">
      <c r="F350" s="28"/>
      <c r="G350" s="28"/>
    </row>
    <row r="351" spans="6:7" ht="13">
      <c r="F351" s="28"/>
      <c r="G351" s="28"/>
    </row>
    <row r="352" spans="6:7" ht="13">
      <c r="F352" s="28"/>
      <c r="G352" s="28"/>
    </row>
    <row r="353" spans="6:7" ht="13">
      <c r="F353" s="28"/>
      <c r="G353" s="28"/>
    </row>
    <row r="354" spans="6:7" ht="13">
      <c r="F354" s="28"/>
      <c r="G354" s="28"/>
    </row>
    <row r="355" spans="6:7" ht="13">
      <c r="F355" s="28"/>
      <c r="G355" s="28"/>
    </row>
    <row r="356" spans="6:7" ht="13">
      <c r="F356" s="28"/>
      <c r="G356" s="28"/>
    </row>
    <row r="357" spans="6:7" ht="13">
      <c r="F357" s="28"/>
      <c r="G357" s="28"/>
    </row>
    <row r="358" spans="6:7" ht="13">
      <c r="F358" s="28"/>
      <c r="G358" s="28"/>
    </row>
    <row r="359" spans="6:7" ht="13">
      <c r="F359" s="28"/>
      <c r="G359" s="28"/>
    </row>
    <row r="360" spans="6:7" ht="13">
      <c r="F360" s="28"/>
      <c r="G360" s="28"/>
    </row>
    <row r="361" spans="6:7" ht="13">
      <c r="F361" s="28"/>
      <c r="G361" s="28"/>
    </row>
    <row r="362" spans="6:7" ht="13">
      <c r="F362" s="28"/>
      <c r="G362" s="28"/>
    </row>
    <row r="363" spans="6:7" ht="13">
      <c r="F363" s="28"/>
      <c r="G363" s="28"/>
    </row>
    <row r="364" spans="6:7" ht="13">
      <c r="F364" s="28"/>
      <c r="G364" s="28"/>
    </row>
    <row r="365" spans="6:7" ht="13">
      <c r="F365" s="28"/>
      <c r="G365" s="28"/>
    </row>
    <row r="366" spans="6:7" ht="13">
      <c r="F366" s="28"/>
      <c r="G366" s="28"/>
    </row>
    <row r="367" spans="6:7" ht="13">
      <c r="F367" s="28"/>
      <c r="G367" s="28"/>
    </row>
    <row r="368" spans="6:7" ht="13">
      <c r="F368" s="28"/>
      <c r="G368" s="28"/>
    </row>
    <row r="369" spans="6:7" ht="13">
      <c r="F369" s="28"/>
      <c r="G369" s="28"/>
    </row>
    <row r="370" spans="6:7" ht="13">
      <c r="F370" s="28"/>
      <c r="G370" s="28"/>
    </row>
    <row r="371" spans="6:7" ht="13">
      <c r="F371" s="28"/>
      <c r="G371" s="28"/>
    </row>
    <row r="372" spans="6:7" ht="13">
      <c r="F372" s="28"/>
      <c r="G372" s="28"/>
    </row>
    <row r="373" spans="6:7" ht="13">
      <c r="F373" s="28"/>
      <c r="G373" s="28"/>
    </row>
    <row r="374" spans="6:7" ht="13">
      <c r="F374" s="28"/>
      <c r="G374" s="28"/>
    </row>
    <row r="375" spans="6:7" ht="13">
      <c r="F375" s="28"/>
      <c r="G375" s="28"/>
    </row>
    <row r="376" spans="6:7" ht="13">
      <c r="F376" s="28"/>
      <c r="G376" s="28"/>
    </row>
    <row r="377" spans="6:7" ht="13">
      <c r="F377" s="28"/>
      <c r="G377" s="28"/>
    </row>
    <row r="378" spans="6:7" ht="13">
      <c r="F378" s="28"/>
      <c r="G378" s="28"/>
    </row>
    <row r="379" spans="6:7" ht="13">
      <c r="F379" s="28"/>
      <c r="G379" s="28"/>
    </row>
    <row r="380" spans="6:7" ht="13">
      <c r="F380" s="28"/>
      <c r="G380" s="28"/>
    </row>
    <row r="381" spans="6:7" ht="13">
      <c r="F381" s="28"/>
      <c r="G381" s="28"/>
    </row>
    <row r="382" spans="6:7" ht="13">
      <c r="F382" s="28"/>
      <c r="G382" s="28"/>
    </row>
    <row r="383" spans="6:7" ht="13">
      <c r="F383" s="28"/>
      <c r="G383" s="28"/>
    </row>
    <row r="384" spans="6:7" ht="13">
      <c r="F384" s="28"/>
      <c r="G384" s="28"/>
    </row>
    <row r="385" spans="6:7" ht="13">
      <c r="F385" s="28"/>
      <c r="G385" s="28"/>
    </row>
    <row r="386" spans="6:7" ht="13">
      <c r="F386" s="28"/>
      <c r="G386" s="28"/>
    </row>
    <row r="387" spans="6:7" ht="13">
      <c r="F387" s="28"/>
      <c r="G387" s="28"/>
    </row>
    <row r="388" spans="6:7" ht="13">
      <c r="F388" s="28"/>
      <c r="G388" s="28"/>
    </row>
    <row r="389" spans="6:7" ht="13">
      <c r="F389" s="28"/>
      <c r="G389" s="28"/>
    </row>
    <row r="390" spans="6:7" ht="13">
      <c r="F390" s="28"/>
      <c r="G390" s="28"/>
    </row>
    <row r="391" spans="6:7" ht="13">
      <c r="F391" s="28"/>
      <c r="G391" s="28"/>
    </row>
    <row r="392" spans="6:7" ht="13">
      <c r="F392" s="28"/>
      <c r="G392" s="28"/>
    </row>
    <row r="393" spans="6:7" ht="13">
      <c r="F393" s="28"/>
      <c r="G393" s="28"/>
    </row>
    <row r="394" spans="6:7" ht="13">
      <c r="F394" s="28"/>
      <c r="G394" s="28"/>
    </row>
    <row r="395" spans="6:7" ht="13">
      <c r="F395" s="28"/>
      <c r="G395" s="28"/>
    </row>
    <row r="396" spans="6:7" ht="13">
      <c r="F396" s="28"/>
      <c r="G396" s="28"/>
    </row>
    <row r="397" spans="6:7" ht="13">
      <c r="F397" s="28"/>
      <c r="G397" s="28"/>
    </row>
    <row r="398" spans="6:7" ht="13">
      <c r="F398" s="28"/>
      <c r="G398" s="28"/>
    </row>
    <row r="399" spans="6:7" ht="13">
      <c r="F399" s="28"/>
      <c r="G399" s="28"/>
    </row>
    <row r="400" spans="6:7" ht="13">
      <c r="F400" s="28"/>
      <c r="G400" s="28"/>
    </row>
    <row r="401" spans="6:7" ht="13">
      <c r="F401" s="28"/>
      <c r="G401" s="28"/>
    </row>
    <row r="402" spans="6:7" ht="13">
      <c r="F402" s="28"/>
      <c r="G402" s="28"/>
    </row>
    <row r="403" spans="6:7" ht="13">
      <c r="F403" s="28"/>
      <c r="G403" s="28"/>
    </row>
    <row r="404" spans="6:7" ht="13">
      <c r="F404" s="28"/>
      <c r="G404" s="28"/>
    </row>
    <row r="405" spans="6:7" ht="13">
      <c r="F405" s="28"/>
      <c r="G405" s="28"/>
    </row>
    <row r="406" spans="6:7" ht="13">
      <c r="F406" s="28"/>
      <c r="G406" s="28"/>
    </row>
    <row r="407" spans="6:7" ht="13">
      <c r="F407" s="28"/>
      <c r="G407" s="28"/>
    </row>
    <row r="408" spans="6:7" ht="13">
      <c r="F408" s="28"/>
      <c r="G408" s="28"/>
    </row>
    <row r="409" spans="6:7" ht="13">
      <c r="F409" s="28"/>
      <c r="G409" s="28"/>
    </row>
    <row r="410" spans="6:7" ht="13">
      <c r="F410" s="28"/>
      <c r="G410" s="28"/>
    </row>
    <row r="411" spans="6:7" ht="13">
      <c r="F411" s="28"/>
      <c r="G411" s="28"/>
    </row>
    <row r="412" spans="6:7" ht="13">
      <c r="F412" s="28"/>
      <c r="G412" s="28"/>
    </row>
    <row r="413" spans="6:7" ht="13">
      <c r="F413" s="28"/>
      <c r="G413" s="28"/>
    </row>
    <row r="414" spans="6:7" ht="13">
      <c r="F414" s="28"/>
      <c r="G414" s="28"/>
    </row>
    <row r="415" spans="6:7" ht="13">
      <c r="F415" s="28"/>
      <c r="G415" s="28"/>
    </row>
    <row r="416" spans="6:7" ht="13">
      <c r="F416" s="28"/>
      <c r="G416" s="28"/>
    </row>
    <row r="417" spans="6:7" ht="13">
      <c r="F417" s="28"/>
      <c r="G417" s="28"/>
    </row>
    <row r="418" spans="6:7" ht="13">
      <c r="F418" s="28"/>
      <c r="G418" s="28"/>
    </row>
    <row r="419" spans="6:7" ht="13">
      <c r="F419" s="28"/>
      <c r="G419" s="28"/>
    </row>
    <row r="420" spans="6:7" ht="13">
      <c r="F420" s="28"/>
      <c r="G420" s="28"/>
    </row>
    <row r="421" spans="6:7" ht="13">
      <c r="F421" s="28"/>
      <c r="G421" s="28"/>
    </row>
    <row r="422" spans="6:7" ht="13">
      <c r="F422" s="28"/>
      <c r="G422" s="28"/>
    </row>
    <row r="423" spans="6:7" ht="13">
      <c r="F423" s="28"/>
      <c r="G423" s="28"/>
    </row>
    <row r="424" spans="6:7" ht="13">
      <c r="F424" s="28"/>
      <c r="G424" s="28"/>
    </row>
    <row r="425" spans="6:7" ht="13">
      <c r="F425" s="28"/>
      <c r="G425" s="28"/>
    </row>
    <row r="426" spans="6:7" ht="13">
      <c r="F426" s="28"/>
      <c r="G426" s="28"/>
    </row>
    <row r="427" spans="6:7" ht="13">
      <c r="F427" s="28"/>
      <c r="G427" s="28"/>
    </row>
    <row r="428" spans="6:7" ht="13">
      <c r="F428" s="28"/>
      <c r="G428" s="28"/>
    </row>
    <row r="429" spans="6:7" ht="13">
      <c r="F429" s="28"/>
      <c r="G429" s="28"/>
    </row>
    <row r="430" spans="6:7" ht="13">
      <c r="F430" s="28"/>
      <c r="G430" s="28"/>
    </row>
    <row r="431" spans="6:7" ht="13">
      <c r="F431" s="28"/>
      <c r="G431" s="28"/>
    </row>
    <row r="432" spans="6:7" ht="13">
      <c r="F432" s="28"/>
      <c r="G432" s="28"/>
    </row>
    <row r="433" spans="6:7" ht="13">
      <c r="F433" s="28"/>
      <c r="G433" s="28"/>
    </row>
    <row r="434" spans="6:7" ht="13">
      <c r="F434" s="28"/>
      <c r="G434" s="28"/>
    </row>
    <row r="435" spans="6:7" ht="13">
      <c r="F435" s="28"/>
      <c r="G435" s="28"/>
    </row>
    <row r="436" spans="6:7" ht="13">
      <c r="F436" s="28"/>
      <c r="G436" s="28"/>
    </row>
    <row r="437" spans="6:7" ht="13">
      <c r="F437" s="28"/>
      <c r="G437" s="28"/>
    </row>
    <row r="438" spans="6:7" ht="13">
      <c r="F438" s="28"/>
      <c r="G438" s="28"/>
    </row>
    <row r="439" spans="6:7" ht="13">
      <c r="F439" s="28"/>
      <c r="G439" s="28"/>
    </row>
    <row r="440" spans="6:7" ht="13">
      <c r="F440" s="28"/>
      <c r="G440" s="28"/>
    </row>
    <row r="441" spans="6:7" ht="13">
      <c r="F441" s="28"/>
      <c r="G441" s="28"/>
    </row>
    <row r="442" spans="6:7" ht="13">
      <c r="F442" s="28"/>
      <c r="G442" s="28"/>
    </row>
    <row r="443" spans="6:7" ht="13">
      <c r="F443" s="28"/>
      <c r="G443" s="28"/>
    </row>
    <row r="444" spans="6:7" ht="13">
      <c r="F444" s="28"/>
      <c r="G444" s="28"/>
    </row>
    <row r="445" spans="6:7" ht="13">
      <c r="F445" s="28"/>
      <c r="G445" s="28"/>
    </row>
    <row r="446" spans="6:7" ht="13">
      <c r="F446" s="28"/>
      <c r="G446" s="28"/>
    </row>
    <row r="447" spans="6:7" ht="13">
      <c r="F447" s="28"/>
      <c r="G447" s="28"/>
    </row>
    <row r="448" spans="6:7" ht="13">
      <c r="F448" s="28"/>
      <c r="G448" s="28"/>
    </row>
    <row r="449" spans="6:7" ht="13">
      <c r="F449" s="28"/>
      <c r="G449" s="28"/>
    </row>
    <row r="450" spans="6:7" ht="13">
      <c r="F450" s="28"/>
      <c r="G450" s="28"/>
    </row>
    <row r="451" spans="6:7" ht="13">
      <c r="F451" s="28"/>
      <c r="G451" s="28"/>
    </row>
    <row r="452" spans="6:7" ht="13">
      <c r="F452" s="28"/>
      <c r="G452" s="28"/>
    </row>
    <row r="453" spans="6:7" ht="13">
      <c r="F453" s="28"/>
      <c r="G453" s="28"/>
    </row>
    <row r="454" spans="6:7" ht="13">
      <c r="F454" s="28"/>
      <c r="G454" s="28"/>
    </row>
    <row r="455" spans="6:7" ht="13">
      <c r="F455" s="28"/>
      <c r="G455" s="28"/>
    </row>
    <row r="456" spans="6:7" ht="13">
      <c r="F456" s="28"/>
      <c r="G456" s="28"/>
    </row>
    <row r="457" spans="6:7" ht="13">
      <c r="F457" s="28"/>
      <c r="G457" s="28"/>
    </row>
    <row r="458" spans="6:7" ht="13">
      <c r="F458" s="28"/>
      <c r="G458" s="28"/>
    </row>
    <row r="459" spans="6:7" ht="13">
      <c r="F459" s="28"/>
      <c r="G459" s="28"/>
    </row>
    <row r="460" spans="6:7" ht="13">
      <c r="F460" s="28"/>
      <c r="G460" s="28"/>
    </row>
    <row r="461" spans="6:7" ht="13">
      <c r="F461" s="28"/>
      <c r="G461" s="28"/>
    </row>
    <row r="462" spans="6:7" ht="13">
      <c r="F462" s="28"/>
      <c r="G462" s="28"/>
    </row>
    <row r="463" spans="6:7" ht="13">
      <c r="F463" s="28"/>
      <c r="G463" s="28"/>
    </row>
    <row r="464" spans="6:7" ht="13">
      <c r="F464" s="28"/>
      <c r="G464" s="28"/>
    </row>
    <row r="465" spans="6:7" ht="13">
      <c r="F465" s="28"/>
      <c r="G465" s="28"/>
    </row>
    <row r="466" spans="6:7" ht="13">
      <c r="F466" s="28"/>
      <c r="G466" s="28"/>
    </row>
    <row r="467" spans="6:7" ht="13">
      <c r="F467" s="28"/>
      <c r="G467" s="28"/>
    </row>
    <row r="468" spans="6:7" ht="13">
      <c r="F468" s="28"/>
      <c r="G468" s="28"/>
    </row>
    <row r="469" spans="6:7" ht="13">
      <c r="F469" s="28"/>
      <c r="G469" s="28"/>
    </row>
    <row r="470" spans="6:7" ht="13">
      <c r="F470" s="28"/>
      <c r="G470" s="28"/>
    </row>
    <row r="471" spans="6:7" ht="13">
      <c r="F471" s="28"/>
      <c r="G471" s="28"/>
    </row>
    <row r="472" spans="6:7" ht="13">
      <c r="F472" s="28"/>
      <c r="G472" s="28"/>
    </row>
    <row r="473" spans="6:7" ht="13">
      <c r="F473" s="28"/>
      <c r="G473" s="28"/>
    </row>
    <row r="474" spans="6:7" ht="13">
      <c r="F474" s="28"/>
      <c r="G474" s="28"/>
    </row>
    <row r="475" spans="6:7" ht="13">
      <c r="F475" s="28"/>
      <c r="G475" s="28"/>
    </row>
    <row r="476" spans="6:7" ht="13">
      <c r="F476" s="28"/>
      <c r="G476" s="28"/>
    </row>
    <row r="477" spans="6:7" ht="13">
      <c r="F477" s="28"/>
      <c r="G477" s="28"/>
    </row>
    <row r="478" spans="6:7" ht="13">
      <c r="F478" s="28"/>
      <c r="G478" s="28"/>
    </row>
    <row r="479" spans="6:7" ht="13">
      <c r="F479" s="28"/>
      <c r="G479" s="28"/>
    </row>
    <row r="480" spans="6:7" ht="13">
      <c r="F480" s="28"/>
      <c r="G480" s="28"/>
    </row>
    <row r="481" spans="6:7" ht="13">
      <c r="F481" s="28"/>
      <c r="G481" s="28"/>
    </row>
    <row r="482" spans="6:7" ht="13">
      <c r="F482" s="28"/>
      <c r="G482" s="28"/>
    </row>
    <row r="483" spans="6:7" ht="13">
      <c r="F483" s="28"/>
      <c r="G483" s="28"/>
    </row>
    <row r="484" spans="6:7" ht="13">
      <c r="F484" s="28"/>
      <c r="G484" s="28"/>
    </row>
    <row r="485" spans="6:7" ht="13">
      <c r="F485" s="28"/>
      <c r="G485" s="28"/>
    </row>
    <row r="486" spans="6:7" ht="13">
      <c r="F486" s="28"/>
      <c r="G486" s="28"/>
    </row>
    <row r="487" spans="6:7" ht="13">
      <c r="F487" s="28"/>
      <c r="G487" s="28"/>
    </row>
    <row r="488" spans="6:7" ht="13">
      <c r="F488" s="28"/>
      <c r="G488" s="28"/>
    </row>
    <row r="489" spans="6:7" ht="13">
      <c r="F489" s="28"/>
      <c r="G489" s="28"/>
    </row>
    <row r="490" spans="6:7" ht="13">
      <c r="F490" s="28"/>
      <c r="G490" s="28"/>
    </row>
    <row r="491" spans="6:7" ht="13">
      <c r="F491" s="28"/>
      <c r="G491" s="28"/>
    </row>
    <row r="492" spans="6:7" ht="13">
      <c r="F492" s="28"/>
      <c r="G492" s="28"/>
    </row>
    <row r="493" spans="6:7" ht="13">
      <c r="F493" s="28"/>
      <c r="G493" s="28"/>
    </row>
    <row r="494" spans="6:7" ht="13">
      <c r="F494" s="28"/>
      <c r="G494" s="28"/>
    </row>
    <row r="495" spans="6:7" ht="13">
      <c r="F495" s="28"/>
      <c r="G495" s="28"/>
    </row>
    <row r="496" spans="6:7" ht="13">
      <c r="F496" s="28"/>
      <c r="G496" s="28"/>
    </row>
    <row r="497" spans="6:7" ht="13">
      <c r="F497" s="28"/>
      <c r="G497" s="28"/>
    </row>
    <row r="498" spans="6:7" ht="13">
      <c r="F498" s="28"/>
      <c r="G498" s="28"/>
    </row>
    <row r="499" spans="6:7" ht="13">
      <c r="F499" s="28"/>
      <c r="G499" s="28"/>
    </row>
    <row r="500" spans="6:7" ht="13">
      <c r="F500" s="28"/>
      <c r="G500" s="28"/>
    </row>
    <row r="501" spans="6:7" ht="13">
      <c r="F501" s="28"/>
      <c r="G501" s="28"/>
    </row>
    <row r="502" spans="6:7" ht="13">
      <c r="F502" s="28"/>
      <c r="G502" s="28"/>
    </row>
    <row r="503" spans="6:7" ht="13">
      <c r="F503" s="28"/>
      <c r="G503" s="28"/>
    </row>
    <row r="504" spans="6:7" ht="13">
      <c r="F504" s="28"/>
      <c r="G504" s="28"/>
    </row>
    <row r="505" spans="6:7" ht="13">
      <c r="F505" s="28"/>
      <c r="G505" s="28"/>
    </row>
    <row r="506" spans="6:7" ht="13">
      <c r="F506" s="28"/>
      <c r="G506" s="28"/>
    </row>
    <row r="507" spans="6:7" ht="13">
      <c r="F507" s="28"/>
      <c r="G507" s="28"/>
    </row>
    <row r="508" spans="6:7" ht="13">
      <c r="F508" s="28"/>
      <c r="G508" s="28"/>
    </row>
    <row r="509" spans="6:7" ht="13">
      <c r="F509" s="28"/>
      <c r="G509" s="28"/>
    </row>
    <row r="510" spans="6:7" ht="13">
      <c r="F510" s="28"/>
      <c r="G510" s="28"/>
    </row>
    <row r="511" spans="6:7" ht="13">
      <c r="F511" s="28"/>
      <c r="G511" s="28"/>
    </row>
    <row r="512" spans="6:7" ht="13">
      <c r="F512" s="28"/>
      <c r="G512" s="28"/>
    </row>
    <row r="513" spans="6:7" ht="13">
      <c r="F513" s="28"/>
      <c r="G513" s="28"/>
    </row>
    <row r="514" spans="6:7" ht="13">
      <c r="F514" s="28"/>
      <c r="G514" s="28"/>
    </row>
    <row r="515" spans="6:7" ht="13">
      <c r="F515" s="28"/>
      <c r="G515" s="28"/>
    </row>
    <row r="516" spans="6:7" ht="13">
      <c r="F516" s="28"/>
      <c r="G516" s="28"/>
    </row>
    <row r="517" spans="6:7" ht="13">
      <c r="F517" s="28"/>
      <c r="G517" s="28"/>
    </row>
    <row r="518" spans="6:7" ht="13">
      <c r="F518" s="28"/>
      <c r="G518" s="28"/>
    </row>
    <row r="519" spans="6:7" ht="13">
      <c r="F519" s="28"/>
      <c r="G519" s="28"/>
    </row>
    <row r="520" spans="6:7" ht="13">
      <c r="F520" s="28"/>
      <c r="G520" s="28"/>
    </row>
    <row r="521" spans="6:7" ht="13">
      <c r="F521" s="28"/>
      <c r="G521" s="28"/>
    </row>
    <row r="522" spans="6:7" ht="13">
      <c r="F522" s="28"/>
      <c r="G522" s="28"/>
    </row>
    <row r="523" spans="6:7" ht="13">
      <c r="F523" s="28"/>
      <c r="G523" s="28"/>
    </row>
    <row r="524" spans="6:7" ht="13">
      <c r="F524" s="28"/>
      <c r="G524" s="28"/>
    </row>
    <row r="525" spans="6:7" ht="13">
      <c r="F525" s="28"/>
      <c r="G525" s="28"/>
    </row>
    <row r="526" spans="6:7" ht="13">
      <c r="F526" s="28"/>
      <c r="G526" s="28"/>
    </row>
    <row r="527" spans="6:7" ht="13">
      <c r="F527" s="28"/>
      <c r="G527" s="28"/>
    </row>
    <row r="528" spans="6:7" ht="13">
      <c r="F528" s="28"/>
      <c r="G528" s="28"/>
    </row>
    <row r="529" spans="6:7" ht="13">
      <c r="F529" s="28"/>
      <c r="G529" s="28"/>
    </row>
    <row r="530" spans="6:7" ht="13">
      <c r="F530" s="28"/>
      <c r="G530" s="28"/>
    </row>
    <row r="531" spans="6:7" ht="13">
      <c r="F531" s="28"/>
      <c r="G531" s="28"/>
    </row>
    <row r="532" spans="6:7" ht="13">
      <c r="F532" s="28"/>
      <c r="G532" s="28"/>
    </row>
    <row r="533" spans="6:7" ht="13">
      <c r="F533" s="28"/>
      <c r="G533" s="28"/>
    </row>
    <row r="534" spans="6:7" ht="13">
      <c r="F534" s="28"/>
      <c r="G534" s="28"/>
    </row>
    <row r="535" spans="6:7" ht="13">
      <c r="F535" s="28"/>
      <c r="G535" s="28"/>
    </row>
    <row r="536" spans="6:7" ht="13">
      <c r="F536" s="28"/>
      <c r="G536" s="28"/>
    </row>
    <row r="537" spans="6:7" ht="13">
      <c r="F537" s="28"/>
      <c r="G537" s="28"/>
    </row>
    <row r="538" spans="6:7" ht="13">
      <c r="F538" s="28"/>
      <c r="G538" s="28"/>
    </row>
    <row r="539" spans="6:7" ht="13">
      <c r="F539" s="28"/>
      <c r="G539" s="28"/>
    </row>
    <row r="540" spans="6:7" ht="13">
      <c r="F540" s="28"/>
      <c r="G540" s="28"/>
    </row>
    <row r="541" spans="6:7" ht="13">
      <c r="F541" s="28"/>
      <c r="G541" s="28"/>
    </row>
    <row r="542" spans="6:7" ht="13">
      <c r="F542" s="28"/>
      <c r="G542" s="28"/>
    </row>
    <row r="543" spans="6:7" ht="13">
      <c r="F543" s="28"/>
      <c r="G543" s="28"/>
    </row>
    <row r="544" spans="6:7" ht="13">
      <c r="F544" s="28"/>
      <c r="G544" s="28"/>
    </row>
    <row r="545" spans="6:7" ht="13">
      <c r="F545" s="28"/>
      <c r="G545" s="28"/>
    </row>
    <row r="546" spans="6:7" ht="13">
      <c r="F546" s="28"/>
      <c r="G546" s="28"/>
    </row>
    <row r="547" spans="6:7" ht="13">
      <c r="F547" s="28"/>
      <c r="G547" s="28"/>
    </row>
    <row r="548" spans="6:7" ht="13">
      <c r="F548" s="28"/>
      <c r="G548" s="28"/>
    </row>
    <row r="549" spans="6:7" ht="13">
      <c r="F549" s="28"/>
      <c r="G549" s="28"/>
    </row>
    <row r="550" spans="6:7" ht="13">
      <c r="F550" s="28"/>
      <c r="G550" s="28"/>
    </row>
    <row r="551" spans="6:7" ht="13">
      <c r="F551" s="28"/>
      <c r="G551" s="28"/>
    </row>
    <row r="552" spans="6:7" ht="13">
      <c r="F552" s="28"/>
      <c r="G552" s="28"/>
    </row>
    <row r="553" spans="6:7" ht="13">
      <c r="F553" s="28"/>
      <c r="G553" s="28"/>
    </row>
    <row r="554" spans="6:7" ht="13">
      <c r="F554" s="28"/>
      <c r="G554" s="28"/>
    </row>
    <row r="555" spans="6:7" ht="13">
      <c r="F555" s="28"/>
      <c r="G555" s="28"/>
    </row>
    <row r="556" spans="6:7" ht="13">
      <c r="F556" s="28"/>
      <c r="G556" s="28"/>
    </row>
    <row r="557" spans="6:7" ht="13">
      <c r="F557" s="28"/>
      <c r="G557" s="28"/>
    </row>
    <row r="558" spans="6:7" ht="13">
      <c r="F558" s="28"/>
      <c r="G558" s="28"/>
    </row>
    <row r="559" spans="6:7" ht="13">
      <c r="F559" s="28"/>
      <c r="G559" s="28"/>
    </row>
    <row r="560" spans="6:7" ht="13">
      <c r="F560" s="28"/>
      <c r="G560" s="28"/>
    </row>
    <row r="561" spans="6:7" ht="13">
      <c r="F561" s="28"/>
      <c r="G561" s="28"/>
    </row>
    <row r="562" spans="6:7" ht="13">
      <c r="F562" s="28"/>
      <c r="G562" s="28"/>
    </row>
    <row r="563" spans="6:7" ht="13">
      <c r="F563" s="28"/>
      <c r="G563" s="28"/>
    </row>
    <row r="564" spans="6:7" ht="13">
      <c r="F564" s="28"/>
      <c r="G564" s="28"/>
    </row>
    <row r="565" spans="6:7" ht="13">
      <c r="F565" s="28"/>
      <c r="G565" s="28"/>
    </row>
    <row r="566" spans="6:7" ht="13">
      <c r="F566" s="28"/>
      <c r="G566" s="28"/>
    </row>
    <row r="567" spans="6:7" ht="13">
      <c r="F567" s="28"/>
      <c r="G567" s="28"/>
    </row>
    <row r="568" spans="6:7" ht="13">
      <c r="F568" s="28"/>
      <c r="G568" s="28"/>
    </row>
    <row r="569" spans="6:7" ht="13">
      <c r="F569" s="28"/>
      <c r="G569" s="28"/>
    </row>
    <row r="570" spans="6:7" ht="13">
      <c r="F570" s="28"/>
      <c r="G570" s="28"/>
    </row>
    <row r="571" spans="6:7" ht="13">
      <c r="F571" s="28"/>
      <c r="G571" s="28"/>
    </row>
    <row r="572" spans="6:7" ht="13">
      <c r="F572" s="28"/>
      <c r="G572" s="28"/>
    </row>
    <row r="573" spans="6:7" ht="13">
      <c r="F573" s="28"/>
      <c r="G573" s="28"/>
    </row>
    <row r="574" spans="6:7" ht="13">
      <c r="F574" s="28"/>
      <c r="G574" s="28"/>
    </row>
    <row r="575" spans="6:7" ht="13">
      <c r="F575" s="28"/>
      <c r="G575" s="28"/>
    </row>
    <row r="576" spans="6:7" ht="13">
      <c r="F576" s="28"/>
      <c r="G576" s="28"/>
    </row>
    <row r="577" spans="6:7" ht="13">
      <c r="F577" s="28"/>
      <c r="G577" s="28"/>
    </row>
    <row r="578" spans="6:7" ht="13">
      <c r="F578" s="28"/>
      <c r="G578" s="28"/>
    </row>
    <row r="579" spans="6:7" ht="13">
      <c r="F579" s="28"/>
      <c r="G579" s="28"/>
    </row>
    <row r="580" spans="6:7" ht="13">
      <c r="F580" s="28"/>
      <c r="G580" s="28"/>
    </row>
    <row r="581" spans="6:7" ht="13">
      <c r="F581" s="28"/>
      <c r="G581" s="28"/>
    </row>
    <row r="582" spans="6:7" ht="13">
      <c r="F582" s="28"/>
      <c r="G582" s="28"/>
    </row>
    <row r="583" spans="6:7" ht="13">
      <c r="F583" s="28"/>
      <c r="G583" s="28"/>
    </row>
    <row r="584" spans="6:7" ht="13">
      <c r="F584" s="28"/>
      <c r="G584" s="28"/>
    </row>
    <row r="585" spans="6:7" ht="13">
      <c r="F585" s="28"/>
      <c r="G585" s="28"/>
    </row>
    <row r="586" spans="6:7" ht="13">
      <c r="F586" s="28"/>
      <c r="G586" s="28"/>
    </row>
    <row r="587" spans="6:7" ht="13">
      <c r="F587" s="28"/>
      <c r="G587" s="28"/>
    </row>
    <row r="588" spans="6:7" ht="13">
      <c r="F588" s="28"/>
      <c r="G588" s="28"/>
    </row>
    <row r="589" spans="6:7" ht="13">
      <c r="F589" s="28"/>
      <c r="G589" s="28"/>
    </row>
    <row r="590" spans="6:7" ht="13">
      <c r="F590" s="28"/>
      <c r="G590" s="28"/>
    </row>
    <row r="591" spans="6:7" ht="13">
      <c r="F591" s="28"/>
      <c r="G591" s="28"/>
    </row>
    <row r="592" spans="6:7" ht="13">
      <c r="F592" s="28"/>
      <c r="G592" s="28"/>
    </row>
    <row r="593" spans="6:7" ht="13">
      <c r="F593" s="28"/>
      <c r="G593" s="28"/>
    </row>
    <row r="594" spans="6:7" ht="13">
      <c r="F594" s="28"/>
      <c r="G594" s="28"/>
    </row>
    <row r="595" spans="6:7" ht="13">
      <c r="F595" s="28"/>
      <c r="G595" s="28"/>
    </row>
    <row r="596" spans="6:7" ht="13">
      <c r="F596" s="28"/>
      <c r="G596" s="28"/>
    </row>
    <row r="597" spans="6:7" ht="13">
      <c r="F597" s="28"/>
      <c r="G597" s="28"/>
    </row>
    <row r="598" spans="6:7" ht="13">
      <c r="F598" s="28"/>
      <c r="G598" s="28"/>
    </row>
    <row r="599" spans="6:7" ht="13">
      <c r="F599" s="28"/>
      <c r="G599" s="28"/>
    </row>
    <row r="600" spans="6:7" ht="13">
      <c r="F600" s="28"/>
      <c r="G600" s="28"/>
    </row>
    <row r="601" spans="6:7" ht="13">
      <c r="F601" s="28"/>
      <c r="G601" s="28"/>
    </row>
    <row r="602" spans="6:7" ht="13">
      <c r="F602" s="28"/>
      <c r="G602" s="28"/>
    </row>
    <row r="603" spans="6:7" ht="13">
      <c r="F603" s="28"/>
      <c r="G603" s="28"/>
    </row>
    <row r="604" spans="6:7" ht="13">
      <c r="F604" s="28"/>
      <c r="G604" s="28"/>
    </row>
    <row r="605" spans="6:7" ht="13">
      <c r="F605" s="28"/>
      <c r="G605" s="28"/>
    </row>
    <row r="606" spans="6:7" ht="13">
      <c r="F606" s="28"/>
      <c r="G606" s="28"/>
    </row>
    <row r="607" spans="6:7" ht="13">
      <c r="F607" s="28"/>
      <c r="G607" s="28"/>
    </row>
    <row r="608" spans="6:7" ht="13">
      <c r="F608" s="28"/>
      <c r="G608" s="28"/>
    </row>
    <row r="609" spans="6:7" ht="13">
      <c r="F609" s="28"/>
      <c r="G609" s="28"/>
    </row>
    <row r="610" spans="6:7" ht="13">
      <c r="F610" s="28"/>
      <c r="G610" s="28"/>
    </row>
    <row r="611" spans="6:7" ht="13">
      <c r="F611" s="28"/>
      <c r="G611" s="28"/>
    </row>
    <row r="612" spans="6:7" ht="13">
      <c r="F612" s="28"/>
      <c r="G612" s="28"/>
    </row>
    <row r="613" spans="6:7" ht="13">
      <c r="F613" s="28"/>
      <c r="G613" s="28"/>
    </row>
    <row r="614" spans="6:7" ht="13">
      <c r="F614" s="28"/>
      <c r="G614" s="28"/>
    </row>
    <row r="615" spans="6:7" ht="13">
      <c r="F615" s="28"/>
      <c r="G615" s="28"/>
    </row>
    <row r="616" spans="6:7" ht="13">
      <c r="F616" s="28"/>
      <c r="G616" s="28"/>
    </row>
    <row r="617" spans="6:7" ht="13">
      <c r="F617" s="28"/>
      <c r="G617" s="28"/>
    </row>
    <row r="618" spans="6:7" ht="13">
      <c r="F618" s="28"/>
      <c r="G618" s="28"/>
    </row>
    <row r="619" spans="6:7" ht="13">
      <c r="F619" s="28"/>
      <c r="G619" s="28"/>
    </row>
    <row r="620" spans="6:7" ht="13">
      <c r="F620" s="28"/>
      <c r="G620" s="28"/>
    </row>
    <row r="621" spans="6:7" ht="13">
      <c r="F621" s="28"/>
      <c r="G621" s="28"/>
    </row>
    <row r="622" spans="6:7" ht="13">
      <c r="F622" s="28"/>
      <c r="G622" s="28"/>
    </row>
    <row r="623" spans="6:7" ht="13">
      <c r="F623" s="28"/>
      <c r="G623" s="28"/>
    </row>
    <row r="624" spans="6:7" ht="13">
      <c r="F624" s="28"/>
      <c r="G624" s="28"/>
    </row>
    <row r="625" spans="6:7" ht="13">
      <c r="F625" s="28"/>
      <c r="G625" s="28"/>
    </row>
    <row r="626" spans="6:7" ht="13">
      <c r="F626" s="28"/>
      <c r="G626" s="28"/>
    </row>
    <row r="627" spans="6:7" ht="13">
      <c r="F627" s="28"/>
      <c r="G627" s="28"/>
    </row>
    <row r="628" spans="6:7" ht="13">
      <c r="F628" s="28"/>
      <c r="G628" s="28"/>
    </row>
    <row r="629" spans="6:7" ht="13">
      <c r="F629" s="28"/>
      <c r="G629" s="28"/>
    </row>
    <row r="630" spans="6:7" ht="13">
      <c r="F630" s="28"/>
      <c r="G630" s="28"/>
    </row>
    <row r="631" spans="6:7" ht="13">
      <c r="F631" s="28"/>
      <c r="G631" s="28"/>
    </row>
    <row r="632" spans="6:7" ht="13">
      <c r="F632" s="28"/>
      <c r="G632" s="28"/>
    </row>
    <row r="633" spans="6:7" ht="13">
      <c r="F633" s="28"/>
      <c r="G633" s="28"/>
    </row>
    <row r="634" spans="6:7" ht="13">
      <c r="F634" s="28"/>
      <c r="G634" s="28"/>
    </row>
    <row r="635" spans="6:7" ht="13">
      <c r="F635" s="28"/>
      <c r="G635" s="28"/>
    </row>
    <row r="636" spans="6:7" ht="13">
      <c r="F636" s="28"/>
      <c r="G636" s="28"/>
    </row>
    <row r="637" spans="6:7" ht="13">
      <c r="F637" s="28"/>
      <c r="G637" s="28"/>
    </row>
    <row r="638" spans="6:7" ht="13">
      <c r="F638" s="28"/>
      <c r="G638" s="28"/>
    </row>
    <row r="639" spans="6:7" ht="13">
      <c r="F639" s="28"/>
      <c r="G639" s="28"/>
    </row>
    <row r="640" spans="6:7" ht="13">
      <c r="F640" s="28"/>
      <c r="G640" s="28"/>
    </row>
    <row r="641" spans="6:7" ht="13">
      <c r="F641" s="28"/>
      <c r="G641" s="28"/>
    </row>
    <row r="642" spans="6:7" ht="13">
      <c r="F642" s="28"/>
      <c r="G642" s="28"/>
    </row>
    <row r="643" spans="6:7" ht="13">
      <c r="F643" s="28"/>
      <c r="G643" s="28"/>
    </row>
    <row r="644" spans="6:7" ht="13">
      <c r="F644" s="28"/>
      <c r="G644" s="28"/>
    </row>
    <row r="645" spans="6:7" ht="13">
      <c r="F645" s="28"/>
      <c r="G645" s="28"/>
    </row>
    <row r="646" spans="6:7" ht="13">
      <c r="F646" s="28"/>
      <c r="G646" s="28"/>
    </row>
    <row r="647" spans="6:7" ht="13">
      <c r="F647" s="28"/>
      <c r="G647" s="28"/>
    </row>
    <row r="648" spans="6:7" ht="13">
      <c r="F648" s="28"/>
      <c r="G648" s="28"/>
    </row>
    <row r="649" spans="6:7" ht="13">
      <c r="F649" s="28"/>
      <c r="G649" s="28"/>
    </row>
    <row r="650" spans="6:7" ht="13">
      <c r="F650" s="28"/>
      <c r="G650" s="28"/>
    </row>
    <row r="651" spans="6:7" ht="13">
      <c r="F651" s="28"/>
      <c r="G651" s="28"/>
    </row>
    <row r="652" spans="6:7" ht="13">
      <c r="F652" s="28"/>
      <c r="G652" s="28"/>
    </row>
    <row r="653" spans="6:7" ht="13">
      <c r="F653" s="28"/>
      <c r="G653" s="28"/>
    </row>
    <row r="654" spans="6:7" ht="13">
      <c r="F654" s="28"/>
      <c r="G654" s="28"/>
    </row>
    <row r="655" spans="6:7" ht="13">
      <c r="F655" s="28"/>
      <c r="G655" s="28"/>
    </row>
    <row r="656" spans="6:7" ht="13">
      <c r="F656" s="28"/>
      <c r="G656" s="28"/>
    </row>
    <row r="657" spans="6:7" ht="13">
      <c r="F657" s="28"/>
      <c r="G657" s="28"/>
    </row>
    <row r="658" spans="6:7" ht="13">
      <c r="F658" s="28"/>
      <c r="G658" s="28"/>
    </row>
    <row r="659" spans="6:7" ht="13">
      <c r="F659" s="28"/>
      <c r="G659" s="28"/>
    </row>
    <row r="660" spans="6:7" ht="13">
      <c r="F660" s="28"/>
      <c r="G660" s="28"/>
    </row>
    <row r="661" spans="6:7" ht="13">
      <c r="F661" s="28"/>
      <c r="G661" s="28"/>
    </row>
    <row r="662" spans="6:7" ht="13">
      <c r="F662" s="28"/>
      <c r="G662" s="28"/>
    </row>
    <row r="663" spans="6:7" ht="13">
      <c r="F663" s="28"/>
      <c r="G663" s="28"/>
    </row>
    <row r="664" spans="6:7" ht="13">
      <c r="F664" s="28"/>
      <c r="G664" s="28"/>
    </row>
    <row r="665" spans="6:7" ht="13">
      <c r="F665" s="28"/>
      <c r="G665" s="28"/>
    </row>
    <row r="666" spans="6:7" ht="13">
      <c r="F666" s="28"/>
      <c r="G666" s="28"/>
    </row>
    <row r="667" spans="6:7" ht="13">
      <c r="F667" s="28"/>
      <c r="G667" s="28"/>
    </row>
    <row r="668" spans="6:7" ht="13">
      <c r="F668" s="28"/>
      <c r="G668" s="28"/>
    </row>
    <row r="669" spans="6:7" ht="13">
      <c r="F669" s="28"/>
      <c r="G669" s="28"/>
    </row>
    <row r="670" spans="6:7" ht="13">
      <c r="F670" s="28"/>
      <c r="G670" s="28"/>
    </row>
    <row r="671" spans="6:7" ht="13">
      <c r="F671" s="28"/>
      <c r="G671" s="28"/>
    </row>
    <row r="672" spans="6:7" ht="13">
      <c r="F672" s="28"/>
      <c r="G672" s="28"/>
    </row>
    <row r="673" spans="6:7" ht="13">
      <c r="F673" s="28"/>
      <c r="G673" s="28"/>
    </row>
    <row r="674" spans="6:7" ht="13">
      <c r="F674" s="28"/>
      <c r="G674" s="28"/>
    </row>
    <row r="675" spans="6:7" ht="13">
      <c r="F675" s="28"/>
      <c r="G675" s="28"/>
    </row>
    <row r="676" spans="6:7" ht="13">
      <c r="F676" s="28"/>
      <c r="G676" s="28"/>
    </row>
    <row r="677" spans="6:7" ht="13">
      <c r="F677" s="28"/>
      <c r="G677" s="28"/>
    </row>
    <row r="678" spans="6:7" ht="13">
      <c r="F678" s="28"/>
      <c r="G678" s="28"/>
    </row>
    <row r="679" spans="6:7" ht="13">
      <c r="F679" s="28"/>
      <c r="G679" s="28"/>
    </row>
    <row r="680" spans="6:7" ht="13">
      <c r="F680" s="28"/>
      <c r="G680" s="28"/>
    </row>
    <row r="681" spans="6:7" ht="13">
      <c r="F681" s="28"/>
      <c r="G681" s="28"/>
    </row>
    <row r="682" spans="6:7" ht="13">
      <c r="F682" s="28"/>
      <c r="G682" s="28"/>
    </row>
    <row r="683" spans="6:7" ht="13">
      <c r="F683" s="28"/>
      <c r="G683" s="28"/>
    </row>
    <row r="684" spans="6:7" ht="13">
      <c r="F684" s="28"/>
      <c r="G684" s="28"/>
    </row>
    <row r="685" spans="6:7" ht="13">
      <c r="F685" s="28"/>
      <c r="G685" s="28"/>
    </row>
    <row r="686" spans="6:7" ht="13">
      <c r="F686" s="28"/>
      <c r="G686" s="28"/>
    </row>
    <row r="687" spans="6:7" ht="13">
      <c r="F687" s="28"/>
      <c r="G687" s="28"/>
    </row>
    <row r="688" spans="6:7" ht="13">
      <c r="F688" s="28"/>
      <c r="G688" s="28"/>
    </row>
    <row r="689" spans="6:7" ht="13">
      <c r="F689" s="28"/>
      <c r="G689" s="28"/>
    </row>
    <row r="690" spans="6:7" ht="13">
      <c r="F690" s="28"/>
      <c r="G690" s="28"/>
    </row>
    <row r="691" spans="6:7" ht="13">
      <c r="F691" s="28"/>
      <c r="G691" s="28"/>
    </row>
    <row r="692" spans="6:7" ht="13">
      <c r="F692" s="28"/>
      <c r="G692" s="28"/>
    </row>
    <row r="693" spans="6:7" ht="13">
      <c r="F693" s="28"/>
      <c r="G693" s="28"/>
    </row>
    <row r="694" spans="6:7" ht="13">
      <c r="F694" s="28"/>
      <c r="G694" s="28"/>
    </row>
    <row r="695" spans="6:7" ht="13">
      <c r="F695" s="28"/>
      <c r="G695" s="28"/>
    </row>
    <row r="696" spans="6:7" ht="13">
      <c r="F696" s="28"/>
      <c r="G696" s="28"/>
    </row>
    <row r="697" spans="6:7" ht="13">
      <c r="F697" s="28"/>
      <c r="G697" s="28"/>
    </row>
    <row r="698" spans="6:7" ht="13">
      <c r="F698" s="28"/>
      <c r="G698" s="28"/>
    </row>
    <row r="699" spans="6:7" ht="13">
      <c r="F699" s="28"/>
      <c r="G699" s="28"/>
    </row>
    <row r="700" spans="6:7" ht="13">
      <c r="F700" s="28"/>
      <c r="G700" s="28"/>
    </row>
    <row r="701" spans="6:7" ht="13">
      <c r="F701" s="28"/>
      <c r="G701" s="28"/>
    </row>
    <row r="702" spans="6:7" ht="13">
      <c r="F702" s="28"/>
      <c r="G702" s="28"/>
    </row>
    <row r="703" spans="6:7" ht="13">
      <c r="F703" s="28"/>
      <c r="G703" s="28"/>
    </row>
    <row r="704" spans="6:7" ht="13">
      <c r="F704" s="28"/>
      <c r="G704" s="28"/>
    </row>
    <row r="705" spans="6:7" ht="13">
      <c r="F705" s="28"/>
      <c r="G705" s="28"/>
    </row>
    <row r="706" spans="6:7" ht="13">
      <c r="F706" s="28"/>
      <c r="G706" s="28"/>
    </row>
    <row r="707" spans="6:7" ht="13">
      <c r="F707" s="28"/>
      <c r="G707" s="28"/>
    </row>
    <row r="708" spans="6:7" ht="13">
      <c r="F708" s="28"/>
      <c r="G708" s="28"/>
    </row>
    <row r="709" spans="6:7" ht="13">
      <c r="F709" s="28"/>
      <c r="G709" s="28"/>
    </row>
    <row r="710" spans="6:7" ht="13">
      <c r="F710" s="28"/>
      <c r="G710" s="28"/>
    </row>
    <row r="711" spans="6:7" ht="13">
      <c r="F711" s="28"/>
      <c r="G711" s="28"/>
    </row>
    <row r="712" spans="6:7" ht="13">
      <c r="F712" s="28"/>
      <c r="G712" s="28"/>
    </row>
    <row r="713" spans="6:7" ht="13">
      <c r="F713" s="28"/>
      <c r="G713" s="28"/>
    </row>
    <row r="714" spans="6:7" ht="13">
      <c r="F714" s="28"/>
      <c r="G714" s="28"/>
    </row>
    <row r="715" spans="6:7" ht="13">
      <c r="F715" s="28"/>
      <c r="G715" s="28"/>
    </row>
    <row r="716" spans="6:7" ht="13">
      <c r="F716" s="28"/>
      <c r="G716" s="28"/>
    </row>
    <row r="717" spans="6:7" ht="13">
      <c r="F717" s="28"/>
      <c r="G717" s="28"/>
    </row>
    <row r="718" spans="6:7" ht="13">
      <c r="F718" s="28"/>
      <c r="G718" s="28"/>
    </row>
    <row r="719" spans="6:7" ht="13">
      <c r="F719" s="28"/>
      <c r="G719" s="28"/>
    </row>
    <row r="720" spans="6:7" ht="13">
      <c r="F720" s="28"/>
      <c r="G720" s="28"/>
    </row>
    <row r="721" spans="6:7" ht="13">
      <c r="F721" s="28"/>
      <c r="G721" s="28"/>
    </row>
    <row r="722" spans="6:7" ht="13">
      <c r="F722" s="28"/>
      <c r="G722" s="28"/>
    </row>
    <row r="723" spans="6:7" ht="13">
      <c r="F723" s="28"/>
      <c r="G723" s="28"/>
    </row>
    <row r="724" spans="6:7" ht="13">
      <c r="F724" s="28"/>
      <c r="G724" s="28"/>
    </row>
    <row r="725" spans="6:7" ht="13">
      <c r="F725" s="28"/>
      <c r="G725" s="28"/>
    </row>
    <row r="726" spans="6:7" ht="13">
      <c r="F726" s="28"/>
      <c r="G726" s="28"/>
    </row>
    <row r="727" spans="6:7" ht="13">
      <c r="F727" s="28"/>
      <c r="G727" s="28"/>
    </row>
    <row r="728" spans="6:7" ht="13">
      <c r="F728" s="28"/>
      <c r="G728" s="28"/>
    </row>
    <row r="729" spans="6:7" ht="13">
      <c r="F729" s="28"/>
      <c r="G729" s="28"/>
    </row>
    <row r="730" spans="6:7" ht="13">
      <c r="F730" s="28"/>
      <c r="G730" s="28"/>
    </row>
    <row r="731" spans="6:7" ht="13">
      <c r="F731" s="28"/>
      <c r="G731" s="28"/>
    </row>
    <row r="732" spans="6:7" ht="13">
      <c r="F732" s="28"/>
      <c r="G732" s="28"/>
    </row>
    <row r="733" spans="6:7" ht="13">
      <c r="F733" s="28"/>
      <c r="G733" s="28"/>
    </row>
    <row r="734" spans="6:7" ht="13">
      <c r="F734" s="28"/>
      <c r="G734" s="28"/>
    </row>
    <row r="735" spans="6:7" ht="13">
      <c r="F735" s="28"/>
      <c r="G735" s="28"/>
    </row>
    <row r="736" spans="6:7" ht="13">
      <c r="F736" s="28"/>
      <c r="G736" s="28"/>
    </row>
    <row r="737" spans="6:7" ht="13">
      <c r="F737" s="28"/>
      <c r="G737" s="28"/>
    </row>
    <row r="738" spans="6:7" ht="13">
      <c r="F738" s="28"/>
      <c r="G738" s="28"/>
    </row>
    <row r="739" spans="6:7" ht="13">
      <c r="F739" s="28"/>
      <c r="G739" s="28"/>
    </row>
    <row r="740" spans="6:7" ht="13">
      <c r="F740" s="28"/>
      <c r="G740" s="28"/>
    </row>
    <row r="741" spans="6:7" ht="13">
      <c r="F741" s="28"/>
      <c r="G741" s="28"/>
    </row>
    <row r="742" spans="6:7" ht="13">
      <c r="F742" s="28"/>
      <c r="G742" s="28"/>
    </row>
    <row r="743" spans="6:7" ht="13">
      <c r="F743" s="28"/>
      <c r="G743" s="28"/>
    </row>
    <row r="744" spans="6:7" ht="13">
      <c r="F744" s="28"/>
      <c r="G744" s="28"/>
    </row>
    <row r="745" spans="6:7" ht="13">
      <c r="F745" s="28"/>
      <c r="G745" s="28"/>
    </row>
    <row r="746" spans="6:7" ht="13">
      <c r="F746" s="28"/>
      <c r="G746" s="28"/>
    </row>
    <row r="747" spans="6:7" ht="13">
      <c r="F747" s="28"/>
      <c r="G747" s="28"/>
    </row>
    <row r="748" spans="6:7" ht="13">
      <c r="F748" s="28"/>
      <c r="G748" s="28"/>
    </row>
    <row r="749" spans="6:7" ht="13">
      <c r="F749" s="28"/>
      <c r="G749" s="28"/>
    </row>
    <row r="750" spans="6:7" ht="13">
      <c r="F750" s="28"/>
      <c r="G750" s="28"/>
    </row>
    <row r="751" spans="6:7" ht="13">
      <c r="F751" s="28"/>
      <c r="G751" s="28"/>
    </row>
    <row r="752" spans="6:7" ht="13">
      <c r="F752" s="28"/>
      <c r="G752" s="28"/>
    </row>
    <row r="753" spans="6:7" ht="13">
      <c r="F753" s="28"/>
      <c r="G753" s="28"/>
    </row>
    <row r="754" spans="6:7" ht="13">
      <c r="F754" s="28"/>
      <c r="G754" s="28"/>
    </row>
    <row r="755" spans="6:7" ht="13">
      <c r="F755" s="28"/>
      <c r="G755" s="28"/>
    </row>
    <row r="756" spans="6:7" ht="13">
      <c r="F756" s="28"/>
      <c r="G756" s="28"/>
    </row>
    <row r="757" spans="6:7" ht="13">
      <c r="F757" s="28"/>
      <c r="G757" s="28"/>
    </row>
    <row r="758" spans="6:7" ht="13">
      <c r="F758" s="28"/>
      <c r="G758" s="28"/>
    </row>
    <row r="759" spans="6:7" ht="13">
      <c r="F759" s="28"/>
      <c r="G759" s="28"/>
    </row>
    <row r="760" spans="6:7" ht="13">
      <c r="F760" s="28"/>
      <c r="G760" s="28"/>
    </row>
    <row r="761" spans="6:7" ht="13">
      <c r="F761" s="28"/>
      <c r="G761" s="28"/>
    </row>
    <row r="762" spans="6:7" ht="13">
      <c r="F762" s="28"/>
      <c r="G762" s="28"/>
    </row>
    <row r="763" spans="6:7" ht="13">
      <c r="F763" s="28"/>
      <c r="G763" s="28"/>
    </row>
    <row r="764" spans="6:7" ht="13">
      <c r="F764" s="28"/>
      <c r="G764" s="28"/>
    </row>
    <row r="765" spans="6:7" ht="13">
      <c r="F765" s="28"/>
      <c r="G765" s="28"/>
    </row>
    <row r="766" spans="6:7" ht="13">
      <c r="F766" s="28"/>
      <c r="G766" s="28"/>
    </row>
    <row r="767" spans="6:7" ht="13">
      <c r="F767" s="28"/>
      <c r="G767" s="28"/>
    </row>
    <row r="768" spans="6:7" ht="13">
      <c r="F768" s="28"/>
      <c r="G768" s="28"/>
    </row>
    <row r="769" spans="6:7" ht="13">
      <c r="F769" s="28"/>
      <c r="G769" s="28"/>
    </row>
    <row r="770" spans="6:7" ht="13">
      <c r="F770" s="28"/>
      <c r="G770" s="28"/>
    </row>
    <row r="771" spans="6:7" ht="13">
      <c r="F771" s="28"/>
      <c r="G771" s="28"/>
    </row>
    <row r="772" spans="6:7" ht="13">
      <c r="F772" s="28"/>
      <c r="G772" s="28"/>
    </row>
    <row r="773" spans="6:7" ht="13">
      <c r="F773" s="28"/>
      <c r="G773" s="28"/>
    </row>
    <row r="774" spans="6:7" ht="13">
      <c r="F774" s="28"/>
      <c r="G774" s="28"/>
    </row>
    <row r="775" spans="6:7" ht="13">
      <c r="F775" s="28"/>
      <c r="G775" s="28"/>
    </row>
    <row r="776" spans="6:7" ht="13">
      <c r="F776" s="28"/>
      <c r="G776" s="28"/>
    </row>
    <row r="777" spans="6:7" ht="13">
      <c r="F777" s="28"/>
      <c r="G777" s="28"/>
    </row>
    <row r="778" spans="6:7" ht="13">
      <c r="F778" s="28"/>
      <c r="G778" s="28"/>
    </row>
    <row r="779" spans="6:7" ht="13">
      <c r="F779" s="28"/>
      <c r="G779" s="28"/>
    </row>
    <row r="780" spans="6:7" ht="13">
      <c r="F780" s="28"/>
      <c r="G780" s="28"/>
    </row>
    <row r="781" spans="6:7" ht="13">
      <c r="F781" s="28"/>
      <c r="G781" s="28"/>
    </row>
    <row r="782" spans="6:7" ht="13">
      <c r="F782" s="28"/>
      <c r="G782" s="28"/>
    </row>
    <row r="783" spans="6:7" ht="13">
      <c r="F783" s="28"/>
      <c r="G783" s="28"/>
    </row>
    <row r="784" spans="6:7" ht="13">
      <c r="F784" s="28"/>
      <c r="G784" s="28"/>
    </row>
    <row r="785" spans="6:7" ht="13">
      <c r="F785" s="28"/>
      <c r="G785" s="28"/>
    </row>
    <row r="786" spans="6:7" ht="13">
      <c r="F786" s="28"/>
      <c r="G786" s="28"/>
    </row>
    <row r="787" spans="6:7" ht="13">
      <c r="F787" s="28"/>
      <c r="G787" s="28"/>
    </row>
    <row r="788" spans="6:7" ht="13">
      <c r="F788" s="28"/>
      <c r="G788" s="28"/>
    </row>
    <row r="789" spans="6:7" ht="13">
      <c r="F789" s="28"/>
      <c r="G789" s="28"/>
    </row>
    <row r="790" spans="6:7" ht="13">
      <c r="F790" s="28"/>
      <c r="G790" s="28"/>
    </row>
    <row r="791" spans="6:7" ht="13">
      <c r="F791" s="28"/>
      <c r="G791" s="28"/>
    </row>
    <row r="792" spans="6:7" ht="13">
      <c r="F792" s="28"/>
      <c r="G792" s="28"/>
    </row>
    <row r="793" spans="6:7" ht="13">
      <c r="F793" s="28"/>
      <c r="G793" s="28"/>
    </row>
    <row r="794" spans="6:7" ht="13">
      <c r="F794" s="28"/>
      <c r="G794" s="28"/>
    </row>
    <row r="795" spans="6:7" ht="13">
      <c r="F795" s="28"/>
      <c r="G795" s="28"/>
    </row>
    <row r="796" spans="6:7" ht="13">
      <c r="F796" s="28"/>
      <c r="G796" s="28"/>
    </row>
    <row r="797" spans="6:7" ht="13">
      <c r="F797" s="28"/>
      <c r="G797" s="28"/>
    </row>
    <row r="798" spans="6:7" ht="13">
      <c r="F798" s="28"/>
      <c r="G798" s="28"/>
    </row>
    <row r="799" spans="6:7" ht="13">
      <c r="F799" s="28"/>
      <c r="G799" s="28"/>
    </row>
    <row r="800" spans="6:7" ht="13">
      <c r="F800" s="28"/>
      <c r="G800" s="28"/>
    </row>
    <row r="801" spans="6:7" ht="13">
      <c r="F801" s="28"/>
      <c r="G801" s="28"/>
    </row>
    <row r="802" spans="6:7" ht="13">
      <c r="F802" s="28"/>
      <c r="G802" s="28"/>
    </row>
    <row r="803" spans="6:7" ht="13">
      <c r="F803" s="28"/>
      <c r="G803" s="28"/>
    </row>
    <row r="804" spans="6:7" ht="13">
      <c r="F804" s="28"/>
      <c r="G804" s="28"/>
    </row>
    <row r="805" spans="6:7" ht="13">
      <c r="F805" s="28"/>
      <c r="G805" s="28"/>
    </row>
    <row r="806" spans="6:7" ht="13">
      <c r="F806" s="28"/>
      <c r="G806" s="28"/>
    </row>
    <row r="807" spans="6:7" ht="13">
      <c r="F807" s="28"/>
      <c r="G807" s="28"/>
    </row>
    <row r="808" spans="6:7" ht="13">
      <c r="F808" s="28"/>
      <c r="G808" s="28"/>
    </row>
    <row r="809" spans="6:7" ht="13">
      <c r="F809" s="28"/>
      <c r="G809" s="28"/>
    </row>
    <row r="810" spans="6:7" ht="13">
      <c r="F810" s="28"/>
      <c r="G810" s="28"/>
    </row>
    <row r="811" spans="6:7" ht="13">
      <c r="F811" s="28"/>
      <c r="G811" s="28"/>
    </row>
    <row r="812" spans="6:7" ht="13">
      <c r="F812" s="28"/>
      <c r="G812" s="28"/>
    </row>
    <row r="813" spans="6:7" ht="13">
      <c r="F813" s="28"/>
      <c r="G813" s="28"/>
    </row>
    <row r="814" spans="6:7" ht="13">
      <c r="F814" s="28"/>
      <c r="G814" s="28"/>
    </row>
    <row r="815" spans="6:7" ht="13">
      <c r="F815" s="28"/>
      <c r="G815" s="28"/>
    </row>
    <row r="816" spans="6:7" ht="13">
      <c r="F816" s="28"/>
      <c r="G816" s="28"/>
    </row>
    <row r="817" spans="6:7" ht="13">
      <c r="F817" s="28"/>
      <c r="G817" s="28"/>
    </row>
    <row r="818" spans="6:7" ht="13">
      <c r="F818" s="28"/>
      <c r="G818" s="28"/>
    </row>
    <row r="819" spans="6:7" ht="13">
      <c r="F819" s="28"/>
      <c r="G819" s="28"/>
    </row>
    <row r="820" spans="6:7" ht="13">
      <c r="F820" s="28"/>
      <c r="G820" s="28"/>
    </row>
    <row r="821" spans="6:7" ht="13">
      <c r="F821" s="28"/>
      <c r="G821" s="28"/>
    </row>
    <row r="822" spans="6:7" ht="13">
      <c r="F822" s="28"/>
      <c r="G822" s="28"/>
    </row>
    <row r="823" spans="6:7" ht="13">
      <c r="F823" s="28"/>
      <c r="G823" s="28"/>
    </row>
    <row r="824" spans="6:7" ht="13">
      <c r="F824" s="28"/>
      <c r="G824" s="28"/>
    </row>
    <row r="825" spans="6:7" ht="13">
      <c r="F825" s="28"/>
      <c r="G825" s="28"/>
    </row>
    <row r="826" spans="6:7" ht="13">
      <c r="F826" s="28"/>
      <c r="G826" s="28"/>
    </row>
    <row r="827" spans="6:7" ht="13">
      <c r="F827" s="28"/>
      <c r="G827" s="28"/>
    </row>
    <row r="828" spans="6:7" ht="13">
      <c r="F828" s="28"/>
      <c r="G828" s="28"/>
    </row>
    <row r="829" spans="6:7" ht="13">
      <c r="F829" s="28"/>
      <c r="G829" s="28"/>
    </row>
    <row r="830" spans="6:7" ht="13">
      <c r="F830" s="28"/>
      <c r="G830" s="28"/>
    </row>
    <row r="831" spans="6:7" ht="13">
      <c r="F831" s="28"/>
      <c r="G831" s="28"/>
    </row>
    <row r="832" spans="6:7" ht="13">
      <c r="F832" s="28"/>
      <c r="G832" s="28"/>
    </row>
    <row r="833" spans="6:7" ht="13">
      <c r="F833" s="28"/>
      <c r="G833" s="28"/>
    </row>
    <row r="834" spans="6:7" ht="13">
      <c r="F834" s="28"/>
      <c r="G834" s="28"/>
    </row>
    <row r="835" spans="6:7" ht="13">
      <c r="F835" s="28"/>
      <c r="G835" s="28"/>
    </row>
    <row r="836" spans="6:7" ht="13">
      <c r="F836" s="28"/>
      <c r="G836" s="28"/>
    </row>
    <row r="837" spans="6:7" ht="13">
      <c r="F837" s="28"/>
      <c r="G837" s="28"/>
    </row>
    <row r="838" spans="6:7" ht="13">
      <c r="F838" s="28"/>
      <c r="G838" s="28"/>
    </row>
    <row r="839" spans="6:7" ht="13">
      <c r="F839" s="28"/>
      <c r="G839" s="28"/>
    </row>
    <row r="840" spans="6:7" ht="13">
      <c r="F840" s="28"/>
      <c r="G840" s="28"/>
    </row>
    <row r="841" spans="6:7" ht="13">
      <c r="F841" s="28"/>
      <c r="G841" s="28"/>
    </row>
    <row r="842" spans="6:7" ht="13">
      <c r="F842" s="28"/>
      <c r="G842" s="28"/>
    </row>
    <row r="843" spans="6:7" ht="13">
      <c r="F843" s="28"/>
      <c r="G843" s="28"/>
    </row>
    <row r="844" spans="6:7" ht="13">
      <c r="F844" s="28"/>
      <c r="G844" s="28"/>
    </row>
    <row r="845" spans="6:7" ht="13">
      <c r="F845" s="28"/>
      <c r="G845" s="28"/>
    </row>
    <row r="846" spans="6:7" ht="13">
      <c r="F846" s="28"/>
      <c r="G846" s="28"/>
    </row>
    <row r="847" spans="6:7" ht="13">
      <c r="F847" s="28"/>
      <c r="G847" s="28"/>
    </row>
    <row r="848" spans="6:7" ht="13">
      <c r="F848" s="28"/>
      <c r="G848" s="28"/>
    </row>
    <row r="849" spans="6:7" ht="13">
      <c r="F849" s="28"/>
      <c r="G849" s="28"/>
    </row>
    <row r="850" spans="6:7" ht="13">
      <c r="F850" s="28"/>
      <c r="G850" s="28"/>
    </row>
    <row r="851" spans="6:7" ht="13">
      <c r="F851" s="28"/>
      <c r="G851" s="28"/>
    </row>
    <row r="852" spans="6:7" ht="13">
      <c r="F852" s="28"/>
      <c r="G852" s="28"/>
    </row>
    <row r="853" spans="6:7" ht="13">
      <c r="F853" s="28"/>
      <c r="G853" s="28"/>
    </row>
    <row r="854" spans="6:7" ht="13">
      <c r="F854" s="28"/>
      <c r="G854" s="28"/>
    </row>
    <row r="855" spans="6:7" ht="13">
      <c r="F855" s="28"/>
      <c r="G855" s="28"/>
    </row>
    <row r="856" spans="6:7" ht="13">
      <c r="F856" s="28"/>
      <c r="G856" s="28"/>
    </row>
    <row r="857" spans="6:7" ht="13">
      <c r="F857" s="28"/>
      <c r="G857" s="28"/>
    </row>
    <row r="858" spans="6:7" ht="13">
      <c r="F858" s="28"/>
      <c r="G858" s="28"/>
    </row>
    <row r="859" spans="6:7" ht="13">
      <c r="F859" s="28"/>
      <c r="G859" s="28"/>
    </row>
    <row r="860" spans="6:7" ht="13">
      <c r="F860" s="28"/>
      <c r="G860" s="28"/>
    </row>
    <row r="861" spans="6:7" ht="13">
      <c r="F861" s="28"/>
      <c r="G861" s="28"/>
    </row>
    <row r="862" spans="6:7" ht="13">
      <c r="F862" s="28"/>
      <c r="G862" s="28"/>
    </row>
    <row r="863" spans="6:7" ht="13">
      <c r="F863" s="28"/>
      <c r="G863" s="28"/>
    </row>
    <row r="864" spans="6:7" ht="13">
      <c r="F864" s="28"/>
      <c r="G864" s="28"/>
    </row>
    <row r="865" spans="6:7" ht="13">
      <c r="F865" s="28"/>
      <c r="G865" s="28"/>
    </row>
    <row r="866" spans="6:7" ht="13">
      <c r="F866" s="28"/>
      <c r="G866" s="28"/>
    </row>
    <row r="867" spans="6:7" ht="13">
      <c r="F867" s="28"/>
      <c r="G867" s="28"/>
    </row>
    <row r="868" spans="6:7" ht="13">
      <c r="F868" s="28"/>
      <c r="G868" s="28"/>
    </row>
    <row r="869" spans="6:7" ht="13">
      <c r="F869" s="28"/>
      <c r="G869" s="28"/>
    </row>
    <row r="870" spans="6:7" ht="13">
      <c r="F870" s="28"/>
      <c r="G870" s="28"/>
    </row>
    <row r="871" spans="6:7" ht="13">
      <c r="F871" s="28"/>
      <c r="G871" s="28"/>
    </row>
    <row r="872" spans="6:7" ht="13">
      <c r="F872" s="28"/>
      <c r="G872" s="28"/>
    </row>
    <row r="873" spans="6:7" ht="13">
      <c r="F873" s="28"/>
      <c r="G873" s="28"/>
    </row>
    <row r="874" spans="6:7" ht="13">
      <c r="F874" s="28"/>
      <c r="G874" s="28"/>
    </row>
    <row r="875" spans="6:7" ht="13">
      <c r="F875" s="28"/>
      <c r="G875" s="28"/>
    </row>
    <row r="876" spans="6:7" ht="13">
      <c r="F876" s="28"/>
      <c r="G876" s="28"/>
    </row>
    <row r="877" spans="6:7" ht="13">
      <c r="F877" s="28"/>
      <c r="G877" s="28"/>
    </row>
    <row r="878" spans="6:7" ht="13">
      <c r="F878" s="28"/>
      <c r="G878" s="28"/>
    </row>
    <row r="879" spans="6:7" ht="13">
      <c r="F879" s="28"/>
      <c r="G879" s="28"/>
    </row>
    <row r="880" spans="6:7" ht="13">
      <c r="F880" s="28"/>
      <c r="G880" s="28"/>
    </row>
    <row r="881" spans="6:7" ht="13">
      <c r="F881" s="28"/>
      <c r="G881" s="28"/>
    </row>
    <row r="882" spans="6:7" ht="13">
      <c r="F882" s="28"/>
      <c r="G882" s="28"/>
    </row>
    <row r="883" spans="6:7" ht="13">
      <c r="F883" s="28"/>
      <c r="G883" s="28"/>
    </row>
    <row r="884" spans="6:7" ht="13">
      <c r="F884" s="28"/>
      <c r="G884" s="28"/>
    </row>
    <row r="885" spans="6:7" ht="13">
      <c r="F885" s="28"/>
      <c r="G885" s="28"/>
    </row>
    <row r="886" spans="6:7" ht="13">
      <c r="F886" s="28"/>
      <c r="G886" s="28"/>
    </row>
    <row r="887" spans="6:7" ht="13">
      <c r="F887" s="28"/>
      <c r="G887" s="28"/>
    </row>
    <row r="888" spans="6:7" ht="13">
      <c r="F888" s="28"/>
      <c r="G888" s="28"/>
    </row>
    <row r="889" spans="6:7" ht="13">
      <c r="F889" s="28"/>
      <c r="G889" s="28"/>
    </row>
    <row r="890" spans="6:7" ht="13">
      <c r="F890" s="28"/>
      <c r="G890" s="28"/>
    </row>
    <row r="891" spans="6:7" ht="13">
      <c r="F891" s="28"/>
      <c r="G891" s="28"/>
    </row>
    <row r="892" spans="6:7" ht="13">
      <c r="F892" s="28"/>
      <c r="G892" s="28"/>
    </row>
    <row r="893" spans="6:7" ht="13">
      <c r="F893" s="28"/>
      <c r="G893" s="28"/>
    </row>
    <row r="894" spans="6:7" ht="13">
      <c r="F894" s="28"/>
      <c r="G894" s="28"/>
    </row>
    <row r="895" spans="6:7" ht="13">
      <c r="F895" s="28"/>
      <c r="G895" s="28"/>
    </row>
    <row r="896" spans="6:7" ht="13">
      <c r="F896" s="28"/>
      <c r="G896" s="28"/>
    </row>
    <row r="897" spans="6:7" ht="13">
      <c r="F897" s="28"/>
      <c r="G897" s="28"/>
    </row>
    <row r="898" spans="6:7" ht="13">
      <c r="F898" s="28"/>
      <c r="G898" s="28"/>
    </row>
    <row r="899" spans="6:7" ht="13">
      <c r="F899" s="28"/>
      <c r="G899" s="28"/>
    </row>
    <row r="900" spans="6:7" ht="13">
      <c r="F900" s="28"/>
      <c r="G900" s="28"/>
    </row>
    <row r="901" spans="6:7" ht="13">
      <c r="F901" s="28"/>
      <c r="G901" s="28"/>
    </row>
    <row r="902" spans="6:7" ht="13">
      <c r="F902" s="28"/>
      <c r="G902" s="28"/>
    </row>
    <row r="903" spans="6:7" ht="13">
      <c r="F903" s="28"/>
      <c r="G903" s="28"/>
    </row>
    <row r="904" spans="6:7" ht="13">
      <c r="F904" s="28"/>
      <c r="G904" s="28"/>
    </row>
    <row r="905" spans="6:7" ht="13">
      <c r="F905" s="28"/>
      <c r="G905" s="28"/>
    </row>
    <row r="906" spans="6:7" ht="13">
      <c r="F906" s="28"/>
      <c r="G906" s="28"/>
    </row>
    <row r="907" spans="6:7" ht="13">
      <c r="F907" s="28"/>
      <c r="G907" s="28"/>
    </row>
    <row r="908" spans="6:7" ht="13">
      <c r="F908" s="28"/>
      <c r="G908" s="28"/>
    </row>
    <row r="909" spans="6:7" ht="13">
      <c r="F909" s="28"/>
      <c r="G909" s="28"/>
    </row>
    <row r="910" spans="6:7" ht="13">
      <c r="F910" s="28"/>
      <c r="G910" s="28"/>
    </row>
    <row r="911" spans="6:7" ht="13">
      <c r="F911" s="28"/>
      <c r="G911" s="28"/>
    </row>
    <row r="912" spans="6:7" ht="13">
      <c r="F912" s="28"/>
      <c r="G912" s="28"/>
    </row>
    <row r="913" spans="6:7" ht="13">
      <c r="F913" s="28"/>
      <c r="G913" s="28"/>
    </row>
    <row r="914" spans="6:7" ht="13">
      <c r="F914" s="28"/>
      <c r="G914" s="28"/>
    </row>
    <row r="915" spans="6:7" ht="13">
      <c r="F915" s="28"/>
      <c r="G915" s="28"/>
    </row>
    <row r="916" spans="6:7" ht="13">
      <c r="F916" s="28"/>
      <c r="G916" s="28"/>
    </row>
    <row r="917" spans="6:7" ht="13">
      <c r="F917" s="28"/>
      <c r="G917" s="28"/>
    </row>
    <row r="918" spans="6:7" ht="13">
      <c r="F918" s="28"/>
      <c r="G918" s="28"/>
    </row>
    <row r="919" spans="6:7" ht="13">
      <c r="F919" s="28"/>
      <c r="G919" s="28"/>
    </row>
    <row r="920" spans="6:7" ht="13">
      <c r="F920" s="28"/>
      <c r="G920" s="28"/>
    </row>
    <row r="921" spans="6:7" ht="13">
      <c r="F921" s="28"/>
      <c r="G921" s="28"/>
    </row>
    <row r="922" spans="6:7" ht="13">
      <c r="F922" s="28"/>
      <c r="G922" s="28"/>
    </row>
    <row r="923" spans="6:7" ht="13">
      <c r="F923" s="28"/>
      <c r="G923" s="28"/>
    </row>
    <row r="924" spans="6:7" ht="13">
      <c r="F924" s="28"/>
      <c r="G924" s="28"/>
    </row>
    <row r="925" spans="6:7" ht="13">
      <c r="F925" s="28"/>
      <c r="G925" s="28"/>
    </row>
    <row r="926" spans="6:7" ht="13">
      <c r="F926" s="28"/>
      <c r="G926" s="28"/>
    </row>
    <row r="927" spans="6:7" ht="13">
      <c r="F927" s="28"/>
      <c r="G927" s="28"/>
    </row>
    <row r="928" spans="6:7" ht="13">
      <c r="F928" s="28"/>
      <c r="G928" s="28"/>
    </row>
    <row r="929" spans="6:7" ht="13">
      <c r="F929" s="28"/>
      <c r="G929" s="28"/>
    </row>
    <row r="930" spans="6:7" ht="13">
      <c r="F930" s="28"/>
      <c r="G930" s="28"/>
    </row>
    <row r="931" spans="6:7" ht="13">
      <c r="F931" s="28"/>
      <c r="G931" s="28"/>
    </row>
    <row r="932" spans="6:7" ht="13">
      <c r="F932" s="28"/>
      <c r="G932" s="28"/>
    </row>
    <row r="933" spans="6:7" ht="13">
      <c r="F933" s="28"/>
      <c r="G933" s="28"/>
    </row>
    <row r="934" spans="6:7" ht="13">
      <c r="F934" s="28"/>
      <c r="G934" s="28"/>
    </row>
    <row r="935" spans="6:7" ht="13">
      <c r="F935" s="28"/>
      <c r="G935" s="28"/>
    </row>
    <row r="936" spans="6:7" ht="13">
      <c r="F936" s="28"/>
      <c r="G936" s="28"/>
    </row>
    <row r="937" spans="6:7" ht="13">
      <c r="F937" s="28"/>
      <c r="G937" s="28"/>
    </row>
    <row r="938" spans="6:7" ht="13">
      <c r="F938" s="28"/>
      <c r="G938" s="28"/>
    </row>
    <row r="939" spans="6:7" ht="13">
      <c r="F939" s="28"/>
      <c r="G939" s="28"/>
    </row>
    <row r="940" spans="6:7" ht="13">
      <c r="F940" s="28"/>
      <c r="G940" s="28"/>
    </row>
    <row r="941" spans="6:7" ht="13">
      <c r="F941" s="28"/>
      <c r="G941" s="28"/>
    </row>
    <row r="942" spans="6:7" ht="13">
      <c r="F942" s="28"/>
      <c r="G942" s="28"/>
    </row>
    <row r="943" spans="6:7" ht="13">
      <c r="F943" s="28"/>
      <c r="G943" s="28"/>
    </row>
    <row r="944" spans="6:7" ht="13">
      <c r="F944" s="28"/>
      <c r="G944" s="28"/>
    </row>
    <row r="945" spans="6:7" ht="13">
      <c r="F945" s="28"/>
      <c r="G945" s="28"/>
    </row>
    <row r="946" spans="6:7" ht="13">
      <c r="F946" s="28"/>
      <c r="G946" s="28"/>
    </row>
    <row r="947" spans="6:7" ht="13">
      <c r="F947" s="28"/>
      <c r="G947" s="28"/>
    </row>
    <row r="948" spans="6:7" ht="13">
      <c r="F948" s="28"/>
      <c r="G948" s="28"/>
    </row>
    <row r="949" spans="6:7" ht="13">
      <c r="F949" s="28"/>
      <c r="G949" s="28"/>
    </row>
    <row r="950" spans="6:7" ht="13">
      <c r="F950" s="28"/>
      <c r="G950" s="28"/>
    </row>
    <row r="951" spans="6:7" ht="13">
      <c r="F951" s="28"/>
      <c r="G951" s="28"/>
    </row>
    <row r="952" spans="6:7" ht="13">
      <c r="F952" s="28"/>
      <c r="G952" s="28"/>
    </row>
    <row r="953" spans="6:7" ht="13">
      <c r="F953" s="28"/>
      <c r="G953" s="28"/>
    </row>
    <row r="954" spans="6:7" ht="13">
      <c r="F954" s="28"/>
      <c r="G954" s="28"/>
    </row>
    <row r="955" spans="6:7" ht="13">
      <c r="F955" s="28"/>
      <c r="G955" s="28"/>
    </row>
    <row r="956" spans="6:7" ht="13">
      <c r="F956" s="28"/>
      <c r="G956" s="28"/>
    </row>
    <row r="957" spans="6:7" ht="13">
      <c r="F957" s="28"/>
      <c r="G957" s="28"/>
    </row>
    <row r="958" spans="6:7" ht="13">
      <c r="F958" s="28"/>
      <c r="G958" s="28"/>
    </row>
    <row r="959" spans="6:7" ht="13">
      <c r="F959" s="28"/>
      <c r="G959" s="28"/>
    </row>
    <row r="960" spans="6:7" ht="13">
      <c r="F960" s="28"/>
      <c r="G960" s="28"/>
    </row>
    <row r="961" spans="6:7" ht="13">
      <c r="F961" s="28"/>
      <c r="G961" s="28"/>
    </row>
    <row r="962" spans="6:7" ht="13">
      <c r="F962" s="28"/>
      <c r="G962" s="28"/>
    </row>
    <row r="963" spans="6:7" ht="13">
      <c r="F963" s="28"/>
      <c r="G963" s="28"/>
    </row>
    <row r="964" spans="6:7" ht="13">
      <c r="F964" s="28"/>
      <c r="G964" s="28"/>
    </row>
    <row r="965" spans="6:7" ht="13">
      <c r="F965" s="28"/>
      <c r="G965" s="28"/>
    </row>
    <row r="966" spans="6:7" ht="13">
      <c r="F966" s="28"/>
      <c r="G966" s="28"/>
    </row>
    <row r="967" spans="6:7" ht="13">
      <c r="F967" s="28"/>
      <c r="G967" s="28"/>
    </row>
    <row r="968" spans="6:7" ht="13">
      <c r="F968" s="28"/>
      <c r="G968" s="28"/>
    </row>
    <row r="969" spans="6:7" ht="13">
      <c r="F969" s="28"/>
      <c r="G969" s="28"/>
    </row>
    <row r="970" spans="6:7" ht="13">
      <c r="F970" s="28"/>
      <c r="G970" s="28"/>
    </row>
    <row r="971" spans="6:7" ht="13">
      <c r="F971" s="28"/>
      <c r="G971" s="28"/>
    </row>
    <row r="972" spans="6:7" ht="13">
      <c r="F972" s="28"/>
      <c r="G972" s="28"/>
    </row>
    <row r="973" spans="6:7" ht="13">
      <c r="F973" s="28"/>
      <c r="G973" s="28"/>
    </row>
    <row r="974" spans="6:7" ht="13">
      <c r="F974" s="28"/>
      <c r="G974" s="28"/>
    </row>
    <row r="975" spans="6:7" ht="13">
      <c r="F975" s="28"/>
      <c r="G975" s="28"/>
    </row>
    <row r="976" spans="6:7" ht="13">
      <c r="F976" s="28"/>
      <c r="G976" s="28"/>
    </row>
    <row r="977" spans="6:23" ht="13">
      <c r="F977" s="28"/>
      <c r="G977" s="28"/>
    </row>
    <row r="978" spans="6:23" ht="13">
      <c r="F978" s="28"/>
      <c r="G978" s="28"/>
    </row>
    <row r="979" spans="6:23" ht="13">
      <c r="F979" s="28"/>
      <c r="G979" s="28"/>
    </row>
    <row r="980" spans="6:23" ht="13">
      <c r="F980" s="28"/>
      <c r="G980" s="28"/>
    </row>
    <row r="981" spans="6:23" ht="13">
      <c r="F981" s="28"/>
      <c r="G981" s="28"/>
    </row>
    <row r="982" spans="6:23" ht="13">
      <c r="F982" s="28"/>
      <c r="G982" s="28"/>
    </row>
    <row r="983" spans="6:23" ht="13">
      <c r="F983" s="28"/>
      <c r="G983" s="28"/>
    </row>
    <row r="984" spans="6:23" ht="13">
      <c r="F984" s="28"/>
      <c r="G984" s="28"/>
    </row>
    <row r="985" spans="6:23" ht="13">
      <c r="F985" s="28"/>
      <c r="G985" s="28"/>
    </row>
    <row r="986" spans="6:23" ht="13">
      <c r="F986" s="28"/>
      <c r="G986" s="28"/>
    </row>
    <row r="987" spans="6:23" ht="13">
      <c r="F987" s="28"/>
      <c r="G987" s="28"/>
    </row>
    <row r="988" spans="6:23" ht="13">
      <c r="F988" s="28"/>
      <c r="G988" s="28"/>
    </row>
    <row r="989" spans="6:23" ht="13">
      <c r="F989" s="28"/>
      <c r="G989" s="28"/>
    </row>
    <row r="990" spans="6:23" ht="13">
      <c r="F990" s="28"/>
      <c r="G990" s="28"/>
    </row>
    <row r="991" spans="6:23" ht="13">
      <c r="F991" s="28"/>
      <c r="G991" s="28"/>
    </row>
    <row r="992" spans="6:23" ht="14.5">
      <c r="F992" s="28"/>
      <c r="G992" s="28"/>
      <c r="W992" s="29" t="s">
        <v>32</v>
      </c>
    </row>
    <row r="993" spans="6:23" ht="13">
      <c r="F993" s="28"/>
      <c r="G993" s="28"/>
      <c r="W993" s="22" t="s">
        <v>33</v>
      </c>
    </row>
  </sheetData>
  <autoFilter ref="A1:U86" xr:uid="{00000000-0009-0000-0000-000009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Task!$B$2:$B$60</xm:f>
          </x14:formula1>
          <xm:sqref>B2:B206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2035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/>
  <cols>
    <col min="1" max="1" width="10.453125" bestFit="1" customWidth="1"/>
    <col min="2" max="2" width="39.90625" customWidth="1"/>
    <col min="3" max="3" width="12.7265625" bestFit="1" customWidth="1"/>
    <col min="4" max="5" width="7" customWidth="1"/>
    <col min="6" max="6" width="8.90625" customWidth="1"/>
    <col min="7" max="7" width="8" customWidth="1"/>
    <col min="8" max="8" width="14.7265625" customWidth="1"/>
    <col min="9" max="9" width="13.26953125" customWidth="1"/>
    <col min="10" max="10" width="7.6328125" customWidth="1"/>
    <col min="11" max="11" width="8.26953125" customWidth="1"/>
    <col min="12" max="12" width="7.36328125" customWidth="1"/>
    <col min="13" max="13" width="5.7265625" customWidth="1"/>
    <col min="14" max="14" width="10.26953125" customWidth="1"/>
    <col min="15" max="15" width="7.453125" customWidth="1"/>
    <col min="16" max="16" width="10.6328125" customWidth="1"/>
    <col min="17" max="18" width="8.08984375" customWidth="1"/>
    <col min="19" max="19" width="8.90625" customWidth="1"/>
    <col min="20" max="20" width="11" customWidth="1"/>
    <col min="21" max="21" width="7.453125" customWidth="1"/>
    <col min="23" max="23" width="13.6328125" customWidth="1"/>
  </cols>
  <sheetData>
    <row r="1" spans="1:21" ht="15.75" customHeight="1">
      <c r="A1" s="45" t="s">
        <v>0</v>
      </c>
      <c r="B1" s="46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>
        <v>0.1875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45384</v>
      </c>
      <c r="B2" s="47" t="s">
        <v>42</v>
      </c>
      <c r="C2" s="7">
        <v>1</v>
      </c>
      <c r="D2" s="8">
        <v>6.9444444444444441E-3</v>
      </c>
      <c r="E2" s="8">
        <f t="shared" ref="E2:E833" si="0">IFERROR(D2*C2," ")</f>
        <v>6.9444444444444441E-3</v>
      </c>
      <c r="F2" s="10">
        <v>0.37540509259259258</v>
      </c>
      <c r="G2" s="10">
        <v>0.3818171296296296</v>
      </c>
      <c r="H2" s="8">
        <f t="shared" ref="H2:H95" si="1">IF(L2=" ",IF(OR(F2=0,G2=0)," ",G2-F2),((G2-F2)-L2))</f>
        <v>6.4120370370370217E-3</v>
      </c>
      <c r="I2" s="11">
        <f t="shared" ref="I2:I833" si="2">IFERROR(IF(L2=" ",(F2+E2),(F2+E2+L2)),"")</f>
        <v>0.382349537037037</v>
      </c>
      <c r="J2" s="8"/>
      <c r="K2" s="8"/>
      <c r="L2" s="8" t="str">
        <f t="shared" ref="L2:L18" si="3">IF(OR(J2=0,K2=0)," ",K2-J2)</f>
        <v xml:space="preserve"> </v>
      </c>
      <c r="M2" s="12"/>
      <c r="N2" s="13">
        <f t="shared" ref="N2:N833" si="4">IFERROR(E2/H2," ")</f>
        <v>1.0830324909747318</v>
      </c>
      <c r="O2" s="8">
        <v>0.64945601851851853</v>
      </c>
      <c r="P2" s="14">
        <f ca="1">IFERROR(__xludf.DUMMYFUNCTION("UNIQUE($A$2:$A$1036)"),45384)</f>
        <v>45384</v>
      </c>
      <c r="Q2" s="15">
        <f ca="1">SUMIF($A:$A,$P2,$E:$E)</f>
        <v>0.38819444444444445</v>
      </c>
      <c r="R2" s="15">
        <f ca="1">SUMIF($A:$A,$P2,$H:$H)</f>
        <v>0.35534722222222226</v>
      </c>
      <c r="S2" s="15" t="str">
        <f ca="1">IF(R2&gt;=$U$1,"00:00:00",U1-R2)</f>
        <v>00:00:00</v>
      </c>
      <c r="T2" s="16">
        <f t="shared" ref="T2:T175" ca="1" si="5">IFERROR(AVERAGEIF($A:$A,$P2,$N:$N)," ")</f>
        <v>1.0866068599105043</v>
      </c>
      <c r="U2" s="33"/>
    </row>
    <row r="3" spans="1:21" ht="15.75" customHeight="1">
      <c r="A3" s="6">
        <v>45384</v>
      </c>
      <c r="B3" s="47" t="s">
        <v>43</v>
      </c>
      <c r="C3" s="7">
        <v>1</v>
      </c>
      <c r="D3" s="8">
        <v>3.4722222222222224E-2</v>
      </c>
      <c r="E3" s="8">
        <f t="shared" si="0"/>
        <v>3.4722222222222224E-2</v>
      </c>
      <c r="F3" s="10">
        <v>0.3818171296296296</v>
      </c>
      <c r="G3" s="10">
        <v>0.41568287037037038</v>
      </c>
      <c r="H3" s="8">
        <f t="shared" si="1"/>
        <v>3.386574074074078E-2</v>
      </c>
      <c r="I3" s="11">
        <f t="shared" si="2"/>
        <v>0.41653935185185181</v>
      </c>
      <c r="J3" s="8"/>
      <c r="K3" s="8"/>
      <c r="L3" s="8" t="str">
        <f t="shared" si="3"/>
        <v xml:space="preserve"> </v>
      </c>
      <c r="M3" s="12"/>
      <c r="N3" s="13">
        <f t="shared" si="4"/>
        <v>1.0252904989747085</v>
      </c>
      <c r="O3" s="8">
        <f>O2-O1</f>
        <v>0.46195601851851853</v>
      </c>
      <c r="P3" s="14">
        <f ca="1">IFERROR(__xludf.DUMMYFUNCTION("""COMPUTED_VALUE"""),45385)</f>
        <v>45385</v>
      </c>
      <c r="Q3" s="15">
        <f t="shared" ref="Q3:Q175" ca="1" si="6">IF(SUMIF($A:$A,$P3,$E:$E)=0,"",SUMIF($A:$A,$P3,$E:$E))</f>
        <v>0.15347222222222223</v>
      </c>
      <c r="R3" s="15">
        <f t="shared" ref="R3:R175" ca="1" si="7">IF(SUMIF($A:$A,$P3,$H:$H)=0,"",SUMIF($A:$A,$P3,$H:$H))</f>
        <v>0.14928240740740745</v>
      </c>
      <c r="S3" s="15">
        <f t="shared" ref="S3:S175" ca="1" si="8">IF(R3=""," ",$U$1-R3)</f>
        <v>0.18405092592592587</v>
      </c>
      <c r="T3" s="16">
        <f t="shared" ca="1" si="5"/>
        <v>1.0480813589493958</v>
      </c>
    </row>
    <row r="4" spans="1:21" ht="15.75" customHeight="1">
      <c r="A4" s="6">
        <v>45384</v>
      </c>
      <c r="B4" s="47" t="s">
        <v>63</v>
      </c>
      <c r="C4" s="7">
        <v>1</v>
      </c>
      <c r="D4" s="8">
        <v>3.4722222222222224E-2</v>
      </c>
      <c r="E4" s="8">
        <f t="shared" si="0"/>
        <v>3.4722222222222224E-2</v>
      </c>
      <c r="F4" s="10">
        <v>0.41568287037037038</v>
      </c>
      <c r="G4" s="10">
        <v>0.44996527777777778</v>
      </c>
      <c r="H4" s="8">
        <f t="shared" si="1"/>
        <v>3.42824074074074E-2</v>
      </c>
      <c r="I4" s="11">
        <f t="shared" si="2"/>
        <v>0.45040509259259259</v>
      </c>
      <c r="J4" s="8"/>
      <c r="K4" s="8"/>
      <c r="L4" s="8" t="str">
        <f t="shared" si="3"/>
        <v xml:space="preserve"> </v>
      </c>
      <c r="M4" s="12"/>
      <c r="N4" s="13">
        <f t="shared" si="4"/>
        <v>1.0128291694800813</v>
      </c>
      <c r="P4" s="14">
        <f ca="1">IFERROR(__xludf.DUMMYFUNCTION("""COMPUTED_VALUE"""),45390)</f>
        <v>45390</v>
      </c>
      <c r="Q4" s="15">
        <f t="shared" ca="1" si="6"/>
        <v>0.2673611111111111</v>
      </c>
      <c r="R4" s="15">
        <f t="shared" ca="1" si="7"/>
        <v>0.21432870370370372</v>
      </c>
      <c r="S4" s="15">
        <f t="shared" ca="1" si="8"/>
        <v>0.1190046296296296</v>
      </c>
      <c r="T4" s="16">
        <f t="shared" ca="1" si="5"/>
        <v>1.1542377362090894</v>
      </c>
    </row>
    <row r="5" spans="1:21" ht="15.75" customHeight="1">
      <c r="A5" s="6">
        <v>45384</v>
      </c>
      <c r="B5" s="47" t="s">
        <v>85</v>
      </c>
      <c r="C5" s="7">
        <v>1</v>
      </c>
      <c r="D5" s="8">
        <v>8.3333333333333329E-2</v>
      </c>
      <c r="E5" s="8">
        <f t="shared" si="0"/>
        <v>8.3333333333333329E-2</v>
      </c>
      <c r="F5" s="10">
        <v>0.44996527777777778</v>
      </c>
      <c r="G5" s="10">
        <v>0.53101851851851856</v>
      </c>
      <c r="H5" s="8">
        <f t="shared" si="1"/>
        <v>8.1053240740740773E-2</v>
      </c>
      <c r="I5" s="11">
        <f t="shared" si="2"/>
        <v>0.5332986111111111</v>
      </c>
      <c r="J5" s="8"/>
      <c r="K5" s="8"/>
      <c r="L5" s="8" t="str">
        <f t="shared" si="3"/>
        <v xml:space="preserve"> </v>
      </c>
      <c r="M5" s="12"/>
      <c r="N5" s="13">
        <f t="shared" si="4"/>
        <v>1.0281308010852488</v>
      </c>
      <c r="P5" s="14">
        <f ca="1">IFERROR(__xludf.DUMMYFUNCTION("""COMPUTED_VALUE"""),45391)</f>
        <v>45391</v>
      </c>
      <c r="Q5" s="15">
        <f t="shared" ca="1" si="6"/>
        <v>9.2708333333333323E-2</v>
      </c>
      <c r="R5" s="15">
        <f t="shared" ca="1" si="7"/>
        <v>8.6979166666666691E-2</v>
      </c>
      <c r="S5" s="15">
        <f t="shared" ca="1" si="8"/>
        <v>0.24635416666666662</v>
      </c>
      <c r="T5" s="16">
        <f t="shared" ca="1" si="5"/>
        <v>1.060309512041153</v>
      </c>
    </row>
    <row r="6" spans="1:21" ht="15.75" customHeight="1">
      <c r="A6" s="6">
        <v>45384</v>
      </c>
      <c r="B6" s="47" t="s">
        <v>44</v>
      </c>
      <c r="C6" s="7">
        <v>5</v>
      </c>
      <c r="D6" s="8">
        <v>3.472222222222222E-3</v>
      </c>
      <c r="E6" s="8">
        <f t="shared" si="0"/>
        <v>1.7361111111111112E-2</v>
      </c>
      <c r="F6" s="10">
        <v>0.53101851851851856</v>
      </c>
      <c r="G6" s="10">
        <v>0.54776620370370366</v>
      </c>
      <c r="H6" s="8">
        <f t="shared" si="1"/>
        <v>1.6747685185185102E-2</v>
      </c>
      <c r="I6" s="11">
        <f t="shared" si="2"/>
        <v>0.54837962962962972</v>
      </c>
      <c r="J6" s="8"/>
      <c r="K6" s="8"/>
      <c r="L6" s="8" t="str">
        <f t="shared" si="3"/>
        <v xml:space="preserve"> </v>
      </c>
      <c r="M6" s="12"/>
      <c r="N6" s="13">
        <f t="shared" si="4"/>
        <v>1.0366275051831428</v>
      </c>
      <c r="P6" s="14">
        <f ca="1">IFERROR(__xludf.DUMMYFUNCTION("""COMPUTED_VALUE"""),45394)</f>
        <v>45394</v>
      </c>
      <c r="Q6" s="15">
        <f t="shared" ca="1" si="6"/>
        <v>0.31597222222222221</v>
      </c>
      <c r="R6" s="15">
        <f t="shared" ca="1" si="7"/>
        <v>0.30584490740740744</v>
      </c>
      <c r="S6" s="15">
        <f t="shared" ca="1" si="8"/>
        <v>2.7488425925925875E-2</v>
      </c>
      <c r="T6" s="16">
        <f t="shared" ca="1" si="5"/>
        <v>1.0643237395416665</v>
      </c>
    </row>
    <row r="7" spans="1:21" ht="15.75" customHeight="1">
      <c r="A7" s="6">
        <v>45384</v>
      </c>
      <c r="B7" s="47" t="s">
        <v>102</v>
      </c>
      <c r="C7" s="7">
        <v>1</v>
      </c>
      <c r="D7" s="8">
        <v>6.25E-2</v>
      </c>
      <c r="E7" s="8">
        <f t="shared" si="0"/>
        <v>6.25E-2</v>
      </c>
      <c r="F7" s="10">
        <v>0.54776620370370366</v>
      </c>
      <c r="G7" s="10">
        <v>0.63383101851851853</v>
      </c>
      <c r="H7" s="8">
        <f t="shared" si="1"/>
        <v>4.52893518518519E-2</v>
      </c>
      <c r="I7" s="11">
        <f t="shared" si="2"/>
        <v>0.65104166666666663</v>
      </c>
      <c r="J7" s="8">
        <v>0.59122685185185186</v>
      </c>
      <c r="K7" s="8">
        <v>0.63200231481481484</v>
      </c>
      <c r="L7" s="8">
        <f t="shared" si="3"/>
        <v>4.0775462962962972E-2</v>
      </c>
      <c r="M7" s="12"/>
      <c r="N7" s="13">
        <f t="shared" si="4"/>
        <v>1.3800153335037042</v>
      </c>
      <c r="P7" s="14">
        <f ca="1">IFERROR(__xludf.DUMMYFUNCTION("""COMPUTED_VALUE"""),45397)</f>
        <v>45397</v>
      </c>
      <c r="Q7" s="15">
        <f t="shared" ca="1" si="6"/>
        <v>0.37847222222222221</v>
      </c>
      <c r="R7" s="15">
        <f t="shared" ca="1" si="7"/>
        <v>0.34504629629629624</v>
      </c>
      <c r="S7" s="15">
        <f t="shared" ca="1" si="8"/>
        <v>-1.1712962962962925E-2</v>
      </c>
      <c r="T7" s="16">
        <f t="shared" ca="1" si="5"/>
        <v>1.1105454554505074</v>
      </c>
    </row>
    <row r="8" spans="1:21" ht="15.75" customHeight="1">
      <c r="A8" s="32">
        <v>45384</v>
      </c>
      <c r="B8" s="47" t="s">
        <v>57</v>
      </c>
      <c r="C8" s="7">
        <v>16</v>
      </c>
      <c r="D8" s="8">
        <v>2.7777777777777779E-3</v>
      </c>
      <c r="E8" s="8">
        <f t="shared" si="0"/>
        <v>4.4444444444444446E-2</v>
      </c>
      <c r="F8" s="10">
        <v>0.63383101851851853</v>
      </c>
      <c r="G8" s="10">
        <v>0.67738425925925927</v>
      </c>
      <c r="H8" s="8">
        <f t="shared" si="1"/>
        <v>4.355324074074074E-2</v>
      </c>
      <c r="I8" s="11">
        <f t="shared" si="2"/>
        <v>0.67827546296296293</v>
      </c>
      <c r="J8" s="8"/>
      <c r="K8" s="8"/>
      <c r="L8" s="8" t="str">
        <f t="shared" si="3"/>
        <v xml:space="preserve"> </v>
      </c>
      <c r="M8" s="12"/>
      <c r="N8" s="13">
        <f t="shared" si="4"/>
        <v>1.0204623970236515</v>
      </c>
      <c r="P8" s="14">
        <f ca="1">IFERROR(__xludf.DUMMYFUNCTION("""COMPUTED_VALUE"""),45398)</f>
        <v>45398</v>
      </c>
      <c r="Q8" s="15">
        <f t="shared" ca="1" si="6"/>
        <v>0.32430555555555551</v>
      </c>
      <c r="R8" s="15">
        <f t="shared" ca="1" si="7"/>
        <v>0.31326388888888884</v>
      </c>
      <c r="S8" s="15">
        <f t="shared" ca="1" si="8"/>
        <v>2.0069444444444473E-2</v>
      </c>
      <c r="T8" s="16">
        <f t="shared" ca="1" si="5"/>
        <v>1.0511742550829939</v>
      </c>
    </row>
    <row r="9" spans="1:21" ht="15.75" customHeight="1">
      <c r="A9" s="32">
        <v>45384</v>
      </c>
      <c r="B9" s="47" t="s">
        <v>29</v>
      </c>
      <c r="C9" s="7">
        <v>50</v>
      </c>
      <c r="D9" s="8">
        <v>2.0833333333333333E-3</v>
      </c>
      <c r="E9" s="8">
        <f t="shared" si="0"/>
        <v>0.10416666666666667</v>
      </c>
      <c r="F9" s="10">
        <v>0.67738425925925927</v>
      </c>
      <c r="G9" s="10">
        <v>0.77152777777777781</v>
      </c>
      <c r="H9" s="8">
        <f t="shared" si="1"/>
        <v>9.4143518518518543E-2</v>
      </c>
      <c r="I9" s="11">
        <f t="shared" si="2"/>
        <v>0.7815509259259259</v>
      </c>
      <c r="J9" s="8"/>
      <c r="K9" s="8"/>
      <c r="L9" s="8" t="str">
        <f t="shared" si="3"/>
        <v xml:space="preserve"> </v>
      </c>
      <c r="M9" s="12"/>
      <c r="N9" s="13">
        <f t="shared" si="4"/>
        <v>1.1064666830587655</v>
      </c>
      <c r="P9" s="14">
        <f ca="1">IFERROR(__xludf.DUMMYFUNCTION("""COMPUTED_VALUE"""),45399)</f>
        <v>45399</v>
      </c>
      <c r="Q9" s="15">
        <f t="shared" ca="1" si="6"/>
        <v>0.16527777777777777</v>
      </c>
      <c r="R9" s="15">
        <f t="shared" ca="1" si="7"/>
        <v>0.15806712962962965</v>
      </c>
      <c r="S9" s="15">
        <f t="shared" ca="1" si="8"/>
        <v>0.17526620370370366</v>
      </c>
      <c r="T9" s="16">
        <f t="shared" ca="1" si="5"/>
        <v>1.0535084877324277</v>
      </c>
    </row>
    <row r="10" spans="1:21" ht="15.75" customHeight="1">
      <c r="A10" s="32">
        <v>45385</v>
      </c>
      <c r="B10" s="47" t="s">
        <v>29</v>
      </c>
      <c r="C10" s="7">
        <v>17</v>
      </c>
      <c r="D10" s="8">
        <v>2.0833333333333333E-3</v>
      </c>
      <c r="E10" s="8">
        <f t="shared" si="0"/>
        <v>3.5416666666666666E-2</v>
      </c>
      <c r="F10" s="10">
        <v>0.37429398148148146</v>
      </c>
      <c r="G10" s="10">
        <v>0.4087615740740741</v>
      </c>
      <c r="H10" s="8">
        <f t="shared" si="1"/>
        <v>3.4467592592592633E-2</v>
      </c>
      <c r="I10" s="11">
        <f t="shared" si="2"/>
        <v>0.40971064814814812</v>
      </c>
      <c r="J10" s="8"/>
      <c r="K10" s="8"/>
      <c r="L10" s="8" t="str">
        <f t="shared" si="3"/>
        <v xml:space="preserve"> </v>
      </c>
      <c r="M10" s="12"/>
      <c r="N10" s="13">
        <f t="shared" si="4"/>
        <v>1.0275352585627926</v>
      </c>
      <c r="P10" s="14">
        <f ca="1">IFERROR(__xludf.DUMMYFUNCTION("""COMPUTED_VALUE"""),45400)</f>
        <v>45400</v>
      </c>
      <c r="Q10" s="15">
        <f t="shared" ca="1" si="6"/>
        <v>0.19583333333333333</v>
      </c>
      <c r="R10" s="15">
        <f t="shared" ca="1" si="7"/>
        <v>0.19547453703703702</v>
      </c>
      <c r="S10" s="15">
        <f t="shared" ca="1" si="8"/>
        <v>0.1378587962962963</v>
      </c>
      <c r="T10" s="16">
        <f t="shared" ca="1" si="5"/>
        <v>1.0569763257425768</v>
      </c>
    </row>
    <row r="11" spans="1:21" ht="15.75" customHeight="1">
      <c r="A11" s="32">
        <v>45385</v>
      </c>
      <c r="B11" s="47" t="s">
        <v>104</v>
      </c>
      <c r="C11" s="7">
        <v>1</v>
      </c>
      <c r="D11" s="8">
        <v>3.4722222222222224E-2</v>
      </c>
      <c r="E11" s="8">
        <f t="shared" si="0"/>
        <v>3.4722222222222224E-2</v>
      </c>
      <c r="F11" s="10">
        <v>0.4087615740740741</v>
      </c>
      <c r="G11" s="10">
        <v>0.44155092592592593</v>
      </c>
      <c r="H11" s="8">
        <f t="shared" si="1"/>
        <v>3.2789351851851833E-2</v>
      </c>
      <c r="I11" s="11">
        <f t="shared" si="2"/>
        <v>0.44348379629629631</v>
      </c>
      <c r="J11" s="8"/>
      <c r="K11" s="8"/>
      <c r="L11" s="8" t="str">
        <f t="shared" si="3"/>
        <v xml:space="preserve"> </v>
      </c>
      <c r="M11" s="12"/>
      <c r="N11" s="13">
        <f t="shared" si="4"/>
        <v>1.058948111542535</v>
      </c>
      <c r="O11" s="4"/>
      <c r="P11" s="14">
        <f ca="1">IFERROR(__xludf.DUMMYFUNCTION("""COMPUTED_VALUE"""),45401)</f>
        <v>45401</v>
      </c>
      <c r="Q11" s="15">
        <f t="shared" ca="1" si="6"/>
        <v>0.21180555555555552</v>
      </c>
      <c r="R11" s="15">
        <f t="shared" ca="1" si="7"/>
        <v>0.21061342592592597</v>
      </c>
      <c r="S11" s="15">
        <f t="shared" ca="1" si="8"/>
        <v>0.12271990740740735</v>
      </c>
      <c r="T11" s="16">
        <f t="shared" ca="1" si="5"/>
        <v>1.013501003450741</v>
      </c>
    </row>
    <row r="12" spans="1:21" ht="15.75" customHeight="1">
      <c r="A12" s="32">
        <v>45385</v>
      </c>
      <c r="B12" s="47" t="s">
        <v>105</v>
      </c>
      <c r="C12" s="7">
        <v>8</v>
      </c>
      <c r="D12" s="8">
        <v>1.736111111111111E-3</v>
      </c>
      <c r="E12" s="8">
        <f t="shared" si="0"/>
        <v>1.3888888888888888E-2</v>
      </c>
      <c r="F12" s="10">
        <v>0.44155092592592593</v>
      </c>
      <c r="G12" s="10">
        <v>0.45479166666666665</v>
      </c>
      <c r="H12" s="8">
        <f t="shared" si="1"/>
        <v>1.324074074074072E-2</v>
      </c>
      <c r="I12" s="11">
        <f t="shared" si="2"/>
        <v>0.45543981481481483</v>
      </c>
      <c r="J12" s="8"/>
      <c r="K12" s="8"/>
      <c r="L12" s="8" t="str">
        <f t="shared" si="3"/>
        <v xml:space="preserve"> </v>
      </c>
      <c r="M12" s="12"/>
      <c r="N12" s="13">
        <f t="shared" si="4"/>
        <v>1.0489510489510505</v>
      </c>
      <c r="P12" s="14">
        <f ca="1">IFERROR(__xludf.DUMMYFUNCTION("""COMPUTED_VALUE"""),45404)</f>
        <v>45404</v>
      </c>
      <c r="Q12" s="15">
        <f t="shared" ca="1" si="6"/>
        <v>0.25694444444444442</v>
      </c>
      <c r="R12" s="15">
        <f t="shared" ca="1" si="7"/>
        <v>0.24163194444444439</v>
      </c>
      <c r="S12" s="15">
        <f t="shared" ca="1" si="8"/>
        <v>9.1701388888888929E-2</v>
      </c>
      <c r="T12" s="16">
        <f t="shared" ca="1" si="5"/>
        <v>1.0504022959588901</v>
      </c>
    </row>
    <row r="13" spans="1:21" ht="15.75" customHeight="1">
      <c r="A13" s="32">
        <v>45385</v>
      </c>
      <c r="B13" s="47" t="s">
        <v>44</v>
      </c>
      <c r="C13" s="7">
        <v>2</v>
      </c>
      <c r="D13" s="8">
        <v>3.472222222222222E-3</v>
      </c>
      <c r="E13" s="8">
        <f t="shared" si="0"/>
        <v>6.9444444444444441E-3</v>
      </c>
      <c r="F13" s="10">
        <v>0.45479166666666665</v>
      </c>
      <c r="G13" s="10">
        <v>0.46107638888888891</v>
      </c>
      <c r="H13" s="8">
        <f t="shared" si="1"/>
        <v>6.284722222222261E-3</v>
      </c>
      <c r="I13" s="11">
        <f t="shared" si="2"/>
        <v>0.46173611111111107</v>
      </c>
      <c r="J13" s="8"/>
      <c r="K13" s="8"/>
      <c r="L13" s="8" t="str">
        <f t="shared" si="3"/>
        <v xml:space="preserve"> </v>
      </c>
      <c r="M13" s="12"/>
      <c r="N13" s="13">
        <f t="shared" si="4"/>
        <v>1.1049723756906009</v>
      </c>
      <c r="O13" s="4"/>
      <c r="P13" s="14">
        <f ca="1">IFERROR(__xludf.DUMMYFUNCTION("""COMPUTED_VALUE"""),45405)</f>
        <v>45405</v>
      </c>
      <c r="Q13" s="15">
        <f t="shared" ca="1" si="6"/>
        <v>0.24791666666666665</v>
      </c>
      <c r="R13" s="15">
        <f t="shared" ca="1" si="7"/>
        <v>0.24630787037037027</v>
      </c>
      <c r="S13" s="15">
        <f t="shared" ca="1" si="8"/>
        <v>8.7025462962963041E-2</v>
      </c>
      <c r="T13" s="16">
        <f t="shared" ca="1" si="5"/>
        <v>1.0187745182238419</v>
      </c>
    </row>
    <row r="14" spans="1:21" ht="15.75" customHeight="1">
      <c r="A14" s="32">
        <v>45385</v>
      </c>
      <c r="B14" s="47" t="s">
        <v>106</v>
      </c>
      <c r="C14" s="7">
        <v>30</v>
      </c>
      <c r="D14" s="8">
        <v>2.0833333333333333E-3</v>
      </c>
      <c r="E14" s="8">
        <f t="shared" si="0"/>
        <v>6.25E-2</v>
      </c>
      <c r="F14" s="10">
        <v>0.5795717592592593</v>
      </c>
      <c r="G14" s="10">
        <v>0.68042824074074071</v>
      </c>
      <c r="H14" s="8">
        <f t="shared" si="1"/>
        <v>6.25E-2</v>
      </c>
      <c r="I14" s="11">
        <f t="shared" si="2"/>
        <v>0.68042824074074071</v>
      </c>
      <c r="J14" s="8">
        <v>0.59219907407407413</v>
      </c>
      <c r="K14" s="8">
        <v>0.63055555555555554</v>
      </c>
      <c r="L14" s="8">
        <f t="shared" si="3"/>
        <v>3.8356481481481408E-2</v>
      </c>
      <c r="M14" s="12"/>
      <c r="N14" s="13">
        <f t="shared" si="4"/>
        <v>1</v>
      </c>
      <c r="O14" s="4"/>
      <c r="P14" s="14">
        <f ca="1">IFERROR(__xludf.DUMMYFUNCTION("""COMPUTED_VALUE"""),45406)</f>
        <v>45406</v>
      </c>
      <c r="Q14" s="15">
        <f t="shared" ca="1" si="6"/>
        <v>0.16527777777777777</v>
      </c>
      <c r="R14" s="15">
        <f t="shared" ca="1" si="7"/>
        <v>0.16825231481481467</v>
      </c>
      <c r="S14" s="15">
        <f t="shared" ca="1" si="8"/>
        <v>0.16508101851851864</v>
      </c>
      <c r="T14" s="16">
        <f t="shared" ca="1" si="5"/>
        <v>1.0024995798769898</v>
      </c>
    </row>
    <row r="15" spans="1:21" ht="15.75" customHeight="1">
      <c r="A15" s="32">
        <v>45390</v>
      </c>
      <c r="B15" s="47" t="s">
        <v>43</v>
      </c>
      <c r="C15" s="7">
        <v>1</v>
      </c>
      <c r="D15" s="8">
        <v>3.4722222222222224E-2</v>
      </c>
      <c r="E15" s="8">
        <f t="shared" si="0"/>
        <v>3.4722222222222224E-2</v>
      </c>
      <c r="F15" s="10">
        <v>0.37924768518518515</v>
      </c>
      <c r="G15" s="10">
        <v>0.41576388888888893</v>
      </c>
      <c r="H15" s="8">
        <f t="shared" si="1"/>
        <v>3.6516203703703787E-2</v>
      </c>
      <c r="I15" s="11">
        <f t="shared" si="2"/>
        <v>0.41396990740740736</v>
      </c>
      <c r="J15" s="8"/>
      <c r="K15" s="8"/>
      <c r="L15" s="8" t="str">
        <f t="shared" si="3"/>
        <v xml:space="preserve"> </v>
      </c>
      <c r="M15" s="12"/>
      <c r="N15" s="13">
        <f t="shared" si="4"/>
        <v>0.95087163232963334</v>
      </c>
      <c r="O15" s="4"/>
      <c r="P15" s="14">
        <f ca="1">IFERROR(__xludf.DUMMYFUNCTION("""COMPUTED_VALUE"""),45408)</f>
        <v>45408</v>
      </c>
      <c r="Q15" s="15">
        <f t="shared" ca="1" si="6"/>
        <v>0.25312499999999999</v>
      </c>
      <c r="R15" s="15">
        <f t="shared" ca="1" si="7"/>
        <v>0.25398148148148147</v>
      </c>
      <c r="S15" s="15">
        <f t="shared" ca="1" si="8"/>
        <v>7.935185185185184E-2</v>
      </c>
      <c r="T15" s="16">
        <f t="shared" ca="1" si="5"/>
        <v>1.0137661112709424</v>
      </c>
    </row>
    <row r="16" spans="1:21" ht="15.75" customHeight="1">
      <c r="A16" s="32">
        <v>45390</v>
      </c>
      <c r="B16" s="47" t="s">
        <v>42</v>
      </c>
      <c r="C16" s="7">
        <v>1</v>
      </c>
      <c r="D16" s="8">
        <v>6.9444444444444441E-3</v>
      </c>
      <c r="E16" s="8">
        <f t="shared" si="0"/>
        <v>6.9444444444444441E-3</v>
      </c>
      <c r="F16" s="10">
        <v>0.41576388888888893</v>
      </c>
      <c r="G16" s="10">
        <v>0.42283564814814817</v>
      </c>
      <c r="H16" s="8">
        <f t="shared" si="1"/>
        <v>7.071759259259236E-3</v>
      </c>
      <c r="I16" s="11">
        <f t="shared" si="2"/>
        <v>0.42270833333333335</v>
      </c>
      <c r="J16" s="8"/>
      <c r="K16" s="8"/>
      <c r="L16" s="8" t="str">
        <f t="shared" si="3"/>
        <v xml:space="preserve"> </v>
      </c>
      <c r="M16" s="12"/>
      <c r="N16" s="13">
        <f t="shared" si="4"/>
        <v>0.98199672667758087</v>
      </c>
      <c r="O16" s="4"/>
      <c r="P16" s="14">
        <f ca="1">IFERROR(__xludf.DUMMYFUNCTION("""COMPUTED_VALUE"""),45411)</f>
        <v>45411</v>
      </c>
      <c r="Q16" s="15">
        <f t="shared" ca="1" si="6"/>
        <v>0.37847222222222227</v>
      </c>
      <c r="R16" s="15">
        <f t="shared" ca="1" si="7"/>
        <v>0.33654938657585909</v>
      </c>
      <c r="S16" s="15">
        <f t="shared" ca="1" si="8"/>
        <v>-3.2160532425257737E-3</v>
      </c>
      <c r="T16" s="16">
        <f t="shared" ca="1" si="5"/>
        <v>1.1085733500888095</v>
      </c>
    </row>
    <row r="17" spans="1:20" ht="15.75" customHeight="1">
      <c r="A17" s="32">
        <v>45390</v>
      </c>
      <c r="B17" s="47" t="s">
        <v>63</v>
      </c>
      <c r="C17" s="7">
        <v>1</v>
      </c>
      <c r="D17" s="8">
        <v>3.4722222222222224E-2</v>
      </c>
      <c r="E17" s="8">
        <f t="shared" si="0"/>
        <v>3.4722222222222224E-2</v>
      </c>
      <c r="F17" s="10">
        <v>0.42283564814814817</v>
      </c>
      <c r="G17" s="10">
        <v>0.45421296296296299</v>
      </c>
      <c r="H17" s="8">
        <f t="shared" si="1"/>
        <v>3.1377314814814816E-2</v>
      </c>
      <c r="I17" s="11">
        <f t="shared" si="2"/>
        <v>0.45755787037037038</v>
      </c>
      <c r="J17" s="8"/>
      <c r="K17" s="8"/>
      <c r="L17" s="8" t="str">
        <f t="shared" si="3"/>
        <v xml:space="preserve"> </v>
      </c>
      <c r="M17" s="12"/>
      <c r="N17" s="13">
        <f t="shared" si="4"/>
        <v>1.1066027296200664</v>
      </c>
      <c r="P17" s="14">
        <f ca="1">IFERROR(__xludf.DUMMYFUNCTION("""COMPUTED_VALUE"""),45412)</f>
        <v>45412</v>
      </c>
      <c r="Q17" s="15">
        <f t="shared" ca="1" si="6"/>
        <v>0.35729166666666667</v>
      </c>
      <c r="R17" s="15">
        <f t="shared" ca="1" si="7"/>
        <v>0.33434027777777775</v>
      </c>
      <c r="S17" s="15">
        <f t="shared" ca="1" si="8"/>
        <v>-1.0069444444444353E-3</v>
      </c>
      <c r="T17" s="16">
        <f t="shared" ca="1" si="5"/>
        <v>1.0716865193184495</v>
      </c>
    </row>
    <row r="18" spans="1:20" ht="15.75" customHeight="1">
      <c r="A18" s="32">
        <v>45390</v>
      </c>
      <c r="B18" s="47" t="s">
        <v>85</v>
      </c>
      <c r="C18" s="7">
        <v>1</v>
      </c>
      <c r="D18" s="8">
        <v>0.11458333333333333</v>
      </c>
      <c r="E18" s="8">
        <f t="shared" si="0"/>
        <v>0.11458333333333333</v>
      </c>
      <c r="F18" s="10">
        <v>0.45421296296296299</v>
      </c>
      <c r="G18" s="10">
        <v>0.5366319444444444</v>
      </c>
      <c r="H18" s="8">
        <f t="shared" si="1"/>
        <v>8.2418981481481413E-2</v>
      </c>
      <c r="I18" s="11">
        <f t="shared" si="2"/>
        <v>0.56879629629629636</v>
      </c>
      <c r="J18" s="8"/>
      <c r="K18" s="8"/>
      <c r="L18" s="8" t="str">
        <f t="shared" si="3"/>
        <v xml:space="preserve"> </v>
      </c>
      <c r="M18" s="12"/>
      <c r="N18" s="13">
        <f t="shared" si="4"/>
        <v>1.3902541777840203</v>
      </c>
      <c r="P18" s="14">
        <f ca="1">IFERROR(__xludf.DUMMYFUNCTION("""COMPUTED_VALUE"""),45474)</f>
        <v>45474</v>
      </c>
      <c r="Q18" s="15">
        <f t="shared" ca="1" si="6"/>
        <v>0.32291666666666663</v>
      </c>
      <c r="R18" s="15">
        <f t="shared" ca="1" si="7"/>
        <v>0.33717592592592593</v>
      </c>
      <c r="S18" s="15">
        <f t="shared" ca="1" si="8"/>
        <v>-3.8425925925926196E-3</v>
      </c>
      <c r="T18" s="16">
        <f t="shared" ca="1" si="5"/>
        <v>1.0149087235660743</v>
      </c>
    </row>
    <row r="19" spans="1:20" ht="15.75" customHeight="1">
      <c r="A19" s="32">
        <v>45390</v>
      </c>
      <c r="B19" s="47" t="s">
        <v>84</v>
      </c>
      <c r="C19" s="7">
        <v>1</v>
      </c>
      <c r="D19" s="8">
        <v>7.6388888888888895E-2</v>
      </c>
      <c r="E19" s="8">
        <f t="shared" si="0"/>
        <v>7.6388888888888895E-2</v>
      </c>
      <c r="F19" s="10">
        <v>0.5366319444444444</v>
      </c>
      <c r="G19" s="10">
        <v>0.6754282407407407</v>
      </c>
      <c r="H19" s="8">
        <f t="shared" si="1"/>
        <v>5.694444444444445E-2</v>
      </c>
      <c r="I19" s="11">
        <f t="shared" si="2"/>
        <v>0.69487268518518519</v>
      </c>
      <c r="J19" s="8"/>
      <c r="K19" s="8"/>
      <c r="L19" s="8">
        <v>8.1851851851851856E-2</v>
      </c>
      <c r="M19" s="12"/>
      <c r="N19" s="13">
        <f t="shared" si="4"/>
        <v>1.3414634146341464</v>
      </c>
      <c r="P19" s="14">
        <f ca="1">IFERROR(__xludf.DUMMYFUNCTION("""COMPUTED_VALUE"""),45475)</f>
        <v>45475</v>
      </c>
      <c r="Q19" s="15">
        <f t="shared" ca="1" si="6"/>
        <v>0.36805555555555558</v>
      </c>
      <c r="R19" s="15">
        <f t="shared" ca="1" si="7"/>
        <v>0.31688232638908731</v>
      </c>
      <c r="S19" s="15">
        <f t="shared" ca="1" si="8"/>
        <v>1.6451006944246005E-2</v>
      </c>
      <c r="T19" s="16">
        <f t="shared" ca="1" si="5"/>
        <v>1.1127807080487568</v>
      </c>
    </row>
    <row r="20" spans="1:20" ht="15.75" customHeight="1">
      <c r="A20" s="32">
        <v>45391</v>
      </c>
      <c r="B20" s="47" t="s">
        <v>57</v>
      </c>
      <c r="C20" s="7">
        <v>15</v>
      </c>
      <c r="D20" s="8">
        <v>2.7777777777777779E-3</v>
      </c>
      <c r="E20" s="8">
        <f t="shared" si="0"/>
        <v>4.1666666666666671E-2</v>
      </c>
      <c r="F20" s="10">
        <v>0.42219907407407409</v>
      </c>
      <c r="G20" s="10">
        <v>0.46112268518518518</v>
      </c>
      <c r="H20" s="8">
        <f t="shared" si="1"/>
        <v>3.8923611111111089E-2</v>
      </c>
      <c r="I20" s="11">
        <f t="shared" si="2"/>
        <v>0.46386574074074077</v>
      </c>
      <c r="J20" s="8"/>
      <c r="K20" s="8"/>
      <c r="L20" s="8" t="str">
        <f>IF(OR(J20=0,K20=0)," ",K20-J20)</f>
        <v xml:space="preserve"> </v>
      </c>
      <c r="M20" s="12"/>
      <c r="N20" s="13">
        <f t="shared" si="4"/>
        <v>1.0704727921498669</v>
      </c>
      <c r="P20" s="14">
        <f ca="1">IFERROR(__xludf.DUMMYFUNCTION("""COMPUTED_VALUE"""),45476)</f>
        <v>45476</v>
      </c>
      <c r="Q20" s="15">
        <f t="shared" ca="1" si="6"/>
        <v>0.34826388888888898</v>
      </c>
      <c r="R20" s="15">
        <f t="shared" ca="1" si="7"/>
        <v>0.33336805555555565</v>
      </c>
      <c r="S20" s="15">
        <f t="shared" ca="1" si="8"/>
        <v>-3.4722222222338672E-5</v>
      </c>
      <c r="T20" s="16">
        <f t="shared" ca="1" si="5"/>
        <v>1.061398579940511</v>
      </c>
    </row>
    <row r="21" spans="1:20" ht="15.75" customHeight="1">
      <c r="A21" s="32">
        <v>45391</v>
      </c>
      <c r="B21" s="47" t="s">
        <v>29</v>
      </c>
      <c r="C21" s="7">
        <v>22</v>
      </c>
      <c r="D21" s="8">
        <v>2.0833333333333333E-3</v>
      </c>
      <c r="E21" s="8">
        <f t="shared" si="0"/>
        <v>4.583333333333333E-2</v>
      </c>
      <c r="F21" s="10">
        <v>0.46112268518518518</v>
      </c>
      <c r="G21" s="10">
        <v>0.54925925925925922</v>
      </c>
      <c r="H21" s="8">
        <f t="shared" si="1"/>
        <v>4.3078703703703675E-2</v>
      </c>
      <c r="I21" s="11">
        <f t="shared" si="2"/>
        <v>0.5520138888888888</v>
      </c>
      <c r="J21" s="8"/>
      <c r="K21" s="8"/>
      <c r="L21" s="8">
        <v>4.5057870370370373E-2</v>
      </c>
      <c r="M21" s="12"/>
      <c r="N21" s="13">
        <f t="shared" si="4"/>
        <v>1.0639441160666314</v>
      </c>
      <c r="P21" s="14">
        <f ca="1">IFERROR(__xludf.DUMMYFUNCTION("""COMPUTED_VALUE"""),45477)</f>
        <v>45477</v>
      </c>
      <c r="Q21" s="15">
        <f t="shared" ca="1" si="6"/>
        <v>0.33472222222222225</v>
      </c>
      <c r="R21" s="15">
        <f t="shared" ca="1" si="7"/>
        <v>0.31887731481481479</v>
      </c>
      <c r="S21" s="15">
        <f t="shared" ca="1" si="8"/>
        <v>1.4456018518518521E-2</v>
      </c>
      <c r="T21" s="16">
        <f t="shared" ca="1" si="5"/>
        <v>1.0489946895942559</v>
      </c>
    </row>
    <row r="22" spans="1:20" ht="15.75" customHeight="1">
      <c r="A22" s="32">
        <v>45391</v>
      </c>
      <c r="B22" s="47" t="s">
        <v>105</v>
      </c>
      <c r="C22" s="7">
        <v>3</v>
      </c>
      <c r="D22" s="8">
        <v>1.736111111111111E-3</v>
      </c>
      <c r="E22" s="8">
        <f t="shared" si="0"/>
        <v>5.208333333333333E-3</v>
      </c>
      <c r="F22" s="10">
        <v>0.54925925925925922</v>
      </c>
      <c r="G22" s="10">
        <v>0.55423611111111115</v>
      </c>
      <c r="H22" s="8">
        <f t="shared" si="1"/>
        <v>4.9768518518519267E-3</v>
      </c>
      <c r="I22" s="11">
        <f t="shared" si="2"/>
        <v>0.5544675925925926</v>
      </c>
      <c r="J22" s="8"/>
      <c r="K22" s="8"/>
      <c r="L22" s="8" t="str">
        <f>IF(OR(J22=0,K22=0)," ",K22-J22)</f>
        <v xml:space="preserve"> </v>
      </c>
      <c r="M22" s="12"/>
      <c r="N22" s="13">
        <f t="shared" si="4"/>
        <v>1.0465116279069608</v>
      </c>
      <c r="P22" s="14">
        <f ca="1">IFERROR(__xludf.DUMMYFUNCTION("""COMPUTED_VALUE"""),45478)</f>
        <v>45478</v>
      </c>
      <c r="Q22" s="15">
        <f t="shared" ca="1" si="6"/>
        <v>0.18333333333333335</v>
      </c>
      <c r="R22" s="15">
        <f t="shared" ca="1" si="7"/>
        <v>0.25467592592592592</v>
      </c>
      <c r="S22" s="15">
        <f t="shared" ca="1" si="8"/>
        <v>7.8657407407407398E-2</v>
      </c>
      <c r="T22" s="16">
        <f t="shared" ca="1" si="5"/>
        <v>0.84137734346127169</v>
      </c>
    </row>
    <row r="23" spans="1:20" ht="15.75" customHeight="1">
      <c r="A23" s="32">
        <v>45394</v>
      </c>
      <c r="B23" s="47" t="s">
        <v>27</v>
      </c>
      <c r="C23" s="7">
        <v>28</v>
      </c>
      <c r="D23" s="8">
        <v>1.3888888888888889E-3</v>
      </c>
      <c r="E23" s="8">
        <f t="shared" si="0"/>
        <v>3.888888888888889E-2</v>
      </c>
      <c r="F23" s="10">
        <v>0.36836805555555552</v>
      </c>
      <c r="G23" s="10">
        <v>0.44597222222222221</v>
      </c>
      <c r="H23" s="8">
        <f t="shared" si="1"/>
        <v>3.5439814814814848E-2</v>
      </c>
      <c r="I23" s="11">
        <f t="shared" si="2"/>
        <v>0.44942129629629624</v>
      </c>
      <c r="J23" s="8"/>
      <c r="K23" s="8"/>
      <c r="L23" s="8">
        <v>4.2164351851851849E-2</v>
      </c>
      <c r="M23" s="12"/>
      <c r="N23" s="13">
        <f t="shared" si="4"/>
        <v>1.0973220117570206</v>
      </c>
      <c r="P23" s="14">
        <f ca="1">IFERROR(__xludf.DUMMYFUNCTION("""COMPUTED_VALUE"""),45481)</f>
        <v>45481</v>
      </c>
      <c r="Q23" s="15">
        <f t="shared" ca="1" si="6"/>
        <v>0.34722222222222227</v>
      </c>
      <c r="R23" s="15">
        <f t="shared" ca="1" si="7"/>
        <v>0.33364583333333331</v>
      </c>
      <c r="S23" s="15">
        <f t="shared" ca="1" si="8"/>
        <v>-3.1249999999999334E-4</v>
      </c>
      <c r="T23" s="16">
        <f t="shared" ca="1" si="5"/>
        <v>1.0402012497201958</v>
      </c>
    </row>
    <row r="24" spans="1:20" ht="15.75" customHeight="1">
      <c r="A24" s="32">
        <v>45394</v>
      </c>
      <c r="B24" s="47" t="s">
        <v>44</v>
      </c>
      <c r="C24" s="7">
        <v>7</v>
      </c>
      <c r="D24" s="8">
        <v>3.472222222222222E-3</v>
      </c>
      <c r="E24" s="8">
        <f t="shared" si="0"/>
        <v>2.4305555555555552E-2</v>
      </c>
      <c r="F24" s="10">
        <v>0.42018518518518522</v>
      </c>
      <c r="G24" s="10">
        <v>0.44172453703703707</v>
      </c>
      <c r="H24" s="8">
        <f t="shared" si="1"/>
        <v>2.1539351851851851E-2</v>
      </c>
      <c r="I24" s="11">
        <f t="shared" si="2"/>
        <v>0.4444907407407408</v>
      </c>
      <c r="J24" s="8"/>
      <c r="K24" s="8"/>
      <c r="L24" s="8" t="str">
        <f>IF(OR(J24=0,K24=0)," ",K24-J24)</f>
        <v xml:space="preserve"> </v>
      </c>
      <c r="M24" s="12"/>
      <c r="N24" s="13">
        <f t="shared" si="4"/>
        <v>1.1284255776464265</v>
      </c>
      <c r="P24" s="14">
        <f ca="1">IFERROR(__xludf.DUMMYFUNCTION("""COMPUTED_VALUE"""),45482)</f>
        <v>45482</v>
      </c>
      <c r="Q24" s="15">
        <f t="shared" ca="1" si="6"/>
        <v>0.34513888888888894</v>
      </c>
      <c r="R24" s="15">
        <f t="shared" ca="1" si="7"/>
        <v>0.32920138888888889</v>
      </c>
      <c r="S24" s="15">
        <f t="shared" ca="1" si="8"/>
        <v>4.1319444444444242E-3</v>
      </c>
      <c r="T24" s="16">
        <f t="shared" ca="1" si="5"/>
        <v>1.0500203774523551</v>
      </c>
    </row>
    <row r="25" spans="1:20" ht="15.75" customHeight="1">
      <c r="A25" s="32">
        <v>45394</v>
      </c>
      <c r="B25" s="47" t="s">
        <v>28</v>
      </c>
      <c r="C25" s="7">
        <v>100</v>
      </c>
      <c r="D25" s="8">
        <v>1.3888888888888889E-3</v>
      </c>
      <c r="E25" s="8">
        <f t="shared" si="0"/>
        <v>0.1388888888888889</v>
      </c>
      <c r="F25" s="10">
        <v>0.44597222222222221</v>
      </c>
      <c r="G25" s="10">
        <v>0.61829861111111106</v>
      </c>
      <c r="H25" s="8">
        <f t="shared" si="1"/>
        <v>0.13680555555555551</v>
      </c>
      <c r="I25" s="11">
        <f t="shared" si="2"/>
        <v>0.62038194444444439</v>
      </c>
      <c r="J25" s="8"/>
      <c r="K25" s="8"/>
      <c r="L25" s="8">
        <v>3.5520833333333335E-2</v>
      </c>
      <c r="M25" s="12"/>
      <c r="N25" s="13">
        <f t="shared" si="4"/>
        <v>1.0152284263959395</v>
      </c>
      <c r="P25" s="14">
        <f ca="1">IFERROR(__xludf.DUMMYFUNCTION("""COMPUTED_VALUE"""),45483)</f>
        <v>45483</v>
      </c>
      <c r="Q25" s="15">
        <f t="shared" ca="1" si="6"/>
        <v>0.25277777777777777</v>
      </c>
      <c r="R25" s="15">
        <f t="shared" ca="1" si="7"/>
        <v>0.3223842592592594</v>
      </c>
      <c r="S25" s="15">
        <f t="shared" ca="1" si="8"/>
        <v>1.0949074074073917E-2</v>
      </c>
      <c r="T25" s="16">
        <f t="shared" ca="1" si="5"/>
        <v>0.82683100849501179</v>
      </c>
    </row>
    <row r="26" spans="1:20" ht="15.5">
      <c r="A26" s="32">
        <v>45394</v>
      </c>
      <c r="B26" s="47" t="s">
        <v>28</v>
      </c>
      <c r="C26" s="7">
        <v>82</v>
      </c>
      <c r="D26" s="8">
        <v>1.3888888888888889E-3</v>
      </c>
      <c r="E26" s="8">
        <f t="shared" si="0"/>
        <v>0.11388888888888889</v>
      </c>
      <c r="F26" s="10">
        <v>0.63957175925925924</v>
      </c>
      <c r="G26" s="10">
        <v>0.75163194444444448</v>
      </c>
      <c r="H26" s="8">
        <f t="shared" si="1"/>
        <v>0.11206018518518523</v>
      </c>
      <c r="I26" s="11">
        <f t="shared" si="2"/>
        <v>0.75346064814814817</v>
      </c>
      <c r="J26" s="8"/>
      <c r="K26" s="8"/>
      <c r="L26" s="8" t="str">
        <f t="shared" ref="L26:L28" si="9">IF(OR(J26=0,K26=0)," ",K26-J26)</f>
        <v xml:space="preserve"> </v>
      </c>
      <c r="M26" s="12"/>
      <c r="N26" s="13">
        <f t="shared" si="4"/>
        <v>1.0163189423672789</v>
      </c>
      <c r="P26" s="14">
        <f ca="1">IFERROR(__xludf.DUMMYFUNCTION("""COMPUTED_VALUE"""),45484)</f>
        <v>45484</v>
      </c>
      <c r="Q26" s="15">
        <f t="shared" ca="1" si="6"/>
        <v>0.32430555555555557</v>
      </c>
      <c r="R26" s="15">
        <f t="shared" ca="1" si="7"/>
        <v>0.30291666666666667</v>
      </c>
      <c r="S26" s="15">
        <f t="shared" ca="1" si="8"/>
        <v>3.0416666666666647E-2</v>
      </c>
      <c r="T26" s="16">
        <f t="shared" ca="1" si="5"/>
        <v>1.0744258181571407</v>
      </c>
    </row>
    <row r="27" spans="1:20" ht="15.5">
      <c r="A27" s="32">
        <v>45397</v>
      </c>
      <c r="B27" s="47" t="s">
        <v>43</v>
      </c>
      <c r="C27" s="7">
        <v>1</v>
      </c>
      <c r="D27" s="8">
        <v>3.4722222222222224E-2</v>
      </c>
      <c r="E27" s="8">
        <f t="shared" si="0"/>
        <v>3.4722222222222224E-2</v>
      </c>
      <c r="F27" s="10">
        <v>0.32826388888888891</v>
      </c>
      <c r="G27" s="10">
        <v>0.36184027777777783</v>
      </c>
      <c r="H27" s="8">
        <f t="shared" si="1"/>
        <v>3.3576388888888919E-2</v>
      </c>
      <c r="I27" s="11">
        <f t="shared" si="2"/>
        <v>0.36298611111111112</v>
      </c>
      <c r="J27" s="8"/>
      <c r="K27" s="8"/>
      <c r="L27" s="8" t="str">
        <f t="shared" si="9"/>
        <v xml:space="preserve"> </v>
      </c>
      <c r="M27" s="12"/>
      <c r="N27" s="13">
        <f t="shared" si="4"/>
        <v>1.034126163391933</v>
      </c>
      <c r="P27" s="14">
        <f ca="1">IFERROR(__xludf.DUMMYFUNCTION("""COMPUTED_VALUE"""),45485)</f>
        <v>45485</v>
      </c>
      <c r="Q27" s="15">
        <f t="shared" ca="1" si="6"/>
        <v>0.21527777777777776</v>
      </c>
      <c r="R27" s="15">
        <f t="shared" ca="1" si="7"/>
        <v>0.19818287037037044</v>
      </c>
      <c r="S27" s="15">
        <f t="shared" ca="1" si="8"/>
        <v>0.13515046296296288</v>
      </c>
      <c r="T27" s="16">
        <f t="shared" ca="1" si="5"/>
        <v>1.0984389351244346</v>
      </c>
    </row>
    <row r="28" spans="1:20" ht="15.5">
      <c r="A28" s="32">
        <v>45397</v>
      </c>
      <c r="B28" s="47" t="s">
        <v>42</v>
      </c>
      <c r="C28" s="7">
        <v>1</v>
      </c>
      <c r="D28" s="8">
        <v>6.9444444444444441E-3</v>
      </c>
      <c r="E28" s="8">
        <f t="shared" si="0"/>
        <v>6.9444444444444441E-3</v>
      </c>
      <c r="F28" s="10">
        <v>0.36184027777777783</v>
      </c>
      <c r="G28" s="10">
        <v>0.36832175925925925</v>
      </c>
      <c r="H28" s="8">
        <f t="shared" si="1"/>
        <v>6.4814814814814214E-3</v>
      </c>
      <c r="I28" s="11">
        <f t="shared" si="2"/>
        <v>0.36878472222222225</v>
      </c>
      <c r="J28" s="8"/>
      <c r="K28" s="8"/>
      <c r="L28" s="8" t="str">
        <f t="shared" si="9"/>
        <v xml:space="preserve"> </v>
      </c>
      <c r="M28" s="12"/>
      <c r="N28" s="13">
        <f t="shared" si="4"/>
        <v>1.0714285714285814</v>
      </c>
      <c r="P28" s="14">
        <f ca="1">IFERROR(__xludf.DUMMYFUNCTION("""COMPUTED_VALUE"""),45488)</f>
        <v>45488</v>
      </c>
      <c r="Q28" s="15">
        <f t="shared" ca="1" si="6"/>
        <v>0.36875000000000008</v>
      </c>
      <c r="R28" s="15">
        <f t="shared" ca="1" si="7"/>
        <v>0.34228009259259262</v>
      </c>
      <c r="S28" s="15">
        <f t="shared" ca="1" si="8"/>
        <v>-8.946759259259307E-3</v>
      </c>
      <c r="T28" s="16">
        <f t="shared" ca="1" si="5"/>
        <v>1.077248102368533</v>
      </c>
    </row>
    <row r="29" spans="1:20" ht="15.5">
      <c r="A29" s="32">
        <v>45397</v>
      </c>
      <c r="B29" s="47" t="s">
        <v>63</v>
      </c>
      <c r="C29" s="7">
        <v>1</v>
      </c>
      <c r="D29" s="8">
        <v>3.4722222222222224E-2</v>
      </c>
      <c r="E29" s="8">
        <f t="shared" si="0"/>
        <v>3.4722222222222224E-2</v>
      </c>
      <c r="F29" s="10">
        <v>0.36832175925925925</v>
      </c>
      <c r="G29" s="10">
        <v>0.41251157407407407</v>
      </c>
      <c r="H29" s="8">
        <f t="shared" si="1"/>
        <v>3.291666666666667E-2</v>
      </c>
      <c r="I29" s="11">
        <f t="shared" si="2"/>
        <v>0.41431712962962963</v>
      </c>
      <c r="J29" s="8"/>
      <c r="K29" s="8"/>
      <c r="L29" s="8">
        <v>1.1273148148148148E-2</v>
      </c>
      <c r="M29" s="12"/>
      <c r="N29" s="13">
        <f t="shared" si="4"/>
        <v>1.0548523206751055</v>
      </c>
      <c r="P29" s="14">
        <f ca="1">IFERROR(__xludf.DUMMYFUNCTION("""COMPUTED_VALUE"""),45489)</f>
        <v>45489</v>
      </c>
      <c r="Q29" s="15">
        <f t="shared" ca="1" si="6"/>
        <v>0.37083333333333335</v>
      </c>
      <c r="R29" s="15">
        <f t="shared" ca="1" si="7"/>
        <v>0.33997685185185178</v>
      </c>
      <c r="S29" s="15">
        <f t="shared" ca="1" si="8"/>
        <v>-6.6435185185184653E-3</v>
      </c>
      <c r="T29" s="16">
        <f t="shared" ca="1" si="5"/>
        <v>1.0897126332420219</v>
      </c>
    </row>
    <row r="30" spans="1:20" ht="15.5">
      <c r="A30" s="32">
        <v>45397</v>
      </c>
      <c r="B30" s="47" t="s">
        <v>85</v>
      </c>
      <c r="C30" s="7">
        <v>1</v>
      </c>
      <c r="D30" s="8">
        <v>0.11458333333333333</v>
      </c>
      <c r="E30" s="8">
        <f t="shared" si="0"/>
        <v>0.11458333333333333</v>
      </c>
      <c r="F30" s="10">
        <v>0.41251157407407407</v>
      </c>
      <c r="G30" s="10">
        <v>0.49478009259259259</v>
      </c>
      <c r="H30" s="8">
        <f t="shared" si="1"/>
        <v>8.2268518518518519E-2</v>
      </c>
      <c r="I30" s="11">
        <f t="shared" si="2"/>
        <v>0.52709490740740739</v>
      </c>
      <c r="J30" s="8"/>
      <c r="K30" s="8"/>
      <c r="L30" s="8" t="str">
        <f>IF(OR(J30=0,K30=0)," ",K30-J30)</f>
        <v xml:space="preserve"> </v>
      </c>
      <c r="M30" s="12"/>
      <c r="N30" s="13">
        <f t="shared" si="4"/>
        <v>1.3927968486212718</v>
      </c>
      <c r="P30" s="14">
        <f ca="1">IFERROR(__xludf.DUMMYFUNCTION("""COMPUTED_VALUE"""),45490)</f>
        <v>45490</v>
      </c>
      <c r="Q30" s="15">
        <f t="shared" ca="1" si="6"/>
        <v>0.38055555555555565</v>
      </c>
      <c r="R30" s="15">
        <f t="shared" ca="1" si="7"/>
        <v>0.34300925925925929</v>
      </c>
      <c r="S30" s="15">
        <f t="shared" ca="1" si="8"/>
        <v>-9.6759259259259767E-3</v>
      </c>
      <c r="T30" s="16">
        <f t="shared" ca="1" si="5"/>
        <v>1.0980500650217135</v>
      </c>
    </row>
    <row r="31" spans="1:20" ht="15.5">
      <c r="A31" s="32">
        <v>45397</v>
      </c>
      <c r="B31" s="47" t="s">
        <v>84</v>
      </c>
      <c r="C31" s="7">
        <v>1</v>
      </c>
      <c r="D31" s="8">
        <v>7.6388888888888895E-2</v>
      </c>
      <c r="E31" s="8">
        <f t="shared" si="0"/>
        <v>7.6388888888888895E-2</v>
      </c>
      <c r="F31" s="10">
        <v>0.49478009259259259</v>
      </c>
      <c r="G31" s="10">
        <v>0.57751157407407405</v>
      </c>
      <c r="H31" s="8">
        <f t="shared" si="1"/>
        <v>6.1354166666666647E-2</v>
      </c>
      <c r="I31" s="11">
        <f t="shared" si="2"/>
        <v>0.5925462962962964</v>
      </c>
      <c r="J31" s="8"/>
      <c r="K31" s="8"/>
      <c r="L31" s="8">
        <v>2.1377314814814814E-2</v>
      </c>
      <c r="M31" s="12"/>
      <c r="N31" s="13">
        <f t="shared" si="4"/>
        <v>1.2450481041312964</v>
      </c>
      <c r="P31" s="14">
        <f ca="1">IFERROR(__xludf.DUMMYFUNCTION("""COMPUTED_VALUE"""),45491)</f>
        <v>45491</v>
      </c>
      <c r="Q31" s="15">
        <f t="shared" ca="1" si="6"/>
        <v>0.24722222222222226</v>
      </c>
      <c r="R31" s="15">
        <f t="shared" ca="1" si="7"/>
        <v>0.23043981481481479</v>
      </c>
      <c r="S31" s="15">
        <f t="shared" ca="1" si="8"/>
        <v>0.10289351851851852</v>
      </c>
      <c r="T31" s="16">
        <f t="shared" ca="1" si="5"/>
        <v>1.0781203107559036</v>
      </c>
    </row>
    <row r="32" spans="1:20" ht="15.5">
      <c r="A32" s="32">
        <v>45397</v>
      </c>
      <c r="B32" s="47" t="s">
        <v>28</v>
      </c>
      <c r="C32" s="7">
        <v>80</v>
      </c>
      <c r="D32" s="8">
        <v>1.3888888888888889E-3</v>
      </c>
      <c r="E32" s="8">
        <f t="shared" si="0"/>
        <v>0.11111111111111112</v>
      </c>
      <c r="F32" s="10">
        <v>0.57751157407407405</v>
      </c>
      <c r="G32" s="10">
        <v>0.73172453703703699</v>
      </c>
      <c r="H32" s="8">
        <f t="shared" si="1"/>
        <v>0.12844907407407405</v>
      </c>
      <c r="I32" s="11">
        <f t="shared" si="2"/>
        <v>0.71438657407407413</v>
      </c>
      <c r="J32" s="8"/>
      <c r="K32" s="8"/>
      <c r="L32" s="8">
        <v>2.5763888888888888E-2</v>
      </c>
      <c r="M32" s="18" t="s">
        <v>107</v>
      </c>
      <c r="N32" s="13">
        <f t="shared" si="4"/>
        <v>0.865020724454857</v>
      </c>
      <c r="P32" s="14">
        <f ca="1">IFERROR(__xludf.DUMMYFUNCTION("""COMPUTED_VALUE"""),45492)</f>
        <v>45492</v>
      </c>
      <c r="Q32" s="15">
        <f t="shared" ca="1" si="6"/>
        <v>0.15972222222222221</v>
      </c>
      <c r="R32" s="15">
        <f t="shared" ca="1" si="7"/>
        <v>0.20537037037037034</v>
      </c>
      <c r="S32" s="15">
        <f t="shared" ca="1" si="8"/>
        <v>0.12796296296296297</v>
      </c>
      <c r="T32" s="16">
        <f t="shared" ca="1" si="5"/>
        <v>0.82527910624811296</v>
      </c>
    </row>
    <row r="33" spans="1:20" ht="15.5">
      <c r="A33" s="32">
        <v>45398</v>
      </c>
      <c r="B33" s="47" t="s">
        <v>28</v>
      </c>
      <c r="C33" s="7">
        <v>28</v>
      </c>
      <c r="D33" s="8">
        <v>1.3888888888888889E-3</v>
      </c>
      <c r="E33" s="8">
        <f t="shared" si="0"/>
        <v>3.888888888888889E-2</v>
      </c>
      <c r="F33" s="10">
        <v>0.32238425925925929</v>
      </c>
      <c r="G33" s="10">
        <v>0.35961805555555559</v>
      </c>
      <c r="H33" s="8">
        <f t="shared" si="1"/>
        <v>3.7233796296296306E-2</v>
      </c>
      <c r="I33" s="11">
        <f t="shared" si="2"/>
        <v>0.36127314814814815</v>
      </c>
      <c r="J33" s="8"/>
      <c r="K33" s="8"/>
      <c r="L33" s="8" t="str">
        <f t="shared" ref="L33:L35" si="10">IF(OR(J33=0,K33=0)," ",K33-J33)</f>
        <v xml:space="preserve"> </v>
      </c>
      <c r="M33" s="18" t="s">
        <v>107</v>
      </c>
      <c r="N33" s="13">
        <f t="shared" si="4"/>
        <v>1.0444513521914824</v>
      </c>
      <c r="P33" s="14">
        <f ca="1">IFERROR(__xludf.DUMMYFUNCTION("""COMPUTED_VALUE"""),45495)</f>
        <v>45495</v>
      </c>
      <c r="Q33" s="15">
        <f t="shared" ca="1" si="6"/>
        <v>0.36458333333333331</v>
      </c>
      <c r="R33" s="15">
        <f t="shared" ca="1" si="7"/>
        <v>0.34395833333333331</v>
      </c>
      <c r="S33" s="15">
        <f t="shared" ca="1" si="8"/>
        <v>-1.0624999999999996E-2</v>
      </c>
      <c r="T33" s="16">
        <f t="shared" ca="1" si="5"/>
        <v>1.0787156903972179</v>
      </c>
    </row>
    <row r="34" spans="1:20" ht="15.5">
      <c r="A34" s="32">
        <v>45398</v>
      </c>
      <c r="B34" s="47" t="s">
        <v>28</v>
      </c>
      <c r="C34" s="7">
        <v>36</v>
      </c>
      <c r="D34" s="8">
        <v>1.3888888888888889E-3</v>
      </c>
      <c r="E34" s="8">
        <f t="shared" si="0"/>
        <v>0.05</v>
      </c>
      <c r="F34" s="10">
        <v>0.35961805555555559</v>
      </c>
      <c r="G34" s="10">
        <v>0.40861111111111115</v>
      </c>
      <c r="H34" s="8">
        <f t="shared" si="1"/>
        <v>4.8993055555555554E-2</v>
      </c>
      <c r="I34" s="11">
        <f t="shared" si="2"/>
        <v>0.40961805555555558</v>
      </c>
      <c r="J34" s="8"/>
      <c r="K34" s="8"/>
      <c r="L34" s="8" t="str">
        <f t="shared" si="10"/>
        <v xml:space="preserve"> </v>
      </c>
      <c r="M34" s="18" t="s">
        <v>107</v>
      </c>
      <c r="N34" s="13">
        <f t="shared" si="4"/>
        <v>1.0205527994330263</v>
      </c>
      <c r="P34" s="14">
        <f ca="1">IFERROR(__xludf.DUMMYFUNCTION("""COMPUTED_VALUE"""),45496)</f>
        <v>45496</v>
      </c>
      <c r="Q34" s="15">
        <f t="shared" ca="1" si="6"/>
        <v>0.35416666666666663</v>
      </c>
      <c r="R34" s="15">
        <f t="shared" ca="1" si="7"/>
        <v>0.33592592592592596</v>
      </c>
      <c r="S34" s="15">
        <f t="shared" ca="1" si="8"/>
        <v>-2.5925925925926463E-3</v>
      </c>
      <c r="T34" s="16">
        <f t="shared" ca="1" si="5"/>
        <v>1.0790930044728899</v>
      </c>
    </row>
    <row r="35" spans="1:20" ht="15.5">
      <c r="A35" s="32">
        <v>45398</v>
      </c>
      <c r="B35" s="47" t="s">
        <v>44</v>
      </c>
      <c r="C35" s="7">
        <v>3</v>
      </c>
      <c r="D35" s="8">
        <v>3.472222222222222E-3</v>
      </c>
      <c r="E35" s="8">
        <f t="shared" si="0"/>
        <v>1.0416666666666666E-2</v>
      </c>
      <c r="F35" s="10">
        <v>0.40861111111111115</v>
      </c>
      <c r="G35" s="10">
        <v>0.41912037037037037</v>
      </c>
      <c r="H35" s="8">
        <f t="shared" si="1"/>
        <v>1.0509259259259218E-2</v>
      </c>
      <c r="I35" s="11">
        <f t="shared" si="2"/>
        <v>0.41902777777777783</v>
      </c>
      <c r="J35" s="8"/>
      <c r="K35" s="8"/>
      <c r="L35" s="8" t="str">
        <f t="shared" si="10"/>
        <v xml:space="preserve"> </v>
      </c>
      <c r="M35" s="12"/>
      <c r="N35" s="13">
        <f t="shared" si="4"/>
        <v>0.99118942731277915</v>
      </c>
      <c r="P35" s="14">
        <f ca="1">IFERROR(__xludf.DUMMYFUNCTION("""COMPUTED_VALUE"""),45497)</f>
        <v>45497</v>
      </c>
      <c r="Q35" s="15">
        <f t="shared" ca="1" si="6"/>
        <v>0.33333333333333337</v>
      </c>
      <c r="R35" s="15">
        <f t="shared" ca="1" si="7"/>
        <v>0.28872685185185187</v>
      </c>
      <c r="S35" s="15">
        <f t="shared" ca="1" si="8"/>
        <v>4.4606481481481441E-2</v>
      </c>
      <c r="T35" s="16">
        <f t="shared" ca="1" si="5"/>
        <v>1.153242016273585</v>
      </c>
    </row>
    <row r="36" spans="1:20" ht="15.5">
      <c r="A36" s="32">
        <v>45398</v>
      </c>
      <c r="B36" s="47" t="s">
        <v>57</v>
      </c>
      <c r="C36" s="7">
        <v>14</v>
      </c>
      <c r="D36" s="8">
        <v>2.7777777777777779E-3</v>
      </c>
      <c r="E36" s="8">
        <f t="shared" si="0"/>
        <v>3.888888888888889E-2</v>
      </c>
      <c r="F36" s="10">
        <v>0.41912037037037037</v>
      </c>
      <c r="G36" s="10">
        <v>0.47578703703703706</v>
      </c>
      <c r="H36" s="8">
        <f t="shared" si="1"/>
        <v>3.5451388888888921E-2</v>
      </c>
      <c r="I36" s="11">
        <f t="shared" si="2"/>
        <v>0.47922453703703705</v>
      </c>
      <c r="J36" s="8"/>
      <c r="K36" s="8"/>
      <c r="L36" s="8">
        <v>2.1215277777777777E-2</v>
      </c>
      <c r="M36" s="12"/>
      <c r="N36" s="13">
        <f t="shared" si="4"/>
        <v>1.0969637610186083</v>
      </c>
      <c r="P36" s="14">
        <f ca="1">IFERROR(__xludf.DUMMYFUNCTION("""COMPUTED_VALUE"""),45498)</f>
        <v>45498</v>
      </c>
      <c r="Q36" s="15">
        <f t="shared" ca="1" si="6"/>
        <v>0.34027777777777779</v>
      </c>
      <c r="R36" s="15">
        <f t="shared" ca="1" si="7"/>
        <v>0.3419831250034514</v>
      </c>
      <c r="S36" s="15">
        <f t="shared" ca="1" si="8"/>
        <v>-8.6497916701180899E-3</v>
      </c>
      <c r="T36" s="16">
        <f t="shared" ca="1" si="5"/>
        <v>0.99973448165877987</v>
      </c>
    </row>
    <row r="37" spans="1:20" ht="15.5">
      <c r="A37" s="32">
        <v>45398</v>
      </c>
      <c r="B37" s="47" t="s">
        <v>28</v>
      </c>
      <c r="C37" s="7">
        <v>104</v>
      </c>
      <c r="D37" s="8">
        <v>1.3888888888888889E-3</v>
      </c>
      <c r="E37" s="8">
        <f t="shared" si="0"/>
        <v>0.14444444444444446</v>
      </c>
      <c r="F37" s="10">
        <v>0.47578703703703706</v>
      </c>
      <c r="G37" s="10">
        <v>0.64936342592592589</v>
      </c>
      <c r="H37" s="8">
        <f t="shared" si="1"/>
        <v>0.14311342592592585</v>
      </c>
      <c r="I37" s="11">
        <f t="shared" si="2"/>
        <v>0.65069444444444446</v>
      </c>
      <c r="J37" s="8"/>
      <c r="K37" s="8"/>
      <c r="L37" s="8">
        <v>3.0462962962962963E-2</v>
      </c>
      <c r="M37" s="18" t="s">
        <v>107</v>
      </c>
      <c r="N37" s="13">
        <f t="shared" si="4"/>
        <v>1.0093004448038825</v>
      </c>
      <c r="P37" s="14">
        <f ca="1">IFERROR(__xludf.DUMMYFUNCTION("""COMPUTED_VALUE"""),45499)</f>
        <v>45499</v>
      </c>
      <c r="Q37" s="15">
        <f t="shared" ca="1" si="6"/>
        <v>0.20833333333333334</v>
      </c>
      <c r="R37" s="15">
        <f t="shared" ca="1" si="7"/>
        <v>0.33698710647909635</v>
      </c>
      <c r="S37" s="15">
        <f t="shared" ca="1" si="8"/>
        <v>-3.6537731457630396E-3</v>
      </c>
      <c r="T37" s="16">
        <f t="shared" ca="1" si="5"/>
        <v>0.73200446882272363</v>
      </c>
    </row>
    <row r="38" spans="1:20" ht="15.5">
      <c r="A38" s="32">
        <v>45398</v>
      </c>
      <c r="B38" s="47" t="s">
        <v>108</v>
      </c>
      <c r="C38" s="7">
        <v>2</v>
      </c>
      <c r="D38" s="8">
        <v>1.0416666666666666E-2</v>
      </c>
      <c r="E38" s="8">
        <f t="shared" si="0"/>
        <v>2.0833333333333332E-2</v>
      </c>
      <c r="F38" s="10">
        <v>0.67037037037037039</v>
      </c>
      <c r="G38" s="10">
        <v>0.68967592592592597</v>
      </c>
      <c r="H38" s="8">
        <f t="shared" si="1"/>
        <v>1.9305555555555576E-2</v>
      </c>
      <c r="I38" s="11">
        <f t="shared" si="2"/>
        <v>0.69120370370370376</v>
      </c>
      <c r="J38" s="8"/>
      <c r="K38" s="8"/>
      <c r="L38" s="8" t="str">
        <f t="shared" ref="L38:L40" si="11">IF(OR(J38=0,K38=0)," ",K38-J38)</f>
        <v xml:space="preserve"> </v>
      </c>
      <c r="M38" s="18" t="s">
        <v>109</v>
      </c>
      <c r="N38" s="13">
        <f t="shared" si="4"/>
        <v>1.0791366906474809</v>
      </c>
      <c r="P38" s="14">
        <f ca="1">IFERROR(__xludf.DUMMYFUNCTION("""COMPUTED_VALUE"""),45502)</f>
        <v>45502</v>
      </c>
      <c r="Q38" s="15">
        <f t="shared" ca="1" si="6"/>
        <v>0.36944444444444446</v>
      </c>
      <c r="R38" s="15">
        <f t="shared" ca="1" si="7"/>
        <v>0.33594907407407404</v>
      </c>
      <c r="S38" s="15">
        <f t="shared" ca="1" si="8"/>
        <v>-2.615740740740724E-3</v>
      </c>
      <c r="T38" s="16">
        <f t="shared" ca="1" si="5"/>
        <v>1.0869105516547419</v>
      </c>
    </row>
    <row r="39" spans="1:20" ht="15.5">
      <c r="A39" s="32">
        <v>45398</v>
      </c>
      <c r="B39" s="47" t="s">
        <v>28</v>
      </c>
      <c r="C39" s="7">
        <v>15</v>
      </c>
      <c r="D39" s="8">
        <v>1.3888888888888889E-3</v>
      </c>
      <c r="E39" s="8">
        <f t="shared" si="0"/>
        <v>2.0833333333333336E-2</v>
      </c>
      <c r="F39" s="10">
        <v>0.68967592592592597</v>
      </c>
      <c r="G39" s="10">
        <v>0.70833333333333337</v>
      </c>
      <c r="H39" s="8">
        <f t="shared" si="1"/>
        <v>1.86574074074074E-2</v>
      </c>
      <c r="I39" s="11">
        <f t="shared" si="2"/>
        <v>0.71050925925925934</v>
      </c>
      <c r="J39" s="8"/>
      <c r="K39" s="8"/>
      <c r="L39" s="8" t="str">
        <f t="shared" si="11"/>
        <v xml:space="preserve"> </v>
      </c>
      <c r="M39" s="18" t="s">
        <v>107</v>
      </c>
      <c r="N39" s="13">
        <f t="shared" si="4"/>
        <v>1.1166253101736978</v>
      </c>
      <c r="P39" s="14">
        <f ca="1">IFERROR(__xludf.DUMMYFUNCTION("""COMPUTED_VALUE"""),45503)</f>
        <v>45503</v>
      </c>
      <c r="Q39" s="15">
        <f t="shared" ca="1" si="6"/>
        <v>0.3354166666666667</v>
      </c>
      <c r="R39" s="15">
        <f t="shared" ca="1" si="7"/>
        <v>0.30502314814814807</v>
      </c>
      <c r="S39" s="15">
        <f t="shared" ca="1" si="8"/>
        <v>2.8310185185185244E-2</v>
      </c>
      <c r="T39" s="16">
        <f t="shared" ca="1" si="5"/>
        <v>1.1202507090809442</v>
      </c>
    </row>
    <row r="40" spans="1:20" ht="15.5">
      <c r="A40" s="32">
        <v>45399</v>
      </c>
      <c r="B40" s="47" t="s">
        <v>104</v>
      </c>
      <c r="C40" s="7">
        <v>1</v>
      </c>
      <c r="D40" s="8">
        <v>3.4722222222222224E-2</v>
      </c>
      <c r="E40" s="8">
        <f t="shared" si="0"/>
        <v>3.4722222222222224E-2</v>
      </c>
      <c r="F40" s="10">
        <v>0.33135416666666667</v>
      </c>
      <c r="G40" s="48">
        <v>0.36499999999999999</v>
      </c>
      <c r="H40" s="8">
        <f t="shared" si="1"/>
        <v>3.3645833333333319E-2</v>
      </c>
      <c r="I40" s="11">
        <f t="shared" si="2"/>
        <v>0.36607638888888888</v>
      </c>
      <c r="J40" s="8"/>
      <c r="K40" s="8"/>
      <c r="L40" s="8" t="str">
        <f t="shared" si="11"/>
        <v xml:space="preserve"> </v>
      </c>
      <c r="M40" s="12"/>
      <c r="N40" s="13">
        <f t="shared" si="4"/>
        <v>1.031991744066048</v>
      </c>
      <c r="P40" s="14">
        <f ca="1">IFERROR(__xludf.DUMMYFUNCTION("""COMPUTED_VALUE"""),45413)</f>
        <v>45413</v>
      </c>
      <c r="Q40" s="15">
        <f t="shared" ca="1" si="6"/>
        <v>0.35763888888888895</v>
      </c>
      <c r="R40" s="15">
        <f t="shared" ca="1" si="7"/>
        <v>0.35995370370370366</v>
      </c>
      <c r="S40" s="15">
        <f t="shared" ca="1" si="8"/>
        <v>-2.662037037037035E-2</v>
      </c>
      <c r="T40" s="16">
        <f t="shared" ca="1" si="5"/>
        <v>1.0303030161519597</v>
      </c>
    </row>
    <row r="41" spans="1:20" ht="15.5">
      <c r="A41" s="32">
        <v>45399</v>
      </c>
      <c r="B41" s="47" t="s">
        <v>28</v>
      </c>
      <c r="C41" s="7">
        <v>48</v>
      </c>
      <c r="D41" s="8">
        <v>1.3888888888888889E-3</v>
      </c>
      <c r="E41" s="8">
        <f t="shared" si="0"/>
        <v>6.6666666666666666E-2</v>
      </c>
      <c r="F41" s="10">
        <v>0.36499999999999999</v>
      </c>
      <c r="G41" s="10">
        <v>0.46631944444444445</v>
      </c>
      <c r="H41" s="8">
        <f t="shared" si="1"/>
        <v>6.3182870370370389E-2</v>
      </c>
      <c r="I41" s="11">
        <f t="shared" si="2"/>
        <v>0.4698032407407407</v>
      </c>
      <c r="J41" s="8"/>
      <c r="K41" s="8"/>
      <c r="L41" s="8">
        <v>3.8136574074074073E-2</v>
      </c>
      <c r="M41" s="18" t="s">
        <v>107</v>
      </c>
      <c r="N41" s="13">
        <f t="shared" si="4"/>
        <v>1.0551383037186295</v>
      </c>
      <c r="P41" s="14">
        <f ca="1">IFERROR(__xludf.DUMMYFUNCTION("""COMPUTED_VALUE"""),45414)</f>
        <v>45414</v>
      </c>
      <c r="Q41" s="15">
        <f t="shared" ca="1" si="6"/>
        <v>0.28819444444444442</v>
      </c>
      <c r="R41" s="15">
        <f t="shared" ca="1" si="7"/>
        <v>0.27239583333333328</v>
      </c>
      <c r="S41" s="15">
        <f t="shared" ca="1" si="8"/>
        <v>6.0937500000000033E-2</v>
      </c>
      <c r="T41" s="16">
        <f t="shared" ca="1" si="5"/>
        <v>1.0723500501467098</v>
      </c>
    </row>
    <row r="42" spans="1:20" ht="15.5">
      <c r="A42" s="32">
        <v>45399</v>
      </c>
      <c r="B42" s="47" t="s">
        <v>44</v>
      </c>
      <c r="C42" s="7">
        <v>2</v>
      </c>
      <c r="D42" s="8">
        <v>3.472222222222222E-3</v>
      </c>
      <c r="E42" s="8">
        <f t="shared" si="0"/>
        <v>6.9444444444444441E-3</v>
      </c>
      <c r="F42" s="10">
        <v>0.38699074074074075</v>
      </c>
      <c r="G42" s="10">
        <v>0.39336805555555554</v>
      </c>
      <c r="H42" s="8">
        <f t="shared" si="1"/>
        <v>6.377314814814794E-3</v>
      </c>
      <c r="I42" s="11">
        <f t="shared" si="2"/>
        <v>0.39393518518518517</v>
      </c>
      <c r="J42" s="8"/>
      <c r="K42" s="8"/>
      <c r="L42" s="8" t="str">
        <f t="shared" ref="L42:L46" si="12">IF(OR(J42=0,K42=0)," ",K42-J42)</f>
        <v xml:space="preserve"> </v>
      </c>
      <c r="M42" s="12"/>
      <c r="N42" s="13">
        <f t="shared" si="4"/>
        <v>1.0889292196007294</v>
      </c>
      <c r="P42" s="14">
        <f ca="1">IFERROR(__xludf.DUMMYFUNCTION("""COMPUTED_VALUE"""),45415)</f>
        <v>45415</v>
      </c>
      <c r="Q42" s="15">
        <f t="shared" ca="1" si="6"/>
        <v>0.10069444444444446</v>
      </c>
      <c r="R42" s="15">
        <f t="shared" ca="1" si="7"/>
        <v>9.8171296296296229E-2</v>
      </c>
      <c r="S42" s="15">
        <f t="shared" ca="1" si="8"/>
        <v>0.23516203703703709</v>
      </c>
      <c r="T42" s="16">
        <f t="shared" ca="1" si="5"/>
        <v>1.0363163810130007</v>
      </c>
    </row>
    <row r="43" spans="1:20" ht="15.5">
      <c r="A43" s="32">
        <v>45399</v>
      </c>
      <c r="B43" s="47" t="s">
        <v>27</v>
      </c>
      <c r="C43" s="7">
        <v>41</v>
      </c>
      <c r="D43" s="8">
        <v>1.3888888888888889E-3</v>
      </c>
      <c r="E43" s="8">
        <f t="shared" si="0"/>
        <v>5.6944444444444443E-2</v>
      </c>
      <c r="F43" s="10">
        <v>0.5532407407407407</v>
      </c>
      <c r="G43" s="10">
        <v>0.60810185185185184</v>
      </c>
      <c r="H43" s="8">
        <f t="shared" si="1"/>
        <v>5.4861111111111138E-2</v>
      </c>
      <c r="I43" s="11">
        <f t="shared" si="2"/>
        <v>0.61018518518518516</v>
      </c>
      <c r="J43" s="8"/>
      <c r="K43" s="8"/>
      <c r="L43" s="8" t="str">
        <f t="shared" si="12"/>
        <v xml:space="preserve"> </v>
      </c>
      <c r="M43" s="18" t="s">
        <v>110</v>
      </c>
      <c r="N43" s="13">
        <f t="shared" si="4"/>
        <v>1.0379746835443033</v>
      </c>
      <c r="P43" s="14">
        <f ca="1">IFERROR(__xludf.DUMMYFUNCTION("""COMPUTED_VALUE"""),45419)</f>
        <v>45419</v>
      </c>
      <c r="Q43" s="15">
        <f t="shared" ca="1" si="6"/>
        <v>0.36944444444444441</v>
      </c>
      <c r="R43" s="15">
        <f t="shared" ca="1" si="7"/>
        <v>0.33329861111111114</v>
      </c>
      <c r="S43" s="15">
        <f t="shared" ca="1" si="8"/>
        <v>3.4722222222172139E-5</v>
      </c>
      <c r="T43" s="16">
        <f t="shared" ca="1" si="5"/>
        <v>1.1118214996784901</v>
      </c>
    </row>
    <row r="44" spans="1:20" ht="15.5">
      <c r="A44" s="32">
        <v>45400</v>
      </c>
      <c r="B44" s="47" t="s">
        <v>42</v>
      </c>
      <c r="C44" s="7">
        <v>1</v>
      </c>
      <c r="D44" s="8">
        <v>6.9444444444444441E-3</v>
      </c>
      <c r="E44" s="8">
        <f t="shared" si="0"/>
        <v>6.9444444444444441E-3</v>
      </c>
      <c r="F44" s="10">
        <v>0.33070601851851855</v>
      </c>
      <c r="G44" s="10">
        <v>0.33940972222222221</v>
      </c>
      <c r="H44" s="8">
        <f t="shared" si="1"/>
        <v>8.703703703703658E-3</v>
      </c>
      <c r="I44" s="11">
        <f t="shared" si="2"/>
        <v>0.33765046296296297</v>
      </c>
      <c r="J44" s="8"/>
      <c r="K44" s="8"/>
      <c r="L44" s="8" t="str">
        <f t="shared" si="12"/>
        <v xml:space="preserve"> </v>
      </c>
      <c r="M44" s="12"/>
      <c r="N44" s="13">
        <f t="shared" si="4"/>
        <v>0.79787234042553601</v>
      </c>
      <c r="P44" s="14">
        <f ca="1">IFERROR(__xludf.DUMMYFUNCTION("""COMPUTED_VALUE"""),45420)</f>
        <v>45420</v>
      </c>
      <c r="Q44" s="15">
        <f t="shared" ca="1" si="6"/>
        <v>0.29166666666666669</v>
      </c>
      <c r="R44" s="15">
        <f t="shared" ca="1" si="7"/>
        <v>0.27143518518518522</v>
      </c>
      <c r="S44" s="15">
        <f t="shared" ca="1" si="8"/>
        <v>6.1898148148148091E-2</v>
      </c>
      <c r="T44" s="16">
        <f t="shared" ca="1" si="5"/>
        <v>1.075578929712516</v>
      </c>
    </row>
    <row r="45" spans="1:20" ht="15.5">
      <c r="A45" s="32">
        <v>45400</v>
      </c>
      <c r="B45" s="47" t="s">
        <v>28</v>
      </c>
      <c r="C45" s="7">
        <v>3</v>
      </c>
      <c r="D45" s="8">
        <v>1.3888888888888889E-3</v>
      </c>
      <c r="E45" s="8">
        <f t="shared" si="0"/>
        <v>4.1666666666666666E-3</v>
      </c>
      <c r="F45" s="10">
        <v>0.38239583333333332</v>
      </c>
      <c r="G45" s="10">
        <v>0.38527777777777777</v>
      </c>
      <c r="H45" s="8">
        <f t="shared" si="1"/>
        <v>2.8819444444444509E-3</v>
      </c>
      <c r="I45" s="11">
        <f t="shared" si="2"/>
        <v>0.38656249999999998</v>
      </c>
      <c r="J45" s="8"/>
      <c r="K45" s="8"/>
      <c r="L45" s="8" t="str">
        <f t="shared" si="12"/>
        <v xml:space="preserve"> </v>
      </c>
      <c r="M45" s="12"/>
      <c r="N45" s="13">
        <f t="shared" si="4"/>
        <v>1.4457831325301171</v>
      </c>
      <c r="P45" s="14">
        <f ca="1">IFERROR(__xludf.DUMMYFUNCTION("""COMPUTED_VALUE"""),45421)</f>
        <v>45421</v>
      </c>
      <c r="Q45" s="15">
        <f t="shared" ca="1" si="6"/>
        <v>7.2916666666666671E-2</v>
      </c>
      <c r="R45" s="15">
        <f t="shared" ca="1" si="7"/>
        <v>7.1045787035588837E-2</v>
      </c>
      <c r="S45" s="15">
        <f t="shared" ca="1" si="8"/>
        <v>0.26228754629774448</v>
      </c>
      <c r="T45" s="16">
        <f t="shared" ca="1" si="5"/>
        <v>1.0319726026853953</v>
      </c>
    </row>
    <row r="46" spans="1:20" ht="15.5">
      <c r="A46" s="32">
        <v>45400</v>
      </c>
      <c r="B46" s="47" t="s">
        <v>37</v>
      </c>
      <c r="C46" s="7">
        <v>46</v>
      </c>
      <c r="D46" s="8">
        <v>1.3888888888888889E-3</v>
      </c>
      <c r="E46" s="8">
        <f t="shared" si="0"/>
        <v>6.3888888888888898E-2</v>
      </c>
      <c r="F46" s="10">
        <v>0.39855324074074072</v>
      </c>
      <c r="G46" s="10">
        <v>0.46171296296296294</v>
      </c>
      <c r="H46" s="8">
        <f t="shared" si="1"/>
        <v>6.3159722222222214E-2</v>
      </c>
      <c r="I46" s="11">
        <f t="shared" si="2"/>
        <v>0.46244212962962961</v>
      </c>
      <c r="J46" s="8"/>
      <c r="K46" s="8"/>
      <c r="L46" s="8" t="str">
        <f t="shared" si="12"/>
        <v xml:space="preserve"> </v>
      </c>
      <c r="M46" s="12"/>
      <c r="N46" s="13">
        <f t="shared" si="4"/>
        <v>1.0115448048378233</v>
      </c>
      <c r="P46" s="14">
        <f ca="1">IFERROR(__xludf.DUMMYFUNCTION("""COMPUTED_VALUE"""),45422)</f>
        <v>45422</v>
      </c>
      <c r="Q46" s="15">
        <f t="shared" ca="1" si="6"/>
        <v>3.9583333333333331E-2</v>
      </c>
      <c r="R46" s="15">
        <f t="shared" ca="1" si="7"/>
        <v>3.7453703703703656E-2</v>
      </c>
      <c r="S46" s="15">
        <f t="shared" ca="1" si="8"/>
        <v>0.29587962962962966</v>
      </c>
      <c r="T46" s="16">
        <f t="shared" ca="1" si="5"/>
        <v>1.0616897984626372</v>
      </c>
    </row>
    <row r="47" spans="1:20" ht="15.5">
      <c r="A47" s="32">
        <v>45400</v>
      </c>
      <c r="B47" s="47" t="s">
        <v>20</v>
      </c>
      <c r="C47" s="7">
        <v>48</v>
      </c>
      <c r="D47" s="8">
        <v>2.0833333333333333E-3</v>
      </c>
      <c r="E47" s="8">
        <f t="shared" si="0"/>
        <v>0.1</v>
      </c>
      <c r="F47" s="10">
        <v>0.56443287037037038</v>
      </c>
      <c r="G47" s="10">
        <v>0.70921296296296299</v>
      </c>
      <c r="H47" s="8">
        <f t="shared" si="1"/>
        <v>0.10083333333333336</v>
      </c>
      <c r="I47" s="11">
        <f t="shared" si="2"/>
        <v>0.70837962962962964</v>
      </c>
      <c r="J47" s="8"/>
      <c r="K47" s="8"/>
      <c r="L47" s="8">
        <v>4.3946759259259262E-2</v>
      </c>
      <c r="M47" s="12"/>
      <c r="N47" s="13">
        <f t="shared" si="4"/>
        <v>0.99173553719008245</v>
      </c>
      <c r="P47" s="14">
        <f ca="1">IFERROR(__xludf.DUMMYFUNCTION("""COMPUTED_VALUE"""),45425)</f>
        <v>45425</v>
      </c>
      <c r="Q47" s="15">
        <f t="shared" ca="1" si="6"/>
        <v>0.12222222222222225</v>
      </c>
      <c r="R47" s="15">
        <f t="shared" ca="1" si="7"/>
        <v>0.11901620370370375</v>
      </c>
      <c r="S47" s="15">
        <f t="shared" ca="1" si="8"/>
        <v>0.21431712962962957</v>
      </c>
      <c r="T47" s="16">
        <f t="shared" ca="1" si="5"/>
        <v>1.040645812830753</v>
      </c>
    </row>
    <row r="48" spans="1:20" ht="15.5">
      <c r="A48" s="32">
        <v>45400</v>
      </c>
      <c r="B48" s="47" t="s">
        <v>108</v>
      </c>
      <c r="C48" s="7">
        <v>1</v>
      </c>
      <c r="D48" s="8">
        <v>1.0416666666666666E-2</v>
      </c>
      <c r="E48" s="8">
        <f t="shared" si="0"/>
        <v>1.0416666666666666E-2</v>
      </c>
      <c r="F48" s="10">
        <v>0.62593750000000004</v>
      </c>
      <c r="G48" s="10">
        <v>0.63570601851851849</v>
      </c>
      <c r="H48" s="8">
        <f t="shared" si="1"/>
        <v>9.7685185185184542E-3</v>
      </c>
      <c r="I48" s="11">
        <f t="shared" si="2"/>
        <v>0.63635416666666667</v>
      </c>
      <c r="J48" s="8"/>
      <c r="K48" s="8"/>
      <c r="L48" s="8" t="str">
        <f t="shared" ref="L48:L51" si="13">IF(OR(J48=0,K48=0)," ",K48-J48)</f>
        <v xml:space="preserve"> </v>
      </c>
      <c r="M48" s="18" t="s">
        <v>111</v>
      </c>
      <c r="N48" s="13">
        <f t="shared" si="4"/>
        <v>1.0663507109004808</v>
      </c>
      <c r="P48" s="14">
        <f ca="1">IFERROR(__xludf.DUMMYFUNCTION("""COMPUTED_VALUE"""),45426)</f>
        <v>45426</v>
      </c>
      <c r="Q48" s="15">
        <f t="shared" ca="1" si="6"/>
        <v>0.21250000000000002</v>
      </c>
      <c r="R48" s="15">
        <f t="shared" ca="1" si="7"/>
        <v>0.18280092592592595</v>
      </c>
      <c r="S48" s="15">
        <f t="shared" ca="1" si="8"/>
        <v>0.15053240740740736</v>
      </c>
      <c r="T48" s="16">
        <f t="shared" ca="1" si="5"/>
        <v>1.1179449918473379</v>
      </c>
    </row>
    <row r="49" spans="1:20" ht="15.5">
      <c r="A49" s="32">
        <v>45400</v>
      </c>
      <c r="B49" s="47" t="s">
        <v>108</v>
      </c>
      <c r="C49" s="7">
        <v>1</v>
      </c>
      <c r="D49" s="8">
        <v>1.0416666666666666E-2</v>
      </c>
      <c r="E49" s="8">
        <f t="shared" si="0"/>
        <v>1.0416666666666666E-2</v>
      </c>
      <c r="F49" s="10">
        <v>0.63570601851851849</v>
      </c>
      <c r="G49" s="10">
        <v>0.64583333333333337</v>
      </c>
      <c r="H49" s="8">
        <f t="shared" si="1"/>
        <v>1.0127314814814881E-2</v>
      </c>
      <c r="I49" s="11">
        <f t="shared" si="2"/>
        <v>0.64612268518518512</v>
      </c>
      <c r="J49" s="8"/>
      <c r="K49" s="8"/>
      <c r="L49" s="8" t="str">
        <f t="shared" si="13"/>
        <v xml:space="preserve"> </v>
      </c>
      <c r="M49" s="18" t="s">
        <v>112</v>
      </c>
      <c r="N49" s="13">
        <f t="shared" si="4"/>
        <v>1.0285714285714218</v>
      </c>
      <c r="P49" s="14">
        <f ca="1">IFERROR(__xludf.DUMMYFUNCTION("""COMPUTED_VALUE"""),45427)</f>
        <v>45427</v>
      </c>
      <c r="Q49" s="15">
        <f t="shared" ca="1" si="6"/>
        <v>0.29513888888888895</v>
      </c>
      <c r="R49" s="15">
        <f t="shared" ca="1" si="7"/>
        <v>0.27138888888888896</v>
      </c>
      <c r="S49" s="15">
        <f t="shared" ca="1" si="8"/>
        <v>6.1944444444444358E-2</v>
      </c>
      <c r="T49" s="16">
        <f t="shared" ca="1" si="5"/>
        <v>1.0643488475153897</v>
      </c>
    </row>
    <row r="50" spans="1:20" ht="15.5">
      <c r="A50" s="32">
        <v>45401</v>
      </c>
      <c r="B50" s="47" t="s">
        <v>43</v>
      </c>
      <c r="C50" s="7">
        <v>1</v>
      </c>
      <c r="D50" s="8">
        <v>3.4722222222222224E-2</v>
      </c>
      <c r="E50" s="8">
        <f t="shared" si="0"/>
        <v>3.4722222222222224E-2</v>
      </c>
      <c r="F50" s="10">
        <v>0.33408564814814817</v>
      </c>
      <c r="G50" s="10">
        <v>0.36811342592592594</v>
      </c>
      <c r="H50" s="8">
        <f t="shared" si="1"/>
        <v>3.4027777777777768E-2</v>
      </c>
      <c r="I50" s="11">
        <f t="shared" si="2"/>
        <v>0.36880787037037038</v>
      </c>
      <c r="J50" s="8"/>
      <c r="K50" s="8"/>
      <c r="L50" s="8" t="str">
        <f t="shared" si="13"/>
        <v xml:space="preserve"> </v>
      </c>
      <c r="M50" s="12"/>
      <c r="N50" s="13">
        <f t="shared" si="4"/>
        <v>1.0204081632653064</v>
      </c>
      <c r="P50" s="14">
        <f ca="1">IFERROR(__xludf.DUMMYFUNCTION("""COMPUTED_VALUE"""),45428)</f>
        <v>45428</v>
      </c>
      <c r="Q50" s="15">
        <f t="shared" ca="1" si="6"/>
        <v>0.17013888888888887</v>
      </c>
      <c r="R50" s="15">
        <f t="shared" ca="1" si="7"/>
        <v>0.16576388888888891</v>
      </c>
      <c r="S50" s="15">
        <f t="shared" ca="1" si="8"/>
        <v>0.16756944444444441</v>
      </c>
      <c r="T50" s="16">
        <f t="shared" ca="1" si="5"/>
        <v>1.0377524217378118</v>
      </c>
    </row>
    <row r="51" spans="1:20" ht="15.5">
      <c r="A51" s="32">
        <v>45401</v>
      </c>
      <c r="B51" s="47" t="s">
        <v>44</v>
      </c>
      <c r="C51" s="7">
        <v>7</v>
      </c>
      <c r="D51" s="8">
        <v>3.472222222222222E-3</v>
      </c>
      <c r="E51" s="8">
        <f t="shared" si="0"/>
        <v>2.4305555555555552E-2</v>
      </c>
      <c r="F51" s="10">
        <v>0.39643518518518517</v>
      </c>
      <c r="G51" s="10">
        <v>0.42001157407407408</v>
      </c>
      <c r="H51" s="8">
        <f t="shared" si="1"/>
        <v>2.3576388888888911E-2</v>
      </c>
      <c r="I51" s="11">
        <f t="shared" si="2"/>
        <v>0.42074074074074075</v>
      </c>
      <c r="J51" s="8"/>
      <c r="K51" s="8"/>
      <c r="L51" s="8" t="str">
        <f t="shared" si="13"/>
        <v xml:space="preserve"> </v>
      </c>
      <c r="M51" s="12"/>
      <c r="N51" s="13">
        <f t="shared" si="4"/>
        <v>1.0309278350515454</v>
      </c>
      <c r="P51" s="14">
        <f ca="1">IFERROR(__xludf.DUMMYFUNCTION("""COMPUTED_VALUE"""),45429)</f>
        <v>45429</v>
      </c>
      <c r="Q51" s="15">
        <f t="shared" ca="1" si="6"/>
        <v>2.0833333333333332E-2</v>
      </c>
      <c r="R51" s="15">
        <f t="shared" ca="1" si="7"/>
        <v>1.9907407407407429E-2</v>
      </c>
      <c r="S51" s="15">
        <f t="shared" ca="1" si="8"/>
        <v>0.31342592592592589</v>
      </c>
      <c r="T51" s="16">
        <f t="shared" ca="1" si="5"/>
        <v>1.0467154232300491</v>
      </c>
    </row>
    <row r="52" spans="1:20" ht="15.5">
      <c r="A52" s="32">
        <v>45401</v>
      </c>
      <c r="B52" s="47" t="s">
        <v>105</v>
      </c>
      <c r="C52" s="7">
        <v>20</v>
      </c>
      <c r="D52" s="8">
        <v>1.736111111111111E-3</v>
      </c>
      <c r="E52" s="8">
        <f t="shared" si="0"/>
        <v>3.4722222222222224E-2</v>
      </c>
      <c r="F52" s="10">
        <v>0.42001157407407408</v>
      </c>
      <c r="G52" s="10">
        <v>0.48024305555555558</v>
      </c>
      <c r="H52" s="8">
        <f t="shared" si="1"/>
        <v>3.4143518518518531E-2</v>
      </c>
      <c r="I52" s="11">
        <f t="shared" si="2"/>
        <v>0.48082175925925924</v>
      </c>
      <c r="J52" s="8"/>
      <c r="K52" s="8"/>
      <c r="L52" s="8">
        <v>2.6087962962962962E-2</v>
      </c>
      <c r="M52" s="12"/>
      <c r="N52" s="13">
        <f t="shared" si="4"/>
        <v>1.0169491525423726</v>
      </c>
      <c r="P52" s="14">
        <f ca="1">IFERROR(__xludf.DUMMYFUNCTION("""COMPUTED_VALUE"""),45432)</f>
        <v>45432</v>
      </c>
      <c r="Q52" s="15">
        <f t="shared" ca="1" si="6"/>
        <v>0.36284722222222227</v>
      </c>
      <c r="R52" s="15">
        <f t="shared" ca="1" si="7"/>
        <v>0.33523148148148141</v>
      </c>
      <c r="S52" s="15">
        <f t="shared" ca="1" si="8"/>
        <v>-1.8981481481480933E-3</v>
      </c>
      <c r="T52" s="16">
        <f t="shared" ca="1" si="5"/>
        <v>1.0879547705483081</v>
      </c>
    </row>
    <row r="53" spans="1:20" ht="15.5">
      <c r="A53" s="32">
        <v>45401</v>
      </c>
      <c r="B53" s="49" t="s">
        <v>106</v>
      </c>
      <c r="C53" s="7">
        <v>20</v>
      </c>
      <c r="D53" s="8">
        <v>2.0833333333333333E-3</v>
      </c>
      <c r="E53" s="8">
        <f t="shared" si="0"/>
        <v>4.1666666666666664E-2</v>
      </c>
      <c r="F53" s="10">
        <v>0.58946759259259263</v>
      </c>
      <c r="G53" s="10">
        <v>0.63107638888888884</v>
      </c>
      <c r="H53" s="8">
        <f t="shared" si="1"/>
        <v>4.1608796296296213E-2</v>
      </c>
      <c r="I53" s="11">
        <f t="shared" si="2"/>
        <v>0.63113425925925926</v>
      </c>
      <c r="J53" s="8"/>
      <c r="K53" s="8"/>
      <c r="L53" s="8" t="str">
        <f t="shared" ref="L53:L57" si="14">IF(OR(J53=0,K53=0)," ",K53-J53)</f>
        <v xml:space="preserve"> </v>
      </c>
      <c r="M53" s="12"/>
      <c r="N53" s="13">
        <f t="shared" si="4"/>
        <v>1.0013908205841466</v>
      </c>
      <c r="P53" s="14">
        <f ca="1">IFERROR(__xludf.DUMMYFUNCTION("""COMPUTED_VALUE"""),45433)</f>
        <v>45433</v>
      </c>
      <c r="Q53" s="15">
        <f t="shared" ca="1" si="6"/>
        <v>0.25625000000000003</v>
      </c>
      <c r="R53" s="15">
        <f t="shared" ca="1" si="7"/>
        <v>0.24090277777777785</v>
      </c>
      <c r="S53" s="15">
        <f t="shared" ca="1" si="8"/>
        <v>9.243055555555546E-2</v>
      </c>
      <c r="T53" s="16">
        <f t="shared" ca="1" si="5"/>
        <v>1.0540948657389855</v>
      </c>
    </row>
    <row r="54" spans="1:20" ht="15.5">
      <c r="A54" s="32">
        <v>45401</v>
      </c>
      <c r="B54" s="47" t="s">
        <v>108</v>
      </c>
      <c r="C54" s="7">
        <v>1</v>
      </c>
      <c r="D54" s="8">
        <v>1.0416666666666666E-2</v>
      </c>
      <c r="E54" s="8">
        <f t="shared" si="0"/>
        <v>1.0416666666666666E-2</v>
      </c>
      <c r="F54" s="10">
        <v>0.63107638888888884</v>
      </c>
      <c r="G54" s="10">
        <v>0.64120370370370372</v>
      </c>
      <c r="H54" s="8">
        <f t="shared" si="1"/>
        <v>1.0127314814814881E-2</v>
      </c>
      <c r="I54" s="11">
        <f t="shared" si="2"/>
        <v>0.64149305555555547</v>
      </c>
      <c r="J54" s="8"/>
      <c r="K54" s="8"/>
      <c r="L54" s="8" t="str">
        <f t="shared" si="14"/>
        <v xml:space="preserve"> </v>
      </c>
      <c r="M54" s="18" t="s">
        <v>113</v>
      </c>
      <c r="N54" s="13">
        <f t="shared" si="4"/>
        <v>1.0285714285714218</v>
      </c>
      <c r="P54" s="14">
        <f ca="1">IFERROR(__xludf.DUMMYFUNCTION("""COMPUTED_VALUE"""),45434)</f>
        <v>45434</v>
      </c>
      <c r="Q54" s="15">
        <f t="shared" ca="1" si="6"/>
        <v>7.6388888888888895E-2</v>
      </c>
      <c r="R54" s="15">
        <f t="shared" ca="1" si="7"/>
        <v>7.3831018518518601E-2</v>
      </c>
      <c r="S54" s="15">
        <f t="shared" ca="1" si="8"/>
        <v>0.25950231481481473</v>
      </c>
      <c r="T54" s="16">
        <f t="shared" ca="1" si="5"/>
        <v>1.035133017866557</v>
      </c>
    </row>
    <row r="55" spans="1:20" ht="15.5">
      <c r="A55" s="32">
        <v>45401</v>
      </c>
      <c r="B55" s="47" t="s">
        <v>105</v>
      </c>
      <c r="C55" s="7">
        <v>38</v>
      </c>
      <c r="D55" s="8">
        <v>1.736111111111111E-3</v>
      </c>
      <c r="E55" s="8">
        <f t="shared" si="0"/>
        <v>6.5972222222222224E-2</v>
      </c>
      <c r="F55" s="10">
        <v>0.64120370370370372</v>
      </c>
      <c r="G55" s="10">
        <v>0.70833333333333337</v>
      </c>
      <c r="H55" s="8">
        <f t="shared" si="1"/>
        <v>6.712962962962965E-2</v>
      </c>
      <c r="I55" s="11">
        <f t="shared" si="2"/>
        <v>0.70717592592592593</v>
      </c>
      <c r="J55" s="8"/>
      <c r="K55" s="8"/>
      <c r="L55" s="8" t="str">
        <f t="shared" si="14"/>
        <v xml:space="preserve"> </v>
      </c>
      <c r="M55" s="12"/>
      <c r="N55" s="13">
        <f t="shared" si="4"/>
        <v>0.98275862068965492</v>
      </c>
      <c r="P55" s="14">
        <f ca="1">IFERROR(__xludf.DUMMYFUNCTION("""COMPUTED_VALUE"""),45435)</f>
        <v>45435</v>
      </c>
      <c r="Q55" s="15">
        <f t="shared" ca="1" si="6"/>
        <v>0.40625</v>
      </c>
      <c r="R55" s="15">
        <f t="shared" ca="1" si="7"/>
        <v>0.37081018518518527</v>
      </c>
      <c r="S55" s="15">
        <f t="shared" ca="1" si="8"/>
        <v>-3.7476851851851956E-2</v>
      </c>
      <c r="T55" s="16">
        <f t="shared" ca="1" si="5"/>
        <v>1.0887310766874503</v>
      </c>
    </row>
    <row r="56" spans="1:20" ht="15.5">
      <c r="A56" s="32">
        <v>45404</v>
      </c>
      <c r="B56" s="47" t="s">
        <v>42</v>
      </c>
      <c r="C56" s="7">
        <v>1</v>
      </c>
      <c r="D56" s="8">
        <v>6.9444444444444441E-3</v>
      </c>
      <c r="E56" s="8">
        <f t="shared" si="0"/>
        <v>6.9444444444444441E-3</v>
      </c>
      <c r="F56" s="10">
        <v>0.32983796296296297</v>
      </c>
      <c r="G56" s="10">
        <v>0.33631944444444445</v>
      </c>
      <c r="H56" s="8">
        <f t="shared" si="1"/>
        <v>6.481481481481477E-3</v>
      </c>
      <c r="I56" s="11">
        <f t="shared" si="2"/>
        <v>0.33678240740740739</v>
      </c>
      <c r="J56" s="8"/>
      <c r="K56" s="8"/>
      <c r="L56" s="8" t="str">
        <f t="shared" si="14"/>
        <v xml:space="preserve"> </v>
      </c>
      <c r="M56" s="12"/>
      <c r="N56" s="13">
        <f t="shared" si="4"/>
        <v>1.0714285714285721</v>
      </c>
      <c r="P56" s="14">
        <f ca="1">IFERROR(__xludf.DUMMYFUNCTION("""COMPUTED_VALUE"""),45436)</f>
        <v>45436</v>
      </c>
      <c r="Q56" s="15">
        <f t="shared" ca="1" si="6"/>
        <v>0.375</v>
      </c>
      <c r="R56" s="15">
        <f t="shared" ca="1" si="7"/>
        <v>0.3305671296296297</v>
      </c>
      <c r="S56" s="15">
        <f t="shared" ca="1" si="8"/>
        <v>2.766203703703618E-3</v>
      </c>
      <c r="T56" s="16">
        <f t="shared" ca="1" si="5"/>
        <v>1.1298189649375399</v>
      </c>
    </row>
    <row r="57" spans="1:20" ht="15.5">
      <c r="A57" s="32">
        <v>45404</v>
      </c>
      <c r="B57" s="47" t="s">
        <v>43</v>
      </c>
      <c r="C57" s="7">
        <v>1</v>
      </c>
      <c r="D57" s="8">
        <v>3.4722222222222224E-2</v>
      </c>
      <c r="E57" s="8">
        <f t="shared" si="0"/>
        <v>3.4722222222222224E-2</v>
      </c>
      <c r="F57" s="10">
        <v>0.33631944444444445</v>
      </c>
      <c r="G57" s="10">
        <v>0.37096064814814811</v>
      </c>
      <c r="H57" s="8">
        <f t="shared" si="1"/>
        <v>3.464120370370366E-2</v>
      </c>
      <c r="I57" s="11">
        <f t="shared" si="2"/>
        <v>0.37104166666666666</v>
      </c>
      <c r="J57" s="8"/>
      <c r="K57" s="8"/>
      <c r="L57" s="8" t="str">
        <f t="shared" si="14"/>
        <v xml:space="preserve"> </v>
      </c>
      <c r="M57" s="12"/>
      <c r="N57" s="13">
        <f t="shared" si="4"/>
        <v>1.002338790511194</v>
      </c>
      <c r="P57" s="14">
        <f ca="1">IFERROR(__xludf.DUMMYFUNCTION("""COMPUTED_VALUE"""),45440)</f>
        <v>45440</v>
      </c>
      <c r="Q57" s="15">
        <f t="shared" ca="1" si="6"/>
        <v>0.38541666666666674</v>
      </c>
      <c r="R57" s="15">
        <f t="shared" ca="1" si="7"/>
        <v>0.34599537037037031</v>
      </c>
      <c r="S57" s="15">
        <f t="shared" ca="1" si="8"/>
        <v>-1.2662037037036999E-2</v>
      </c>
      <c r="T57" s="16">
        <f t="shared" ca="1" si="5"/>
        <v>1.0739667311825463</v>
      </c>
    </row>
    <row r="58" spans="1:20" ht="15.5">
      <c r="A58" s="32">
        <v>45404</v>
      </c>
      <c r="B58" s="47" t="s">
        <v>85</v>
      </c>
      <c r="C58" s="7">
        <v>1</v>
      </c>
      <c r="D58" s="8">
        <v>8.3333333333333329E-2</v>
      </c>
      <c r="E58" s="8">
        <f t="shared" si="0"/>
        <v>8.3333333333333329E-2</v>
      </c>
      <c r="F58" s="10">
        <v>0.37096064814814811</v>
      </c>
      <c r="G58" s="10">
        <v>0.49121527777777774</v>
      </c>
      <c r="H58" s="8">
        <f t="shared" si="1"/>
        <v>8.2071759259259261E-2</v>
      </c>
      <c r="I58" s="11">
        <f t="shared" si="2"/>
        <v>0.4924768518518518</v>
      </c>
      <c r="J58" s="8"/>
      <c r="K58" s="8"/>
      <c r="L58" s="8">
        <v>3.8182870370370367E-2</v>
      </c>
      <c r="M58" s="12"/>
      <c r="N58" s="13">
        <f t="shared" si="4"/>
        <v>1.0153715978000282</v>
      </c>
      <c r="P58" s="14">
        <f ca="1">IFERROR(__xludf.DUMMYFUNCTION("""COMPUTED_VALUE"""),45441)</f>
        <v>45441</v>
      </c>
      <c r="Q58" s="15">
        <f t="shared" ca="1" si="6"/>
        <v>0.37013888888888896</v>
      </c>
      <c r="R58" s="15">
        <f t="shared" ca="1" si="7"/>
        <v>0.32903476851311064</v>
      </c>
      <c r="S58" s="15">
        <f t="shared" ca="1" si="8"/>
        <v>4.2985648202226723E-3</v>
      </c>
      <c r="T58" s="16">
        <f t="shared" ca="1" si="5"/>
        <v>1.1079138579677732</v>
      </c>
    </row>
    <row r="59" spans="1:20" ht="15.5">
      <c r="A59" s="32">
        <v>45404</v>
      </c>
      <c r="B59" s="47" t="s">
        <v>63</v>
      </c>
      <c r="C59" s="7">
        <v>1</v>
      </c>
      <c r="D59" s="8">
        <v>3.4722222222222224E-2</v>
      </c>
      <c r="E59" s="8">
        <f t="shared" si="0"/>
        <v>3.4722222222222224E-2</v>
      </c>
      <c r="F59" s="10">
        <v>0.49121527777777774</v>
      </c>
      <c r="G59" s="10">
        <v>0.52483796296296292</v>
      </c>
      <c r="H59" s="8">
        <f t="shared" si="1"/>
        <v>3.3622685185185186E-2</v>
      </c>
      <c r="I59" s="11">
        <f t="shared" si="2"/>
        <v>0.52593749999999995</v>
      </c>
      <c r="J59" s="8"/>
      <c r="K59" s="8"/>
      <c r="L59" s="8" t="str">
        <f t="shared" ref="L59:L60" si="15">IF(OR(J59=0,K59=0)," ",K59-J59)</f>
        <v xml:space="preserve"> </v>
      </c>
      <c r="M59" s="12"/>
      <c r="N59" s="13">
        <f t="shared" si="4"/>
        <v>1.0327022375215147</v>
      </c>
      <c r="P59" s="14">
        <f ca="1">IFERROR(__xludf.DUMMYFUNCTION("""COMPUTED_VALUE"""),45442)</f>
        <v>45442</v>
      </c>
      <c r="Q59" s="15">
        <f t="shared" ca="1" si="6"/>
        <v>0.31736111111111115</v>
      </c>
      <c r="R59" s="15">
        <f t="shared" ca="1" si="7"/>
        <v>0.29164351851851861</v>
      </c>
      <c r="S59" s="15">
        <f t="shared" ca="1" si="8"/>
        <v>4.1689814814814707E-2</v>
      </c>
      <c r="T59" s="16">
        <f t="shared" ca="1" si="5"/>
        <v>1.0724509228844625</v>
      </c>
    </row>
    <row r="60" spans="1:20" ht="15.5">
      <c r="A60" s="32">
        <v>45404</v>
      </c>
      <c r="B60" s="47" t="s">
        <v>84</v>
      </c>
      <c r="C60" s="7">
        <v>1</v>
      </c>
      <c r="D60" s="8">
        <v>7.6388888888888895E-2</v>
      </c>
      <c r="E60" s="8">
        <f t="shared" si="0"/>
        <v>7.6388888888888895E-2</v>
      </c>
      <c r="F60" s="10">
        <v>0.52483796296296292</v>
      </c>
      <c r="G60" s="10">
        <v>0.58834490740740741</v>
      </c>
      <c r="H60" s="8">
        <f t="shared" si="1"/>
        <v>6.3506944444444491E-2</v>
      </c>
      <c r="I60" s="11">
        <f t="shared" si="2"/>
        <v>0.60122685185185176</v>
      </c>
      <c r="J60" s="8"/>
      <c r="K60" s="8"/>
      <c r="L60" s="8" t="str">
        <f t="shared" si="15"/>
        <v xml:space="preserve"> </v>
      </c>
      <c r="M60" s="12"/>
      <c r="N60" s="13">
        <f t="shared" si="4"/>
        <v>1.2028430836522681</v>
      </c>
      <c r="P60" s="14">
        <f ca="1">IFERROR(__xludf.DUMMYFUNCTION("""COMPUTED_VALUE"""),45443)</f>
        <v>45443</v>
      </c>
      <c r="Q60" s="15">
        <f t="shared" ca="1" si="6"/>
        <v>0.33333333333333337</v>
      </c>
      <c r="R60" s="15">
        <f t="shared" ca="1" si="7"/>
        <v>0.30460648148148151</v>
      </c>
      <c r="S60" s="15">
        <f t="shared" ca="1" si="8"/>
        <v>2.8726851851851809E-2</v>
      </c>
      <c r="T60" s="16">
        <f t="shared" ca="1" si="5"/>
        <v>1.0681081450002652</v>
      </c>
    </row>
    <row r="61" spans="1:20" ht="15.5">
      <c r="A61" s="32">
        <v>45404</v>
      </c>
      <c r="B61" s="47" t="s">
        <v>50</v>
      </c>
      <c r="C61" s="7">
        <v>2</v>
      </c>
      <c r="D61" s="8">
        <v>1.0416666666666666E-2</v>
      </c>
      <c r="E61" s="8">
        <f t="shared" si="0"/>
        <v>2.0833333333333332E-2</v>
      </c>
      <c r="F61" s="10">
        <v>0.58834490740740741</v>
      </c>
      <c r="G61" s="10">
        <v>0.64771990740740737</v>
      </c>
      <c r="H61" s="8">
        <f t="shared" si="1"/>
        <v>2.1307870370370324E-2</v>
      </c>
      <c r="I61" s="11">
        <f t="shared" si="2"/>
        <v>0.64724537037037044</v>
      </c>
      <c r="J61" s="8"/>
      <c r="K61" s="8"/>
      <c r="L61" s="8">
        <v>3.8067129629629631E-2</v>
      </c>
      <c r="M61" s="18" t="s">
        <v>114</v>
      </c>
      <c r="N61" s="13">
        <f t="shared" si="4"/>
        <v>0.97772949483976301</v>
      </c>
      <c r="P61" s="14">
        <f ca="1">IFERROR(__xludf.DUMMYFUNCTION("""COMPUTED_VALUE"""),45446)</f>
        <v>45446</v>
      </c>
      <c r="Q61" s="15">
        <f t="shared" ca="1" si="6"/>
        <v>0.34375000000000006</v>
      </c>
      <c r="R61" s="15">
        <f t="shared" ca="1" si="7"/>
        <v>0.33370370370370372</v>
      </c>
      <c r="S61" s="15">
        <f t="shared" ca="1" si="8"/>
        <v>-3.7037037037040976E-4</v>
      </c>
      <c r="T61" s="16">
        <f t="shared" ca="1" si="5"/>
        <v>1.0385488216038767</v>
      </c>
    </row>
    <row r="62" spans="1:20" ht="15.5">
      <c r="A62" s="32">
        <v>45405</v>
      </c>
      <c r="B62" s="47" t="s">
        <v>56</v>
      </c>
      <c r="C62" s="7">
        <v>1</v>
      </c>
      <c r="D62" s="8">
        <v>4.1666666666666664E-2</v>
      </c>
      <c r="E62" s="8">
        <f t="shared" si="0"/>
        <v>4.1666666666666664E-2</v>
      </c>
      <c r="F62" s="10">
        <v>0.32811342592592596</v>
      </c>
      <c r="G62" s="10">
        <v>0.3843981481481481</v>
      </c>
      <c r="H62" s="8">
        <f t="shared" si="1"/>
        <v>4.0937499999999918E-2</v>
      </c>
      <c r="I62" s="11">
        <f t="shared" si="2"/>
        <v>0.38512731481481488</v>
      </c>
      <c r="J62" s="8"/>
      <c r="K62" s="8"/>
      <c r="L62" s="8">
        <v>1.5347222222222222E-2</v>
      </c>
      <c r="M62" s="12"/>
      <c r="N62" s="13">
        <f t="shared" si="4"/>
        <v>1.0178117048346076</v>
      </c>
      <c r="P62" s="14">
        <f ca="1">IFERROR(__xludf.DUMMYFUNCTION("""COMPUTED_VALUE"""),45447)</f>
        <v>45447</v>
      </c>
      <c r="Q62" s="15">
        <f t="shared" ca="1" si="6"/>
        <v>0.35138888888888892</v>
      </c>
      <c r="R62" s="15">
        <f t="shared" ca="1" si="7"/>
        <v>0.33651620370370366</v>
      </c>
      <c r="S62" s="15">
        <f t="shared" ca="1" si="8"/>
        <v>-3.1828703703703498E-3</v>
      </c>
      <c r="T62" s="16">
        <f t="shared" ca="1" si="5"/>
        <v>1.0487327051455264</v>
      </c>
    </row>
    <row r="63" spans="1:20" ht="15.5">
      <c r="A63" s="32">
        <v>45405</v>
      </c>
      <c r="B63" s="47" t="s">
        <v>44</v>
      </c>
      <c r="C63" s="7">
        <v>2</v>
      </c>
      <c r="D63" s="8">
        <v>3.472222222222222E-3</v>
      </c>
      <c r="E63" s="8">
        <f t="shared" si="0"/>
        <v>6.9444444444444441E-3</v>
      </c>
      <c r="F63" s="10">
        <v>0.41939814814814813</v>
      </c>
      <c r="G63" s="50">
        <v>0.42612268518518515</v>
      </c>
      <c r="H63" s="8">
        <f t="shared" si="1"/>
        <v>6.724537037037015E-3</v>
      </c>
      <c r="I63" s="11">
        <f t="shared" si="2"/>
        <v>0.42634259259259255</v>
      </c>
      <c r="J63" s="51"/>
      <c r="K63" s="51"/>
      <c r="L63" s="8" t="str">
        <f>IF(OR(J63=0,K63=0)," ",K63-J63)</f>
        <v xml:space="preserve"> </v>
      </c>
      <c r="M63" s="51"/>
      <c r="N63" s="13">
        <f t="shared" si="4"/>
        <v>1.032702237521518</v>
      </c>
      <c r="P63" s="14">
        <f ca="1">IFERROR(__xludf.DUMMYFUNCTION("""COMPUTED_VALUE"""),45448)</f>
        <v>45448</v>
      </c>
      <c r="Q63" s="15">
        <f t="shared" ca="1" si="6"/>
        <v>0.33472222222222231</v>
      </c>
      <c r="R63" s="15">
        <f t="shared" ca="1" si="7"/>
        <v>0.31390046296296292</v>
      </c>
      <c r="S63" s="15">
        <f t="shared" ca="1" si="8"/>
        <v>1.9432870370370392E-2</v>
      </c>
      <c r="T63" s="16">
        <f t="shared" ca="1" si="5"/>
        <v>1.0553809118607709</v>
      </c>
    </row>
    <row r="64" spans="1:20" ht="15.5">
      <c r="A64" s="32">
        <v>45405</v>
      </c>
      <c r="B64" s="47" t="s">
        <v>57</v>
      </c>
      <c r="C64" s="7">
        <v>29</v>
      </c>
      <c r="D64" s="8">
        <v>2.7777777777777779E-3</v>
      </c>
      <c r="E64" s="8">
        <f t="shared" si="0"/>
        <v>8.0555555555555561E-2</v>
      </c>
      <c r="F64" s="10">
        <v>0.42612268518518515</v>
      </c>
      <c r="G64" s="48">
        <v>0.53181712962962968</v>
      </c>
      <c r="H64" s="8">
        <f t="shared" si="1"/>
        <v>8.1400462962963049E-2</v>
      </c>
      <c r="I64" s="11">
        <f t="shared" si="2"/>
        <v>0.53097222222222218</v>
      </c>
      <c r="J64" s="51"/>
      <c r="K64" s="51"/>
      <c r="L64" s="8">
        <v>2.4293981481481482E-2</v>
      </c>
      <c r="M64" s="51"/>
      <c r="N64" s="13">
        <f t="shared" si="4"/>
        <v>0.98962036115455609</v>
      </c>
      <c r="P64" s="14">
        <f ca="1">IFERROR(__xludf.DUMMYFUNCTION("""COMPUTED_VALUE"""),45449)</f>
        <v>45449</v>
      </c>
      <c r="Q64" s="15">
        <f t="shared" ca="1" si="6"/>
        <v>0.29166666666666669</v>
      </c>
      <c r="R64" s="15">
        <f t="shared" ca="1" si="7"/>
        <v>0.32931712962962967</v>
      </c>
      <c r="S64" s="15">
        <f t="shared" ca="1" si="8"/>
        <v>4.0162037037036469E-3</v>
      </c>
      <c r="T64" s="16">
        <f t="shared" ca="1" si="5"/>
        <v>0.9774094940792738</v>
      </c>
    </row>
    <row r="65" spans="1:20" ht="15.5">
      <c r="A65" s="32">
        <v>45405</v>
      </c>
      <c r="B65" s="47" t="s">
        <v>29</v>
      </c>
      <c r="C65" s="7">
        <v>20</v>
      </c>
      <c r="D65" s="8">
        <v>2.0833333333333333E-3</v>
      </c>
      <c r="E65" s="8">
        <f t="shared" si="0"/>
        <v>4.1666666666666664E-2</v>
      </c>
      <c r="F65" s="48">
        <v>0.53181712962962968</v>
      </c>
      <c r="G65" s="8">
        <v>0.57353009259259258</v>
      </c>
      <c r="H65" s="8">
        <f t="shared" si="1"/>
        <v>4.1712962962962896E-2</v>
      </c>
      <c r="I65" s="11">
        <f t="shared" si="2"/>
        <v>0.57348379629629631</v>
      </c>
      <c r="J65" s="51"/>
      <c r="K65" s="51"/>
      <c r="L65" s="8" t="str">
        <f>IF(OR(J65=0,K65=0)," ",K65-J65)</f>
        <v xml:space="preserve"> </v>
      </c>
      <c r="M65" s="51"/>
      <c r="N65" s="13">
        <f t="shared" si="4"/>
        <v>0.99889012208657202</v>
      </c>
      <c r="P65" s="14">
        <f ca="1">IFERROR(__xludf.DUMMYFUNCTION("""COMPUTED_VALUE"""),45450)</f>
        <v>45450</v>
      </c>
      <c r="Q65" s="15">
        <f t="shared" ca="1" si="6"/>
        <v>0.23333333333333328</v>
      </c>
      <c r="R65" s="15">
        <f t="shared" ca="1" si="7"/>
        <v>0.22739583333333338</v>
      </c>
      <c r="S65" s="15">
        <f t="shared" ca="1" si="8"/>
        <v>0.10593749999999993</v>
      </c>
      <c r="T65" s="16">
        <f t="shared" ca="1" si="5"/>
        <v>1.0404494083839324</v>
      </c>
    </row>
    <row r="66" spans="1:20" ht="15.5">
      <c r="A66" s="32">
        <v>45405</v>
      </c>
      <c r="B66" s="47" t="s">
        <v>27</v>
      </c>
      <c r="C66" s="7">
        <v>48</v>
      </c>
      <c r="D66" s="8">
        <v>1.3888888888888889E-3</v>
      </c>
      <c r="E66" s="8">
        <f t="shared" si="0"/>
        <v>6.6666666666666666E-2</v>
      </c>
      <c r="F66" s="10">
        <v>0.61429398148148151</v>
      </c>
      <c r="G66" s="48">
        <v>0.69878472222222221</v>
      </c>
      <c r="H66" s="8">
        <f t="shared" si="1"/>
        <v>6.5694444444444403E-2</v>
      </c>
      <c r="I66" s="11">
        <f t="shared" si="2"/>
        <v>0.69975694444444447</v>
      </c>
      <c r="J66" s="52"/>
      <c r="K66" s="53"/>
      <c r="L66" s="8">
        <v>1.8796296296296297E-2</v>
      </c>
      <c r="M66" s="51"/>
      <c r="N66" s="13">
        <f t="shared" si="4"/>
        <v>1.0147991543340387</v>
      </c>
      <c r="P66" s="14">
        <f ca="1">IFERROR(__xludf.DUMMYFUNCTION("""COMPUTED_VALUE"""),45454)</f>
        <v>45454</v>
      </c>
      <c r="Q66" s="15">
        <f t="shared" ca="1" si="6"/>
        <v>0.28125000000000006</v>
      </c>
      <c r="R66" s="15">
        <f t="shared" ca="1" si="7"/>
        <v>0.3511921296296297</v>
      </c>
      <c r="S66" s="15">
        <f t="shared" ca="1" si="8"/>
        <v>-1.7858796296296386E-2</v>
      </c>
      <c r="T66" s="16">
        <f t="shared" ca="1" si="5"/>
        <v>0.95866449679356291</v>
      </c>
    </row>
    <row r="67" spans="1:20" ht="15.5">
      <c r="A67" s="32">
        <v>45405</v>
      </c>
      <c r="B67" s="47" t="s">
        <v>50</v>
      </c>
      <c r="C67" s="7">
        <v>1</v>
      </c>
      <c r="D67" s="8">
        <v>1.0416666666666666E-2</v>
      </c>
      <c r="E67" s="8">
        <f t="shared" si="0"/>
        <v>1.0416666666666666E-2</v>
      </c>
      <c r="F67" s="10">
        <v>0.69878472222222221</v>
      </c>
      <c r="G67" s="48">
        <v>0.70862268518518523</v>
      </c>
      <c r="H67" s="8">
        <f t="shared" si="1"/>
        <v>9.8379629629630205E-3</v>
      </c>
      <c r="I67" s="11">
        <f t="shared" si="2"/>
        <v>0.70920138888888884</v>
      </c>
      <c r="J67" s="54"/>
      <c r="K67" s="54"/>
      <c r="L67" s="8" t="str">
        <f t="shared" ref="L67:L78" si="16">IF(OR(J67=0,K67=0)," ",K67-J67)</f>
        <v xml:space="preserve"> </v>
      </c>
      <c r="M67" s="51"/>
      <c r="N67" s="13">
        <f t="shared" si="4"/>
        <v>1.0588235294117585</v>
      </c>
      <c r="P67" s="14">
        <f ca="1">IFERROR(__xludf.DUMMYFUNCTION("""COMPUTED_VALUE"""),45455)</f>
        <v>45455</v>
      </c>
      <c r="Q67" s="15">
        <f t="shared" ca="1" si="6"/>
        <v>0.34236111111111112</v>
      </c>
      <c r="R67" s="15">
        <f t="shared" ca="1" si="7"/>
        <v>0.33263059027952191</v>
      </c>
      <c r="S67" s="15">
        <f t="shared" ca="1" si="8"/>
        <v>7.0274305381140545E-4</v>
      </c>
      <c r="T67" s="16">
        <f t="shared" ca="1" si="5"/>
        <v>1.0300918617612744</v>
      </c>
    </row>
    <row r="68" spans="1:20" ht="15.5">
      <c r="A68" s="32">
        <v>45406</v>
      </c>
      <c r="B68" s="47" t="s">
        <v>51</v>
      </c>
      <c r="C68" s="7">
        <v>1</v>
      </c>
      <c r="D68" s="8">
        <v>1.0416666666666666E-2</v>
      </c>
      <c r="E68" s="8">
        <f t="shared" si="0"/>
        <v>1.0416666666666666E-2</v>
      </c>
      <c r="F68" s="10">
        <v>0.33401620370370372</v>
      </c>
      <c r="G68" s="55">
        <v>0.34414351851851854</v>
      </c>
      <c r="H68" s="8">
        <f t="shared" si="1"/>
        <v>1.0127314814814825E-2</v>
      </c>
      <c r="I68" s="11">
        <f t="shared" si="2"/>
        <v>0.3444328703703704</v>
      </c>
      <c r="J68" s="51"/>
      <c r="K68" s="51"/>
      <c r="L68" s="8" t="str">
        <f t="shared" si="16"/>
        <v xml:space="preserve"> </v>
      </c>
      <c r="M68" s="51"/>
      <c r="N68" s="13">
        <f t="shared" si="4"/>
        <v>1.0285714285714274</v>
      </c>
      <c r="P68" s="14">
        <f ca="1">IFERROR(__xludf.DUMMYFUNCTION("""COMPUTED_VALUE"""),45456)</f>
        <v>45456</v>
      </c>
      <c r="Q68" s="15">
        <f t="shared" ca="1" si="6"/>
        <v>0.32430555555555551</v>
      </c>
      <c r="R68" s="15">
        <f t="shared" ca="1" si="7"/>
        <v>0.31299957175990267</v>
      </c>
      <c r="S68" s="15">
        <f t="shared" ca="1" si="8"/>
        <v>2.0333761573430642E-2</v>
      </c>
      <c r="T68" s="16">
        <f t="shared" ca="1" si="5"/>
        <v>1.0369598853873723</v>
      </c>
    </row>
    <row r="69" spans="1:20" ht="15.5">
      <c r="A69" s="32">
        <v>45406</v>
      </c>
      <c r="B69" s="47" t="s">
        <v>54</v>
      </c>
      <c r="C69" s="7">
        <v>1</v>
      </c>
      <c r="D69" s="8">
        <v>2.0833333333333332E-2</v>
      </c>
      <c r="E69" s="8">
        <f t="shared" si="0"/>
        <v>2.0833333333333332E-2</v>
      </c>
      <c r="F69" s="56">
        <v>0.34414351851851854</v>
      </c>
      <c r="G69" s="48">
        <v>0.36459490740740741</v>
      </c>
      <c r="H69" s="8">
        <f t="shared" si="1"/>
        <v>2.0451388888888866E-2</v>
      </c>
      <c r="I69" s="11">
        <f t="shared" si="2"/>
        <v>0.36497685185185186</v>
      </c>
      <c r="J69" s="51"/>
      <c r="K69" s="51"/>
      <c r="L69" s="8" t="str">
        <f t="shared" si="16"/>
        <v xml:space="preserve"> </v>
      </c>
      <c r="M69" s="51"/>
      <c r="N69" s="13">
        <f t="shared" si="4"/>
        <v>1.0186757215619706</v>
      </c>
      <c r="P69" s="14">
        <f ca="1">IFERROR(__xludf.DUMMYFUNCTION("""COMPUTED_VALUE"""),45457)</f>
        <v>45457</v>
      </c>
      <c r="Q69" s="15">
        <f t="shared" ca="1" si="6"/>
        <v>0.29861111111111116</v>
      </c>
      <c r="R69" s="15">
        <f t="shared" ca="1" si="7"/>
        <v>0.29079861111111105</v>
      </c>
      <c r="S69" s="15">
        <f t="shared" ca="1" si="8"/>
        <v>4.2534722222222265E-2</v>
      </c>
      <c r="T69" s="16">
        <f t="shared" ca="1" si="5"/>
        <v>1.0302373745976261</v>
      </c>
    </row>
    <row r="70" spans="1:20" ht="15.5">
      <c r="A70" s="32">
        <v>45406</v>
      </c>
      <c r="B70" s="47" t="s">
        <v>115</v>
      </c>
      <c r="C70" s="7">
        <v>1</v>
      </c>
      <c r="D70" s="8">
        <v>1.3888888888888888E-2</v>
      </c>
      <c r="E70" s="8">
        <f t="shared" si="0"/>
        <v>1.3888888888888888E-2</v>
      </c>
      <c r="F70" s="10">
        <v>0.36459490740740741</v>
      </c>
      <c r="G70" s="48">
        <v>0.3781944444444445</v>
      </c>
      <c r="H70" s="8">
        <f t="shared" si="1"/>
        <v>1.359953703703709E-2</v>
      </c>
      <c r="I70" s="11">
        <f t="shared" si="2"/>
        <v>0.3784837962962963</v>
      </c>
      <c r="J70" s="51"/>
      <c r="K70" s="51"/>
      <c r="L70" s="8" t="str">
        <f t="shared" si="16"/>
        <v xml:space="preserve"> </v>
      </c>
      <c r="M70" s="51"/>
      <c r="N70" s="13">
        <f t="shared" si="4"/>
        <v>1.0212765957446768</v>
      </c>
      <c r="P70" s="14">
        <f ca="1">IFERROR(__xludf.DUMMYFUNCTION("""COMPUTED_VALUE"""),45462)</f>
        <v>45462</v>
      </c>
      <c r="Q70" s="15">
        <f t="shared" ca="1" si="6"/>
        <v>0.33472222222222225</v>
      </c>
      <c r="R70" s="15">
        <f t="shared" ca="1" si="7"/>
        <v>0.33711805555555557</v>
      </c>
      <c r="S70" s="15">
        <f t="shared" ca="1" si="8"/>
        <v>-3.7847222222222587E-3</v>
      </c>
      <c r="T70" s="16">
        <f t="shared" ca="1" si="5"/>
        <v>1.0119458848835954</v>
      </c>
    </row>
    <row r="71" spans="1:20" ht="15.5">
      <c r="A71" s="32">
        <v>45406</v>
      </c>
      <c r="B71" s="47" t="s">
        <v>116</v>
      </c>
      <c r="C71" s="7">
        <v>1</v>
      </c>
      <c r="D71" s="8">
        <v>2.0833333333333332E-2</v>
      </c>
      <c r="E71" s="8">
        <f t="shared" si="0"/>
        <v>2.0833333333333332E-2</v>
      </c>
      <c r="F71" s="10">
        <v>0.3781944444444445</v>
      </c>
      <c r="G71" s="50">
        <v>0.39880787037037035</v>
      </c>
      <c r="H71" s="8">
        <f t="shared" si="1"/>
        <v>2.0613425925925855E-2</v>
      </c>
      <c r="I71" s="11">
        <f t="shared" si="2"/>
        <v>0.39902777777777781</v>
      </c>
      <c r="J71" s="51"/>
      <c r="K71" s="51"/>
      <c r="L71" s="8" t="str">
        <f t="shared" si="16"/>
        <v xml:space="preserve"> </v>
      </c>
      <c r="M71" s="51"/>
      <c r="N71" s="13">
        <f t="shared" si="4"/>
        <v>1.010668163952839</v>
      </c>
      <c r="P71" s="14">
        <f ca="1">IFERROR(__xludf.DUMMYFUNCTION("""COMPUTED_VALUE"""),45463)</f>
        <v>45463</v>
      </c>
      <c r="Q71" s="15">
        <f t="shared" ca="1" si="6"/>
        <v>0.29166666666666663</v>
      </c>
      <c r="R71" s="15">
        <f t="shared" ca="1" si="7"/>
        <v>0.28834490740740742</v>
      </c>
      <c r="S71" s="15">
        <f t="shared" ca="1" si="8"/>
        <v>4.498842592592589E-2</v>
      </c>
      <c r="T71" s="16">
        <f t="shared" ca="1" si="5"/>
        <v>1.0103840498310257</v>
      </c>
    </row>
    <row r="72" spans="1:20" ht="15.5">
      <c r="A72" s="32">
        <v>45406</v>
      </c>
      <c r="B72" s="47" t="s">
        <v>104</v>
      </c>
      <c r="C72" s="7">
        <v>1</v>
      </c>
      <c r="D72" s="8">
        <v>3.4722222222222224E-2</v>
      </c>
      <c r="E72" s="8">
        <f t="shared" si="0"/>
        <v>3.4722222222222224E-2</v>
      </c>
      <c r="F72" s="10">
        <v>0.39880787037037035</v>
      </c>
      <c r="G72" s="48">
        <v>0.43317129629629625</v>
      </c>
      <c r="H72" s="8">
        <f t="shared" si="1"/>
        <v>3.4363425925925895E-2</v>
      </c>
      <c r="I72" s="11">
        <f t="shared" si="2"/>
        <v>0.43353009259259256</v>
      </c>
      <c r="J72" s="51"/>
      <c r="K72" s="51"/>
      <c r="L72" s="8" t="str">
        <f t="shared" si="16"/>
        <v xml:space="preserve"> </v>
      </c>
      <c r="M72" s="51"/>
      <c r="N72" s="13">
        <f t="shared" si="4"/>
        <v>1.0104412260020219</v>
      </c>
      <c r="P72" s="14">
        <f ca="1">IFERROR(__xludf.DUMMYFUNCTION("""COMPUTED_VALUE"""),45464)</f>
        <v>45464</v>
      </c>
      <c r="Q72" s="15">
        <f t="shared" ca="1" si="6"/>
        <v>0.10416666666666666</v>
      </c>
      <c r="R72" s="15">
        <f t="shared" ca="1" si="7"/>
        <v>0.10292824074074061</v>
      </c>
      <c r="S72" s="15">
        <f t="shared" ca="1" si="8"/>
        <v>0.2304050925925927</v>
      </c>
      <c r="T72" s="16">
        <f t="shared" ca="1" si="5"/>
        <v>1.0164066565714678</v>
      </c>
    </row>
    <row r="73" spans="1:20" ht="15.5">
      <c r="A73" s="32">
        <v>45406</v>
      </c>
      <c r="B73" s="47" t="s">
        <v>44</v>
      </c>
      <c r="C73" s="7">
        <v>3</v>
      </c>
      <c r="D73" s="8">
        <v>3.472222222222222E-3</v>
      </c>
      <c r="E73" s="8">
        <f t="shared" si="0"/>
        <v>1.0416666666666666E-2</v>
      </c>
      <c r="F73" s="10">
        <v>0.43317129629629625</v>
      </c>
      <c r="G73" s="48">
        <v>0.44335648148148143</v>
      </c>
      <c r="H73" s="8">
        <f t="shared" si="1"/>
        <v>1.0185185185185186E-2</v>
      </c>
      <c r="I73" s="11">
        <f t="shared" si="2"/>
        <v>0.44358796296296293</v>
      </c>
      <c r="J73" s="51"/>
      <c r="K73" s="51"/>
      <c r="L73" s="8" t="str">
        <f t="shared" si="16"/>
        <v xml:space="preserve"> </v>
      </c>
      <c r="M73" s="51"/>
      <c r="N73" s="13">
        <f t="shared" si="4"/>
        <v>1.0227272727272725</v>
      </c>
      <c r="P73" s="14">
        <f ca="1">IFERROR(__xludf.DUMMYFUNCTION("""COMPUTED_VALUE"""),45467)</f>
        <v>45467</v>
      </c>
      <c r="Q73" s="15">
        <f t="shared" ca="1" si="6"/>
        <v>0.28541666666666665</v>
      </c>
      <c r="R73" s="15">
        <f t="shared" ca="1" si="7"/>
        <v>0.27765046296296292</v>
      </c>
      <c r="S73" s="15">
        <f t="shared" ca="1" si="8"/>
        <v>5.5682870370370396E-2</v>
      </c>
      <c r="T73" s="16">
        <f t="shared" ca="1" si="5"/>
        <v>1.0436106969086771</v>
      </c>
    </row>
    <row r="74" spans="1:20" ht="15.5">
      <c r="A74" s="32">
        <v>45406</v>
      </c>
      <c r="B74" s="47" t="s">
        <v>50</v>
      </c>
      <c r="C74" s="7">
        <v>1</v>
      </c>
      <c r="D74" s="8">
        <v>1.0416666666666666E-2</v>
      </c>
      <c r="E74" s="8">
        <f t="shared" si="0"/>
        <v>1.0416666666666666E-2</v>
      </c>
      <c r="F74" s="10">
        <v>0.65159722222222227</v>
      </c>
      <c r="G74" s="48">
        <v>0.66197916666666667</v>
      </c>
      <c r="H74" s="8">
        <f t="shared" si="1"/>
        <v>1.0381944444444402E-2</v>
      </c>
      <c r="I74" s="11">
        <f t="shared" si="2"/>
        <v>0.6620138888888889</v>
      </c>
      <c r="J74" s="51"/>
      <c r="K74" s="51"/>
      <c r="L74" s="8" t="str">
        <f t="shared" si="16"/>
        <v xml:space="preserve"> </v>
      </c>
      <c r="M74" s="51"/>
      <c r="N74" s="13">
        <f t="shared" si="4"/>
        <v>1.0033444816053552</v>
      </c>
      <c r="P74" s="14">
        <f ca="1">IFERROR(__xludf.DUMMYFUNCTION("""COMPUTED_VALUE"""),45468)</f>
        <v>45468</v>
      </c>
      <c r="Q74" s="15">
        <f t="shared" ca="1" si="6"/>
        <v>0.31111111111111117</v>
      </c>
      <c r="R74" s="15">
        <f t="shared" ca="1" si="7"/>
        <v>0.30570601851851853</v>
      </c>
      <c r="S74" s="15">
        <f t="shared" ca="1" si="8"/>
        <v>2.7627314814814785E-2</v>
      </c>
      <c r="T74" s="16">
        <f t="shared" ca="1" si="5"/>
        <v>1.0204091489427656</v>
      </c>
    </row>
    <row r="75" spans="1:20" ht="15.5">
      <c r="A75" s="32">
        <v>45406</v>
      </c>
      <c r="B75" s="47" t="s">
        <v>51</v>
      </c>
      <c r="C75" s="7">
        <v>1</v>
      </c>
      <c r="D75" s="8">
        <v>1.0416666666666666E-2</v>
      </c>
      <c r="E75" s="8">
        <f t="shared" si="0"/>
        <v>1.0416666666666666E-2</v>
      </c>
      <c r="F75" s="48">
        <v>0.66197916666666667</v>
      </c>
      <c r="G75" s="48">
        <v>0.67197916666666668</v>
      </c>
      <c r="H75" s="8">
        <f t="shared" si="1"/>
        <v>1.0000000000000009E-2</v>
      </c>
      <c r="I75" s="11">
        <f t="shared" si="2"/>
        <v>0.6723958333333333</v>
      </c>
      <c r="J75" s="51"/>
      <c r="K75" s="51"/>
      <c r="L75" s="8" t="str">
        <f t="shared" si="16"/>
        <v xml:space="preserve"> </v>
      </c>
      <c r="M75" s="51"/>
      <c r="N75" s="13">
        <f t="shared" si="4"/>
        <v>1.0416666666666656</v>
      </c>
      <c r="P75" s="14">
        <f ca="1">IFERROR(__xludf.DUMMYFUNCTION("""COMPUTED_VALUE"""),45469)</f>
        <v>45469</v>
      </c>
      <c r="Q75" s="15">
        <f t="shared" ca="1" si="6"/>
        <v>0.35416666666666669</v>
      </c>
      <c r="R75" s="15">
        <f t="shared" ca="1" si="7"/>
        <v>0.33614583333333337</v>
      </c>
      <c r="S75" s="15">
        <f t="shared" ca="1" si="8"/>
        <v>-2.8125000000000511E-3</v>
      </c>
      <c r="T75" s="16">
        <f t="shared" ca="1" si="5"/>
        <v>1.0719830029502748</v>
      </c>
    </row>
    <row r="76" spans="1:20" ht="15.5">
      <c r="A76" s="32">
        <v>45406</v>
      </c>
      <c r="B76" s="47" t="s">
        <v>106</v>
      </c>
      <c r="C76" s="7">
        <v>16</v>
      </c>
      <c r="D76" s="8">
        <v>2.0833333333333333E-3</v>
      </c>
      <c r="E76" s="8">
        <f t="shared" si="0"/>
        <v>3.3333333333333333E-2</v>
      </c>
      <c r="F76" s="10">
        <v>0.67197916666666668</v>
      </c>
      <c r="G76" s="48">
        <v>0.71050925925925923</v>
      </c>
      <c r="H76" s="8">
        <f t="shared" si="1"/>
        <v>3.8530092592592546E-2</v>
      </c>
      <c r="I76" s="11">
        <f t="shared" si="2"/>
        <v>0.70531250000000001</v>
      </c>
      <c r="J76" s="51"/>
      <c r="K76" s="51"/>
      <c r="L76" s="8" t="str">
        <f t="shared" si="16"/>
        <v xml:space="preserve"> </v>
      </c>
      <c r="M76" s="51"/>
      <c r="N76" s="13">
        <f t="shared" si="4"/>
        <v>0.86512466206067995</v>
      </c>
      <c r="P76" s="14">
        <f ca="1">IFERROR(__xludf.DUMMYFUNCTION("""COMPUTED_VALUE"""),45470)</f>
        <v>45470</v>
      </c>
      <c r="Q76" s="15">
        <f t="shared" ca="1" si="6"/>
        <v>0.29791666666666672</v>
      </c>
      <c r="R76" s="15">
        <f t="shared" ca="1" si="7"/>
        <v>0.27899305555555554</v>
      </c>
      <c r="S76" s="15">
        <f t="shared" ca="1" si="8"/>
        <v>5.4340277777777779E-2</v>
      </c>
      <c r="T76" s="16">
        <f t="shared" ca="1" si="5"/>
        <v>1.0622849061936583</v>
      </c>
    </row>
    <row r="77" spans="1:20" ht="15.5">
      <c r="A77" s="32">
        <v>45408</v>
      </c>
      <c r="B77" s="47" t="s">
        <v>28</v>
      </c>
      <c r="C77" s="7">
        <v>21</v>
      </c>
      <c r="D77" s="8">
        <v>1.3888888888888889E-3</v>
      </c>
      <c r="E77" s="8">
        <f t="shared" si="0"/>
        <v>2.9166666666666667E-2</v>
      </c>
      <c r="F77" s="10">
        <v>0.33203703703703702</v>
      </c>
      <c r="G77" s="48">
        <v>0.36006944444444444</v>
      </c>
      <c r="H77" s="8">
        <f t="shared" si="1"/>
        <v>2.8032407407407423E-2</v>
      </c>
      <c r="I77" s="11">
        <f t="shared" si="2"/>
        <v>0.36120370370370369</v>
      </c>
      <c r="J77" s="51"/>
      <c r="K77" s="51"/>
      <c r="L77" s="8" t="str">
        <f t="shared" si="16"/>
        <v xml:space="preserve"> </v>
      </c>
      <c r="M77" s="51"/>
      <c r="N77" s="13">
        <f t="shared" si="4"/>
        <v>1.0404624277456642</v>
      </c>
      <c r="P77" s="14">
        <f ca="1">IFERROR(__xludf.DUMMYFUNCTION("""COMPUTED_VALUE"""),45471)</f>
        <v>45471</v>
      </c>
      <c r="Q77" s="15">
        <f t="shared" ca="1" si="6"/>
        <v>0.28402777777777777</v>
      </c>
      <c r="R77" s="15">
        <f t="shared" ca="1" si="7"/>
        <v>0.30090201388682342</v>
      </c>
      <c r="S77" s="15">
        <f t="shared" ca="1" si="8"/>
        <v>3.2431319446509899E-2</v>
      </c>
      <c r="T77" s="16">
        <f t="shared" ca="1" si="5"/>
        <v>0.97900869498986687</v>
      </c>
    </row>
    <row r="78" spans="1:20" ht="15.5">
      <c r="A78" s="32">
        <v>45408</v>
      </c>
      <c r="B78" s="47" t="s">
        <v>44</v>
      </c>
      <c r="C78" s="7">
        <v>4</v>
      </c>
      <c r="D78" s="8">
        <v>3.472222222222222E-3</v>
      </c>
      <c r="E78" s="8">
        <f t="shared" si="0"/>
        <v>1.3888888888888888E-2</v>
      </c>
      <c r="F78" s="48">
        <v>0.41554398148148153</v>
      </c>
      <c r="G78" s="48">
        <v>0.42910879629629628</v>
      </c>
      <c r="H78" s="8">
        <f t="shared" si="1"/>
        <v>1.3564814814814752E-2</v>
      </c>
      <c r="I78" s="11">
        <f t="shared" si="2"/>
        <v>0.42943287037037042</v>
      </c>
      <c r="J78" s="51"/>
      <c r="K78" s="51"/>
      <c r="L78" s="8" t="str">
        <f t="shared" si="16"/>
        <v xml:space="preserve"> </v>
      </c>
      <c r="M78" s="51"/>
      <c r="N78" s="13">
        <f t="shared" si="4"/>
        <v>1.0238907849829399</v>
      </c>
      <c r="P78" s="14">
        <f ca="1">IFERROR(__xludf.DUMMYFUNCTION("""COMPUTED_VALUE"""),45505)</f>
        <v>45505</v>
      </c>
      <c r="Q78" s="15">
        <f t="shared" ca="1" si="6"/>
        <v>0.28055555555555556</v>
      </c>
      <c r="R78" s="15">
        <f t="shared" ca="1" si="7"/>
        <v>0.34019675925925924</v>
      </c>
      <c r="S78" s="15">
        <f t="shared" ca="1" si="8"/>
        <v>-6.8634259259259256E-3</v>
      </c>
      <c r="T78" s="16">
        <f t="shared" ca="1" si="5"/>
        <v>0.90556010331933146</v>
      </c>
    </row>
    <row r="79" spans="1:20" ht="15.5">
      <c r="A79" s="32">
        <v>45408</v>
      </c>
      <c r="B79" s="47" t="s">
        <v>28</v>
      </c>
      <c r="C79" s="7">
        <v>105</v>
      </c>
      <c r="D79" s="8">
        <v>1.3888888888888889E-3</v>
      </c>
      <c r="E79" s="8">
        <f t="shared" si="0"/>
        <v>0.14583333333333334</v>
      </c>
      <c r="F79" s="48">
        <v>0.42910879629629628</v>
      </c>
      <c r="G79" s="48">
        <v>0.59850694444444441</v>
      </c>
      <c r="H79" s="8">
        <f t="shared" si="1"/>
        <v>0.14884259259259258</v>
      </c>
      <c r="I79" s="11">
        <f t="shared" si="2"/>
        <v>0.5954976851851852</v>
      </c>
      <c r="J79" s="51"/>
      <c r="K79" s="51"/>
      <c r="L79" s="8">
        <v>2.0555555555555556E-2</v>
      </c>
      <c r="M79" s="51"/>
      <c r="N79" s="13">
        <f t="shared" si="4"/>
        <v>0.979782270606532</v>
      </c>
      <c r="P79" s="14">
        <f ca="1">IFERROR(__xludf.DUMMYFUNCTION("""COMPUTED_VALUE"""),45506)</f>
        <v>45506</v>
      </c>
      <c r="Q79" s="15">
        <f t="shared" ca="1" si="6"/>
        <v>0.29305555555555557</v>
      </c>
      <c r="R79" s="15">
        <f t="shared" ca="1" si="7"/>
        <v>0.33854166666666669</v>
      </c>
      <c r="S79" s="15">
        <f t="shared" ca="1" si="8"/>
        <v>-5.2083333333333703E-3</v>
      </c>
      <c r="T79" s="16">
        <f t="shared" ca="1" si="5"/>
        <v>0.92243606970285796</v>
      </c>
    </row>
    <row r="80" spans="1:20" ht="15.5">
      <c r="A80" s="32">
        <v>45408</v>
      </c>
      <c r="B80" s="47" t="s">
        <v>105</v>
      </c>
      <c r="C80" s="7">
        <v>37</v>
      </c>
      <c r="D80" s="8">
        <v>1.736111111111111E-3</v>
      </c>
      <c r="E80" s="8">
        <f t="shared" si="0"/>
        <v>6.4236111111111105E-2</v>
      </c>
      <c r="F80" s="48">
        <v>0.59850694444444441</v>
      </c>
      <c r="G80" s="48">
        <v>0.70670138888888889</v>
      </c>
      <c r="H80" s="8">
        <f t="shared" si="1"/>
        <v>6.3541666666666705E-2</v>
      </c>
      <c r="I80" s="11">
        <f t="shared" si="2"/>
        <v>0.70739583333333333</v>
      </c>
      <c r="J80" s="51"/>
      <c r="K80" s="51"/>
      <c r="L80" s="8">
        <v>4.4652777777777777E-2</v>
      </c>
      <c r="M80" s="51"/>
      <c r="N80" s="13">
        <f t="shared" si="4"/>
        <v>1.0109289617486332</v>
      </c>
      <c r="P80" s="14">
        <f ca="1">IFERROR(__xludf.DUMMYFUNCTION("""COMPUTED_VALUE"""),45509)</f>
        <v>45509</v>
      </c>
      <c r="Q80" s="15">
        <f t="shared" ca="1" si="6"/>
        <v>0.37638888888888899</v>
      </c>
      <c r="R80" s="15">
        <f t="shared" ca="1" si="7"/>
        <v>0.3471643518518519</v>
      </c>
      <c r="S80" s="15">
        <f t="shared" ca="1" si="8"/>
        <v>-1.383101851851859E-2</v>
      </c>
      <c r="T80" s="16">
        <f t="shared" ca="1" si="5"/>
        <v>1.0929302201761242</v>
      </c>
    </row>
    <row r="81" spans="1:20" ht="15.5">
      <c r="A81" s="32">
        <v>45411</v>
      </c>
      <c r="B81" s="47" t="s">
        <v>42</v>
      </c>
      <c r="C81" s="7">
        <v>1</v>
      </c>
      <c r="D81" s="8">
        <v>6.9444444444444441E-3</v>
      </c>
      <c r="E81" s="8">
        <f t="shared" si="0"/>
        <v>6.9444444444444441E-3</v>
      </c>
      <c r="F81" s="48">
        <v>0.32890046296296294</v>
      </c>
      <c r="G81" s="48">
        <v>0.33621527777777782</v>
      </c>
      <c r="H81" s="8">
        <f t="shared" si="1"/>
        <v>7.314814814814885E-3</v>
      </c>
      <c r="I81" s="11">
        <f t="shared" si="2"/>
        <v>0.33584490740740736</v>
      </c>
      <c r="J81" s="51"/>
      <c r="K81" s="51"/>
      <c r="L81" s="8" t="str">
        <f t="shared" ref="L81:L82" si="17">IF(OR(J81=0,K81=0)," ",K81-J81)</f>
        <v xml:space="preserve"> </v>
      </c>
      <c r="M81" s="51"/>
      <c r="N81" s="13">
        <f t="shared" si="4"/>
        <v>0.94936708860758579</v>
      </c>
      <c r="P81" s="14">
        <f ca="1">IFERROR(__xludf.DUMMYFUNCTION("""COMPUTED_VALUE"""),45510)</f>
        <v>45510</v>
      </c>
      <c r="Q81" s="15">
        <f t="shared" ca="1" si="6"/>
        <v>0.39583333333333337</v>
      </c>
      <c r="R81" s="15">
        <f t="shared" ca="1" si="7"/>
        <v>0.3464236111111112</v>
      </c>
      <c r="S81" s="15">
        <f t="shared" ca="1" si="8"/>
        <v>-1.3090277777777881E-2</v>
      </c>
      <c r="T81" s="16">
        <f t="shared" ca="1" si="5"/>
        <v>1.3590931304761522</v>
      </c>
    </row>
    <row r="82" spans="1:20" ht="15.5">
      <c r="A82" s="32">
        <v>45411</v>
      </c>
      <c r="B82" s="47" t="s">
        <v>43</v>
      </c>
      <c r="C82" s="7">
        <v>1</v>
      </c>
      <c r="D82" s="8">
        <v>3.4722222222222224E-2</v>
      </c>
      <c r="E82" s="8">
        <f t="shared" si="0"/>
        <v>3.4722222222222224E-2</v>
      </c>
      <c r="F82" s="48">
        <v>0.33621527777777782</v>
      </c>
      <c r="G82" s="48">
        <v>0.37018518518518517</v>
      </c>
      <c r="H82" s="8">
        <f t="shared" si="1"/>
        <v>3.3969907407407351E-2</v>
      </c>
      <c r="I82" s="11">
        <f t="shared" si="2"/>
        <v>0.37093750000000003</v>
      </c>
      <c r="J82" s="51"/>
      <c r="K82" s="51"/>
      <c r="L82" s="8" t="str">
        <f t="shared" si="17"/>
        <v xml:space="preserve"> </v>
      </c>
      <c r="M82" s="51"/>
      <c r="N82" s="13">
        <f t="shared" si="4"/>
        <v>1.0221465076661005</v>
      </c>
      <c r="P82" s="14">
        <f ca="1">IFERROR(__xludf.DUMMYFUNCTION("""COMPUTED_VALUE"""),45511)</f>
        <v>45511</v>
      </c>
      <c r="Q82" s="15">
        <f t="shared" ca="1" si="6"/>
        <v>0.33194444444444449</v>
      </c>
      <c r="R82" s="15">
        <f t="shared" ca="1" si="7"/>
        <v>0.30039351851851848</v>
      </c>
      <c r="S82" s="15">
        <f t="shared" ca="1" si="8"/>
        <v>3.2939814814814838E-2</v>
      </c>
      <c r="T82" s="16">
        <f t="shared" ca="1" si="5"/>
        <v>1.1025133656780555</v>
      </c>
    </row>
    <row r="83" spans="1:20" ht="15.5">
      <c r="A83" s="32">
        <v>45411</v>
      </c>
      <c r="B83" s="47" t="s">
        <v>85</v>
      </c>
      <c r="C83" s="7">
        <v>1</v>
      </c>
      <c r="D83" s="8">
        <v>8.3333333333333329E-2</v>
      </c>
      <c r="E83" s="8">
        <f t="shared" si="0"/>
        <v>8.3333333333333329E-2</v>
      </c>
      <c r="F83" s="48">
        <v>0.37018518518518517</v>
      </c>
      <c r="G83" s="48">
        <v>0.47674768518518518</v>
      </c>
      <c r="H83" s="8">
        <f t="shared" si="1"/>
        <v>8.2500000000000004E-2</v>
      </c>
      <c r="I83" s="11">
        <f t="shared" si="2"/>
        <v>0.47758101851851847</v>
      </c>
      <c r="J83" s="54"/>
      <c r="K83" s="54"/>
      <c r="L83" s="8">
        <v>2.4062500000000001E-2</v>
      </c>
      <c r="M83" s="51"/>
      <c r="N83" s="13">
        <f t="shared" si="4"/>
        <v>1.0101010101010099</v>
      </c>
      <c r="P83" s="14">
        <f ca="1">IFERROR(__xludf.DUMMYFUNCTION("""COMPUTED_VALUE"""),45512)</f>
        <v>45512</v>
      </c>
      <c r="Q83" s="15">
        <f t="shared" ca="1" si="6"/>
        <v>0.33750000000000002</v>
      </c>
      <c r="R83" s="15">
        <f t="shared" ca="1" si="7"/>
        <v>0.30406249999999996</v>
      </c>
      <c r="S83" s="15">
        <f t="shared" ca="1" si="8"/>
        <v>2.9270833333333357E-2</v>
      </c>
      <c r="T83" s="16">
        <f t="shared" ca="1" si="5"/>
        <v>1.1176305274035629</v>
      </c>
    </row>
    <row r="84" spans="1:20" ht="15.5">
      <c r="A84" s="32">
        <v>45411</v>
      </c>
      <c r="B84" s="47" t="s">
        <v>90</v>
      </c>
      <c r="C84" s="7">
        <v>1</v>
      </c>
      <c r="D84" s="8">
        <v>7.2916666666666671E-2</v>
      </c>
      <c r="E84" s="8">
        <f t="shared" si="0"/>
        <v>7.2916666666666671E-2</v>
      </c>
      <c r="F84" s="48">
        <v>0.47674768518518518</v>
      </c>
      <c r="G84" s="48">
        <v>0.52072916666666669</v>
      </c>
      <c r="H84" s="8">
        <f t="shared" si="1"/>
        <v>4.398148148148151E-2</v>
      </c>
      <c r="I84" s="11">
        <f t="shared" si="2"/>
        <v>0.54966435185185181</v>
      </c>
      <c r="J84" s="51"/>
      <c r="K84" s="51"/>
      <c r="L84" s="8" t="str">
        <f t="shared" ref="L84:L89" si="18">IF(OR(J84=0,K84=0)," ",K84-J84)</f>
        <v xml:space="preserve"> </v>
      </c>
      <c r="M84" s="51"/>
      <c r="N84" s="13">
        <f t="shared" si="4"/>
        <v>1.6578947368421042</v>
      </c>
      <c r="P84" s="14">
        <f ca="1">IFERROR(__xludf.DUMMYFUNCTION("""COMPUTED_VALUE"""),45513)</f>
        <v>45513</v>
      </c>
      <c r="Q84" s="15">
        <f t="shared" ca="1" si="6"/>
        <v>9.166666666666666E-2</v>
      </c>
      <c r="R84" s="15">
        <f t="shared" ca="1" si="7"/>
        <v>0.15797204861391539</v>
      </c>
      <c r="S84" s="15">
        <f t="shared" ca="1" si="8"/>
        <v>0.17536128471941792</v>
      </c>
      <c r="T84" s="16">
        <f t="shared" ca="1" si="5"/>
        <v>0.80909451128503684</v>
      </c>
    </row>
    <row r="85" spans="1:20" ht="15.5">
      <c r="A85" s="32">
        <v>45411</v>
      </c>
      <c r="B85" s="47" t="s">
        <v>63</v>
      </c>
      <c r="C85" s="7">
        <v>1</v>
      </c>
      <c r="D85" s="8">
        <v>3.4722222222222224E-2</v>
      </c>
      <c r="E85" s="8">
        <f t="shared" si="0"/>
        <v>3.4722222222222224E-2</v>
      </c>
      <c r="F85" s="48">
        <v>0.52072916666666669</v>
      </c>
      <c r="G85" s="48">
        <v>0.55421296296296296</v>
      </c>
      <c r="H85" s="8">
        <f t="shared" si="1"/>
        <v>3.3483796296296275E-2</v>
      </c>
      <c r="I85" s="11">
        <f t="shared" si="2"/>
        <v>0.5554513888888889</v>
      </c>
      <c r="J85" s="51"/>
      <c r="K85" s="51"/>
      <c r="L85" s="8" t="str">
        <f t="shared" si="18"/>
        <v xml:space="preserve"> </v>
      </c>
      <c r="M85" s="51"/>
      <c r="N85" s="13">
        <f t="shared" si="4"/>
        <v>1.0369858278603532</v>
      </c>
      <c r="P85" s="14">
        <f ca="1">IFERROR(__xludf.DUMMYFUNCTION("""COMPUTED_VALUE"""),45516)</f>
        <v>45516</v>
      </c>
      <c r="Q85" s="15">
        <f t="shared" ca="1" si="6"/>
        <v>9.6527777777777782E-2</v>
      </c>
      <c r="R85" s="15">
        <f t="shared" ca="1" si="7"/>
        <v>8.9641203703703695E-2</v>
      </c>
      <c r="S85" s="15">
        <f t="shared" ca="1" si="8"/>
        <v>0.24369212962962961</v>
      </c>
      <c r="T85" s="16">
        <f t="shared" ca="1" si="5"/>
        <v>1.0711191567938003</v>
      </c>
    </row>
    <row r="86" spans="1:20" ht="15.5">
      <c r="A86" s="32">
        <v>45411</v>
      </c>
      <c r="B86" s="47" t="s">
        <v>27</v>
      </c>
      <c r="C86" s="7">
        <v>64</v>
      </c>
      <c r="D86" s="8">
        <v>1.3888888888888889E-3</v>
      </c>
      <c r="E86" s="8">
        <f t="shared" si="0"/>
        <v>8.8888888888888892E-2</v>
      </c>
      <c r="F86" s="48">
        <v>0.55421296296296296</v>
      </c>
      <c r="G86" s="48">
        <v>0.63892207176104421</v>
      </c>
      <c r="H86" s="8">
        <f t="shared" si="1"/>
        <v>8.4709108798081245E-2</v>
      </c>
      <c r="I86" s="11">
        <f t="shared" si="2"/>
        <v>0.64310185185185187</v>
      </c>
      <c r="J86" s="51"/>
      <c r="K86" s="51"/>
      <c r="L86" s="8" t="str">
        <f t="shared" si="18"/>
        <v xml:space="preserve"> </v>
      </c>
      <c r="M86" s="7" t="s">
        <v>117</v>
      </c>
      <c r="N86" s="13">
        <f t="shared" si="4"/>
        <v>1.0493427466079341</v>
      </c>
      <c r="P86" s="14">
        <f ca="1">IFERROR(__xludf.DUMMYFUNCTION("""COMPUTED_VALUE"""),45517)</f>
        <v>45517</v>
      </c>
      <c r="Q86" s="15">
        <f t="shared" ca="1" si="6"/>
        <v>0.12222222222222223</v>
      </c>
      <c r="R86" s="15">
        <f t="shared" ca="1" si="7"/>
        <v>0.11564178241209856</v>
      </c>
      <c r="S86" s="15">
        <f t="shared" ca="1" si="8"/>
        <v>0.21769155092123477</v>
      </c>
      <c r="T86" s="16">
        <f t="shared" ca="1" si="5"/>
        <v>1.0569036525801181</v>
      </c>
    </row>
    <row r="87" spans="1:20" ht="15.5">
      <c r="A87" s="32">
        <v>45411</v>
      </c>
      <c r="B87" s="47" t="s">
        <v>50</v>
      </c>
      <c r="C87" s="7">
        <v>1</v>
      </c>
      <c r="D87" s="8">
        <v>1.0416666666666666E-2</v>
      </c>
      <c r="E87" s="8">
        <f t="shared" si="0"/>
        <v>1.0416666666666666E-2</v>
      </c>
      <c r="F87" s="48">
        <v>0.66085648148148146</v>
      </c>
      <c r="G87" s="48">
        <v>0.67125000000000001</v>
      </c>
      <c r="H87" s="8">
        <f t="shared" si="1"/>
        <v>1.0393518518518552E-2</v>
      </c>
      <c r="I87" s="11">
        <f t="shared" si="2"/>
        <v>0.67127314814814809</v>
      </c>
      <c r="J87" s="52"/>
      <c r="K87" s="53"/>
      <c r="L87" s="8" t="str">
        <f t="shared" si="18"/>
        <v xml:space="preserve"> </v>
      </c>
      <c r="M87" s="7"/>
      <c r="N87" s="13">
        <f t="shared" si="4"/>
        <v>1.0022271714922015</v>
      </c>
      <c r="P87" s="14">
        <f ca="1">IFERROR(__xludf.DUMMYFUNCTION("""COMPUTED_VALUE"""),45518)</f>
        <v>45518</v>
      </c>
      <c r="Q87" s="15">
        <f t="shared" ca="1" si="6"/>
        <v>0.27083333333333337</v>
      </c>
      <c r="R87" s="15">
        <f t="shared" ca="1" si="7"/>
        <v>0.25452359953776627</v>
      </c>
      <c r="S87" s="15">
        <f t="shared" ca="1" si="8"/>
        <v>7.880973379556705E-2</v>
      </c>
      <c r="T87" s="16">
        <f t="shared" ca="1" si="5"/>
        <v>1.0644852221470746</v>
      </c>
    </row>
    <row r="88" spans="1:20" ht="15.5">
      <c r="A88" s="32">
        <v>45411</v>
      </c>
      <c r="B88" s="47" t="s">
        <v>51</v>
      </c>
      <c r="C88" s="7">
        <v>1</v>
      </c>
      <c r="D88" s="8">
        <v>1.0416666666666666E-2</v>
      </c>
      <c r="E88" s="8">
        <f t="shared" si="0"/>
        <v>1.0416666666666666E-2</v>
      </c>
      <c r="F88" s="48">
        <v>0.67121527777777779</v>
      </c>
      <c r="G88" s="48">
        <v>0.68104166666666666</v>
      </c>
      <c r="H88" s="8">
        <f t="shared" si="1"/>
        <v>9.8263888888888706E-3</v>
      </c>
      <c r="I88" s="11">
        <f t="shared" si="2"/>
        <v>0.68163194444444442</v>
      </c>
      <c r="J88" s="51"/>
      <c r="K88" s="51"/>
      <c r="L88" s="8" t="str">
        <f t="shared" si="18"/>
        <v xml:space="preserve"> </v>
      </c>
      <c r="M88" s="7"/>
      <c r="N88" s="13">
        <f t="shared" si="4"/>
        <v>1.0600706713780939</v>
      </c>
      <c r="P88" s="14">
        <f ca="1">IFERROR(__xludf.DUMMYFUNCTION("""COMPUTED_VALUE"""),45519)</f>
        <v>45519</v>
      </c>
      <c r="Q88" s="15">
        <f t="shared" ca="1" si="6"/>
        <v>0.33333333333333337</v>
      </c>
      <c r="R88" s="15">
        <f t="shared" ca="1" si="7"/>
        <v>0.31797453703703704</v>
      </c>
      <c r="S88" s="15">
        <f t="shared" ca="1" si="8"/>
        <v>1.5358796296296273E-2</v>
      </c>
      <c r="T88" s="16">
        <f t="shared" ca="1" si="5"/>
        <v>1.0488287172672486</v>
      </c>
    </row>
    <row r="89" spans="1:20" ht="15.5">
      <c r="A89" s="32">
        <v>45411</v>
      </c>
      <c r="B89" s="47" t="s">
        <v>27</v>
      </c>
      <c r="C89" s="7">
        <v>26</v>
      </c>
      <c r="D89" s="8">
        <v>1.3888888888888889E-3</v>
      </c>
      <c r="E89" s="8">
        <f t="shared" si="0"/>
        <v>3.6111111111111115E-2</v>
      </c>
      <c r="F89" s="48">
        <v>0.68104166666666666</v>
      </c>
      <c r="G89" s="48">
        <v>0.71141203703703704</v>
      </c>
      <c r="H89" s="8">
        <f t="shared" si="1"/>
        <v>3.0370370370370381E-2</v>
      </c>
      <c r="I89" s="11">
        <f t="shared" si="2"/>
        <v>0.71715277777777775</v>
      </c>
      <c r="J89" s="53"/>
      <c r="K89" s="53"/>
      <c r="L89" s="8" t="str">
        <f t="shared" si="18"/>
        <v xml:space="preserve"> </v>
      </c>
      <c r="M89" s="51"/>
      <c r="N89" s="13">
        <f t="shared" si="4"/>
        <v>1.1890243902439022</v>
      </c>
      <c r="P89" s="14">
        <f ca="1">IFERROR(__xludf.DUMMYFUNCTION("""COMPUTED_VALUE"""),45523)</f>
        <v>45523</v>
      </c>
      <c r="Q89" s="15">
        <f t="shared" ca="1" si="6"/>
        <v>0.19305555555555556</v>
      </c>
      <c r="R89" s="15">
        <f t="shared" ca="1" si="7"/>
        <v>0.18068256944400701</v>
      </c>
      <c r="S89" s="15">
        <f t="shared" ca="1" si="8"/>
        <v>0.1526507638893263</v>
      </c>
      <c r="T89" s="16">
        <f t="shared" ca="1" si="5"/>
        <v>1.0629044503334324</v>
      </c>
    </row>
    <row r="90" spans="1:20" ht="15.5">
      <c r="A90" s="32">
        <v>45412</v>
      </c>
      <c r="B90" s="47" t="s">
        <v>27</v>
      </c>
      <c r="C90" s="7">
        <v>70</v>
      </c>
      <c r="D90" s="8">
        <v>1.3888888888888889E-3</v>
      </c>
      <c r="E90" s="8">
        <f t="shared" si="0"/>
        <v>9.7222222222222224E-2</v>
      </c>
      <c r="F90" s="48">
        <v>0.33408564814814817</v>
      </c>
      <c r="G90" s="48">
        <v>0.46195601851851853</v>
      </c>
      <c r="H90" s="8">
        <f t="shared" si="1"/>
        <v>9.4456018518518509E-2</v>
      </c>
      <c r="I90" s="11">
        <f t="shared" si="2"/>
        <v>0.46472222222222226</v>
      </c>
      <c r="J90" s="51"/>
      <c r="K90" s="51"/>
      <c r="L90" s="57">
        <v>3.3414351851851855E-2</v>
      </c>
      <c r="M90" s="51"/>
      <c r="N90" s="13">
        <f t="shared" si="4"/>
        <v>1.0292856267614263</v>
      </c>
      <c r="P90" s="14">
        <f ca="1">IFERROR(__xludf.DUMMYFUNCTION("""COMPUTED_VALUE"""),45524)</f>
        <v>45524</v>
      </c>
      <c r="Q90" s="15">
        <f t="shared" ca="1" si="6"/>
        <v>0.16805555555555557</v>
      </c>
      <c r="R90" s="15">
        <f t="shared" ca="1" si="7"/>
        <v>0.15956018518518522</v>
      </c>
      <c r="S90" s="15">
        <f t="shared" ca="1" si="8"/>
        <v>0.17377314814814809</v>
      </c>
      <c r="T90" s="16">
        <f t="shared" ca="1" si="5"/>
        <v>1.0562916533586033</v>
      </c>
    </row>
    <row r="91" spans="1:20" ht="15.5">
      <c r="A91" s="32">
        <v>45412</v>
      </c>
      <c r="B91" s="47" t="s">
        <v>44</v>
      </c>
      <c r="C91" s="7">
        <v>3</v>
      </c>
      <c r="D91" s="8">
        <v>3.472222222222222E-3</v>
      </c>
      <c r="E91" s="8">
        <f t="shared" si="0"/>
        <v>1.0416666666666666E-2</v>
      </c>
      <c r="F91" s="48">
        <v>0.38696759259259261</v>
      </c>
      <c r="G91" s="48">
        <v>0.39645833333333336</v>
      </c>
      <c r="H91" s="8">
        <f t="shared" si="1"/>
        <v>9.490740740740744E-3</v>
      </c>
      <c r="I91" s="11">
        <f t="shared" si="2"/>
        <v>0.3973842592592593</v>
      </c>
      <c r="J91" s="51"/>
      <c r="K91" s="51"/>
      <c r="L91" s="8" t="str">
        <f t="shared" ref="L91:L94" si="19">IF(OR(J91=0,K91=0)," ",K91-J91)</f>
        <v xml:space="preserve"> </v>
      </c>
      <c r="M91" s="51"/>
      <c r="N91" s="13">
        <f t="shared" si="4"/>
        <v>1.0975609756097557</v>
      </c>
      <c r="P91" s="14">
        <f ca="1">IFERROR(__xludf.DUMMYFUNCTION("""COMPUTED_VALUE"""),45525)</f>
        <v>45525</v>
      </c>
      <c r="Q91" s="15">
        <f t="shared" ca="1" si="6"/>
        <v>0.28055555555555556</v>
      </c>
      <c r="R91" s="15">
        <f t="shared" ca="1" si="7"/>
        <v>0.25230682870439969</v>
      </c>
      <c r="S91" s="15">
        <f t="shared" ca="1" si="8"/>
        <v>8.1026504628933627E-2</v>
      </c>
      <c r="T91" s="16">
        <f t="shared" ca="1" si="5"/>
        <v>1.0934254022931571</v>
      </c>
    </row>
    <row r="92" spans="1:20" ht="15.5">
      <c r="A92" s="32">
        <v>45412</v>
      </c>
      <c r="B92" s="47" t="s">
        <v>57</v>
      </c>
      <c r="C92" s="7">
        <v>15</v>
      </c>
      <c r="D92" s="8">
        <v>2.7777777777777779E-3</v>
      </c>
      <c r="E92" s="8">
        <f t="shared" si="0"/>
        <v>4.1666666666666671E-2</v>
      </c>
      <c r="F92" s="48">
        <v>0.46195601851851853</v>
      </c>
      <c r="G92" s="48">
        <v>0.50035879629629632</v>
      </c>
      <c r="H92" s="8">
        <f t="shared" si="1"/>
        <v>3.8402777777777786E-2</v>
      </c>
      <c r="I92" s="11">
        <f t="shared" si="2"/>
        <v>0.50362268518518516</v>
      </c>
      <c r="J92" s="51"/>
      <c r="K92" s="51"/>
      <c r="L92" s="8" t="str">
        <f t="shared" si="19"/>
        <v xml:space="preserve"> </v>
      </c>
      <c r="M92" s="51"/>
      <c r="N92" s="13">
        <f t="shared" si="4"/>
        <v>1.0849909584086799</v>
      </c>
      <c r="P92" s="14">
        <f ca="1">IFERROR(__xludf.DUMMYFUNCTION("""COMPUTED_VALUE"""),45526)</f>
        <v>45526</v>
      </c>
      <c r="Q92" s="15">
        <f t="shared" ca="1" si="6"/>
        <v>0.22638888888888892</v>
      </c>
      <c r="R92" s="15">
        <f t="shared" ca="1" si="7"/>
        <v>0.21074074074074067</v>
      </c>
      <c r="S92" s="15">
        <f t="shared" ca="1" si="8"/>
        <v>0.12259259259259264</v>
      </c>
      <c r="T92" s="16">
        <f t="shared" ca="1" si="5"/>
        <v>1.0195291567559033</v>
      </c>
    </row>
    <row r="93" spans="1:20" ht="15.5">
      <c r="A93" s="32">
        <v>45412</v>
      </c>
      <c r="B93" s="47" t="s">
        <v>105</v>
      </c>
      <c r="C93" s="7">
        <v>9</v>
      </c>
      <c r="D93" s="8">
        <v>1.736111111111111E-3</v>
      </c>
      <c r="E93" s="8">
        <f t="shared" si="0"/>
        <v>1.5625E-2</v>
      </c>
      <c r="F93" s="48">
        <v>0.50035879629629632</v>
      </c>
      <c r="G93" s="48">
        <v>0.51466435185185189</v>
      </c>
      <c r="H93" s="8">
        <f t="shared" si="1"/>
        <v>1.4305555555555571E-2</v>
      </c>
      <c r="I93" s="11">
        <f t="shared" si="2"/>
        <v>0.51598379629629632</v>
      </c>
      <c r="J93" s="51"/>
      <c r="K93" s="51"/>
      <c r="L93" s="8" t="str">
        <f t="shared" si="19"/>
        <v xml:space="preserve"> </v>
      </c>
      <c r="M93" s="51"/>
      <c r="N93" s="13">
        <f t="shared" si="4"/>
        <v>1.0922330097087367</v>
      </c>
      <c r="P93" s="14">
        <f ca="1">IFERROR(__xludf.DUMMYFUNCTION("""COMPUTED_VALUE"""),45527)</f>
        <v>45527</v>
      </c>
      <c r="Q93" s="15">
        <f t="shared" ca="1" si="6"/>
        <v>7.7777777777777779E-2</v>
      </c>
      <c r="R93" s="15">
        <f t="shared" ca="1" si="7"/>
        <v>6.8009259259259311E-2</v>
      </c>
      <c r="S93" s="15">
        <f t="shared" ca="1" si="8"/>
        <v>0.26532407407407399</v>
      </c>
      <c r="T93" s="16">
        <f t="shared" ca="1" si="5"/>
        <v>1.1506821598321926</v>
      </c>
    </row>
    <row r="94" spans="1:20" ht="15.5">
      <c r="A94" s="32">
        <v>45412</v>
      </c>
      <c r="B94" s="47" t="s">
        <v>106</v>
      </c>
      <c r="C94" s="7">
        <v>9</v>
      </c>
      <c r="D94" s="8">
        <v>2.0833333333333333E-3</v>
      </c>
      <c r="E94" s="8">
        <f t="shared" si="0"/>
        <v>1.8749999999999999E-2</v>
      </c>
      <c r="F94" s="48">
        <v>0.51466435185185189</v>
      </c>
      <c r="G94" s="48">
        <v>0.53271990740740738</v>
      </c>
      <c r="H94" s="8">
        <f t="shared" si="1"/>
        <v>1.8055555555555491E-2</v>
      </c>
      <c r="I94" s="11">
        <f t="shared" si="2"/>
        <v>0.53341435185185193</v>
      </c>
      <c r="J94" s="51"/>
      <c r="K94" s="51"/>
      <c r="L94" s="8" t="str">
        <f t="shared" si="19"/>
        <v xml:space="preserve"> </v>
      </c>
      <c r="M94" s="51"/>
      <c r="N94" s="13">
        <f t="shared" si="4"/>
        <v>1.0384615384615421</v>
      </c>
      <c r="P94" s="14">
        <f ca="1">IFERROR(__xludf.DUMMYFUNCTION("""COMPUTED_VALUE"""),45531)</f>
        <v>45531</v>
      </c>
      <c r="Q94" s="15">
        <f t="shared" ca="1" si="6"/>
        <v>0.26666666666666666</v>
      </c>
      <c r="R94" s="15">
        <f t="shared" ca="1" si="7"/>
        <v>0.24167824074074085</v>
      </c>
      <c r="S94" s="15">
        <f t="shared" ca="1" si="8"/>
        <v>9.1655092592592469E-2</v>
      </c>
      <c r="T94" s="16">
        <f t="shared" ca="1" si="5"/>
        <v>1.0893935094778977</v>
      </c>
    </row>
    <row r="95" spans="1:20" ht="15.5">
      <c r="A95" s="32">
        <v>45412</v>
      </c>
      <c r="B95" s="47" t="s">
        <v>27</v>
      </c>
      <c r="C95" s="7">
        <v>125</v>
      </c>
      <c r="D95" s="8">
        <v>1.3888888888888889E-3</v>
      </c>
      <c r="E95" s="8">
        <f t="shared" si="0"/>
        <v>0.1736111111111111</v>
      </c>
      <c r="F95" s="10">
        <v>0.53271990740740738</v>
      </c>
      <c r="G95" s="48">
        <v>0.71009259259259261</v>
      </c>
      <c r="H95" s="8">
        <f t="shared" si="1"/>
        <v>0.15962962962962968</v>
      </c>
      <c r="I95" s="11">
        <f t="shared" si="2"/>
        <v>0.72407407407407409</v>
      </c>
      <c r="J95" s="51"/>
      <c r="K95" s="51"/>
      <c r="L95" s="8">
        <v>1.7743055555555557E-2</v>
      </c>
      <c r="M95" s="51"/>
      <c r="N95" s="13">
        <f t="shared" si="4"/>
        <v>1.0875870069605564</v>
      </c>
      <c r="P95" s="14">
        <f ca="1">IFERROR(__xludf.DUMMYFUNCTION("""COMPUTED_VALUE"""),45532)</f>
        <v>45532</v>
      </c>
      <c r="Q95" s="15">
        <f t="shared" ca="1" si="6"/>
        <v>0.22743055555555555</v>
      </c>
      <c r="R95" s="15">
        <f t="shared" ca="1" si="7"/>
        <v>0.20994212962962971</v>
      </c>
      <c r="S95" s="15">
        <f t="shared" ca="1" si="8"/>
        <v>0.1233912037037036</v>
      </c>
      <c r="T95" s="16">
        <f t="shared" ca="1" si="5"/>
        <v>1.0960608444086977</v>
      </c>
    </row>
    <row r="96" spans="1:20" ht="15.5">
      <c r="A96" s="6">
        <v>45474</v>
      </c>
      <c r="B96" s="47" t="s">
        <v>42</v>
      </c>
      <c r="C96" s="7">
        <v>1</v>
      </c>
      <c r="D96" s="8">
        <v>6.9444444444444441E-3</v>
      </c>
      <c r="E96" s="58">
        <f t="shared" si="0"/>
        <v>6.9444444444444441E-3</v>
      </c>
      <c r="F96" s="10">
        <v>0.33758101851851852</v>
      </c>
      <c r="G96" s="8">
        <v>0.3439699074074074</v>
      </c>
      <c r="H96" s="8">
        <f t="shared" ref="H96:H232" si="20">IF(G96="","", IF(L96=" ",IF(OR(F96=0,G96=0)," ",G96-F96),((G96-F96)-L96)))</f>
        <v>6.3888888888888884E-3</v>
      </c>
      <c r="I96" s="11">
        <f t="shared" si="2"/>
        <v>0.34452546296296294</v>
      </c>
      <c r="J96" s="8"/>
      <c r="K96" s="8"/>
      <c r="L96" s="8" t="str">
        <f t="shared" ref="L96:L98" si="21">IF(OR(J96=0,K96=0)," ",K96-J96)</f>
        <v xml:space="preserve"> </v>
      </c>
      <c r="M96" s="12"/>
      <c r="N96" s="13">
        <f t="shared" si="4"/>
        <v>1.0869565217391304</v>
      </c>
      <c r="P96" s="14">
        <f ca="1">IFERROR(__xludf.DUMMYFUNCTION("""COMPUTED_VALUE"""),45533)</f>
        <v>45533</v>
      </c>
      <c r="Q96" s="15">
        <f t="shared" ca="1" si="6"/>
        <v>0.22222222222222227</v>
      </c>
      <c r="R96" s="15">
        <f t="shared" ca="1" si="7"/>
        <v>0.2760185185185185</v>
      </c>
      <c r="S96" s="15">
        <f t="shared" ca="1" si="8"/>
        <v>5.7314814814814818E-2</v>
      </c>
      <c r="T96" s="16">
        <f t="shared" ca="1" si="5"/>
        <v>0.95583759917115263</v>
      </c>
    </row>
    <row r="97" spans="1:20" ht="15.5">
      <c r="A97" s="6">
        <v>45474</v>
      </c>
      <c r="B97" s="47" t="s">
        <v>43</v>
      </c>
      <c r="C97" s="7">
        <v>1</v>
      </c>
      <c r="D97" s="8">
        <v>3.4722222222222224E-2</v>
      </c>
      <c r="E97" s="58">
        <f t="shared" si="0"/>
        <v>3.4722222222222224E-2</v>
      </c>
      <c r="F97" s="8">
        <v>0.3439699074074074</v>
      </c>
      <c r="G97" s="8">
        <v>0.37842592592592594</v>
      </c>
      <c r="H97" s="8">
        <f t="shared" si="20"/>
        <v>3.4456018518518539E-2</v>
      </c>
      <c r="I97" s="11">
        <f t="shared" si="2"/>
        <v>0.37869212962962961</v>
      </c>
      <c r="J97" s="8"/>
      <c r="K97" s="8"/>
      <c r="L97" s="8" t="str">
        <f t="shared" si="21"/>
        <v xml:space="preserve"> </v>
      </c>
      <c r="M97" s="12"/>
      <c r="N97" s="13">
        <f t="shared" si="4"/>
        <v>1.0077258985555924</v>
      </c>
      <c r="P97" s="14">
        <f ca="1">IFERROR(__xludf.DUMMYFUNCTION("""COMPUTED_VALUE"""),45534)</f>
        <v>45534</v>
      </c>
      <c r="Q97" s="15">
        <f t="shared" ca="1" si="6"/>
        <v>0.33194444444444449</v>
      </c>
      <c r="R97" s="15">
        <f t="shared" ca="1" si="7"/>
        <v>0.29909722222222224</v>
      </c>
      <c r="S97" s="15">
        <f t="shared" ca="1" si="8"/>
        <v>3.4236111111111078E-2</v>
      </c>
      <c r="T97" s="16">
        <f t="shared" ca="1" si="5"/>
        <v>1.1081992634476177</v>
      </c>
    </row>
    <row r="98" spans="1:20" ht="15.5">
      <c r="A98" s="6">
        <v>45474</v>
      </c>
      <c r="B98" s="47" t="s">
        <v>63</v>
      </c>
      <c r="C98" s="7">
        <v>1</v>
      </c>
      <c r="D98" s="8">
        <v>3.4722222222222224E-2</v>
      </c>
      <c r="E98" s="58">
        <f t="shared" si="0"/>
        <v>3.4722222222222224E-2</v>
      </c>
      <c r="F98" s="8">
        <v>0.37842592592592594</v>
      </c>
      <c r="G98" s="8">
        <v>0.41244212962962967</v>
      </c>
      <c r="H98" s="8">
        <f t="shared" si="20"/>
        <v>3.4016203703703729E-2</v>
      </c>
      <c r="I98" s="11">
        <f t="shared" si="2"/>
        <v>0.41314814814814815</v>
      </c>
      <c r="J98" s="8"/>
      <c r="K98" s="8"/>
      <c r="L98" s="8" t="str">
        <f t="shared" si="21"/>
        <v xml:space="preserve"> </v>
      </c>
      <c r="M98" s="12"/>
      <c r="N98" s="13">
        <f t="shared" si="4"/>
        <v>1.020755358965634</v>
      </c>
      <c r="O98" s="4"/>
      <c r="P98" s="14">
        <f ca="1">IFERROR(__xludf.DUMMYFUNCTION("""COMPUTED_VALUE"""),45537)</f>
        <v>45537</v>
      </c>
      <c r="Q98" s="15">
        <f t="shared" ca="1" si="6"/>
        <v>0.34583333333333338</v>
      </c>
      <c r="R98" s="15">
        <f t="shared" ca="1" si="7"/>
        <v>0.31981481481481477</v>
      </c>
      <c r="S98" s="15">
        <f t="shared" ca="1" si="8"/>
        <v>1.3518518518518541E-2</v>
      </c>
      <c r="T98" s="16">
        <f t="shared" ca="1" si="5"/>
        <v>1.0751738627001086</v>
      </c>
    </row>
    <row r="99" spans="1:20" ht="15.5">
      <c r="A99" s="6">
        <v>45474</v>
      </c>
      <c r="B99" s="47" t="s">
        <v>85</v>
      </c>
      <c r="C99" s="7">
        <v>1</v>
      </c>
      <c r="D99" s="8">
        <v>8.3333333333333329E-2</v>
      </c>
      <c r="E99" s="58">
        <f t="shared" si="0"/>
        <v>8.3333333333333329E-2</v>
      </c>
      <c r="F99" s="8">
        <v>0.41244212962962967</v>
      </c>
      <c r="G99" s="10">
        <v>0.54673611111111109</v>
      </c>
      <c r="H99" s="8">
        <f t="shared" si="20"/>
        <v>0.10943287037037031</v>
      </c>
      <c r="I99" s="11">
        <f t="shared" si="2"/>
        <v>0.52063657407407415</v>
      </c>
      <c r="J99" s="8"/>
      <c r="K99" s="8"/>
      <c r="L99" s="8">
        <v>2.4861111111111112E-2</v>
      </c>
      <c r="M99" s="12"/>
      <c r="N99" s="13">
        <f t="shared" si="4"/>
        <v>0.76150185087255462</v>
      </c>
      <c r="P99" s="14">
        <f ca="1">IFERROR(__xludf.DUMMYFUNCTION("""COMPUTED_VALUE"""),45538)</f>
        <v>45538</v>
      </c>
      <c r="Q99" s="15">
        <f t="shared" ca="1" si="6"/>
        <v>0.35625000000000007</v>
      </c>
      <c r="R99" s="15">
        <f t="shared" ca="1" si="7"/>
        <v>0.32784722222222235</v>
      </c>
      <c r="S99" s="15">
        <f t="shared" ca="1" si="8"/>
        <v>5.4861111111109695E-3</v>
      </c>
      <c r="T99" s="16">
        <f t="shared" ca="1" si="5"/>
        <v>1.1005069079591063</v>
      </c>
    </row>
    <row r="100" spans="1:20" ht="15.5">
      <c r="A100" s="6">
        <v>45474</v>
      </c>
      <c r="B100" s="47" t="s">
        <v>93</v>
      </c>
      <c r="C100" s="7">
        <v>10</v>
      </c>
      <c r="D100" s="8">
        <v>6.9444444444444441E-3</v>
      </c>
      <c r="E100" s="58">
        <f t="shared" si="0"/>
        <v>6.9444444444444448E-2</v>
      </c>
      <c r="F100" s="10">
        <v>0.54673611111111109</v>
      </c>
      <c r="G100" s="10">
        <v>0.61616898148148147</v>
      </c>
      <c r="H100" s="8">
        <f t="shared" si="20"/>
        <v>6.9432870370370381E-2</v>
      </c>
      <c r="I100" s="11">
        <f t="shared" si="2"/>
        <v>0.61618055555555551</v>
      </c>
      <c r="J100" s="8"/>
      <c r="K100" s="8"/>
      <c r="L100" s="8" t="str">
        <f t="shared" ref="L100:L101" si="22">IF(OR(J100=0,K100=0)," ",K100-J100)</f>
        <v xml:space="preserve"> </v>
      </c>
      <c r="M100" s="12"/>
      <c r="N100" s="13">
        <f t="shared" si="4"/>
        <v>1.0001666944490748</v>
      </c>
      <c r="P100" s="14">
        <f ca="1">IFERROR(__xludf.DUMMYFUNCTION("""COMPUTED_VALUE"""),45539)</f>
        <v>45539</v>
      </c>
      <c r="Q100" s="15">
        <f t="shared" ca="1" si="6"/>
        <v>0.34930555555555565</v>
      </c>
      <c r="R100" s="15">
        <f t="shared" ca="1" si="7"/>
        <v>0.32359953703703703</v>
      </c>
      <c r="S100" s="15">
        <f t="shared" ca="1" si="8"/>
        <v>9.7337962962962821E-3</v>
      </c>
      <c r="T100" s="16">
        <f t="shared" ca="1" si="5"/>
        <v>1.0821785772905168</v>
      </c>
    </row>
    <row r="101" spans="1:20" ht="15.5">
      <c r="A101" s="6">
        <v>45474</v>
      </c>
      <c r="B101" s="47" t="s">
        <v>50</v>
      </c>
      <c r="C101" s="7">
        <v>3</v>
      </c>
      <c r="D101" s="8">
        <v>1.0416666666666666E-2</v>
      </c>
      <c r="E101" s="58">
        <f t="shared" si="0"/>
        <v>3.125E-2</v>
      </c>
      <c r="F101" s="10">
        <v>0.61616898148148147</v>
      </c>
      <c r="G101" s="10">
        <v>0.64505787037037032</v>
      </c>
      <c r="H101" s="8">
        <f t="shared" si="20"/>
        <v>2.8888888888888853E-2</v>
      </c>
      <c r="I101" s="11">
        <f t="shared" si="2"/>
        <v>0.64741898148148147</v>
      </c>
      <c r="J101" s="8"/>
      <c r="K101" s="8"/>
      <c r="L101" s="8" t="str">
        <f t="shared" si="22"/>
        <v xml:space="preserve"> </v>
      </c>
      <c r="M101" s="18" t="s">
        <v>118</v>
      </c>
      <c r="N101" s="13">
        <f t="shared" si="4"/>
        <v>1.0817307692307705</v>
      </c>
      <c r="P101" s="14">
        <f ca="1">IFERROR(__xludf.DUMMYFUNCTION("""COMPUTED_VALUE"""),45540)</f>
        <v>45540</v>
      </c>
      <c r="Q101" s="15">
        <f t="shared" ca="1" si="6"/>
        <v>0.31805555555555559</v>
      </c>
      <c r="R101" s="15">
        <f t="shared" ca="1" si="7"/>
        <v>0.29168981481481482</v>
      </c>
      <c r="S101" s="15">
        <f t="shared" ca="1" si="8"/>
        <v>4.1643518518518496E-2</v>
      </c>
      <c r="T101" s="16">
        <f t="shared" ca="1" si="5"/>
        <v>1.0941942881675137</v>
      </c>
    </row>
    <row r="102" spans="1:20" ht="15.5">
      <c r="A102" s="6">
        <v>45474</v>
      </c>
      <c r="B102" s="47" t="s">
        <v>20</v>
      </c>
      <c r="C102" s="7">
        <v>30</v>
      </c>
      <c r="D102" s="8">
        <v>2.0833333333333333E-3</v>
      </c>
      <c r="E102" s="58">
        <f t="shared" si="0"/>
        <v>6.25E-2</v>
      </c>
      <c r="F102" s="10">
        <v>0.64505787037037032</v>
      </c>
      <c r="G102" s="10">
        <v>0.71743055555555557</v>
      </c>
      <c r="H102" s="8">
        <f t="shared" si="20"/>
        <v>5.4560185185185253E-2</v>
      </c>
      <c r="I102" s="11">
        <f t="shared" si="2"/>
        <v>0.72537037037037033</v>
      </c>
      <c r="J102" s="8"/>
      <c r="K102" s="8"/>
      <c r="L102" s="50">
        <v>1.7812499999999998E-2</v>
      </c>
      <c r="M102" s="50"/>
      <c r="N102" s="13">
        <f t="shared" si="4"/>
        <v>1.1455239711497651</v>
      </c>
      <c r="P102" s="14">
        <f ca="1">IFERROR(__xludf.DUMMYFUNCTION("""COMPUTED_VALUE"""),45541)</f>
        <v>45541</v>
      </c>
      <c r="Q102" s="15">
        <f t="shared" ca="1" si="6"/>
        <v>0.35069444444444448</v>
      </c>
      <c r="R102" s="15">
        <f t="shared" ca="1" si="7"/>
        <v>0.31902777777777791</v>
      </c>
      <c r="S102" s="15">
        <f t="shared" ca="1" si="8"/>
        <v>1.4305555555555405E-2</v>
      </c>
      <c r="T102" s="16">
        <f t="shared" ca="1" si="5"/>
        <v>1.1011815469156745</v>
      </c>
    </row>
    <row r="103" spans="1:20" ht="15.5">
      <c r="A103" s="6">
        <v>45475</v>
      </c>
      <c r="B103" s="47" t="s">
        <v>84</v>
      </c>
      <c r="C103" s="7">
        <v>1</v>
      </c>
      <c r="D103" s="8">
        <v>7.6388888888888895E-2</v>
      </c>
      <c r="E103" s="58">
        <f t="shared" si="0"/>
        <v>7.6388888888888895E-2</v>
      </c>
      <c r="F103" s="10">
        <v>0.36244212962962963</v>
      </c>
      <c r="G103" s="10">
        <v>0.43855324074074076</v>
      </c>
      <c r="H103" s="8">
        <f t="shared" si="20"/>
        <v>7.6111111111111129E-2</v>
      </c>
      <c r="I103" s="11">
        <f t="shared" si="2"/>
        <v>0.43883101851851852</v>
      </c>
      <c r="J103" s="8"/>
      <c r="K103" s="8"/>
      <c r="L103" s="8" t="str">
        <f t="shared" ref="L103:L104" si="23">IF(OR(J103=0,K103=0)," ",K103-J103)</f>
        <v xml:space="preserve"> </v>
      </c>
      <c r="M103" s="12"/>
      <c r="N103" s="13">
        <f t="shared" si="4"/>
        <v>1.0036496350364963</v>
      </c>
      <c r="P103" s="14">
        <f ca="1">IFERROR(__xludf.DUMMYFUNCTION("""COMPUTED_VALUE"""),45544)</f>
        <v>45544</v>
      </c>
      <c r="Q103" s="15">
        <f t="shared" ca="1" si="6"/>
        <v>0.34375000000000006</v>
      </c>
      <c r="R103" s="15">
        <f t="shared" ca="1" si="7"/>
        <v>0.31858689814357577</v>
      </c>
      <c r="S103" s="15">
        <f t="shared" ca="1" si="8"/>
        <v>1.4746435189757545E-2</v>
      </c>
      <c r="T103" s="16">
        <f t="shared" ca="1" si="5"/>
        <v>1.0863426936952258</v>
      </c>
    </row>
    <row r="104" spans="1:20" ht="15.5">
      <c r="A104" s="6">
        <v>45475</v>
      </c>
      <c r="B104" s="47" t="s">
        <v>20</v>
      </c>
      <c r="C104" s="7">
        <v>35</v>
      </c>
      <c r="D104" s="8">
        <v>2.0833333333333333E-3</v>
      </c>
      <c r="E104" s="58">
        <f t="shared" si="0"/>
        <v>7.2916666666666671E-2</v>
      </c>
      <c r="F104" s="10">
        <v>0.43855324074074076</v>
      </c>
      <c r="G104" s="10">
        <v>0.50785879629629627</v>
      </c>
      <c r="H104" s="8">
        <f t="shared" si="20"/>
        <v>6.9305555555555509E-2</v>
      </c>
      <c r="I104" s="11">
        <f t="shared" si="2"/>
        <v>0.51146990740740739</v>
      </c>
      <c r="J104" s="8"/>
      <c r="K104" s="8"/>
      <c r="L104" s="8" t="str">
        <f t="shared" si="23"/>
        <v xml:space="preserve"> </v>
      </c>
      <c r="M104" s="18"/>
      <c r="N104" s="13">
        <f t="shared" si="4"/>
        <v>1.0521042084168344</v>
      </c>
      <c r="P104" s="14">
        <f ca="1">IFERROR(__xludf.DUMMYFUNCTION("""COMPUTED_VALUE"""),45545)</f>
        <v>45545</v>
      </c>
      <c r="Q104" s="15">
        <f t="shared" ca="1" si="6"/>
        <v>0.30069444444444454</v>
      </c>
      <c r="R104" s="15">
        <f t="shared" ca="1" si="7"/>
        <v>0.27740740740740749</v>
      </c>
      <c r="S104" s="15">
        <f t="shared" ca="1" si="8"/>
        <v>5.5925925925925823E-2</v>
      </c>
      <c r="T104" s="16">
        <f t="shared" ca="1" si="5"/>
        <v>1.0882191501203351</v>
      </c>
    </row>
    <row r="105" spans="1:20" ht="15.5">
      <c r="A105" s="6">
        <v>45475</v>
      </c>
      <c r="B105" s="47" t="s">
        <v>57</v>
      </c>
      <c r="C105" s="7">
        <v>15</v>
      </c>
      <c r="D105" s="8">
        <v>2.7777777777777779E-3</v>
      </c>
      <c r="E105" s="58">
        <f t="shared" si="0"/>
        <v>4.1666666666666671E-2</v>
      </c>
      <c r="F105" s="10">
        <v>0.50785879629629627</v>
      </c>
      <c r="G105" s="10">
        <v>0.57317129629629626</v>
      </c>
      <c r="H105" s="8">
        <f t="shared" si="20"/>
        <v>3.9583333333333331E-2</v>
      </c>
      <c r="I105" s="11">
        <f t="shared" si="2"/>
        <v>0.57525462962962959</v>
      </c>
      <c r="J105" s="8"/>
      <c r="K105" s="8"/>
      <c r="L105" s="8">
        <v>2.5729166666666668E-2</v>
      </c>
      <c r="M105" s="12"/>
      <c r="N105" s="13">
        <f t="shared" si="4"/>
        <v>1.0526315789473686</v>
      </c>
      <c r="P105" s="14">
        <f ca="1">IFERROR(__xludf.DUMMYFUNCTION("""COMPUTED_VALUE"""),45546)</f>
        <v>45546</v>
      </c>
      <c r="Q105" s="15">
        <f t="shared" ca="1" si="6"/>
        <v>0.35000000000000003</v>
      </c>
      <c r="R105" s="15">
        <f t="shared" ca="1" si="7"/>
        <v>0.32304964120221691</v>
      </c>
      <c r="S105" s="15">
        <f t="shared" ca="1" si="8"/>
        <v>1.0283692131116406E-2</v>
      </c>
      <c r="T105" s="16">
        <f t="shared" ca="1" si="5"/>
        <v>1.1052397191510361</v>
      </c>
    </row>
    <row r="106" spans="1:20" ht="15.5">
      <c r="A106" s="6">
        <v>45475</v>
      </c>
      <c r="B106" s="47" t="s">
        <v>20</v>
      </c>
      <c r="C106" s="7">
        <v>85</v>
      </c>
      <c r="D106" s="8">
        <v>2.0833333333333333E-3</v>
      </c>
      <c r="E106" s="58">
        <f t="shared" si="0"/>
        <v>0.17708333333333334</v>
      </c>
      <c r="F106" s="10">
        <v>0.57317129629629626</v>
      </c>
      <c r="G106" s="10">
        <v>0.72243788194464287</v>
      </c>
      <c r="H106" s="8">
        <f t="shared" si="20"/>
        <v>0.13188232638908734</v>
      </c>
      <c r="I106" s="11">
        <f t="shared" si="2"/>
        <v>0.76763888888888887</v>
      </c>
      <c r="J106" s="8"/>
      <c r="K106" s="8"/>
      <c r="L106" s="8">
        <v>1.7384259259259259E-2</v>
      </c>
      <c r="M106" s="12"/>
      <c r="N106" s="13">
        <f t="shared" si="4"/>
        <v>1.3427374097943285</v>
      </c>
      <c r="P106" s="14">
        <f ca="1">IFERROR(__xludf.DUMMYFUNCTION("""COMPUTED_VALUE"""),45547)</f>
        <v>45547</v>
      </c>
      <c r="Q106" s="15">
        <f t="shared" ca="1" si="6"/>
        <v>0.33611111111111114</v>
      </c>
      <c r="R106" s="15">
        <f t="shared" ca="1" si="7"/>
        <v>0.30714120370370379</v>
      </c>
      <c r="S106" s="15">
        <f t="shared" ca="1" si="8"/>
        <v>2.6192129629629524E-2</v>
      </c>
      <c r="T106" s="16">
        <f t="shared" ca="1" si="5"/>
        <v>1.0828572222976998</v>
      </c>
    </row>
    <row r="107" spans="1:20" ht="15.5">
      <c r="A107" s="6">
        <v>45476</v>
      </c>
      <c r="B107" s="47" t="s">
        <v>38</v>
      </c>
      <c r="C107" s="7">
        <v>43</v>
      </c>
      <c r="D107" s="8">
        <v>2.7777777777777779E-3</v>
      </c>
      <c r="E107" s="58">
        <f t="shared" si="0"/>
        <v>0.11944444444444445</v>
      </c>
      <c r="F107" s="10">
        <v>0.33634259259259258</v>
      </c>
      <c r="G107" s="10">
        <v>0.44994212962962965</v>
      </c>
      <c r="H107" s="8">
        <f t="shared" si="20"/>
        <v>0.11359953703703707</v>
      </c>
      <c r="I107" s="11">
        <f t="shared" si="2"/>
        <v>0.45578703703703705</v>
      </c>
      <c r="J107" s="8"/>
      <c r="K107" s="8"/>
      <c r="L107" s="8" t="str">
        <f>IF(OR(J107=0,K107=0)," ",K107-J107)</f>
        <v xml:space="preserve"> </v>
      </c>
      <c r="M107" s="12"/>
      <c r="N107" s="13">
        <f t="shared" si="4"/>
        <v>1.0514518593988791</v>
      </c>
      <c r="P107" s="14">
        <f ca="1">IFERROR(__xludf.DUMMYFUNCTION("""COMPUTED_VALUE"""),45548)</f>
        <v>45548</v>
      </c>
      <c r="Q107" s="15">
        <f t="shared" ca="1" si="6"/>
        <v>0.37361111111111112</v>
      </c>
      <c r="R107" s="15">
        <f t="shared" ca="1" si="7"/>
        <v>0.33056712962962964</v>
      </c>
      <c r="S107" s="15">
        <f t="shared" ca="1" si="8"/>
        <v>2.7662037037036735E-3</v>
      </c>
      <c r="T107" s="16">
        <f t="shared" ca="1" si="5"/>
        <v>1.0974952413281678</v>
      </c>
    </row>
    <row r="108" spans="1:20" ht="15.5">
      <c r="A108" s="6">
        <v>45476</v>
      </c>
      <c r="B108" s="47" t="s">
        <v>105</v>
      </c>
      <c r="C108" s="7">
        <v>1</v>
      </c>
      <c r="D108" s="8">
        <v>1.736111111111111E-3</v>
      </c>
      <c r="E108" s="58">
        <f t="shared" si="0"/>
        <v>1.736111111111111E-3</v>
      </c>
      <c r="F108" s="10">
        <v>0.44994212962962965</v>
      </c>
      <c r="G108" s="10">
        <v>0.47061342592592592</v>
      </c>
      <c r="H108" s="8">
        <f t="shared" si="20"/>
        <v>1.4236111111110873E-3</v>
      </c>
      <c r="I108" s="11">
        <f t="shared" si="2"/>
        <v>0.47092592592592591</v>
      </c>
      <c r="J108" s="8"/>
      <c r="K108" s="8"/>
      <c r="L108" s="8">
        <v>1.9247685185185184E-2</v>
      </c>
      <c r="M108" s="12"/>
      <c r="N108" s="13">
        <f t="shared" si="4"/>
        <v>1.2195121951219716</v>
      </c>
      <c r="P108" s="14">
        <f ca="1">IFERROR(__xludf.DUMMYFUNCTION("""COMPUTED_VALUE"""),45551)</f>
        <v>45551</v>
      </c>
      <c r="Q108" s="15">
        <f t="shared" ca="1" si="6"/>
        <v>7.9166666666666663E-2</v>
      </c>
      <c r="R108" s="15">
        <f t="shared" ca="1" si="7"/>
        <v>7.4791666666666701E-2</v>
      </c>
      <c r="S108" s="15">
        <f t="shared" ca="1" si="8"/>
        <v>0.25854166666666661</v>
      </c>
      <c r="T108" s="16">
        <f t="shared" ca="1" si="5"/>
        <v>1.0714595566493617</v>
      </c>
    </row>
    <row r="109" spans="1:20" ht="15.5">
      <c r="A109" s="6">
        <v>45476</v>
      </c>
      <c r="B109" s="47" t="s">
        <v>38</v>
      </c>
      <c r="C109" s="7">
        <v>29</v>
      </c>
      <c r="D109" s="8">
        <v>2.7777777777777779E-3</v>
      </c>
      <c r="E109" s="58">
        <f t="shared" si="0"/>
        <v>8.0555555555555561E-2</v>
      </c>
      <c r="F109" s="10">
        <v>0.47061342592592592</v>
      </c>
      <c r="G109" s="10">
        <v>0.54778935185185185</v>
      </c>
      <c r="H109" s="8">
        <f t="shared" si="20"/>
        <v>7.7175925925925926E-2</v>
      </c>
      <c r="I109" s="11">
        <f t="shared" si="2"/>
        <v>0.55116898148148152</v>
      </c>
      <c r="J109" s="8"/>
      <c r="K109" s="8"/>
      <c r="L109" s="8" t="str">
        <f t="shared" ref="L109:L110" si="24">IF(OR(J109=0,K109=0)," ",K109-J109)</f>
        <v xml:space="preserve"> </v>
      </c>
      <c r="M109" s="12"/>
      <c r="N109" s="13">
        <f t="shared" si="4"/>
        <v>1.0437912417516497</v>
      </c>
      <c r="P109" s="14">
        <f ca="1">IFERROR(__xludf.DUMMYFUNCTION("""COMPUTED_VALUE"""),45558)</f>
        <v>45558</v>
      </c>
      <c r="Q109" s="15">
        <f t="shared" ca="1" si="6"/>
        <v>0.11805555555555558</v>
      </c>
      <c r="R109" s="15">
        <f t="shared" ca="1" si="7"/>
        <v>0.10882240740760198</v>
      </c>
      <c r="S109" s="15">
        <f t="shared" ca="1" si="8"/>
        <v>0.22451092592573135</v>
      </c>
      <c r="T109" s="16">
        <f t="shared" ca="1" si="5"/>
        <v>1.0876778846881148</v>
      </c>
    </row>
    <row r="110" spans="1:20" ht="15.5">
      <c r="A110" s="6">
        <v>45476</v>
      </c>
      <c r="B110" s="47" t="s">
        <v>38</v>
      </c>
      <c r="C110" s="7">
        <v>13</v>
      </c>
      <c r="D110" s="8">
        <v>2.7777777777777779E-3</v>
      </c>
      <c r="E110" s="58">
        <f t="shared" si="0"/>
        <v>3.6111111111111115E-2</v>
      </c>
      <c r="F110" s="10">
        <v>0.54778935185185185</v>
      </c>
      <c r="G110" s="10">
        <v>0.5823842592592593</v>
      </c>
      <c r="H110" s="8">
        <f t="shared" si="20"/>
        <v>3.4594907407407449E-2</v>
      </c>
      <c r="I110" s="11">
        <f t="shared" si="2"/>
        <v>0.58390046296296294</v>
      </c>
      <c r="J110" s="8"/>
      <c r="K110" s="8"/>
      <c r="L110" s="8" t="str">
        <f t="shared" si="24"/>
        <v xml:space="preserve"> </v>
      </c>
      <c r="M110" s="12"/>
      <c r="N110" s="13">
        <f t="shared" si="4"/>
        <v>1.0438273670123777</v>
      </c>
      <c r="P110" s="14">
        <f ca="1">IFERROR(__xludf.DUMMYFUNCTION("""COMPUTED_VALUE"""),45559)</f>
        <v>45559</v>
      </c>
      <c r="Q110" s="15">
        <f t="shared" ca="1" si="6"/>
        <v>0.18055555555555552</v>
      </c>
      <c r="R110" s="15">
        <f t="shared" ca="1" si="7"/>
        <v>0.17401819443946737</v>
      </c>
      <c r="S110" s="15">
        <f t="shared" ca="1" si="8"/>
        <v>0.15931513889386595</v>
      </c>
      <c r="T110" s="16">
        <f t="shared" ca="1" si="5"/>
        <v>1.0666422609776969</v>
      </c>
    </row>
    <row r="111" spans="1:20" ht="15.5">
      <c r="A111" s="6">
        <v>45476</v>
      </c>
      <c r="B111" s="47" t="s">
        <v>27</v>
      </c>
      <c r="C111" s="7">
        <v>27</v>
      </c>
      <c r="D111" s="8">
        <v>1.3888888888888889E-3</v>
      </c>
      <c r="E111" s="58">
        <f t="shared" si="0"/>
        <v>3.7499999999999999E-2</v>
      </c>
      <c r="F111" s="10">
        <v>0.5823842592592593</v>
      </c>
      <c r="G111" s="10">
        <v>0.61807870370370366</v>
      </c>
      <c r="H111" s="8">
        <f t="shared" si="20"/>
        <v>3.5694444444444362E-2</v>
      </c>
      <c r="I111" s="11">
        <f t="shared" si="2"/>
        <v>0.61988425925925927</v>
      </c>
      <c r="J111" s="8"/>
      <c r="K111" s="8"/>
      <c r="L111" s="8"/>
      <c r="M111" s="12"/>
      <c r="N111" s="13">
        <f t="shared" si="4"/>
        <v>1.0505836575875511</v>
      </c>
      <c r="P111" s="14">
        <f ca="1">IFERROR(__xludf.DUMMYFUNCTION("""COMPUTED_VALUE"""),45560)</f>
        <v>45560</v>
      </c>
      <c r="Q111" s="15">
        <f t="shared" ca="1" si="6"/>
        <v>0.33819444444444441</v>
      </c>
      <c r="R111" s="15">
        <f t="shared" ca="1" si="7"/>
        <v>0.31197206018294221</v>
      </c>
      <c r="S111" s="15">
        <f t="shared" ca="1" si="8"/>
        <v>2.1361273150391102E-2</v>
      </c>
      <c r="T111" s="16">
        <f t="shared" ca="1" si="5"/>
        <v>1.1076687958312481</v>
      </c>
    </row>
    <row r="112" spans="1:20" ht="15.5">
      <c r="A112" s="6">
        <v>45476</v>
      </c>
      <c r="B112" s="47" t="s">
        <v>50</v>
      </c>
      <c r="C112" s="7">
        <v>1</v>
      </c>
      <c r="D112" s="8">
        <v>1.0416666666666666E-2</v>
      </c>
      <c r="E112" s="58">
        <f t="shared" si="0"/>
        <v>1.0416666666666666E-2</v>
      </c>
      <c r="F112" s="10">
        <v>0.61807870370370366</v>
      </c>
      <c r="G112" s="10">
        <v>0.62800925925925921</v>
      </c>
      <c r="H112" s="8">
        <f t="shared" si="20"/>
        <v>9.9305555555555536E-3</v>
      </c>
      <c r="I112" s="11">
        <f t="shared" si="2"/>
        <v>0.62849537037037029</v>
      </c>
      <c r="J112" s="8"/>
      <c r="K112" s="8"/>
      <c r="L112" s="8" t="str">
        <f t="shared" ref="L112:L114" si="25">IF(OR(J112=0,K112=0)," ",K112-J112)</f>
        <v xml:space="preserve"> </v>
      </c>
      <c r="M112" s="12"/>
      <c r="N112" s="13">
        <f t="shared" si="4"/>
        <v>1.0489510489510492</v>
      </c>
      <c r="P112" s="14">
        <f ca="1">IFERROR(__xludf.DUMMYFUNCTION("""COMPUTED_VALUE"""),45561)</f>
        <v>45561</v>
      </c>
      <c r="Q112" s="15">
        <f t="shared" ca="1" si="6"/>
        <v>0.31458333333333344</v>
      </c>
      <c r="R112" s="15">
        <f t="shared" ca="1" si="7"/>
        <v>0.2997800925925927</v>
      </c>
      <c r="S112" s="15">
        <f t="shared" ca="1" si="8"/>
        <v>3.355324074074062E-2</v>
      </c>
      <c r="T112" s="16">
        <f t="shared" ca="1" si="5"/>
        <v>1.071799084103914</v>
      </c>
    </row>
    <row r="113" spans="1:20" ht="15.5">
      <c r="A113" s="6">
        <v>45476</v>
      </c>
      <c r="B113" s="47" t="s">
        <v>51</v>
      </c>
      <c r="C113" s="7">
        <v>1</v>
      </c>
      <c r="D113" s="8">
        <v>1.0416666666666666E-2</v>
      </c>
      <c r="E113" s="58">
        <f t="shared" si="0"/>
        <v>1.0416666666666666E-2</v>
      </c>
      <c r="F113" s="8">
        <f t="shared" ref="F113:F115" si="26">G112</f>
        <v>0.62800925925925921</v>
      </c>
      <c r="G113" s="10">
        <v>0.63804398148148145</v>
      </c>
      <c r="H113" s="8">
        <f t="shared" si="20"/>
        <v>1.0034722222222237E-2</v>
      </c>
      <c r="I113" s="11">
        <f t="shared" si="2"/>
        <v>0.63842592592592584</v>
      </c>
      <c r="J113" s="8"/>
      <c r="K113" s="8"/>
      <c r="L113" s="8" t="str">
        <f t="shared" si="25"/>
        <v xml:space="preserve"> </v>
      </c>
      <c r="M113" s="12"/>
      <c r="N113" s="13">
        <f t="shared" si="4"/>
        <v>1.0380622837370226</v>
      </c>
      <c r="P113" s="14">
        <f ca="1">IFERROR(__xludf.DUMMYFUNCTION("""COMPUTED_VALUE"""),45562)</f>
        <v>45562</v>
      </c>
      <c r="Q113" s="15">
        <f t="shared" ca="1" si="6"/>
        <v>0.29097222222222224</v>
      </c>
      <c r="R113" s="15">
        <f t="shared" ca="1" si="7"/>
        <v>0.28032407407407406</v>
      </c>
      <c r="S113" s="15">
        <f t="shared" ca="1" si="8"/>
        <v>5.3009259259259256E-2</v>
      </c>
      <c r="T113" s="16">
        <f t="shared" ca="1" si="5"/>
        <v>1.0679253614463387</v>
      </c>
    </row>
    <row r="114" spans="1:20" ht="15.5">
      <c r="A114" s="6">
        <v>45476</v>
      </c>
      <c r="B114" s="47" t="s">
        <v>52</v>
      </c>
      <c r="C114" s="7">
        <v>1</v>
      </c>
      <c r="D114" s="8">
        <v>1.0416666666666666E-2</v>
      </c>
      <c r="E114" s="58">
        <f t="shared" si="0"/>
        <v>1.0416666666666666E-2</v>
      </c>
      <c r="F114" s="8">
        <f t="shared" si="26"/>
        <v>0.63804398148148145</v>
      </c>
      <c r="G114" s="10">
        <v>0.64809027777777772</v>
      </c>
      <c r="H114" s="8">
        <f t="shared" si="20"/>
        <v>1.0046296296296275E-2</v>
      </c>
      <c r="I114" s="11">
        <f t="shared" si="2"/>
        <v>0.64846064814814808</v>
      </c>
      <c r="J114" s="8"/>
      <c r="K114" s="8"/>
      <c r="L114" s="8" t="str">
        <f t="shared" si="25"/>
        <v xml:space="preserve"> </v>
      </c>
      <c r="M114" s="12"/>
      <c r="N114" s="13">
        <f t="shared" si="4"/>
        <v>1.0368663594470067</v>
      </c>
      <c r="P114" s="14">
        <f ca="1">IFERROR(__xludf.DUMMYFUNCTION("""COMPUTED_VALUE"""),45565)</f>
        <v>45565</v>
      </c>
      <c r="Q114" s="15">
        <f t="shared" ca="1" si="6"/>
        <v>0.34652777777777788</v>
      </c>
      <c r="R114" s="15">
        <f t="shared" ca="1" si="7"/>
        <v>0.32098379629629631</v>
      </c>
      <c r="S114" s="15">
        <f t="shared" ca="1" si="8"/>
        <v>1.2349537037037006E-2</v>
      </c>
      <c r="T114" s="16">
        <f t="shared" ca="1" si="5"/>
        <v>1.0880320464515036</v>
      </c>
    </row>
    <row r="115" spans="1:20" ht="15.5">
      <c r="A115" s="6">
        <v>45476</v>
      </c>
      <c r="B115" s="47" t="s">
        <v>27</v>
      </c>
      <c r="C115" s="7">
        <v>30</v>
      </c>
      <c r="D115" s="8">
        <v>1.3888888888888889E-3</v>
      </c>
      <c r="E115" s="58">
        <f t="shared" si="0"/>
        <v>4.1666666666666671E-2</v>
      </c>
      <c r="F115" s="8">
        <f t="shared" si="26"/>
        <v>0.64809027777777772</v>
      </c>
      <c r="G115" s="50">
        <v>0.7133680555555556</v>
      </c>
      <c r="H115" s="8">
        <f t="shared" si="20"/>
        <v>4.0868055555555657E-2</v>
      </c>
      <c r="I115" s="11">
        <f t="shared" si="2"/>
        <v>0.71416666666666662</v>
      </c>
      <c r="J115" s="8"/>
      <c r="K115" s="8"/>
      <c r="L115" s="8">
        <v>2.4409722222222222E-2</v>
      </c>
      <c r="M115" s="12"/>
      <c r="N115" s="13">
        <f t="shared" si="4"/>
        <v>1.0195412064570919</v>
      </c>
      <c r="P115" s="14">
        <f ca="1">IFERROR(__xludf.DUMMYFUNCTION("""COMPUTED_VALUE"""),45566)</f>
        <v>45566</v>
      </c>
      <c r="Q115" s="15">
        <f t="shared" ca="1" si="6"/>
        <v>0.34097222222222223</v>
      </c>
      <c r="R115" s="15">
        <f t="shared" ca="1" si="7"/>
        <v>0.31968750000000001</v>
      </c>
      <c r="S115" s="15">
        <f t="shared" ca="1" si="8"/>
        <v>1.3645833333333302E-2</v>
      </c>
      <c r="T115" s="16">
        <f t="shared" ca="1" si="5"/>
        <v>1.0685573742168093</v>
      </c>
    </row>
    <row r="116" spans="1:20" ht="15.5">
      <c r="A116" s="6">
        <v>45477</v>
      </c>
      <c r="B116" s="47" t="s">
        <v>42</v>
      </c>
      <c r="C116" s="7">
        <v>1</v>
      </c>
      <c r="D116" s="8">
        <v>6.9444444444444441E-3</v>
      </c>
      <c r="E116" s="58">
        <f t="shared" si="0"/>
        <v>6.9444444444444441E-3</v>
      </c>
      <c r="F116" s="50">
        <v>0.34168981481481486</v>
      </c>
      <c r="G116" s="10">
        <v>0.34812500000000002</v>
      </c>
      <c r="H116" s="8">
        <f t="shared" si="20"/>
        <v>6.4351851851851549E-3</v>
      </c>
      <c r="I116" s="11">
        <f t="shared" si="2"/>
        <v>0.34863425925925928</v>
      </c>
      <c r="J116" s="8"/>
      <c r="K116" s="8"/>
      <c r="L116" s="8" t="str">
        <f t="shared" ref="L116:L118" si="27">IF(OR(J116=0,K116=0)," ",K116-J116)</f>
        <v xml:space="preserve"> </v>
      </c>
      <c r="M116" s="12"/>
      <c r="N116" s="13">
        <f t="shared" si="4"/>
        <v>1.0791366906474871</v>
      </c>
      <c r="P116" s="14">
        <f ca="1">IFERROR(__xludf.DUMMYFUNCTION("""COMPUTED_VALUE"""),45567)</f>
        <v>45567</v>
      </c>
      <c r="Q116" s="15">
        <f t="shared" ca="1" si="6"/>
        <v>0.3534722222222223</v>
      </c>
      <c r="R116" s="15">
        <f t="shared" ca="1" si="7"/>
        <v>0.32489583333333338</v>
      </c>
      <c r="S116" s="15">
        <f t="shared" ca="1" si="8"/>
        <v>8.4374999999999312E-3</v>
      </c>
      <c r="T116" s="16">
        <f t="shared" ca="1" si="5"/>
        <v>1.094951011770136</v>
      </c>
    </row>
    <row r="117" spans="1:20" ht="15.5">
      <c r="A117" s="6">
        <v>45477</v>
      </c>
      <c r="B117" s="47" t="s">
        <v>27</v>
      </c>
      <c r="C117" s="7">
        <v>28</v>
      </c>
      <c r="D117" s="8">
        <v>1.3888888888888889E-3</v>
      </c>
      <c r="E117" s="58">
        <f t="shared" si="0"/>
        <v>3.888888888888889E-2</v>
      </c>
      <c r="F117" s="10">
        <v>0.34812500000000002</v>
      </c>
      <c r="G117" s="10">
        <v>0.38510416666666669</v>
      </c>
      <c r="H117" s="8">
        <f t="shared" si="20"/>
        <v>3.6979166666666674E-2</v>
      </c>
      <c r="I117" s="11">
        <f t="shared" si="2"/>
        <v>0.38701388888888888</v>
      </c>
      <c r="J117" s="8"/>
      <c r="K117" s="8"/>
      <c r="L117" s="8" t="str">
        <f t="shared" si="27"/>
        <v xml:space="preserve"> </v>
      </c>
      <c r="M117" s="12"/>
      <c r="N117" s="13">
        <f t="shared" si="4"/>
        <v>1.0516431924882628</v>
      </c>
      <c r="P117" s="14">
        <f ca="1">IFERROR(__xludf.DUMMYFUNCTION("""COMPUTED_VALUE"""),45568)</f>
        <v>45568</v>
      </c>
      <c r="Q117" s="15">
        <f t="shared" ca="1" si="6"/>
        <v>0.32222222222222219</v>
      </c>
      <c r="R117" s="15">
        <f t="shared" ca="1" si="7"/>
        <v>0.30180555555555555</v>
      </c>
      <c r="S117" s="15">
        <f t="shared" ca="1" si="8"/>
        <v>3.1527777777777766E-2</v>
      </c>
      <c r="T117" s="16">
        <f t="shared" ca="1" si="5"/>
        <v>1.0896475133586057</v>
      </c>
    </row>
    <row r="118" spans="1:20" ht="15.5">
      <c r="A118" s="6">
        <v>45477</v>
      </c>
      <c r="B118" s="47" t="s">
        <v>43</v>
      </c>
      <c r="C118" s="7">
        <v>1</v>
      </c>
      <c r="D118" s="8">
        <v>3.4722222222222224E-2</v>
      </c>
      <c r="E118" s="58">
        <f t="shared" si="0"/>
        <v>3.4722222222222224E-2</v>
      </c>
      <c r="F118" s="10">
        <v>0.38510416666666669</v>
      </c>
      <c r="G118" s="10">
        <v>0.4196064814814815</v>
      </c>
      <c r="H118" s="8">
        <f t="shared" si="20"/>
        <v>3.4502314814814805E-2</v>
      </c>
      <c r="I118" s="11">
        <f t="shared" si="2"/>
        <v>0.4198263888888889</v>
      </c>
      <c r="J118" s="8"/>
      <c r="K118" s="8"/>
      <c r="L118" s="8" t="str">
        <f t="shared" si="27"/>
        <v xml:space="preserve"> </v>
      </c>
      <c r="M118" s="12"/>
      <c r="N118" s="13">
        <f t="shared" si="4"/>
        <v>1.0063737001006376</v>
      </c>
      <c r="P118" s="14">
        <f ca="1">IFERROR(__xludf.DUMMYFUNCTION("""COMPUTED_VALUE"""),45569)</f>
        <v>45569</v>
      </c>
      <c r="Q118" s="15">
        <f t="shared" ca="1" si="6"/>
        <v>0.35069444444444453</v>
      </c>
      <c r="R118" s="15">
        <f t="shared" ca="1" si="7"/>
        <v>0.32358140045755412</v>
      </c>
      <c r="S118" s="15">
        <f t="shared" ca="1" si="8"/>
        <v>9.7519328757791901E-3</v>
      </c>
      <c r="T118" s="16">
        <f t="shared" ca="1" si="5"/>
        <v>1.0942549774414396</v>
      </c>
    </row>
    <row r="119" spans="1:20" ht="15.5">
      <c r="A119" s="6">
        <v>45477</v>
      </c>
      <c r="B119" s="47" t="s">
        <v>27</v>
      </c>
      <c r="C119" s="7">
        <v>85</v>
      </c>
      <c r="D119" s="8">
        <v>1.3888888888888889E-3</v>
      </c>
      <c r="E119" s="58">
        <f t="shared" si="0"/>
        <v>0.11805555555555557</v>
      </c>
      <c r="F119" s="10">
        <v>0.4196064814814815</v>
      </c>
      <c r="G119" s="10">
        <v>0.55333333333333334</v>
      </c>
      <c r="H119" s="8">
        <f t="shared" si="20"/>
        <v>0.11052083333333333</v>
      </c>
      <c r="I119" s="11">
        <f t="shared" si="2"/>
        <v>0.56086805555555563</v>
      </c>
      <c r="J119" s="8"/>
      <c r="K119" s="8"/>
      <c r="L119" s="8">
        <v>2.3206018518518518E-2</v>
      </c>
      <c r="M119" s="12"/>
      <c r="N119" s="13">
        <f t="shared" si="4"/>
        <v>1.0681746779767516</v>
      </c>
      <c r="P119" s="14">
        <f ca="1">IFERROR(__xludf.DUMMYFUNCTION("""COMPUTED_VALUE"""),45572)</f>
        <v>45572</v>
      </c>
      <c r="Q119" s="15">
        <f t="shared" ca="1" si="6"/>
        <v>0.33194444444444449</v>
      </c>
      <c r="R119" s="15">
        <f t="shared" ca="1" si="7"/>
        <v>0.31251157407407409</v>
      </c>
      <c r="S119" s="15">
        <f t="shared" ca="1" si="8"/>
        <v>2.082175925925922E-2</v>
      </c>
      <c r="T119" s="16">
        <f t="shared" ca="1" si="5"/>
        <v>1.0700029886057998</v>
      </c>
    </row>
    <row r="120" spans="1:20" ht="15.5">
      <c r="A120" s="6">
        <v>45477</v>
      </c>
      <c r="B120" s="47" t="s">
        <v>16</v>
      </c>
      <c r="C120" s="7">
        <v>14</v>
      </c>
      <c r="D120" s="8">
        <v>5.5555555555555558E-3</v>
      </c>
      <c r="E120" s="58">
        <f t="shared" si="0"/>
        <v>7.7777777777777779E-2</v>
      </c>
      <c r="F120" s="10">
        <v>0.55344907407407407</v>
      </c>
      <c r="G120" s="10">
        <v>0.64325231481481482</v>
      </c>
      <c r="H120" s="8">
        <f t="shared" si="20"/>
        <v>7.4884259259259275E-2</v>
      </c>
      <c r="I120" s="11">
        <f t="shared" si="2"/>
        <v>0.64614583333333331</v>
      </c>
      <c r="J120" s="8"/>
      <c r="K120" s="8"/>
      <c r="L120" s="8">
        <v>1.4918981481481481E-2</v>
      </c>
      <c r="M120" s="12"/>
      <c r="N120" s="13">
        <f t="shared" si="4"/>
        <v>1.0386398763523954</v>
      </c>
      <c r="P120" s="14">
        <f ca="1">IFERROR(__xludf.DUMMYFUNCTION("""COMPUTED_VALUE"""),45573)</f>
        <v>45573</v>
      </c>
      <c r="Q120" s="15">
        <f t="shared" ca="1" si="6"/>
        <v>0.31944444444444453</v>
      </c>
      <c r="R120" s="15">
        <f t="shared" ca="1" si="7"/>
        <v>0.30621527777777774</v>
      </c>
      <c r="S120" s="15">
        <f t="shared" ca="1" si="8"/>
        <v>2.7118055555555576E-2</v>
      </c>
      <c r="T120" s="16">
        <f t="shared" ca="1" si="5"/>
        <v>1.0449125034849365</v>
      </c>
    </row>
    <row r="121" spans="1:20" ht="15.5">
      <c r="A121" s="6">
        <v>45477</v>
      </c>
      <c r="B121" s="47" t="s">
        <v>27</v>
      </c>
      <c r="C121" s="7">
        <v>42</v>
      </c>
      <c r="D121" s="8">
        <v>1.3888888888888889E-3</v>
      </c>
      <c r="E121" s="58">
        <f t="shared" si="0"/>
        <v>5.8333333333333334E-2</v>
      </c>
      <c r="F121" s="10">
        <v>0.64325231481481482</v>
      </c>
      <c r="G121" s="10">
        <v>0.7190509259259259</v>
      </c>
      <c r="H121" s="8">
        <f t="shared" si="20"/>
        <v>5.5555555555555525E-2</v>
      </c>
      <c r="I121" s="11">
        <f t="shared" si="2"/>
        <v>0.72182870370370367</v>
      </c>
      <c r="J121" s="8"/>
      <c r="K121" s="8"/>
      <c r="L121" s="8">
        <v>2.0243055555555556E-2</v>
      </c>
      <c r="M121" s="12"/>
      <c r="N121" s="13">
        <f t="shared" si="4"/>
        <v>1.0500000000000007</v>
      </c>
      <c r="P121" s="14">
        <f ca="1">IFERROR(__xludf.DUMMYFUNCTION("""COMPUTED_VALUE"""),45574)</f>
        <v>45574</v>
      </c>
      <c r="Q121" s="15">
        <f t="shared" ca="1" si="6"/>
        <v>0.2722222222222222</v>
      </c>
      <c r="R121" s="15">
        <f t="shared" ca="1" si="7"/>
        <v>0.26436342592592588</v>
      </c>
      <c r="S121" s="15">
        <f t="shared" ca="1" si="8"/>
        <v>6.8969907407407438E-2</v>
      </c>
      <c r="T121" s="16">
        <f t="shared" ca="1" si="5"/>
        <v>1.0319874163603138</v>
      </c>
    </row>
    <row r="122" spans="1:20" ht="15.5">
      <c r="A122" s="6">
        <v>45478</v>
      </c>
      <c r="B122" s="47" t="s">
        <v>27</v>
      </c>
      <c r="C122" s="7">
        <v>65</v>
      </c>
      <c r="D122" s="8">
        <v>1.3888888888888889E-3</v>
      </c>
      <c r="E122" s="58">
        <f t="shared" si="0"/>
        <v>9.0277777777777776E-2</v>
      </c>
      <c r="F122" s="10">
        <v>0.32337962962962963</v>
      </c>
      <c r="G122" s="10">
        <v>0.47343749999999996</v>
      </c>
      <c r="H122" s="8">
        <f t="shared" si="20"/>
        <v>8.6828703703703658E-2</v>
      </c>
      <c r="I122" s="11">
        <f t="shared" si="2"/>
        <v>0.47688657407407409</v>
      </c>
      <c r="J122" s="8"/>
      <c r="K122" s="8"/>
      <c r="L122" s="8">
        <v>6.322916666666667E-2</v>
      </c>
      <c r="M122" s="12"/>
      <c r="N122" s="13">
        <f t="shared" si="4"/>
        <v>1.0397227406025065</v>
      </c>
      <c r="P122" s="14">
        <f ca="1">IFERROR(__xludf.DUMMYFUNCTION("""COMPUTED_VALUE"""),45575)</f>
        <v>45575</v>
      </c>
      <c r="Q122" s="15">
        <f t="shared" ca="1" si="6"/>
        <v>0.33055555555555549</v>
      </c>
      <c r="R122" s="15">
        <f t="shared" ca="1" si="7"/>
        <v>0.31133101851851852</v>
      </c>
      <c r="S122" s="15">
        <f t="shared" ca="1" si="8"/>
        <v>2.2002314814814794E-2</v>
      </c>
      <c r="T122" s="16">
        <f t="shared" ca="1" si="5"/>
        <v>1.0782516987729225</v>
      </c>
    </row>
    <row r="123" spans="1:20" ht="15.5">
      <c r="A123" s="6">
        <v>45478</v>
      </c>
      <c r="B123" s="47" t="s">
        <v>28</v>
      </c>
      <c r="C123" s="7">
        <v>32</v>
      </c>
      <c r="D123" s="8">
        <v>1.3888888888888889E-3</v>
      </c>
      <c r="E123" s="58">
        <f t="shared" si="0"/>
        <v>4.4444444444444446E-2</v>
      </c>
      <c r="F123" s="10">
        <v>0.47343749999999996</v>
      </c>
      <c r="G123" s="10">
        <v>0.51554398148148151</v>
      </c>
      <c r="H123" s="8">
        <f t="shared" si="20"/>
        <v>4.210648148148155E-2</v>
      </c>
      <c r="I123" s="11">
        <f t="shared" si="2"/>
        <v>0.51788194444444435</v>
      </c>
      <c r="J123" s="8"/>
      <c r="K123" s="8"/>
      <c r="L123" s="8" t="str">
        <f>IF(OR(J123=0,K123=0)," ",K123-J123)</f>
        <v xml:space="preserve"> </v>
      </c>
      <c r="M123" s="12"/>
      <c r="N123" s="13">
        <f t="shared" si="4"/>
        <v>1.0555250137438137</v>
      </c>
      <c r="P123" s="14">
        <f ca="1">IFERROR(__xludf.DUMMYFUNCTION("""COMPUTED_VALUE"""),45576)</f>
        <v>45576</v>
      </c>
      <c r="Q123" s="15">
        <f t="shared" ca="1" si="6"/>
        <v>0.3305555555555556</v>
      </c>
      <c r="R123" s="15">
        <f t="shared" ca="1" si="7"/>
        <v>0.3204952199098059</v>
      </c>
      <c r="S123" s="15">
        <f t="shared" ca="1" si="8"/>
        <v>1.283811342352742E-2</v>
      </c>
      <c r="T123" s="16">
        <f t="shared" ca="1" si="5"/>
        <v>1.0814725261965268</v>
      </c>
    </row>
    <row r="124" spans="1:20" ht="15.5">
      <c r="A124" s="6">
        <v>45478</v>
      </c>
      <c r="B124" s="47" t="s">
        <v>65</v>
      </c>
      <c r="C124" s="7">
        <v>1</v>
      </c>
      <c r="D124" s="8">
        <v>2.0833333333333332E-2</v>
      </c>
      <c r="E124" s="58">
        <f t="shared" si="0"/>
        <v>2.0833333333333332E-2</v>
      </c>
      <c r="F124" s="10">
        <v>0.51554398148148151</v>
      </c>
      <c r="G124" s="10">
        <v>0.68628472222222225</v>
      </c>
      <c r="H124" s="8">
        <f t="shared" si="20"/>
        <v>9.9560185185185196E-2</v>
      </c>
      <c r="I124" s="11">
        <f t="shared" si="2"/>
        <v>0.60755787037037046</v>
      </c>
      <c r="J124" s="8"/>
      <c r="K124" s="8"/>
      <c r="L124" s="8">
        <v>7.1180555555555552E-2</v>
      </c>
      <c r="M124" s="12"/>
      <c r="N124" s="13">
        <f t="shared" si="4"/>
        <v>0.2092536619390839</v>
      </c>
      <c r="P124" s="14">
        <f ca="1">IFERROR(__xludf.DUMMYFUNCTION("""COMPUTED_VALUE"""),45579)</f>
        <v>45579</v>
      </c>
      <c r="Q124" s="15">
        <f t="shared" ca="1" si="6"/>
        <v>0.33541666666666664</v>
      </c>
      <c r="R124" s="15">
        <f t="shared" ca="1" si="7"/>
        <v>0.31114583333333334</v>
      </c>
      <c r="S124" s="15">
        <f t="shared" ca="1" si="8"/>
        <v>2.2187499999999971E-2</v>
      </c>
      <c r="T124" s="16">
        <f t="shared" ca="1" si="5"/>
        <v>1.09005013570487</v>
      </c>
    </row>
    <row r="125" spans="1:20" ht="15.5">
      <c r="A125" s="6">
        <v>45478</v>
      </c>
      <c r="B125" s="47" t="s">
        <v>86</v>
      </c>
      <c r="C125" s="7">
        <v>20</v>
      </c>
      <c r="D125" s="8">
        <v>1.3888888888888889E-3</v>
      </c>
      <c r="E125" s="58">
        <f t="shared" si="0"/>
        <v>2.777777777777778E-2</v>
      </c>
      <c r="F125" s="10">
        <v>0.68628472222222225</v>
      </c>
      <c r="G125" s="10">
        <v>0.71246527777777779</v>
      </c>
      <c r="H125" s="8">
        <f t="shared" si="20"/>
        <v>2.618055555555554E-2</v>
      </c>
      <c r="I125" s="11">
        <f t="shared" si="2"/>
        <v>0.71406250000000004</v>
      </c>
      <c r="J125" s="8"/>
      <c r="K125" s="8"/>
      <c r="L125" s="8" t="str">
        <f t="shared" ref="L125:L129" si="28">IF(OR(J125=0,K125=0)," ",K125-J125)</f>
        <v xml:space="preserve"> </v>
      </c>
      <c r="M125" s="12"/>
      <c r="N125" s="13">
        <f t="shared" si="4"/>
        <v>1.0610079575596825</v>
      </c>
      <c r="P125" s="14">
        <f ca="1">IFERROR(__xludf.DUMMYFUNCTION("""COMPUTED_VALUE"""),45580)</f>
        <v>45580</v>
      </c>
      <c r="Q125" s="15">
        <f t="shared" ca="1" si="6"/>
        <v>0.29861111111111116</v>
      </c>
      <c r="R125" s="15">
        <f t="shared" ca="1" si="7"/>
        <v>0.2868468402828418</v>
      </c>
      <c r="S125" s="15">
        <f t="shared" ca="1" si="8"/>
        <v>4.6486493050491517E-2</v>
      </c>
      <c r="T125" s="16">
        <f t="shared" ca="1" si="5"/>
        <v>1.0589745469597627</v>
      </c>
    </row>
    <row r="126" spans="1:20" ht="15.5">
      <c r="A126" s="6">
        <v>45481</v>
      </c>
      <c r="B126" s="47" t="s">
        <v>42</v>
      </c>
      <c r="C126" s="7">
        <v>1</v>
      </c>
      <c r="D126" s="8">
        <v>6.9444444444444441E-3</v>
      </c>
      <c r="E126" s="58">
        <f t="shared" si="0"/>
        <v>6.9444444444444441E-3</v>
      </c>
      <c r="F126" s="10">
        <v>0.33694444444444449</v>
      </c>
      <c r="G126" s="10">
        <v>0.34362268518518518</v>
      </c>
      <c r="H126" s="8">
        <f t="shared" si="20"/>
        <v>6.678240740740693E-3</v>
      </c>
      <c r="I126" s="11">
        <f t="shared" si="2"/>
        <v>0.34388888888888891</v>
      </c>
      <c r="J126" s="8"/>
      <c r="K126" s="8"/>
      <c r="L126" s="8" t="str">
        <f t="shared" si="28"/>
        <v xml:space="preserve"> </v>
      </c>
      <c r="M126" s="12"/>
      <c r="N126" s="13">
        <f t="shared" si="4"/>
        <v>1.0398613518197648</v>
      </c>
      <c r="P126" s="14">
        <f ca="1">IFERROR(__xludf.DUMMYFUNCTION("""COMPUTED_VALUE"""),45581)</f>
        <v>45581</v>
      </c>
      <c r="Q126" s="15">
        <f t="shared" ca="1" si="6"/>
        <v>0.30347222222222214</v>
      </c>
      <c r="R126" s="15">
        <f t="shared" ca="1" si="7"/>
        <v>0.29027777777777775</v>
      </c>
      <c r="S126" s="15">
        <f t="shared" ca="1" si="8"/>
        <v>4.3055555555555569E-2</v>
      </c>
      <c r="T126" s="16">
        <f t="shared" ca="1" si="5"/>
        <v>1.0700256852330103</v>
      </c>
    </row>
    <row r="127" spans="1:20" ht="15.5">
      <c r="A127" s="6">
        <v>45481</v>
      </c>
      <c r="B127" s="47" t="s">
        <v>43</v>
      </c>
      <c r="C127" s="7">
        <v>1</v>
      </c>
      <c r="D127" s="8">
        <v>3.4722222222222224E-2</v>
      </c>
      <c r="E127" s="58">
        <f t="shared" si="0"/>
        <v>3.4722222222222224E-2</v>
      </c>
      <c r="F127" s="10">
        <v>0.34362268518518518</v>
      </c>
      <c r="G127" s="8">
        <v>0.37708333333333333</v>
      </c>
      <c r="H127" s="8">
        <f t="shared" si="20"/>
        <v>3.3460648148148142E-2</v>
      </c>
      <c r="I127" s="11">
        <f t="shared" si="2"/>
        <v>0.37834490740740739</v>
      </c>
      <c r="J127" s="8"/>
      <c r="K127" s="8"/>
      <c r="L127" s="8" t="str">
        <f t="shared" si="28"/>
        <v xml:space="preserve"> </v>
      </c>
      <c r="M127" s="18"/>
      <c r="N127" s="13">
        <f t="shared" si="4"/>
        <v>1.0377032168799725</v>
      </c>
      <c r="P127" s="14">
        <f ca="1">IFERROR(__xludf.DUMMYFUNCTION("""COMPUTED_VALUE"""),45582)</f>
        <v>45582</v>
      </c>
      <c r="Q127" s="15">
        <f t="shared" ca="1" si="6"/>
        <v>0.30416666666666664</v>
      </c>
      <c r="R127" s="15">
        <f t="shared" ca="1" si="7"/>
        <v>0.30321759259259251</v>
      </c>
      <c r="S127" s="15">
        <f t="shared" ca="1" si="8"/>
        <v>3.0115740740740804E-2</v>
      </c>
      <c r="T127" s="16">
        <f t="shared" ca="1" si="5"/>
        <v>1.058827718449471</v>
      </c>
    </row>
    <row r="128" spans="1:20" ht="15.5">
      <c r="A128" s="6">
        <v>45481</v>
      </c>
      <c r="B128" s="47" t="s">
        <v>38</v>
      </c>
      <c r="C128" s="7">
        <v>15</v>
      </c>
      <c r="D128" s="8">
        <v>2.7777777777777779E-3</v>
      </c>
      <c r="E128" s="58">
        <f t="shared" si="0"/>
        <v>4.1666666666666671E-2</v>
      </c>
      <c r="F128" s="8">
        <v>0.37708333333333333</v>
      </c>
      <c r="G128" s="10">
        <v>0.41666666666666669</v>
      </c>
      <c r="H128" s="8">
        <f t="shared" si="20"/>
        <v>3.9583333333333359E-2</v>
      </c>
      <c r="I128" s="11">
        <f t="shared" si="2"/>
        <v>0.41875000000000001</v>
      </c>
      <c r="J128" s="8"/>
      <c r="K128" s="8"/>
      <c r="L128" s="8" t="str">
        <f t="shared" si="28"/>
        <v xml:space="preserve"> </v>
      </c>
      <c r="M128" s="18"/>
      <c r="N128" s="13">
        <f t="shared" si="4"/>
        <v>1.0526315789473679</v>
      </c>
      <c r="P128" s="14">
        <f ca="1">IFERROR(__xludf.DUMMYFUNCTION("""COMPUTED_VALUE"""),45583)</f>
        <v>45583</v>
      </c>
      <c r="Q128" s="15">
        <f t="shared" ca="1" si="6"/>
        <v>0.33125000000000004</v>
      </c>
      <c r="R128" s="15">
        <f t="shared" ca="1" si="7"/>
        <v>0.30640046296296297</v>
      </c>
      <c r="S128" s="15">
        <f t="shared" ca="1" si="8"/>
        <v>2.6932870370370343E-2</v>
      </c>
      <c r="T128" s="16">
        <f t="shared" ca="1" si="5"/>
        <v>1.0761761989735312</v>
      </c>
    </row>
    <row r="129" spans="1:20" ht="15.5">
      <c r="A129" s="6">
        <v>45481</v>
      </c>
      <c r="B129" s="47" t="s">
        <v>86</v>
      </c>
      <c r="C129" s="7">
        <v>8</v>
      </c>
      <c r="D129" s="8">
        <v>1.3888888888888889E-3</v>
      </c>
      <c r="E129" s="58">
        <f t="shared" si="0"/>
        <v>1.1111111111111112E-2</v>
      </c>
      <c r="F129" s="10">
        <v>0.41666666666666669</v>
      </c>
      <c r="G129" s="10">
        <v>0.42744212962962957</v>
      </c>
      <c r="H129" s="8">
        <f t="shared" si="20"/>
        <v>1.077546296296289E-2</v>
      </c>
      <c r="I129" s="11">
        <f t="shared" si="2"/>
        <v>0.42777777777777781</v>
      </c>
      <c r="J129" s="8"/>
      <c r="K129" s="8"/>
      <c r="L129" s="8" t="str">
        <f t="shared" si="28"/>
        <v xml:space="preserve"> </v>
      </c>
      <c r="M129" s="12"/>
      <c r="N129" s="13">
        <f t="shared" si="4"/>
        <v>1.0311493018260007</v>
      </c>
      <c r="P129" s="14">
        <f ca="1">IFERROR(__xludf.DUMMYFUNCTION("""COMPUTED_VALUE"""),45586)</f>
        <v>45586</v>
      </c>
      <c r="Q129" s="15">
        <f t="shared" ca="1" si="6"/>
        <v>0.31736111111111109</v>
      </c>
      <c r="R129" s="15">
        <f t="shared" ca="1" si="7"/>
        <v>0.3096458796245537</v>
      </c>
      <c r="S129" s="15">
        <f t="shared" ca="1" si="8"/>
        <v>2.3687453708779616E-2</v>
      </c>
      <c r="T129" s="16">
        <f t="shared" ca="1" si="5"/>
        <v>1.0588163554311116</v>
      </c>
    </row>
    <row r="130" spans="1:20" ht="15.5">
      <c r="A130" s="6">
        <v>45481</v>
      </c>
      <c r="B130" s="47" t="s">
        <v>28</v>
      </c>
      <c r="C130" s="7">
        <v>60</v>
      </c>
      <c r="D130" s="8">
        <v>1.3888888888888889E-3</v>
      </c>
      <c r="E130" s="58">
        <f t="shared" si="0"/>
        <v>8.3333333333333343E-2</v>
      </c>
      <c r="F130" s="10">
        <v>0.42744212962962957</v>
      </c>
      <c r="G130" s="10">
        <v>0.53273148148148153</v>
      </c>
      <c r="H130" s="8">
        <f t="shared" si="20"/>
        <v>8.3356481481481587E-2</v>
      </c>
      <c r="I130" s="11">
        <f t="shared" si="2"/>
        <v>0.53270833333333334</v>
      </c>
      <c r="J130" s="8"/>
      <c r="K130" s="8"/>
      <c r="L130" s="8">
        <v>2.193287037037037E-2</v>
      </c>
      <c r="M130" s="18" t="s">
        <v>119</v>
      </c>
      <c r="N130" s="13">
        <f t="shared" si="4"/>
        <v>0.99972229936128743</v>
      </c>
      <c r="P130" s="14">
        <f ca="1">IFERROR(__xludf.DUMMYFUNCTION("""COMPUTED_VALUE"""),45587)</f>
        <v>45587</v>
      </c>
      <c r="Q130" s="15">
        <f t="shared" ca="1" si="6"/>
        <v>0.2673611111111111</v>
      </c>
      <c r="R130" s="15">
        <f t="shared" ca="1" si="7"/>
        <v>0.24709490740740739</v>
      </c>
      <c r="S130" s="15">
        <f t="shared" ca="1" si="8"/>
        <v>8.6238425925925927E-2</v>
      </c>
      <c r="T130" s="16">
        <f t="shared" ca="1" si="5"/>
        <v>1.0839217509940287</v>
      </c>
    </row>
    <row r="131" spans="1:20" ht="15.5">
      <c r="A131" s="6">
        <v>45481</v>
      </c>
      <c r="B131" s="47" t="s">
        <v>27</v>
      </c>
      <c r="C131" s="7">
        <v>67</v>
      </c>
      <c r="D131" s="8">
        <v>1.3888888888888889E-3</v>
      </c>
      <c r="E131" s="58">
        <f t="shared" si="0"/>
        <v>9.3055555555555558E-2</v>
      </c>
      <c r="F131" s="10">
        <v>0.53273148148148153</v>
      </c>
      <c r="G131" s="10">
        <v>0.62030092592592589</v>
      </c>
      <c r="H131" s="8">
        <f t="shared" si="20"/>
        <v>8.7569444444444366E-2</v>
      </c>
      <c r="I131" s="11">
        <f t="shared" si="2"/>
        <v>0.62578703703703709</v>
      </c>
      <c r="J131" s="8"/>
      <c r="K131" s="8"/>
      <c r="L131" s="8" t="str">
        <f>IF(OR(J131=0,K131=0)," ",K131-J131)</f>
        <v xml:space="preserve"> </v>
      </c>
      <c r="M131" s="18"/>
      <c r="N131" s="13">
        <f t="shared" si="4"/>
        <v>1.0626486915146718</v>
      </c>
      <c r="P131" s="14">
        <f ca="1">IFERROR(__xludf.DUMMYFUNCTION("""COMPUTED_VALUE"""),45588)</f>
        <v>45588</v>
      </c>
      <c r="Q131" s="15">
        <f t="shared" ca="1" si="6"/>
        <v>0.30138888888888887</v>
      </c>
      <c r="R131" s="15">
        <f t="shared" ca="1" si="7"/>
        <v>0.2826156365719012</v>
      </c>
      <c r="S131" s="15">
        <f t="shared" ca="1" si="8"/>
        <v>5.0717696761432118E-2</v>
      </c>
      <c r="T131" s="16">
        <f t="shared" ca="1" si="5"/>
        <v>1.0535728713971235</v>
      </c>
    </row>
    <row r="132" spans="1:20" ht="15.5">
      <c r="A132" s="6">
        <v>45481</v>
      </c>
      <c r="B132" s="47" t="s">
        <v>27</v>
      </c>
      <c r="C132" s="7">
        <v>55</v>
      </c>
      <c r="D132" s="8">
        <v>1.3888888888888889E-3</v>
      </c>
      <c r="E132" s="58">
        <f t="shared" si="0"/>
        <v>7.6388888888888895E-2</v>
      </c>
      <c r="F132" s="10">
        <v>0.62030092592592589</v>
      </c>
      <c r="G132" s="10">
        <v>0.71304398148148151</v>
      </c>
      <c r="H132" s="8">
        <f t="shared" si="20"/>
        <v>7.2222222222222285E-2</v>
      </c>
      <c r="I132" s="11">
        <f t="shared" si="2"/>
        <v>0.71721064814814817</v>
      </c>
      <c r="J132" s="8"/>
      <c r="K132" s="8"/>
      <c r="L132" s="8">
        <v>2.0520833333333332E-2</v>
      </c>
      <c r="M132" s="12"/>
      <c r="N132" s="13">
        <f t="shared" si="4"/>
        <v>1.0576923076923068</v>
      </c>
      <c r="P132" s="14">
        <f ca="1">IFERROR(__xludf.DUMMYFUNCTION("""COMPUTED_VALUE"""),45589)</f>
        <v>45589</v>
      </c>
      <c r="Q132" s="15">
        <f t="shared" ca="1" si="6"/>
        <v>0.2673611111111111</v>
      </c>
      <c r="R132" s="15">
        <f t="shared" ca="1" si="7"/>
        <v>0.26502314814814809</v>
      </c>
      <c r="S132" s="15">
        <f t="shared" ca="1" si="8"/>
        <v>6.8310185185185224E-2</v>
      </c>
      <c r="T132" s="16">
        <f t="shared" ca="1" si="5"/>
        <v>1.0253747326983533</v>
      </c>
    </row>
    <row r="133" spans="1:20" ht="15.5">
      <c r="A133" s="6">
        <v>45482</v>
      </c>
      <c r="B133" s="47" t="s">
        <v>38</v>
      </c>
      <c r="C133" s="7">
        <v>12</v>
      </c>
      <c r="D133" s="8">
        <v>2.7777777777777779E-3</v>
      </c>
      <c r="E133" s="58">
        <f t="shared" si="0"/>
        <v>3.3333333333333333E-2</v>
      </c>
      <c r="F133" s="10">
        <v>0.33783564814814815</v>
      </c>
      <c r="G133" s="10">
        <v>0.3677083333333333</v>
      </c>
      <c r="H133" s="8">
        <f t="shared" si="20"/>
        <v>2.9872685185185155E-2</v>
      </c>
      <c r="I133" s="11">
        <f t="shared" si="2"/>
        <v>0.37116898148148147</v>
      </c>
      <c r="J133" s="8"/>
      <c r="K133" s="8"/>
      <c r="L133" s="8"/>
      <c r="M133" s="12"/>
      <c r="N133" s="13">
        <f t="shared" si="4"/>
        <v>1.1158465710964753</v>
      </c>
      <c r="P133" s="14">
        <f ca="1">IFERROR(__xludf.DUMMYFUNCTION("""COMPUTED_VALUE"""),45590)</f>
        <v>45590</v>
      </c>
      <c r="Q133" s="15">
        <f t="shared" ca="1" si="6"/>
        <v>0.31597222222222221</v>
      </c>
      <c r="R133" s="15">
        <f t="shared" ca="1" si="7"/>
        <v>0.29655809027840241</v>
      </c>
      <c r="S133" s="15">
        <f t="shared" ca="1" si="8"/>
        <v>3.6775243054930906E-2</v>
      </c>
      <c r="T133" s="16">
        <f t="shared" ca="1" si="5"/>
        <v>1.0663974873368258</v>
      </c>
    </row>
    <row r="134" spans="1:20" ht="15.5">
      <c r="A134" s="6">
        <v>45482</v>
      </c>
      <c r="B134" s="47" t="s">
        <v>16</v>
      </c>
      <c r="C134" s="7">
        <v>22</v>
      </c>
      <c r="D134" s="8">
        <v>5.5555555555555558E-3</v>
      </c>
      <c r="E134" s="58">
        <f t="shared" si="0"/>
        <v>0.12222222222222223</v>
      </c>
      <c r="F134" s="10">
        <v>0.3677083333333333</v>
      </c>
      <c r="G134" s="10">
        <v>0.51424768518518515</v>
      </c>
      <c r="H134" s="8">
        <f t="shared" si="20"/>
        <v>0.11667824074074074</v>
      </c>
      <c r="I134" s="11">
        <f t="shared" si="2"/>
        <v>0.51979166666666665</v>
      </c>
      <c r="J134" s="8"/>
      <c r="K134" s="8"/>
      <c r="L134" s="8">
        <v>2.9861111111111113E-2</v>
      </c>
      <c r="M134" s="12"/>
      <c r="N134" s="13">
        <f t="shared" si="4"/>
        <v>1.0475151274675132</v>
      </c>
      <c r="P134" s="14">
        <f ca="1">IFERROR(__xludf.DUMMYFUNCTION("""COMPUTED_VALUE"""),45593)</f>
        <v>45593</v>
      </c>
      <c r="Q134" s="15">
        <f t="shared" ca="1" si="6"/>
        <v>0.32847222222222222</v>
      </c>
      <c r="R134" s="15">
        <f t="shared" ca="1" si="7"/>
        <v>0.3124393750018768</v>
      </c>
      <c r="S134" s="15">
        <f t="shared" ca="1" si="8"/>
        <v>2.0893958331456519E-2</v>
      </c>
      <c r="T134" s="16">
        <f t="shared" ca="1" si="5"/>
        <v>1.0688557725654491</v>
      </c>
    </row>
    <row r="135" spans="1:20" ht="15.5">
      <c r="A135" s="6">
        <v>45482</v>
      </c>
      <c r="B135" s="47" t="s">
        <v>57</v>
      </c>
      <c r="C135" s="7">
        <v>15</v>
      </c>
      <c r="D135" s="8">
        <v>2.7777777777777779E-3</v>
      </c>
      <c r="E135" s="58">
        <f t="shared" si="0"/>
        <v>4.1666666666666671E-2</v>
      </c>
      <c r="F135" s="56">
        <f t="shared" ref="F135:F136" si="29">G134</f>
        <v>0.51424768518518515</v>
      </c>
      <c r="G135" s="10">
        <v>0.55452546296296301</v>
      </c>
      <c r="H135" s="8">
        <f t="shared" si="20"/>
        <v>4.0277777777777857E-2</v>
      </c>
      <c r="I135" s="11">
        <f t="shared" si="2"/>
        <v>0.55591435185185178</v>
      </c>
      <c r="J135" s="8"/>
      <c r="K135" s="8"/>
      <c r="L135" s="8" t="str">
        <f>IF(OR(J135=0,K135=0)," ",K135-J135)</f>
        <v xml:space="preserve"> </v>
      </c>
      <c r="M135" s="12"/>
      <c r="N135" s="13">
        <f t="shared" si="4"/>
        <v>1.0344827586206877</v>
      </c>
      <c r="P135" s="14">
        <f ca="1">IFERROR(__xludf.DUMMYFUNCTION("""COMPUTED_VALUE"""),45596)</f>
        <v>45596</v>
      </c>
      <c r="Q135" s="15">
        <f t="shared" ca="1" si="6"/>
        <v>0.31944444444444442</v>
      </c>
      <c r="R135" s="15">
        <f t="shared" ca="1" si="7"/>
        <v>0.31049126157502605</v>
      </c>
      <c r="S135" s="15">
        <f t="shared" ca="1" si="8"/>
        <v>2.284207175830727E-2</v>
      </c>
      <c r="T135" s="16">
        <f t="shared" ca="1" si="5"/>
        <v>1.0605491744572233</v>
      </c>
    </row>
    <row r="136" spans="1:20" ht="15.5">
      <c r="A136" s="6">
        <v>45482</v>
      </c>
      <c r="B136" s="47" t="s">
        <v>16</v>
      </c>
      <c r="C136" s="7">
        <v>21</v>
      </c>
      <c r="D136" s="8">
        <v>5.5555555555555558E-3</v>
      </c>
      <c r="E136" s="58">
        <f t="shared" si="0"/>
        <v>0.11666666666666667</v>
      </c>
      <c r="F136" s="56">
        <f t="shared" si="29"/>
        <v>0.55452546296296301</v>
      </c>
      <c r="G136" s="10">
        <v>0.71353009259259259</v>
      </c>
      <c r="H136" s="8">
        <f t="shared" si="20"/>
        <v>0.11225694444444438</v>
      </c>
      <c r="I136" s="11">
        <f t="shared" si="2"/>
        <v>0.71793981481481495</v>
      </c>
      <c r="J136" s="8"/>
      <c r="K136" s="8"/>
      <c r="L136" s="8">
        <v>4.6747685185185198E-2</v>
      </c>
      <c r="M136" s="12"/>
      <c r="N136" s="13">
        <f t="shared" si="4"/>
        <v>1.0392824002474488</v>
      </c>
      <c r="P136" s="14">
        <f ca="1">IFERROR(__xludf.DUMMYFUNCTION("""COMPUTED_VALUE"""),45597)</f>
        <v>45597</v>
      </c>
      <c r="Q136" s="15">
        <f t="shared" ca="1" si="6"/>
        <v>0.31319444444444439</v>
      </c>
      <c r="R136" s="15">
        <f t="shared" ca="1" si="7"/>
        <v>0.30189814814814808</v>
      </c>
      <c r="S136" s="15">
        <f t="shared" ca="1" si="8"/>
        <v>3.1435185185185233E-2</v>
      </c>
      <c r="T136" s="16">
        <f t="shared" ca="1" si="5"/>
        <v>1.0710029549484641</v>
      </c>
    </row>
    <row r="137" spans="1:20" ht="15.5">
      <c r="A137" s="6">
        <v>45482</v>
      </c>
      <c r="B137" s="47" t="s">
        <v>50</v>
      </c>
      <c r="C137" s="7">
        <v>1</v>
      </c>
      <c r="D137" s="8">
        <v>1.0416666666666666E-2</v>
      </c>
      <c r="E137" s="58">
        <f t="shared" si="0"/>
        <v>1.0416666666666666E-2</v>
      </c>
      <c r="F137" s="10">
        <v>0.62681712962962965</v>
      </c>
      <c r="G137" s="10">
        <v>0.63681712962962966</v>
      </c>
      <c r="H137" s="8">
        <f t="shared" si="20"/>
        <v>1.0000000000000009E-2</v>
      </c>
      <c r="I137" s="11">
        <f t="shared" si="2"/>
        <v>0.63723379629629628</v>
      </c>
      <c r="J137" s="8"/>
      <c r="K137" s="8"/>
      <c r="L137" s="8" t="str">
        <f t="shared" ref="L137:L140" si="30">IF(OR(J137=0,K137=0)," ",K137-J137)</f>
        <v xml:space="preserve"> </v>
      </c>
      <c r="M137" s="12"/>
      <c r="N137" s="13">
        <f t="shared" si="4"/>
        <v>1.0416666666666656</v>
      </c>
      <c r="P137" s="14">
        <f ca="1">IFERROR(__xludf.DUMMYFUNCTION("""COMPUTED_VALUE"""),45600)</f>
        <v>45600</v>
      </c>
      <c r="Q137" s="15">
        <f t="shared" ca="1" si="6"/>
        <v>0.34375</v>
      </c>
      <c r="R137" s="15">
        <f t="shared" ca="1" si="7"/>
        <v>0.31927083333333339</v>
      </c>
      <c r="S137" s="15">
        <f t="shared" ca="1" si="8"/>
        <v>1.4062499999999922E-2</v>
      </c>
      <c r="T137" s="16">
        <f t="shared" ca="1" si="5"/>
        <v>1.0565588829206374</v>
      </c>
    </row>
    <row r="138" spans="1:20" ht="15.5">
      <c r="A138" s="6">
        <v>45482</v>
      </c>
      <c r="B138" s="47" t="s">
        <v>51</v>
      </c>
      <c r="C138" s="7">
        <v>1</v>
      </c>
      <c r="D138" s="8">
        <v>1.0416666666666666E-2</v>
      </c>
      <c r="E138" s="58">
        <f t="shared" si="0"/>
        <v>1.0416666666666666E-2</v>
      </c>
      <c r="F138" s="10">
        <f t="shared" ref="F138:F139" si="31">G137</f>
        <v>0.63681712962962966</v>
      </c>
      <c r="G138" s="10">
        <v>0.64688657407407413</v>
      </c>
      <c r="H138" s="8">
        <f t="shared" si="20"/>
        <v>1.0069444444444464E-2</v>
      </c>
      <c r="I138" s="11">
        <f t="shared" si="2"/>
        <v>0.64723379629629629</v>
      </c>
      <c r="J138" s="8"/>
      <c r="K138" s="8"/>
      <c r="L138" s="8" t="str">
        <f t="shared" si="30"/>
        <v xml:space="preserve"> </v>
      </c>
      <c r="M138" s="12"/>
      <c r="N138" s="13">
        <f t="shared" si="4"/>
        <v>1.0344827586206875</v>
      </c>
      <c r="P138" s="14">
        <f ca="1">IFERROR(__xludf.DUMMYFUNCTION("""COMPUTED_VALUE"""),45601)</f>
        <v>45601</v>
      </c>
      <c r="Q138" s="15">
        <f t="shared" ca="1" si="6"/>
        <v>0.33680555555555558</v>
      </c>
      <c r="R138" s="15">
        <f t="shared" ca="1" si="7"/>
        <v>0.31133101851851847</v>
      </c>
      <c r="S138" s="15">
        <f t="shared" ca="1" si="8"/>
        <v>2.200231481481485E-2</v>
      </c>
      <c r="T138" s="16">
        <f t="shared" ca="1" si="5"/>
        <v>1.0822453190253571</v>
      </c>
    </row>
    <row r="139" spans="1:20" ht="15.5">
      <c r="A139" s="6">
        <v>45482</v>
      </c>
      <c r="B139" s="47" t="s">
        <v>52</v>
      </c>
      <c r="C139" s="7">
        <v>1</v>
      </c>
      <c r="D139" s="8">
        <v>1.0416666666666666E-2</v>
      </c>
      <c r="E139" s="58">
        <f t="shared" si="0"/>
        <v>1.0416666666666666E-2</v>
      </c>
      <c r="F139" s="10">
        <f t="shared" si="31"/>
        <v>0.64688657407407413</v>
      </c>
      <c r="G139" s="10">
        <v>0.6569328703703704</v>
      </c>
      <c r="H139" s="8">
        <f t="shared" si="20"/>
        <v>1.0046296296296275E-2</v>
      </c>
      <c r="I139" s="11">
        <f t="shared" si="2"/>
        <v>0.65730324074074076</v>
      </c>
      <c r="J139" s="8"/>
      <c r="K139" s="8"/>
      <c r="L139" s="8" t="str">
        <f t="shared" si="30"/>
        <v xml:space="preserve"> </v>
      </c>
      <c r="M139" s="12"/>
      <c r="N139" s="13">
        <f t="shared" si="4"/>
        <v>1.0368663594470067</v>
      </c>
      <c r="P139" s="14">
        <f ca="1">IFERROR(__xludf.DUMMYFUNCTION("""COMPUTED_VALUE"""),45602)</f>
        <v>45602</v>
      </c>
      <c r="Q139" s="15">
        <f t="shared" ca="1" si="6"/>
        <v>0.3208333333333333</v>
      </c>
      <c r="R139" s="15">
        <f t="shared" ca="1" si="7"/>
        <v>0.30709490740740736</v>
      </c>
      <c r="S139" s="15">
        <f t="shared" ca="1" si="8"/>
        <v>2.6238425925925957E-2</v>
      </c>
      <c r="T139" s="16">
        <f t="shared" ca="1" si="5"/>
        <v>1.0475500070773989</v>
      </c>
    </row>
    <row r="140" spans="1:20" ht="15.5">
      <c r="A140" s="6">
        <v>45483</v>
      </c>
      <c r="B140" s="47" t="s">
        <v>16</v>
      </c>
      <c r="C140" s="7">
        <v>13</v>
      </c>
      <c r="D140" s="8">
        <v>5.5555555555555558E-3</v>
      </c>
      <c r="E140" s="58">
        <f t="shared" si="0"/>
        <v>7.2222222222222229E-2</v>
      </c>
      <c r="F140" s="10">
        <v>0.33759259259259256</v>
      </c>
      <c r="G140" s="10">
        <v>0.40896990740740746</v>
      </c>
      <c r="H140" s="8">
        <f t="shared" si="20"/>
        <v>7.1377314814814907E-2</v>
      </c>
      <c r="I140" s="11">
        <f t="shared" si="2"/>
        <v>0.4098148148148148</v>
      </c>
      <c r="J140" s="8"/>
      <c r="K140" s="8"/>
      <c r="L140" s="8" t="str">
        <f t="shared" si="30"/>
        <v xml:space="preserve"> </v>
      </c>
      <c r="M140" s="12"/>
      <c r="N140" s="13">
        <f t="shared" si="4"/>
        <v>1.0118371979892966</v>
      </c>
      <c r="P140" s="14">
        <f ca="1">IFERROR(__xludf.DUMMYFUNCTION("""COMPUTED_VALUE"""),45603)</f>
        <v>45603</v>
      </c>
      <c r="Q140" s="15">
        <f t="shared" ca="1" si="6"/>
        <v>0.33124999999999999</v>
      </c>
      <c r="R140" s="15">
        <f t="shared" ca="1" si="7"/>
        <v>0.32416666666666666</v>
      </c>
      <c r="S140" s="15">
        <f t="shared" ca="1" si="8"/>
        <v>9.1666666666666563E-3</v>
      </c>
      <c r="T140" s="16">
        <f t="shared" ca="1" si="5"/>
        <v>1.0678188888776954</v>
      </c>
    </row>
    <row r="141" spans="1:20" ht="15.5">
      <c r="A141" s="6">
        <v>45483</v>
      </c>
      <c r="B141" s="47" t="s">
        <v>65</v>
      </c>
      <c r="C141" s="7">
        <v>1</v>
      </c>
      <c r="D141" s="8">
        <v>2.0833333333333332E-2</v>
      </c>
      <c r="E141" s="58">
        <f t="shared" si="0"/>
        <v>2.0833333333333332E-2</v>
      </c>
      <c r="F141" s="10">
        <v>0.40896990740740746</v>
      </c>
      <c r="G141" s="10">
        <v>0.54737268518518523</v>
      </c>
      <c r="H141" s="8">
        <f t="shared" si="20"/>
        <v>9.739583333333332E-2</v>
      </c>
      <c r="I141" s="11">
        <f t="shared" si="2"/>
        <v>0.47081018518518525</v>
      </c>
      <c r="J141" s="8"/>
      <c r="K141" s="8"/>
      <c r="L141" s="8">
        <v>4.1006944444444443E-2</v>
      </c>
      <c r="M141" s="12"/>
      <c r="N141" s="13">
        <f t="shared" si="4"/>
        <v>0.21390374331550804</v>
      </c>
      <c r="P141" s="14">
        <f ca="1">IFERROR(__xludf.DUMMYFUNCTION("""COMPUTED_VALUE"""),45604)</f>
        <v>45604</v>
      </c>
      <c r="Q141" s="15">
        <f t="shared" ca="1" si="6"/>
        <v>0.21874999999999994</v>
      </c>
      <c r="R141" s="15">
        <f t="shared" ca="1" si="7"/>
        <v>0.21939814814814826</v>
      </c>
      <c r="S141" s="15">
        <f t="shared" ca="1" si="8"/>
        <v>0.11393518518518506</v>
      </c>
      <c r="T141" s="16">
        <f t="shared" ca="1" si="5"/>
        <v>1.0694546749174449</v>
      </c>
    </row>
    <row r="142" spans="1:20" ht="15.5">
      <c r="A142" s="6">
        <v>45483</v>
      </c>
      <c r="B142" s="47" t="s">
        <v>16</v>
      </c>
      <c r="C142" s="7">
        <v>15</v>
      </c>
      <c r="D142" s="8">
        <v>5.5555555555555558E-3</v>
      </c>
      <c r="E142" s="58">
        <f t="shared" si="0"/>
        <v>8.3333333333333343E-2</v>
      </c>
      <c r="F142" s="10">
        <f t="shared" ref="F142:F143" si="32">G141</f>
        <v>0.54737268518518523</v>
      </c>
      <c r="G142" s="10">
        <v>0.62876157407407407</v>
      </c>
      <c r="H142" s="8">
        <f t="shared" si="20"/>
        <v>8.1388888888888844E-2</v>
      </c>
      <c r="I142" s="11">
        <f t="shared" si="2"/>
        <v>0.6307060185185186</v>
      </c>
      <c r="J142" s="8"/>
      <c r="K142" s="8"/>
      <c r="L142" s="8" t="str">
        <f>IF(OR(J142=0,K142=0)," ",K142-J142)</f>
        <v xml:space="preserve"> </v>
      </c>
      <c r="M142" s="12"/>
      <c r="N142" s="13">
        <f t="shared" si="4"/>
        <v>1.0238907849829357</v>
      </c>
      <c r="P142" s="14">
        <f ca="1">IFERROR(__xludf.DUMMYFUNCTION("""COMPUTED_VALUE"""),45607)</f>
        <v>45607</v>
      </c>
      <c r="Q142" s="15">
        <f t="shared" ca="1" si="6"/>
        <v>0.3263888888888889</v>
      </c>
      <c r="R142" s="15">
        <f t="shared" ca="1" si="7"/>
        <v>0.31454722222604747</v>
      </c>
      <c r="S142" s="15">
        <f t="shared" ca="1" si="8"/>
        <v>1.8786111107285841E-2</v>
      </c>
      <c r="T142" s="16">
        <f t="shared" ca="1" si="5"/>
        <v>1.054224380494249</v>
      </c>
    </row>
    <row r="143" spans="1:20" ht="15.5">
      <c r="A143" s="6">
        <v>45483</v>
      </c>
      <c r="B143" s="47" t="s">
        <v>27</v>
      </c>
      <c r="C143" s="7">
        <v>55</v>
      </c>
      <c r="D143" s="8">
        <v>1.3888888888888889E-3</v>
      </c>
      <c r="E143" s="58">
        <f t="shared" si="0"/>
        <v>7.6388888888888895E-2</v>
      </c>
      <c r="F143" s="10">
        <f t="shared" si="32"/>
        <v>0.62876157407407407</v>
      </c>
      <c r="G143" s="10">
        <v>0.7133680555555556</v>
      </c>
      <c r="H143" s="8">
        <f t="shared" si="20"/>
        <v>7.2222222222222271E-2</v>
      </c>
      <c r="I143" s="11">
        <f t="shared" si="2"/>
        <v>0.71753472222222225</v>
      </c>
      <c r="J143" s="8"/>
      <c r="K143" s="8"/>
      <c r="L143" s="8">
        <v>1.238425925925926E-2</v>
      </c>
      <c r="M143" s="12"/>
      <c r="N143" s="13">
        <f t="shared" si="4"/>
        <v>1.057692307692307</v>
      </c>
      <c r="P143" s="14">
        <f ca="1">IFERROR(__xludf.DUMMYFUNCTION("""COMPUTED_VALUE"""),45608)</f>
        <v>45608</v>
      </c>
      <c r="Q143" s="15">
        <f t="shared" ca="1" si="6"/>
        <v>0.32777777777777778</v>
      </c>
      <c r="R143" s="15">
        <f t="shared" ca="1" si="7"/>
        <v>0.30899305555555545</v>
      </c>
      <c r="S143" s="15">
        <f t="shared" ca="1" si="8"/>
        <v>2.4340277777777863E-2</v>
      </c>
      <c r="T143" s="16">
        <f t="shared" ca="1" si="5"/>
        <v>1.0522566769488042</v>
      </c>
    </row>
    <row r="144" spans="1:20" ht="15.5">
      <c r="A144" s="6">
        <v>45484</v>
      </c>
      <c r="B144" s="47" t="s">
        <v>42</v>
      </c>
      <c r="C144" s="7">
        <v>1</v>
      </c>
      <c r="D144" s="8">
        <v>6.9444444444444441E-3</v>
      </c>
      <c r="E144" s="58">
        <f t="shared" si="0"/>
        <v>6.9444444444444441E-3</v>
      </c>
      <c r="F144" s="10">
        <v>0.33684027777777781</v>
      </c>
      <c r="G144" s="10">
        <v>0.343287037037037</v>
      </c>
      <c r="H144" s="8">
        <f t="shared" si="20"/>
        <v>6.4467592592591938E-3</v>
      </c>
      <c r="I144" s="11">
        <f t="shared" si="2"/>
        <v>0.34378472222222223</v>
      </c>
      <c r="J144" s="8"/>
      <c r="K144" s="8"/>
      <c r="L144" s="8" t="str">
        <f t="shared" ref="L144:L145" si="33">IF(OR(J144=0,K144=0)," ",K144-J144)</f>
        <v xml:space="preserve"> </v>
      </c>
      <c r="M144" s="12"/>
      <c r="N144" s="13">
        <f t="shared" si="4"/>
        <v>1.0771992818671563</v>
      </c>
      <c r="P144" s="14">
        <f ca="1">IFERROR(__xludf.DUMMYFUNCTION("""COMPUTED_VALUE"""),45609)</f>
        <v>45609</v>
      </c>
      <c r="Q144" s="15">
        <f t="shared" ca="1" si="6"/>
        <v>0.29166666666666663</v>
      </c>
      <c r="R144" s="15">
        <f t="shared" ca="1" si="7"/>
        <v>0.27969907407407413</v>
      </c>
      <c r="S144" s="15">
        <f t="shared" ca="1" si="8"/>
        <v>5.3634259259259187E-2</v>
      </c>
      <c r="T144" s="16">
        <f t="shared" ca="1" si="5"/>
        <v>1.0505365029083744</v>
      </c>
    </row>
    <row r="145" spans="1:20" ht="15.5">
      <c r="A145" s="6">
        <v>45484</v>
      </c>
      <c r="B145" s="47" t="s">
        <v>43</v>
      </c>
      <c r="C145" s="7">
        <v>1</v>
      </c>
      <c r="D145" s="8">
        <v>3.4722222222222224E-2</v>
      </c>
      <c r="E145" s="58">
        <f t="shared" si="0"/>
        <v>3.4722222222222224E-2</v>
      </c>
      <c r="F145" s="10">
        <v>0.343287037037037</v>
      </c>
      <c r="G145" s="10">
        <v>0.37733796296296296</v>
      </c>
      <c r="H145" s="8">
        <f t="shared" si="20"/>
        <v>3.4050925925925957E-2</v>
      </c>
      <c r="I145" s="11">
        <f t="shared" si="2"/>
        <v>0.37800925925925921</v>
      </c>
      <c r="J145" s="8"/>
      <c r="K145" s="8"/>
      <c r="L145" s="8" t="str">
        <f t="shared" si="33"/>
        <v xml:space="preserve"> </v>
      </c>
      <c r="M145" s="12"/>
      <c r="N145" s="13">
        <f t="shared" si="4"/>
        <v>1.0197144799456144</v>
      </c>
      <c r="P145" s="14">
        <f ca="1">IFERROR(__xludf.DUMMYFUNCTION("""COMPUTED_VALUE"""),45610)</f>
        <v>45610</v>
      </c>
      <c r="Q145" s="15">
        <f t="shared" ca="1" si="6"/>
        <v>0.31180555555555556</v>
      </c>
      <c r="R145" s="15">
        <f t="shared" ca="1" si="7"/>
        <v>0.29718822917211107</v>
      </c>
      <c r="S145" s="15">
        <f t="shared" ca="1" si="8"/>
        <v>3.6145104161222241E-2</v>
      </c>
      <c r="T145" s="16">
        <f t="shared" ca="1" si="5"/>
        <v>1.0465760120242384</v>
      </c>
    </row>
    <row r="146" spans="1:20" ht="15.5">
      <c r="A146" s="6">
        <v>45484</v>
      </c>
      <c r="B146" s="47" t="s">
        <v>27</v>
      </c>
      <c r="C146" s="7">
        <v>100</v>
      </c>
      <c r="D146" s="8">
        <v>1.3888888888888889E-3</v>
      </c>
      <c r="E146" s="58">
        <f t="shared" si="0"/>
        <v>0.1388888888888889</v>
      </c>
      <c r="F146" s="10">
        <v>0.37733796296296296</v>
      </c>
      <c r="G146" s="10">
        <v>0.5635648148148148</v>
      </c>
      <c r="H146" s="8">
        <f t="shared" si="20"/>
        <v>0.13096064814814812</v>
      </c>
      <c r="I146" s="11">
        <f t="shared" si="2"/>
        <v>0.57149305555555552</v>
      </c>
      <c r="J146" s="8"/>
      <c r="K146" s="8"/>
      <c r="L146" s="8">
        <v>5.5266203703703706E-2</v>
      </c>
      <c r="M146" s="12">
        <v>563296</v>
      </c>
      <c r="N146" s="13">
        <f t="shared" si="4"/>
        <v>1.0605391073795849</v>
      </c>
      <c r="P146" s="14">
        <f ca="1">IFERROR(__xludf.DUMMYFUNCTION("""COMPUTED_VALUE"""),45611)</f>
        <v>45611</v>
      </c>
      <c r="Q146" s="15">
        <f t="shared" ca="1" si="6"/>
        <v>0.2986111111111111</v>
      </c>
      <c r="R146" s="15">
        <f t="shared" ca="1" si="7"/>
        <v>0.28353296296382141</v>
      </c>
      <c r="S146" s="15">
        <f t="shared" ca="1" si="8"/>
        <v>4.9800370369511904E-2</v>
      </c>
      <c r="T146" s="16">
        <f t="shared" ca="1" si="5"/>
        <v>1.0879252174107037</v>
      </c>
    </row>
    <row r="147" spans="1:20" ht="15.5">
      <c r="A147" s="6">
        <v>45484</v>
      </c>
      <c r="B147" s="47" t="s">
        <v>38</v>
      </c>
      <c r="C147" s="7">
        <v>2</v>
      </c>
      <c r="D147" s="8">
        <v>2.7777777777777779E-3</v>
      </c>
      <c r="E147" s="58">
        <f t="shared" si="0"/>
        <v>5.5555555555555558E-3</v>
      </c>
      <c r="F147" s="10">
        <v>0.5635648148148148</v>
      </c>
      <c r="G147" s="10">
        <v>0.56896990740740738</v>
      </c>
      <c r="H147" s="8">
        <f t="shared" si="20"/>
        <v>5.4050925925925863E-3</v>
      </c>
      <c r="I147" s="11">
        <f t="shared" si="2"/>
        <v>0.56912037037037033</v>
      </c>
      <c r="J147" s="8"/>
      <c r="K147" s="8"/>
      <c r="L147" s="8" t="str">
        <f>IF(OR(J147=0,K147=0)," ",K147-J147)</f>
        <v xml:space="preserve"> </v>
      </c>
      <c r="M147" s="12" t="s">
        <v>120</v>
      </c>
      <c r="N147" s="13">
        <f t="shared" si="4"/>
        <v>1.0278372591006437</v>
      </c>
      <c r="P147" s="14">
        <f ca="1">IFERROR(__xludf.DUMMYFUNCTION("""COMPUTED_VALUE"""),45614)</f>
        <v>45614</v>
      </c>
      <c r="Q147" s="15">
        <f t="shared" ca="1" si="6"/>
        <v>0.32500000000000001</v>
      </c>
      <c r="R147" s="15">
        <f t="shared" ca="1" si="7"/>
        <v>0.30881944444444437</v>
      </c>
      <c r="S147" s="15">
        <f t="shared" ca="1" si="8"/>
        <v>2.4513888888888946E-2</v>
      </c>
      <c r="T147" s="16">
        <f t="shared" ca="1" si="5"/>
        <v>1.0540966038951693</v>
      </c>
    </row>
    <row r="148" spans="1:20" ht="15.5">
      <c r="A148" s="6">
        <v>45484</v>
      </c>
      <c r="B148" s="47" t="s">
        <v>27</v>
      </c>
      <c r="C148" s="7">
        <v>34</v>
      </c>
      <c r="D148" s="8">
        <v>1.3888888888888889E-3</v>
      </c>
      <c r="E148" s="58">
        <f t="shared" si="0"/>
        <v>4.7222222222222221E-2</v>
      </c>
      <c r="F148" s="10">
        <f>G147</f>
        <v>0.56896990740740738</v>
      </c>
      <c r="G148" s="10">
        <v>0.61512731481481486</v>
      </c>
      <c r="H148" s="8">
        <f t="shared" si="20"/>
        <v>4.615740740740748E-2</v>
      </c>
      <c r="I148" s="11">
        <f t="shared" si="2"/>
        <v>0.61619212962962955</v>
      </c>
      <c r="J148" s="8"/>
      <c r="K148" s="8"/>
      <c r="L148" s="8"/>
      <c r="M148" s="12"/>
      <c r="N148" s="13">
        <f t="shared" si="4"/>
        <v>1.0230692076228669</v>
      </c>
      <c r="P148" s="14">
        <f ca="1">IFERROR(__xludf.DUMMYFUNCTION("""COMPUTED_VALUE"""),45615)</f>
        <v>45615</v>
      </c>
      <c r="Q148" s="15">
        <f t="shared" ca="1" si="6"/>
        <v>0.31319444444444444</v>
      </c>
      <c r="R148" s="15">
        <f t="shared" ca="1" si="7"/>
        <v>0.30283564814814806</v>
      </c>
      <c r="S148" s="15">
        <f t="shared" ca="1" si="8"/>
        <v>3.0497685185185253E-2</v>
      </c>
      <c r="T148" s="16">
        <f t="shared" ca="1" si="5"/>
        <v>1.048670018184878</v>
      </c>
    </row>
    <row r="149" spans="1:20" ht="15.5">
      <c r="A149" s="6">
        <v>45484</v>
      </c>
      <c r="B149" s="47" t="s">
        <v>20</v>
      </c>
      <c r="C149" s="7">
        <v>27</v>
      </c>
      <c r="D149" s="8">
        <v>2.0833333333333333E-3</v>
      </c>
      <c r="E149" s="58">
        <f t="shared" si="0"/>
        <v>5.6250000000000001E-2</v>
      </c>
      <c r="F149" s="10">
        <v>0.61512731481481486</v>
      </c>
      <c r="G149" s="10">
        <v>0.68814814814814818</v>
      </c>
      <c r="H149" s="8">
        <f t="shared" si="20"/>
        <v>5.1388888888888873E-2</v>
      </c>
      <c r="I149" s="11">
        <f t="shared" si="2"/>
        <v>0.69300925925925938</v>
      </c>
      <c r="J149" s="8"/>
      <c r="K149" s="8"/>
      <c r="L149" s="8">
        <v>2.1631944444444443E-2</v>
      </c>
      <c r="M149" s="18" t="s">
        <v>121</v>
      </c>
      <c r="N149" s="13">
        <f t="shared" si="4"/>
        <v>1.094594594594595</v>
      </c>
      <c r="P149" s="14">
        <f ca="1">IFERROR(__xludf.DUMMYFUNCTION("""COMPUTED_VALUE"""),45616)</f>
        <v>45616</v>
      </c>
      <c r="Q149" s="15">
        <f t="shared" ca="1" si="6"/>
        <v>0.35555555555555557</v>
      </c>
      <c r="R149" s="15">
        <f t="shared" ca="1" si="7"/>
        <v>0.34214120370370371</v>
      </c>
      <c r="S149" s="15">
        <f t="shared" ca="1" si="8"/>
        <v>-8.8078703703703964E-3</v>
      </c>
      <c r="T149" s="16">
        <f t="shared" ca="1" si="5"/>
        <v>1.0398544188407901</v>
      </c>
    </row>
    <row r="150" spans="1:20" ht="15.5">
      <c r="A150" s="6">
        <v>45484</v>
      </c>
      <c r="B150" s="47" t="s">
        <v>27</v>
      </c>
      <c r="C150" s="7">
        <v>25</v>
      </c>
      <c r="D150" s="8">
        <v>1.3888888888888889E-3</v>
      </c>
      <c r="E150" s="58">
        <f t="shared" si="0"/>
        <v>3.4722222222222224E-2</v>
      </c>
      <c r="F150" s="10">
        <v>0.6885648148148148</v>
      </c>
      <c r="G150" s="10">
        <v>0.71707175925925926</v>
      </c>
      <c r="H150" s="8">
        <f t="shared" si="20"/>
        <v>2.850694444444446E-2</v>
      </c>
      <c r="I150" s="11">
        <f t="shared" si="2"/>
        <v>0.72328703703703701</v>
      </c>
      <c r="J150" s="8"/>
      <c r="K150" s="8"/>
      <c r="L150" s="8" t="str">
        <f t="shared" ref="L150:L152" si="34">IF(OR(J150=0,K150=0)," ",K150-J150)</f>
        <v xml:space="preserve"> </v>
      </c>
      <c r="M150" s="12"/>
      <c r="N150" s="13">
        <f t="shared" si="4"/>
        <v>1.2180267965895244</v>
      </c>
      <c r="P150" s="14">
        <f ca="1">IFERROR(__xludf.DUMMYFUNCTION("""COMPUTED_VALUE"""),45617)</f>
        <v>45617</v>
      </c>
      <c r="Q150" s="15">
        <f t="shared" ca="1" si="6"/>
        <v>0.30833333333333335</v>
      </c>
      <c r="R150" s="15">
        <f t="shared" ca="1" si="7"/>
        <v>0.29247685185185185</v>
      </c>
      <c r="S150" s="15">
        <f t="shared" ca="1" si="8"/>
        <v>4.0856481481481466E-2</v>
      </c>
      <c r="T150" s="16">
        <f t="shared" ca="1" si="5"/>
        <v>1.0692422529558649</v>
      </c>
    </row>
    <row r="151" spans="1:20" ht="15.5">
      <c r="A151" s="6">
        <v>45485</v>
      </c>
      <c r="B151" s="47" t="s">
        <v>27</v>
      </c>
      <c r="C151" s="7">
        <v>30</v>
      </c>
      <c r="D151" s="8">
        <v>1.3888888888888889E-3</v>
      </c>
      <c r="E151" s="58">
        <f t="shared" si="0"/>
        <v>4.1666666666666671E-2</v>
      </c>
      <c r="F151" s="10">
        <v>0.33658564814814818</v>
      </c>
      <c r="G151" s="10">
        <v>0.37332175925925926</v>
      </c>
      <c r="H151" s="8">
        <f t="shared" si="20"/>
        <v>3.6736111111111081E-2</v>
      </c>
      <c r="I151" s="11">
        <f t="shared" si="2"/>
        <v>0.37825231481481486</v>
      </c>
      <c r="J151" s="8"/>
      <c r="K151" s="8"/>
      <c r="L151" s="8" t="str">
        <f t="shared" si="34"/>
        <v xml:space="preserve"> </v>
      </c>
      <c r="M151" s="18"/>
      <c r="N151" s="13">
        <f t="shared" si="4"/>
        <v>1.1342155009451806</v>
      </c>
      <c r="P151" s="14">
        <f ca="1">IFERROR(__xludf.DUMMYFUNCTION("""COMPUTED_VALUE"""),45621)</f>
        <v>45621</v>
      </c>
      <c r="Q151" s="15">
        <f t="shared" ca="1" si="6"/>
        <v>0.3298611111111111</v>
      </c>
      <c r="R151" s="15">
        <f t="shared" ca="1" si="7"/>
        <v>0.30546296296296294</v>
      </c>
      <c r="S151" s="15">
        <f t="shared" ca="1" si="8"/>
        <v>2.7870370370370379E-2</v>
      </c>
      <c r="T151" s="16">
        <f t="shared" ca="1" si="5"/>
        <v>1.08713354191845</v>
      </c>
    </row>
    <row r="152" spans="1:20" ht="15.5">
      <c r="A152" s="6">
        <v>45485</v>
      </c>
      <c r="B152" s="47" t="s">
        <v>16</v>
      </c>
      <c r="C152" s="7">
        <v>4</v>
      </c>
      <c r="D152" s="8">
        <v>5.5555555555555558E-3</v>
      </c>
      <c r="E152" s="58">
        <f t="shared" si="0"/>
        <v>2.2222222222222223E-2</v>
      </c>
      <c r="F152" s="10">
        <v>0.42035879629629624</v>
      </c>
      <c r="G152" s="10">
        <v>0.44119212962962961</v>
      </c>
      <c r="H152" s="8">
        <f t="shared" si="20"/>
        <v>2.083333333333337E-2</v>
      </c>
      <c r="I152" s="11">
        <f t="shared" si="2"/>
        <v>0.44258101851851844</v>
      </c>
      <c r="J152" s="8"/>
      <c r="K152" s="8"/>
      <c r="L152" s="8" t="str">
        <f t="shared" si="34"/>
        <v xml:space="preserve"> </v>
      </c>
      <c r="M152" s="12"/>
      <c r="N152" s="13">
        <f t="shared" si="4"/>
        <v>1.0666666666666649</v>
      </c>
      <c r="P152" s="14">
        <f ca="1">IFERROR(__xludf.DUMMYFUNCTION("""COMPUTED_VALUE"""),45622)</f>
        <v>45622</v>
      </c>
      <c r="Q152" s="15">
        <f t="shared" ca="1" si="6"/>
        <v>0.28749999999999998</v>
      </c>
      <c r="R152" s="15">
        <f t="shared" ca="1" si="7"/>
        <v>0.26832175925925927</v>
      </c>
      <c r="S152" s="15">
        <f t="shared" ca="1" si="8"/>
        <v>6.5011574074074041E-2</v>
      </c>
      <c r="T152" s="16">
        <f t="shared" ca="1" si="5"/>
        <v>1.0867515185554515</v>
      </c>
    </row>
    <row r="153" spans="1:20" ht="15.5">
      <c r="A153" s="6">
        <v>45485</v>
      </c>
      <c r="B153" s="47" t="s">
        <v>28</v>
      </c>
      <c r="C153" s="7">
        <v>11</v>
      </c>
      <c r="D153" s="8">
        <v>1.3888888888888889E-3</v>
      </c>
      <c r="E153" s="58">
        <f t="shared" si="0"/>
        <v>1.5277777777777779E-2</v>
      </c>
      <c r="F153" s="8">
        <v>0.44011574074074078</v>
      </c>
      <c r="G153" s="10">
        <v>0.45309027777777777</v>
      </c>
      <c r="H153" s="8">
        <f t="shared" si="20"/>
        <v>1.2974537037036993E-2</v>
      </c>
      <c r="I153" s="11">
        <f t="shared" si="2"/>
        <v>0.45539351851851856</v>
      </c>
      <c r="J153" s="8"/>
      <c r="K153" s="8"/>
      <c r="L153" s="8"/>
      <c r="M153" s="18"/>
      <c r="N153" s="13">
        <f t="shared" si="4"/>
        <v>1.1775200713648568</v>
      </c>
      <c r="P153" s="14">
        <f ca="1">IFERROR(__xludf.DUMMYFUNCTION("""COMPUTED_VALUE"""),45623)</f>
        <v>45623</v>
      </c>
      <c r="Q153" s="15">
        <f t="shared" ca="1" si="6"/>
        <v>0.32847222222222222</v>
      </c>
      <c r="R153" s="15">
        <f t="shared" ca="1" si="7"/>
        <v>0.30881314814944444</v>
      </c>
      <c r="S153" s="15">
        <f t="shared" ca="1" si="8"/>
        <v>2.4520185183888876E-2</v>
      </c>
      <c r="T153" s="16">
        <f t="shared" ca="1" si="5"/>
        <v>1.0655245252694623</v>
      </c>
    </row>
    <row r="154" spans="1:20" ht="15.5">
      <c r="A154" s="6">
        <v>45485</v>
      </c>
      <c r="B154" s="47" t="s">
        <v>16</v>
      </c>
      <c r="C154" s="7">
        <v>3</v>
      </c>
      <c r="D154" s="8">
        <v>5.5555555555555558E-3</v>
      </c>
      <c r="E154" s="58">
        <f t="shared" si="0"/>
        <v>1.6666666666666666E-2</v>
      </c>
      <c r="F154" s="10">
        <v>0.49839120370370371</v>
      </c>
      <c r="G154" s="10">
        <v>0.57267361111111115</v>
      </c>
      <c r="H154" s="8">
        <f t="shared" si="20"/>
        <v>1.5439814814814844E-2</v>
      </c>
      <c r="I154" s="11">
        <f t="shared" si="2"/>
        <v>0.57390046296296304</v>
      </c>
      <c r="J154" s="8"/>
      <c r="K154" s="8"/>
      <c r="L154" s="8">
        <v>5.8842592592592592E-2</v>
      </c>
      <c r="M154" s="18"/>
      <c r="N154" s="13">
        <f t="shared" si="4"/>
        <v>1.0794602698650655</v>
      </c>
      <c r="P154" s="14">
        <f ca="1">IFERROR(__xludf.DUMMYFUNCTION("""COMPUTED_VALUE"""),45624)</f>
        <v>45624</v>
      </c>
      <c r="Q154" s="15">
        <f t="shared" ca="1" si="6"/>
        <v>0.33333333333333337</v>
      </c>
      <c r="R154" s="15">
        <f t="shared" ca="1" si="7"/>
        <v>0.31461805555555544</v>
      </c>
      <c r="S154" s="15">
        <f t="shared" ca="1" si="8"/>
        <v>1.8715277777777872E-2</v>
      </c>
      <c r="T154" s="16">
        <f t="shared" ca="1" si="5"/>
        <v>1.0782344594072439</v>
      </c>
    </row>
    <row r="155" spans="1:20" ht="15.5">
      <c r="A155" s="6">
        <v>45485</v>
      </c>
      <c r="B155" s="47" t="s">
        <v>86</v>
      </c>
      <c r="C155" s="7">
        <v>22</v>
      </c>
      <c r="D155" s="8">
        <v>1.3888888888888889E-3</v>
      </c>
      <c r="E155" s="58">
        <f t="shared" si="0"/>
        <v>3.0555555555555558E-2</v>
      </c>
      <c r="F155" s="10">
        <v>0.57267361111111115</v>
      </c>
      <c r="G155" s="10">
        <v>0.60100694444444447</v>
      </c>
      <c r="H155" s="8">
        <f t="shared" si="20"/>
        <v>2.8333333333333321E-2</v>
      </c>
      <c r="I155" s="11">
        <f t="shared" si="2"/>
        <v>0.60322916666666671</v>
      </c>
      <c r="J155" s="8"/>
      <c r="K155" s="8"/>
      <c r="L155" s="8" t="str">
        <f t="shared" ref="L155:L168" si="35">IF(OR(J155=0,K155=0)," ",K155-J155)</f>
        <v xml:space="preserve"> </v>
      </c>
      <c r="M155" s="18"/>
      <c r="N155" s="13">
        <f t="shared" si="4"/>
        <v>1.0784313725490202</v>
      </c>
      <c r="P155" s="14">
        <f ca="1">IFERROR(__xludf.DUMMYFUNCTION("""COMPUTED_VALUE"""),45625)</f>
        <v>45625</v>
      </c>
      <c r="Q155" s="15">
        <f t="shared" ca="1" si="6"/>
        <v>0.31944444444444442</v>
      </c>
      <c r="R155" s="15">
        <f t="shared" ca="1" si="7"/>
        <v>0.30497767360721434</v>
      </c>
      <c r="S155" s="15">
        <f t="shared" ca="1" si="8"/>
        <v>2.8355659726118976E-2</v>
      </c>
      <c r="T155" s="16">
        <f t="shared" ca="1" si="5"/>
        <v>1.0504700003205485</v>
      </c>
    </row>
    <row r="156" spans="1:20" ht="15.5">
      <c r="A156" s="6">
        <v>45485</v>
      </c>
      <c r="B156" s="47" t="s">
        <v>86</v>
      </c>
      <c r="C156" s="7">
        <v>24</v>
      </c>
      <c r="D156" s="8">
        <v>1.3888888888888889E-3</v>
      </c>
      <c r="E156" s="58">
        <f t="shared" si="0"/>
        <v>3.3333333333333333E-2</v>
      </c>
      <c r="F156" s="10">
        <v>0.64031249999999995</v>
      </c>
      <c r="G156" s="10">
        <v>0.67296296296296299</v>
      </c>
      <c r="H156" s="8">
        <f t="shared" si="20"/>
        <v>3.2650462962963034E-2</v>
      </c>
      <c r="I156" s="11">
        <f t="shared" si="2"/>
        <v>0.67364583333333328</v>
      </c>
      <c r="J156" s="8"/>
      <c r="K156" s="8"/>
      <c r="L156" s="8" t="str">
        <f t="shared" si="35"/>
        <v xml:space="preserve"> </v>
      </c>
      <c r="M156" s="12"/>
      <c r="N156" s="13">
        <f t="shared" si="4"/>
        <v>1.0209145693016639</v>
      </c>
      <c r="P156" s="14">
        <f ca="1">IFERROR(__xludf.DUMMYFUNCTION("""COMPUTED_VALUE"""),45628)</f>
        <v>45628</v>
      </c>
      <c r="Q156" s="15">
        <f t="shared" ca="1" si="6"/>
        <v>0.34930555555555559</v>
      </c>
      <c r="R156" s="15">
        <f t="shared" ca="1" si="7"/>
        <v>0.31645833333333329</v>
      </c>
      <c r="S156" s="15">
        <f t="shared" ca="1" si="8"/>
        <v>1.6875000000000029E-2</v>
      </c>
      <c r="T156" s="16">
        <f t="shared" ca="1" si="5"/>
        <v>1.0945567003892229</v>
      </c>
    </row>
    <row r="157" spans="1:20" ht="15.5">
      <c r="A157" s="6">
        <v>45485</v>
      </c>
      <c r="B157" s="47" t="s">
        <v>16</v>
      </c>
      <c r="C157" s="7">
        <v>8</v>
      </c>
      <c r="D157" s="8">
        <v>5.5555555555555558E-3</v>
      </c>
      <c r="E157" s="58">
        <f t="shared" si="0"/>
        <v>4.4444444444444446E-2</v>
      </c>
      <c r="F157" s="10">
        <v>0.67296296296296299</v>
      </c>
      <c r="G157" s="10">
        <v>0.71462962962962961</v>
      </c>
      <c r="H157" s="8">
        <f t="shared" si="20"/>
        <v>4.166666666666663E-2</v>
      </c>
      <c r="I157" s="11">
        <f t="shared" si="2"/>
        <v>0.71740740740740738</v>
      </c>
      <c r="J157" s="8"/>
      <c r="K157" s="8"/>
      <c r="L157" s="8" t="str">
        <f t="shared" si="35"/>
        <v xml:space="preserve"> </v>
      </c>
      <c r="M157" s="12"/>
      <c r="N157" s="13">
        <f t="shared" si="4"/>
        <v>1.0666666666666678</v>
      </c>
      <c r="P157" s="14">
        <f ca="1">IFERROR(__xludf.DUMMYFUNCTION("""COMPUTED_VALUE"""),45629)</f>
        <v>45629</v>
      </c>
      <c r="Q157" s="15">
        <f t="shared" ca="1" si="6"/>
        <v>0.33680555555555558</v>
      </c>
      <c r="R157" s="15">
        <f t="shared" ca="1" si="7"/>
        <v>0.304553275461798</v>
      </c>
      <c r="S157" s="15">
        <f t="shared" ca="1" si="8"/>
        <v>2.8780057871535314E-2</v>
      </c>
      <c r="T157" s="16">
        <f t="shared" ca="1" si="5"/>
        <v>1.1014020897706065</v>
      </c>
    </row>
    <row r="158" spans="1:20" ht="15.5">
      <c r="A158" s="6">
        <v>45485</v>
      </c>
      <c r="B158" s="47" t="s">
        <v>16</v>
      </c>
      <c r="C158" s="7">
        <v>2</v>
      </c>
      <c r="D158" s="8">
        <v>5.5555555555555558E-3</v>
      </c>
      <c r="E158" s="58">
        <f t="shared" si="0"/>
        <v>1.1111111111111112E-2</v>
      </c>
      <c r="F158" s="10">
        <v>0.71462962962962961</v>
      </c>
      <c r="G158" s="10">
        <v>0.72417824074074078</v>
      </c>
      <c r="H158" s="8">
        <f t="shared" si="20"/>
        <v>9.5486111111111605E-3</v>
      </c>
      <c r="I158" s="11">
        <f t="shared" si="2"/>
        <v>0.72574074074074069</v>
      </c>
      <c r="J158" s="8"/>
      <c r="K158" s="8"/>
      <c r="L158" s="8" t="str">
        <f t="shared" si="35"/>
        <v xml:space="preserve"> </v>
      </c>
      <c r="M158" s="12"/>
      <c r="N158" s="13">
        <f t="shared" si="4"/>
        <v>1.1636363636363576</v>
      </c>
      <c r="P158" s="14">
        <f ca="1">IFERROR(__xludf.DUMMYFUNCTION("""COMPUTED_VALUE"""),45630)</f>
        <v>45630</v>
      </c>
      <c r="Q158" s="15">
        <f t="shared" ca="1" si="6"/>
        <v>0.31319444444444444</v>
      </c>
      <c r="R158" s="15">
        <f t="shared" ca="1" si="7"/>
        <v>0.28501157407407401</v>
      </c>
      <c r="S158" s="15">
        <f t="shared" ca="1" si="8"/>
        <v>4.83217592592593E-2</v>
      </c>
      <c r="T158" s="16">
        <f t="shared" ca="1" si="5"/>
        <v>1.096996557922105</v>
      </c>
    </row>
    <row r="159" spans="1:20" ht="15.5">
      <c r="A159" s="6">
        <v>45488</v>
      </c>
      <c r="B159" s="47" t="s">
        <v>50</v>
      </c>
      <c r="C159" s="7">
        <v>2</v>
      </c>
      <c r="D159" s="8">
        <v>1.0416666666666666E-2</v>
      </c>
      <c r="E159" s="58">
        <f t="shared" si="0"/>
        <v>2.0833333333333332E-2</v>
      </c>
      <c r="F159" s="10">
        <v>0.2898263888888889</v>
      </c>
      <c r="G159" s="10">
        <v>0.3102314814814815</v>
      </c>
      <c r="H159" s="8">
        <f t="shared" si="20"/>
        <v>2.04050925925926E-2</v>
      </c>
      <c r="I159" s="11">
        <f t="shared" si="2"/>
        <v>0.31065972222222221</v>
      </c>
      <c r="J159" s="8"/>
      <c r="K159" s="8"/>
      <c r="L159" s="8" t="str">
        <f t="shared" si="35"/>
        <v xml:space="preserve"> </v>
      </c>
      <c r="M159" s="12"/>
      <c r="N159" s="13">
        <f t="shared" si="4"/>
        <v>1.0209869540555867</v>
      </c>
      <c r="P159" s="14">
        <f ca="1">IFERROR(__xludf.DUMMYFUNCTION("""COMPUTED_VALUE"""),45631)</f>
        <v>45631</v>
      </c>
      <c r="Q159" s="15">
        <f t="shared" ca="1" si="6"/>
        <v>0.35694444444444445</v>
      </c>
      <c r="R159" s="15">
        <f t="shared" ca="1" si="7"/>
        <v>0.32319789352393447</v>
      </c>
      <c r="S159" s="15">
        <f t="shared" ca="1" si="8"/>
        <v>1.013543980939885E-2</v>
      </c>
      <c r="T159" s="16">
        <f t="shared" ca="1" si="5"/>
        <v>1.1086286056419905</v>
      </c>
    </row>
    <row r="160" spans="1:20" ht="15.5">
      <c r="A160" s="6">
        <v>45488</v>
      </c>
      <c r="B160" s="47" t="s">
        <v>51</v>
      </c>
      <c r="C160" s="7">
        <v>2</v>
      </c>
      <c r="D160" s="8">
        <v>1.0416666666666666E-2</v>
      </c>
      <c r="E160" s="58">
        <f t="shared" si="0"/>
        <v>2.0833333333333332E-2</v>
      </c>
      <c r="F160" s="10">
        <f t="shared" ref="F160:F168" si="36">G159</f>
        <v>0.3102314814814815</v>
      </c>
      <c r="G160" s="10">
        <v>0.33060185185185187</v>
      </c>
      <c r="H160" s="8">
        <f t="shared" si="20"/>
        <v>2.0370370370370372E-2</v>
      </c>
      <c r="I160" s="11">
        <f t="shared" si="2"/>
        <v>0.33106481481481481</v>
      </c>
      <c r="J160" s="8"/>
      <c r="K160" s="8"/>
      <c r="L160" s="8" t="str">
        <f t="shared" si="35"/>
        <v xml:space="preserve"> </v>
      </c>
      <c r="M160" s="12"/>
      <c r="N160" s="13">
        <f t="shared" si="4"/>
        <v>1.0227272727272725</v>
      </c>
      <c r="P160" s="14">
        <f ca="1">IFERROR(__xludf.DUMMYFUNCTION("""COMPUTED_VALUE"""),45632)</f>
        <v>45632</v>
      </c>
      <c r="Q160" s="15">
        <f t="shared" ca="1" si="6"/>
        <v>0.3347222222222222</v>
      </c>
      <c r="R160" s="15">
        <f t="shared" ca="1" si="7"/>
        <v>0.30535103008743908</v>
      </c>
      <c r="S160" s="15">
        <f t="shared" ca="1" si="8"/>
        <v>2.7982303245894236E-2</v>
      </c>
      <c r="T160" s="16">
        <f t="shared" ca="1" si="5"/>
        <v>1.0954177359200958</v>
      </c>
    </row>
    <row r="161" spans="1:20" ht="15.5">
      <c r="A161" s="6">
        <v>45488</v>
      </c>
      <c r="B161" s="47" t="s">
        <v>52</v>
      </c>
      <c r="C161" s="7">
        <v>2</v>
      </c>
      <c r="D161" s="8">
        <v>1.0416666666666666E-2</v>
      </c>
      <c r="E161" s="58">
        <f t="shared" si="0"/>
        <v>2.0833333333333332E-2</v>
      </c>
      <c r="F161" s="10">
        <f t="shared" si="36"/>
        <v>0.33060185185185187</v>
      </c>
      <c r="G161" s="10">
        <v>0.35153935185185181</v>
      </c>
      <c r="H161" s="8">
        <f t="shared" si="20"/>
        <v>2.0937499999999942E-2</v>
      </c>
      <c r="I161" s="11">
        <f t="shared" si="2"/>
        <v>0.35143518518518518</v>
      </c>
      <c r="J161" s="8"/>
      <c r="K161" s="8"/>
      <c r="L161" s="8" t="str">
        <f t="shared" si="35"/>
        <v xml:space="preserve"> </v>
      </c>
      <c r="M161" s="12"/>
      <c r="N161" s="13">
        <f t="shared" si="4"/>
        <v>0.99502487562189323</v>
      </c>
      <c r="P161" s="14">
        <f ca="1">IFERROR(__xludf.DUMMYFUNCTION("""COMPUTED_VALUE"""),45635)</f>
        <v>45635</v>
      </c>
      <c r="Q161" s="15">
        <f t="shared" ca="1" si="6"/>
        <v>0.3034722222222222</v>
      </c>
      <c r="R161" s="15">
        <f t="shared" ca="1" si="7"/>
        <v>0.2984606481481481</v>
      </c>
      <c r="S161" s="15">
        <f t="shared" ca="1" si="8"/>
        <v>3.4872685185185215E-2</v>
      </c>
      <c r="T161" s="16">
        <f t="shared" ca="1" si="5"/>
        <v>1.0671668456219408</v>
      </c>
    </row>
    <row r="162" spans="1:20" ht="15.5">
      <c r="A162" s="6">
        <v>45488</v>
      </c>
      <c r="B162" s="47" t="s">
        <v>42</v>
      </c>
      <c r="C162" s="7">
        <v>1</v>
      </c>
      <c r="D162" s="8">
        <v>6.9444444444444441E-3</v>
      </c>
      <c r="E162" s="58">
        <f t="shared" si="0"/>
        <v>6.9444444444444441E-3</v>
      </c>
      <c r="F162" s="10">
        <f t="shared" si="36"/>
        <v>0.35153935185185181</v>
      </c>
      <c r="G162" s="10">
        <v>0.3577893518518519</v>
      </c>
      <c r="H162" s="8">
        <f t="shared" si="20"/>
        <v>6.2500000000000888E-3</v>
      </c>
      <c r="I162" s="11">
        <f t="shared" si="2"/>
        <v>0.35848379629629623</v>
      </c>
      <c r="J162" s="8"/>
      <c r="K162" s="8"/>
      <c r="L162" s="8" t="str">
        <f t="shared" si="35"/>
        <v xml:space="preserve"> </v>
      </c>
      <c r="M162" s="12"/>
      <c r="N162" s="13">
        <f t="shared" si="4"/>
        <v>1.1111111111110952</v>
      </c>
      <c r="P162" s="14">
        <f ca="1">IFERROR(__xludf.DUMMYFUNCTION("""COMPUTED_VALUE"""),45636)</f>
        <v>45636</v>
      </c>
      <c r="Q162" s="15">
        <f t="shared" ca="1" si="6"/>
        <v>0.30138888888888893</v>
      </c>
      <c r="R162" s="15">
        <f t="shared" ca="1" si="7"/>
        <v>0.2715569212989174</v>
      </c>
      <c r="S162" s="15">
        <f t="shared" ca="1" si="8"/>
        <v>6.1776412034415917E-2</v>
      </c>
      <c r="T162" s="16">
        <f t="shared" ca="1" si="5"/>
        <v>1.1131868078952953</v>
      </c>
    </row>
    <row r="163" spans="1:20" ht="15.5">
      <c r="A163" s="6">
        <v>45488</v>
      </c>
      <c r="B163" s="47" t="s">
        <v>108</v>
      </c>
      <c r="C163" s="7">
        <v>1</v>
      </c>
      <c r="D163" s="8">
        <v>1.0416666666666666E-2</v>
      </c>
      <c r="E163" s="58">
        <f t="shared" si="0"/>
        <v>1.0416666666666666E-2</v>
      </c>
      <c r="F163" s="10">
        <f t="shared" si="36"/>
        <v>0.3577893518518519</v>
      </c>
      <c r="G163" s="10">
        <v>0.36842592592592593</v>
      </c>
      <c r="H163" s="8">
        <f t="shared" si="20"/>
        <v>1.0636574074074034E-2</v>
      </c>
      <c r="I163" s="11">
        <f t="shared" si="2"/>
        <v>0.36820601851851859</v>
      </c>
      <c r="J163" s="8"/>
      <c r="K163" s="8"/>
      <c r="L163" s="8" t="str">
        <f t="shared" si="35"/>
        <v xml:space="preserve"> </v>
      </c>
      <c r="M163" s="12"/>
      <c r="N163" s="13">
        <f t="shared" si="4"/>
        <v>0.97932535364527018</v>
      </c>
      <c r="P163" s="14">
        <f ca="1">IFERROR(__xludf.DUMMYFUNCTION("""COMPUTED_VALUE"""),45637)</f>
        <v>45637</v>
      </c>
      <c r="Q163" s="15">
        <f t="shared" ca="1" si="6"/>
        <v>0.33333333333333331</v>
      </c>
      <c r="R163" s="15">
        <f t="shared" ca="1" si="7"/>
        <v>0.30787037037037035</v>
      </c>
      <c r="S163" s="15">
        <f t="shared" ca="1" si="8"/>
        <v>2.5462962962962965E-2</v>
      </c>
      <c r="T163" s="16">
        <f t="shared" ca="1" si="5"/>
        <v>1.0845799836082781</v>
      </c>
    </row>
    <row r="164" spans="1:20" ht="15.5">
      <c r="A164" s="6">
        <v>45488</v>
      </c>
      <c r="B164" s="47" t="s">
        <v>122</v>
      </c>
      <c r="C164" s="7">
        <v>1</v>
      </c>
      <c r="D164" s="8">
        <v>1.0416666666666666E-2</v>
      </c>
      <c r="E164" s="58">
        <f t="shared" si="0"/>
        <v>1.0416666666666666E-2</v>
      </c>
      <c r="F164" s="10">
        <f t="shared" si="36"/>
        <v>0.36842592592592593</v>
      </c>
      <c r="G164" s="10">
        <v>0.37788194444444445</v>
      </c>
      <c r="H164" s="8">
        <f t="shared" si="20"/>
        <v>9.4560185185185164E-3</v>
      </c>
      <c r="I164" s="11">
        <f t="shared" si="2"/>
        <v>0.37884259259259262</v>
      </c>
      <c r="J164" s="8"/>
      <c r="K164" s="8"/>
      <c r="L164" s="8" t="str">
        <f t="shared" si="35"/>
        <v xml:space="preserve"> </v>
      </c>
      <c r="M164" s="12"/>
      <c r="N164" s="13">
        <f t="shared" si="4"/>
        <v>1.101591187270502</v>
      </c>
      <c r="P164" s="14">
        <f ca="1">IFERROR(__xludf.DUMMYFUNCTION("""COMPUTED_VALUE"""),45638)</f>
        <v>45638</v>
      </c>
      <c r="Q164" s="15">
        <f t="shared" ca="1" si="6"/>
        <v>0.3298611111111111</v>
      </c>
      <c r="R164" s="15">
        <f t="shared" ca="1" si="7"/>
        <v>0.31543981481481476</v>
      </c>
      <c r="S164" s="15">
        <f t="shared" ca="1" si="8"/>
        <v>1.7893518518518559E-2</v>
      </c>
      <c r="T164" s="16">
        <f t="shared" ca="1" si="5"/>
        <v>1.0822278161781598</v>
      </c>
    </row>
    <row r="165" spans="1:20" ht="15.5">
      <c r="A165" s="6">
        <v>45488</v>
      </c>
      <c r="B165" s="47" t="s">
        <v>98</v>
      </c>
      <c r="C165" s="7">
        <v>1</v>
      </c>
      <c r="D165" s="8">
        <v>1.0416666666666666E-2</v>
      </c>
      <c r="E165" s="58">
        <f t="shared" si="0"/>
        <v>1.0416666666666666E-2</v>
      </c>
      <c r="F165" s="10">
        <f t="shared" si="36"/>
        <v>0.37788194444444445</v>
      </c>
      <c r="G165" s="10">
        <v>0.38814814814814813</v>
      </c>
      <c r="H165" s="8">
        <f t="shared" si="20"/>
        <v>1.026620370370368E-2</v>
      </c>
      <c r="I165" s="11">
        <f t="shared" si="2"/>
        <v>0.38829861111111114</v>
      </c>
      <c r="J165" s="8"/>
      <c r="K165" s="8"/>
      <c r="L165" s="8" t="str">
        <f t="shared" si="35"/>
        <v xml:space="preserve"> </v>
      </c>
      <c r="M165" s="12"/>
      <c r="N165" s="13">
        <f t="shared" si="4"/>
        <v>1.014656144306654</v>
      </c>
      <c r="P165" s="14">
        <f ca="1">IFERROR(__xludf.DUMMYFUNCTION("""COMPUTED_VALUE"""),45639)</f>
        <v>45639</v>
      </c>
      <c r="Q165" s="15">
        <f t="shared" ca="1" si="6"/>
        <v>0.20972222222222223</v>
      </c>
      <c r="R165" s="15">
        <f t="shared" ca="1" si="7"/>
        <v>0.18668981481481481</v>
      </c>
      <c r="S165" s="15">
        <f t="shared" ca="1" si="8"/>
        <v>0.14664351851851851</v>
      </c>
      <c r="T165" s="16">
        <f t="shared" ca="1" si="5"/>
        <v>1.1092963183126741</v>
      </c>
    </row>
    <row r="166" spans="1:20" ht="15.5">
      <c r="A166" s="6">
        <v>45488</v>
      </c>
      <c r="B166" s="47" t="s">
        <v>83</v>
      </c>
      <c r="C166" s="7">
        <v>1</v>
      </c>
      <c r="D166" s="8">
        <v>1.0416666666666666E-2</v>
      </c>
      <c r="E166" s="58">
        <f t="shared" si="0"/>
        <v>1.0416666666666666E-2</v>
      </c>
      <c r="F166" s="10">
        <f t="shared" si="36"/>
        <v>0.38814814814814813</v>
      </c>
      <c r="G166" s="10">
        <v>0.39771990740740737</v>
      </c>
      <c r="H166" s="8">
        <f t="shared" si="20"/>
        <v>9.5717592592592382E-3</v>
      </c>
      <c r="I166" s="11">
        <f t="shared" si="2"/>
        <v>0.39856481481481482</v>
      </c>
      <c r="J166" s="8"/>
      <c r="K166" s="8"/>
      <c r="L166" s="8" t="str">
        <f t="shared" si="35"/>
        <v xml:space="preserve"> </v>
      </c>
      <c r="M166" s="12"/>
      <c r="N166" s="13">
        <f t="shared" si="4"/>
        <v>1.0882708585247907</v>
      </c>
      <c r="P166" s="14">
        <f ca="1">IFERROR(__xludf.DUMMYFUNCTION("""COMPUTED_VALUE"""),45642)</f>
        <v>45642</v>
      </c>
      <c r="Q166" s="15">
        <f t="shared" ca="1" si="6"/>
        <v>0.35069444444444442</v>
      </c>
      <c r="R166" s="15">
        <f t="shared" ca="1" si="7"/>
        <v>0.31443287037037038</v>
      </c>
      <c r="S166" s="15">
        <f t="shared" ca="1" si="8"/>
        <v>1.8900462962962938E-2</v>
      </c>
      <c r="T166" s="16">
        <f t="shared" ca="1" si="5"/>
        <v>1.1089176007907899</v>
      </c>
    </row>
    <row r="167" spans="1:20" ht="15.5">
      <c r="A167" s="6">
        <v>45488</v>
      </c>
      <c r="B167" s="47" t="s">
        <v>43</v>
      </c>
      <c r="C167" s="7">
        <v>1</v>
      </c>
      <c r="D167" s="8">
        <v>3.4722222222222224E-2</v>
      </c>
      <c r="E167" s="58">
        <f t="shared" si="0"/>
        <v>3.4722222222222224E-2</v>
      </c>
      <c r="F167" s="10">
        <f t="shared" si="36"/>
        <v>0.39771990740740737</v>
      </c>
      <c r="G167" s="10">
        <v>0.4299884259259259</v>
      </c>
      <c r="H167" s="8">
        <f t="shared" si="20"/>
        <v>3.226851851851853E-2</v>
      </c>
      <c r="I167" s="11">
        <f t="shared" si="2"/>
        <v>0.43244212962962958</v>
      </c>
      <c r="J167" s="8"/>
      <c r="K167" s="8"/>
      <c r="L167" s="8" t="str">
        <f t="shared" si="35"/>
        <v xml:space="preserve"> </v>
      </c>
      <c r="M167" s="12"/>
      <c r="N167" s="13">
        <f t="shared" si="4"/>
        <v>1.0760401721664272</v>
      </c>
      <c r="P167" s="14">
        <f ca="1">IFERROR(__xludf.DUMMYFUNCTION("""COMPUTED_VALUE"""),45643)</f>
        <v>45643</v>
      </c>
      <c r="Q167" s="15">
        <f t="shared" ca="1" si="6"/>
        <v>0.37083333333333335</v>
      </c>
      <c r="R167" s="15">
        <f t="shared" ca="1" si="7"/>
        <v>0.28803240740740732</v>
      </c>
      <c r="S167" s="15">
        <f t="shared" ca="1" si="8"/>
        <v>4.5300925925925994E-2</v>
      </c>
      <c r="T167" s="16">
        <f t="shared" ca="1" si="5"/>
        <v>1.2360628804142229</v>
      </c>
    </row>
    <row r="168" spans="1:20" ht="15.5">
      <c r="A168" s="6">
        <v>45488</v>
      </c>
      <c r="B168" s="47" t="s">
        <v>44</v>
      </c>
      <c r="C168" s="7">
        <v>8</v>
      </c>
      <c r="D168" s="8">
        <v>3.472222222222222E-3</v>
      </c>
      <c r="E168" s="58">
        <f t="shared" si="0"/>
        <v>2.7777777777777776E-2</v>
      </c>
      <c r="F168" s="10">
        <f t="shared" si="36"/>
        <v>0.4299884259259259</v>
      </c>
      <c r="G168" s="10">
        <v>0.45112268518518517</v>
      </c>
      <c r="H168" s="8">
        <f t="shared" si="20"/>
        <v>2.1134259259259269E-2</v>
      </c>
      <c r="I168" s="11">
        <f t="shared" si="2"/>
        <v>0.45776620370370369</v>
      </c>
      <c r="J168" s="8"/>
      <c r="K168" s="8"/>
      <c r="L168" s="8" t="str">
        <f t="shared" si="35"/>
        <v xml:space="preserve"> </v>
      </c>
      <c r="M168" s="12"/>
      <c r="N168" s="13">
        <f t="shared" si="4"/>
        <v>1.3143483023001088</v>
      </c>
      <c r="P168" s="14">
        <f ca="1">IFERROR(__xludf.DUMMYFUNCTION("""COMPUTED_VALUE"""),45644)</f>
        <v>45644</v>
      </c>
      <c r="Q168" s="15">
        <f t="shared" ca="1" si="6"/>
        <v>0.29097222222222219</v>
      </c>
      <c r="R168" s="15">
        <f t="shared" ca="1" si="7"/>
        <v>0.26984953703703696</v>
      </c>
      <c r="S168" s="15">
        <f t="shared" ca="1" si="8"/>
        <v>6.3483796296296358E-2</v>
      </c>
      <c r="T168" s="16">
        <f t="shared" ca="1" si="5"/>
        <v>1.0700895283858449</v>
      </c>
    </row>
    <row r="169" spans="1:20" ht="15.5">
      <c r="A169" s="6">
        <v>45488</v>
      </c>
      <c r="B169" s="47" t="s">
        <v>27</v>
      </c>
      <c r="C169" s="7">
        <v>24</v>
      </c>
      <c r="D169" s="8">
        <v>1.3888888888888889E-3</v>
      </c>
      <c r="E169" s="58">
        <f t="shared" si="0"/>
        <v>3.3333333333333333E-2</v>
      </c>
      <c r="F169" s="10">
        <v>0.45112268518518517</v>
      </c>
      <c r="G169" s="10">
        <v>0.50615740740740744</v>
      </c>
      <c r="H169" s="8">
        <f t="shared" si="20"/>
        <v>3.0196759259259312E-2</v>
      </c>
      <c r="I169" s="11">
        <f t="shared" si="2"/>
        <v>0.50929398148148142</v>
      </c>
      <c r="J169" s="8"/>
      <c r="K169" s="8"/>
      <c r="L169" s="8">
        <v>2.4837962962962964E-2</v>
      </c>
      <c r="M169" s="12"/>
      <c r="N169" s="13">
        <f t="shared" si="4"/>
        <v>1.1038712150249119</v>
      </c>
      <c r="P169" s="14">
        <f ca="1">IFERROR(__xludf.DUMMYFUNCTION("""COMPUTED_VALUE"""),45645)</f>
        <v>45645</v>
      </c>
      <c r="Q169" s="15">
        <f t="shared" ca="1" si="6"/>
        <v>0.32916666666666672</v>
      </c>
      <c r="R169" s="15">
        <f t="shared" ca="1" si="7"/>
        <v>0.29267361111111095</v>
      </c>
      <c r="S169" s="15">
        <f t="shared" ca="1" si="8"/>
        <v>4.0659722222222361E-2</v>
      </c>
      <c r="T169" s="16">
        <f t="shared" ca="1" si="5"/>
        <v>1.1190438259333093</v>
      </c>
    </row>
    <row r="170" spans="1:20" ht="15.5">
      <c r="A170" s="6">
        <v>45488</v>
      </c>
      <c r="B170" s="47" t="s">
        <v>63</v>
      </c>
      <c r="C170" s="7">
        <v>1</v>
      </c>
      <c r="D170" s="8">
        <v>3.4722222222222224E-2</v>
      </c>
      <c r="E170" s="58">
        <f t="shared" si="0"/>
        <v>3.4722222222222224E-2</v>
      </c>
      <c r="F170" s="10">
        <f>G169</f>
        <v>0.50615740740740744</v>
      </c>
      <c r="G170" s="10">
        <v>0.53806712962962966</v>
      </c>
      <c r="H170" s="8">
        <f t="shared" si="20"/>
        <v>3.1909722222222214E-2</v>
      </c>
      <c r="I170" s="11">
        <f t="shared" si="2"/>
        <v>0.54087962962962965</v>
      </c>
      <c r="J170" s="8"/>
      <c r="K170" s="8"/>
      <c r="L170" s="8" t="str">
        <f t="shared" ref="L170:L175" si="37">IF(OR(J170=0,K170=0)," ",K170-J170)</f>
        <v xml:space="preserve"> </v>
      </c>
      <c r="M170" s="18"/>
      <c r="N170" s="13">
        <f t="shared" si="4"/>
        <v>1.0881392818280744</v>
      </c>
      <c r="P170" s="14">
        <f ca="1">IFERROR(__xludf.DUMMYFUNCTION("""COMPUTED_VALUE"""),45646)</f>
        <v>45646</v>
      </c>
      <c r="Q170" s="15">
        <f t="shared" ca="1" si="6"/>
        <v>0.29444444444444445</v>
      </c>
      <c r="R170" s="15">
        <f t="shared" ca="1" si="7"/>
        <v>0.27204217592486035</v>
      </c>
      <c r="S170" s="15">
        <f t="shared" ca="1" si="8"/>
        <v>6.1291157408472963E-2</v>
      </c>
      <c r="T170" s="16">
        <f t="shared" ca="1" si="5"/>
        <v>1.0836097279354751</v>
      </c>
    </row>
    <row r="171" spans="1:20" ht="15.5">
      <c r="A171" s="6">
        <v>45488</v>
      </c>
      <c r="B171" s="47" t="s">
        <v>28</v>
      </c>
      <c r="C171" s="7">
        <v>25</v>
      </c>
      <c r="D171" s="8">
        <v>1.3888888888888889E-3</v>
      </c>
      <c r="E171" s="58">
        <f t="shared" si="0"/>
        <v>3.4722222222222224E-2</v>
      </c>
      <c r="F171" s="10">
        <v>0.53806712962962966</v>
      </c>
      <c r="G171" s="10">
        <v>0.57067129629629632</v>
      </c>
      <c r="H171" s="8">
        <f t="shared" si="20"/>
        <v>3.2604166666666656E-2</v>
      </c>
      <c r="I171" s="11">
        <f t="shared" si="2"/>
        <v>0.57278935185185187</v>
      </c>
      <c r="J171" s="8"/>
      <c r="K171" s="8"/>
      <c r="L171" s="8" t="str">
        <f t="shared" si="37"/>
        <v xml:space="preserve"> </v>
      </c>
      <c r="M171" s="18"/>
      <c r="N171" s="13">
        <f t="shared" si="4"/>
        <v>1.0649627263045798</v>
      </c>
      <c r="P171" s="14">
        <f ca="1">IFERROR(__xludf.DUMMYFUNCTION("""COMPUTED_VALUE"""),45649)</f>
        <v>45649</v>
      </c>
      <c r="Q171" s="15">
        <f t="shared" ca="1" si="6"/>
        <v>0.32500000000000001</v>
      </c>
      <c r="R171" s="15">
        <f t="shared" ca="1" si="7"/>
        <v>0.29989680555733178</v>
      </c>
      <c r="S171" s="15">
        <f t="shared" ca="1" si="8"/>
        <v>3.3436527776001534E-2</v>
      </c>
      <c r="T171" s="16">
        <f t="shared" ca="1" si="5"/>
        <v>1.0938188392908257</v>
      </c>
    </row>
    <row r="172" spans="1:20" ht="15.5">
      <c r="A172" s="6">
        <v>45488</v>
      </c>
      <c r="B172" s="47" t="s">
        <v>93</v>
      </c>
      <c r="C172" s="7">
        <v>4</v>
      </c>
      <c r="D172" s="8">
        <v>6.9444444444444441E-3</v>
      </c>
      <c r="E172" s="58">
        <f t="shared" si="0"/>
        <v>2.7777777777777776E-2</v>
      </c>
      <c r="F172" s="10">
        <v>0.57067129629629632</v>
      </c>
      <c r="G172" s="10">
        <v>0.59670138888888891</v>
      </c>
      <c r="H172" s="8">
        <f t="shared" si="20"/>
        <v>2.6030092592592591E-2</v>
      </c>
      <c r="I172" s="11">
        <f t="shared" si="2"/>
        <v>0.59844907407407411</v>
      </c>
      <c r="J172" s="8"/>
      <c r="K172" s="8"/>
      <c r="L172" s="8" t="str">
        <f t="shared" si="37"/>
        <v xml:space="preserve"> </v>
      </c>
      <c r="M172" s="12"/>
      <c r="N172" s="13">
        <f t="shared" si="4"/>
        <v>1.0671409515340151</v>
      </c>
      <c r="P172" s="14">
        <f ca="1">IFERROR(__xludf.DUMMYFUNCTION("""COMPUTED_VALUE"""),45650)</f>
        <v>45650</v>
      </c>
      <c r="Q172" s="15">
        <f t="shared" ca="1" si="6"/>
        <v>0.33819444444444446</v>
      </c>
      <c r="R172" s="15">
        <f t="shared" ca="1" si="7"/>
        <v>0.30601851851851841</v>
      </c>
      <c r="S172" s="15">
        <f t="shared" ca="1" si="8"/>
        <v>2.7314814814814903E-2</v>
      </c>
      <c r="T172" s="16">
        <f t="shared" ca="1" si="5"/>
        <v>1.1002424049372566</v>
      </c>
    </row>
    <row r="173" spans="1:20" ht="15.5">
      <c r="A173" s="6">
        <v>45488</v>
      </c>
      <c r="B173" s="47" t="s">
        <v>16</v>
      </c>
      <c r="C173" s="7">
        <v>4</v>
      </c>
      <c r="D173" s="8">
        <v>5.5555555555555558E-3</v>
      </c>
      <c r="E173" s="58">
        <f t="shared" si="0"/>
        <v>2.2222222222222223E-2</v>
      </c>
      <c r="F173" s="10">
        <f t="shared" ref="F173:F177" si="38">G172</f>
        <v>0.59670138888888891</v>
      </c>
      <c r="G173" s="10">
        <v>0.617650462962963</v>
      </c>
      <c r="H173" s="8">
        <f t="shared" si="20"/>
        <v>2.0949074074074092E-2</v>
      </c>
      <c r="I173" s="11">
        <f t="shared" si="2"/>
        <v>0.61892361111111116</v>
      </c>
      <c r="J173" s="8"/>
      <c r="K173" s="8"/>
      <c r="L173" s="8" t="str">
        <f t="shared" si="37"/>
        <v xml:space="preserve"> </v>
      </c>
      <c r="M173" s="12"/>
      <c r="N173" s="13">
        <f t="shared" si="4"/>
        <v>1.0607734806629825</v>
      </c>
      <c r="P173" s="14">
        <f ca="1">IFERROR(__xludf.DUMMYFUNCTION("""COMPUTED_VALUE"""),45653)</f>
        <v>45653</v>
      </c>
      <c r="Q173" s="15">
        <f t="shared" ca="1" si="6"/>
        <v>0.34375</v>
      </c>
      <c r="R173" s="15">
        <f t="shared" ca="1" si="7"/>
        <v>0.31466435185185182</v>
      </c>
      <c r="S173" s="15">
        <f t="shared" ca="1" si="8"/>
        <v>1.8668981481481495E-2</v>
      </c>
      <c r="T173" s="16">
        <f t="shared" ca="1" si="5"/>
        <v>1.0987789343146808</v>
      </c>
    </row>
    <row r="174" spans="1:20" ht="15.5">
      <c r="A174" s="6">
        <v>45488</v>
      </c>
      <c r="B174" s="47" t="s">
        <v>50</v>
      </c>
      <c r="C174" s="7">
        <v>1</v>
      </c>
      <c r="D174" s="8">
        <v>1.0416666666666666E-2</v>
      </c>
      <c r="E174" s="58">
        <f t="shared" si="0"/>
        <v>1.0416666666666666E-2</v>
      </c>
      <c r="F174" s="10">
        <f t="shared" si="38"/>
        <v>0.617650462962963</v>
      </c>
      <c r="G174" s="10">
        <v>0.6277314814814815</v>
      </c>
      <c r="H174" s="8">
        <f t="shared" si="20"/>
        <v>1.0081018518518503E-2</v>
      </c>
      <c r="I174" s="11">
        <f t="shared" si="2"/>
        <v>0.62806712962962963</v>
      </c>
      <c r="J174" s="8"/>
      <c r="K174" s="8"/>
      <c r="L174" s="8" t="str">
        <f t="shared" si="37"/>
        <v xml:space="preserve"> </v>
      </c>
      <c r="M174" s="12"/>
      <c r="N174" s="13">
        <f t="shared" si="4"/>
        <v>1.0332950631458109</v>
      </c>
      <c r="P174" s="14">
        <f ca="1">IFERROR(__xludf.DUMMYFUNCTION("""COMPUTED_VALUE"""),45656)</f>
        <v>45656</v>
      </c>
      <c r="Q174" s="15">
        <f t="shared" ca="1" si="6"/>
        <v>0.3576388888888889</v>
      </c>
      <c r="R174" s="15">
        <f t="shared" ca="1" si="7"/>
        <v>0.3244318749991254</v>
      </c>
      <c r="S174" s="15">
        <f t="shared" ca="1" si="8"/>
        <v>8.9014583342079123E-3</v>
      </c>
      <c r="T174" s="16">
        <f t="shared" ca="1" si="5"/>
        <v>1.0999518076910832</v>
      </c>
    </row>
    <row r="175" spans="1:20" ht="15.5">
      <c r="A175" s="6">
        <v>45488</v>
      </c>
      <c r="B175" s="47" t="s">
        <v>51</v>
      </c>
      <c r="C175" s="7">
        <v>1</v>
      </c>
      <c r="D175" s="8">
        <v>1.0416666666666666E-2</v>
      </c>
      <c r="E175" s="58">
        <f t="shared" si="0"/>
        <v>1.0416666666666666E-2</v>
      </c>
      <c r="F175" s="10">
        <f t="shared" si="38"/>
        <v>0.6277314814814815</v>
      </c>
      <c r="G175" s="10">
        <v>0.63783564814814819</v>
      </c>
      <c r="H175" s="8">
        <f t="shared" si="20"/>
        <v>1.0104166666666692E-2</v>
      </c>
      <c r="I175" s="11">
        <f t="shared" si="2"/>
        <v>0.63814814814814813</v>
      </c>
      <c r="J175" s="8"/>
      <c r="K175" s="8"/>
      <c r="L175" s="8" t="str">
        <f t="shared" si="37"/>
        <v xml:space="preserve"> </v>
      </c>
      <c r="M175" s="12"/>
      <c r="N175" s="13">
        <f t="shared" si="4"/>
        <v>1.0309278350515438</v>
      </c>
      <c r="P175" s="14">
        <f ca="1">IFERROR(__xludf.DUMMYFUNCTION("""COMPUTED_VALUE"""),45657)</f>
        <v>45657</v>
      </c>
      <c r="Q175" s="15">
        <f t="shared" ca="1" si="6"/>
        <v>0.34375</v>
      </c>
      <c r="R175" s="15">
        <f t="shared" ca="1" si="7"/>
        <v>0.32215978009380503</v>
      </c>
      <c r="S175" s="15">
        <f t="shared" ca="1" si="8"/>
        <v>1.1173553239528289E-2</v>
      </c>
      <c r="T175" s="16">
        <f t="shared" ca="1" si="5"/>
        <v>1.0736586521207683</v>
      </c>
    </row>
    <row r="176" spans="1:20" ht="14.5">
      <c r="A176" s="6">
        <v>45488</v>
      </c>
      <c r="B176" s="47" t="s">
        <v>52</v>
      </c>
      <c r="C176" s="7">
        <v>1</v>
      </c>
      <c r="D176" s="8">
        <v>1.0416666666666666E-2</v>
      </c>
      <c r="E176" s="58">
        <f t="shared" si="0"/>
        <v>1.0416666666666666E-2</v>
      </c>
      <c r="F176" s="10">
        <f t="shared" si="38"/>
        <v>0.63783564814814819</v>
      </c>
      <c r="G176" s="10">
        <v>0.66206018518518517</v>
      </c>
      <c r="H176" s="8">
        <f t="shared" si="20"/>
        <v>1.0694444444444383E-2</v>
      </c>
      <c r="I176" s="11">
        <f t="shared" si="2"/>
        <v>0.66178240740740746</v>
      </c>
      <c r="J176" s="8"/>
      <c r="K176" s="8"/>
      <c r="L176" s="8">
        <v>1.3530092592592592E-2</v>
      </c>
      <c r="M176" s="12"/>
      <c r="N176" s="13">
        <f t="shared" si="4"/>
        <v>0.97402597402597957</v>
      </c>
    </row>
    <row r="177" spans="1:14" ht="14.5">
      <c r="A177" s="6">
        <v>45488</v>
      </c>
      <c r="B177" s="47" t="s">
        <v>16</v>
      </c>
      <c r="C177" s="7">
        <v>2</v>
      </c>
      <c r="D177" s="8">
        <v>5.5555555555555558E-3</v>
      </c>
      <c r="E177" s="58">
        <f t="shared" si="0"/>
        <v>1.1111111111111112E-2</v>
      </c>
      <c r="F177" s="10">
        <f t="shared" si="38"/>
        <v>0.66206018518518517</v>
      </c>
      <c r="G177" s="10">
        <v>0.67047453703703708</v>
      </c>
      <c r="H177" s="8">
        <f t="shared" si="20"/>
        <v>8.4143518518519089E-3</v>
      </c>
      <c r="I177" s="11">
        <f t="shared" si="2"/>
        <v>0.67317129629629624</v>
      </c>
      <c r="J177" s="8"/>
      <c r="K177" s="8"/>
      <c r="L177" s="8" t="str">
        <f t="shared" ref="L177:L179" si="39">IF(OR(J177=0,K177=0)," ",K177-J177)</f>
        <v xml:space="preserve"> </v>
      </c>
      <c r="M177" s="12"/>
      <c r="N177" s="13">
        <f t="shared" si="4"/>
        <v>1.3204951856946265</v>
      </c>
    </row>
    <row r="178" spans="1:14" ht="14.5">
      <c r="A178" s="6">
        <v>45489</v>
      </c>
      <c r="B178" s="47" t="s">
        <v>79</v>
      </c>
      <c r="C178" s="7">
        <v>54</v>
      </c>
      <c r="D178" s="8">
        <v>1.3888888888888889E-3</v>
      </c>
      <c r="E178" s="58">
        <f t="shared" si="0"/>
        <v>7.4999999999999997E-2</v>
      </c>
      <c r="F178" s="10">
        <v>0.32643518518518522</v>
      </c>
      <c r="G178" s="10">
        <v>0.38619212962962968</v>
      </c>
      <c r="H178" s="8">
        <f t="shared" si="20"/>
        <v>5.975694444444446E-2</v>
      </c>
      <c r="I178" s="11">
        <f t="shared" si="2"/>
        <v>0.40143518518518523</v>
      </c>
      <c r="J178" s="8"/>
      <c r="K178" s="8"/>
      <c r="L178" s="8" t="str">
        <f t="shared" si="39"/>
        <v xml:space="preserve"> </v>
      </c>
      <c r="M178" s="18" t="s">
        <v>123</v>
      </c>
      <c r="N178" s="13">
        <f t="shared" si="4"/>
        <v>1.2550842533410804</v>
      </c>
    </row>
    <row r="179" spans="1:14" ht="14.5">
      <c r="A179" s="6">
        <v>45489</v>
      </c>
      <c r="B179" s="47" t="s">
        <v>16</v>
      </c>
      <c r="C179" s="7">
        <v>14</v>
      </c>
      <c r="D179" s="8">
        <v>5.5555555555555558E-3</v>
      </c>
      <c r="E179" s="58">
        <f t="shared" si="0"/>
        <v>7.7777777777777779E-2</v>
      </c>
      <c r="F179" s="10">
        <f t="shared" ref="F179:F181" si="40">G178</f>
        <v>0.38619212962962968</v>
      </c>
      <c r="G179" s="10">
        <v>0.46082175925925928</v>
      </c>
      <c r="H179" s="8">
        <f t="shared" si="20"/>
        <v>7.4629629629629601E-2</v>
      </c>
      <c r="I179" s="11">
        <f t="shared" si="2"/>
        <v>0.46396990740740746</v>
      </c>
      <c r="J179" s="8"/>
      <c r="K179" s="8"/>
      <c r="L179" s="8" t="str">
        <f t="shared" si="39"/>
        <v xml:space="preserve"> </v>
      </c>
      <c r="M179" s="12"/>
      <c r="N179" s="13">
        <f t="shared" si="4"/>
        <v>1.0421836228287846</v>
      </c>
    </row>
    <row r="180" spans="1:14" ht="14.5">
      <c r="A180" s="6">
        <v>45489</v>
      </c>
      <c r="B180" s="47" t="s">
        <v>16</v>
      </c>
      <c r="C180" s="7">
        <v>23</v>
      </c>
      <c r="D180" s="8">
        <v>5.5555555555555558E-3</v>
      </c>
      <c r="E180" s="58">
        <f t="shared" si="0"/>
        <v>0.1277777777777778</v>
      </c>
      <c r="F180" s="10">
        <f t="shared" si="40"/>
        <v>0.46082175925925928</v>
      </c>
      <c r="G180" s="10">
        <v>0.57635416666666661</v>
      </c>
      <c r="H180" s="8">
        <f t="shared" si="20"/>
        <v>0.11553240740740733</v>
      </c>
      <c r="I180" s="11">
        <f t="shared" si="2"/>
        <v>0.58859953703703705</v>
      </c>
      <c r="J180" s="8"/>
      <c r="K180" s="8"/>
      <c r="L180" s="8"/>
      <c r="M180" s="12"/>
      <c r="N180" s="13">
        <f t="shared" si="4"/>
        <v>1.105990783410139</v>
      </c>
    </row>
    <row r="181" spans="1:14" ht="14.5">
      <c r="A181" s="6">
        <v>45489</v>
      </c>
      <c r="B181" s="47" t="s">
        <v>16</v>
      </c>
      <c r="C181" s="7">
        <v>16</v>
      </c>
      <c r="D181" s="8">
        <v>5.5555555555555558E-3</v>
      </c>
      <c r="E181" s="58">
        <f t="shared" si="0"/>
        <v>8.8888888888888892E-2</v>
      </c>
      <c r="F181" s="10">
        <f t="shared" si="40"/>
        <v>0.57635416666666661</v>
      </c>
      <c r="G181" s="10">
        <v>0.70844907407407409</v>
      </c>
      <c r="H181" s="8">
        <f t="shared" si="20"/>
        <v>8.8726851851851918E-2</v>
      </c>
      <c r="I181" s="11">
        <f t="shared" si="2"/>
        <v>0.70861111111111108</v>
      </c>
      <c r="J181" s="8"/>
      <c r="K181" s="8"/>
      <c r="L181" s="8">
        <v>4.3368055555555556E-2</v>
      </c>
      <c r="M181" s="12"/>
      <c r="N181" s="13">
        <f t="shared" si="4"/>
        <v>1.0018262457605003</v>
      </c>
    </row>
    <row r="182" spans="1:14" ht="14.5">
      <c r="A182" s="6">
        <v>45489</v>
      </c>
      <c r="B182" s="47" t="s">
        <v>86</v>
      </c>
      <c r="C182" s="7">
        <v>1</v>
      </c>
      <c r="D182" s="8">
        <v>1.3888888888888889E-3</v>
      </c>
      <c r="E182" s="58">
        <f t="shared" si="0"/>
        <v>1.3888888888888889E-3</v>
      </c>
      <c r="F182" s="10">
        <v>0.70844907407407409</v>
      </c>
      <c r="G182" s="50">
        <v>0.70978009259259256</v>
      </c>
      <c r="H182" s="8">
        <f t="shared" si="20"/>
        <v>1.3310185185184675E-3</v>
      </c>
      <c r="I182" s="11">
        <f t="shared" si="2"/>
        <v>0.70983796296296298</v>
      </c>
      <c r="J182" s="8"/>
      <c r="K182" s="8"/>
      <c r="L182" s="8" t="str">
        <f t="shared" ref="L182:L191" si="41">IF(OR(J182=0,K182=0)," ",K182-J182)</f>
        <v xml:space="preserve"> </v>
      </c>
      <c r="M182" s="12"/>
      <c r="N182" s="13">
        <f t="shared" si="4"/>
        <v>1.0434782608696052</v>
      </c>
    </row>
    <row r="183" spans="1:14" ht="14.5">
      <c r="A183" s="6">
        <v>45490</v>
      </c>
      <c r="B183" s="47" t="s">
        <v>16</v>
      </c>
      <c r="C183" s="7">
        <v>17</v>
      </c>
      <c r="D183" s="8">
        <v>5.5555555555555558E-3</v>
      </c>
      <c r="E183" s="58">
        <f t="shared" si="0"/>
        <v>9.4444444444444442E-2</v>
      </c>
      <c r="F183" s="50">
        <v>0.32914351851851853</v>
      </c>
      <c r="G183" s="10">
        <v>0.41309027777777774</v>
      </c>
      <c r="H183" s="8">
        <f t="shared" si="20"/>
        <v>8.3946759259259207E-2</v>
      </c>
      <c r="I183" s="11">
        <f t="shared" si="2"/>
        <v>0.42358796296296297</v>
      </c>
      <c r="J183" s="8"/>
      <c r="K183" s="8"/>
      <c r="L183" s="8" t="str">
        <f t="shared" si="41"/>
        <v xml:space="preserve"> </v>
      </c>
      <c r="M183" s="12"/>
      <c r="N183" s="13">
        <f t="shared" si="4"/>
        <v>1.125051702743693</v>
      </c>
    </row>
    <row r="184" spans="1:14" ht="14.5">
      <c r="A184" s="6">
        <v>45490</v>
      </c>
      <c r="B184" s="47" t="s">
        <v>44</v>
      </c>
      <c r="C184" s="7">
        <v>1</v>
      </c>
      <c r="D184" s="8">
        <v>3.472222222222222E-3</v>
      </c>
      <c r="E184" s="58">
        <f t="shared" si="0"/>
        <v>3.472222222222222E-3</v>
      </c>
      <c r="F184" s="10">
        <f t="shared" ref="F184:F187" si="42">G183</f>
        <v>0.41309027777777774</v>
      </c>
      <c r="G184" s="10">
        <v>0.41616898148148151</v>
      </c>
      <c r="H184" s="8">
        <f t="shared" si="20"/>
        <v>3.0787037037037779E-3</v>
      </c>
      <c r="I184" s="11">
        <f t="shared" si="2"/>
        <v>0.41656249999999995</v>
      </c>
      <c r="J184" s="8"/>
      <c r="K184" s="8"/>
      <c r="L184" s="8" t="str">
        <f t="shared" si="41"/>
        <v xml:space="preserve"> </v>
      </c>
      <c r="M184" s="12"/>
      <c r="N184" s="13">
        <f t="shared" si="4"/>
        <v>1.1278195488721532</v>
      </c>
    </row>
    <row r="185" spans="1:14" ht="14.5">
      <c r="A185" s="6">
        <v>45490</v>
      </c>
      <c r="B185" s="47" t="s">
        <v>116</v>
      </c>
      <c r="C185" s="7">
        <v>1</v>
      </c>
      <c r="D185" s="8">
        <v>2.0833333333333332E-2</v>
      </c>
      <c r="E185" s="58">
        <f t="shared" si="0"/>
        <v>2.0833333333333332E-2</v>
      </c>
      <c r="F185" s="10">
        <f t="shared" si="42"/>
        <v>0.41616898148148151</v>
      </c>
      <c r="G185" s="10">
        <v>0.43489583333333337</v>
      </c>
      <c r="H185" s="8">
        <f t="shared" si="20"/>
        <v>1.8726851851851856E-2</v>
      </c>
      <c r="I185" s="11">
        <f t="shared" si="2"/>
        <v>0.43700231481481483</v>
      </c>
      <c r="J185" s="8"/>
      <c r="K185" s="8"/>
      <c r="L185" s="8" t="str">
        <f t="shared" si="41"/>
        <v xml:space="preserve"> </v>
      </c>
      <c r="M185" s="12"/>
      <c r="N185" s="13">
        <f t="shared" si="4"/>
        <v>1.1124845488257105</v>
      </c>
    </row>
    <row r="186" spans="1:14" ht="14.5">
      <c r="A186" s="6">
        <v>45490</v>
      </c>
      <c r="B186" s="47" t="s">
        <v>16</v>
      </c>
      <c r="C186" s="7">
        <v>9</v>
      </c>
      <c r="D186" s="8">
        <v>5.5555555555555558E-3</v>
      </c>
      <c r="E186" s="58">
        <f t="shared" si="0"/>
        <v>0.05</v>
      </c>
      <c r="F186" s="10">
        <f t="shared" si="42"/>
        <v>0.43489583333333337</v>
      </c>
      <c r="G186" s="10">
        <v>0.4800578703703704</v>
      </c>
      <c r="H186" s="8">
        <f t="shared" si="20"/>
        <v>4.5162037037037028E-2</v>
      </c>
      <c r="I186" s="11">
        <f t="shared" si="2"/>
        <v>0.48489583333333336</v>
      </c>
      <c r="J186" s="8"/>
      <c r="K186" s="8"/>
      <c r="L186" s="8" t="str">
        <f t="shared" si="41"/>
        <v xml:space="preserve"> </v>
      </c>
      <c r="M186" s="12"/>
      <c r="N186" s="13">
        <f t="shared" si="4"/>
        <v>1.1071245515120454</v>
      </c>
    </row>
    <row r="187" spans="1:14" ht="14.5">
      <c r="A187" s="6">
        <v>45490</v>
      </c>
      <c r="B187" s="47" t="s">
        <v>16</v>
      </c>
      <c r="C187" s="7">
        <v>10</v>
      </c>
      <c r="D187" s="8">
        <v>5.5555555555555558E-3</v>
      </c>
      <c r="E187" s="58">
        <f t="shared" si="0"/>
        <v>5.5555555555555559E-2</v>
      </c>
      <c r="F187" s="10">
        <f t="shared" si="42"/>
        <v>0.4800578703703704</v>
      </c>
      <c r="G187" s="10">
        <v>0.53033564814814815</v>
      </c>
      <c r="H187" s="8">
        <f t="shared" si="20"/>
        <v>5.0277777777777755E-2</v>
      </c>
      <c r="I187" s="11">
        <f t="shared" si="2"/>
        <v>0.53561342592592598</v>
      </c>
      <c r="J187" s="8"/>
      <c r="K187" s="8"/>
      <c r="L187" s="8" t="str">
        <f t="shared" si="41"/>
        <v xml:space="preserve"> </v>
      </c>
      <c r="M187" s="12"/>
      <c r="N187" s="13">
        <f t="shared" si="4"/>
        <v>1.1049723756906082</v>
      </c>
    </row>
    <row r="188" spans="1:14" ht="14.5">
      <c r="A188" s="6">
        <v>45490</v>
      </c>
      <c r="B188" s="47" t="s">
        <v>27</v>
      </c>
      <c r="C188" s="7">
        <v>60</v>
      </c>
      <c r="D188" s="8">
        <v>1.3888888888888889E-3</v>
      </c>
      <c r="E188" s="58">
        <f t="shared" si="0"/>
        <v>8.3333333333333343E-2</v>
      </c>
      <c r="F188" s="10">
        <v>0.53033564814814815</v>
      </c>
      <c r="G188" s="10">
        <v>0.60515046296296293</v>
      </c>
      <c r="H188" s="8">
        <f t="shared" si="20"/>
        <v>7.4814814814814778E-2</v>
      </c>
      <c r="I188" s="11">
        <f t="shared" si="2"/>
        <v>0.61366898148148152</v>
      </c>
      <c r="J188" s="8"/>
      <c r="K188" s="8"/>
      <c r="L188" s="8" t="str">
        <f t="shared" si="41"/>
        <v xml:space="preserve"> </v>
      </c>
      <c r="M188" s="12"/>
      <c r="N188" s="13">
        <f t="shared" si="4"/>
        <v>1.1138613861386146</v>
      </c>
    </row>
    <row r="189" spans="1:14" ht="14.5">
      <c r="A189" s="6">
        <v>45490</v>
      </c>
      <c r="B189" s="47" t="s">
        <v>50</v>
      </c>
      <c r="C189" s="7">
        <v>1</v>
      </c>
      <c r="D189" s="8">
        <v>1.0416666666666666E-2</v>
      </c>
      <c r="E189" s="58">
        <f t="shared" si="0"/>
        <v>1.0416666666666666E-2</v>
      </c>
      <c r="F189" s="10">
        <f t="shared" ref="F189:F191" si="43">G188</f>
        <v>0.60515046296296293</v>
      </c>
      <c r="G189" s="10">
        <v>0.61506944444444445</v>
      </c>
      <c r="H189" s="8">
        <f t="shared" si="20"/>
        <v>9.9189814814815147E-3</v>
      </c>
      <c r="I189" s="11">
        <f t="shared" si="2"/>
        <v>0.61556712962962956</v>
      </c>
      <c r="J189" s="8"/>
      <c r="K189" s="8"/>
      <c r="L189" s="8" t="str">
        <f t="shared" si="41"/>
        <v xml:space="preserve"> </v>
      </c>
      <c r="M189" s="12"/>
      <c r="N189" s="13">
        <f t="shared" si="4"/>
        <v>1.0501750291715251</v>
      </c>
    </row>
    <row r="190" spans="1:14" ht="14.5">
      <c r="A190" s="6">
        <v>45490</v>
      </c>
      <c r="B190" s="47" t="s">
        <v>51</v>
      </c>
      <c r="C190" s="7">
        <v>1</v>
      </c>
      <c r="D190" s="8">
        <v>1.0416666666666666E-2</v>
      </c>
      <c r="E190" s="58">
        <f t="shared" si="0"/>
        <v>1.0416666666666666E-2</v>
      </c>
      <c r="F190" s="10">
        <f t="shared" si="43"/>
        <v>0.61506944444444445</v>
      </c>
      <c r="G190" s="10">
        <v>0.62496527777777777</v>
      </c>
      <c r="H190" s="8">
        <f t="shared" si="20"/>
        <v>9.8958333333333259E-3</v>
      </c>
      <c r="I190" s="11">
        <f t="shared" si="2"/>
        <v>0.62548611111111108</v>
      </c>
      <c r="J190" s="8"/>
      <c r="K190" s="8"/>
      <c r="L190" s="8" t="str">
        <f t="shared" si="41"/>
        <v xml:space="preserve"> </v>
      </c>
      <c r="M190" s="12"/>
      <c r="N190" s="13">
        <f t="shared" si="4"/>
        <v>1.0526315789473693</v>
      </c>
    </row>
    <row r="191" spans="1:14" ht="14.5">
      <c r="A191" s="6">
        <v>45490</v>
      </c>
      <c r="B191" s="47" t="s">
        <v>52</v>
      </c>
      <c r="C191" s="7">
        <v>1</v>
      </c>
      <c r="D191" s="8">
        <v>1.0416666666666666E-2</v>
      </c>
      <c r="E191" s="58">
        <f t="shared" si="0"/>
        <v>1.0416666666666666E-2</v>
      </c>
      <c r="F191" s="10">
        <f t="shared" si="43"/>
        <v>0.62496527777777777</v>
      </c>
      <c r="G191" s="10">
        <v>0.63465277777777773</v>
      </c>
      <c r="H191" s="8">
        <f t="shared" si="20"/>
        <v>9.68749999999996E-3</v>
      </c>
      <c r="I191" s="11">
        <f t="shared" si="2"/>
        <v>0.6353819444444444</v>
      </c>
      <c r="J191" s="8"/>
      <c r="K191" s="8"/>
      <c r="L191" s="8" t="str">
        <f t="shared" si="41"/>
        <v xml:space="preserve"> </v>
      </c>
      <c r="M191" s="12"/>
      <c r="N191" s="13">
        <f t="shared" si="4"/>
        <v>1.0752688172043054</v>
      </c>
    </row>
    <row r="192" spans="1:14" ht="14.5">
      <c r="A192" s="6">
        <v>45490</v>
      </c>
      <c r="B192" s="47" t="s">
        <v>27</v>
      </c>
      <c r="C192" s="7">
        <v>30</v>
      </c>
      <c r="D192" s="8">
        <v>1.3888888888888889E-3</v>
      </c>
      <c r="E192" s="58">
        <f t="shared" si="0"/>
        <v>4.1666666666666671E-2</v>
      </c>
      <c r="F192" s="10">
        <v>0.63465277777777773</v>
      </c>
      <c r="G192" s="10">
        <v>0.71567129629629633</v>
      </c>
      <c r="H192" s="8">
        <f t="shared" si="20"/>
        <v>3.7500000000000082E-2</v>
      </c>
      <c r="I192" s="11">
        <f t="shared" si="2"/>
        <v>0.71983796296296287</v>
      </c>
      <c r="J192" s="8"/>
      <c r="K192" s="8"/>
      <c r="L192" s="8">
        <v>4.3518518518518519E-2</v>
      </c>
      <c r="M192" s="12"/>
      <c r="N192" s="13">
        <f t="shared" si="4"/>
        <v>1.1111111111111087</v>
      </c>
    </row>
    <row r="193" spans="1:14" ht="14.5">
      <c r="A193" s="6">
        <v>45491</v>
      </c>
      <c r="B193" s="47" t="s">
        <v>42</v>
      </c>
      <c r="C193" s="7">
        <v>1</v>
      </c>
      <c r="D193" s="8">
        <v>6.9444444444444441E-3</v>
      </c>
      <c r="E193" s="58">
        <f t="shared" si="0"/>
        <v>6.9444444444444441E-3</v>
      </c>
      <c r="F193" s="10">
        <v>0.33297453703703705</v>
      </c>
      <c r="G193" s="10">
        <v>0.3392708333333333</v>
      </c>
      <c r="H193" s="8">
        <f t="shared" si="20"/>
        <v>6.2962962962962443E-3</v>
      </c>
      <c r="I193" s="11">
        <f t="shared" si="2"/>
        <v>0.33991898148148147</v>
      </c>
      <c r="J193" s="8"/>
      <c r="K193" s="8"/>
      <c r="L193" s="8" t="str">
        <f t="shared" ref="L193:L194" si="44">IF(OR(J193=0,K193=0)," ",K193-J193)</f>
        <v xml:space="preserve"> </v>
      </c>
      <c r="M193" s="12"/>
      <c r="N193" s="13">
        <f t="shared" si="4"/>
        <v>1.1029411764705972</v>
      </c>
    </row>
    <row r="194" spans="1:14" ht="14.5">
      <c r="A194" s="6">
        <v>45491</v>
      </c>
      <c r="B194" s="47" t="s">
        <v>43</v>
      </c>
      <c r="C194" s="7">
        <v>1</v>
      </c>
      <c r="D194" s="8">
        <v>3.4722222222222224E-2</v>
      </c>
      <c r="E194" s="8">
        <f t="shared" si="0"/>
        <v>3.4722222222222224E-2</v>
      </c>
      <c r="F194" s="10">
        <f t="shared" ref="F194:F195" si="45">G193</f>
        <v>0.3392708333333333</v>
      </c>
      <c r="G194" s="10">
        <v>0.37212962962962959</v>
      </c>
      <c r="H194" s="8">
        <f t="shared" si="20"/>
        <v>3.2858796296296289E-2</v>
      </c>
      <c r="I194" s="11">
        <f t="shared" si="2"/>
        <v>0.37399305555555551</v>
      </c>
      <c r="J194" s="8"/>
      <c r="K194" s="8"/>
      <c r="L194" s="8" t="str">
        <f t="shared" si="44"/>
        <v xml:space="preserve"> </v>
      </c>
      <c r="M194" s="12"/>
      <c r="N194" s="13">
        <f t="shared" si="4"/>
        <v>1.0567101091933782</v>
      </c>
    </row>
    <row r="195" spans="1:14" ht="14.5">
      <c r="A195" s="6">
        <v>45491</v>
      </c>
      <c r="B195" s="47" t="s">
        <v>27</v>
      </c>
      <c r="C195" s="7">
        <v>55</v>
      </c>
      <c r="D195" s="8">
        <v>1.3888888888888889E-3</v>
      </c>
      <c r="E195" s="8">
        <f t="shared" si="0"/>
        <v>7.6388888888888895E-2</v>
      </c>
      <c r="F195" s="10">
        <f t="shared" si="45"/>
        <v>0.37212962962962959</v>
      </c>
      <c r="G195" s="10">
        <v>0.45193287037037033</v>
      </c>
      <c r="H195" s="8">
        <f t="shared" si="20"/>
        <v>7.1296296296296302E-2</v>
      </c>
      <c r="I195" s="11">
        <f t="shared" si="2"/>
        <v>0.45702546296296293</v>
      </c>
      <c r="J195" s="8"/>
      <c r="K195" s="8"/>
      <c r="L195" s="8">
        <v>8.5069444444444437E-3</v>
      </c>
      <c r="M195" s="12"/>
      <c r="N195" s="13">
        <f t="shared" si="4"/>
        <v>1.0714285714285714</v>
      </c>
    </row>
    <row r="196" spans="1:14" ht="14.5">
      <c r="A196" s="6">
        <v>45491</v>
      </c>
      <c r="B196" s="47" t="s">
        <v>27</v>
      </c>
      <c r="C196" s="7">
        <f>88-C195</f>
        <v>33</v>
      </c>
      <c r="D196" s="8">
        <v>1.3888888888888889E-3</v>
      </c>
      <c r="E196" s="8">
        <f t="shared" si="0"/>
        <v>4.5833333333333337E-2</v>
      </c>
      <c r="F196" s="10">
        <v>0.45193287037037033</v>
      </c>
      <c r="G196" s="10">
        <v>0.51265046296296302</v>
      </c>
      <c r="H196" s="8">
        <f t="shared" si="20"/>
        <v>4.1261574074074166E-2</v>
      </c>
      <c r="I196" s="11">
        <f t="shared" si="2"/>
        <v>0.51722222222222214</v>
      </c>
      <c r="J196" s="8"/>
      <c r="K196" s="8"/>
      <c r="L196" s="8">
        <v>1.9456018518518518E-2</v>
      </c>
      <c r="M196" s="12"/>
      <c r="N196" s="13">
        <f t="shared" si="4"/>
        <v>1.1107994389901799</v>
      </c>
    </row>
    <row r="197" spans="1:14" ht="14.5">
      <c r="A197" s="6">
        <v>45491</v>
      </c>
      <c r="B197" s="47" t="s">
        <v>38</v>
      </c>
      <c r="C197" s="7">
        <v>14</v>
      </c>
      <c r="D197" s="8">
        <v>2.7777777777777779E-3</v>
      </c>
      <c r="E197" s="8">
        <f t="shared" si="0"/>
        <v>3.888888888888889E-2</v>
      </c>
      <c r="F197" s="10">
        <f t="shared" ref="F197:F198" si="46">G196</f>
        <v>0.51265046296296302</v>
      </c>
      <c r="G197" s="10">
        <v>0.54773148148148143</v>
      </c>
      <c r="H197" s="8">
        <f t="shared" si="20"/>
        <v>3.5081018518518414E-2</v>
      </c>
      <c r="I197" s="11">
        <f t="shared" si="2"/>
        <v>0.55153935185185188</v>
      </c>
      <c r="J197" s="8"/>
      <c r="K197" s="8"/>
      <c r="L197" s="8" t="str">
        <f t="shared" ref="L197:L198" si="47">IF(OR(J197=0,K197=0)," ",K197-J197)</f>
        <v xml:space="preserve"> </v>
      </c>
      <c r="M197" s="12"/>
      <c r="N197" s="13">
        <f t="shared" si="4"/>
        <v>1.1085450346420356</v>
      </c>
    </row>
    <row r="198" spans="1:14" ht="14.5">
      <c r="A198" s="6">
        <v>45491</v>
      </c>
      <c r="B198" s="47" t="s">
        <v>27</v>
      </c>
      <c r="C198" s="7">
        <v>32</v>
      </c>
      <c r="D198" s="8">
        <v>1.3888888888888889E-3</v>
      </c>
      <c r="E198" s="8">
        <f t="shared" si="0"/>
        <v>4.4444444444444446E-2</v>
      </c>
      <c r="F198" s="10">
        <f t="shared" si="46"/>
        <v>0.54773148148148143</v>
      </c>
      <c r="G198" s="10">
        <v>0.59137731481481481</v>
      </c>
      <c r="H198" s="8">
        <f t="shared" si="20"/>
        <v>4.3645833333333384E-2</v>
      </c>
      <c r="I198" s="11">
        <f t="shared" si="2"/>
        <v>0.59217592592592583</v>
      </c>
      <c r="J198" s="8"/>
      <c r="K198" s="8"/>
      <c r="L198" s="8" t="str">
        <f t="shared" si="47"/>
        <v xml:space="preserve"> </v>
      </c>
      <c r="M198" s="12"/>
      <c r="N198" s="13">
        <f t="shared" si="4"/>
        <v>1.0182975338106592</v>
      </c>
    </row>
    <row r="199" spans="1:14" ht="14.5">
      <c r="A199" s="6">
        <v>45492</v>
      </c>
      <c r="B199" s="47" t="s">
        <v>20</v>
      </c>
      <c r="C199" s="7">
        <v>50</v>
      </c>
      <c r="D199" s="8">
        <v>2.0833333333333333E-3</v>
      </c>
      <c r="E199" s="8">
        <f t="shared" si="0"/>
        <v>0.10416666666666667</v>
      </c>
      <c r="F199" s="10">
        <v>0.41368055555555561</v>
      </c>
      <c r="G199" s="10">
        <v>0.52246527777777774</v>
      </c>
      <c r="H199" s="8">
        <f t="shared" si="20"/>
        <v>8.5937499999999903E-2</v>
      </c>
      <c r="I199" s="11">
        <f t="shared" si="2"/>
        <v>0.54069444444444448</v>
      </c>
      <c r="J199" s="8"/>
      <c r="K199" s="8"/>
      <c r="L199" s="8">
        <v>2.2847222222222224E-2</v>
      </c>
      <c r="M199" s="12"/>
      <c r="N199" s="13">
        <f t="shared" si="4"/>
        <v>1.2121212121212135</v>
      </c>
    </row>
    <row r="200" spans="1:14" ht="14.5">
      <c r="A200" s="6">
        <v>45492</v>
      </c>
      <c r="B200" s="47" t="s">
        <v>65</v>
      </c>
      <c r="C200" s="7">
        <v>1</v>
      </c>
      <c r="D200" s="8">
        <v>2.0833333333333332E-2</v>
      </c>
      <c r="E200" s="9">
        <f t="shared" si="0"/>
        <v>2.0833333333333332E-2</v>
      </c>
      <c r="F200" s="10">
        <v>0.52246527777777774</v>
      </c>
      <c r="G200" s="8">
        <v>0.67775462962962962</v>
      </c>
      <c r="H200" s="8">
        <f t="shared" si="20"/>
        <v>8.5381944444444483E-2</v>
      </c>
      <c r="I200" s="11">
        <f t="shared" si="2"/>
        <v>0.61320601851851853</v>
      </c>
      <c r="J200" s="8"/>
      <c r="K200" s="8"/>
      <c r="L200" s="8">
        <v>6.9907407407407404E-2</v>
      </c>
      <c r="M200" s="12"/>
      <c r="N200" s="13">
        <f t="shared" si="4"/>
        <v>0.24400162667751107</v>
      </c>
    </row>
    <row r="201" spans="1:14" ht="14.5">
      <c r="A201" s="6">
        <v>45492</v>
      </c>
      <c r="B201" s="47" t="s">
        <v>28</v>
      </c>
      <c r="C201" s="7">
        <v>25</v>
      </c>
      <c r="D201" s="8">
        <v>1.3888888888888889E-3</v>
      </c>
      <c r="E201" s="8">
        <f t="shared" si="0"/>
        <v>3.4722222222222224E-2</v>
      </c>
      <c r="F201" s="8">
        <f>G200</f>
        <v>0.67775462962962962</v>
      </c>
      <c r="G201" s="10">
        <v>0.71180555555555558</v>
      </c>
      <c r="H201" s="8">
        <f t="shared" si="20"/>
        <v>3.4050925925925957E-2</v>
      </c>
      <c r="I201" s="11">
        <f t="shared" si="2"/>
        <v>0.71247685185185183</v>
      </c>
      <c r="J201" s="8"/>
      <c r="K201" s="8"/>
      <c r="L201" s="8" t="str">
        <f t="shared" ref="L201:L204" si="48">IF(OR(J201=0,K201=0)," ",K201-J201)</f>
        <v xml:space="preserve"> </v>
      </c>
      <c r="M201" s="18" t="s">
        <v>124</v>
      </c>
      <c r="N201" s="13">
        <f t="shared" si="4"/>
        <v>1.0197144799456144</v>
      </c>
    </row>
    <row r="202" spans="1:14" ht="14.5">
      <c r="A202" s="6">
        <v>45495</v>
      </c>
      <c r="B202" s="47" t="s">
        <v>42</v>
      </c>
      <c r="C202" s="7">
        <v>1</v>
      </c>
      <c r="D202" s="8">
        <v>6.9444444444444441E-3</v>
      </c>
      <c r="E202" s="8">
        <f t="shared" si="0"/>
        <v>6.9444444444444441E-3</v>
      </c>
      <c r="F202" s="8">
        <v>0.34575231481481483</v>
      </c>
      <c r="G202" s="10">
        <v>0.35246527777777781</v>
      </c>
      <c r="H202" s="8">
        <f t="shared" si="20"/>
        <v>6.7129629629629761E-3</v>
      </c>
      <c r="I202" s="11">
        <f t="shared" si="2"/>
        <v>0.35269675925925925</v>
      </c>
      <c r="J202" s="8"/>
      <c r="K202" s="8"/>
      <c r="L202" s="8" t="str">
        <f t="shared" si="48"/>
        <v xml:space="preserve"> </v>
      </c>
      <c r="M202" s="12"/>
      <c r="N202" s="13">
        <f t="shared" si="4"/>
        <v>1.0344827586206875</v>
      </c>
    </row>
    <row r="203" spans="1:14" ht="14.5">
      <c r="A203" s="6">
        <v>45495</v>
      </c>
      <c r="B203" s="47" t="s">
        <v>43</v>
      </c>
      <c r="C203" s="7">
        <v>1</v>
      </c>
      <c r="D203" s="8">
        <v>3.4722222222222224E-2</v>
      </c>
      <c r="E203" s="8">
        <f t="shared" si="0"/>
        <v>3.4722222222222224E-2</v>
      </c>
      <c r="F203" s="10">
        <v>0.35246527777777781</v>
      </c>
      <c r="G203" s="10">
        <v>0.38515046296296296</v>
      </c>
      <c r="H203" s="8">
        <f t="shared" si="20"/>
        <v>3.268518518518515E-2</v>
      </c>
      <c r="I203" s="11">
        <f t="shared" si="2"/>
        <v>0.38718750000000002</v>
      </c>
      <c r="J203" s="8"/>
      <c r="K203" s="8"/>
      <c r="L203" s="8" t="str">
        <f t="shared" si="48"/>
        <v xml:space="preserve"> </v>
      </c>
      <c r="M203" s="12"/>
      <c r="N203" s="13">
        <f t="shared" si="4"/>
        <v>1.0623229461756385</v>
      </c>
    </row>
    <row r="204" spans="1:14" ht="14.5">
      <c r="A204" s="6">
        <v>45495</v>
      </c>
      <c r="B204" s="47" t="s">
        <v>63</v>
      </c>
      <c r="C204" s="7">
        <v>1</v>
      </c>
      <c r="D204" s="8">
        <v>3.4722222222222224E-2</v>
      </c>
      <c r="E204" s="8">
        <f t="shared" si="0"/>
        <v>3.4722222222222224E-2</v>
      </c>
      <c r="F204" s="10">
        <f>G203</f>
        <v>0.38515046296296296</v>
      </c>
      <c r="G204" s="10">
        <v>0.41645833333333337</v>
      </c>
      <c r="H204" s="8">
        <f t="shared" si="20"/>
        <v>3.1307870370370416E-2</v>
      </c>
      <c r="I204" s="11">
        <f t="shared" si="2"/>
        <v>0.41987268518518517</v>
      </c>
      <c r="J204" s="8"/>
      <c r="K204" s="8"/>
      <c r="L204" s="8" t="str">
        <f t="shared" si="48"/>
        <v xml:space="preserve"> </v>
      </c>
      <c r="M204" s="12"/>
      <c r="N204" s="13">
        <f t="shared" si="4"/>
        <v>1.1090573012938987</v>
      </c>
    </row>
    <row r="205" spans="1:14" ht="14.5">
      <c r="A205" s="6">
        <v>45495</v>
      </c>
      <c r="B205" s="47" t="s">
        <v>28</v>
      </c>
      <c r="C205" s="7">
        <v>125</v>
      </c>
      <c r="D205" s="8">
        <v>1.3888888888888889E-3</v>
      </c>
      <c r="E205" s="8">
        <f t="shared" si="0"/>
        <v>0.1736111111111111</v>
      </c>
      <c r="F205" s="10">
        <v>0.41645833333333337</v>
      </c>
      <c r="G205" s="10">
        <v>0.60737268518518517</v>
      </c>
      <c r="H205" s="8">
        <f t="shared" si="20"/>
        <v>0.16725694444444439</v>
      </c>
      <c r="I205" s="11">
        <f t="shared" si="2"/>
        <v>0.61372685185185194</v>
      </c>
      <c r="J205" s="8"/>
      <c r="K205" s="8"/>
      <c r="L205" s="8">
        <v>2.3657407407407408E-2</v>
      </c>
      <c r="M205" s="18" t="s">
        <v>125</v>
      </c>
      <c r="N205" s="13">
        <f t="shared" si="4"/>
        <v>1.0379904504878559</v>
      </c>
    </row>
    <row r="206" spans="1:14" ht="14.5">
      <c r="A206" s="6">
        <v>45495</v>
      </c>
      <c r="B206" s="47" t="s">
        <v>28</v>
      </c>
      <c r="C206" s="7">
        <v>80</v>
      </c>
      <c r="D206" s="8">
        <v>1.3888888888888889E-3</v>
      </c>
      <c r="E206" s="8">
        <f t="shared" si="0"/>
        <v>0.11111111111111112</v>
      </c>
      <c r="F206" s="10">
        <v>0.60737268518518517</v>
      </c>
      <c r="G206" s="50">
        <v>0.72993055555555553</v>
      </c>
      <c r="H206" s="8">
        <f t="shared" si="20"/>
        <v>0.10297453703703702</v>
      </c>
      <c r="I206" s="11">
        <f t="shared" si="2"/>
        <v>0.73806712962962961</v>
      </c>
      <c r="J206" s="8"/>
      <c r="K206" s="8"/>
      <c r="L206" s="8">
        <v>1.9583333333333335E-2</v>
      </c>
      <c r="M206" s="18" t="s">
        <v>126</v>
      </c>
      <c r="N206" s="13">
        <f t="shared" si="4"/>
        <v>1.0790153984489157</v>
      </c>
    </row>
    <row r="207" spans="1:14" ht="14.5">
      <c r="A207" s="6">
        <v>45495</v>
      </c>
      <c r="B207" s="47" t="s">
        <v>127</v>
      </c>
      <c r="C207" s="7">
        <v>1</v>
      </c>
      <c r="D207" s="8">
        <v>3.472222222222222E-3</v>
      </c>
      <c r="E207" s="8">
        <f t="shared" si="0"/>
        <v>3.472222222222222E-3</v>
      </c>
      <c r="F207" s="10">
        <v>0.62775462962962958</v>
      </c>
      <c r="G207" s="10">
        <v>0.63077546296296294</v>
      </c>
      <c r="H207" s="8">
        <f t="shared" si="20"/>
        <v>3.0208333333333615E-3</v>
      </c>
      <c r="I207" s="11">
        <f t="shared" si="2"/>
        <v>0.63122685185185179</v>
      </c>
      <c r="J207" s="8"/>
      <c r="K207" s="8"/>
      <c r="L207" s="8" t="str">
        <f t="shared" ref="L207:L208" si="49">IF(OR(J207=0,K207=0)," ",K207-J207)</f>
        <v xml:space="preserve"> </v>
      </c>
      <c r="M207" s="12"/>
      <c r="N207" s="13">
        <f t="shared" si="4"/>
        <v>1.1494252873563111</v>
      </c>
    </row>
    <row r="208" spans="1:14" ht="14.5">
      <c r="A208" s="6">
        <v>45496</v>
      </c>
      <c r="B208" s="47" t="s">
        <v>28</v>
      </c>
      <c r="C208" s="7">
        <v>85</v>
      </c>
      <c r="D208" s="8">
        <v>1.3888888888888889E-3</v>
      </c>
      <c r="E208" s="8">
        <f t="shared" si="0"/>
        <v>0.11805555555555557</v>
      </c>
      <c r="F208" s="10">
        <v>0.34059027777777778</v>
      </c>
      <c r="G208" s="10">
        <v>0.45178240740740738</v>
      </c>
      <c r="H208" s="8">
        <f t="shared" si="20"/>
        <v>0.1111921296296296</v>
      </c>
      <c r="I208" s="11">
        <f t="shared" si="2"/>
        <v>0.45864583333333336</v>
      </c>
      <c r="J208" s="8"/>
      <c r="K208" s="8"/>
      <c r="L208" s="8" t="str">
        <f t="shared" si="49"/>
        <v xml:space="preserve"> </v>
      </c>
      <c r="M208" s="18" t="s">
        <v>128</v>
      </c>
      <c r="N208" s="13">
        <f t="shared" si="4"/>
        <v>1.06172582491933</v>
      </c>
    </row>
    <row r="209" spans="1:14" ht="14.5">
      <c r="A209" s="6">
        <v>45496</v>
      </c>
      <c r="B209" s="47" t="s">
        <v>28</v>
      </c>
      <c r="C209" s="7">
        <v>85</v>
      </c>
      <c r="D209" s="8">
        <v>1.3888888888888889E-3</v>
      </c>
      <c r="E209" s="8">
        <f t="shared" si="0"/>
        <v>0.11805555555555557</v>
      </c>
      <c r="F209" s="10">
        <f t="shared" ref="F209:F211" si="50">G208</f>
        <v>0.45178240740740738</v>
      </c>
      <c r="G209" s="10">
        <v>0.59510416666666666</v>
      </c>
      <c r="H209" s="8">
        <f t="shared" si="20"/>
        <v>0.11489583333333335</v>
      </c>
      <c r="I209" s="11">
        <f t="shared" si="2"/>
        <v>0.59826388888888893</v>
      </c>
      <c r="J209" s="8"/>
      <c r="K209" s="8"/>
      <c r="L209" s="8">
        <v>2.8425925925925927E-2</v>
      </c>
      <c r="M209" s="18" t="s">
        <v>129</v>
      </c>
      <c r="N209" s="13">
        <f t="shared" si="4"/>
        <v>1.0275007555152613</v>
      </c>
    </row>
    <row r="210" spans="1:14" ht="14.5">
      <c r="A210" s="6">
        <v>45496</v>
      </c>
      <c r="B210" s="47" t="s">
        <v>28</v>
      </c>
      <c r="C210" s="7">
        <v>55</v>
      </c>
      <c r="D210" s="8">
        <v>1.3888888888888889E-3</v>
      </c>
      <c r="E210" s="8">
        <f t="shared" si="0"/>
        <v>7.6388888888888895E-2</v>
      </c>
      <c r="F210" s="10">
        <f t="shared" si="50"/>
        <v>0.59510416666666666</v>
      </c>
      <c r="G210" s="10">
        <v>0.66802083333333329</v>
      </c>
      <c r="H210" s="8">
        <f t="shared" si="20"/>
        <v>7.291666666666663E-2</v>
      </c>
      <c r="I210" s="11">
        <f t="shared" si="2"/>
        <v>0.67149305555555561</v>
      </c>
      <c r="J210" s="8"/>
      <c r="K210" s="8"/>
      <c r="L210" s="8"/>
      <c r="M210" s="18" t="s">
        <v>130</v>
      </c>
      <c r="N210" s="13">
        <f t="shared" si="4"/>
        <v>1.0476190476190483</v>
      </c>
    </row>
    <row r="211" spans="1:14" ht="14.5">
      <c r="A211" s="6">
        <v>45496</v>
      </c>
      <c r="B211" s="47" t="s">
        <v>106</v>
      </c>
      <c r="C211" s="7">
        <v>10</v>
      </c>
      <c r="D211" s="8">
        <v>2.0833333333333333E-3</v>
      </c>
      <c r="E211" s="8">
        <f t="shared" si="0"/>
        <v>2.0833333333333332E-2</v>
      </c>
      <c r="F211" s="10">
        <f t="shared" si="50"/>
        <v>0.66802083333333329</v>
      </c>
      <c r="G211" s="10">
        <v>0.70391203703703709</v>
      </c>
      <c r="H211" s="8">
        <f t="shared" si="20"/>
        <v>1.8946759259259354E-2</v>
      </c>
      <c r="I211" s="11">
        <f t="shared" si="2"/>
        <v>0.70579861111111108</v>
      </c>
      <c r="J211" s="8"/>
      <c r="K211" s="8"/>
      <c r="L211" s="8">
        <v>1.6944444444444446E-2</v>
      </c>
      <c r="M211" s="12"/>
      <c r="N211" s="13">
        <f t="shared" si="4"/>
        <v>1.0995723885155717</v>
      </c>
    </row>
    <row r="212" spans="1:14" ht="14.5">
      <c r="A212" s="6">
        <v>45496</v>
      </c>
      <c r="B212" s="47" t="s">
        <v>28</v>
      </c>
      <c r="C212" s="7">
        <v>15</v>
      </c>
      <c r="D212" s="8">
        <v>1.3888888888888889E-3</v>
      </c>
      <c r="E212" s="8">
        <f t="shared" si="0"/>
        <v>2.0833333333333336E-2</v>
      </c>
      <c r="F212" s="10">
        <v>0.70391203703703709</v>
      </c>
      <c r="G212" s="10">
        <v>0.72188657407407408</v>
      </c>
      <c r="H212" s="8">
        <f t="shared" si="20"/>
        <v>1.7974537037036997E-2</v>
      </c>
      <c r="I212" s="11">
        <f t="shared" si="2"/>
        <v>0.72474537037037046</v>
      </c>
      <c r="J212" s="8"/>
      <c r="K212" s="8"/>
      <c r="L212" s="8" t="str">
        <f>IF(OR(J212=0,K212=0)," ",K212-J212)</f>
        <v xml:space="preserve"> </v>
      </c>
      <c r="M212" s="18" t="s">
        <v>131</v>
      </c>
      <c r="N212" s="13">
        <f t="shared" si="4"/>
        <v>1.1590470057952378</v>
      </c>
    </row>
    <row r="213" spans="1:14" ht="14.5">
      <c r="A213" s="6">
        <v>45497</v>
      </c>
      <c r="B213" s="47" t="s">
        <v>28</v>
      </c>
      <c r="C213" s="7">
        <v>100</v>
      </c>
      <c r="D213" s="8">
        <v>1.3888888888888889E-3</v>
      </c>
      <c r="E213" s="8">
        <f t="shared" si="0"/>
        <v>0.1388888888888889</v>
      </c>
      <c r="F213" s="10">
        <v>0.33746527777777779</v>
      </c>
      <c r="G213" s="10">
        <v>0.49283564814814818</v>
      </c>
      <c r="H213" s="8">
        <f t="shared" si="20"/>
        <v>0.13340277777777779</v>
      </c>
      <c r="I213" s="11">
        <f t="shared" si="2"/>
        <v>0.49832175925925926</v>
      </c>
      <c r="J213" s="8"/>
      <c r="K213" s="8"/>
      <c r="L213" s="8">
        <v>2.1967592592592594E-2</v>
      </c>
      <c r="M213" s="18" t="s">
        <v>132</v>
      </c>
      <c r="N213" s="13">
        <f t="shared" si="4"/>
        <v>1.0411244143675169</v>
      </c>
    </row>
    <row r="214" spans="1:14" ht="14.5">
      <c r="A214" s="6">
        <v>45497</v>
      </c>
      <c r="B214" s="47" t="s">
        <v>106</v>
      </c>
      <c r="C214" s="7">
        <v>10</v>
      </c>
      <c r="D214" s="8">
        <v>2.0833333333333333E-3</v>
      </c>
      <c r="E214" s="8">
        <f t="shared" si="0"/>
        <v>2.0833333333333332E-2</v>
      </c>
      <c r="F214" s="10">
        <f t="shared" ref="F214:F215" si="51">G213</f>
        <v>0.49283564814814818</v>
      </c>
      <c r="G214" s="10">
        <v>0.55819444444444444</v>
      </c>
      <c r="H214" s="8">
        <f t="shared" si="20"/>
        <v>1.8055555555555519E-2</v>
      </c>
      <c r="I214" s="11">
        <f t="shared" si="2"/>
        <v>0.56097222222222232</v>
      </c>
      <c r="J214" s="8"/>
      <c r="K214" s="8"/>
      <c r="L214" s="8">
        <v>4.7303240740740743E-2</v>
      </c>
      <c r="M214" s="12"/>
      <c r="N214" s="13">
        <f t="shared" si="4"/>
        <v>1.1538461538461562</v>
      </c>
    </row>
    <row r="215" spans="1:14" ht="14.5">
      <c r="A215" s="6">
        <v>45497</v>
      </c>
      <c r="B215" s="47" t="s">
        <v>28</v>
      </c>
      <c r="C215" s="7">
        <v>125</v>
      </c>
      <c r="D215" s="8">
        <v>1.3888888888888889E-3</v>
      </c>
      <c r="E215" s="8">
        <f t="shared" si="0"/>
        <v>0.1736111111111111</v>
      </c>
      <c r="F215" s="10">
        <f t="shared" si="51"/>
        <v>0.55819444444444444</v>
      </c>
      <c r="G215" s="10">
        <v>0.7167013888888889</v>
      </c>
      <c r="H215" s="8">
        <f t="shared" si="20"/>
        <v>0.13726851851851854</v>
      </c>
      <c r="I215" s="11">
        <f t="shared" si="2"/>
        <v>0.75304398148148155</v>
      </c>
      <c r="J215" s="8"/>
      <c r="K215" s="8"/>
      <c r="L215" s="8">
        <v>2.1238425925925924E-2</v>
      </c>
      <c r="M215" s="18" t="s">
        <v>133</v>
      </c>
      <c r="N215" s="13">
        <f t="shared" si="4"/>
        <v>1.2647554806070824</v>
      </c>
    </row>
    <row r="216" spans="1:14" ht="14.5">
      <c r="A216" s="6">
        <v>45498</v>
      </c>
      <c r="B216" s="47" t="s">
        <v>42</v>
      </c>
      <c r="C216" s="7">
        <v>1</v>
      </c>
      <c r="D216" s="8">
        <v>6.9444444444444441E-3</v>
      </c>
      <c r="E216" s="8">
        <f t="shared" si="0"/>
        <v>6.9444444444444441E-3</v>
      </c>
      <c r="F216" s="10">
        <v>0.33280092592592592</v>
      </c>
      <c r="G216" s="10">
        <v>0.3396527777777778</v>
      </c>
      <c r="H216" s="8">
        <f t="shared" si="20"/>
        <v>6.8518518518518867E-3</v>
      </c>
      <c r="I216" s="11">
        <f t="shared" si="2"/>
        <v>0.33974537037037034</v>
      </c>
      <c r="J216" s="8"/>
      <c r="K216" s="8"/>
      <c r="L216" s="8" t="str">
        <f t="shared" ref="L216:L219" si="52">IF(OR(J216=0,K216=0)," ",K216-J216)</f>
        <v xml:space="preserve"> </v>
      </c>
      <c r="M216" s="18"/>
      <c r="N216" s="13">
        <f t="shared" si="4"/>
        <v>1.0135135135135083</v>
      </c>
    </row>
    <row r="217" spans="1:14" ht="14.5">
      <c r="A217" s="6">
        <v>45498</v>
      </c>
      <c r="B217" s="47" t="s">
        <v>43</v>
      </c>
      <c r="C217" s="7">
        <v>1</v>
      </c>
      <c r="D217" s="8">
        <v>3.4722222222222224E-2</v>
      </c>
      <c r="E217" s="8">
        <f t="shared" si="0"/>
        <v>3.4722222222222224E-2</v>
      </c>
      <c r="F217" s="10">
        <f t="shared" ref="F217:F220" si="53">G216</f>
        <v>0.3396527777777778</v>
      </c>
      <c r="G217" s="10">
        <v>0.37298611111111113</v>
      </c>
      <c r="H217" s="8">
        <f t="shared" si="20"/>
        <v>3.3333333333333326E-2</v>
      </c>
      <c r="I217" s="11">
        <f t="shared" si="2"/>
        <v>0.37437500000000001</v>
      </c>
      <c r="J217" s="8"/>
      <c r="K217" s="8"/>
      <c r="L217" s="8" t="str">
        <f t="shared" si="52"/>
        <v xml:space="preserve"> </v>
      </c>
      <c r="M217" s="12"/>
      <c r="N217" s="13">
        <f t="shared" si="4"/>
        <v>1.041666666666667</v>
      </c>
    </row>
    <row r="218" spans="1:14" ht="14.5">
      <c r="A218" s="6">
        <v>45498</v>
      </c>
      <c r="B218" s="47" t="s">
        <v>65</v>
      </c>
      <c r="C218" s="7">
        <v>1</v>
      </c>
      <c r="D218" s="8">
        <v>2.0833333333333332E-2</v>
      </c>
      <c r="E218" s="8">
        <f t="shared" si="0"/>
        <v>2.0833333333333332E-2</v>
      </c>
      <c r="F218" s="10">
        <f t="shared" si="53"/>
        <v>0.37298611111111113</v>
      </c>
      <c r="G218" s="10">
        <v>0.46035879629629628</v>
      </c>
      <c r="H218" s="8">
        <f t="shared" si="20"/>
        <v>8.737268518518515E-2</v>
      </c>
      <c r="I218" s="11">
        <f t="shared" si="2"/>
        <v>0.39381944444444444</v>
      </c>
      <c r="J218" s="8"/>
      <c r="K218" s="8"/>
      <c r="L218" s="8" t="str">
        <f t="shared" si="52"/>
        <v xml:space="preserve"> </v>
      </c>
      <c r="M218" s="12"/>
      <c r="N218" s="13">
        <f t="shared" si="4"/>
        <v>0.23844217777189039</v>
      </c>
    </row>
    <row r="219" spans="1:14" ht="14.5">
      <c r="A219" s="6">
        <v>45498</v>
      </c>
      <c r="B219" s="47" t="s">
        <v>28</v>
      </c>
      <c r="C219" s="7">
        <v>100</v>
      </c>
      <c r="D219" s="8">
        <v>1.3888888888888889E-3</v>
      </c>
      <c r="E219" s="8">
        <f t="shared" si="0"/>
        <v>0.1388888888888889</v>
      </c>
      <c r="F219" s="10">
        <f t="shared" si="53"/>
        <v>0.46035879629629628</v>
      </c>
      <c r="G219" s="10">
        <v>0.58959490740740739</v>
      </c>
      <c r="H219" s="8">
        <f t="shared" si="20"/>
        <v>0.12923611111111111</v>
      </c>
      <c r="I219" s="11">
        <f t="shared" si="2"/>
        <v>0.59924768518518512</v>
      </c>
      <c r="J219" s="8"/>
      <c r="K219" s="8"/>
      <c r="L219" s="8" t="str">
        <f t="shared" si="52"/>
        <v xml:space="preserve"> </v>
      </c>
      <c r="M219" s="18" t="s">
        <v>132</v>
      </c>
      <c r="N219" s="13">
        <f t="shared" si="4"/>
        <v>1.0746910263299303</v>
      </c>
    </row>
    <row r="220" spans="1:14" ht="14.5">
      <c r="A220" s="6">
        <v>45498</v>
      </c>
      <c r="B220" s="47" t="s">
        <v>28</v>
      </c>
      <c r="C220" s="7">
        <v>100</v>
      </c>
      <c r="D220" s="8">
        <v>1.3888888888888889E-3</v>
      </c>
      <c r="E220" s="8">
        <f t="shared" si="0"/>
        <v>0.1388888888888889</v>
      </c>
      <c r="F220" s="10">
        <f t="shared" si="53"/>
        <v>0.58959490740740739</v>
      </c>
      <c r="G220" s="10">
        <v>0.71584886574419215</v>
      </c>
      <c r="H220" s="8">
        <f t="shared" si="20"/>
        <v>8.5189143521969948E-2</v>
      </c>
      <c r="I220" s="11">
        <f t="shared" si="2"/>
        <v>0.76954861111111106</v>
      </c>
      <c r="J220" s="8"/>
      <c r="K220" s="8"/>
      <c r="L220" s="8">
        <v>4.1064814814814818E-2</v>
      </c>
      <c r="M220" s="18" t="s">
        <v>134</v>
      </c>
      <c r="N220" s="13">
        <f t="shared" si="4"/>
        <v>1.6303590240119035</v>
      </c>
    </row>
    <row r="221" spans="1:14" ht="14.5">
      <c r="A221" s="6">
        <v>45499</v>
      </c>
      <c r="B221" s="47" t="s">
        <v>16</v>
      </c>
      <c r="C221" s="7">
        <v>15</v>
      </c>
      <c r="D221" s="8">
        <v>5.5555555555555558E-3</v>
      </c>
      <c r="E221" s="8">
        <f t="shared" si="0"/>
        <v>8.3333333333333343E-2</v>
      </c>
      <c r="F221" s="10">
        <v>0.32609953703703709</v>
      </c>
      <c r="G221" s="10">
        <v>0.4289236111111111</v>
      </c>
      <c r="H221" s="8">
        <f t="shared" si="20"/>
        <v>7.3483796296296228E-2</v>
      </c>
      <c r="I221" s="11">
        <f t="shared" si="2"/>
        <v>0.43877314814814822</v>
      </c>
      <c r="J221" s="8"/>
      <c r="K221" s="8"/>
      <c r="L221" s="8">
        <v>2.9340277777777778E-2</v>
      </c>
      <c r="M221" s="12"/>
      <c r="N221" s="13">
        <f t="shared" si="4"/>
        <v>1.1340368561978276</v>
      </c>
    </row>
    <row r="222" spans="1:14" ht="14.5">
      <c r="A222" s="6">
        <v>45499</v>
      </c>
      <c r="B222" s="47" t="s">
        <v>16</v>
      </c>
      <c r="C222" s="7">
        <v>5</v>
      </c>
      <c r="D222" s="8">
        <v>5.5555555555555558E-3</v>
      </c>
      <c r="E222" s="8">
        <f t="shared" si="0"/>
        <v>2.777777777777778E-2</v>
      </c>
      <c r="F222" s="10">
        <f>G221</f>
        <v>0.4289236111111111</v>
      </c>
      <c r="G222" s="10">
        <v>0.45538988425687421</v>
      </c>
      <c r="H222" s="8">
        <f t="shared" si="20"/>
        <v>2.6466273145763108E-2</v>
      </c>
      <c r="I222" s="11">
        <f t="shared" si="2"/>
        <v>0.45670138888888889</v>
      </c>
      <c r="J222" s="8"/>
      <c r="K222" s="8"/>
      <c r="L222" s="8" t="str">
        <f t="shared" ref="L222:L224" si="54">IF(OR(J222=0,K222=0)," ",K222-J222)</f>
        <v xml:space="preserve"> </v>
      </c>
      <c r="M222" s="12"/>
      <c r="N222" s="13">
        <f t="shared" si="4"/>
        <v>1.0495538085317699</v>
      </c>
    </row>
    <row r="223" spans="1:14" ht="14.5">
      <c r="A223" s="6">
        <v>45499</v>
      </c>
      <c r="B223" s="47" t="s">
        <v>65</v>
      </c>
      <c r="C223" s="7">
        <v>1</v>
      </c>
      <c r="D223" s="8">
        <v>2.0833333333333332E-2</v>
      </c>
      <c r="E223" s="8">
        <f t="shared" si="0"/>
        <v>2.0833333333333332E-2</v>
      </c>
      <c r="F223" s="10">
        <v>0.47693287037037035</v>
      </c>
      <c r="G223" s="10">
        <v>0.57085648148148149</v>
      </c>
      <c r="H223" s="8">
        <f t="shared" si="20"/>
        <v>9.3923611111111138E-2</v>
      </c>
      <c r="I223" s="11">
        <f t="shared" si="2"/>
        <v>0.49776620370370367</v>
      </c>
      <c r="J223" s="8"/>
      <c r="K223" s="8"/>
      <c r="L223" s="8" t="str">
        <f t="shared" si="54"/>
        <v xml:space="preserve"> </v>
      </c>
      <c r="M223" s="18" t="s">
        <v>135</v>
      </c>
      <c r="N223" s="13">
        <f t="shared" si="4"/>
        <v>0.22181146025877996</v>
      </c>
    </row>
    <row r="224" spans="1:14" ht="14.5">
      <c r="A224" s="6">
        <v>45499</v>
      </c>
      <c r="B224" s="47" t="s">
        <v>65</v>
      </c>
      <c r="C224" s="7">
        <v>1</v>
      </c>
      <c r="D224" s="8">
        <v>2.0833333333333332E-2</v>
      </c>
      <c r="E224" s="8">
        <f t="shared" si="0"/>
        <v>2.0833333333333332E-2</v>
      </c>
      <c r="F224" s="10">
        <f t="shared" ref="F224:F225" si="55">G223</f>
        <v>0.57085648148148149</v>
      </c>
      <c r="G224" s="10">
        <v>0.65947916666666662</v>
      </c>
      <c r="H224" s="8">
        <f t="shared" si="20"/>
        <v>8.8622685185185124E-2</v>
      </c>
      <c r="I224" s="11">
        <f t="shared" si="2"/>
        <v>0.59168981481481486</v>
      </c>
      <c r="J224" s="8"/>
      <c r="K224" s="8"/>
      <c r="L224" s="8" t="str">
        <f t="shared" si="54"/>
        <v xml:space="preserve"> </v>
      </c>
      <c r="M224" s="18" t="s">
        <v>136</v>
      </c>
      <c r="N224" s="13">
        <f t="shared" si="4"/>
        <v>0.23507901266814693</v>
      </c>
    </row>
    <row r="225" spans="1:14" ht="14.5">
      <c r="A225" s="6">
        <v>45499</v>
      </c>
      <c r="B225" s="47" t="s">
        <v>16</v>
      </c>
      <c r="C225" s="7">
        <v>10</v>
      </c>
      <c r="D225" s="8">
        <v>5.5555555555555558E-3</v>
      </c>
      <c r="E225" s="8">
        <f t="shared" si="0"/>
        <v>5.5555555555555559E-2</v>
      </c>
      <c r="F225" s="10">
        <f t="shared" si="55"/>
        <v>0.65947916666666662</v>
      </c>
      <c r="G225" s="10">
        <v>0.7248148148148148</v>
      </c>
      <c r="H225" s="8">
        <f t="shared" si="20"/>
        <v>5.4490740740740777E-2</v>
      </c>
      <c r="I225" s="11">
        <f t="shared" si="2"/>
        <v>0.7258796296296296</v>
      </c>
      <c r="J225" s="8"/>
      <c r="K225" s="8"/>
      <c r="L225" s="8">
        <v>1.0844907407407407E-2</v>
      </c>
      <c r="M225" s="12"/>
      <c r="N225" s="13">
        <f t="shared" si="4"/>
        <v>1.0195412064570937</v>
      </c>
    </row>
    <row r="226" spans="1:14" ht="14.5">
      <c r="A226" s="6">
        <v>45502</v>
      </c>
      <c r="B226" s="47" t="s">
        <v>42</v>
      </c>
      <c r="C226" s="7">
        <v>1</v>
      </c>
      <c r="D226" s="8">
        <v>6.9444444444444441E-3</v>
      </c>
      <c r="E226" s="8">
        <f t="shared" si="0"/>
        <v>6.9444444444444441E-3</v>
      </c>
      <c r="F226" s="10">
        <v>0.33472222222222225</v>
      </c>
      <c r="G226" s="10">
        <v>0.3411805555555556</v>
      </c>
      <c r="H226" s="8">
        <f t="shared" si="20"/>
        <v>6.4583333333333437E-3</v>
      </c>
      <c r="I226" s="11">
        <f t="shared" si="2"/>
        <v>0.34166666666666667</v>
      </c>
      <c r="J226" s="8"/>
      <c r="K226" s="8"/>
      <c r="L226" s="8" t="str">
        <f t="shared" ref="L226:L228" si="56">IF(OR(J226=0,K226=0)," ",K226-J226)</f>
        <v xml:space="preserve"> </v>
      </c>
      <c r="M226" s="12"/>
      <c r="N226" s="13">
        <f t="shared" si="4"/>
        <v>1.0752688172042992</v>
      </c>
    </row>
    <row r="227" spans="1:14" ht="14.5">
      <c r="A227" s="6">
        <v>45502</v>
      </c>
      <c r="B227" s="47" t="s">
        <v>16</v>
      </c>
      <c r="C227" s="7">
        <v>16</v>
      </c>
      <c r="D227" s="8">
        <v>5.5555555555555558E-3</v>
      </c>
      <c r="E227" s="8">
        <f t="shared" si="0"/>
        <v>8.8888888888888892E-2</v>
      </c>
      <c r="F227" s="10">
        <v>0.3411805555555556</v>
      </c>
      <c r="G227" s="10">
        <v>0.42195601851851849</v>
      </c>
      <c r="H227" s="8">
        <f t="shared" si="20"/>
        <v>8.0775462962962896E-2</v>
      </c>
      <c r="I227" s="11">
        <f t="shared" si="2"/>
        <v>0.4300694444444445</v>
      </c>
      <c r="J227" s="8"/>
      <c r="K227" s="8"/>
      <c r="L227" s="8" t="str">
        <f t="shared" si="56"/>
        <v xml:space="preserve"> </v>
      </c>
      <c r="M227" s="12"/>
      <c r="N227" s="13">
        <f t="shared" si="4"/>
        <v>1.1004441897119941</v>
      </c>
    </row>
    <row r="228" spans="1:14" ht="14.5">
      <c r="A228" s="6">
        <v>45502</v>
      </c>
      <c r="B228" s="47" t="s">
        <v>97</v>
      </c>
      <c r="C228" s="7">
        <v>6</v>
      </c>
      <c r="D228" s="8">
        <v>2.0833333333333333E-3</v>
      </c>
      <c r="E228" s="8">
        <f t="shared" si="0"/>
        <v>1.2500000000000001E-2</v>
      </c>
      <c r="F228" s="10">
        <f t="shared" ref="F228:F229" si="57">G227</f>
        <v>0.42195601851851849</v>
      </c>
      <c r="G228" s="10">
        <v>0.43363425925925925</v>
      </c>
      <c r="H228" s="8">
        <f t="shared" si="20"/>
        <v>1.1678240740740753E-2</v>
      </c>
      <c r="I228" s="11">
        <f t="shared" si="2"/>
        <v>0.43445601851851851</v>
      </c>
      <c r="J228" s="8"/>
      <c r="K228" s="8"/>
      <c r="L228" s="8" t="str">
        <f t="shared" si="56"/>
        <v xml:space="preserve"> </v>
      </c>
      <c r="M228" s="12"/>
      <c r="N228" s="13">
        <f t="shared" si="4"/>
        <v>1.0703666997026748</v>
      </c>
    </row>
    <row r="229" spans="1:14" ht="14.5">
      <c r="A229" s="6">
        <v>45502</v>
      </c>
      <c r="B229" s="47" t="s">
        <v>16</v>
      </c>
      <c r="C229" s="7">
        <v>47</v>
      </c>
      <c r="D229" s="8">
        <v>5.5555555555555558E-3</v>
      </c>
      <c r="E229" s="8">
        <f t="shared" si="0"/>
        <v>0.26111111111111113</v>
      </c>
      <c r="F229" s="10">
        <f t="shared" si="57"/>
        <v>0.43363425925925925</v>
      </c>
      <c r="G229" s="10">
        <v>0.71881944444444446</v>
      </c>
      <c r="H229" s="8">
        <f t="shared" si="20"/>
        <v>0.23703703703703705</v>
      </c>
      <c r="I229" s="11">
        <f t="shared" si="2"/>
        <v>0.74289351851851848</v>
      </c>
      <c r="J229" s="8"/>
      <c r="K229" s="8"/>
      <c r="L229" s="8">
        <v>4.8148148148148148E-2</v>
      </c>
      <c r="M229" s="12"/>
      <c r="N229" s="13">
        <f t="shared" si="4"/>
        <v>1.1015625</v>
      </c>
    </row>
    <row r="230" spans="1:14" ht="14.5">
      <c r="A230" s="6">
        <v>45503</v>
      </c>
      <c r="B230" s="47" t="s">
        <v>16</v>
      </c>
      <c r="C230" s="7">
        <v>24</v>
      </c>
      <c r="D230" s="8">
        <v>5.5555555555555558E-3</v>
      </c>
      <c r="E230" s="8">
        <f t="shared" si="0"/>
        <v>0.13333333333333333</v>
      </c>
      <c r="F230" s="10">
        <v>0.35309027777777779</v>
      </c>
      <c r="G230" s="10">
        <v>0.50222222222222224</v>
      </c>
      <c r="H230" s="8">
        <f t="shared" si="20"/>
        <v>0.12099537037037036</v>
      </c>
      <c r="I230" s="11">
        <f t="shared" si="2"/>
        <v>0.5145601851851852</v>
      </c>
      <c r="J230" s="8"/>
      <c r="K230" s="8"/>
      <c r="L230" s="8">
        <v>2.8136574074074074E-2</v>
      </c>
      <c r="M230" s="12"/>
      <c r="N230" s="13">
        <f t="shared" si="4"/>
        <v>1.1019705375932658</v>
      </c>
    </row>
    <row r="231" spans="1:14" ht="14.5">
      <c r="A231" s="6">
        <v>45503</v>
      </c>
      <c r="B231" s="47" t="s">
        <v>16</v>
      </c>
      <c r="C231" s="7">
        <v>36</v>
      </c>
      <c r="D231" s="8">
        <v>5.5555555555555558E-3</v>
      </c>
      <c r="E231" s="8">
        <f t="shared" si="0"/>
        <v>0.2</v>
      </c>
      <c r="F231" s="10">
        <f>G230</f>
        <v>0.50222222222222224</v>
      </c>
      <c r="G231" s="10">
        <v>0.72942129629629626</v>
      </c>
      <c r="H231" s="8">
        <f t="shared" si="20"/>
        <v>0.18223379629629624</v>
      </c>
      <c r="I231" s="11">
        <f t="shared" si="2"/>
        <v>0.74718750000000012</v>
      </c>
      <c r="J231" s="8"/>
      <c r="K231" s="8"/>
      <c r="L231" s="8">
        <v>4.4965277777777778E-2</v>
      </c>
      <c r="M231" s="12"/>
      <c r="N231" s="13">
        <f t="shared" si="4"/>
        <v>1.0974912670689112</v>
      </c>
    </row>
    <row r="232" spans="1:14" ht="14.5">
      <c r="A232" s="6">
        <v>45503</v>
      </c>
      <c r="B232" s="47" t="s">
        <v>97</v>
      </c>
      <c r="C232" s="7">
        <v>1</v>
      </c>
      <c r="D232" s="8">
        <v>2.0833333333333333E-3</v>
      </c>
      <c r="E232" s="8">
        <f t="shared" si="0"/>
        <v>2.0833333333333333E-3</v>
      </c>
      <c r="F232" s="10">
        <v>0.71578703703703705</v>
      </c>
      <c r="G232" s="10">
        <v>0.71758101851851852</v>
      </c>
      <c r="H232" s="8">
        <f t="shared" si="20"/>
        <v>1.7939814814814659E-3</v>
      </c>
      <c r="I232" s="11">
        <f t="shared" si="2"/>
        <v>0.71787037037037038</v>
      </c>
      <c r="J232" s="8"/>
      <c r="K232" s="8"/>
      <c r="L232" s="8" t="str">
        <f t="shared" ref="L232:L241" si="58">IF(OR(J232=0,K232=0)," ",K232-J232)</f>
        <v xml:space="preserve"> </v>
      </c>
      <c r="M232" s="12"/>
      <c r="N232" s="13">
        <f t="shared" si="4"/>
        <v>1.1612903225806552</v>
      </c>
    </row>
    <row r="233" spans="1:14" ht="14.5">
      <c r="A233" s="6">
        <v>45413</v>
      </c>
      <c r="B233" s="47" t="s">
        <v>104</v>
      </c>
      <c r="C233" s="7">
        <v>1</v>
      </c>
      <c r="D233" s="8">
        <v>3.4722222222222224E-2</v>
      </c>
      <c r="E233" s="58">
        <f t="shared" si="0"/>
        <v>3.4722222222222224E-2</v>
      </c>
      <c r="F233" s="10">
        <v>0.33165509259259257</v>
      </c>
      <c r="G233" s="10">
        <v>0.36493055555555554</v>
      </c>
      <c r="H233" s="8">
        <f t="shared" ref="H233:H355" si="59">IF(L233=" ",IF(OR(F233=0,G233=0)," ",G233-F233),((G233-F233)-L233))</f>
        <v>3.3275462962962965E-2</v>
      </c>
      <c r="I233" s="11">
        <f t="shared" si="2"/>
        <v>0.36637731481481478</v>
      </c>
      <c r="J233" s="8"/>
      <c r="K233" s="8"/>
      <c r="L233" s="8" t="str">
        <f t="shared" si="58"/>
        <v xml:space="preserve"> </v>
      </c>
      <c r="M233" s="12"/>
      <c r="N233" s="13">
        <f t="shared" si="4"/>
        <v>1.0434782608695652</v>
      </c>
    </row>
    <row r="234" spans="1:14" ht="14.5">
      <c r="A234" s="6">
        <v>45413</v>
      </c>
      <c r="B234" s="47" t="s">
        <v>27</v>
      </c>
      <c r="C234" s="7">
        <v>50</v>
      </c>
      <c r="D234" s="8">
        <v>1.3888888888888889E-3</v>
      </c>
      <c r="E234" s="58">
        <f t="shared" si="0"/>
        <v>6.9444444444444448E-2</v>
      </c>
      <c r="F234" s="10">
        <v>0.36493055555555554</v>
      </c>
      <c r="G234" s="8">
        <v>0.45385416666666667</v>
      </c>
      <c r="H234" s="8">
        <f t="shared" si="59"/>
        <v>8.8923611111111134E-2</v>
      </c>
      <c r="I234" s="11">
        <f t="shared" si="2"/>
        <v>0.43437499999999996</v>
      </c>
      <c r="J234" s="8"/>
      <c r="K234" s="8"/>
      <c r="L234" s="8" t="str">
        <f t="shared" si="58"/>
        <v xml:space="preserve"> </v>
      </c>
      <c r="M234" s="12"/>
      <c r="N234" s="13">
        <f t="shared" si="4"/>
        <v>0.78094494338149145</v>
      </c>
    </row>
    <row r="235" spans="1:14" ht="14.5">
      <c r="A235" s="6">
        <v>45413</v>
      </c>
      <c r="B235" s="47" t="s">
        <v>27</v>
      </c>
      <c r="C235" s="7">
        <v>110</v>
      </c>
      <c r="D235" s="8">
        <v>1.3888888888888889E-3</v>
      </c>
      <c r="E235" s="58">
        <f t="shared" si="0"/>
        <v>0.15277777777777779</v>
      </c>
      <c r="F235" s="8">
        <v>0.45385416666666667</v>
      </c>
      <c r="G235" s="10">
        <v>0.5982291666666667</v>
      </c>
      <c r="H235" s="8">
        <f t="shared" si="59"/>
        <v>0.14437500000000003</v>
      </c>
      <c r="I235" s="11">
        <f t="shared" si="2"/>
        <v>0.60663194444444446</v>
      </c>
      <c r="J235" s="8"/>
      <c r="K235" s="8"/>
      <c r="L235" s="8" t="str">
        <f t="shared" si="58"/>
        <v xml:space="preserve"> </v>
      </c>
      <c r="M235" s="12"/>
      <c r="N235" s="13">
        <f t="shared" si="4"/>
        <v>1.0582010582010581</v>
      </c>
    </row>
    <row r="236" spans="1:14" ht="14.5">
      <c r="A236" s="6">
        <v>45413</v>
      </c>
      <c r="B236" s="47" t="s">
        <v>27</v>
      </c>
      <c r="C236" s="7">
        <v>35</v>
      </c>
      <c r="D236" s="8">
        <v>1.3888888888888889E-3</v>
      </c>
      <c r="E236" s="58">
        <f t="shared" si="0"/>
        <v>4.8611111111111112E-2</v>
      </c>
      <c r="F236" s="10">
        <v>0.5982291666666667</v>
      </c>
      <c r="G236" s="10">
        <v>0.64326388888888886</v>
      </c>
      <c r="H236" s="8">
        <f t="shared" si="59"/>
        <v>4.5034722222222157E-2</v>
      </c>
      <c r="I236" s="11">
        <f t="shared" si="2"/>
        <v>0.64684027777777786</v>
      </c>
      <c r="J236" s="8"/>
      <c r="K236" s="8"/>
      <c r="L236" s="8" t="str">
        <f t="shared" si="58"/>
        <v xml:space="preserve"> </v>
      </c>
      <c r="M236" s="12"/>
      <c r="N236" s="13">
        <f t="shared" si="4"/>
        <v>1.0794140323824226</v>
      </c>
    </row>
    <row r="237" spans="1:14" ht="14.5">
      <c r="A237" s="6">
        <v>45413</v>
      </c>
      <c r="B237" s="47" t="s">
        <v>50</v>
      </c>
      <c r="C237" s="7">
        <v>1</v>
      </c>
      <c r="D237" s="8">
        <v>1.0416666666666666E-2</v>
      </c>
      <c r="E237" s="58">
        <f t="shared" si="0"/>
        <v>1.0416666666666666E-2</v>
      </c>
      <c r="F237" s="10">
        <v>0.66343750000000001</v>
      </c>
      <c r="G237" s="10">
        <v>0.67343750000000002</v>
      </c>
      <c r="H237" s="8">
        <f t="shared" si="59"/>
        <v>1.0000000000000009E-2</v>
      </c>
      <c r="I237" s="11">
        <f t="shared" si="2"/>
        <v>0.67385416666666664</v>
      </c>
      <c r="J237" s="8"/>
      <c r="K237" s="8"/>
      <c r="L237" s="8" t="str">
        <f t="shared" si="58"/>
        <v xml:space="preserve"> </v>
      </c>
      <c r="M237" s="12"/>
      <c r="N237" s="13">
        <f t="shared" si="4"/>
        <v>1.0416666666666656</v>
      </c>
    </row>
    <row r="238" spans="1:14" ht="14.5">
      <c r="A238" s="6">
        <v>45413</v>
      </c>
      <c r="B238" s="47" t="s">
        <v>51</v>
      </c>
      <c r="C238" s="7">
        <v>1</v>
      </c>
      <c r="D238" s="8">
        <v>1.0416666666666666E-2</v>
      </c>
      <c r="E238" s="58">
        <f t="shared" si="0"/>
        <v>1.0416666666666666E-2</v>
      </c>
      <c r="F238" s="10">
        <v>0.67343750000000002</v>
      </c>
      <c r="G238" s="10">
        <v>0.68327546296296293</v>
      </c>
      <c r="H238" s="8">
        <f t="shared" si="59"/>
        <v>9.8379629629629095E-3</v>
      </c>
      <c r="I238" s="11">
        <f t="shared" si="2"/>
        <v>0.68385416666666665</v>
      </c>
      <c r="J238" s="8"/>
      <c r="K238" s="8"/>
      <c r="L238" s="8" t="str">
        <f t="shared" si="58"/>
        <v xml:space="preserve"> </v>
      </c>
      <c r="M238" s="12"/>
      <c r="N238" s="13">
        <f t="shared" si="4"/>
        <v>1.0588235294117705</v>
      </c>
    </row>
    <row r="239" spans="1:14" ht="14.5">
      <c r="A239" s="6">
        <v>45413</v>
      </c>
      <c r="B239" s="47" t="s">
        <v>52</v>
      </c>
      <c r="C239" s="7">
        <v>1</v>
      </c>
      <c r="D239" s="8">
        <v>1.0416666666666666E-2</v>
      </c>
      <c r="E239" s="58">
        <f t="shared" si="0"/>
        <v>1.0416666666666666E-2</v>
      </c>
      <c r="F239" s="10">
        <v>0.68327546296296293</v>
      </c>
      <c r="G239" s="10">
        <v>0.69300925925925927</v>
      </c>
      <c r="H239" s="8">
        <f t="shared" si="59"/>
        <v>9.7337962962963376E-3</v>
      </c>
      <c r="I239" s="11">
        <f t="shared" si="2"/>
        <v>0.69369212962962956</v>
      </c>
      <c r="J239" s="8"/>
      <c r="K239" s="8"/>
      <c r="L239" s="8" t="str">
        <f t="shared" si="58"/>
        <v xml:space="preserve"> </v>
      </c>
      <c r="M239" s="12"/>
      <c r="N239" s="13">
        <f t="shared" si="4"/>
        <v>1.0701545778834674</v>
      </c>
    </row>
    <row r="240" spans="1:14" ht="14.5">
      <c r="A240" s="6">
        <v>45413</v>
      </c>
      <c r="B240" s="47" t="s">
        <v>27</v>
      </c>
      <c r="C240" s="7">
        <v>15</v>
      </c>
      <c r="D240" s="8">
        <v>1.3888888888888889E-3</v>
      </c>
      <c r="E240" s="58">
        <f t="shared" si="0"/>
        <v>2.0833333333333336E-2</v>
      </c>
      <c r="F240" s="10">
        <v>0.69300925925925927</v>
      </c>
      <c r="G240" s="10">
        <v>0.71178240740740739</v>
      </c>
      <c r="H240" s="8">
        <f t="shared" si="59"/>
        <v>1.8773148148148122E-2</v>
      </c>
      <c r="I240" s="11">
        <f t="shared" si="2"/>
        <v>0.71384259259259264</v>
      </c>
      <c r="J240" s="8"/>
      <c r="K240" s="8"/>
      <c r="L240" s="8" t="str">
        <f t="shared" si="58"/>
        <v xml:space="preserve"> </v>
      </c>
      <c r="M240" s="12"/>
      <c r="N240" s="13">
        <f t="shared" si="4"/>
        <v>1.1097410604192373</v>
      </c>
    </row>
    <row r="241" spans="1:14" ht="14.5">
      <c r="A241" s="6">
        <v>45414</v>
      </c>
      <c r="B241" s="47" t="s">
        <v>42</v>
      </c>
      <c r="C241" s="7">
        <v>1</v>
      </c>
      <c r="D241" s="8">
        <v>6.9444444444444441E-3</v>
      </c>
      <c r="E241" s="58">
        <f t="shared" si="0"/>
        <v>6.9444444444444441E-3</v>
      </c>
      <c r="F241" s="10">
        <v>0.36355324074074069</v>
      </c>
      <c r="G241" s="10">
        <v>0.37019675925925927</v>
      </c>
      <c r="H241" s="8">
        <f t="shared" si="59"/>
        <v>6.6435185185185763E-3</v>
      </c>
      <c r="I241" s="11">
        <f t="shared" si="2"/>
        <v>0.37049768518518511</v>
      </c>
      <c r="J241" s="8"/>
      <c r="K241" s="8"/>
      <c r="L241" s="8" t="str">
        <f t="shared" si="58"/>
        <v xml:space="preserve"> </v>
      </c>
      <c r="M241" s="12"/>
      <c r="N241" s="13">
        <f t="shared" si="4"/>
        <v>1.0452961672473775</v>
      </c>
    </row>
    <row r="242" spans="1:14" ht="14.5">
      <c r="A242" s="6">
        <v>45414</v>
      </c>
      <c r="B242" s="47" t="s">
        <v>27</v>
      </c>
      <c r="C242" s="7">
        <v>55</v>
      </c>
      <c r="D242" s="8">
        <v>1.3888888888888889E-3</v>
      </c>
      <c r="E242" s="58">
        <f t="shared" si="0"/>
        <v>7.6388888888888895E-2</v>
      </c>
      <c r="F242" s="10">
        <v>0.37019675925925927</v>
      </c>
      <c r="G242" s="10">
        <v>0.44828703703703698</v>
      </c>
      <c r="H242" s="8">
        <f t="shared" si="59"/>
        <v>7.1793981481481473E-2</v>
      </c>
      <c r="I242" s="11">
        <f t="shared" si="2"/>
        <v>0.45288194444444441</v>
      </c>
      <c r="J242" s="8"/>
      <c r="K242" s="8"/>
      <c r="L242" s="8">
        <v>6.2962962962962443E-3</v>
      </c>
      <c r="M242" s="12"/>
      <c r="N242" s="13">
        <f t="shared" si="4"/>
        <v>1.0640012896985331</v>
      </c>
    </row>
    <row r="243" spans="1:14" ht="14.5">
      <c r="A243" s="6">
        <v>45414</v>
      </c>
      <c r="B243" s="47" t="s">
        <v>44</v>
      </c>
      <c r="C243" s="7">
        <v>2</v>
      </c>
      <c r="D243" s="8">
        <v>3.472222222222222E-3</v>
      </c>
      <c r="E243" s="58">
        <f t="shared" si="0"/>
        <v>6.9444444444444441E-3</v>
      </c>
      <c r="F243" s="10">
        <v>0.39178240740740744</v>
      </c>
      <c r="G243" s="10">
        <v>0.39807870370370368</v>
      </c>
      <c r="H243" s="8">
        <f t="shared" si="59"/>
        <v>6.2962962962962443E-3</v>
      </c>
      <c r="I243" s="11">
        <f t="shared" si="2"/>
        <v>0.39872685185185186</v>
      </c>
      <c r="J243" s="8"/>
      <c r="K243" s="8"/>
      <c r="L243" s="8" t="str">
        <f t="shared" ref="L243:L253" si="60">IF(OR(J243=0,K243=0)," ",K243-J243)</f>
        <v xml:space="preserve"> </v>
      </c>
      <c r="M243" s="12"/>
      <c r="N243" s="13">
        <f t="shared" si="4"/>
        <v>1.1029411764705972</v>
      </c>
    </row>
    <row r="244" spans="1:14" ht="14.5">
      <c r="A244" s="6">
        <v>45414</v>
      </c>
      <c r="B244" s="47" t="s">
        <v>27</v>
      </c>
      <c r="C244" s="7">
        <v>95</v>
      </c>
      <c r="D244" s="8">
        <v>1.3888888888888889E-3</v>
      </c>
      <c r="E244" s="58">
        <f t="shared" si="0"/>
        <v>0.13194444444444445</v>
      </c>
      <c r="F244" s="10">
        <v>0.47547453703703701</v>
      </c>
      <c r="G244" s="10">
        <v>0.60269675925925925</v>
      </c>
      <c r="H244" s="8">
        <f t="shared" si="59"/>
        <v>0.12722222222222224</v>
      </c>
      <c r="I244" s="11">
        <f t="shared" si="2"/>
        <v>0.60741898148148143</v>
      </c>
      <c r="J244" s="8"/>
      <c r="K244" s="8"/>
      <c r="L244" s="8" t="str">
        <f t="shared" si="60"/>
        <v xml:space="preserve"> </v>
      </c>
      <c r="M244" s="12"/>
      <c r="N244" s="13">
        <f t="shared" si="4"/>
        <v>1.0371179039301308</v>
      </c>
    </row>
    <row r="245" spans="1:14" ht="14.5">
      <c r="A245" s="6">
        <v>45414</v>
      </c>
      <c r="B245" s="47" t="s">
        <v>50</v>
      </c>
      <c r="C245" s="7">
        <v>3</v>
      </c>
      <c r="D245" s="8">
        <v>1.0416666666666666E-2</v>
      </c>
      <c r="E245" s="58">
        <f t="shared" si="0"/>
        <v>3.125E-2</v>
      </c>
      <c r="F245" s="10">
        <v>0.68968750000000001</v>
      </c>
      <c r="G245" s="10">
        <v>0.72026620370370376</v>
      </c>
      <c r="H245" s="8">
        <f t="shared" si="59"/>
        <v>3.0578703703703747E-2</v>
      </c>
      <c r="I245" s="11">
        <f t="shared" si="2"/>
        <v>0.72093750000000001</v>
      </c>
      <c r="J245" s="8"/>
      <c r="K245" s="8"/>
      <c r="L245" s="8" t="str">
        <f t="shared" si="60"/>
        <v xml:space="preserve"> </v>
      </c>
      <c r="M245" s="12"/>
      <c r="N245" s="13">
        <f t="shared" si="4"/>
        <v>1.0219530658591962</v>
      </c>
    </row>
    <row r="246" spans="1:14" ht="14.5">
      <c r="A246" s="6">
        <v>45414</v>
      </c>
      <c r="B246" s="47" t="s">
        <v>27</v>
      </c>
      <c r="C246" s="7">
        <v>25</v>
      </c>
      <c r="D246" s="8">
        <v>1.3888888888888889E-3</v>
      </c>
      <c r="E246" s="58">
        <f t="shared" si="0"/>
        <v>3.4722222222222224E-2</v>
      </c>
      <c r="F246" s="10">
        <v>0.72026620370370376</v>
      </c>
      <c r="G246" s="10">
        <v>0.75012731481481476</v>
      </c>
      <c r="H246" s="8">
        <f t="shared" si="59"/>
        <v>2.9861111111111005E-2</v>
      </c>
      <c r="I246" s="11">
        <f t="shared" si="2"/>
        <v>0.75498842592592597</v>
      </c>
      <c r="J246" s="8"/>
      <c r="K246" s="8"/>
      <c r="L246" s="8" t="str">
        <f t="shared" si="60"/>
        <v xml:space="preserve"> </v>
      </c>
      <c r="M246" s="12"/>
      <c r="N246" s="13">
        <f t="shared" si="4"/>
        <v>1.1627906976744229</v>
      </c>
    </row>
    <row r="247" spans="1:14" ht="14.5">
      <c r="A247" s="6">
        <v>45415</v>
      </c>
      <c r="B247" s="47" t="s">
        <v>44</v>
      </c>
      <c r="C247" s="7">
        <v>2</v>
      </c>
      <c r="D247" s="8">
        <v>3.472222222222222E-3</v>
      </c>
      <c r="E247" s="58">
        <f t="shared" si="0"/>
        <v>6.9444444444444441E-3</v>
      </c>
      <c r="F247" s="10">
        <v>0.31818287037037041</v>
      </c>
      <c r="G247" s="10">
        <v>0.32480324074074074</v>
      </c>
      <c r="H247" s="8">
        <f t="shared" si="59"/>
        <v>6.620370370370332E-3</v>
      </c>
      <c r="I247" s="11">
        <f t="shared" si="2"/>
        <v>0.32512731481481483</v>
      </c>
      <c r="J247" s="8"/>
      <c r="K247" s="8"/>
      <c r="L247" s="8" t="str">
        <f t="shared" si="60"/>
        <v xml:space="preserve"> </v>
      </c>
      <c r="M247" s="12"/>
      <c r="N247" s="13">
        <f t="shared" si="4"/>
        <v>1.048951048951055</v>
      </c>
    </row>
    <row r="248" spans="1:14" ht="14.5">
      <c r="A248" s="6">
        <v>45415</v>
      </c>
      <c r="B248" s="47" t="s">
        <v>27</v>
      </c>
      <c r="C248" s="7">
        <v>10</v>
      </c>
      <c r="D248" s="8">
        <v>1.3888888888888889E-3</v>
      </c>
      <c r="E248" s="58">
        <f t="shared" si="0"/>
        <v>1.388888888888889E-2</v>
      </c>
      <c r="F248" s="8">
        <v>0.32516203703703705</v>
      </c>
      <c r="G248" s="59">
        <v>0.33905092592592595</v>
      </c>
      <c r="H248" s="8">
        <f t="shared" si="59"/>
        <v>1.3888888888888895E-2</v>
      </c>
      <c r="I248" s="11">
        <f t="shared" si="2"/>
        <v>0.33905092592592595</v>
      </c>
      <c r="J248" s="8"/>
      <c r="K248" s="8"/>
      <c r="L248" s="8" t="str">
        <f t="shared" si="60"/>
        <v xml:space="preserve"> </v>
      </c>
      <c r="M248" s="12"/>
      <c r="N248" s="13">
        <f t="shared" si="4"/>
        <v>0.99999999999999967</v>
      </c>
    </row>
    <row r="249" spans="1:14" ht="14.5">
      <c r="A249" s="6">
        <v>45415</v>
      </c>
      <c r="B249" s="47" t="s">
        <v>37</v>
      </c>
      <c r="C249" s="7">
        <v>35</v>
      </c>
      <c r="D249" s="8">
        <v>1.3888888888888889E-3</v>
      </c>
      <c r="E249" s="58">
        <f t="shared" si="0"/>
        <v>4.8611111111111112E-2</v>
      </c>
      <c r="F249" s="10">
        <v>0.52568287037037043</v>
      </c>
      <c r="G249" s="10">
        <v>0.57359953703703703</v>
      </c>
      <c r="H249" s="8">
        <f t="shared" si="59"/>
        <v>4.7916666666666607E-2</v>
      </c>
      <c r="I249" s="11">
        <f t="shared" si="2"/>
        <v>0.57429398148148159</v>
      </c>
      <c r="J249" s="8"/>
      <c r="K249" s="8"/>
      <c r="L249" s="8" t="str">
        <f t="shared" si="60"/>
        <v xml:space="preserve"> </v>
      </c>
      <c r="M249" s="12"/>
      <c r="N249" s="13">
        <f t="shared" si="4"/>
        <v>1.0144927536231896</v>
      </c>
    </row>
    <row r="250" spans="1:14" ht="14.5">
      <c r="A250" s="6">
        <v>45415</v>
      </c>
      <c r="B250" s="47" t="s">
        <v>50</v>
      </c>
      <c r="C250" s="7">
        <v>1</v>
      </c>
      <c r="D250" s="8">
        <v>1.0416666666666666E-2</v>
      </c>
      <c r="E250" s="58">
        <f t="shared" si="0"/>
        <v>1.0416666666666666E-2</v>
      </c>
      <c r="F250" s="10">
        <v>0.6782407407407407</v>
      </c>
      <c r="G250" s="10">
        <v>0.68841435185185185</v>
      </c>
      <c r="H250" s="8">
        <f t="shared" si="59"/>
        <v>1.0173611111111147E-2</v>
      </c>
      <c r="I250" s="11">
        <f t="shared" si="2"/>
        <v>0.68865740740740733</v>
      </c>
      <c r="J250" s="8"/>
      <c r="K250" s="8"/>
      <c r="L250" s="8" t="str">
        <f t="shared" si="60"/>
        <v xml:space="preserve"> </v>
      </c>
      <c r="M250" s="12"/>
      <c r="N250" s="13">
        <f t="shared" si="4"/>
        <v>1.0238907849829315</v>
      </c>
    </row>
    <row r="251" spans="1:14" ht="14.5">
      <c r="A251" s="6">
        <v>45415</v>
      </c>
      <c r="B251" s="47" t="s">
        <v>51</v>
      </c>
      <c r="C251" s="7">
        <v>1</v>
      </c>
      <c r="D251" s="8">
        <v>1.0416666666666666E-2</v>
      </c>
      <c r="E251" s="58">
        <f t="shared" si="0"/>
        <v>1.0416666666666666E-2</v>
      </c>
      <c r="F251" s="10">
        <v>0.68841435185185185</v>
      </c>
      <c r="G251" s="10">
        <v>0.69847222222222227</v>
      </c>
      <c r="H251" s="8">
        <f t="shared" si="59"/>
        <v>1.0057870370370425E-2</v>
      </c>
      <c r="I251" s="11">
        <f t="shared" si="2"/>
        <v>0.69883101851851848</v>
      </c>
      <c r="J251" s="8"/>
      <c r="K251" s="8"/>
      <c r="L251" s="8" t="str">
        <f t="shared" si="60"/>
        <v xml:space="preserve"> </v>
      </c>
      <c r="M251" s="12"/>
      <c r="N251" s="13">
        <f t="shared" si="4"/>
        <v>1.0356731875719161</v>
      </c>
    </row>
    <row r="252" spans="1:14" ht="14.5">
      <c r="A252" s="6">
        <v>45415</v>
      </c>
      <c r="B252" s="47" t="s">
        <v>52</v>
      </c>
      <c r="C252" s="7">
        <v>1</v>
      </c>
      <c r="D252" s="8">
        <v>1.0416666666666666E-2</v>
      </c>
      <c r="E252" s="58">
        <f t="shared" si="0"/>
        <v>1.0416666666666666E-2</v>
      </c>
      <c r="F252" s="10">
        <v>0.69847222222222227</v>
      </c>
      <c r="G252" s="50">
        <v>0.70798611111111109</v>
      </c>
      <c r="H252" s="8">
        <f t="shared" si="59"/>
        <v>9.5138888888888218E-3</v>
      </c>
      <c r="I252" s="11">
        <f t="shared" si="2"/>
        <v>0.7088888888888889</v>
      </c>
      <c r="J252" s="8"/>
      <c r="K252" s="8"/>
      <c r="L252" s="8" t="str">
        <f t="shared" si="60"/>
        <v xml:space="preserve"> </v>
      </c>
      <c r="M252" s="12"/>
      <c r="N252" s="13">
        <f t="shared" si="4"/>
        <v>1.0948905109489129</v>
      </c>
    </row>
    <row r="253" spans="1:14" ht="14.5">
      <c r="A253" s="6">
        <v>45419</v>
      </c>
      <c r="B253" s="47" t="s">
        <v>42</v>
      </c>
      <c r="C253" s="7">
        <v>1</v>
      </c>
      <c r="D253" s="8">
        <v>6.9444444444444441E-3</v>
      </c>
      <c r="E253" s="58">
        <f t="shared" si="0"/>
        <v>6.9444444444444441E-3</v>
      </c>
      <c r="F253" s="10">
        <v>0.33423611111111107</v>
      </c>
      <c r="G253" s="10">
        <v>0.34061342592592592</v>
      </c>
      <c r="H253" s="8">
        <f t="shared" si="59"/>
        <v>6.3773148148148495E-3</v>
      </c>
      <c r="I253" s="11">
        <f t="shared" si="2"/>
        <v>0.34118055555555549</v>
      </c>
      <c r="J253" s="8"/>
      <c r="K253" s="8"/>
      <c r="L253" s="8" t="str">
        <f t="shared" si="60"/>
        <v xml:space="preserve"> </v>
      </c>
      <c r="M253" s="12"/>
      <c r="N253" s="13">
        <f t="shared" si="4"/>
        <v>1.0889292196007199</v>
      </c>
    </row>
    <row r="254" spans="1:14" ht="14.5">
      <c r="A254" s="6">
        <v>45419</v>
      </c>
      <c r="B254" s="47" t="s">
        <v>28</v>
      </c>
      <c r="C254" s="7">
        <v>95</v>
      </c>
      <c r="D254" s="8">
        <v>1.3888888888888889E-3</v>
      </c>
      <c r="E254" s="58">
        <f t="shared" si="0"/>
        <v>0.13194444444444445</v>
      </c>
      <c r="F254" s="10">
        <v>0.34061342592592592</v>
      </c>
      <c r="G254" s="10">
        <v>0.48939814814814819</v>
      </c>
      <c r="H254" s="8">
        <f t="shared" si="59"/>
        <v>0.12553240740740745</v>
      </c>
      <c r="I254" s="11">
        <f t="shared" si="2"/>
        <v>0.49581018518518516</v>
      </c>
      <c r="J254" s="8"/>
      <c r="K254" s="8"/>
      <c r="L254" s="8">
        <v>2.3252314814814816E-2</v>
      </c>
      <c r="M254" s="12"/>
      <c r="N254" s="13">
        <f t="shared" si="4"/>
        <v>1.0510787387055132</v>
      </c>
    </row>
    <row r="255" spans="1:14" ht="14.5">
      <c r="A255" s="6">
        <v>45419</v>
      </c>
      <c r="B255" s="47" t="s">
        <v>43</v>
      </c>
      <c r="C255" s="7">
        <v>1</v>
      </c>
      <c r="D255" s="8">
        <v>3.4722222222222224E-2</v>
      </c>
      <c r="E255" s="58">
        <f t="shared" si="0"/>
        <v>3.4722222222222224E-2</v>
      </c>
      <c r="F255" s="10">
        <v>0.48939814814814819</v>
      </c>
      <c r="G255" s="10">
        <v>0.52344907407407404</v>
      </c>
      <c r="H255" s="8">
        <f t="shared" si="59"/>
        <v>3.4050925925925846E-2</v>
      </c>
      <c r="I255" s="11">
        <f t="shared" si="2"/>
        <v>0.5241203703703704</v>
      </c>
      <c r="J255" s="8"/>
      <c r="K255" s="8"/>
      <c r="L255" s="8" t="str">
        <f t="shared" ref="L255:L257" si="61">IF(OR(J255=0,K255=0)," ",K255-J255)</f>
        <v xml:space="preserve"> </v>
      </c>
      <c r="M255" s="12"/>
      <c r="N255" s="13">
        <f t="shared" si="4"/>
        <v>1.0197144799456177</v>
      </c>
    </row>
    <row r="256" spans="1:14" ht="14.5">
      <c r="A256" s="6">
        <v>45419</v>
      </c>
      <c r="B256" s="47" t="s">
        <v>63</v>
      </c>
      <c r="C256" s="7">
        <v>1</v>
      </c>
      <c r="D256" s="8">
        <v>3.4722222222222224E-2</v>
      </c>
      <c r="E256" s="58">
        <f t="shared" si="0"/>
        <v>3.4722222222222224E-2</v>
      </c>
      <c r="F256" s="10">
        <v>0.52344907407407404</v>
      </c>
      <c r="G256" s="10">
        <v>0.55731481481481482</v>
      </c>
      <c r="H256" s="8">
        <f t="shared" si="59"/>
        <v>3.386574074074078E-2</v>
      </c>
      <c r="I256" s="11">
        <f t="shared" si="2"/>
        <v>0.55817129629629625</v>
      </c>
      <c r="J256" s="8"/>
      <c r="K256" s="8"/>
      <c r="L256" s="8" t="str">
        <f t="shared" si="61"/>
        <v xml:space="preserve"> </v>
      </c>
      <c r="M256" s="12"/>
      <c r="N256" s="13">
        <f t="shared" si="4"/>
        <v>1.0252904989747085</v>
      </c>
    </row>
    <row r="257" spans="1:14" ht="14.5">
      <c r="A257" s="6">
        <v>45419</v>
      </c>
      <c r="B257" s="47" t="s">
        <v>85</v>
      </c>
      <c r="C257" s="7">
        <v>1</v>
      </c>
      <c r="D257" s="8">
        <v>8.3333333333333329E-2</v>
      </c>
      <c r="E257" s="58">
        <f t="shared" si="0"/>
        <v>8.3333333333333329E-2</v>
      </c>
      <c r="F257" s="10">
        <v>0.55731481481481482</v>
      </c>
      <c r="G257" s="10">
        <v>0.6374305555555555</v>
      </c>
      <c r="H257" s="8">
        <f t="shared" si="59"/>
        <v>8.0115740740740682E-2</v>
      </c>
      <c r="I257" s="11">
        <f t="shared" si="2"/>
        <v>0.64064814814814819</v>
      </c>
      <c r="J257" s="8"/>
      <c r="K257" s="8"/>
      <c r="L257" s="8" t="str">
        <f t="shared" si="61"/>
        <v xml:space="preserve"> </v>
      </c>
      <c r="M257" s="12"/>
      <c r="N257" s="13">
        <f t="shared" si="4"/>
        <v>1.0401618029471258</v>
      </c>
    </row>
    <row r="258" spans="1:14" ht="14.5">
      <c r="A258" s="6">
        <v>45419</v>
      </c>
      <c r="B258" s="47" t="s">
        <v>84</v>
      </c>
      <c r="C258" s="7">
        <v>1</v>
      </c>
      <c r="D258" s="8">
        <v>7.6388888888888895E-2</v>
      </c>
      <c r="E258" s="58">
        <f t="shared" si="0"/>
        <v>7.6388888888888895E-2</v>
      </c>
      <c r="F258" s="10">
        <v>0.6374305555555555</v>
      </c>
      <c r="G258" s="10">
        <v>0.71108796296296295</v>
      </c>
      <c r="H258" s="8">
        <f t="shared" si="59"/>
        <v>5.208333333333337E-2</v>
      </c>
      <c r="I258" s="11">
        <f t="shared" si="2"/>
        <v>0.73539351851851842</v>
      </c>
      <c r="J258" s="8"/>
      <c r="K258" s="8"/>
      <c r="L258" s="8">
        <v>2.1574074074074075E-2</v>
      </c>
      <c r="M258" s="12"/>
      <c r="N258" s="13">
        <f t="shared" si="4"/>
        <v>1.4666666666666657</v>
      </c>
    </row>
    <row r="259" spans="1:14" ht="14.5">
      <c r="A259" s="6">
        <v>45419</v>
      </c>
      <c r="B259" s="47" t="s">
        <v>27</v>
      </c>
      <c r="C259" s="7">
        <v>1</v>
      </c>
      <c r="D259" s="8">
        <v>1.3888888888888889E-3</v>
      </c>
      <c r="E259" s="58">
        <f t="shared" si="0"/>
        <v>1.3888888888888889E-3</v>
      </c>
      <c r="F259" s="10">
        <v>0.71108796296296295</v>
      </c>
      <c r="G259" s="10">
        <v>0.71236111111111111</v>
      </c>
      <c r="H259" s="8">
        <f t="shared" si="59"/>
        <v>1.2731481481481621E-3</v>
      </c>
      <c r="I259" s="11">
        <f t="shared" si="2"/>
        <v>0.71247685185185183</v>
      </c>
      <c r="J259" s="8"/>
      <c r="K259" s="8"/>
      <c r="L259" s="8" t="str">
        <f t="shared" ref="L259:L264" si="62">IF(OR(J259=0,K259=0)," ",K259-J259)</f>
        <v xml:space="preserve"> </v>
      </c>
      <c r="M259" s="12"/>
      <c r="N259" s="13">
        <f t="shared" si="4"/>
        <v>1.0909090909090791</v>
      </c>
    </row>
    <row r="260" spans="1:14" ht="14.5">
      <c r="A260" s="6">
        <v>45420</v>
      </c>
      <c r="B260" s="47" t="s">
        <v>50</v>
      </c>
      <c r="C260" s="7">
        <v>1</v>
      </c>
      <c r="D260" s="8">
        <v>1.0416666666666666E-2</v>
      </c>
      <c r="E260" s="58">
        <f t="shared" si="0"/>
        <v>1.0416666666666666E-2</v>
      </c>
      <c r="F260" s="10">
        <v>0.33265046296296297</v>
      </c>
      <c r="G260" s="10">
        <v>0.34263888888888888</v>
      </c>
      <c r="H260" s="8">
        <f t="shared" si="59"/>
        <v>9.9884259259259145E-3</v>
      </c>
      <c r="I260" s="11">
        <f t="shared" si="2"/>
        <v>0.34306712962962965</v>
      </c>
      <c r="J260" s="8"/>
      <c r="K260" s="8"/>
      <c r="L260" s="8" t="str">
        <f t="shared" si="62"/>
        <v xml:space="preserve"> </v>
      </c>
      <c r="M260" s="12"/>
      <c r="N260" s="13">
        <f t="shared" si="4"/>
        <v>1.0428736964078806</v>
      </c>
    </row>
    <row r="261" spans="1:14" ht="14.5">
      <c r="A261" s="6">
        <v>45420</v>
      </c>
      <c r="B261" s="47" t="s">
        <v>51</v>
      </c>
      <c r="C261" s="7">
        <v>1</v>
      </c>
      <c r="D261" s="8">
        <v>1.0416666666666666E-2</v>
      </c>
      <c r="E261" s="58">
        <f t="shared" si="0"/>
        <v>1.0416666666666666E-2</v>
      </c>
      <c r="F261" s="10">
        <v>0.34263888888888888</v>
      </c>
      <c r="G261" s="10">
        <v>0.3522453703703704</v>
      </c>
      <c r="H261" s="8">
        <f t="shared" si="59"/>
        <v>9.6064814814815214E-3</v>
      </c>
      <c r="I261" s="11">
        <f t="shared" si="2"/>
        <v>0.35305555555555557</v>
      </c>
      <c r="J261" s="8"/>
      <c r="K261" s="8"/>
      <c r="L261" s="8" t="str">
        <f t="shared" si="62"/>
        <v xml:space="preserve"> </v>
      </c>
      <c r="M261" s="12"/>
      <c r="N261" s="13">
        <f t="shared" si="4"/>
        <v>1.0843373493975859</v>
      </c>
    </row>
    <row r="262" spans="1:14" ht="14.5">
      <c r="A262" s="6">
        <v>45420</v>
      </c>
      <c r="B262" s="47" t="s">
        <v>52</v>
      </c>
      <c r="C262" s="7">
        <v>1</v>
      </c>
      <c r="D262" s="8">
        <v>1.0416666666666666E-2</v>
      </c>
      <c r="E262" s="58">
        <f t="shared" si="0"/>
        <v>1.0416666666666666E-2</v>
      </c>
      <c r="F262" s="10">
        <v>0.3522453703703704</v>
      </c>
      <c r="G262" s="10">
        <v>0.3619560185185185</v>
      </c>
      <c r="H262" s="8">
        <f t="shared" si="59"/>
        <v>9.7106481481480933E-3</v>
      </c>
      <c r="I262" s="11">
        <f t="shared" si="2"/>
        <v>0.36266203703703709</v>
      </c>
      <c r="J262" s="8"/>
      <c r="K262" s="8"/>
      <c r="L262" s="8" t="str">
        <f t="shared" si="62"/>
        <v xml:space="preserve"> </v>
      </c>
      <c r="M262" s="12"/>
      <c r="N262" s="13">
        <f t="shared" si="4"/>
        <v>1.0727056019070382</v>
      </c>
    </row>
    <row r="263" spans="1:14" ht="14.5">
      <c r="A263" s="6">
        <v>45420</v>
      </c>
      <c r="B263" s="47" t="s">
        <v>104</v>
      </c>
      <c r="C263" s="7">
        <v>1</v>
      </c>
      <c r="D263" s="8">
        <v>3.4722222222222224E-2</v>
      </c>
      <c r="E263" s="58">
        <f t="shared" si="0"/>
        <v>3.4722222222222224E-2</v>
      </c>
      <c r="F263" s="10">
        <v>0.3619560185185185</v>
      </c>
      <c r="G263" s="10">
        <v>0.39557870370370374</v>
      </c>
      <c r="H263" s="8">
        <f t="shared" si="59"/>
        <v>3.3622685185185242E-2</v>
      </c>
      <c r="I263" s="11">
        <f t="shared" si="2"/>
        <v>0.39667824074074071</v>
      </c>
      <c r="J263" s="8"/>
      <c r="K263" s="8"/>
      <c r="L263" s="8" t="str">
        <f t="shared" si="62"/>
        <v xml:space="preserve"> </v>
      </c>
      <c r="M263" s="12"/>
      <c r="N263" s="13">
        <f t="shared" si="4"/>
        <v>1.0327022375215129</v>
      </c>
    </row>
    <row r="264" spans="1:14" ht="14.5">
      <c r="A264" s="6">
        <v>45420</v>
      </c>
      <c r="B264" s="47" t="s">
        <v>57</v>
      </c>
      <c r="C264" s="7">
        <v>15</v>
      </c>
      <c r="D264" s="8">
        <v>2.7777777777777779E-3</v>
      </c>
      <c r="E264" s="58">
        <f t="shared" si="0"/>
        <v>4.1666666666666671E-2</v>
      </c>
      <c r="F264" s="10">
        <v>0.39557870370370374</v>
      </c>
      <c r="G264" s="8">
        <v>0.43582175925925926</v>
      </c>
      <c r="H264" s="8">
        <f t="shared" si="59"/>
        <v>4.0243055555555518E-2</v>
      </c>
      <c r="I264" s="11">
        <f t="shared" si="2"/>
        <v>0.43724537037037042</v>
      </c>
      <c r="J264" s="8"/>
      <c r="K264" s="8"/>
      <c r="L264" s="8" t="str">
        <f t="shared" si="62"/>
        <v xml:space="preserve"> </v>
      </c>
      <c r="M264" s="12"/>
      <c r="N264" s="13">
        <f t="shared" si="4"/>
        <v>1.0353753235547898</v>
      </c>
    </row>
    <row r="265" spans="1:14" ht="14.5">
      <c r="A265" s="6">
        <v>45420</v>
      </c>
      <c r="B265" s="47" t="s">
        <v>27</v>
      </c>
      <c r="C265" s="7">
        <v>110</v>
      </c>
      <c r="D265" s="8">
        <v>1.3888888888888889E-3</v>
      </c>
      <c r="E265" s="58">
        <f t="shared" si="0"/>
        <v>0.15277777777777779</v>
      </c>
      <c r="F265" s="8">
        <v>0.43582175925925926</v>
      </c>
      <c r="G265" s="10">
        <v>0.63159722222222225</v>
      </c>
      <c r="H265" s="8">
        <f t="shared" si="59"/>
        <v>0.14187500000000003</v>
      </c>
      <c r="I265" s="11">
        <f t="shared" si="2"/>
        <v>0.64249999999999996</v>
      </c>
      <c r="J265" s="8"/>
      <c r="K265" s="8"/>
      <c r="L265" s="8">
        <v>5.3900462962962963E-2</v>
      </c>
      <c r="M265" s="50"/>
      <c r="N265" s="13">
        <f t="shared" si="4"/>
        <v>1.076847772883015</v>
      </c>
    </row>
    <row r="266" spans="1:14" ht="14.5">
      <c r="A266" s="6">
        <v>45420</v>
      </c>
      <c r="B266" s="47" t="s">
        <v>50</v>
      </c>
      <c r="C266" s="7">
        <v>3</v>
      </c>
      <c r="D266" s="8">
        <v>1.0416666666666666E-2</v>
      </c>
      <c r="E266" s="58">
        <f t="shared" si="0"/>
        <v>3.125E-2</v>
      </c>
      <c r="F266" s="10">
        <v>0.63159722222222225</v>
      </c>
      <c r="G266" s="10">
        <v>0.65798611111111116</v>
      </c>
      <c r="H266" s="8">
        <f t="shared" si="59"/>
        <v>2.6388888888888906E-2</v>
      </c>
      <c r="I266" s="11">
        <f t="shared" si="2"/>
        <v>0.66284722222222225</v>
      </c>
      <c r="J266" s="8"/>
      <c r="K266" s="8"/>
      <c r="L266" s="8" t="str">
        <f t="shared" ref="L266:L286" si="63">IF(OR(J266=0,K266=0)," ",K266-J266)</f>
        <v xml:space="preserve"> </v>
      </c>
      <c r="M266" s="12"/>
      <c r="N266" s="13">
        <f t="shared" si="4"/>
        <v>1.1842105263157887</v>
      </c>
    </row>
    <row r="267" spans="1:14" ht="14.5">
      <c r="A267" s="6">
        <v>45421</v>
      </c>
      <c r="B267" s="47" t="s">
        <v>42</v>
      </c>
      <c r="C267" s="7">
        <v>1</v>
      </c>
      <c r="D267" s="8">
        <v>6.9444444444444441E-3</v>
      </c>
      <c r="E267" s="58">
        <f t="shared" si="0"/>
        <v>6.9444444444444441E-3</v>
      </c>
      <c r="F267" s="10">
        <v>0.35410467592737405</v>
      </c>
      <c r="G267" s="10">
        <v>0.36093750000000002</v>
      </c>
      <c r="H267" s="8">
        <f t="shared" si="59"/>
        <v>6.8328240726259759E-3</v>
      </c>
      <c r="I267" s="11">
        <f t="shared" si="2"/>
        <v>0.36104912037181847</v>
      </c>
      <c r="J267" s="8"/>
      <c r="K267" s="8"/>
      <c r="L267" s="8" t="str">
        <f t="shared" si="63"/>
        <v xml:space="preserve"> </v>
      </c>
      <c r="M267" s="18" t="s">
        <v>137</v>
      </c>
      <c r="N267" s="13">
        <f t="shared" si="4"/>
        <v>1.0163359060078319</v>
      </c>
    </row>
    <row r="268" spans="1:14" ht="14.5">
      <c r="A268" s="6">
        <v>45421</v>
      </c>
      <c r="B268" s="47" t="s">
        <v>43</v>
      </c>
      <c r="C268" s="7">
        <v>1</v>
      </c>
      <c r="D268" s="8">
        <v>3.4722222222222224E-2</v>
      </c>
      <c r="E268" s="58">
        <f t="shared" si="0"/>
        <v>3.4722222222222224E-2</v>
      </c>
      <c r="F268" s="10">
        <v>0.36093750000000002</v>
      </c>
      <c r="G268" s="59">
        <v>0.39519675925925923</v>
      </c>
      <c r="H268" s="8">
        <f t="shared" si="59"/>
        <v>3.4259259259259212E-2</v>
      </c>
      <c r="I268" s="11">
        <f t="shared" si="2"/>
        <v>0.39565972222222223</v>
      </c>
      <c r="J268" s="8"/>
      <c r="K268" s="8"/>
      <c r="L268" s="8" t="str">
        <f t="shared" si="63"/>
        <v xml:space="preserve"> </v>
      </c>
      <c r="M268" s="18" t="s">
        <v>138</v>
      </c>
      <c r="N268" s="13">
        <f t="shared" si="4"/>
        <v>1.0135135135135149</v>
      </c>
    </row>
    <row r="269" spans="1:14" ht="14.5">
      <c r="A269" s="6">
        <v>45421</v>
      </c>
      <c r="B269" s="47" t="s">
        <v>50</v>
      </c>
      <c r="C269" s="7">
        <v>1</v>
      </c>
      <c r="D269" s="8">
        <v>1.0416666666666666E-2</v>
      </c>
      <c r="E269" s="58">
        <f t="shared" si="0"/>
        <v>1.0416666666666666E-2</v>
      </c>
      <c r="F269" s="10">
        <v>0.61586805555555557</v>
      </c>
      <c r="G269" s="56">
        <v>0.62575231481481486</v>
      </c>
      <c r="H269" s="8">
        <f t="shared" si="59"/>
        <v>9.8842592592592871E-3</v>
      </c>
      <c r="I269" s="11">
        <f t="shared" si="2"/>
        <v>0.6262847222222222</v>
      </c>
      <c r="J269" s="8"/>
      <c r="K269" s="8"/>
      <c r="L269" s="8" t="str">
        <f t="shared" si="63"/>
        <v xml:space="preserve"> </v>
      </c>
      <c r="M269" s="12"/>
      <c r="N269" s="13">
        <f t="shared" si="4"/>
        <v>1.0538641686182639</v>
      </c>
    </row>
    <row r="270" spans="1:14" ht="14.5">
      <c r="A270" s="6">
        <v>45421</v>
      </c>
      <c r="B270" s="47" t="s">
        <v>50</v>
      </c>
      <c r="C270" s="7">
        <v>1</v>
      </c>
      <c r="D270" s="8">
        <v>1.0416666666666666E-2</v>
      </c>
      <c r="E270" s="58">
        <f t="shared" si="0"/>
        <v>1.0416666666666666E-2</v>
      </c>
      <c r="F270" s="56">
        <v>0.62575231481481486</v>
      </c>
      <c r="G270" s="56">
        <v>0.63582175925925921</v>
      </c>
      <c r="H270" s="8">
        <f t="shared" si="59"/>
        <v>1.0069444444444353E-2</v>
      </c>
      <c r="I270" s="11">
        <f t="shared" si="2"/>
        <v>0.63616898148148149</v>
      </c>
      <c r="J270" s="8"/>
      <c r="K270" s="8"/>
      <c r="L270" s="8" t="str">
        <f t="shared" si="63"/>
        <v xml:space="preserve"> </v>
      </c>
      <c r="M270" s="12"/>
      <c r="N270" s="13">
        <f t="shared" si="4"/>
        <v>1.034482758620699</v>
      </c>
    </row>
    <row r="271" spans="1:14" ht="14.5">
      <c r="A271" s="6">
        <v>45421</v>
      </c>
      <c r="B271" s="47" t="s">
        <v>50</v>
      </c>
      <c r="C271" s="7">
        <v>1</v>
      </c>
      <c r="D271" s="8">
        <v>1.0416666666666666E-2</v>
      </c>
      <c r="E271" s="58">
        <f t="shared" si="0"/>
        <v>1.0416666666666666E-2</v>
      </c>
      <c r="F271" s="56">
        <v>0.63582175925925921</v>
      </c>
      <c r="G271" s="56">
        <v>0.64582175925925922</v>
      </c>
      <c r="H271" s="8">
        <f t="shared" si="59"/>
        <v>1.0000000000000009E-2</v>
      </c>
      <c r="I271" s="11">
        <f t="shared" si="2"/>
        <v>0.64623842592592584</v>
      </c>
      <c r="J271" s="8"/>
      <c r="K271" s="8"/>
      <c r="L271" s="8" t="str">
        <f t="shared" si="63"/>
        <v xml:space="preserve"> </v>
      </c>
      <c r="M271" s="12"/>
      <c r="N271" s="13">
        <f t="shared" si="4"/>
        <v>1.0416666666666656</v>
      </c>
    </row>
    <row r="272" spans="1:14" ht="14.5">
      <c r="A272" s="6">
        <v>45422</v>
      </c>
      <c r="B272" s="47" t="s">
        <v>27</v>
      </c>
      <c r="C272" s="7">
        <v>6</v>
      </c>
      <c r="D272" s="8">
        <v>1.3888888888888889E-3</v>
      </c>
      <c r="E272" s="58">
        <f t="shared" si="0"/>
        <v>8.3333333333333332E-3</v>
      </c>
      <c r="F272" s="10">
        <v>0.3321412037037037</v>
      </c>
      <c r="G272" s="10">
        <v>0.33952546296296299</v>
      </c>
      <c r="H272" s="8">
        <f t="shared" si="59"/>
        <v>7.3842592592592848E-3</v>
      </c>
      <c r="I272" s="11">
        <f t="shared" si="2"/>
        <v>0.34047453703703706</v>
      </c>
      <c r="J272" s="8"/>
      <c r="K272" s="8"/>
      <c r="L272" s="8" t="str">
        <f t="shared" si="63"/>
        <v xml:space="preserve"> </v>
      </c>
      <c r="M272" s="12"/>
      <c r="N272" s="13">
        <f t="shared" si="4"/>
        <v>1.1285266457680212</v>
      </c>
    </row>
    <row r="273" spans="1:14" ht="14.5">
      <c r="A273" s="6">
        <v>45422</v>
      </c>
      <c r="B273" s="47" t="s">
        <v>50</v>
      </c>
      <c r="C273" s="7">
        <v>1</v>
      </c>
      <c r="D273" s="8">
        <v>1.0416666666666666E-2</v>
      </c>
      <c r="E273" s="58">
        <f t="shared" si="0"/>
        <v>1.0416666666666666E-2</v>
      </c>
      <c r="F273" s="10">
        <v>0.62824074074074077</v>
      </c>
      <c r="G273" s="10">
        <v>0.63822916666666663</v>
      </c>
      <c r="H273" s="8">
        <f t="shared" si="59"/>
        <v>9.988425925925859E-3</v>
      </c>
      <c r="I273" s="11">
        <f t="shared" si="2"/>
        <v>0.6386574074074074</v>
      </c>
      <c r="J273" s="8"/>
      <c r="K273" s="8"/>
      <c r="L273" s="8" t="str">
        <f t="shared" si="63"/>
        <v xml:space="preserve"> </v>
      </c>
      <c r="M273" s="12"/>
      <c r="N273" s="13">
        <f t="shared" si="4"/>
        <v>1.0428736964078864</v>
      </c>
    </row>
    <row r="274" spans="1:14" ht="14.5">
      <c r="A274" s="6">
        <v>45422</v>
      </c>
      <c r="B274" s="47" t="s">
        <v>51</v>
      </c>
      <c r="C274" s="7">
        <v>1</v>
      </c>
      <c r="D274" s="8">
        <v>1.0416666666666666E-2</v>
      </c>
      <c r="E274" s="58">
        <f t="shared" si="0"/>
        <v>1.0416666666666666E-2</v>
      </c>
      <c r="F274" s="10">
        <f t="shared" ref="F274:F275" si="64">G273</f>
        <v>0.63822916666666663</v>
      </c>
      <c r="G274" s="10">
        <v>0.64841435185185181</v>
      </c>
      <c r="H274" s="8">
        <f t="shared" si="59"/>
        <v>1.0185185185185186E-2</v>
      </c>
      <c r="I274" s="11">
        <f t="shared" si="2"/>
        <v>0.64864583333333325</v>
      </c>
      <c r="J274" s="8"/>
      <c r="K274" s="8"/>
      <c r="L274" s="8" t="str">
        <f t="shared" si="63"/>
        <v xml:space="preserve"> </v>
      </c>
      <c r="M274" s="12"/>
      <c r="N274" s="13">
        <f t="shared" si="4"/>
        <v>1.0227272727272725</v>
      </c>
    </row>
    <row r="275" spans="1:14" ht="14.5">
      <c r="A275" s="6">
        <v>45422</v>
      </c>
      <c r="B275" s="47" t="s">
        <v>52</v>
      </c>
      <c r="C275" s="7">
        <v>1</v>
      </c>
      <c r="D275" s="8">
        <v>1.0416666666666666E-2</v>
      </c>
      <c r="E275" s="58">
        <f t="shared" si="0"/>
        <v>1.0416666666666666E-2</v>
      </c>
      <c r="F275" s="10">
        <f t="shared" si="64"/>
        <v>0.64841435185185181</v>
      </c>
      <c r="G275" s="10">
        <v>0.65831018518518514</v>
      </c>
      <c r="H275" s="8">
        <f t="shared" si="59"/>
        <v>9.8958333333333259E-3</v>
      </c>
      <c r="I275" s="11">
        <f t="shared" si="2"/>
        <v>0.65883101851851844</v>
      </c>
      <c r="J275" s="8"/>
      <c r="K275" s="8"/>
      <c r="L275" s="8" t="str">
        <f t="shared" si="63"/>
        <v xml:space="preserve"> </v>
      </c>
      <c r="M275" s="12"/>
      <c r="N275" s="13">
        <f t="shared" si="4"/>
        <v>1.0526315789473693</v>
      </c>
    </row>
    <row r="276" spans="1:14" ht="14.5">
      <c r="A276" s="6">
        <v>45425</v>
      </c>
      <c r="B276" s="47" t="s">
        <v>43</v>
      </c>
      <c r="C276" s="7">
        <v>1</v>
      </c>
      <c r="D276" s="8">
        <v>3.4722222222222224E-2</v>
      </c>
      <c r="E276" s="58">
        <f t="shared" si="0"/>
        <v>3.4722222222222224E-2</v>
      </c>
      <c r="F276" s="10">
        <v>0.32903935185185185</v>
      </c>
      <c r="G276" s="10">
        <v>0.36346064814814816</v>
      </c>
      <c r="H276" s="8">
        <f t="shared" si="59"/>
        <v>3.4421296296296311E-2</v>
      </c>
      <c r="I276" s="11">
        <f t="shared" si="2"/>
        <v>0.36376157407407406</v>
      </c>
      <c r="J276" s="8"/>
      <c r="K276" s="8"/>
      <c r="L276" s="8" t="str">
        <f t="shared" si="63"/>
        <v xml:space="preserve"> </v>
      </c>
      <c r="M276" s="12"/>
      <c r="N276" s="13">
        <f t="shared" si="4"/>
        <v>1.0087424344317413</v>
      </c>
    </row>
    <row r="277" spans="1:14" ht="14.5">
      <c r="A277" s="6">
        <v>45425</v>
      </c>
      <c r="B277" s="47" t="s">
        <v>44</v>
      </c>
      <c r="C277" s="7">
        <v>3</v>
      </c>
      <c r="D277" s="8">
        <v>3.472222222222222E-3</v>
      </c>
      <c r="E277" s="58">
        <f t="shared" si="0"/>
        <v>1.0416666666666666E-2</v>
      </c>
      <c r="F277" s="10">
        <v>0.39124999999999999</v>
      </c>
      <c r="G277" s="10">
        <v>0.40114583333333331</v>
      </c>
      <c r="H277" s="8">
        <f t="shared" si="59"/>
        <v>9.8958333333333259E-3</v>
      </c>
      <c r="I277" s="11">
        <f t="shared" si="2"/>
        <v>0.40166666666666667</v>
      </c>
      <c r="J277" s="8"/>
      <c r="K277" s="8"/>
      <c r="L277" s="8" t="str">
        <f t="shared" si="63"/>
        <v xml:space="preserve"> </v>
      </c>
      <c r="M277" s="12"/>
      <c r="N277" s="13">
        <f t="shared" si="4"/>
        <v>1.0526315789473693</v>
      </c>
    </row>
    <row r="278" spans="1:14" ht="14.5">
      <c r="A278" s="6">
        <v>45425</v>
      </c>
      <c r="B278" s="47" t="s">
        <v>27</v>
      </c>
      <c r="C278" s="7">
        <v>17</v>
      </c>
      <c r="D278" s="8">
        <v>1.3888888888888889E-3</v>
      </c>
      <c r="E278" s="58">
        <f t="shared" si="0"/>
        <v>2.361111111111111E-2</v>
      </c>
      <c r="F278" s="10">
        <v>0.40114583333333331</v>
      </c>
      <c r="G278" s="10">
        <v>0.42425925925925928</v>
      </c>
      <c r="H278" s="8">
        <f t="shared" si="59"/>
        <v>2.3113425925925968E-2</v>
      </c>
      <c r="I278" s="11">
        <f t="shared" si="2"/>
        <v>0.42475694444444445</v>
      </c>
      <c r="J278" s="8"/>
      <c r="K278" s="8"/>
      <c r="L278" s="8" t="str">
        <f t="shared" si="63"/>
        <v xml:space="preserve"> </v>
      </c>
      <c r="M278" s="12"/>
      <c r="N278" s="13">
        <f t="shared" si="4"/>
        <v>1.0215322984476696</v>
      </c>
    </row>
    <row r="279" spans="1:14" ht="14.5">
      <c r="A279" s="6">
        <v>45425</v>
      </c>
      <c r="B279" s="47" t="s">
        <v>38</v>
      </c>
      <c r="C279" s="7">
        <v>8</v>
      </c>
      <c r="D279" s="8">
        <v>2.7777777777777779E-3</v>
      </c>
      <c r="E279" s="58">
        <f t="shared" si="0"/>
        <v>2.2222222222222223E-2</v>
      </c>
      <c r="F279" s="10">
        <v>0.58562499999999995</v>
      </c>
      <c r="G279" s="10">
        <v>0.60795138888888889</v>
      </c>
      <c r="H279" s="8">
        <f t="shared" si="59"/>
        <v>2.2326388888888937E-2</v>
      </c>
      <c r="I279" s="11">
        <f t="shared" si="2"/>
        <v>0.60784722222222221</v>
      </c>
      <c r="J279" s="8"/>
      <c r="K279" s="8"/>
      <c r="L279" s="8" t="str">
        <f t="shared" si="63"/>
        <v xml:space="preserve"> </v>
      </c>
      <c r="M279" s="12"/>
      <c r="N279" s="13">
        <f t="shared" si="4"/>
        <v>0.99533437013996673</v>
      </c>
    </row>
    <row r="280" spans="1:14" ht="14.5">
      <c r="A280" s="6">
        <v>45425</v>
      </c>
      <c r="B280" s="47" t="s">
        <v>50</v>
      </c>
      <c r="C280" s="7">
        <v>1</v>
      </c>
      <c r="D280" s="8">
        <v>1.0416666666666666E-2</v>
      </c>
      <c r="E280" s="58">
        <f t="shared" si="0"/>
        <v>1.0416666666666666E-2</v>
      </c>
      <c r="F280" s="10">
        <v>0.60795138888888889</v>
      </c>
      <c r="G280" s="10">
        <v>0.61763888888888885</v>
      </c>
      <c r="H280" s="8">
        <f t="shared" si="59"/>
        <v>9.68749999999996E-3</v>
      </c>
      <c r="I280" s="11">
        <f t="shared" si="2"/>
        <v>0.61836805555555552</v>
      </c>
      <c r="J280" s="8"/>
      <c r="K280" s="8"/>
      <c r="L280" s="8" t="str">
        <f t="shared" si="63"/>
        <v xml:space="preserve"> </v>
      </c>
      <c r="M280" s="12"/>
      <c r="N280" s="13">
        <f t="shared" si="4"/>
        <v>1.0752688172043054</v>
      </c>
    </row>
    <row r="281" spans="1:14" ht="14.5">
      <c r="A281" s="6">
        <v>45425</v>
      </c>
      <c r="B281" s="47" t="s">
        <v>51</v>
      </c>
      <c r="C281" s="7">
        <v>1</v>
      </c>
      <c r="D281" s="8">
        <v>1.0416666666666666E-2</v>
      </c>
      <c r="E281" s="58">
        <f t="shared" si="0"/>
        <v>1.0416666666666666E-2</v>
      </c>
      <c r="F281" s="10">
        <v>0.61763888888888885</v>
      </c>
      <c r="G281" s="10">
        <v>0.62711805555555555</v>
      </c>
      <c r="H281" s="8">
        <f t="shared" si="59"/>
        <v>9.4791666666667052E-3</v>
      </c>
      <c r="I281" s="11">
        <f t="shared" si="2"/>
        <v>0.62805555555555548</v>
      </c>
      <c r="J281" s="8"/>
      <c r="K281" s="8"/>
      <c r="L281" s="8" t="str">
        <f t="shared" si="63"/>
        <v xml:space="preserve"> </v>
      </c>
      <c r="M281" s="12"/>
      <c r="N281" s="13">
        <f t="shared" si="4"/>
        <v>1.0989010989010943</v>
      </c>
    </row>
    <row r="282" spans="1:14" ht="14.5">
      <c r="A282" s="6">
        <v>45425</v>
      </c>
      <c r="B282" s="47" t="s">
        <v>52</v>
      </c>
      <c r="C282" s="7">
        <v>1</v>
      </c>
      <c r="D282" s="8">
        <v>1.0416666666666666E-2</v>
      </c>
      <c r="E282" s="58">
        <f t="shared" si="0"/>
        <v>1.0416666666666666E-2</v>
      </c>
      <c r="F282" s="10">
        <v>0.62711805555555555</v>
      </c>
      <c r="G282" s="10">
        <v>0.6372106481481481</v>
      </c>
      <c r="H282" s="8">
        <f t="shared" si="59"/>
        <v>1.0092592592592542E-2</v>
      </c>
      <c r="I282" s="11">
        <f t="shared" si="2"/>
        <v>0.63753472222222218</v>
      </c>
      <c r="J282" s="8"/>
      <c r="K282" s="8"/>
      <c r="L282" s="8" t="str">
        <f t="shared" si="63"/>
        <v xml:space="preserve"> </v>
      </c>
      <c r="M282" s="12"/>
      <c r="N282" s="13">
        <f t="shared" si="4"/>
        <v>1.0321100917431243</v>
      </c>
    </row>
    <row r="283" spans="1:14" ht="14.5">
      <c r="A283" s="6">
        <v>45426</v>
      </c>
      <c r="B283" s="47" t="s">
        <v>57</v>
      </c>
      <c r="C283" s="7">
        <v>14</v>
      </c>
      <c r="D283" s="8">
        <v>2.7777777777777779E-3</v>
      </c>
      <c r="E283" s="58">
        <f t="shared" si="0"/>
        <v>3.888888888888889E-2</v>
      </c>
      <c r="F283" s="10">
        <v>0.37797453703703704</v>
      </c>
      <c r="G283" s="10">
        <v>0.41568287037037038</v>
      </c>
      <c r="H283" s="8">
        <f t="shared" si="59"/>
        <v>3.7708333333333344E-2</v>
      </c>
      <c r="I283" s="11">
        <f t="shared" si="2"/>
        <v>0.41686342592592596</v>
      </c>
      <c r="J283" s="8"/>
      <c r="K283" s="8"/>
      <c r="L283" s="8" t="str">
        <f t="shared" si="63"/>
        <v xml:space="preserve"> </v>
      </c>
      <c r="M283" s="12"/>
      <c r="N283" s="13">
        <f t="shared" si="4"/>
        <v>1.031307550644567</v>
      </c>
    </row>
    <row r="284" spans="1:14" ht="14.5">
      <c r="A284" s="6">
        <v>45426</v>
      </c>
      <c r="B284" s="47" t="s">
        <v>44</v>
      </c>
      <c r="C284" s="7">
        <v>8</v>
      </c>
      <c r="D284" s="8">
        <v>3.472222222222222E-3</v>
      </c>
      <c r="E284" s="58">
        <f t="shared" si="0"/>
        <v>2.7777777777777776E-2</v>
      </c>
      <c r="F284" s="10">
        <v>0.41568287037037038</v>
      </c>
      <c r="G284" s="10">
        <v>0.44091435185185185</v>
      </c>
      <c r="H284" s="8">
        <f t="shared" si="59"/>
        <v>2.5231481481481466E-2</v>
      </c>
      <c r="I284" s="11">
        <f t="shared" si="2"/>
        <v>0.44346064814814817</v>
      </c>
      <c r="J284" s="8"/>
      <c r="K284" s="8"/>
      <c r="L284" s="8" t="str">
        <f t="shared" si="63"/>
        <v xml:space="preserve"> </v>
      </c>
      <c r="M284" s="12"/>
      <c r="N284" s="13">
        <f t="shared" si="4"/>
        <v>1.1009174311926613</v>
      </c>
    </row>
    <row r="285" spans="1:14" ht="14.5">
      <c r="A285" s="6">
        <v>45426</v>
      </c>
      <c r="B285" s="47" t="s">
        <v>42</v>
      </c>
      <c r="C285" s="7">
        <v>1</v>
      </c>
      <c r="D285" s="8">
        <v>6.9444444444444441E-3</v>
      </c>
      <c r="E285" s="58">
        <f t="shared" si="0"/>
        <v>6.9444444444444441E-3</v>
      </c>
      <c r="F285" s="10">
        <v>0.5753935185185185</v>
      </c>
      <c r="G285" s="10">
        <v>0.5821412037037037</v>
      </c>
      <c r="H285" s="8">
        <f t="shared" si="59"/>
        <v>6.7476851851852038E-3</v>
      </c>
      <c r="I285" s="11">
        <f t="shared" si="2"/>
        <v>0.58233796296296292</v>
      </c>
      <c r="J285" s="8"/>
      <c r="K285" s="8"/>
      <c r="L285" s="8" t="str">
        <f t="shared" si="63"/>
        <v xml:space="preserve"> </v>
      </c>
      <c r="M285" s="12"/>
      <c r="N285" s="13">
        <f t="shared" si="4"/>
        <v>1.0291595197255545</v>
      </c>
    </row>
    <row r="286" spans="1:14" ht="14.5">
      <c r="A286" s="6">
        <v>45426</v>
      </c>
      <c r="B286" s="47" t="s">
        <v>63</v>
      </c>
      <c r="C286" s="7">
        <v>1</v>
      </c>
      <c r="D286" s="8">
        <v>3.4722222222222224E-2</v>
      </c>
      <c r="E286" s="58">
        <f t="shared" si="0"/>
        <v>3.4722222222222224E-2</v>
      </c>
      <c r="F286" s="10">
        <v>0.5821412037037037</v>
      </c>
      <c r="G286" s="10">
        <v>0.61673611111111115</v>
      </c>
      <c r="H286" s="8">
        <f t="shared" si="59"/>
        <v>3.4594907407407449E-2</v>
      </c>
      <c r="I286" s="11">
        <f t="shared" si="2"/>
        <v>0.61686342592592591</v>
      </c>
      <c r="J286" s="8"/>
      <c r="K286" s="8"/>
      <c r="L286" s="8" t="str">
        <f t="shared" si="63"/>
        <v xml:space="preserve"> </v>
      </c>
      <c r="M286" s="12"/>
      <c r="N286" s="13">
        <f t="shared" si="4"/>
        <v>1.0036801605888246</v>
      </c>
    </row>
    <row r="287" spans="1:14" ht="14.5">
      <c r="A287" s="6">
        <v>45426</v>
      </c>
      <c r="B287" s="47" t="s">
        <v>90</v>
      </c>
      <c r="C287" s="7">
        <v>1</v>
      </c>
      <c r="D287" s="8">
        <v>7.2916666666666671E-2</v>
      </c>
      <c r="E287" s="58">
        <f t="shared" si="0"/>
        <v>7.2916666666666671E-2</v>
      </c>
      <c r="F287" s="10">
        <v>0.61673611111111115</v>
      </c>
      <c r="G287" s="10">
        <v>0.68190972222222224</v>
      </c>
      <c r="H287" s="8">
        <f t="shared" si="59"/>
        <v>4.7268518518518488E-2</v>
      </c>
      <c r="I287" s="11">
        <f t="shared" si="2"/>
        <v>0.70755787037037032</v>
      </c>
      <c r="J287" s="8"/>
      <c r="K287" s="8"/>
      <c r="L287" s="8">
        <v>1.7905092592592594E-2</v>
      </c>
      <c r="M287" s="12"/>
      <c r="N287" s="13">
        <f t="shared" si="4"/>
        <v>1.5426052889324202</v>
      </c>
    </row>
    <row r="288" spans="1:14" ht="14.5">
      <c r="A288" s="6">
        <v>45426</v>
      </c>
      <c r="B288" s="47" t="s">
        <v>50</v>
      </c>
      <c r="C288" s="7">
        <v>3</v>
      </c>
      <c r="D288" s="8">
        <v>1.0416666666666666E-2</v>
      </c>
      <c r="E288" s="58">
        <f t="shared" si="0"/>
        <v>3.125E-2</v>
      </c>
      <c r="F288" s="10">
        <v>0.68190972222222224</v>
      </c>
      <c r="G288" s="59">
        <v>0.71315972222222224</v>
      </c>
      <c r="H288" s="8">
        <f t="shared" si="59"/>
        <v>3.125E-2</v>
      </c>
      <c r="I288" s="11">
        <f t="shared" si="2"/>
        <v>0.71315972222222224</v>
      </c>
      <c r="J288" s="8"/>
      <c r="K288" s="8"/>
      <c r="L288" s="8" t="str">
        <f t="shared" ref="L288:L289" si="65">IF(OR(J288=0,K288=0)," ",K288-J288)</f>
        <v xml:space="preserve"> </v>
      </c>
      <c r="M288" s="18" t="s">
        <v>139</v>
      </c>
      <c r="N288" s="13">
        <f t="shared" si="4"/>
        <v>1</v>
      </c>
    </row>
    <row r="289" spans="1:14" ht="14.5">
      <c r="A289" s="6">
        <v>45427</v>
      </c>
      <c r="B289" s="47" t="s">
        <v>85</v>
      </c>
      <c r="C289" s="7">
        <v>1</v>
      </c>
      <c r="D289" s="8">
        <v>8.3333333333333329E-2</v>
      </c>
      <c r="E289" s="58">
        <f t="shared" si="0"/>
        <v>8.3333333333333329E-2</v>
      </c>
      <c r="F289" s="10">
        <v>0.36100694444444448</v>
      </c>
      <c r="G289" s="10">
        <v>0.44193287037037032</v>
      </c>
      <c r="H289" s="8">
        <f t="shared" si="59"/>
        <v>8.0925925925925846E-2</v>
      </c>
      <c r="I289" s="11">
        <f t="shared" si="2"/>
        <v>0.44434027777777779</v>
      </c>
      <c r="J289" s="8"/>
      <c r="K289" s="8"/>
      <c r="L289" s="8" t="str">
        <f t="shared" si="65"/>
        <v xml:space="preserve"> </v>
      </c>
      <c r="M289" s="12"/>
      <c r="N289" s="13">
        <f t="shared" si="4"/>
        <v>1.0297482837528613</v>
      </c>
    </row>
    <row r="290" spans="1:14" ht="14.5">
      <c r="A290" s="6">
        <v>45427</v>
      </c>
      <c r="B290" s="47" t="s">
        <v>140</v>
      </c>
      <c r="C290" s="7">
        <v>1</v>
      </c>
      <c r="D290" s="8">
        <v>3.4722222222222224E-2</v>
      </c>
      <c r="E290" s="58">
        <f t="shared" si="0"/>
        <v>3.4722222222222224E-2</v>
      </c>
      <c r="F290" s="10">
        <v>0.44193287037037032</v>
      </c>
      <c r="G290" s="10">
        <v>0.55623842592592587</v>
      </c>
      <c r="H290" s="8">
        <f t="shared" si="59"/>
        <v>3.2638888888888884E-2</v>
      </c>
      <c r="I290" s="11">
        <f t="shared" si="2"/>
        <v>0.5583217592592592</v>
      </c>
      <c r="J290" s="8"/>
      <c r="K290" s="8"/>
      <c r="L290" s="8">
        <v>8.1666666666666665E-2</v>
      </c>
      <c r="M290" s="12"/>
      <c r="N290" s="13">
        <f t="shared" si="4"/>
        <v>1.0638297872340428</v>
      </c>
    </row>
    <row r="291" spans="1:14" ht="14.5">
      <c r="A291" s="6">
        <v>45427</v>
      </c>
      <c r="B291" s="47" t="s">
        <v>104</v>
      </c>
      <c r="C291" s="7">
        <v>1</v>
      </c>
      <c r="D291" s="8">
        <v>3.4722222222222224E-2</v>
      </c>
      <c r="E291" s="58">
        <f t="shared" si="0"/>
        <v>3.4722222222222224E-2</v>
      </c>
      <c r="F291" s="10">
        <v>0.55623842592592587</v>
      </c>
      <c r="G291" s="10">
        <v>0.58895833333333336</v>
      </c>
      <c r="H291" s="8">
        <f t="shared" si="59"/>
        <v>3.2719907407407489E-2</v>
      </c>
      <c r="I291" s="11">
        <f t="shared" si="2"/>
        <v>0.59096064814814808</v>
      </c>
      <c r="J291" s="8"/>
      <c r="K291" s="8"/>
      <c r="L291" s="8" t="str">
        <f>IF(OR(J291=0,K291=0)," ",K291-J291)</f>
        <v xml:space="preserve"> </v>
      </c>
      <c r="M291" s="12"/>
      <c r="N291" s="13">
        <f t="shared" si="4"/>
        <v>1.061195613724794</v>
      </c>
    </row>
    <row r="292" spans="1:14" ht="14.5">
      <c r="A292" s="6">
        <v>45427</v>
      </c>
      <c r="B292" s="47" t="s">
        <v>27</v>
      </c>
      <c r="C292" s="7">
        <v>80</v>
      </c>
      <c r="D292" s="8">
        <v>1.3888888888888889E-3</v>
      </c>
      <c r="E292" s="58">
        <f t="shared" si="0"/>
        <v>0.11111111111111112</v>
      </c>
      <c r="F292" s="10">
        <v>0.58895833333333336</v>
      </c>
      <c r="G292" s="50">
        <v>0.73798611111111112</v>
      </c>
      <c r="H292" s="8">
        <f t="shared" si="59"/>
        <v>9.512731481481479E-2</v>
      </c>
      <c r="I292" s="11">
        <f t="shared" si="2"/>
        <v>0.75396990740740744</v>
      </c>
      <c r="J292" s="8"/>
      <c r="K292" s="8"/>
      <c r="L292" s="8">
        <v>5.3900462962962963E-2</v>
      </c>
      <c r="M292" s="12"/>
      <c r="N292" s="13">
        <f t="shared" si="4"/>
        <v>1.16802530721499</v>
      </c>
    </row>
    <row r="293" spans="1:14" ht="14.5">
      <c r="A293" s="6">
        <v>45427</v>
      </c>
      <c r="B293" s="47" t="s">
        <v>50</v>
      </c>
      <c r="C293" s="7">
        <v>1</v>
      </c>
      <c r="D293" s="8">
        <v>1.0416666666666666E-2</v>
      </c>
      <c r="E293" s="58">
        <f t="shared" si="0"/>
        <v>1.0416666666666666E-2</v>
      </c>
      <c r="F293" s="10">
        <v>0.61968749999999995</v>
      </c>
      <c r="G293" s="10">
        <v>0.62979166666666664</v>
      </c>
      <c r="H293" s="8">
        <f t="shared" si="59"/>
        <v>1.0104166666666692E-2</v>
      </c>
      <c r="I293" s="11">
        <f t="shared" si="2"/>
        <v>0.63010416666666658</v>
      </c>
      <c r="J293" s="8"/>
      <c r="K293" s="8"/>
      <c r="L293" s="8" t="str">
        <f t="shared" ref="L293:L297" si="66">IF(OR(J293=0,K293=0)," ",K293-J293)</f>
        <v xml:space="preserve"> </v>
      </c>
      <c r="M293" s="12"/>
      <c r="N293" s="13">
        <f t="shared" si="4"/>
        <v>1.0309278350515438</v>
      </c>
    </row>
    <row r="294" spans="1:14" ht="14.5">
      <c r="A294" s="6">
        <v>45427</v>
      </c>
      <c r="B294" s="47" t="s">
        <v>51</v>
      </c>
      <c r="C294" s="7">
        <v>1</v>
      </c>
      <c r="D294" s="8">
        <v>1.0416666666666666E-2</v>
      </c>
      <c r="E294" s="58">
        <f t="shared" si="0"/>
        <v>1.0416666666666666E-2</v>
      </c>
      <c r="F294" s="10">
        <v>0.62979166666666664</v>
      </c>
      <c r="G294" s="10">
        <v>0.63976851851851857</v>
      </c>
      <c r="H294" s="8">
        <f t="shared" si="59"/>
        <v>9.9768518518519311E-3</v>
      </c>
      <c r="I294" s="11">
        <f t="shared" si="2"/>
        <v>0.64020833333333327</v>
      </c>
      <c r="J294" s="8"/>
      <c r="K294" s="8"/>
      <c r="L294" s="8" t="str">
        <f t="shared" si="66"/>
        <v xml:space="preserve"> </v>
      </c>
      <c r="M294" s="12"/>
      <c r="N294" s="13">
        <f t="shared" si="4"/>
        <v>1.0440835266821262</v>
      </c>
    </row>
    <row r="295" spans="1:14" ht="14.5">
      <c r="A295" s="6">
        <v>45427</v>
      </c>
      <c r="B295" s="47" t="s">
        <v>52</v>
      </c>
      <c r="C295" s="7">
        <v>1</v>
      </c>
      <c r="D295" s="8">
        <v>1.0416666666666666E-2</v>
      </c>
      <c r="E295" s="58">
        <f t="shared" si="0"/>
        <v>1.0416666666666666E-2</v>
      </c>
      <c r="F295" s="10">
        <v>0.67146990740740742</v>
      </c>
      <c r="G295" s="10">
        <v>0.68136574074074074</v>
      </c>
      <c r="H295" s="8">
        <f t="shared" si="59"/>
        <v>9.8958333333333259E-3</v>
      </c>
      <c r="I295" s="11">
        <f t="shared" si="2"/>
        <v>0.68188657407407405</v>
      </c>
      <c r="J295" s="8"/>
      <c r="K295" s="8"/>
      <c r="L295" s="8" t="str">
        <f t="shared" si="66"/>
        <v xml:space="preserve"> </v>
      </c>
      <c r="M295" s="12"/>
      <c r="N295" s="13">
        <f t="shared" si="4"/>
        <v>1.0526315789473693</v>
      </c>
    </row>
    <row r="296" spans="1:14" ht="14.5">
      <c r="A296" s="6">
        <v>45428</v>
      </c>
      <c r="B296" s="47" t="s">
        <v>42</v>
      </c>
      <c r="C296" s="7">
        <v>1</v>
      </c>
      <c r="D296" s="8">
        <v>6.9444444444444441E-3</v>
      </c>
      <c r="E296" s="58">
        <f t="shared" si="0"/>
        <v>6.9444444444444441E-3</v>
      </c>
      <c r="F296" s="10">
        <v>0.33776620370370369</v>
      </c>
      <c r="G296" s="10">
        <v>0.34434027777777776</v>
      </c>
      <c r="H296" s="8">
        <f t="shared" si="59"/>
        <v>6.5740740740740655E-3</v>
      </c>
      <c r="I296" s="11">
        <f t="shared" si="2"/>
        <v>0.34471064814814811</v>
      </c>
      <c r="J296" s="8"/>
      <c r="K296" s="8"/>
      <c r="L296" s="8" t="str">
        <f t="shared" si="66"/>
        <v xml:space="preserve"> </v>
      </c>
      <c r="M296" s="12"/>
      <c r="N296" s="13">
        <f t="shared" si="4"/>
        <v>1.0563380281690153</v>
      </c>
    </row>
    <row r="297" spans="1:14" ht="14.5">
      <c r="A297" s="6">
        <v>45428</v>
      </c>
      <c r="B297" s="47" t="s">
        <v>43</v>
      </c>
      <c r="C297" s="7">
        <v>1</v>
      </c>
      <c r="D297" s="8">
        <v>3.4722222222222224E-2</v>
      </c>
      <c r="E297" s="58">
        <f t="shared" si="0"/>
        <v>3.4722222222222224E-2</v>
      </c>
      <c r="F297" s="10">
        <v>0.34434027777777776</v>
      </c>
      <c r="G297" s="10">
        <v>0.37843749999999998</v>
      </c>
      <c r="H297" s="8">
        <f t="shared" si="59"/>
        <v>3.4097222222222223E-2</v>
      </c>
      <c r="I297" s="11">
        <f t="shared" si="2"/>
        <v>0.37906249999999997</v>
      </c>
      <c r="J297" s="8"/>
      <c r="K297" s="8"/>
      <c r="L297" s="8" t="str">
        <f t="shared" si="66"/>
        <v xml:space="preserve"> </v>
      </c>
      <c r="M297" s="12"/>
      <c r="N297" s="13">
        <f t="shared" si="4"/>
        <v>1.0183299389002036</v>
      </c>
    </row>
    <row r="298" spans="1:14" ht="14.5">
      <c r="A298" s="6">
        <v>45428</v>
      </c>
      <c r="B298" s="47" t="s">
        <v>27</v>
      </c>
      <c r="C298" s="7">
        <v>70</v>
      </c>
      <c r="D298" s="8">
        <v>1.3888888888888889E-3</v>
      </c>
      <c r="E298" s="58">
        <f t="shared" si="0"/>
        <v>9.7222222222222224E-2</v>
      </c>
      <c r="F298" s="10">
        <v>0.37843749999999998</v>
      </c>
      <c r="G298" s="10">
        <v>0.70135416666666661</v>
      </c>
      <c r="H298" s="8">
        <f t="shared" si="59"/>
        <v>9.5138888888888856E-2</v>
      </c>
      <c r="I298" s="11">
        <f t="shared" si="2"/>
        <v>0.70343749999999994</v>
      </c>
      <c r="J298" s="8"/>
      <c r="K298" s="8"/>
      <c r="L298" s="8">
        <v>0.22777777777777777</v>
      </c>
      <c r="M298" s="12"/>
      <c r="N298" s="13">
        <f t="shared" si="4"/>
        <v>1.0218978102189784</v>
      </c>
    </row>
    <row r="299" spans="1:14" ht="14.5">
      <c r="A299" s="6">
        <v>45428</v>
      </c>
      <c r="B299" s="47" t="s">
        <v>50</v>
      </c>
      <c r="C299" s="7">
        <v>1</v>
      </c>
      <c r="D299" s="8">
        <v>1.0416666666666666E-2</v>
      </c>
      <c r="E299" s="58">
        <f t="shared" si="0"/>
        <v>1.0416666666666666E-2</v>
      </c>
      <c r="F299" s="10">
        <v>0.61165509259259254</v>
      </c>
      <c r="G299" s="10">
        <v>0.62156250000000002</v>
      </c>
      <c r="H299" s="8">
        <f t="shared" si="59"/>
        <v>9.9074074074074758E-3</v>
      </c>
      <c r="I299" s="11">
        <f t="shared" si="2"/>
        <v>0.62207175925925917</v>
      </c>
      <c r="J299" s="8"/>
      <c r="K299" s="8"/>
      <c r="L299" s="8" t="str">
        <f t="shared" ref="L299:L307" si="67">IF(OR(J299=0,K299=0)," ",K299-J299)</f>
        <v xml:space="preserve"> </v>
      </c>
      <c r="M299" s="12"/>
      <c r="N299" s="13">
        <f t="shared" si="4"/>
        <v>1.0514018691588711</v>
      </c>
    </row>
    <row r="300" spans="1:14" ht="14.5">
      <c r="A300" s="6">
        <v>45428</v>
      </c>
      <c r="B300" s="47" t="s">
        <v>51</v>
      </c>
      <c r="C300" s="7">
        <v>1</v>
      </c>
      <c r="D300" s="8">
        <v>1.0416666666666666E-2</v>
      </c>
      <c r="E300" s="58">
        <f t="shared" si="0"/>
        <v>1.0416666666666666E-2</v>
      </c>
      <c r="F300" s="10">
        <v>0.62156250000000002</v>
      </c>
      <c r="G300" s="10">
        <v>0.63155092592592588</v>
      </c>
      <c r="H300" s="8">
        <f t="shared" si="59"/>
        <v>9.988425925925859E-3</v>
      </c>
      <c r="I300" s="11">
        <f t="shared" si="2"/>
        <v>0.63197916666666665</v>
      </c>
      <c r="J300" s="8"/>
      <c r="K300" s="8"/>
      <c r="L300" s="8" t="str">
        <f t="shared" si="67"/>
        <v xml:space="preserve"> </v>
      </c>
      <c r="M300" s="12"/>
      <c r="N300" s="13">
        <f t="shared" si="4"/>
        <v>1.0428736964078864</v>
      </c>
    </row>
    <row r="301" spans="1:14" ht="14.5">
      <c r="A301" s="6">
        <v>45428</v>
      </c>
      <c r="B301" s="47" t="s">
        <v>52</v>
      </c>
      <c r="C301" s="7">
        <v>1</v>
      </c>
      <c r="D301" s="8">
        <v>1.0416666666666666E-2</v>
      </c>
      <c r="E301" s="58">
        <f t="shared" si="0"/>
        <v>1.0416666666666666E-2</v>
      </c>
      <c r="F301" s="10">
        <v>0.63155092592592588</v>
      </c>
      <c r="G301" s="10">
        <v>0.6416087962962963</v>
      </c>
      <c r="H301" s="8">
        <f t="shared" si="59"/>
        <v>1.0057870370370425E-2</v>
      </c>
      <c r="I301" s="11">
        <f t="shared" si="2"/>
        <v>0.64196759259259251</v>
      </c>
      <c r="J301" s="8"/>
      <c r="K301" s="8"/>
      <c r="L301" s="8" t="str">
        <f t="shared" si="67"/>
        <v xml:space="preserve"> </v>
      </c>
      <c r="M301" s="12"/>
      <c r="N301" s="13">
        <f t="shared" si="4"/>
        <v>1.0356731875719161</v>
      </c>
    </row>
    <row r="302" spans="1:14" ht="14.5">
      <c r="A302" s="6">
        <v>45429</v>
      </c>
      <c r="B302" s="47" t="s">
        <v>50</v>
      </c>
      <c r="C302" s="7">
        <v>1</v>
      </c>
      <c r="D302" s="8">
        <v>1.0416666666666666E-2</v>
      </c>
      <c r="E302" s="58">
        <f t="shared" si="0"/>
        <v>1.0416666666666666E-2</v>
      </c>
      <c r="F302" s="10">
        <v>0.33503472222222219</v>
      </c>
      <c r="G302" s="10">
        <v>0.34512731481481479</v>
      </c>
      <c r="H302" s="8">
        <f t="shared" si="59"/>
        <v>1.0092592592592597E-2</v>
      </c>
      <c r="I302" s="11">
        <f t="shared" si="2"/>
        <v>0.34545138888888888</v>
      </c>
      <c r="J302" s="8"/>
      <c r="K302" s="8"/>
      <c r="L302" s="8" t="str">
        <f t="shared" si="67"/>
        <v xml:space="preserve"> </v>
      </c>
      <c r="M302" s="12"/>
      <c r="N302" s="13">
        <f t="shared" si="4"/>
        <v>1.0321100917431187</v>
      </c>
    </row>
    <row r="303" spans="1:14" ht="14.5">
      <c r="A303" s="6">
        <v>45429</v>
      </c>
      <c r="B303" s="47" t="s">
        <v>44</v>
      </c>
      <c r="C303" s="7">
        <v>3</v>
      </c>
      <c r="D303" s="8">
        <v>3.472222222222222E-3</v>
      </c>
      <c r="E303" s="58">
        <f t="shared" si="0"/>
        <v>1.0416666666666666E-2</v>
      </c>
      <c r="F303" s="10">
        <v>0.46629629629629632</v>
      </c>
      <c r="G303" s="10">
        <v>0.47611111111111115</v>
      </c>
      <c r="H303" s="8">
        <f t="shared" si="59"/>
        <v>9.8148148148148318E-3</v>
      </c>
      <c r="I303" s="11">
        <f t="shared" si="2"/>
        <v>0.476712962962963</v>
      </c>
      <c r="J303" s="8"/>
      <c r="K303" s="8"/>
      <c r="L303" s="8" t="str">
        <f t="shared" si="67"/>
        <v xml:space="preserve"> </v>
      </c>
      <c r="M303" s="12"/>
      <c r="N303" s="13">
        <f t="shared" si="4"/>
        <v>1.0613207547169792</v>
      </c>
    </row>
    <row r="304" spans="1:14" ht="14.5">
      <c r="A304" s="6">
        <v>45432</v>
      </c>
      <c r="B304" s="47" t="s">
        <v>42</v>
      </c>
      <c r="C304" s="7">
        <v>1</v>
      </c>
      <c r="D304" s="8">
        <v>6.9444444444444441E-3</v>
      </c>
      <c r="E304" s="58">
        <f t="shared" si="0"/>
        <v>6.9444444444444441E-3</v>
      </c>
      <c r="F304" s="59">
        <v>0.33012731481481483</v>
      </c>
      <c r="G304" s="59">
        <v>0.33655092592592595</v>
      </c>
      <c r="H304" s="8">
        <f t="shared" si="59"/>
        <v>6.423611111111116E-3</v>
      </c>
      <c r="I304" s="11">
        <f t="shared" si="2"/>
        <v>0.33707175925925925</v>
      </c>
      <c r="J304" s="8"/>
      <c r="K304" s="8"/>
      <c r="L304" s="8" t="str">
        <f t="shared" si="67"/>
        <v xml:space="preserve"> </v>
      </c>
      <c r="M304" s="12"/>
      <c r="N304" s="13">
        <f t="shared" si="4"/>
        <v>1.0810810810810803</v>
      </c>
    </row>
    <row r="305" spans="1:14" ht="14.5">
      <c r="A305" s="6">
        <v>45432</v>
      </c>
      <c r="B305" s="47" t="s">
        <v>43</v>
      </c>
      <c r="C305" s="7">
        <v>1</v>
      </c>
      <c r="D305" s="8">
        <v>3.4722222222222224E-2</v>
      </c>
      <c r="E305" s="58">
        <f t="shared" si="0"/>
        <v>3.4722222222222224E-2</v>
      </c>
      <c r="F305" s="59">
        <v>0.33655092592592595</v>
      </c>
      <c r="G305" s="59">
        <v>0.37081018518518516</v>
      </c>
      <c r="H305" s="8">
        <f t="shared" si="59"/>
        <v>3.4259259259259212E-2</v>
      </c>
      <c r="I305" s="11">
        <f t="shared" si="2"/>
        <v>0.37127314814814816</v>
      </c>
      <c r="J305" s="8"/>
      <c r="K305" s="8"/>
      <c r="L305" s="8" t="str">
        <f t="shared" si="67"/>
        <v xml:space="preserve"> </v>
      </c>
      <c r="M305" s="12"/>
      <c r="N305" s="13">
        <f t="shared" si="4"/>
        <v>1.0135135135135149</v>
      </c>
    </row>
    <row r="306" spans="1:14" ht="14.5">
      <c r="A306" s="6">
        <v>45432</v>
      </c>
      <c r="B306" s="47" t="s">
        <v>140</v>
      </c>
      <c r="C306" s="7">
        <v>1</v>
      </c>
      <c r="D306" s="8">
        <v>3.4722222222222224E-2</v>
      </c>
      <c r="E306" s="58">
        <f t="shared" si="0"/>
        <v>3.4722222222222224E-2</v>
      </c>
      <c r="F306" s="59">
        <v>0.37081018518518516</v>
      </c>
      <c r="G306" s="59">
        <v>0.40471064814814817</v>
      </c>
      <c r="H306" s="8">
        <f t="shared" si="59"/>
        <v>3.3900462962963007E-2</v>
      </c>
      <c r="I306" s="11">
        <f t="shared" si="2"/>
        <v>0.40553240740740737</v>
      </c>
      <c r="J306" s="8"/>
      <c r="K306" s="8"/>
      <c r="L306" s="8" t="str">
        <f t="shared" si="67"/>
        <v xml:space="preserve"> </v>
      </c>
      <c r="M306" s="12"/>
      <c r="N306" s="13">
        <f t="shared" si="4"/>
        <v>1.0242403550699886</v>
      </c>
    </row>
    <row r="307" spans="1:14" ht="14.5">
      <c r="A307" s="6">
        <v>45432</v>
      </c>
      <c r="B307" s="47" t="s">
        <v>63</v>
      </c>
      <c r="C307" s="7">
        <v>1</v>
      </c>
      <c r="D307" s="8">
        <v>3.4722222222222224E-2</v>
      </c>
      <c r="E307" s="58">
        <f t="shared" si="0"/>
        <v>3.4722222222222224E-2</v>
      </c>
      <c r="F307" s="59">
        <v>0.40471064814814817</v>
      </c>
      <c r="G307" s="59">
        <v>0.4384837962962963</v>
      </c>
      <c r="H307" s="8">
        <f t="shared" si="59"/>
        <v>3.3773148148148135E-2</v>
      </c>
      <c r="I307" s="11">
        <f t="shared" si="2"/>
        <v>0.43943287037037038</v>
      </c>
      <c r="J307" s="8"/>
      <c r="K307" s="8"/>
      <c r="L307" s="8" t="str">
        <f t="shared" si="67"/>
        <v xml:space="preserve"> </v>
      </c>
      <c r="M307" s="12"/>
      <c r="N307" s="13">
        <f t="shared" si="4"/>
        <v>1.0281014393420156</v>
      </c>
    </row>
    <row r="308" spans="1:14" ht="14.5">
      <c r="A308" s="6">
        <v>45432</v>
      </c>
      <c r="B308" s="47" t="s">
        <v>85</v>
      </c>
      <c r="C308" s="7">
        <v>1</v>
      </c>
      <c r="D308" s="8">
        <v>8.3333333333333329E-2</v>
      </c>
      <c r="E308" s="58">
        <f t="shared" si="0"/>
        <v>8.3333333333333329E-2</v>
      </c>
      <c r="F308" s="59">
        <v>0.4384837962962963</v>
      </c>
      <c r="G308" s="10">
        <v>0.54160879629629632</v>
      </c>
      <c r="H308" s="8">
        <f t="shared" si="59"/>
        <v>8.0578703703703722E-2</v>
      </c>
      <c r="I308" s="11">
        <f t="shared" si="2"/>
        <v>0.54436342592592601</v>
      </c>
      <c r="J308" s="8"/>
      <c r="K308" s="8"/>
      <c r="L308" s="8">
        <v>2.2546296296296297E-2</v>
      </c>
      <c r="M308" s="12"/>
      <c r="N308" s="13">
        <f t="shared" si="4"/>
        <v>1.0341855788566501</v>
      </c>
    </row>
    <row r="309" spans="1:14" ht="14.5">
      <c r="A309" s="6">
        <v>45432</v>
      </c>
      <c r="B309" s="47" t="s">
        <v>127</v>
      </c>
      <c r="C309" s="7">
        <v>1</v>
      </c>
      <c r="D309" s="8">
        <v>3.472222222222222E-3</v>
      </c>
      <c r="E309" s="58">
        <f t="shared" si="0"/>
        <v>3.472222222222222E-3</v>
      </c>
      <c r="F309" s="59">
        <v>0.50103009259259257</v>
      </c>
      <c r="G309" s="10">
        <v>0.50406249999999997</v>
      </c>
      <c r="H309" s="8">
        <f t="shared" si="59"/>
        <v>3.0324074074074003E-3</v>
      </c>
      <c r="I309" s="11">
        <f t="shared" si="2"/>
        <v>0.50450231481481478</v>
      </c>
      <c r="J309" s="8"/>
      <c r="K309" s="8"/>
      <c r="L309" s="8" t="str">
        <f t="shared" ref="L309:L311" si="68">IF(OR(J309=0,K309=0)," ",K309-J309)</f>
        <v xml:space="preserve"> </v>
      </c>
      <c r="M309" s="12"/>
      <c r="N309" s="13">
        <f t="shared" si="4"/>
        <v>1.1450381679389339</v>
      </c>
    </row>
    <row r="310" spans="1:14" ht="14.5">
      <c r="A310" s="6">
        <v>45432</v>
      </c>
      <c r="B310" s="47" t="s">
        <v>127</v>
      </c>
      <c r="C310" s="7">
        <v>1</v>
      </c>
      <c r="D310" s="8">
        <v>3.472222222222222E-3</v>
      </c>
      <c r="E310" s="58">
        <f t="shared" si="0"/>
        <v>3.472222222222222E-3</v>
      </c>
      <c r="F310" s="10">
        <v>0.54160879629629632</v>
      </c>
      <c r="G310" s="10">
        <v>0.54505787037037035</v>
      </c>
      <c r="H310" s="8">
        <f t="shared" si="59"/>
        <v>3.4490740740740211E-3</v>
      </c>
      <c r="I310" s="11">
        <f t="shared" si="2"/>
        <v>0.54508101851851853</v>
      </c>
      <c r="J310" s="8"/>
      <c r="K310" s="8"/>
      <c r="L310" s="8" t="str">
        <f t="shared" si="68"/>
        <v xml:space="preserve"> </v>
      </c>
      <c r="M310" s="12"/>
      <c r="N310" s="13">
        <f t="shared" si="4"/>
        <v>1.0067114093959886</v>
      </c>
    </row>
    <row r="311" spans="1:14" ht="14.5">
      <c r="A311" s="6">
        <v>45432</v>
      </c>
      <c r="B311" s="47" t="s">
        <v>99</v>
      </c>
      <c r="C311" s="7">
        <v>1</v>
      </c>
      <c r="D311" s="8">
        <v>5.2083333333333336E-2</v>
      </c>
      <c r="E311" s="58">
        <f t="shared" si="0"/>
        <v>5.2083333333333336E-2</v>
      </c>
      <c r="F311" s="10">
        <v>0.54505787037037035</v>
      </c>
      <c r="G311" s="10">
        <v>0.58400462962962962</v>
      </c>
      <c r="H311" s="8">
        <f t="shared" si="59"/>
        <v>3.8946759259259278E-2</v>
      </c>
      <c r="I311" s="11">
        <f t="shared" si="2"/>
        <v>0.59714120370370372</v>
      </c>
      <c r="J311" s="8"/>
      <c r="K311" s="8"/>
      <c r="L311" s="8" t="str">
        <f t="shared" si="68"/>
        <v xml:space="preserve"> </v>
      </c>
      <c r="M311" s="12"/>
      <c r="N311" s="13">
        <f t="shared" si="4"/>
        <v>1.3372956909361065</v>
      </c>
    </row>
    <row r="312" spans="1:14" ht="14.5">
      <c r="A312" s="6">
        <v>45432</v>
      </c>
      <c r="B312" s="47" t="s">
        <v>27</v>
      </c>
      <c r="C312" s="7">
        <v>60</v>
      </c>
      <c r="D312" s="8">
        <v>1.3888888888888889E-3</v>
      </c>
      <c r="E312" s="58">
        <f t="shared" si="0"/>
        <v>8.3333333333333343E-2</v>
      </c>
      <c r="F312" s="10">
        <v>0.58400462962962962</v>
      </c>
      <c r="G312" s="10">
        <v>0.70917824074074076</v>
      </c>
      <c r="H312" s="8">
        <f t="shared" si="59"/>
        <v>7.6967592592592615E-2</v>
      </c>
      <c r="I312" s="11">
        <f t="shared" si="2"/>
        <v>0.71554398148148146</v>
      </c>
      <c r="J312" s="8"/>
      <c r="K312" s="8"/>
      <c r="L312" s="8">
        <v>4.8206018518518516E-2</v>
      </c>
      <c r="M312" s="12"/>
      <c r="N312" s="13">
        <f t="shared" si="4"/>
        <v>1.082706766917293</v>
      </c>
    </row>
    <row r="313" spans="1:14" ht="14.5">
      <c r="A313" s="6">
        <v>45432</v>
      </c>
      <c r="B313" s="47" t="s">
        <v>127</v>
      </c>
      <c r="C313" s="7">
        <v>3</v>
      </c>
      <c r="D313" s="8">
        <v>3.472222222222222E-3</v>
      </c>
      <c r="E313" s="58">
        <f t="shared" si="0"/>
        <v>1.0416666666666666E-2</v>
      </c>
      <c r="F313" s="10">
        <v>0.60364583333333333</v>
      </c>
      <c r="G313" s="10">
        <v>0.61267361111111107</v>
      </c>
      <c r="H313" s="8">
        <f t="shared" si="59"/>
        <v>9.0277777777777457E-3</v>
      </c>
      <c r="I313" s="11">
        <f t="shared" si="2"/>
        <v>0.61406249999999996</v>
      </c>
      <c r="J313" s="8"/>
      <c r="K313" s="8"/>
      <c r="L313" s="8" t="str">
        <f t="shared" ref="L313:L318" si="69">IF(OR(J313=0,K313=0)," ",K313-J313)</f>
        <v xml:space="preserve"> </v>
      </c>
      <c r="M313" s="12"/>
      <c r="N313" s="13">
        <f t="shared" si="4"/>
        <v>1.153846153846158</v>
      </c>
    </row>
    <row r="314" spans="1:14" ht="14.5">
      <c r="A314" s="6">
        <v>45432</v>
      </c>
      <c r="B314" s="47" t="s">
        <v>105</v>
      </c>
      <c r="C314" s="7">
        <v>3</v>
      </c>
      <c r="D314" s="8">
        <v>1.736111111111111E-3</v>
      </c>
      <c r="E314" s="58">
        <f t="shared" si="0"/>
        <v>5.208333333333333E-3</v>
      </c>
      <c r="F314" s="10">
        <v>0.63938657407407407</v>
      </c>
      <c r="G314" s="10">
        <v>0.64396990740740745</v>
      </c>
      <c r="H314" s="8">
        <f t="shared" si="59"/>
        <v>4.5833333333333837E-3</v>
      </c>
      <c r="I314" s="11">
        <f t="shared" si="2"/>
        <v>0.64459490740740744</v>
      </c>
      <c r="J314" s="8"/>
      <c r="K314" s="8"/>
      <c r="L314" s="8" t="str">
        <f t="shared" si="69"/>
        <v xml:space="preserve"> </v>
      </c>
      <c r="M314" s="12"/>
      <c r="N314" s="13">
        <f t="shared" si="4"/>
        <v>1.1363636363636238</v>
      </c>
    </row>
    <row r="315" spans="1:14" ht="14.5">
      <c r="A315" s="6">
        <v>45432</v>
      </c>
      <c r="B315" s="47" t="s">
        <v>50</v>
      </c>
      <c r="C315" s="7">
        <v>1</v>
      </c>
      <c r="D315" s="8">
        <v>1.0416666666666666E-2</v>
      </c>
      <c r="E315" s="58">
        <f t="shared" si="0"/>
        <v>1.0416666666666666E-2</v>
      </c>
      <c r="F315" s="10">
        <v>0.64396990740740745</v>
      </c>
      <c r="G315" s="10">
        <v>0.65425925925925921</v>
      </c>
      <c r="H315" s="8">
        <f t="shared" si="59"/>
        <v>1.0289351851851758E-2</v>
      </c>
      <c r="I315" s="11">
        <f t="shared" si="2"/>
        <v>0.65438657407407408</v>
      </c>
      <c r="J315" s="8"/>
      <c r="K315" s="8"/>
      <c r="L315" s="8" t="str">
        <f t="shared" si="69"/>
        <v xml:space="preserve"> </v>
      </c>
      <c r="M315" s="12"/>
      <c r="N315" s="13">
        <f t="shared" si="4"/>
        <v>1.0123734533183444</v>
      </c>
    </row>
    <row r="316" spans="1:14" ht="14.5">
      <c r="A316" s="6">
        <v>45433</v>
      </c>
      <c r="B316" s="47" t="s">
        <v>27</v>
      </c>
      <c r="C316" s="7">
        <v>55</v>
      </c>
      <c r="D316" s="8">
        <v>1.3888888888888889E-3</v>
      </c>
      <c r="E316" s="58">
        <f t="shared" si="0"/>
        <v>7.6388888888888895E-2</v>
      </c>
      <c r="F316" s="10">
        <v>0.32901620370370366</v>
      </c>
      <c r="G316" s="10">
        <v>0.40313657407407411</v>
      </c>
      <c r="H316" s="8">
        <f t="shared" si="59"/>
        <v>7.4120370370370448E-2</v>
      </c>
      <c r="I316" s="11">
        <f t="shared" si="2"/>
        <v>0.40540509259259255</v>
      </c>
      <c r="J316" s="8"/>
      <c r="K316" s="8"/>
      <c r="L316" s="8" t="str">
        <f t="shared" si="69"/>
        <v xml:space="preserve"> </v>
      </c>
      <c r="M316" s="12"/>
      <c r="N316" s="13">
        <f t="shared" si="4"/>
        <v>1.0306058713304176</v>
      </c>
    </row>
    <row r="317" spans="1:14" ht="14.5">
      <c r="A317" s="6">
        <v>45433</v>
      </c>
      <c r="B317" s="47" t="s">
        <v>57</v>
      </c>
      <c r="C317" s="7">
        <v>13</v>
      </c>
      <c r="D317" s="8">
        <v>2.7777777777777779E-3</v>
      </c>
      <c r="E317" s="58">
        <f t="shared" si="0"/>
        <v>3.6111111111111115E-2</v>
      </c>
      <c r="F317" s="10">
        <v>0.40313657407407411</v>
      </c>
      <c r="G317" s="10">
        <v>0.43653935185185189</v>
      </c>
      <c r="H317" s="8">
        <f t="shared" si="59"/>
        <v>3.3402777777777781E-2</v>
      </c>
      <c r="I317" s="11">
        <f t="shared" si="2"/>
        <v>0.4392476851851852</v>
      </c>
      <c r="J317" s="8"/>
      <c r="K317" s="8"/>
      <c r="L317" s="8" t="str">
        <f t="shared" si="69"/>
        <v xml:space="preserve"> </v>
      </c>
      <c r="M317" s="12"/>
      <c r="N317" s="13">
        <f t="shared" si="4"/>
        <v>1.0810810810810811</v>
      </c>
    </row>
    <row r="318" spans="1:14" ht="14.5">
      <c r="A318" s="6">
        <v>45433</v>
      </c>
      <c r="B318" s="47" t="s">
        <v>44</v>
      </c>
      <c r="C318" s="7">
        <v>4</v>
      </c>
      <c r="D318" s="8">
        <v>3.472222222222222E-3</v>
      </c>
      <c r="E318" s="58">
        <f t="shared" si="0"/>
        <v>1.3888888888888888E-2</v>
      </c>
      <c r="F318" s="10">
        <v>0.43653935185185189</v>
      </c>
      <c r="G318" s="10">
        <v>0.44986111111111116</v>
      </c>
      <c r="H318" s="8">
        <f t="shared" si="59"/>
        <v>1.3321759259259269E-2</v>
      </c>
      <c r="I318" s="11">
        <f t="shared" si="2"/>
        <v>0.45042824074074078</v>
      </c>
      <c r="J318" s="8"/>
      <c r="K318" s="8"/>
      <c r="L318" s="8" t="str">
        <f t="shared" si="69"/>
        <v xml:space="preserve"> </v>
      </c>
      <c r="M318" s="12"/>
      <c r="N318" s="13">
        <f t="shared" si="4"/>
        <v>1.0425716768027793</v>
      </c>
    </row>
    <row r="319" spans="1:14" ht="14.5">
      <c r="A319" s="6">
        <v>45433</v>
      </c>
      <c r="B319" s="47" t="s">
        <v>27</v>
      </c>
      <c r="C319" s="7">
        <v>71</v>
      </c>
      <c r="D319" s="8">
        <v>1.3888888888888889E-3</v>
      </c>
      <c r="E319" s="58">
        <f t="shared" si="0"/>
        <v>9.8611111111111122E-2</v>
      </c>
      <c r="F319" s="10">
        <v>0.44986111111111116</v>
      </c>
      <c r="G319" s="10">
        <v>0.72956018518518517</v>
      </c>
      <c r="H319" s="8">
        <f t="shared" si="59"/>
        <v>9.0104166666666596E-2</v>
      </c>
      <c r="I319" s="11">
        <f t="shared" si="2"/>
        <v>0.73806712962962973</v>
      </c>
      <c r="J319" s="8"/>
      <c r="K319" s="8"/>
      <c r="L319" s="8">
        <v>0.18959490740740742</v>
      </c>
      <c r="M319" s="12"/>
      <c r="N319" s="13">
        <f t="shared" si="4"/>
        <v>1.0944123314065519</v>
      </c>
    </row>
    <row r="320" spans="1:14" ht="14.5">
      <c r="A320" s="6">
        <v>45433</v>
      </c>
      <c r="B320" s="47" t="s">
        <v>50</v>
      </c>
      <c r="C320" s="7">
        <v>1</v>
      </c>
      <c r="D320" s="8">
        <v>1.0416666666666666E-2</v>
      </c>
      <c r="E320" s="58">
        <f t="shared" si="0"/>
        <v>1.0416666666666666E-2</v>
      </c>
      <c r="F320" s="10">
        <v>0.63252314814814814</v>
      </c>
      <c r="G320" s="10">
        <v>0.64260416666666664</v>
      </c>
      <c r="H320" s="8">
        <f t="shared" si="59"/>
        <v>1.0081018518518503E-2</v>
      </c>
      <c r="I320" s="11">
        <f t="shared" si="2"/>
        <v>0.64293981481481477</v>
      </c>
      <c r="J320" s="8"/>
      <c r="K320" s="8"/>
      <c r="L320" s="8" t="str">
        <f t="shared" ref="L320:L325" si="70">IF(OR(J320=0,K320=0)," ",K320-J320)</f>
        <v xml:space="preserve"> </v>
      </c>
      <c r="M320" s="12"/>
      <c r="N320" s="13">
        <f t="shared" si="4"/>
        <v>1.0332950631458109</v>
      </c>
    </row>
    <row r="321" spans="1:14" ht="14.5">
      <c r="A321" s="6">
        <v>45433</v>
      </c>
      <c r="B321" s="47" t="s">
        <v>51</v>
      </c>
      <c r="C321" s="7">
        <v>1</v>
      </c>
      <c r="D321" s="8">
        <v>1.0416666666666666E-2</v>
      </c>
      <c r="E321" s="58">
        <f t="shared" si="0"/>
        <v>1.0416666666666666E-2</v>
      </c>
      <c r="F321" s="10">
        <v>0.64260416666666664</v>
      </c>
      <c r="G321" s="10">
        <v>0.65251157407407412</v>
      </c>
      <c r="H321" s="8">
        <f t="shared" si="59"/>
        <v>9.9074074074074758E-3</v>
      </c>
      <c r="I321" s="11">
        <f t="shared" si="2"/>
        <v>0.65302083333333327</v>
      </c>
      <c r="J321" s="8"/>
      <c r="K321" s="8"/>
      <c r="L321" s="8" t="str">
        <f t="shared" si="70"/>
        <v xml:space="preserve"> </v>
      </c>
      <c r="M321" s="12"/>
      <c r="N321" s="13">
        <f t="shared" si="4"/>
        <v>1.0514018691588711</v>
      </c>
    </row>
    <row r="322" spans="1:14" ht="14.5">
      <c r="A322" s="6">
        <v>45433</v>
      </c>
      <c r="B322" s="47" t="s">
        <v>52</v>
      </c>
      <c r="C322" s="7">
        <v>1</v>
      </c>
      <c r="D322" s="8">
        <v>1.0416666666666666E-2</v>
      </c>
      <c r="E322" s="58">
        <f t="shared" si="0"/>
        <v>1.0416666666666666E-2</v>
      </c>
      <c r="F322" s="10">
        <v>0.65251157407407412</v>
      </c>
      <c r="G322" s="10">
        <v>0.6624768518518519</v>
      </c>
      <c r="H322" s="8">
        <f t="shared" si="59"/>
        <v>9.9652777777777812E-3</v>
      </c>
      <c r="I322" s="11">
        <f t="shared" si="2"/>
        <v>0.66292824074074075</v>
      </c>
      <c r="J322" s="8"/>
      <c r="K322" s="8"/>
      <c r="L322" s="8" t="str">
        <f t="shared" si="70"/>
        <v xml:space="preserve"> </v>
      </c>
      <c r="M322" s="12"/>
      <c r="N322" s="13">
        <f t="shared" si="4"/>
        <v>1.0452961672473864</v>
      </c>
    </row>
    <row r="323" spans="1:14" ht="14.5">
      <c r="A323" s="6">
        <v>45434</v>
      </c>
      <c r="B323" s="47" t="s">
        <v>104</v>
      </c>
      <c r="C323" s="7">
        <v>1</v>
      </c>
      <c r="D323" s="8">
        <v>3.4722222222222224E-2</v>
      </c>
      <c r="E323" s="58">
        <f t="shared" si="0"/>
        <v>3.4722222222222224E-2</v>
      </c>
      <c r="F323" s="10">
        <v>0.32649305555555552</v>
      </c>
      <c r="G323" s="10">
        <v>0.36008101851851848</v>
      </c>
      <c r="H323" s="8">
        <f t="shared" si="59"/>
        <v>3.3587962962962958E-2</v>
      </c>
      <c r="I323" s="11">
        <f t="shared" si="2"/>
        <v>0.36121527777777773</v>
      </c>
      <c r="J323" s="8"/>
      <c r="K323" s="8"/>
      <c r="L323" s="8" t="str">
        <f t="shared" si="70"/>
        <v xml:space="preserve"> </v>
      </c>
      <c r="M323" s="12"/>
      <c r="N323" s="13">
        <f t="shared" si="4"/>
        <v>1.0337698139214337</v>
      </c>
    </row>
    <row r="324" spans="1:14" ht="14.5">
      <c r="A324" s="6">
        <v>45434</v>
      </c>
      <c r="B324" s="47" t="s">
        <v>44</v>
      </c>
      <c r="C324" s="7">
        <v>3</v>
      </c>
      <c r="D324" s="8">
        <v>3.472222222222222E-3</v>
      </c>
      <c r="E324" s="58">
        <f t="shared" si="0"/>
        <v>1.0416666666666666E-2</v>
      </c>
      <c r="F324" s="10">
        <v>0.39101851851851854</v>
      </c>
      <c r="G324" s="10">
        <v>0.40112268518518523</v>
      </c>
      <c r="H324" s="8">
        <f t="shared" si="59"/>
        <v>1.0104166666666692E-2</v>
      </c>
      <c r="I324" s="11">
        <f t="shared" si="2"/>
        <v>0.40143518518518523</v>
      </c>
      <c r="J324" s="8"/>
      <c r="K324" s="8"/>
      <c r="L324" s="8" t="str">
        <f t="shared" si="70"/>
        <v xml:space="preserve"> </v>
      </c>
      <c r="M324" s="12"/>
      <c r="N324" s="13">
        <f t="shared" si="4"/>
        <v>1.0309278350515438</v>
      </c>
    </row>
    <row r="325" spans="1:14" ht="14.5">
      <c r="A325" s="6">
        <v>45434</v>
      </c>
      <c r="B325" s="47" t="s">
        <v>50</v>
      </c>
      <c r="C325" s="7">
        <v>1</v>
      </c>
      <c r="D325" s="8">
        <v>1.0416666666666666E-2</v>
      </c>
      <c r="E325" s="58">
        <f t="shared" si="0"/>
        <v>1.0416666666666666E-2</v>
      </c>
      <c r="F325" s="10">
        <v>0.62457175925925923</v>
      </c>
      <c r="G325" s="10">
        <v>0.63466435185185188</v>
      </c>
      <c r="H325" s="8">
        <f t="shared" si="59"/>
        <v>1.0092592592592653E-2</v>
      </c>
      <c r="I325" s="11">
        <f t="shared" si="2"/>
        <v>0.63498842592592586</v>
      </c>
      <c r="J325" s="8"/>
      <c r="K325" s="8"/>
      <c r="L325" s="8" t="str">
        <f t="shared" si="70"/>
        <v xml:space="preserve"> </v>
      </c>
      <c r="M325" s="12"/>
      <c r="N325" s="13">
        <f t="shared" si="4"/>
        <v>1.032110091743113</v>
      </c>
    </row>
    <row r="326" spans="1:14" ht="14.5">
      <c r="A326" s="6">
        <v>45434</v>
      </c>
      <c r="B326" s="47" t="s">
        <v>51</v>
      </c>
      <c r="C326" s="7">
        <v>1</v>
      </c>
      <c r="D326" s="8">
        <v>1.0416666666666666E-2</v>
      </c>
      <c r="E326" s="58">
        <f t="shared" si="0"/>
        <v>1.0416666666666666E-2</v>
      </c>
      <c r="F326" s="10">
        <v>0.63466435185185188</v>
      </c>
      <c r="G326" s="10">
        <v>0.66525462962962967</v>
      </c>
      <c r="H326" s="8">
        <f t="shared" si="59"/>
        <v>9.8958333333333398E-3</v>
      </c>
      <c r="I326" s="11">
        <f t="shared" si="2"/>
        <v>0.66577546296296297</v>
      </c>
      <c r="J326" s="8"/>
      <c r="K326" s="8"/>
      <c r="L326" s="8">
        <v>2.0694444444444446E-2</v>
      </c>
      <c r="M326" s="12"/>
      <c r="N326" s="13">
        <f t="shared" si="4"/>
        <v>1.0526315789473677</v>
      </c>
    </row>
    <row r="327" spans="1:14" ht="14.5">
      <c r="A327" s="6">
        <v>45434</v>
      </c>
      <c r="B327" s="47" t="s">
        <v>52</v>
      </c>
      <c r="C327" s="7">
        <v>1</v>
      </c>
      <c r="D327" s="8">
        <v>1.0416666666666666E-2</v>
      </c>
      <c r="E327" s="58">
        <f t="shared" si="0"/>
        <v>1.0416666666666666E-2</v>
      </c>
      <c r="F327" s="10">
        <v>0.66525462962962967</v>
      </c>
      <c r="G327" s="50">
        <v>0.67540509259259263</v>
      </c>
      <c r="H327" s="8">
        <f t="shared" si="59"/>
        <v>1.0150462962962958E-2</v>
      </c>
      <c r="I327" s="11">
        <f t="shared" si="2"/>
        <v>0.6756712962962963</v>
      </c>
      <c r="J327" s="8"/>
      <c r="K327" s="8"/>
      <c r="L327" s="8" t="str">
        <f t="shared" ref="L327:L328" si="71">IF(OR(J327=0,K327=0)," ",K327-J327)</f>
        <v xml:space="preserve"> </v>
      </c>
      <c r="M327" s="12"/>
      <c r="N327" s="13">
        <f t="shared" si="4"/>
        <v>1.0262257696693278</v>
      </c>
    </row>
    <row r="328" spans="1:14" ht="14.5">
      <c r="A328" s="6">
        <v>45435</v>
      </c>
      <c r="B328" s="47" t="s">
        <v>46</v>
      </c>
      <c r="C328" s="7">
        <v>38</v>
      </c>
      <c r="D328" s="8">
        <v>3.472222222222222E-3</v>
      </c>
      <c r="E328" s="58">
        <f t="shared" si="0"/>
        <v>0.13194444444444445</v>
      </c>
      <c r="F328" s="10">
        <v>0.33101851851851849</v>
      </c>
      <c r="G328" s="10">
        <v>0.45118055555555558</v>
      </c>
      <c r="H328" s="8">
        <f t="shared" si="59"/>
        <v>0.12016203703703709</v>
      </c>
      <c r="I328" s="11">
        <f t="shared" si="2"/>
        <v>0.46296296296296291</v>
      </c>
      <c r="J328" s="8"/>
      <c r="K328" s="8"/>
      <c r="L328" s="8" t="str">
        <f t="shared" si="71"/>
        <v xml:space="preserve"> </v>
      </c>
      <c r="M328" s="12"/>
      <c r="N328" s="13">
        <f t="shared" si="4"/>
        <v>1.0980543247929102</v>
      </c>
    </row>
    <row r="329" spans="1:14" ht="14.5">
      <c r="A329" s="6">
        <v>45435</v>
      </c>
      <c r="B329" s="47" t="s">
        <v>46</v>
      </c>
      <c r="C329" s="7">
        <v>45</v>
      </c>
      <c r="D329" s="8">
        <v>3.472222222222222E-3</v>
      </c>
      <c r="E329" s="58">
        <f t="shared" si="0"/>
        <v>0.15625</v>
      </c>
      <c r="F329" s="10">
        <v>0.45118055555555558</v>
      </c>
      <c r="G329" s="10">
        <v>0.61263888888888884</v>
      </c>
      <c r="H329" s="8">
        <f t="shared" si="59"/>
        <v>0.1422453703703703</v>
      </c>
      <c r="I329" s="11">
        <f t="shared" si="2"/>
        <v>0.62664351851851852</v>
      </c>
      <c r="J329" s="8"/>
      <c r="K329" s="8"/>
      <c r="L329" s="8">
        <v>1.9212962962962963E-2</v>
      </c>
      <c r="M329" s="12"/>
      <c r="N329" s="13">
        <f t="shared" si="4"/>
        <v>1.0984540276647687</v>
      </c>
    </row>
    <row r="330" spans="1:14" ht="14.5">
      <c r="A330" s="6">
        <v>45435</v>
      </c>
      <c r="B330" s="47" t="s">
        <v>50</v>
      </c>
      <c r="C330" s="7">
        <v>3</v>
      </c>
      <c r="D330" s="8">
        <v>1.0416666666666666E-2</v>
      </c>
      <c r="E330" s="58">
        <f t="shared" si="0"/>
        <v>3.125E-2</v>
      </c>
      <c r="F330" s="10">
        <v>0.61263888888888884</v>
      </c>
      <c r="G330" s="10">
        <v>0.64218750000000002</v>
      </c>
      <c r="H330" s="8">
        <f t="shared" si="59"/>
        <v>2.9548611111111178E-2</v>
      </c>
      <c r="I330" s="11">
        <f t="shared" si="2"/>
        <v>0.64388888888888884</v>
      </c>
      <c r="J330" s="8"/>
      <c r="K330" s="8"/>
      <c r="L330" s="8" t="str">
        <f>IF(OR(J330=0,K330=0)," ",K330-J330)</f>
        <v xml:space="preserve"> </v>
      </c>
      <c r="M330" s="12"/>
      <c r="N330" s="13">
        <f t="shared" si="4"/>
        <v>1.0575793184488813</v>
      </c>
    </row>
    <row r="331" spans="1:14" ht="14.5">
      <c r="A331" s="6">
        <v>45435</v>
      </c>
      <c r="B331" s="47" t="s">
        <v>46</v>
      </c>
      <c r="C331" s="7">
        <v>25</v>
      </c>
      <c r="D331" s="8">
        <v>3.472222222222222E-3</v>
      </c>
      <c r="E331" s="58">
        <f t="shared" si="0"/>
        <v>8.6805555555555552E-2</v>
      </c>
      <c r="F331" s="10">
        <v>0.64218750000000002</v>
      </c>
      <c r="G331" s="10">
        <v>0.73644675925925929</v>
      </c>
      <c r="H331" s="8">
        <f t="shared" si="59"/>
        <v>7.885416666666667E-2</v>
      </c>
      <c r="I331" s="11">
        <f t="shared" si="2"/>
        <v>0.7443981481481482</v>
      </c>
      <c r="J331" s="8"/>
      <c r="K331" s="8"/>
      <c r="L331" s="8">
        <v>1.5405092592592592E-2</v>
      </c>
      <c r="M331" s="12"/>
      <c r="N331" s="13">
        <f t="shared" si="4"/>
        <v>1.1008366358432409</v>
      </c>
    </row>
    <row r="332" spans="1:14" ht="14.5">
      <c r="A332" s="6">
        <v>45436</v>
      </c>
      <c r="B332" s="47" t="s">
        <v>46</v>
      </c>
      <c r="C332" s="7">
        <v>47</v>
      </c>
      <c r="D332" s="8">
        <v>3.472222222222222E-3</v>
      </c>
      <c r="E332" s="58">
        <f t="shared" si="0"/>
        <v>0.16319444444444445</v>
      </c>
      <c r="F332" s="10">
        <v>0.33613425925925922</v>
      </c>
      <c r="G332" s="10">
        <v>0.51586805555555559</v>
      </c>
      <c r="H332" s="8">
        <f t="shared" si="59"/>
        <v>0.15238425925925933</v>
      </c>
      <c r="I332" s="11">
        <f t="shared" si="2"/>
        <v>0.52667824074074066</v>
      </c>
      <c r="J332" s="8"/>
      <c r="K332" s="8"/>
      <c r="L332" s="8">
        <v>2.7349537037037037E-2</v>
      </c>
      <c r="M332" s="12"/>
      <c r="N332" s="13">
        <f t="shared" si="4"/>
        <v>1.0709403007747222</v>
      </c>
    </row>
    <row r="333" spans="1:14" ht="14.5">
      <c r="A333" s="6">
        <v>45436</v>
      </c>
      <c r="B333" s="47" t="s">
        <v>46</v>
      </c>
      <c r="C333" s="7">
        <v>61</v>
      </c>
      <c r="D333" s="8">
        <v>3.472222222222222E-3</v>
      </c>
      <c r="E333" s="8">
        <f t="shared" si="0"/>
        <v>0.21180555555555555</v>
      </c>
      <c r="F333" s="10">
        <v>0.51586805555555559</v>
      </c>
      <c r="G333" s="10">
        <v>0.71212962962962967</v>
      </c>
      <c r="H333" s="8">
        <f t="shared" si="59"/>
        <v>0.17818287037037037</v>
      </c>
      <c r="I333" s="11">
        <f t="shared" si="2"/>
        <v>0.74575231481481485</v>
      </c>
      <c r="J333" s="8"/>
      <c r="K333" s="8"/>
      <c r="L333" s="8">
        <v>1.8078703703703704E-2</v>
      </c>
      <c r="M333" s="12"/>
      <c r="N333" s="13">
        <f t="shared" si="4"/>
        <v>1.1886976291003573</v>
      </c>
    </row>
    <row r="334" spans="1:14" ht="14.5">
      <c r="A334" s="6">
        <v>45440</v>
      </c>
      <c r="B334" s="47" t="s">
        <v>42</v>
      </c>
      <c r="C334" s="7">
        <v>1</v>
      </c>
      <c r="D334" s="8">
        <v>6.9444444444444441E-3</v>
      </c>
      <c r="E334" s="8">
        <f t="shared" si="0"/>
        <v>6.9444444444444441E-3</v>
      </c>
      <c r="F334" s="10">
        <v>0.3369328703703704</v>
      </c>
      <c r="G334" s="10">
        <v>0.3434490740740741</v>
      </c>
      <c r="H334" s="8">
        <f t="shared" si="59"/>
        <v>6.5162037037037046E-3</v>
      </c>
      <c r="I334" s="11">
        <f t="shared" si="2"/>
        <v>0.34387731481481482</v>
      </c>
      <c r="J334" s="8"/>
      <c r="K334" s="8"/>
      <c r="L334" s="8" t="str">
        <f t="shared" ref="L334:L335" si="72">IF(OR(J334=0,K334=0)," ",K334-J334)</f>
        <v xml:space="preserve"> </v>
      </c>
      <c r="M334" s="12"/>
      <c r="N334" s="13">
        <f t="shared" si="4"/>
        <v>1.0657193605683835</v>
      </c>
    </row>
    <row r="335" spans="1:14" ht="14.5">
      <c r="A335" s="6">
        <v>45440</v>
      </c>
      <c r="B335" s="47" t="s">
        <v>43</v>
      </c>
      <c r="C335" s="7">
        <v>1</v>
      </c>
      <c r="D335" s="8">
        <v>3.4722222222222224E-2</v>
      </c>
      <c r="E335" s="8">
        <f t="shared" si="0"/>
        <v>3.4722222222222224E-2</v>
      </c>
      <c r="F335" s="10">
        <v>0.3434490740740741</v>
      </c>
      <c r="G335" s="10">
        <v>0.37769675925925927</v>
      </c>
      <c r="H335" s="8">
        <f t="shared" si="59"/>
        <v>3.4247685185185173E-2</v>
      </c>
      <c r="I335" s="11">
        <f t="shared" si="2"/>
        <v>0.37817129629629631</v>
      </c>
      <c r="J335" s="8"/>
      <c r="K335" s="8"/>
      <c r="L335" s="8" t="str">
        <f t="shared" si="72"/>
        <v xml:space="preserve"> </v>
      </c>
      <c r="M335" s="12"/>
      <c r="N335" s="13">
        <f t="shared" si="4"/>
        <v>1.0138560324433934</v>
      </c>
    </row>
    <row r="336" spans="1:14" ht="14.5">
      <c r="A336" s="6">
        <v>45440</v>
      </c>
      <c r="B336" s="47" t="s">
        <v>48</v>
      </c>
      <c r="C336" s="7">
        <v>80</v>
      </c>
      <c r="D336" s="8">
        <v>1.736111111111111E-3</v>
      </c>
      <c r="E336" s="8">
        <f t="shared" si="0"/>
        <v>0.1388888888888889</v>
      </c>
      <c r="F336" s="10">
        <v>0.37769675925925927</v>
      </c>
      <c r="G336" s="10">
        <v>0.5268518518518519</v>
      </c>
      <c r="H336" s="8">
        <f t="shared" si="59"/>
        <v>0.122650462962963</v>
      </c>
      <c r="I336" s="11">
        <f t="shared" si="2"/>
        <v>0.54309027777777774</v>
      </c>
      <c r="J336" s="8"/>
      <c r="K336" s="8"/>
      <c r="L336" s="8">
        <v>2.6504629629629628E-2</v>
      </c>
      <c r="M336" s="12"/>
      <c r="N336" s="13">
        <f t="shared" si="4"/>
        <v>1.1323959611210717</v>
      </c>
    </row>
    <row r="337" spans="1:14" ht="14.5">
      <c r="A337" s="6">
        <v>45440</v>
      </c>
      <c r="B337" s="47" t="s">
        <v>46</v>
      </c>
      <c r="C337" s="7">
        <v>30</v>
      </c>
      <c r="D337" s="8">
        <v>3.472222222222222E-3</v>
      </c>
      <c r="E337" s="8">
        <f t="shared" si="0"/>
        <v>0.10416666666666666</v>
      </c>
      <c r="F337" s="10">
        <v>0.5268518518518519</v>
      </c>
      <c r="G337" s="10">
        <v>0.62106481481481479</v>
      </c>
      <c r="H337" s="8">
        <f t="shared" si="59"/>
        <v>9.4212962962962887E-2</v>
      </c>
      <c r="I337" s="11">
        <f t="shared" si="2"/>
        <v>0.63101851851851853</v>
      </c>
      <c r="J337" s="8"/>
      <c r="K337" s="8"/>
      <c r="L337" s="8" t="str">
        <f t="shared" ref="L337:L340" si="73">IF(OR(J337=0,K337=0)," ",K337-J337)</f>
        <v xml:space="preserve"> </v>
      </c>
      <c r="M337" s="12"/>
      <c r="N337" s="13">
        <f t="shared" si="4"/>
        <v>1.1056511056511065</v>
      </c>
    </row>
    <row r="338" spans="1:14" ht="14.5">
      <c r="A338" s="6">
        <v>45440</v>
      </c>
      <c r="B338" s="47" t="s">
        <v>50</v>
      </c>
      <c r="C338" s="7">
        <v>1</v>
      </c>
      <c r="D338" s="8">
        <v>1.0416666666666666E-2</v>
      </c>
      <c r="E338" s="8">
        <f t="shared" si="0"/>
        <v>1.0416666666666666E-2</v>
      </c>
      <c r="F338" s="10">
        <v>0.62106481481481479</v>
      </c>
      <c r="G338" s="10">
        <v>0.63127314814814817</v>
      </c>
      <c r="H338" s="8">
        <f t="shared" si="59"/>
        <v>1.0208333333333375E-2</v>
      </c>
      <c r="I338" s="11">
        <f t="shared" si="2"/>
        <v>0.63148148148148142</v>
      </c>
      <c r="J338" s="8"/>
      <c r="K338" s="8"/>
      <c r="L338" s="8" t="str">
        <f t="shared" si="73"/>
        <v xml:space="preserve"> </v>
      </c>
      <c r="M338" s="12"/>
      <c r="N338" s="13">
        <f t="shared" si="4"/>
        <v>1.0204081632653019</v>
      </c>
    </row>
    <row r="339" spans="1:14" ht="14.5">
      <c r="A339" s="6">
        <v>45440</v>
      </c>
      <c r="B339" s="47" t="s">
        <v>51</v>
      </c>
      <c r="C339" s="7">
        <v>1</v>
      </c>
      <c r="D339" s="8">
        <v>1.0416666666666666E-2</v>
      </c>
      <c r="E339" s="8">
        <f t="shared" si="0"/>
        <v>1.0416666666666666E-2</v>
      </c>
      <c r="F339" s="10">
        <v>0.63127314814814817</v>
      </c>
      <c r="G339" s="8">
        <v>0.64148148148148143</v>
      </c>
      <c r="H339" s="8">
        <f t="shared" si="59"/>
        <v>1.0208333333333264E-2</v>
      </c>
      <c r="I339" s="11">
        <f t="shared" si="2"/>
        <v>0.6416898148148148</v>
      </c>
      <c r="J339" s="8"/>
      <c r="K339" s="8"/>
      <c r="L339" s="8" t="str">
        <f t="shared" si="73"/>
        <v xml:space="preserve"> </v>
      </c>
      <c r="M339" s="12"/>
      <c r="N339" s="13">
        <f t="shared" si="4"/>
        <v>1.020408163265313</v>
      </c>
    </row>
    <row r="340" spans="1:14" ht="14.5">
      <c r="A340" s="6">
        <v>45440</v>
      </c>
      <c r="B340" s="47" t="s">
        <v>52</v>
      </c>
      <c r="C340" s="7">
        <v>1</v>
      </c>
      <c r="D340" s="8">
        <v>1.0416666666666666E-2</v>
      </c>
      <c r="E340" s="8">
        <f t="shared" si="0"/>
        <v>1.0416666666666666E-2</v>
      </c>
      <c r="F340" s="8">
        <v>0.64148148148148143</v>
      </c>
      <c r="G340" s="10">
        <v>0.65156250000000004</v>
      </c>
      <c r="H340" s="8">
        <f t="shared" si="59"/>
        <v>1.0081018518518614E-2</v>
      </c>
      <c r="I340" s="11">
        <f t="shared" si="2"/>
        <v>0.65189814814814806</v>
      </c>
      <c r="J340" s="8"/>
      <c r="K340" s="8"/>
      <c r="L340" s="8" t="str">
        <f t="shared" si="73"/>
        <v xml:space="preserve"> </v>
      </c>
      <c r="M340" s="12"/>
      <c r="N340" s="13">
        <f t="shared" si="4"/>
        <v>1.0332950631457996</v>
      </c>
    </row>
    <row r="341" spans="1:14" ht="14.5">
      <c r="A341" s="6">
        <v>45440</v>
      </c>
      <c r="B341" s="47" t="s">
        <v>46</v>
      </c>
      <c r="C341" s="7">
        <v>20</v>
      </c>
      <c r="D341" s="8">
        <v>3.472222222222222E-3</v>
      </c>
      <c r="E341" s="8">
        <f t="shared" si="0"/>
        <v>6.9444444444444448E-2</v>
      </c>
      <c r="F341" s="10">
        <v>0.65156250000000004</v>
      </c>
      <c r="G341" s="10">
        <v>0.72971064814814812</v>
      </c>
      <c r="H341" s="8">
        <f t="shared" si="59"/>
        <v>5.7870370370370301E-2</v>
      </c>
      <c r="I341" s="11">
        <f t="shared" si="2"/>
        <v>0.74128472222222219</v>
      </c>
      <c r="J341" s="8"/>
      <c r="K341" s="8"/>
      <c r="L341" s="8">
        <v>2.0277777777777777E-2</v>
      </c>
      <c r="M341" s="12"/>
      <c r="N341" s="13">
        <f t="shared" si="4"/>
        <v>1.2000000000000015</v>
      </c>
    </row>
    <row r="342" spans="1:14" ht="14.5">
      <c r="A342" s="6">
        <v>45441</v>
      </c>
      <c r="B342" s="47" t="s">
        <v>46</v>
      </c>
      <c r="C342" s="7">
        <v>20</v>
      </c>
      <c r="D342" s="8">
        <v>3.472222222222222E-3</v>
      </c>
      <c r="E342" s="8">
        <f t="shared" si="0"/>
        <v>6.9444444444444448E-2</v>
      </c>
      <c r="F342" s="10">
        <v>0.33812958333874121</v>
      </c>
      <c r="G342" s="10">
        <v>0.38709490740740737</v>
      </c>
      <c r="H342" s="8">
        <f t="shared" si="59"/>
        <v>4.8965324068666161E-2</v>
      </c>
      <c r="I342" s="11">
        <f t="shared" si="2"/>
        <v>0.40757402778318563</v>
      </c>
      <c r="J342" s="8"/>
      <c r="K342" s="8"/>
      <c r="L342" s="8" t="str">
        <f>IF(OR(J342=0,K342=0)," ",K342-J342)</f>
        <v xml:space="preserve"> </v>
      </c>
      <c r="M342" s="12"/>
      <c r="N342" s="13">
        <f t="shared" si="4"/>
        <v>1.4182372069479117</v>
      </c>
    </row>
    <row r="343" spans="1:14" ht="14.5">
      <c r="A343" s="6">
        <v>45441</v>
      </c>
      <c r="B343" s="47" t="s">
        <v>46</v>
      </c>
      <c r="C343" s="7">
        <v>23</v>
      </c>
      <c r="D343" s="8">
        <v>3.472222222222222E-3</v>
      </c>
      <c r="E343" s="8">
        <f t="shared" si="0"/>
        <v>7.9861111111111105E-2</v>
      </c>
      <c r="F343" s="10">
        <v>0.38709490740740737</v>
      </c>
      <c r="G343" s="10">
        <v>0.47881944444444446</v>
      </c>
      <c r="H343" s="8">
        <f t="shared" si="59"/>
        <v>7.1388888888888946E-2</v>
      </c>
      <c r="I343" s="11">
        <f t="shared" si="2"/>
        <v>0.48729166666666662</v>
      </c>
      <c r="J343" s="8"/>
      <c r="K343" s="8"/>
      <c r="L343" s="8">
        <v>2.0335648148148148E-2</v>
      </c>
      <c r="M343" s="12"/>
      <c r="N343" s="13">
        <f t="shared" si="4"/>
        <v>1.1186770428015553</v>
      </c>
    </row>
    <row r="344" spans="1:14" ht="14.5">
      <c r="A344" s="6">
        <v>45441</v>
      </c>
      <c r="B344" s="47" t="s">
        <v>37</v>
      </c>
      <c r="C344" s="7">
        <v>42</v>
      </c>
      <c r="D344" s="8">
        <v>1.3888888888888889E-3</v>
      </c>
      <c r="E344" s="8">
        <f t="shared" si="0"/>
        <v>5.8333333333333334E-2</v>
      </c>
      <c r="F344" s="10">
        <v>0.47881944444444446</v>
      </c>
      <c r="G344" s="10">
        <v>0.53186342592592595</v>
      </c>
      <c r="H344" s="8">
        <f t="shared" si="59"/>
        <v>5.3043981481481484E-2</v>
      </c>
      <c r="I344" s="11">
        <f t="shared" si="2"/>
        <v>0.53715277777777781</v>
      </c>
      <c r="J344" s="8"/>
      <c r="K344" s="8"/>
      <c r="L344" s="8" t="str">
        <f t="shared" ref="L344:L345" si="74">IF(OR(J344=0,K344=0)," ",K344-J344)</f>
        <v xml:space="preserve"> </v>
      </c>
      <c r="M344" s="12"/>
      <c r="N344" s="13">
        <f t="shared" si="4"/>
        <v>1.099716343006764</v>
      </c>
    </row>
    <row r="345" spans="1:14" ht="14.5">
      <c r="A345" s="6">
        <v>45441</v>
      </c>
      <c r="B345" s="47" t="s">
        <v>28</v>
      </c>
      <c r="C345" s="7">
        <v>42</v>
      </c>
      <c r="D345" s="8">
        <v>1.3888888888888889E-3</v>
      </c>
      <c r="E345" s="8">
        <f t="shared" si="0"/>
        <v>5.8333333333333334E-2</v>
      </c>
      <c r="F345" s="10">
        <f t="shared" ref="F345:F346" si="75">G344</f>
        <v>0.53186342592592595</v>
      </c>
      <c r="G345" s="10">
        <v>0.5907175925925926</v>
      </c>
      <c r="H345" s="8">
        <f t="shared" si="59"/>
        <v>5.8854166666666652E-2</v>
      </c>
      <c r="I345" s="11">
        <f t="shared" si="2"/>
        <v>0.5901967592592593</v>
      </c>
      <c r="J345" s="8"/>
      <c r="K345" s="8"/>
      <c r="L345" s="8" t="str">
        <f t="shared" si="74"/>
        <v xml:space="preserve"> </v>
      </c>
      <c r="M345" s="18" t="s">
        <v>141</v>
      </c>
      <c r="N345" s="13">
        <f t="shared" si="4"/>
        <v>0.99115044247787643</v>
      </c>
    </row>
    <row r="346" spans="1:14" ht="14.5">
      <c r="A346" s="6">
        <v>45441</v>
      </c>
      <c r="B346" s="47" t="s">
        <v>20</v>
      </c>
      <c r="C346" s="7">
        <v>35</v>
      </c>
      <c r="D346" s="8">
        <v>2.0833333333333333E-3</v>
      </c>
      <c r="E346" s="8">
        <f t="shared" si="0"/>
        <v>7.2916666666666671E-2</v>
      </c>
      <c r="F346" s="10">
        <f t="shared" si="75"/>
        <v>0.5907175925925926</v>
      </c>
      <c r="G346" s="10">
        <v>0.71149305555555553</v>
      </c>
      <c r="H346" s="8">
        <f t="shared" si="59"/>
        <v>6.6990740740740712E-2</v>
      </c>
      <c r="I346" s="11">
        <f t="shared" si="2"/>
        <v>0.71741898148148142</v>
      </c>
      <c r="J346" s="8"/>
      <c r="K346" s="8"/>
      <c r="L346" s="8">
        <v>5.378472222222222E-2</v>
      </c>
      <c r="M346" s="12"/>
      <c r="N346" s="13">
        <f t="shared" si="4"/>
        <v>1.088458880442295</v>
      </c>
    </row>
    <row r="347" spans="1:14" ht="14.5">
      <c r="A347" s="6">
        <v>45441</v>
      </c>
      <c r="B347" s="47" t="s">
        <v>50</v>
      </c>
      <c r="C347" s="7">
        <v>1</v>
      </c>
      <c r="D347" s="8">
        <v>1.0416666666666666E-2</v>
      </c>
      <c r="E347" s="8">
        <f t="shared" si="0"/>
        <v>1.0416666666666666E-2</v>
      </c>
      <c r="F347" s="10">
        <v>0.63520833333333337</v>
      </c>
      <c r="G347" s="10">
        <v>0.64518518518518519</v>
      </c>
      <c r="H347" s="8">
        <f t="shared" si="59"/>
        <v>9.9768518518518201E-3</v>
      </c>
      <c r="I347" s="11">
        <f t="shared" si="2"/>
        <v>0.645625</v>
      </c>
      <c r="J347" s="8"/>
      <c r="K347" s="8"/>
      <c r="L347" s="8" t="str">
        <f t="shared" ref="L347:L351" si="76">IF(OR(J347=0,K347=0)," ",K347-J347)</f>
        <v xml:space="preserve"> </v>
      </c>
      <c r="M347" s="12"/>
      <c r="N347" s="13">
        <f t="shared" si="4"/>
        <v>1.0440835266821378</v>
      </c>
    </row>
    <row r="348" spans="1:14" ht="14.5">
      <c r="A348" s="6">
        <v>45441</v>
      </c>
      <c r="B348" s="47" t="s">
        <v>51</v>
      </c>
      <c r="C348" s="7">
        <v>1</v>
      </c>
      <c r="D348" s="8">
        <v>1.0416666666666666E-2</v>
      </c>
      <c r="E348" s="8">
        <f t="shared" si="0"/>
        <v>1.0416666666666666E-2</v>
      </c>
      <c r="F348" s="10">
        <v>0.64518518518518519</v>
      </c>
      <c r="G348" s="10">
        <v>0.65500000000000003</v>
      </c>
      <c r="H348" s="8">
        <f t="shared" si="59"/>
        <v>9.8148148148148318E-3</v>
      </c>
      <c r="I348" s="11">
        <f t="shared" si="2"/>
        <v>0.65560185185185182</v>
      </c>
      <c r="J348" s="8"/>
      <c r="K348" s="8"/>
      <c r="L348" s="8" t="str">
        <f t="shared" si="76"/>
        <v xml:space="preserve"> </v>
      </c>
      <c r="M348" s="12"/>
      <c r="N348" s="13">
        <f t="shared" si="4"/>
        <v>1.0613207547169792</v>
      </c>
    </row>
    <row r="349" spans="1:14" ht="14.5">
      <c r="A349" s="6">
        <v>45441</v>
      </c>
      <c r="B349" s="47" t="s">
        <v>52</v>
      </c>
      <c r="C349" s="7">
        <v>1</v>
      </c>
      <c r="D349" s="8">
        <v>1.0416666666666666E-2</v>
      </c>
      <c r="E349" s="8">
        <f t="shared" si="0"/>
        <v>1.0416666666666666E-2</v>
      </c>
      <c r="F349" s="10">
        <v>0.68178240740740736</v>
      </c>
      <c r="G349" s="10">
        <v>0.69178240740740737</v>
      </c>
      <c r="H349" s="8">
        <f t="shared" si="59"/>
        <v>1.0000000000000009E-2</v>
      </c>
      <c r="I349" s="11">
        <f t="shared" si="2"/>
        <v>0.69219907407407399</v>
      </c>
      <c r="J349" s="8"/>
      <c r="K349" s="8"/>
      <c r="L349" s="8" t="str">
        <f t="shared" si="76"/>
        <v xml:space="preserve"> </v>
      </c>
      <c r="M349" s="12"/>
      <c r="N349" s="13">
        <f t="shared" si="4"/>
        <v>1.0416666666666656</v>
      </c>
    </row>
    <row r="350" spans="1:14" ht="14.5">
      <c r="A350" s="6">
        <v>45442</v>
      </c>
      <c r="B350" s="47" t="s">
        <v>42</v>
      </c>
      <c r="C350" s="7">
        <v>1</v>
      </c>
      <c r="D350" s="8">
        <v>6.9444444444444441E-3</v>
      </c>
      <c r="E350" s="8">
        <f t="shared" si="0"/>
        <v>6.9444444444444441E-3</v>
      </c>
      <c r="F350" s="10">
        <v>0.33340277777777777</v>
      </c>
      <c r="G350" s="10">
        <v>0.34030092592592592</v>
      </c>
      <c r="H350" s="8">
        <f t="shared" si="59"/>
        <v>6.8981481481481532E-3</v>
      </c>
      <c r="I350" s="11">
        <f t="shared" si="2"/>
        <v>0.34034722222222219</v>
      </c>
      <c r="J350" s="8"/>
      <c r="K350" s="8"/>
      <c r="L350" s="8" t="str">
        <f t="shared" si="76"/>
        <v xml:space="preserve"> </v>
      </c>
      <c r="M350" s="12"/>
      <c r="N350" s="13">
        <f t="shared" si="4"/>
        <v>1.0067114093959724</v>
      </c>
    </row>
    <row r="351" spans="1:14" ht="14.5">
      <c r="A351" s="6">
        <v>45442</v>
      </c>
      <c r="B351" s="47" t="s">
        <v>43</v>
      </c>
      <c r="C351" s="7">
        <v>1</v>
      </c>
      <c r="D351" s="8">
        <v>3.4722222222222224E-2</v>
      </c>
      <c r="E351" s="8">
        <f t="shared" si="0"/>
        <v>3.4722222222222224E-2</v>
      </c>
      <c r="F351" s="10">
        <v>0.34030092592592592</v>
      </c>
      <c r="G351" s="10">
        <v>0.3722685185185185</v>
      </c>
      <c r="H351" s="8">
        <f t="shared" si="59"/>
        <v>3.1967592592592575E-2</v>
      </c>
      <c r="I351" s="11">
        <f t="shared" si="2"/>
        <v>0.37502314814814813</v>
      </c>
      <c r="J351" s="8"/>
      <c r="K351" s="8"/>
      <c r="L351" s="8" t="str">
        <f t="shared" si="76"/>
        <v xml:space="preserve"> </v>
      </c>
      <c r="M351" s="12"/>
      <c r="N351" s="13">
        <f t="shared" si="4"/>
        <v>1.0861694424330202</v>
      </c>
    </row>
    <row r="352" spans="1:14" ht="14.5">
      <c r="A352" s="6">
        <v>45442</v>
      </c>
      <c r="B352" s="47" t="s">
        <v>29</v>
      </c>
      <c r="C352" s="7">
        <v>49</v>
      </c>
      <c r="D352" s="8">
        <v>2.0833333333333333E-3</v>
      </c>
      <c r="E352" s="8">
        <f t="shared" si="0"/>
        <v>0.10208333333333333</v>
      </c>
      <c r="F352" s="10">
        <v>0.3722685185185185</v>
      </c>
      <c r="G352" s="10">
        <v>0.48993055555555554</v>
      </c>
      <c r="H352" s="8">
        <f t="shared" si="59"/>
        <v>9.5520833333333333E-2</v>
      </c>
      <c r="I352" s="11">
        <f t="shared" si="2"/>
        <v>0.49649305555555551</v>
      </c>
      <c r="J352" s="8"/>
      <c r="K352" s="8"/>
      <c r="L352" s="8">
        <v>2.2141203703703705E-2</v>
      </c>
      <c r="M352" s="12"/>
      <c r="N352" s="13">
        <f t="shared" si="4"/>
        <v>1.0687022900763359</v>
      </c>
    </row>
    <row r="353" spans="1:14" ht="14.5">
      <c r="A353" s="6">
        <v>45442</v>
      </c>
      <c r="B353" s="47" t="s">
        <v>46</v>
      </c>
      <c r="C353" s="7">
        <v>38</v>
      </c>
      <c r="D353" s="8">
        <v>3.472222222222222E-3</v>
      </c>
      <c r="E353" s="8">
        <f t="shared" si="0"/>
        <v>0.13194444444444445</v>
      </c>
      <c r="F353" s="10">
        <v>0.48993055555555554</v>
      </c>
      <c r="G353" s="10">
        <v>0.60804398148148153</v>
      </c>
      <c r="H353" s="8">
        <f t="shared" si="59"/>
        <v>0.118113425925926</v>
      </c>
      <c r="I353" s="11">
        <f t="shared" si="2"/>
        <v>0.62187499999999996</v>
      </c>
      <c r="J353" s="8"/>
      <c r="K353" s="8"/>
      <c r="L353" s="8" t="str">
        <f>IF(OR(J353=0,K353=0)," ",K353-J353)</f>
        <v xml:space="preserve"> </v>
      </c>
      <c r="M353" s="12"/>
      <c r="N353" s="13">
        <f t="shared" si="4"/>
        <v>1.117099461048505</v>
      </c>
    </row>
    <row r="354" spans="1:14" ht="14.5">
      <c r="A354" s="6">
        <v>45442</v>
      </c>
      <c r="B354" s="47" t="s">
        <v>50</v>
      </c>
      <c r="C354" s="7">
        <v>1</v>
      </c>
      <c r="D354" s="8">
        <v>1.0416666666666666E-2</v>
      </c>
      <c r="E354" s="8">
        <f t="shared" si="0"/>
        <v>1.0416666666666666E-2</v>
      </c>
      <c r="F354" s="10">
        <v>0.60805555555555557</v>
      </c>
      <c r="G354" s="10">
        <v>0.66062500000000002</v>
      </c>
      <c r="H354" s="8">
        <f t="shared" si="59"/>
        <v>9.8148148148148179E-3</v>
      </c>
      <c r="I354" s="11">
        <f t="shared" si="2"/>
        <v>0.66122685185185182</v>
      </c>
      <c r="J354" s="8"/>
      <c r="K354" s="8"/>
      <c r="L354" s="8">
        <v>4.2754629629629629E-2</v>
      </c>
      <c r="M354" s="12"/>
      <c r="N354" s="13">
        <f t="shared" si="4"/>
        <v>1.0613207547169807</v>
      </c>
    </row>
    <row r="355" spans="1:14" ht="14.5">
      <c r="A355" s="6">
        <v>45442</v>
      </c>
      <c r="B355" s="47" t="s">
        <v>51</v>
      </c>
      <c r="C355" s="7">
        <v>2</v>
      </c>
      <c r="D355" s="8">
        <v>1.0416666666666666E-2</v>
      </c>
      <c r="E355" s="8">
        <f t="shared" si="0"/>
        <v>2.0833333333333332E-2</v>
      </c>
      <c r="F355" s="10">
        <v>0.66062500000000002</v>
      </c>
      <c r="G355" s="10">
        <v>0.6807523148148148</v>
      </c>
      <c r="H355" s="8">
        <f t="shared" si="59"/>
        <v>2.0127314814814778E-2</v>
      </c>
      <c r="I355" s="11">
        <f t="shared" si="2"/>
        <v>0.68145833333333339</v>
      </c>
      <c r="J355" s="8"/>
      <c r="K355" s="8"/>
      <c r="L355" s="8" t="str">
        <f>IF(OR(J355=0,K355=0)," ",K355-J355)</f>
        <v xml:space="preserve"> </v>
      </c>
      <c r="M355" s="18" t="s">
        <v>142</v>
      </c>
      <c r="N355" s="13">
        <f t="shared" si="4"/>
        <v>1.0350776308223135</v>
      </c>
    </row>
    <row r="356" spans="1:14" ht="14.5">
      <c r="A356" s="6">
        <v>45442</v>
      </c>
      <c r="B356" s="47" t="s">
        <v>46</v>
      </c>
      <c r="C356" s="7">
        <v>3</v>
      </c>
      <c r="D356" s="8">
        <v>3.472222222222222E-3</v>
      </c>
      <c r="E356" s="8">
        <f t="shared" si="0"/>
        <v>1.0416666666666666E-2</v>
      </c>
      <c r="F356" s="10">
        <v>0.6807523148148148</v>
      </c>
      <c r="G356" s="10">
        <v>0.70980324074074075</v>
      </c>
      <c r="H356" s="8">
        <f>IF(G356="","",IF(L356="",G356-F356,((G356-F356)-L356)))</f>
        <v>9.2013888888889152E-3</v>
      </c>
      <c r="I356" s="11">
        <f t="shared" si="2"/>
        <v>0.71101851851851849</v>
      </c>
      <c r="J356" s="8"/>
      <c r="K356" s="8"/>
      <c r="L356" s="8">
        <v>1.9849537037037037E-2</v>
      </c>
      <c r="M356" s="12"/>
      <c r="N356" s="13">
        <f t="shared" si="4"/>
        <v>1.1320754716981098</v>
      </c>
    </row>
    <row r="357" spans="1:14" ht="14.5">
      <c r="A357" s="6">
        <v>45443</v>
      </c>
      <c r="B357" s="47" t="s">
        <v>46</v>
      </c>
      <c r="C357" s="7">
        <v>20</v>
      </c>
      <c r="D357" s="8">
        <v>3.472222222222222E-3</v>
      </c>
      <c r="E357" s="8">
        <f t="shared" si="0"/>
        <v>6.9444444444444448E-2</v>
      </c>
      <c r="F357" s="10">
        <v>0.33252314814814815</v>
      </c>
      <c r="G357" s="10">
        <v>0.39072916666666668</v>
      </c>
      <c r="H357" s="8">
        <f t="shared" ref="H357:H833" si="77">IF(G357="","", IF(L357=" ",IF(OR(F357=0,G357=0)," ",G357-F357),((G357-F357)-L357)))</f>
        <v>5.8206018518518532E-2</v>
      </c>
      <c r="I357" s="11">
        <f t="shared" si="2"/>
        <v>0.40196759259259263</v>
      </c>
      <c r="J357" s="8"/>
      <c r="K357" s="8"/>
      <c r="L357" s="8" t="str">
        <f>IF(OR(J357=0,K357=0)," ",K357-J357)</f>
        <v xml:space="preserve"> </v>
      </c>
      <c r="M357" s="12"/>
      <c r="N357" s="13">
        <f t="shared" si="4"/>
        <v>1.1930801352157485</v>
      </c>
    </row>
    <row r="358" spans="1:14" ht="14.5">
      <c r="A358" s="6">
        <v>45443</v>
      </c>
      <c r="B358" s="47" t="s">
        <v>44</v>
      </c>
      <c r="C358" s="7">
        <v>9</v>
      </c>
      <c r="D358" s="8">
        <v>3.472222222222222E-3</v>
      </c>
      <c r="E358" s="8">
        <f t="shared" si="0"/>
        <v>3.125E-2</v>
      </c>
      <c r="F358" s="10">
        <v>0.39072916666666668</v>
      </c>
      <c r="G358" s="10">
        <v>0.44598379629629625</v>
      </c>
      <c r="H358" s="8">
        <f t="shared" si="77"/>
        <v>3.0416666666666606E-2</v>
      </c>
      <c r="I358" s="11">
        <f t="shared" si="2"/>
        <v>0.44681712962962966</v>
      </c>
      <c r="J358" s="8"/>
      <c r="K358" s="8"/>
      <c r="L358" s="8">
        <v>2.4837962962962964E-2</v>
      </c>
      <c r="M358" s="12"/>
      <c r="N358" s="13">
        <f t="shared" si="4"/>
        <v>1.0273972602739747</v>
      </c>
    </row>
    <row r="359" spans="1:14" ht="14.5">
      <c r="A359" s="6">
        <v>45443</v>
      </c>
      <c r="B359" s="47" t="s">
        <v>46</v>
      </c>
      <c r="C359" s="7">
        <v>48</v>
      </c>
      <c r="D359" s="8">
        <v>3.472222222222222E-3</v>
      </c>
      <c r="E359" s="8">
        <f t="shared" si="0"/>
        <v>0.16666666666666666</v>
      </c>
      <c r="F359" s="10">
        <v>0.44598379629629625</v>
      </c>
      <c r="G359" s="10">
        <v>0.61994212962962958</v>
      </c>
      <c r="H359" s="8">
        <f t="shared" si="77"/>
        <v>0.15366898148148148</v>
      </c>
      <c r="I359" s="11">
        <f t="shared" si="2"/>
        <v>0.63293981481481476</v>
      </c>
      <c r="J359" s="8"/>
      <c r="K359" s="8"/>
      <c r="L359" s="8">
        <v>2.0289351851851854E-2</v>
      </c>
      <c r="M359" s="12"/>
      <c r="N359" s="13">
        <f t="shared" si="4"/>
        <v>1.0845823604729985</v>
      </c>
    </row>
    <row r="360" spans="1:14" ht="14.5">
      <c r="A360" s="6">
        <v>45443</v>
      </c>
      <c r="B360" s="47" t="s">
        <v>50</v>
      </c>
      <c r="C360" s="7">
        <v>1</v>
      </c>
      <c r="D360" s="8">
        <v>1.0416666666666666E-2</v>
      </c>
      <c r="E360" s="8">
        <f t="shared" si="0"/>
        <v>1.0416666666666666E-2</v>
      </c>
      <c r="F360" s="10">
        <v>0.61994212962962958</v>
      </c>
      <c r="G360" s="10">
        <v>0.6568518518518518</v>
      </c>
      <c r="H360" s="8">
        <f t="shared" si="77"/>
        <v>9.9884259259259214E-3</v>
      </c>
      <c r="I360" s="11">
        <f t="shared" si="2"/>
        <v>0.65728009259259246</v>
      </c>
      <c r="J360" s="8"/>
      <c r="K360" s="8"/>
      <c r="L360" s="8">
        <v>2.6921296296296297E-2</v>
      </c>
      <c r="M360" s="12"/>
      <c r="N360" s="13">
        <f t="shared" si="4"/>
        <v>1.04287369640788</v>
      </c>
    </row>
    <row r="361" spans="1:14" ht="14.5">
      <c r="A361" s="6">
        <v>45443</v>
      </c>
      <c r="B361" s="47" t="s">
        <v>51</v>
      </c>
      <c r="C361" s="7">
        <v>1</v>
      </c>
      <c r="D361" s="8">
        <v>1.0416666666666666E-2</v>
      </c>
      <c r="E361" s="8">
        <f t="shared" si="0"/>
        <v>1.0416666666666666E-2</v>
      </c>
      <c r="F361" s="10">
        <f t="shared" ref="F361:F362" si="78">G360</f>
        <v>0.6568518518518518</v>
      </c>
      <c r="G361" s="10">
        <v>0.66688657407407403</v>
      </c>
      <c r="H361" s="8">
        <f t="shared" si="77"/>
        <v>1.0034722222222237E-2</v>
      </c>
      <c r="I361" s="11">
        <f t="shared" si="2"/>
        <v>0.66726851851851843</v>
      </c>
      <c r="J361" s="8"/>
      <c r="K361" s="8"/>
      <c r="L361" s="8" t="str">
        <f t="shared" ref="L361:L364" si="79">IF(OR(J361=0,K361=0)," ",K361-J361)</f>
        <v xml:space="preserve"> </v>
      </c>
      <c r="M361" s="12"/>
      <c r="N361" s="13">
        <f t="shared" si="4"/>
        <v>1.0380622837370226</v>
      </c>
    </row>
    <row r="362" spans="1:14" ht="14.5">
      <c r="A362" s="6">
        <v>45443</v>
      </c>
      <c r="B362" s="47" t="s">
        <v>52</v>
      </c>
      <c r="C362" s="7">
        <v>1</v>
      </c>
      <c r="D362" s="8">
        <v>1.0416666666666666E-2</v>
      </c>
      <c r="E362" s="8">
        <f t="shared" si="0"/>
        <v>1.0416666666666666E-2</v>
      </c>
      <c r="F362" s="10">
        <f t="shared" si="78"/>
        <v>0.66688657407407403</v>
      </c>
      <c r="G362" s="10">
        <v>0.67728009259259259</v>
      </c>
      <c r="H362" s="8">
        <f t="shared" si="77"/>
        <v>1.0393518518518552E-2</v>
      </c>
      <c r="I362" s="11">
        <f t="shared" si="2"/>
        <v>0.67730324074074066</v>
      </c>
      <c r="J362" s="8"/>
      <c r="K362" s="8"/>
      <c r="L362" s="8" t="str">
        <f t="shared" si="79"/>
        <v xml:space="preserve"> </v>
      </c>
      <c r="M362" s="12"/>
      <c r="N362" s="13">
        <f t="shared" si="4"/>
        <v>1.0022271714922015</v>
      </c>
    </row>
    <row r="363" spans="1:14" ht="14.5">
      <c r="A363" s="6">
        <v>45443</v>
      </c>
      <c r="B363" s="47" t="s">
        <v>46</v>
      </c>
      <c r="C363" s="7">
        <v>10</v>
      </c>
      <c r="D363" s="8">
        <v>3.472222222222222E-3</v>
      </c>
      <c r="E363" s="8">
        <f t="shared" si="0"/>
        <v>3.4722222222222224E-2</v>
      </c>
      <c r="F363" s="10">
        <v>0.67728009259259259</v>
      </c>
      <c r="G363" s="10">
        <v>0.70917824074074076</v>
      </c>
      <c r="H363" s="8">
        <f t="shared" si="77"/>
        <v>3.1898148148148175E-2</v>
      </c>
      <c r="I363" s="11">
        <f t="shared" si="2"/>
        <v>0.7120023148148148</v>
      </c>
      <c r="J363" s="8"/>
      <c r="K363" s="8"/>
      <c r="L363" s="8" t="str">
        <f t="shared" si="79"/>
        <v xml:space="preserve"> </v>
      </c>
      <c r="M363" s="12"/>
      <c r="N363" s="13">
        <f t="shared" si="4"/>
        <v>1.0885341074020309</v>
      </c>
    </row>
    <row r="364" spans="1:14" ht="14.5">
      <c r="A364" s="6">
        <v>45446</v>
      </c>
      <c r="B364" s="47" t="s">
        <v>28</v>
      </c>
      <c r="C364" s="7">
        <v>90</v>
      </c>
      <c r="D364" s="8">
        <v>1.3888888888888889E-3</v>
      </c>
      <c r="E364" s="58">
        <f t="shared" si="0"/>
        <v>0.125</v>
      </c>
      <c r="F364" s="10">
        <v>0.32947916666666666</v>
      </c>
      <c r="G364" s="10">
        <v>0.45185185185185184</v>
      </c>
      <c r="H364" s="8">
        <f t="shared" si="77"/>
        <v>0.12237268518518518</v>
      </c>
      <c r="I364" s="11">
        <f t="shared" si="2"/>
        <v>0.45447916666666666</v>
      </c>
      <c r="J364" s="8"/>
      <c r="K364" s="8"/>
      <c r="L364" s="8" t="str">
        <f t="shared" si="79"/>
        <v xml:space="preserve"> </v>
      </c>
      <c r="M364" s="12"/>
      <c r="N364" s="13">
        <f t="shared" si="4"/>
        <v>1.0214697815189635</v>
      </c>
    </row>
    <row r="365" spans="1:14" ht="14.5">
      <c r="A365" s="6">
        <v>45446</v>
      </c>
      <c r="B365" s="47" t="s">
        <v>28</v>
      </c>
      <c r="C365" s="7">
        <v>65</v>
      </c>
      <c r="D365" s="8">
        <v>1.3888888888888889E-3</v>
      </c>
      <c r="E365" s="58">
        <f t="shared" si="0"/>
        <v>9.0277777777777776E-2</v>
      </c>
      <c r="F365" s="10">
        <v>0.45185185185185184</v>
      </c>
      <c r="G365" s="8">
        <v>0.56383101851851847</v>
      </c>
      <c r="H365" s="8">
        <f t="shared" si="77"/>
        <v>8.7615740740740702E-2</v>
      </c>
      <c r="I365" s="11">
        <f t="shared" si="2"/>
        <v>0.56649305555555551</v>
      </c>
      <c r="J365" s="8"/>
      <c r="K365" s="8"/>
      <c r="L365" s="8">
        <v>2.4363425925925927E-2</v>
      </c>
      <c r="M365" s="12"/>
      <c r="N365" s="13">
        <f t="shared" si="4"/>
        <v>1.030383091149274</v>
      </c>
    </row>
    <row r="366" spans="1:14" ht="14.5">
      <c r="A366" s="6">
        <v>45446</v>
      </c>
      <c r="B366" s="47" t="s">
        <v>42</v>
      </c>
      <c r="C366" s="7">
        <v>1</v>
      </c>
      <c r="D366" s="8">
        <v>6.9444444444444441E-3</v>
      </c>
      <c r="E366" s="58">
        <f t="shared" si="0"/>
        <v>6.9444444444444441E-3</v>
      </c>
      <c r="F366" s="8">
        <v>0.56383101851851847</v>
      </c>
      <c r="G366" s="8">
        <v>0.57055555555555559</v>
      </c>
      <c r="H366" s="8">
        <f t="shared" si="77"/>
        <v>6.724537037037126E-3</v>
      </c>
      <c r="I366" s="11">
        <f t="shared" si="2"/>
        <v>0.57077546296296289</v>
      </c>
      <c r="J366" s="8"/>
      <c r="K366" s="8"/>
      <c r="L366" s="8" t="str">
        <f t="shared" ref="L366:L370" si="80">IF(OR(J366=0,K366=0)," ",K366-J366)</f>
        <v xml:space="preserve"> </v>
      </c>
      <c r="M366" s="12"/>
      <c r="N366" s="13">
        <f t="shared" si="4"/>
        <v>1.0327022375215009</v>
      </c>
    </row>
    <row r="367" spans="1:14" ht="14.5">
      <c r="A367" s="6">
        <v>45446</v>
      </c>
      <c r="B367" s="47" t="s">
        <v>43</v>
      </c>
      <c r="C367" s="7">
        <v>1</v>
      </c>
      <c r="D367" s="8">
        <v>3.4722222222222224E-2</v>
      </c>
      <c r="E367" s="58">
        <f t="shared" si="0"/>
        <v>3.4722222222222224E-2</v>
      </c>
      <c r="F367" s="8">
        <v>0.57055555555555559</v>
      </c>
      <c r="G367" s="10">
        <v>0.6050578703703704</v>
      </c>
      <c r="H367" s="8">
        <f t="shared" si="77"/>
        <v>3.4502314814814805E-2</v>
      </c>
      <c r="I367" s="11">
        <f t="shared" si="2"/>
        <v>0.6052777777777778</v>
      </c>
      <c r="J367" s="8"/>
      <c r="K367" s="8"/>
      <c r="L367" s="8" t="str">
        <f t="shared" si="80"/>
        <v xml:space="preserve"> </v>
      </c>
      <c r="M367" s="12"/>
      <c r="N367" s="13">
        <f t="shared" si="4"/>
        <v>1.0063737001006376</v>
      </c>
    </row>
    <row r="368" spans="1:14" ht="14.5">
      <c r="A368" s="6">
        <v>45446</v>
      </c>
      <c r="B368" s="47" t="s">
        <v>51</v>
      </c>
      <c r="C368" s="7">
        <v>1</v>
      </c>
      <c r="D368" s="8">
        <v>1.0416666666666666E-2</v>
      </c>
      <c r="E368" s="58">
        <f t="shared" si="0"/>
        <v>1.0416666666666666E-2</v>
      </c>
      <c r="F368" s="10">
        <v>0.6050578703703704</v>
      </c>
      <c r="G368" s="10">
        <v>0.61524305555555558</v>
      </c>
      <c r="H368" s="8">
        <f t="shared" si="77"/>
        <v>1.0185185185185186E-2</v>
      </c>
      <c r="I368" s="11">
        <f t="shared" si="2"/>
        <v>0.61547453703703703</v>
      </c>
      <c r="J368" s="8"/>
      <c r="K368" s="8"/>
      <c r="L368" s="8" t="str">
        <f t="shared" si="80"/>
        <v xml:space="preserve"> </v>
      </c>
      <c r="M368" s="12"/>
      <c r="N368" s="13">
        <f t="shared" si="4"/>
        <v>1.0227272727272725</v>
      </c>
    </row>
    <row r="369" spans="1:14" ht="14.5">
      <c r="A369" s="6">
        <v>45446</v>
      </c>
      <c r="B369" s="47" t="s">
        <v>50</v>
      </c>
      <c r="C369" s="7">
        <v>1</v>
      </c>
      <c r="D369" s="8">
        <v>1.0416666666666666E-2</v>
      </c>
      <c r="E369" s="58">
        <f t="shared" si="0"/>
        <v>1.0416666666666666E-2</v>
      </c>
      <c r="F369" s="10">
        <v>0.61524305555555558</v>
      </c>
      <c r="G369" s="10">
        <v>0.62515046296296295</v>
      </c>
      <c r="H369" s="8">
        <f t="shared" si="77"/>
        <v>9.9074074074073648E-3</v>
      </c>
      <c r="I369" s="11">
        <f t="shared" si="2"/>
        <v>0.62565972222222221</v>
      </c>
      <c r="J369" s="8"/>
      <c r="K369" s="8"/>
      <c r="L369" s="8" t="str">
        <f t="shared" si="80"/>
        <v xml:space="preserve"> </v>
      </c>
      <c r="M369" s="12"/>
      <c r="N369" s="13">
        <f t="shared" si="4"/>
        <v>1.0514018691588829</v>
      </c>
    </row>
    <row r="370" spans="1:14" ht="14.5">
      <c r="A370" s="6">
        <v>45446</v>
      </c>
      <c r="B370" s="47" t="s">
        <v>52</v>
      </c>
      <c r="C370" s="7">
        <v>1</v>
      </c>
      <c r="D370" s="8">
        <v>1.0416666666666666E-2</v>
      </c>
      <c r="E370" s="58">
        <f t="shared" si="0"/>
        <v>1.0416666666666666E-2</v>
      </c>
      <c r="F370" s="10">
        <v>0.62515046296296295</v>
      </c>
      <c r="G370" s="10">
        <v>0.63520833333333337</v>
      </c>
      <c r="H370" s="8">
        <f t="shared" si="77"/>
        <v>1.0057870370370425E-2</v>
      </c>
      <c r="I370" s="11">
        <f t="shared" si="2"/>
        <v>0.63556712962962958</v>
      </c>
      <c r="J370" s="8"/>
      <c r="K370" s="8"/>
      <c r="L370" s="8" t="str">
        <f t="shared" si="80"/>
        <v xml:space="preserve"> </v>
      </c>
      <c r="M370" s="12"/>
      <c r="N370" s="13">
        <f t="shared" si="4"/>
        <v>1.0356731875719161</v>
      </c>
    </row>
    <row r="371" spans="1:14" ht="14.5">
      <c r="A371" s="6">
        <v>45446</v>
      </c>
      <c r="B371" s="47" t="s">
        <v>63</v>
      </c>
      <c r="C371" s="7">
        <v>1</v>
      </c>
      <c r="D371" s="8">
        <v>3.4722222222222224E-2</v>
      </c>
      <c r="E371" s="58">
        <f t="shared" si="0"/>
        <v>3.4722222222222224E-2</v>
      </c>
      <c r="F371" s="10">
        <v>0.63520833333333337</v>
      </c>
      <c r="G371" s="10">
        <v>0.69137731481481479</v>
      </c>
      <c r="H371" s="8">
        <f t="shared" si="77"/>
        <v>3.3634259259259197E-2</v>
      </c>
      <c r="I371" s="11">
        <f t="shared" si="2"/>
        <v>0.69246527777777778</v>
      </c>
      <c r="J371" s="8"/>
      <c r="K371" s="8"/>
      <c r="L371" s="8">
        <v>2.2534722222222223E-2</v>
      </c>
      <c r="M371" s="12"/>
      <c r="N371" s="13">
        <f t="shared" si="4"/>
        <v>1.0323468685478341</v>
      </c>
    </row>
    <row r="372" spans="1:14" ht="14.5">
      <c r="A372" s="6">
        <v>45446</v>
      </c>
      <c r="B372" s="47" t="s">
        <v>20</v>
      </c>
      <c r="C372" s="7">
        <v>10</v>
      </c>
      <c r="D372" s="8">
        <v>2.0833333333333333E-3</v>
      </c>
      <c r="E372" s="58">
        <f t="shared" si="0"/>
        <v>2.0833333333333332E-2</v>
      </c>
      <c r="F372" s="10">
        <v>0.69137731481481479</v>
      </c>
      <c r="G372" s="10">
        <v>0.71008101851851857</v>
      </c>
      <c r="H372" s="8">
        <f t="shared" si="77"/>
        <v>1.8703703703703778E-2</v>
      </c>
      <c r="I372" s="11">
        <f t="shared" si="2"/>
        <v>0.71221064814814816</v>
      </c>
      <c r="J372" s="8"/>
      <c r="K372" s="8"/>
      <c r="L372" s="8" t="str">
        <f t="shared" ref="L372:L374" si="81">IF(OR(J372=0,K372=0)," ",K372-J372)</f>
        <v xml:space="preserve"> </v>
      </c>
      <c r="M372" s="18" t="s">
        <v>143</v>
      </c>
      <c r="N372" s="13">
        <f t="shared" si="4"/>
        <v>1.1138613861386093</v>
      </c>
    </row>
    <row r="373" spans="1:14" ht="14.5">
      <c r="A373" s="6">
        <v>45447</v>
      </c>
      <c r="B373" s="47" t="s">
        <v>20</v>
      </c>
      <c r="C373" s="7">
        <v>40</v>
      </c>
      <c r="D373" s="8">
        <v>2.0833333333333333E-3</v>
      </c>
      <c r="E373" s="58">
        <f t="shared" si="0"/>
        <v>8.3333333333333329E-2</v>
      </c>
      <c r="F373" s="10">
        <v>0.32723379629629634</v>
      </c>
      <c r="G373" s="10">
        <v>0.40365740740740741</v>
      </c>
      <c r="H373" s="8">
        <f t="shared" si="77"/>
        <v>7.6423611111111067E-2</v>
      </c>
      <c r="I373" s="11">
        <f t="shared" si="2"/>
        <v>0.41056712962962966</v>
      </c>
      <c r="J373" s="8"/>
      <c r="K373" s="8"/>
      <c r="L373" s="8" t="str">
        <f t="shared" si="81"/>
        <v xml:space="preserve"> </v>
      </c>
      <c r="M373" s="12"/>
      <c r="N373" s="13">
        <f t="shared" si="4"/>
        <v>1.0904134484325312</v>
      </c>
    </row>
    <row r="374" spans="1:14" ht="14.5">
      <c r="A374" s="6">
        <v>45447</v>
      </c>
      <c r="B374" s="47" t="s">
        <v>57</v>
      </c>
      <c r="C374" s="7">
        <v>13</v>
      </c>
      <c r="D374" s="8">
        <v>2.7777777777777779E-3</v>
      </c>
      <c r="E374" s="58">
        <f t="shared" si="0"/>
        <v>3.6111111111111115E-2</v>
      </c>
      <c r="F374" s="10">
        <v>0.40365740740740741</v>
      </c>
      <c r="G374" s="10">
        <v>0.43979166666666669</v>
      </c>
      <c r="H374" s="8">
        <f t="shared" si="77"/>
        <v>3.6134259259259283E-2</v>
      </c>
      <c r="I374" s="11">
        <f t="shared" si="2"/>
        <v>0.4397685185185185</v>
      </c>
      <c r="J374" s="8"/>
      <c r="K374" s="8"/>
      <c r="L374" s="8" t="str">
        <f t="shared" si="81"/>
        <v xml:space="preserve"> </v>
      </c>
      <c r="M374" s="12"/>
      <c r="N374" s="13">
        <f t="shared" si="4"/>
        <v>0.99935938500960864</v>
      </c>
    </row>
    <row r="375" spans="1:14" ht="14.5">
      <c r="A375" s="6">
        <v>45447</v>
      </c>
      <c r="B375" s="47" t="s">
        <v>44</v>
      </c>
      <c r="C375" s="7">
        <v>5</v>
      </c>
      <c r="D375" s="8">
        <v>3.472222222222222E-3</v>
      </c>
      <c r="E375" s="58">
        <f t="shared" si="0"/>
        <v>1.7361111111111112E-2</v>
      </c>
      <c r="F375" s="10">
        <v>0.43979166666666669</v>
      </c>
      <c r="G375" s="10">
        <v>0.47965277777777776</v>
      </c>
      <c r="H375" s="8">
        <f t="shared" si="77"/>
        <v>1.5243055555555513E-2</v>
      </c>
      <c r="I375" s="11">
        <f t="shared" si="2"/>
        <v>0.48177083333333337</v>
      </c>
      <c r="J375" s="8"/>
      <c r="K375" s="8"/>
      <c r="L375" s="8">
        <v>2.4618055555555556E-2</v>
      </c>
      <c r="M375" s="12"/>
      <c r="N375" s="13">
        <f t="shared" si="4"/>
        <v>1.1389521640091149</v>
      </c>
    </row>
    <row r="376" spans="1:14" ht="14.5">
      <c r="A376" s="6">
        <v>45447</v>
      </c>
      <c r="B376" s="47" t="s">
        <v>85</v>
      </c>
      <c r="C376" s="7">
        <v>1</v>
      </c>
      <c r="D376" s="8">
        <v>8.3333333333333329E-2</v>
      </c>
      <c r="E376" s="58">
        <f t="shared" si="0"/>
        <v>8.3333333333333329E-2</v>
      </c>
      <c r="F376" s="10">
        <v>0.47965277777777776</v>
      </c>
      <c r="G376" s="10">
        <v>0.56218749999999995</v>
      </c>
      <c r="H376" s="8">
        <f t="shared" si="77"/>
        <v>8.253472222222219E-2</v>
      </c>
      <c r="I376" s="11">
        <f t="shared" si="2"/>
        <v>0.56298611111111108</v>
      </c>
      <c r="J376" s="8"/>
      <c r="K376" s="8"/>
      <c r="L376" s="8" t="str">
        <f t="shared" ref="L376:L380" si="82">IF(OR(J376=0,K376=0)," ",K376-J376)</f>
        <v xml:space="preserve"> </v>
      </c>
      <c r="M376" s="12"/>
      <c r="N376" s="13">
        <f t="shared" si="4"/>
        <v>1.0096760622633576</v>
      </c>
    </row>
    <row r="377" spans="1:14" ht="14.5">
      <c r="A377" s="6">
        <v>45447</v>
      </c>
      <c r="B377" s="47" t="s">
        <v>20</v>
      </c>
      <c r="C377" s="7">
        <v>30</v>
      </c>
      <c r="D377" s="8">
        <v>2.0833333333333333E-3</v>
      </c>
      <c r="E377" s="58">
        <f t="shared" si="0"/>
        <v>6.25E-2</v>
      </c>
      <c r="F377" s="10">
        <v>0.56218749999999995</v>
      </c>
      <c r="G377" s="10">
        <v>0.62296296296296294</v>
      </c>
      <c r="H377" s="8">
        <f t="shared" si="77"/>
        <v>6.0775462962962989E-2</v>
      </c>
      <c r="I377" s="11">
        <f t="shared" si="2"/>
        <v>0.62468749999999995</v>
      </c>
      <c r="J377" s="8"/>
      <c r="K377" s="8"/>
      <c r="L377" s="8" t="str">
        <f t="shared" si="82"/>
        <v xml:space="preserve"> </v>
      </c>
      <c r="M377" s="12"/>
      <c r="N377" s="13">
        <f t="shared" si="4"/>
        <v>1.0283755475147587</v>
      </c>
    </row>
    <row r="378" spans="1:14" ht="14.5">
      <c r="A378" s="6">
        <v>45447</v>
      </c>
      <c r="B378" s="47" t="s">
        <v>50</v>
      </c>
      <c r="C378" s="7">
        <v>1</v>
      </c>
      <c r="D378" s="8">
        <v>1.0416666666666666E-2</v>
      </c>
      <c r="E378" s="58">
        <f t="shared" si="0"/>
        <v>1.0416666666666666E-2</v>
      </c>
      <c r="F378" s="10">
        <v>0.62296296296296294</v>
      </c>
      <c r="G378" s="10">
        <v>0.63309027777777782</v>
      </c>
      <c r="H378" s="8">
        <f t="shared" si="77"/>
        <v>1.0127314814814881E-2</v>
      </c>
      <c r="I378" s="11">
        <f t="shared" si="2"/>
        <v>0.63337962962962957</v>
      </c>
      <c r="J378" s="8"/>
      <c r="K378" s="8"/>
      <c r="L378" s="8" t="str">
        <f t="shared" si="82"/>
        <v xml:space="preserve"> </v>
      </c>
      <c r="M378" s="12"/>
      <c r="N378" s="13">
        <f t="shared" si="4"/>
        <v>1.0285714285714218</v>
      </c>
    </row>
    <row r="379" spans="1:14" ht="14.5">
      <c r="A379" s="6">
        <v>45447</v>
      </c>
      <c r="B379" s="47" t="s">
        <v>51</v>
      </c>
      <c r="C379" s="7">
        <v>1</v>
      </c>
      <c r="D379" s="8">
        <v>1.0416666666666666E-2</v>
      </c>
      <c r="E379" s="58">
        <f t="shared" si="0"/>
        <v>1.0416666666666666E-2</v>
      </c>
      <c r="F379" s="8">
        <f t="shared" ref="F379:F381" si="83">G378</f>
        <v>0.63309027777777782</v>
      </c>
      <c r="G379" s="10">
        <v>0.64324074074074078</v>
      </c>
      <c r="H379" s="8">
        <f t="shared" si="77"/>
        <v>1.0150462962962958E-2</v>
      </c>
      <c r="I379" s="11">
        <f t="shared" si="2"/>
        <v>0.64350694444444445</v>
      </c>
      <c r="J379" s="8"/>
      <c r="K379" s="8"/>
      <c r="L379" s="8" t="str">
        <f t="shared" si="82"/>
        <v xml:space="preserve"> </v>
      </c>
      <c r="M379" s="12"/>
      <c r="N379" s="13">
        <f t="shared" si="4"/>
        <v>1.0262257696693278</v>
      </c>
    </row>
    <row r="380" spans="1:14" ht="14.5">
      <c r="A380" s="6">
        <v>45447</v>
      </c>
      <c r="B380" s="47" t="s">
        <v>52</v>
      </c>
      <c r="C380" s="7">
        <v>1</v>
      </c>
      <c r="D380" s="8">
        <v>1.0416666666666666E-2</v>
      </c>
      <c r="E380" s="58">
        <f t="shared" si="0"/>
        <v>1.0416666666666666E-2</v>
      </c>
      <c r="F380" s="8">
        <f t="shared" si="83"/>
        <v>0.64324074074074078</v>
      </c>
      <c r="G380" s="10">
        <v>0.65313657407407411</v>
      </c>
      <c r="H380" s="8">
        <f t="shared" si="77"/>
        <v>9.8958333333333259E-3</v>
      </c>
      <c r="I380" s="11">
        <f t="shared" si="2"/>
        <v>0.65365740740740741</v>
      </c>
      <c r="J380" s="8"/>
      <c r="K380" s="8"/>
      <c r="L380" s="8" t="str">
        <f t="shared" si="82"/>
        <v xml:space="preserve"> </v>
      </c>
      <c r="M380" s="12"/>
      <c r="N380" s="13">
        <f t="shared" si="4"/>
        <v>1.0526315789473693</v>
      </c>
    </row>
    <row r="381" spans="1:14" ht="14.5">
      <c r="A381" s="6">
        <v>45447</v>
      </c>
      <c r="B381" s="47" t="s">
        <v>20</v>
      </c>
      <c r="C381" s="7">
        <v>18</v>
      </c>
      <c r="D381" s="8">
        <v>2.0833333333333333E-3</v>
      </c>
      <c r="E381" s="58">
        <f t="shared" si="0"/>
        <v>3.7499999999999999E-2</v>
      </c>
      <c r="F381" s="8">
        <f t="shared" si="83"/>
        <v>0.65313657407407411</v>
      </c>
      <c r="G381" s="10">
        <v>0.70966435185185184</v>
      </c>
      <c r="H381" s="8">
        <f t="shared" si="77"/>
        <v>3.5231481481481433E-2</v>
      </c>
      <c r="I381" s="11">
        <f t="shared" si="2"/>
        <v>0.71193287037037034</v>
      </c>
      <c r="J381" s="8"/>
      <c r="K381" s="8"/>
      <c r="L381" s="8">
        <v>2.1296296296296296E-2</v>
      </c>
      <c r="M381" s="12"/>
      <c r="N381" s="13">
        <f t="shared" si="4"/>
        <v>1.0643889618922484</v>
      </c>
    </row>
    <row r="382" spans="1:14" ht="14.5">
      <c r="A382" s="6">
        <v>45448</v>
      </c>
      <c r="B382" s="47" t="s">
        <v>104</v>
      </c>
      <c r="C382" s="7">
        <v>1</v>
      </c>
      <c r="D382" s="8">
        <v>3.4722222222222224E-2</v>
      </c>
      <c r="E382" s="58">
        <f t="shared" si="0"/>
        <v>3.4722222222222224E-2</v>
      </c>
      <c r="F382" s="10">
        <v>0.37452546296296296</v>
      </c>
      <c r="G382" s="10">
        <v>0.40864583333333337</v>
      </c>
      <c r="H382" s="8">
        <f t="shared" si="77"/>
        <v>3.4120370370370412E-2</v>
      </c>
      <c r="I382" s="11">
        <f t="shared" si="2"/>
        <v>0.40924768518518517</v>
      </c>
      <c r="J382" s="8"/>
      <c r="K382" s="8"/>
      <c r="L382" s="8" t="str">
        <f t="shared" ref="L382:L383" si="84">IF(OR(J382=0,K382=0)," ",K382-J382)</f>
        <v xml:space="preserve"> </v>
      </c>
      <c r="M382" s="12"/>
      <c r="N382" s="13">
        <f t="shared" si="4"/>
        <v>1.0176390773405686</v>
      </c>
    </row>
    <row r="383" spans="1:14" ht="14.5">
      <c r="A383" s="6">
        <v>45448</v>
      </c>
      <c r="B383" s="47" t="s">
        <v>20</v>
      </c>
      <c r="C383" s="7">
        <v>22</v>
      </c>
      <c r="D383" s="8">
        <v>2.0833333333333333E-3</v>
      </c>
      <c r="E383" s="58">
        <f t="shared" si="0"/>
        <v>4.583333333333333E-2</v>
      </c>
      <c r="F383" s="10">
        <f>G382</f>
        <v>0.40864583333333337</v>
      </c>
      <c r="G383" s="50">
        <v>0.44877314814814817</v>
      </c>
      <c r="H383" s="8">
        <f t="shared" si="77"/>
        <v>4.0127314814814796E-2</v>
      </c>
      <c r="I383" s="11">
        <f t="shared" si="2"/>
        <v>0.45447916666666671</v>
      </c>
      <c r="J383" s="8"/>
      <c r="K383" s="8"/>
      <c r="L383" s="8" t="str">
        <f t="shared" si="84"/>
        <v xml:space="preserve"> </v>
      </c>
      <c r="M383" s="12"/>
      <c r="N383" s="13">
        <f t="shared" si="4"/>
        <v>1.1421978655898475</v>
      </c>
    </row>
    <row r="384" spans="1:14" ht="14.5">
      <c r="A384" s="6">
        <v>45448</v>
      </c>
      <c r="B384" s="47" t="s">
        <v>44</v>
      </c>
      <c r="C384" s="7">
        <v>3</v>
      </c>
      <c r="D384" s="8">
        <v>3.472222222222222E-3</v>
      </c>
      <c r="E384" s="58">
        <f t="shared" si="0"/>
        <v>1.0416666666666666E-2</v>
      </c>
      <c r="F384" s="50">
        <v>0.44877314814814817</v>
      </c>
      <c r="G384" s="10">
        <v>0.48312500000000003</v>
      </c>
      <c r="H384" s="8">
        <f t="shared" si="77"/>
        <v>9.4444444444444497E-3</v>
      </c>
      <c r="I384" s="11">
        <f t="shared" si="2"/>
        <v>0.48409722222222229</v>
      </c>
      <c r="J384" s="8"/>
      <c r="K384" s="8"/>
      <c r="L384" s="8">
        <v>2.4907407407407406E-2</v>
      </c>
      <c r="M384" s="12"/>
      <c r="N384" s="13">
        <f t="shared" si="4"/>
        <v>1.1029411764705876</v>
      </c>
    </row>
    <row r="385" spans="1:14" ht="14.5">
      <c r="A385" s="6">
        <v>45448</v>
      </c>
      <c r="B385" s="47" t="s">
        <v>20</v>
      </c>
      <c r="C385" s="7">
        <v>60</v>
      </c>
      <c r="D385" s="8">
        <v>2.0833333333333333E-3</v>
      </c>
      <c r="E385" s="58">
        <f t="shared" si="0"/>
        <v>0.125</v>
      </c>
      <c r="F385" s="10">
        <v>0.48312500000000003</v>
      </c>
      <c r="G385" s="10">
        <v>0.59568287037037038</v>
      </c>
      <c r="H385" s="8">
        <f t="shared" si="77"/>
        <v>0.11255787037037035</v>
      </c>
      <c r="I385" s="11">
        <f t="shared" si="2"/>
        <v>0.60812500000000003</v>
      </c>
      <c r="J385" s="8"/>
      <c r="K385" s="8"/>
      <c r="L385" s="8" t="str">
        <f>IF(OR(J385=0,K385=0)," ",K385-J385)</f>
        <v xml:space="preserve"> </v>
      </c>
      <c r="M385" s="12"/>
      <c r="N385" s="13">
        <f t="shared" si="4"/>
        <v>1.1105398457583548</v>
      </c>
    </row>
    <row r="386" spans="1:14" ht="14.5">
      <c r="A386" s="6">
        <v>45448</v>
      </c>
      <c r="B386" s="47" t="s">
        <v>144</v>
      </c>
      <c r="C386" s="7">
        <v>3</v>
      </c>
      <c r="D386" s="8">
        <v>1.3888888888888889E-3</v>
      </c>
      <c r="E386" s="58">
        <f t="shared" si="0"/>
        <v>4.1666666666666666E-3</v>
      </c>
      <c r="F386" s="10">
        <f>G385</f>
        <v>0.59568287037037038</v>
      </c>
      <c r="G386" s="10">
        <v>0.61724537037037042</v>
      </c>
      <c r="H386" s="8">
        <f t="shared" si="77"/>
        <v>3.9814814814815198E-3</v>
      </c>
      <c r="I386" s="11">
        <f t="shared" si="2"/>
        <v>0.61743055555555559</v>
      </c>
      <c r="J386" s="8"/>
      <c r="K386" s="8"/>
      <c r="L386" s="8">
        <v>1.758101851851852E-2</v>
      </c>
      <c r="M386" s="12"/>
      <c r="N386" s="13">
        <f t="shared" si="4"/>
        <v>1.0465116279069666</v>
      </c>
    </row>
    <row r="387" spans="1:14" ht="14.5">
      <c r="A387" s="6">
        <v>45448</v>
      </c>
      <c r="B387" s="47" t="s">
        <v>28</v>
      </c>
      <c r="C387" s="7">
        <v>42</v>
      </c>
      <c r="D387" s="8">
        <v>1.3888888888888889E-3</v>
      </c>
      <c r="E387" s="58">
        <f t="shared" si="0"/>
        <v>5.8333333333333334E-2</v>
      </c>
      <c r="F387" s="10">
        <v>0.61724537037037042</v>
      </c>
      <c r="G387" s="10">
        <v>0.75231481481481477</v>
      </c>
      <c r="H387" s="8">
        <f t="shared" si="77"/>
        <v>5.8680555555555458E-2</v>
      </c>
      <c r="I387" s="11">
        <f t="shared" si="2"/>
        <v>0.7519675925925926</v>
      </c>
      <c r="J387" s="8"/>
      <c r="K387" s="8"/>
      <c r="L387" s="8">
        <v>7.6388888888888895E-2</v>
      </c>
      <c r="M387" s="12"/>
      <c r="N387" s="13">
        <f t="shared" si="4"/>
        <v>0.99408284023668803</v>
      </c>
    </row>
    <row r="388" spans="1:14" ht="14.5">
      <c r="A388" s="6">
        <v>45448</v>
      </c>
      <c r="B388" s="47" t="s">
        <v>50</v>
      </c>
      <c r="C388" s="7">
        <v>1</v>
      </c>
      <c r="D388" s="8">
        <v>1.0416666666666666E-2</v>
      </c>
      <c r="E388" s="58">
        <f t="shared" si="0"/>
        <v>1.0416666666666666E-2</v>
      </c>
      <c r="F388" s="10">
        <v>0.63243055555555561</v>
      </c>
      <c r="G388" s="10">
        <v>0.64218750000000002</v>
      </c>
      <c r="H388" s="8">
        <f t="shared" si="77"/>
        <v>9.7569444444444153E-3</v>
      </c>
      <c r="I388" s="11">
        <f t="shared" si="2"/>
        <v>0.64284722222222224</v>
      </c>
      <c r="J388" s="8"/>
      <c r="K388" s="8"/>
      <c r="L388" s="8" t="str">
        <f t="shared" ref="L388:L394" si="85">IF(OR(J388=0,K388=0)," ",K388-J388)</f>
        <v xml:space="preserve"> </v>
      </c>
      <c r="M388" s="12"/>
      <c r="N388" s="13">
        <f t="shared" si="4"/>
        <v>1.0676156583629925</v>
      </c>
    </row>
    <row r="389" spans="1:14" ht="14.5">
      <c r="A389" s="6">
        <v>45448</v>
      </c>
      <c r="B389" s="47" t="s">
        <v>20</v>
      </c>
      <c r="C389" s="7">
        <v>12</v>
      </c>
      <c r="D389" s="8">
        <v>2.0833333333333333E-3</v>
      </c>
      <c r="E389" s="58">
        <f t="shared" si="0"/>
        <v>2.5000000000000001E-2</v>
      </c>
      <c r="F389" s="10">
        <f t="shared" ref="F389:F391" si="86">G388</f>
        <v>0.64218750000000002</v>
      </c>
      <c r="G389" s="10">
        <v>0.66738425925925926</v>
      </c>
      <c r="H389" s="8">
        <f t="shared" si="77"/>
        <v>2.5196759259259238E-2</v>
      </c>
      <c r="I389" s="11">
        <f t="shared" si="2"/>
        <v>0.66718750000000004</v>
      </c>
      <c r="J389" s="8"/>
      <c r="K389" s="8"/>
      <c r="L389" s="8" t="str">
        <f t="shared" si="85"/>
        <v xml:space="preserve"> </v>
      </c>
      <c r="M389" s="12"/>
      <c r="N389" s="13">
        <f t="shared" si="4"/>
        <v>0.9921910886541121</v>
      </c>
    </row>
    <row r="390" spans="1:14" ht="14.5">
      <c r="A390" s="6">
        <v>45448</v>
      </c>
      <c r="B390" s="47" t="s">
        <v>51</v>
      </c>
      <c r="C390" s="7">
        <v>1</v>
      </c>
      <c r="D390" s="8">
        <v>1.0416666666666666E-2</v>
      </c>
      <c r="E390" s="58">
        <f t="shared" si="0"/>
        <v>1.0416666666666666E-2</v>
      </c>
      <c r="F390" s="10">
        <f t="shared" si="86"/>
        <v>0.66738425925925926</v>
      </c>
      <c r="G390" s="10">
        <v>0.67726851851851855</v>
      </c>
      <c r="H390" s="8">
        <f t="shared" si="77"/>
        <v>9.8842592592592871E-3</v>
      </c>
      <c r="I390" s="11">
        <f t="shared" si="2"/>
        <v>0.67780092592592589</v>
      </c>
      <c r="J390" s="8"/>
      <c r="K390" s="8"/>
      <c r="L390" s="8" t="str">
        <f t="shared" si="85"/>
        <v xml:space="preserve"> </v>
      </c>
      <c r="M390" s="12"/>
      <c r="N390" s="13">
        <f t="shared" si="4"/>
        <v>1.0538641686182639</v>
      </c>
    </row>
    <row r="391" spans="1:14" ht="14.5">
      <c r="A391" s="6">
        <v>45448</v>
      </c>
      <c r="B391" s="47" t="s">
        <v>52</v>
      </c>
      <c r="C391" s="7">
        <v>1</v>
      </c>
      <c r="D391" s="8">
        <v>1.0416666666666666E-2</v>
      </c>
      <c r="E391" s="58">
        <f t="shared" si="0"/>
        <v>1.0416666666666666E-2</v>
      </c>
      <c r="F391" s="10">
        <f t="shared" si="86"/>
        <v>0.67726851851851855</v>
      </c>
      <c r="G391" s="10">
        <v>0.68741898148148151</v>
      </c>
      <c r="H391" s="8">
        <f t="shared" si="77"/>
        <v>1.0150462962962958E-2</v>
      </c>
      <c r="I391" s="11">
        <f t="shared" si="2"/>
        <v>0.68768518518518518</v>
      </c>
      <c r="J391" s="8"/>
      <c r="K391" s="8"/>
      <c r="L391" s="8" t="str">
        <f t="shared" si="85"/>
        <v xml:space="preserve"> </v>
      </c>
      <c r="M391" s="12"/>
      <c r="N391" s="13">
        <f t="shared" si="4"/>
        <v>1.0262257696693278</v>
      </c>
    </row>
    <row r="392" spans="1:14" ht="14.5">
      <c r="A392" s="6">
        <v>45449</v>
      </c>
      <c r="B392" s="47" t="s">
        <v>42</v>
      </c>
      <c r="C392" s="7">
        <v>1</v>
      </c>
      <c r="D392" s="8">
        <v>6.9444444444444441E-3</v>
      </c>
      <c r="E392" s="58">
        <f t="shared" si="0"/>
        <v>6.9444444444444441E-3</v>
      </c>
      <c r="F392" s="10">
        <v>0.35390046296296296</v>
      </c>
      <c r="G392" s="10">
        <v>0.36155092592592597</v>
      </c>
      <c r="H392" s="8">
        <f t="shared" si="77"/>
        <v>7.6504629629630116E-3</v>
      </c>
      <c r="I392" s="11">
        <f t="shared" si="2"/>
        <v>0.36084490740740738</v>
      </c>
      <c r="J392" s="8"/>
      <c r="K392" s="8"/>
      <c r="L392" s="8" t="str">
        <f t="shared" si="85"/>
        <v xml:space="preserve"> </v>
      </c>
      <c r="M392" s="12"/>
      <c r="N392" s="13">
        <f t="shared" si="4"/>
        <v>0.90771558245082629</v>
      </c>
    </row>
    <row r="393" spans="1:14" ht="14.5">
      <c r="A393" s="6">
        <v>45449</v>
      </c>
      <c r="B393" s="47" t="s">
        <v>43</v>
      </c>
      <c r="C393" s="7">
        <v>1</v>
      </c>
      <c r="D393" s="8">
        <v>3.4722222222222224E-2</v>
      </c>
      <c r="E393" s="58">
        <f t="shared" si="0"/>
        <v>3.4722222222222224E-2</v>
      </c>
      <c r="F393" s="10">
        <v>0.36299768518518516</v>
      </c>
      <c r="G393" s="10">
        <v>0.3976736111111111</v>
      </c>
      <c r="H393" s="8">
        <f t="shared" si="77"/>
        <v>3.4675925925925943E-2</v>
      </c>
      <c r="I393" s="11">
        <f t="shared" si="2"/>
        <v>0.39771990740740737</v>
      </c>
      <c r="J393" s="8"/>
      <c r="K393" s="8"/>
      <c r="L393" s="8" t="str">
        <f t="shared" si="85"/>
        <v xml:space="preserve"> </v>
      </c>
      <c r="M393" s="12"/>
      <c r="N393" s="13">
        <f t="shared" si="4"/>
        <v>1.0013351134846458</v>
      </c>
    </row>
    <row r="394" spans="1:14" ht="14.5">
      <c r="A394" s="6">
        <v>45449</v>
      </c>
      <c r="B394" s="47" t="s">
        <v>28</v>
      </c>
      <c r="C394" s="7">
        <v>30</v>
      </c>
      <c r="D394" s="8">
        <v>1.3888888888888889E-3</v>
      </c>
      <c r="E394" s="58">
        <f t="shared" si="0"/>
        <v>4.1666666666666671E-2</v>
      </c>
      <c r="F394" s="10">
        <v>0.3976736111111111</v>
      </c>
      <c r="G394" s="10">
        <v>0.43776620370370367</v>
      </c>
      <c r="H394" s="8">
        <f t="shared" si="77"/>
        <v>4.0092592592592569E-2</v>
      </c>
      <c r="I394" s="11">
        <f t="shared" si="2"/>
        <v>0.43934027777777779</v>
      </c>
      <c r="J394" s="8"/>
      <c r="K394" s="8"/>
      <c r="L394" s="8" t="str">
        <f t="shared" si="85"/>
        <v xml:space="preserve"> </v>
      </c>
      <c r="M394" s="12"/>
      <c r="N394" s="13">
        <f t="shared" si="4"/>
        <v>1.039260969976906</v>
      </c>
    </row>
    <row r="395" spans="1:14" ht="14.5">
      <c r="A395" s="6">
        <v>45449</v>
      </c>
      <c r="B395" s="47" t="s">
        <v>84</v>
      </c>
      <c r="C395" s="7">
        <v>1</v>
      </c>
      <c r="D395" s="8">
        <v>7.6388888888888895E-2</v>
      </c>
      <c r="E395" s="58">
        <f t="shared" si="0"/>
        <v>7.6388888888888895E-2</v>
      </c>
      <c r="F395" s="10">
        <v>0.43873842592592593</v>
      </c>
      <c r="G395" s="8">
        <v>0.57278935185185187</v>
      </c>
      <c r="H395" s="8">
        <f t="shared" si="77"/>
        <v>0.11158564814814816</v>
      </c>
      <c r="I395" s="11">
        <f t="shared" si="2"/>
        <v>0.53759259259259251</v>
      </c>
      <c r="J395" s="8"/>
      <c r="K395" s="8"/>
      <c r="L395" s="8">
        <v>2.2465277777777778E-2</v>
      </c>
      <c r="M395" s="18" t="s">
        <v>145</v>
      </c>
      <c r="N395" s="13">
        <f t="shared" si="4"/>
        <v>0.68457628876672549</v>
      </c>
    </row>
    <row r="396" spans="1:14" ht="14.5">
      <c r="A396" s="6">
        <v>45449</v>
      </c>
      <c r="B396" s="47" t="s">
        <v>102</v>
      </c>
      <c r="C396" s="7">
        <v>1</v>
      </c>
      <c r="D396" s="8">
        <v>6.25E-2</v>
      </c>
      <c r="E396" s="58">
        <f t="shared" si="0"/>
        <v>6.25E-2</v>
      </c>
      <c r="F396" s="8">
        <v>0.57278935185185187</v>
      </c>
      <c r="G396" s="10">
        <v>0.65105324074074078</v>
      </c>
      <c r="H396" s="8">
        <f t="shared" si="77"/>
        <v>7.8263888888888911E-2</v>
      </c>
      <c r="I396" s="11">
        <f t="shared" si="2"/>
        <v>0.63528935185185187</v>
      </c>
      <c r="J396" s="8"/>
      <c r="K396" s="8"/>
      <c r="L396" s="8" t="str">
        <f t="shared" ref="L396:L397" si="87">IF(OR(J396=0,K396=0)," ",K396-J396)</f>
        <v xml:space="preserve"> </v>
      </c>
      <c r="M396" s="18" t="s">
        <v>145</v>
      </c>
      <c r="N396" s="13">
        <f t="shared" si="4"/>
        <v>0.79858030168589156</v>
      </c>
    </row>
    <row r="397" spans="1:14" ht="14.5">
      <c r="A397" s="6">
        <v>45449</v>
      </c>
      <c r="B397" s="47" t="s">
        <v>97</v>
      </c>
      <c r="C397" s="7">
        <v>20</v>
      </c>
      <c r="D397" s="8">
        <v>2.0833333333333333E-3</v>
      </c>
      <c r="E397" s="58">
        <f t="shared" si="0"/>
        <v>4.1666666666666664E-2</v>
      </c>
      <c r="F397" s="10">
        <v>0.65105324074074078</v>
      </c>
      <c r="G397" s="10">
        <v>0.68208333333333337</v>
      </c>
      <c r="H397" s="8">
        <f t="shared" si="77"/>
        <v>3.1030092592592595E-2</v>
      </c>
      <c r="I397" s="11">
        <f t="shared" si="2"/>
        <v>0.69271990740740741</v>
      </c>
      <c r="J397" s="8"/>
      <c r="K397" s="8"/>
      <c r="L397" s="8" t="str">
        <f t="shared" si="87"/>
        <v xml:space="preserve"> </v>
      </c>
      <c r="M397" s="12"/>
      <c r="N397" s="13">
        <f t="shared" si="4"/>
        <v>1.3427825438269301</v>
      </c>
    </row>
    <row r="398" spans="1:14" ht="14.5">
      <c r="A398" s="6">
        <v>45449</v>
      </c>
      <c r="B398" s="47" t="s">
        <v>28</v>
      </c>
      <c r="C398" s="7">
        <v>20</v>
      </c>
      <c r="D398" s="8">
        <v>1.3888888888888889E-3</v>
      </c>
      <c r="E398" s="58">
        <f t="shared" si="0"/>
        <v>2.777777777777778E-2</v>
      </c>
      <c r="F398" s="10">
        <v>0.68208333333333337</v>
      </c>
      <c r="G398" s="10">
        <v>0.73174768518518518</v>
      </c>
      <c r="H398" s="8">
        <f t="shared" si="77"/>
        <v>2.6018518518518472E-2</v>
      </c>
      <c r="I398" s="11">
        <f t="shared" si="2"/>
        <v>0.73350694444444453</v>
      </c>
      <c r="J398" s="8"/>
      <c r="K398" s="8"/>
      <c r="L398" s="8">
        <v>2.3645833333333335E-2</v>
      </c>
      <c r="M398" s="18" t="s">
        <v>146</v>
      </c>
      <c r="N398" s="13">
        <f t="shared" si="4"/>
        <v>1.0676156583629912</v>
      </c>
    </row>
    <row r="399" spans="1:14" ht="14.5">
      <c r="A399" s="6">
        <v>45450</v>
      </c>
      <c r="B399" s="47" t="s">
        <v>28</v>
      </c>
      <c r="C399" s="7">
        <v>60</v>
      </c>
      <c r="D399" s="8">
        <v>1.3888888888888889E-3</v>
      </c>
      <c r="E399" s="58">
        <f t="shared" si="0"/>
        <v>8.3333333333333343E-2</v>
      </c>
      <c r="F399" s="10">
        <v>0.35094907407407405</v>
      </c>
      <c r="G399" s="10">
        <v>0.55084490740740744</v>
      </c>
      <c r="H399" s="8">
        <f t="shared" si="77"/>
        <v>8.3993055555555612E-2</v>
      </c>
      <c r="I399" s="11">
        <f t="shared" si="2"/>
        <v>0.55018518518518522</v>
      </c>
      <c r="J399" s="8"/>
      <c r="K399" s="8"/>
      <c r="L399" s="8">
        <v>0.11590277777777777</v>
      </c>
      <c r="M399" s="18"/>
      <c r="N399" s="13">
        <f t="shared" si="4"/>
        <v>0.99214551467548517</v>
      </c>
    </row>
    <row r="400" spans="1:14" ht="14.5">
      <c r="A400" s="6">
        <v>45450</v>
      </c>
      <c r="B400" s="47" t="s">
        <v>44</v>
      </c>
      <c r="C400" s="7">
        <v>6</v>
      </c>
      <c r="D400" s="8">
        <v>3.472222222222222E-3</v>
      </c>
      <c r="E400" s="58">
        <f t="shared" si="0"/>
        <v>2.0833333333333332E-2</v>
      </c>
      <c r="F400" s="10">
        <v>0.55084490740740744</v>
      </c>
      <c r="G400" s="10">
        <v>0.57125000000000004</v>
      </c>
      <c r="H400" s="8">
        <f t="shared" si="77"/>
        <v>2.04050925925926E-2</v>
      </c>
      <c r="I400" s="11">
        <f t="shared" si="2"/>
        <v>0.57167824074074081</v>
      </c>
      <c r="J400" s="8"/>
      <c r="K400" s="8"/>
      <c r="L400" s="8" t="str">
        <f t="shared" ref="L400:L406" si="88">IF(OR(J400=0,K400=0)," ",K400-J400)</f>
        <v xml:space="preserve"> </v>
      </c>
      <c r="M400" s="12"/>
      <c r="N400" s="13">
        <f t="shared" si="4"/>
        <v>1.0209869540555867</v>
      </c>
    </row>
    <row r="401" spans="1:14" ht="14.5">
      <c r="A401" s="6">
        <v>45450</v>
      </c>
      <c r="B401" s="47" t="s">
        <v>20</v>
      </c>
      <c r="C401" s="7">
        <v>32</v>
      </c>
      <c r="D401" s="8">
        <v>2.0833333333333333E-3</v>
      </c>
      <c r="E401" s="58">
        <f t="shared" si="0"/>
        <v>6.6666666666666666E-2</v>
      </c>
      <c r="F401" s="56">
        <f t="shared" ref="F401:F405" si="89">G400</f>
        <v>0.57125000000000004</v>
      </c>
      <c r="G401" s="10">
        <v>0.63709490740740737</v>
      </c>
      <c r="H401" s="8">
        <f t="shared" si="77"/>
        <v>6.5844907407407338E-2</v>
      </c>
      <c r="I401" s="11">
        <f t="shared" si="2"/>
        <v>0.63791666666666669</v>
      </c>
      <c r="J401" s="8"/>
      <c r="K401" s="8"/>
      <c r="L401" s="8" t="str">
        <f t="shared" si="88"/>
        <v xml:space="preserve"> </v>
      </c>
      <c r="M401" s="12"/>
      <c r="N401" s="13">
        <f t="shared" si="4"/>
        <v>1.0124802249956066</v>
      </c>
    </row>
    <row r="402" spans="1:14" ht="14.5">
      <c r="A402" s="6">
        <v>45450</v>
      </c>
      <c r="B402" s="47" t="s">
        <v>50</v>
      </c>
      <c r="C402" s="7">
        <v>1</v>
      </c>
      <c r="D402" s="8">
        <v>1.0416666666666666E-2</v>
      </c>
      <c r="E402" s="58">
        <f t="shared" si="0"/>
        <v>1.0416666666666666E-2</v>
      </c>
      <c r="F402" s="56">
        <f t="shared" si="89"/>
        <v>0.63709490740740737</v>
      </c>
      <c r="G402" s="10">
        <v>0.64724537037037033</v>
      </c>
      <c r="H402" s="8">
        <f t="shared" si="77"/>
        <v>1.0150462962962958E-2</v>
      </c>
      <c r="I402" s="11">
        <f t="shared" si="2"/>
        <v>0.647511574074074</v>
      </c>
      <c r="J402" s="8"/>
      <c r="K402" s="8"/>
      <c r="L402" s="8" t="str">
        <f t="shared" si="88"/>
        <v xml:space="preserve"> </v>
      </c>
      <c r="M402" s="12"/>
      <c r="N402" s="13">
        <f t="shared" si="4"/>
        <v>1.0262257696693278</v>
      </c>
    </row>
    <row r="403" spans="1:14" ht="14.5">
      <c r="A403" s="6">
        <v>45450</v>
      </c>
      <c r="B403" s="47" t="s">
        <v>51</v>
      </c>
      <c r="C403" s="7">
        <v>1</v>
      </c>
      <c r="D403" s="8">
        <v>1.0416666666666666E-2</v>
      </c>
      <c r="E403" s="58">
        <f t="shared" si="0"/>
        <v>1.0416666666666666E-2</v>
      </c>
      <c r="F403" s="56">
        <f t="shared" si="89"/>
        <v>0.64724537037037033</v>
      </c>
      <c r="G403" s="10">
        <v>0.65714120370370366</v>
      </c>
      <c r="H403" s="8">
        <f t="shared" si="77"/>
        <v>9.8958333333333259E-3</v>
      </c>
      <c r="I403" s="11">
        <f t="shared" si="2"/>
        <v>0.65766203703703696</v>
      </c>
      <c r="J403" s="8"/>
      <c r="K403" s="8"/>
      <c r="L403" s="8" t="str">
        <f t="shared" si="88"/>
        <v xml:space="preserve"> </v>
      </c>
      <c r="M403" s="12"/>
      <c r="N403" s="13">
        <f t="shared" si="4"/>
        <v>1.0526315789473693</v>
      </c>
    </row>
    <row r="404" spans="1:14" ht="14.5">
      <c r="A404" s="6">
        <v>45450</v>
      </c>
      <c r="B404" s="47" t="s">
        <v>52</v>
      </c>
      <c r="C404" s="7">
        <v>1</v>
      </c>
      <c r="D404" s="8">
        <v>1.0416666666666666E-2</v>
      </c>
      <c r="E404" s="58">
        <f t="shared" si="0"/>
        <v>1.0416666666666666E-2</v>
      </c>
      <c r="F404" s="56">
        <f t="shared" si="89"/>
        <v>0.65714120370370366</v>
      </c>
      <c r="G404" s="10">
        <v>0.66715277777777782</v>
      </c>
      <c r="H404" s="8">
        <f t="shared" si="77"/>
        <v>1.0011574074074159E-2</v>
      </c>
      <c r="I404" s="11">
        <f t="shared" si="2"/>
        <v>0.66755787037037029</v>
      </c>
      <c r="J404" s="8"/>
      <c r="K404" s="8"/>
      <c r="L404" s="8" t="str">
        <f t="shared" si="88"/>
        <v xml:space="preserve"> </v>
      </c>
      <c r="M404" s="12"/>
      <c r="N404" s="13">
        <f t="shared" si="4"/>
        <v>1.0404624277456558</v>
      </c>
    </row>
    <row r="405" spans="1:14" ht="14.5">
      <c r="A405" s="6">
        <v>45450</v>
      </c>
      <c r="B405" s="47" t="s">
        <v>105</v>
      </c>
      <c r="C405" s="7">
        <v>16</v>
      </c>
      <c r="D405" s="8">
        <v>1.736111111111111E-3</v>
      </c>
      <c r="E405" s="58">
        <f t="shared" si="0"/>
        <v>2.7777777777777776E-2</v>
      </c>
      <c r="F405" s="56">
        <f t="shared" si="89"/>
        <v>0.66715277777777782</v>
      </c>
      <c r="G405" s="10">
        <v>0.69078703703703703</v>
      </c>
      <c r="H405" s="8">
        <f t="shared" si="77"/>
        <v>2.3634259259259216E-2</v>
      </c>
      <c r="I405" s="11">
        <f t="shared" si="2"/>
        <v>0.69493055555555561</v>
      </c>
      <c r="J405" s="8"/>
      <c r="K405" s="8"/>
      <c r="L405" s="8" t="str">
        <f t="shared" si="88"/>
        <v xml:space="preserve"> </v>
      </c>
      <c r="M405" s="12"/>
      <c r="N405" s="13">
        <f t="shared" si="4"/>
        <v>1.1753183153770834</v>
      </c>
    </row>
    <row r="406" spans="1:14" ht="14.5">
      <c r="A406" s="6">
        <v>45450</v>
      </c>
      <c r="B406" s="47" t="s">
        <v>105</v>
      </c>
      <c r="C406" s="7">
        <v>2</v>
      </c>
      <c r="D406" s="8">
        <v>1.736111111111111E-3</v>
      </c>
      <c r="E406" s="58">
        <f t="shared" si="0"/>
        <v>3.472222222222222E-3</v>
      </c>
      <c r="F406" s="10">
        <v>0.69111111111111112</v>
      </c>
      <c r="G406" s="10">
        <v>0.69457175925925929</v>
      </c>
      <c r="H406" s="8">
        <f t="shared" si="77"/>
        <v>3.460648148148171E-3</v>
      </c>
      <c r="I406" s="11">
        <f t="shared" si="2"/>
        <v>0.69458333333333333</v>
      </c>
      <c r="J406" s="8"/>
      <c r="K406" s="8"/>
      <c r="L406" s="8" t="str">
        <f t="shared" si="88"/>
        <v xml:space="preserve"> </v>
      </c>
      <c r="M406" s="12"/>
      <c r="N406" s="13">
        <f t="shared" si="4"/>
        <v>1.0033444816053445</v>
      </c>
    </row>
    <row r="407" spans="1:14" ht="14.5">
      <c r="A407" s="6">
        <v>45454</v>
      </c>
      <c r="B407" s="47" t="s">
        <v>85</v>
      </c>
      <c r="C407" s="7">
        <v>1</v>
      </c>
      <c r="D407" s="8">
        <v>8.3333333333333329E-2</v>
      </c>
      <c r="E407" s="58">
        <f t="shared" si="0"/>
        <v>8.3333333333333329E-2</v>
      </c>
      <c r="F407" s="10">
        <v>0.33539351851851851</v>
      </c>
      <c r="G407" s="10">
        <v>0.4623032407407407</v>
      </c>
      <c r="H407" s="8">
        <f t="shared" si="77"/>
        <v>0.1238541666666666</v>
      </c>
      <c r="I407" s="11">
        <f t="shared" si="2"/>
        <v>0.42178240740740741</v>
      </c>
      <c r="J407" s="8"/>
      <c r="K407" s="8"/>
      <c r="L407" s="8">
        <f>H408</f>
        <v>3.0555555555555891E-3</v>
      </c>
      <c r="M407" s="12"/>
      <c r="N407" s="13">
        <f t="shared" si="4"/>
        <v>0.67283431455004239</v>
      </c>
    </row>
    <row r="408" spans="1:14" ht="14.5">
      <c r="A408" s="6">
        <v>45454</v>
      </c>
      <c r="B408" s="47" t="s">
        <v>127</v>
      </c>
      <c r="C408" s="7">
        <v>1</v>
      </c>
      <c r="D408" s="8">
        <v>3.472222222222222E-3</v>
      </c>
      <c r="E408" s="58">
        <f t="shared" si="0"/>
        <v>3.472222222222222E-3</v>
      </c>
      <c r="F408" s="10">
        <v>0.40880787037037036</v>
      </c>
      <c r="G408" s="10">
        <v>0.41186342592592595</v>
      </c>
      <c r="H408" s="8">
        <f t="shared" si="77"/>
        <v>3.0555555555555891E-3</v>
      </c>
      <c r="I408" s="11">
        <f t="shared" si="2"/>
        <v>0.41228009259259257</v>
      </c>
      <c r="J408" s="8"/>
      <c r="K408" s="8"/>
      <c r="L408" s="8" t="str">
        <f>IF(OR(J408=0,K408=0)," ",K408-J408)</f>
        <v xml:space="preserve"> </v>
      </c>
      <c r="M408" s="12"/>
      <c r="N408" s="13">
        <f t="shared" si="4"/>
        <v>1.1363636363636238</v>
      </c>
    </row>
    <row r="409" spans="1:14" ht="14.5">
      <c r="A409" s="6">
        <v>45454</v>
      </c>
      <c r="B409" s="47" t="s">
        <v>97</v>
      </c>
      <c r="C409" s="7">
        <v>1</v>
      </c>
      <c r="D409" s="8">
        <v>2.0833333333333333E-3</v>
      </c>
      <c r="E409" s="58">
        <f t="shared" si="0"/>
        <v>2.0833333333333333E-3</v>
      </c>
      <c r="F409" s="10">
        <v>0.4623032407407407</v>
      </c>
      <c r="G409" s="10">
        <v>0.48144675925925928</v>
      </c>
      <c r="H409" s="8">
        <f t="shared" si="77"/>
        <v>1.7476851851852548E-3</v>
      </c>
      <c r="I409" s="11">
        <f t="shared" si="2"/>
        <v>0.48178240740740735</v>
      </c>
      <c r="J409" s="8"/>
      <c r="K409" s="8"/>
      <c r="L409" s="8">
        <v>1.7395833333333333E-2</v>
      </c>
      <c r="M409" s="12"/>
      <c r="N409" s="13">
        <f t="shared" si="4"/>
        <v>1.1920529801324029</v>
      </c>
    </row>
    <row r="410" spans="1:14" ht="14.5">
      <c r="A410" s="6">
        <v>45454</v>
      </c>
      <c r="B410" s="47" t="s">
        <v>44</v>
      </c>
      <c r="C410" s="7">
        <v>3</v>
      </c>
      <c r="D410" s="8">
        <v>3.472222222222222E-3</v>
      </c>
      <c r="E410" s="58">
        <f t="shared" si="0"/>
        <v>1.0416666666666666E-2</v>
      </c>
      <c r="F410" s="10">
        <v>0.48144675925925928</v>
      </c>
      <c r="G410" s="10">
        <v>0.4915856481481482</v>
      </c>
      <c r="H410" s="8">
        <f t="shared" si="77"/>
        <v>1.0138888888888919E-2</v>
      </c>
      <c r="I410" s="11">
        <f t="shared" si="2"/>
        <v>0.49186342592592597</v>
      </c>
      <c r="J410" s="8"/>
      <c r="K410" s="8"/>
      <c r="L410" s="8" t="str">
        <f t="shared" ref="L410:L414" si="90">IF(OR(J410=0,K410=0)," ",K410-J410)</f>
        <v xml:space="preserve"> </v>
      </c>
      <c r="M410" s="12"/>
      <c r="N410" s="13">
        <f t="shared" si="4"/>
        <v>1.0273972602739694</v>
      </c>
    </row>
    <row r="411" spans="1:14" ht="14.5">
      <c r="A411" s="6">
        <v>45454</v>
      </c>
      <c r="B411" s="47" t="s">
        <v>90</v>
      </c>
      <c r="C411" s="7">
        <v>1</v>
      </c>
      <c r="D411" s="8">
        <v>7.2916666666666671E-2</v>
      </c>
      <c r="E411" s="58">
        <f t="shared" si="0"/>
        <v>7.2916666666666671E-2</v>
      </c>
      <c r="F411" s="10">
        <v>0.4915856481481482</v>
      </c>
      <c r="G411" s="10">
        <v>0.55987268518518518</v>
      </c>
      <c r="H411" s="8">
        <f t="shared" si="77"/>
        <v>6.8287037037036979E-2</v>
      </c>
      <c r="I411" s="11">
        <f t="shared" si="2"/>
        <v>0.56450231481481483</v>
      </c>
      <c r="J411" s="8"/>
      <c r="K411" s="8"/>
      <c r="L411" s="8" t="str">
        <f t="shared" si="90"/>
        <v xml:space="preserve"> </v>
      </c>
      <c r="M411" s="12"/>
      <c r="N411" s="13">
        <f t="shared" si="4"/>
        <v>1.0677966101694925</v>
      </c>
    </row>
    <row r="412" spans="1:14" ht="14.5">
      <c r="A412" s="6">
        <v>45454</v>
      </c>
      <c r="B412" s="47" t="s">
        <v>57</v>
      </c>
      <c r="C412" s="7">
        <v>13</v>
      </c>
      <c r="D412" s="8">
        <v>2.7777777777777779E-3</v>
      </c>
      <c r="E412" s="58">
        <f t="shared" si="0"/>
        <v>3.6111111111111115E-2</v>
      </c>
      <c r="F412" s="10">
        <v>0.55987268518518518</v>
      </c>
      <c r="G412" s="10">
        <v>0.59145833333333331</v>
      </c>
      <c r="H412" s="8">
        <f t="shared" si="77"/>
        <v>3.1585648148148127E-2</v>
      </c>
      <c r="I412" s="11">
        <f t="shared" si="2"/>
        <v>0.59598379629629628</v>
      </c>
      <c r="J412" s="8"/>
      <c r="K412" s="8"/>
      <c r="L412" s="8" t="str">
        <f t="shared" si="90"/>
        <v xml:space="preserve"> </v>
      </c>
      <c r="M412" s="12"/>
      <c r="N412" s="13">
        <f t="shared" si="4"/>
        <v>1.1432759252473443</v>
      </c>
    </row>
    <row r="413" spans="1:14" ht="14.5">
      <c r="A413" s="6">
        <v>45454</v>
      </c>
      <c r="B413" s="47" t="s">
        <v>20</v>
      </c>
      <c r="C413" s="7">
        <v>16</v>
      </c>
      <c r="D413" s="8">
        <v>2.0833333333333333E-3</v>
      </c>
      <c r="E413" s="58">
        <f t="shared" si="0"/>
        <v>3.3333333333333333E-2</v>
      </c>
      <c r="F413" s="10">
        <v>0.59145833333333331</v>
      </c>
      <c r="G413" s="10">
        <v>0.62375000000000003</v>
      </c>
      <c r="H413" s="8">
        <f t="shared" si="77"/>
        <v>3.2291666666666718E-2</v>
      </c>
      <c r="I413" s="11">
        <f t="shared" si="2"/>
        <v>0.62479166666666663</v>
      </c>
      <c r="J413" s="8"/>
      <c r="K413" s="8"/>
      <c r="L413" s="8" t="str">
        <f t="shared" si="90"/>
        <v xml:space="preserve"> </v>
      </c>
      <c r="M413" s="12"/>
      <c r="N413" s="13">
        <f t="shared" si="4"/>
        <v>1.0322580645161274</v>
      </c>
    </row>
    <row r="414" spans="1:14" ht="14.5">
      <c r="A414" s="6">
        <v>45454</v>
      </c>
      <c r="B414" s="47" t="s">
        <v>50</v>
      </c>
      <c r="C414" s="7">
        <v>1</v>
      </c>
      <c r="D414" s="8">
        <v>1.0416666666666666E-2</v>
      </c>
      <c r="E414" s="58">
        <f t="shared" si="0"/>
        <v>1.0416666666666666E-2</v>
      </c>
      <c r="F414" s="10">
        <v>0.62375000000000003</v>
      </c>
      <c r="G414" s="10">
        <v>0.63386574074074076</v>
      </c>
      <c r="H414" s="8">
        <f t="shared" si="77"/>
        <v>1.0115740740740731E-2</v>
      </c>
      <c r="I414" s="11">
        <f t="shared" si="2"/>
        <v>0.63416666666666666</v>
      </c>
      <c r="J414" s="8"/>
      <c r="K414" s="8"/>
      <c r="L414" s="8" t="str">
        <f t="shared" si="90"/>
        <v xml:space="preserve"> </v>
      </c>
      <c r="M414" s="12"/>
      <c r="N414" s="13">
        <f t="shared" si="4"/>
        <v>1.0297482837528613</v>
      </c>
    </row>
    <row r="415" spans="1:14" ht="14.5">
      <c r="A415" s="6">
        <v>45454</v>
      </c>
      <c r="B415" s="47" t="s">
        <v>51</v>
      </c>
      <c r="C415" s="7">
        <v>1</v>
      </c>
      <c r="D415" s="8">
        <v>1.0416666666666666E-2</v>
      </c>
      <c r="E415" s="58">
        <f t="shared" si="0"/>
        <v>1.0416666666666666E-2</v>
      </c>
      <c r="F415" s="10">
        <v>0.63386574074074076</v>
      </c>
      <c r="G415" s="10">
        <v>0.67325231481481485</v>
      </c>
      <c r="H415" s="8">
        <f t="shared" si="77"/>
        <v>1.0578703703703719E-2</v>
      </c>
      <c r="I415" s="11">
        <f t="shared" si="2"/>
        <v>0.67309027777777775</v>
      </c>
      <c r="J415" s="8"/>
      <c r="K415" s="8"/>
      <c r="L415" s="8">
        <v>2.8807870370370369E-2</v>
      </c>
      <c r="M415" s="12"/>
      <c r="N415" s="13">
        <f t="shared" si="4"/>
        <v>0.98468271334791979</v>
      </c>
    </row>
    <row r="416" spans="1:14" ht="14.5">
      <c r="A416" s="6">
        <v>45454</v>
      </c>
      <c r="B416" s="47" t="s">
        <v>52</v>
      </c>
      <c r="C416" s="7">
        <v>1</v>
      </c>
      <c r="D416" s="8">
        <v>1.0416666666666666E-2</v>
      </c>
      <c r="E416" s="58">
        <f t="shared" si="0"/>
        <v>1.0416666666666666E-2</v>
      </c>
      <c r="F416" s="10">
        <v>0.67325231481481485</v>
      </c>
      <c r="G416" s="10">
        <v>0.68278935185185186</v>
      </c>
      <c r="H416" s="8">
        <f t="shared" si="77"/>
        <v>9.5370370370370106E-3</v>
      </c>
      <c r="I416" s="11">
        <f t="shared" si="2"/>
        <v>0.68366898148148147</v>
      </c>
      <c r="J416" s="8"/>
      <c r="K416" s="8"/>
      <c r="L416" s="8" t="str">
        <f t="shared" ref="L416:L418" si="91">IF(OR(J416=0,K416=0)," ",K416-J416)</f>
        <v xml:space="preserve"> </v>
      </c>
      <c r="M416" s="12"/>
      <c r="N416" s="13">
        <f t="shared" si="4"/>
        <v>1.0922330097087409</v>
      </c>
    </row>
    <row r="417" spans="1:14" ht="14.5">
      <c r="A417" s="6">
        <v>45454</v>
      </c>
      <c r="B417" s="47" t="s">
        <v>20</v>
      </c>
      <c r="C417" s="7">
        <v>4</v>
      </c>
      <c r="D417" s="8">
        <v>2.0833333333333333E-3</v>
      </c>
      <c r="E417" s="58">
        <f t="shared" si="0"/>
        <v>8.3333333333333332E-3</v>
      </c>
      <c r="F417" s="10">
        <v>0.68278935185185186</v>
      </c>
      <c r="G417" s="10">
        <v>0.7327893518518519</v>
      </c>
      <c r="H417" s="8">
        <f t="shared" si="77"/>
        <v>5.0000000000000044E-2</v>
      </c>
      <c r="I417" s="11">
        <f t="shared" si="2"/>
        <v>0.69112268518518516</v>
      </c>
      <c r="J417" s="8"/>
      <c r="K417" s="8"/>
      <c r="L417" s="8" t="str">
        <f t="shared" si="91"/>
        <v xml:space="preserve"> </v>
      </c>
      <c r="M417" s="12"/>
      <c r="N417" s="13">
        <f t="shared" si="4"/>
        <v>0.16666666666666652</v>
      </c>
    </row>
    <row r="418" spans="1:14" ht="14.5">
      <c r="A418" s="6">
        <v>45455</v>
      </c>
      <c r="B418" s="47" t="s">
        <v>20</v>
      </c>
      <c r="C418" s="7">
        <v>16</v>
      </c>
      <c r="D418" s="8">
        <v>2.0833333333333333E-3</v>
      </c>
      <c r="E418" s="58">
        <f t="shared" si="0"/>
        <v>3.3333333333333333E-2</v>
      </c>
      <c r="F418" s="10">
        <v>0.33405092592592589</v>
      </c>
      <c r="G418" s="10">
        <v>0.3652199074074074</v>
      </c>
      <c r="H418" s="8">
        <f t="shared" si="77"/>
        <v>3.1168981481481506E-2</v>
      </c>
      <c r="I418" s="11">
        <f t="shared" si="2"/>
        <v>0.36738425925925922</v>
      </c>
      <c r="J418" s="8"/>
      <c r="K418" s="8"/>
      <c r="L418" s="8" t="str">
        <f t="shared" si="91"/>
        <v xml:space="preserve"> </v>
      </c>
      <c r="M418" s="12"/>
      <c r="N418" s="13">
        <f t="shared" si="4"/>
        <v>1.0694392870404745</v>
      </c>
    </row>
    <row r="419" spans="1:14" ht="14.5">
      <c r="A419" s="6">
        <v>45455</v>
      </c>
      <c r="B419" s="47" t="s">
        <v>28</v>
      </c>
      <c r="C419" s="7">
        <v>95</v>
      </c>
      <c r="D419" s="8">
        <v>1.3888888888888889E-3</v>
      </c>
      <c r="E419" s="58">
        <f t="shared" si="0"/>
        <v>0.13194444444444445</v>
      </c>
      <c r="F419" s="10">
        <v>0.36687500000000001</v>
      </c>
      <c r="G419" s="10">
        <v>0.52815972222222218</v>
      </c>
      <c r="H419" s="8">
        <f t="shared" si="77"/>
        <v>0.12910879629629624</v>
      </c>
      <c r="I419" s="11">
        <f t="shared" si="2"/>
        <v>0.53099537037037037</v>
      </c>
      <c r="J419" s="8"/>
      <c r="K419" s="8"/>
      <c r="L419" s="8">
        <v>3.2175925925925927E-2</v>
      </c>
      <c r="M419" s="18" t="s">
        <v>147</v>
      </c>
      <c r="N419" s="13">
        <f t="shared" si="4"/>
        <v>1.0219632451815335</v>
      </c>
    </row>
    <row r="420" spans="1:14" ht="14.5">
      <c r="A420" s="6">
        <v>45455</v>
      </c>
      <c r="B420" s="47" t="s">
        <v>44</v>
      </c>
      <c r="C420" s="7">
        <v>3</v>
      </c>
      <c r="D420" s="8">
        <v>3.472222222222222E-3</v>
      </c>
      <c r="E420" s="58">
        <f t="shared" si="0"/>
        <v>1.0416666666666666E-2</v>
      </c>
      <c r="F420" s="10">
        <v>0.39119212962962968</v>
      </c>
      <c r="G420" s="10">
        <v>0.40106481481481482</v>
      </c>
      <c r="H420" s="8">
        <f t="shared" si="77"/>
        <v>9.8726851851851372E-3</v>
      </c>
      <c r="I420" s="11">
        <f t="shared" si="2"/>
        <v>0.40160879629629637</v>
      </c>
      <c r="J420" s="8"/>
      <c r="K420" s="8"/>
      <c r="L420" s="8" t="str">
        <f t="shared" ref="L420:L421" si="92">IF(OR(J420=0,K420=0)," ",K420-J420)</f>
        <v xml:space="preserve"> </v>
      </c>
      <c r="M420" s="12"/>
      <c r="N420" s="13">
        <f t="shared" si="4"/>
        <v>1.0550996483001223</v>
      </c>
    </row>
    <row r="421" spans="1:14" ht="14.5">
      <c r="A421" s="6">
        <v>45455</v>
      </c>
      <c r="B421" s="47" t="s">
        <v>28</v>
      </c>
      <c r="C421" s="7">
        <v>90</v>
      </c>
      <c r="D421" s="8">
        <v>1.3888888888888889E-3</v>
      </c>
      <c r="E421" s="58">
        <f t="shared" si="0"/>
        <v>0.125</v>
      </c>
      <c r="F421" s="10">
        <v>0.52815972222222218</v>
      </c>
      <c r="G421" s="10">
        <v>0.64679398148148148</v>
      </c>
      <c r="H421" s="8">
        <f t="shared" si="77"/>
        <v>0.1186342592592593</v>
      </c>
      <c r="I421" s="11">
        <f t="shared" si="2"/>
        <v>0.65315972222222218</v>
      </c>
      <c r="J421" s="8"/>
      <c r="K421" s="8"/>
      <c r="L421" s="8" t="str">
        <f t="shared" si="92"/>
        <v xml:space="preserve"> </v>
      </c>
      <c r="M421" s="18" t="s">
        <v>147</v>
      </c>
      <c r="N421" s="13">
        <f t="shared" si="4"/>
        <v>1.0536585365853655</v>
      </c>
    </row>
    <row r="422" spans="1:14" ht="14.5">
      <c r="A422" s="6">
        <v>45455</v>
      </c>
      <c r="B422" s="47" t="s">
        <v>28</v>
      </c>
      <c r="C422" s="7">
        <v>30</v>
      </c>
      <c r="D422" s="8">
        <v>1.3888888888888889E-3</v>
      </c>
      <c r="E422" s="58">
        <f t="shared" si="0"/>
        <v>4.1666666666666671E-2</v>
      </c>
      <c r="F422" s="10">
        <v>0.64679398148148148</v>
      </c>
      <c r="G422" s="10">
        <v>0.71207503472396638</v>
      </c>
      <c r="H422" s="8">
        <f t="shared" si="77"/>
        <v>4.3845868057299717E-2</v>
      </c>
      <c r="I422" s="11">
        <f t="shared" si="2"/>
        <v>0.70989583333333328</v>
      </c>
      <c r="J422" s="8"/>
      <c r="K422" s="8"/>
      <c r="L422" s="8">
        <v>2.1435185185185186E-2</v>
      </c>
      <c r="M422" s="18" t="s">
        <v>147</v>
      </c>
      <c r="N422" s="13">
        <f t="shared" si="4"/>
        <v>0.95029859169887643</v>
      </c>
    </row>
    <row r="423" spans="1:14" ht="14.5">
      <c r="A423" s="6">
        <v>45456</v>
      </c>
      <c r="B423" s="47" t="s">
        <v>28</v>
      </c>
      <c r="C423" s="7">
        <v>85</v>
      </c>
      <c r="D423" s="8">
        <v>1.3888888888888889E-3</v>
      </c>
      <c r="E423" s="58">
        <f t="shared" si="0"/>
        <v>0.11805555555555557</v>
      </c>
      <c r="F423" s="10">
        <v>0.34608796296296296</v>
      </c>
      <c r="G423" s="10">
        <v>0.478912037037037</v>
      </c>
      <c r="H423" s="8">
        <f t="shared" si="77"/>
        <v>0.11483796296296292</v>
      </c>
      <c r="I423" s="11">
        <f t="shared" si="2"/>
        <v>0.48212962962962963</v>
      </c>
      <c r="J423" s="8"/>
      <c r="K423" s="8"/>
      <c r="L423" s="8">
        <v>1.7986111111111112E-2</v>
      </c>
      <c r="M423" s="12"/>
      <c r="N423" s="13">
        <f t="shared" si="4"/>
        <v>1.0280185446482568</v>
      </c>
    </row>
    <row r="424" spans="1:14" ht="14.5">
      <c r="A424" s="6">
        <v>45456</v>
      </c>
      <c r="B424" s="47" t="s">
        <v>42</v>
      </c>
      <c r="C424" s="7">
        <v>1</v>
      </c>
      <c r="D424" s="8">
        <v>6.9444444444444441E-3</v>
      </c>
      <c r="E424" s="58">
        <f t="shared" si="0"/>
        <v>6.9444444444444441E-3</v>
      </c>
      <c r="F424" s="10">
        <v>0.478912037037037</v>
      </c>
      <c r="G424" s="10">
        <v>0.48554398148148148</v>
      </c>
      <c r="H424" s="8">
        <f t="shared" si="77"/>
        <v>6.6319444444444819E-3</v>
      </c>
      <c r="I424" s="11">
        <f t="shared" si="2"/>
        <v>0.48585648148148142</v>
      </c>
      <c r="J424" s="8"/>
      <c r="K424" s="8"/>
      <c r="L424" s="8" t="str">
        <f t="shared" ref="L424:L425" si="93">IF(OR(J424=0,K424=0)," ",K424-J424)</f>
        <v xml:space="preserve"> </v>
      </c>
      <c r="M424" s="12"/>
      <c r="N424" s="13">
        <f t="shared" si="4"/>
        <v>1.0471204188481615</v>
      </c>
    </row>
    <row r="425" spans="1:14" ht="14.5">
      <c r="A425" s="6">
        <v>45456</v>
      </c>
      <c r="B425" s="47" t="s">
        <v>43</v>
      </c>
      <c r="C425" s="7">
        <v>1</v>
      </c>
      <c r="D425" s="8">
        <v>3.4722222222222224E-2</v>
      </c>
      <c r="E425" s="58">
        <f t="shared" si="0"/>
        <v>3.4722222222222224E-2</v>
      </c>
      <c r="F425" s="10">
        <v>0.48554398148148148</v>
      </c>
      <c r="G425" s="10">
        <v>0.51925925925925931</v>
      </c>
      <c r="H425" s="8">
        <f t="shared" si="77"/>
        <v>3.371527777777783E-2</v>
      </c>
      <c r="I425" s="11">
        <f t="shared" si="2"/>
        <v>0.52026620370370369</v>
      </c>
      <c r="J425" s="8"/>
      <c r="K425" s="8"/>
      <c r="L425" s="8" t="str">
        <f t="shared" si="93"/>
        <v xml:space="preserve"> </v>
      </c>
      <c r="M425" s="12"/>
      <c r="N425" s="13">
        <f t="shared" si="4"/>
        <v>1.0298661174047359</v>
      </c>
    </row>
    <row r="426" spans="1:14" ht="14.5">
      <c r="A426" s="6">
        <v>45456</v>
      </c>
      <c r="B426" s="47" t="s">
        <v>28</v>
      </c>
      <c r="C426" s="7">
        <v>41</v>
      </c>
      <c r="D426" s="8">
        <v>1.3888888888888889E-3</v>
      </c>
      <c r="E426" s="58">
        <f t="shared" si="0"/>
        <v>5.6944444444444443E-2</v>
      </c>
      <c r="F426" s="10">
        <v>0.51925925925925931</v>
      </c>
      <c r="G426" s="10">
        <v>0.61570601851851847</v>
      </c>
      <c r="H426" s="8">
        <f t="shared" si="77"/>
        <v>5.651620370370361E-2</v>
      </c>
      <c r="I426" s="11">
        <f t="shared" si="2"/>
        <v>0.61613425925925935</v>
      </c>
      <c r="J426" s="8"/>
      <c r="K426" s="8"/>
      <c r="L426" s="8">
        <v>3.9930555555555552E-2</v>
      </c>
      <c r="M426" s="12"/>
      <c r="N426" s="13">
        <f t="shared" si="4"/>
        <v>1.0075773090313349</v>
      </c>
    </row>
    <row r="427" spans="1:14" ht="14.5">
      <c r="A427" s="6">
        <v>45456</v>
      </c>
      <c r="B427" s="47" t="s">
        <v>50</v>
      </c>
      <c r="C427" s="7">
        <v>1</v>
      </c>
      <c r="D427" s="8">
        <v>1.0416666666666666E-2</v>
      </c>
      <c r="E427" s="58">
        <f t="shared" si="0"/>
        <v>1.0416666666666666E-2</v>
      </c>
      <c r="F427" s="10">
        <v>0.61570601851851847</v>
      </c>
      <c r="G427" s="10">
        <v>0.62578703703703709</v>
      </c>
      <c r="H427" s="8">
        <f t="shared" si="77"/>
        <v>1.0081018518518614E-2</v>
      </c>
      <c r="I427" s="11">
        <f t="shared" si="2"/>
        <v>0.6261226851851851</v>
      </c>
      <c r="J427" s="8"/>
      <c r="K427" s="8"/>
      <c r="L427" s="8" t="str">
        <f t="shared" ref="L427:L429" si="94">IF(OR(J427=0,K427=0)," ",K427-J427)</f>
        <v xml:space="preserve"> </v>
      </c>
      <c r="M427" s="12"/>
      <c r="N427" s="13">
        <f t="shared" si="4"/>
        <v>1.0332950631457996</v>
      </c>
    </row>
    <row r="428" spans="1:14" ht="14.5">
      <c r="A428" s="6">
        <v>45456</v>
      </c>
      <c r="B428" s="47" t="s">
        <v>51</v>
      </c>
      <c r="C428" s="7">
        <v>1</v>
      </c>
      <c r="D428" s="8">
        <v>1.0416666666666666E-2</v>
      </c>
      <c r="E428" s="58">
        <f t="shared" si="0"/>
        <v>1.0416666666666666E-2</v>
      </c>
      <c r="F428" s="10">
        <v>0.62578703703703709</v>
      </c>
      <c r="G428" s="10">
        <v>0.6358449074074074</v>
      </c>
      <c r="H428" s="8">
        <f t="shared" si="77"/>
        <v>1.0057870370370314E-2</v>
      </c>
      <c r="I428" s="11">
        <f t="shared" si="2"/>
        <v>0.63620370370370372</v>
      </c>
      <c r="J428" s="8"/>
      <c r="K428" s="8"/>
      <c r="L428" s="8" t="str">
        <f t="shared" si="94"/>
        <v xml:space="preserve"> </v>
      </c>
      <c r="M428" s="12"/>
      <c r="N428" s="13">
        <f t="shared" si="4"/>
        <v>1.0356731875719274</v>
      </c>
    </row>
    <row r="429" spans="1:14" ht="14.5">
      <c r="A429" s="6">
        <v>45456</v>
      </c>
      <c r="B429" s="47" t="s">
        <v>52</v>
      </c>
      <c r="C429" s="7">
        <v>1</v>
      </c>
      <c r="D429" s="8">
        <v>1.0416666666666666E-2</v>
      </c>
      <c r="E429" s="58">
        <f t="shared" si="0"/>
        <v>1.0416666666666666E-2</v>
      </c>
      <c r="F429" s="10">
        <v>0.6358449074074074</v>
      </c>
      <c r="G429" s="10">
        <v>0.64585648148148145</v>
      </c>
      <c r="H429" s="8">
        <f t="shared" si="77"/>
        <v>1.0011574074074048E-2</v>
      </c>
      <c r="I429" s="11">
        <f t="shared" si="2"/>
        <v>0.64626157407407403</v>
      </c>
      <c r="J429" s="8"/>
      <c r="K429" s="8"/>
      <c r="L429" s="8" t="str">
        <f t="shared" si="94"/>
        <v xml:space="preserve"> </v>
      </c>
      <c r="M429" s="12"/>
      <c r="N429" s="13">
        <f t="shared" si="4"/>
        <v>1.0404624277456673</v>
      </c>
    </row>
    <row r="430" spans="1:14" ht="14.5">
      <c r="A430" s="6">
        <v>45456</v>
      </c>
      <c r="B430" s="47" t="s">
        <v>28</v>
      </c>
      <c r="C430" s="7">
        <v>55</v>
      </c>
      <c r="D430" s="8">
        <v>1.3888888888888889E-3</v>
      </c>
      <c r="E430" s="58">
        <f t="shared" si="0"/>
        <v>7.6388888888888895E-2</v>
      </c>
      <c r="F430" s="10">
        <v>0.64585648148148145</v>
      </c>
      <c r="G430" s="10">
        <v>0.73353197916731006</v>
      </c>
      <c r="H430" s="8">
        <f t="shared" si="77"/>
        <v>7.1147719908050827E-2</v>
      </c>
      <c r="I430" s="11">
        <f t="shared" si="2"/>
        <v>0.73877314814814821</v>
      </c>
      <c r="J430" s="8"/>
      <c r="K430" s="8"/>
      <c r="L430" s="8">
        <v>1.6527777777777777E-2</v>
      </c>
      <c r="M430" s="12"/>
      <c r="N430" s="13">
        <f t="shared" si="4"/>
        <v>1.0736660147030936</v>
      </c>
    </row>
    <row r="431" spans="1:14" ht="14.5">
      <c r="A431" s="6">
        <v>45457</v>
      </c>
      <c r="B431" s="47" t="s">
        <v>28</v>
      </c>
      <c r="C431" s="7">
        <v>40</v>
      </c>
      <c r="D431" s="8">
        <v>1.3888888888888889E-3</v>
      </c>
      <c r="E431" s="58">
        <f t="shared" si="0"/>
        <v>5.5555555555555559E-2</v>
      </c>
      <c r="F431" s="10">
        <v>0.33863425925925927</v>
      </c>
      <c r="G431" s="10">
        <v>0.41811342592592593</v>
      </c>
      <c r="H431" s="8">
        <f t="shared" si="77"/>
        <v>5.3738425925925912E-2</v>
      </c>
      <c r="I431" s="11">
        <f t="shared" si="2"/>
        <v>0.41993055555555558</v>
      </c>
      <c r="J431" s="8"/>
      <c r="K431" s="8"/>
      <c r="L431" s="8">
        <v>2.5740740740740741E-2</v>
      </c>
      <c r="M431" s="12"/>
      <c r="N431" s="13">
        <f t="shared" si="4"/>
        <v>1.0338143441740257</v>
      </c>
    </row>
    <row r="432" spans="1:14" ht="14.5">
      <c r="A432" s="6">
        <v>45457</v>
      </c>
      <c r="B432" s="47" t="s">
        <v>44</v>
      </c>
      <c r="C432" s="7">
        <v>3</v>
      </c>
      <c r="D432" s="8">
        <v>3.472222222222222E-3</v>
      </c>
      <c r="E432" s="58">
        <f t="shared" si="0"/>
        <v>1.0416666666666666E-2</v>
      </c>
      <c r="F432" s="10">
        <v>0.41811342592592593</v>
      </c>
      <c r="G432" s="10">
        <v>0.42815972222222221</v>
      </c>
      <c r="H432" s="8">
        <f t="shared" si="77"/>
        <v>1.0046296296296275E-2</v>
      </c>
      <c r="I432" s="11">
        <f t="shared" si="2"/>
        <v>0.42853009259259262</v>
      </c>
      <c r="J432" s="8"/>
      <c r="K432" s="8"/>
      <c r="L432" s="8" t="str">
        <f>IF(OR(J432=0,K432=0)," ",K432-J432)</f>
        <v xml:space="preserve"> </v>
      </c>
      <c r="M432" s="12"/>
      <c r="N432" s="13">
        <f t="shared" si="4"/>
        <v>1.0368663594470067</v>
      </c>
    </row>
    <row r="433" spans="1:14" ht="14.5">
      <c r="A433" s="6">
        <v>45457</v>
      </c>
      <c r="B433" s="47" t="s">
        <v>28</v>
      </c>
      <c r="C433" s="7">
        <v>145</v>
      </c>
      <c r="D433" s="8">
        <v>1.3888888888888889E-3</v>
      </c>
      <c r="E433" s="58">
        <f t="shared" si="0"/>
        <v>0.2013888888888889</v>
      </c>
      <c r="F433" s="10">
        <v>0.42815972222222221</v>
      </c>
      <c r="G433" s="10">
        <v>0.7153356481481481</v>
      </c>
      <c r="H433" s="8">
        <f t="shared" si="77"/>
        <v>0.19663194444444443</v>
      </c>
      <c r="I433" s="11">
        <f t="shared" si="2"/>
        <v>0.72009259259259251</v>
      </c>
      <c r="J433" s="8"/>
      <c r="K433" s="8"/>
      <c r="L433" s="8">
        <v>9.0543981481481475E-2</v>
      </c>
      <c r="M433" s="12"/>
      <c r="N433" s="13">
        <f t="shared" si="4"/>
        <v>1.0241921243157339</v>
      </c>
    </row>
    <row r="434" spans="1:14" ht="14.5">
      <c r="A434" s="6">
        <v>45457</v>
      </c>
      <c r="B434" s="47" t="s">
        <v>50</v>
      </c>
      <c r="C434" s="7">
        <v>1</v>
      </c>
      <c r="D434" s="8">
        <v>1.0416666666666666E-2</v>
      </c>
      <c r="E434" s="58">
        <f t="shared" si="0"/>
        <v>1.0416666666666666E-2</v>
      </c>
      <c r="F434" s="10">
        <v>0.63868055555555558</v>
      </c>
      <c r="G434" s="10">
        <v>0.64862268518518518</v>
      </c>
      <c r="H434" s="8">
        <f t="shared" si="77"/>
        <v>9.9421296296295925E-3</v>
      </c>
      <c r="I434" s="11">
        <f t="shared" si="2"/>
        <v>0.64909722222222221</v>
      </c>
      <c r="J434" s="8"/>
      <c r="K434" s="8"/>
      <c r="L434" s="8" t="str">
        <f t="shared" ref="L434:L436" si="95">IF(OR(J434=0,K434=0)," ",K434-J434)</f>
        <v xml:space="preserve"> </v>
      </c>
      <c r="M434" s="12"/>
      <c r="N434" s="13">
        <f t="shared" si="4"/>
        <v>1.0477299185098992</v>
      </c>
    </row>
    <row r="435" spans="1:14" ht="14.5">
      <c r="A435" s="6">
        <v>45457</v>
      </c>
      <c r="B435" s="47" t="s">
        <v>51</v>
      </c>
      <c r="C435" s="7">
        <v>1</v>
      </c>
      <c r="D435" s="8">
        <v>1.0416666666666666E-2</v>
      </c>
      <c r="E435" s="58">
        <f t="shared" si="0"/>
        <v>1.0416666666666666E-2</v>
      </c>
      <c r="F435" s="59">
        <f t="shared" ref="F435:F436" si="96">G434</f>
        <v>0.64862268518518518</v>
      </c>
      <c r="G435" s="10">
        <v>0.65871527777777783</v>
      </c>
      <c r="H435" s="8">
        <f t="shared" si="77"/>
        <v>1.0092592592592653E-2</v>
      </c>
      <c r="I435" s="11">
        <f t="shared" si="2"/>
        <v>0.65903935185185181</v>
      </c>
      <c r="J435" s="8"/>
      <c r="K435" s="8"/>
      <c r="L435" s="8" t="str">
        <f t="shared" si="95"/>
        <v xml:space="preserve"> </v>
      </c>
      <c r="M435" s="12"/>
      <c r="N435" s="13">
        <f t="shared" si="4"/>
        <v>1.032110091743113</v>
      </c>
    </row>
    <row r="436" spans="1:14" ht="14.5">
      <c r="A436" s="6">
        <v>45457</v>
      </c>
      <c r="B436" s="47" t="s">
        <v>52</v>
      </c>
      <c r="C436" s="7">
        <v>1</v>
      </c>
      <c r="D436" s="8">
        <v>1.0416666666666666E-2</v>
      </c>
      <c r="E436" s="58">
        <f t="shared" si="0"/>
        <v>1.0416666666666666E-2</v>
      </c>
      <c r="F436" s="59">
        <f t="shared" si="96"/>
        <v>0.65871527777777783</v>
      </c>
      <c r="G436" s="10">
        <v>0.6690625</v>
      </c>
      <c r="H436" s="8">
        <f t="shared" si="77"/>
        <v>1.0347222222222174E-2</v>
      </c>
      <c r="I436" s="11">
        <f t="shared" si="2"/>
        <v>0.66913194444444446</v>
      </c>
      <c r="J436" s="8"/>
      <c r="K436" s="8"/>
      <c r="L436" s="8" t="str">
        <f t="shared" si="95"/>
        <v xml:space="preserve"> </v>
      </c>
      <c r="M436" s="12"/>
      <c r="N436" s="13">
        <f t="shared" si="4"/>
        <v>1.0067114093959777</v>
      </c>
    </row>
    <row r="437" spans="1:14" ht="14.5">
      <c r="A437" s="6">
        <v>45462</v>
      </c>
      <c r="B437" s="47" t="s">
        <v>16</v>
      </c>
      <c r="C437" s="7">
        <v>22</v>
      </c>
      <c r="D437" s="8">
        <v>5.5555555555555558E-3</v>
      </c>
      <c r="E437" s="58">
        <f t="shared" si="0"/>
        <v>0.12222222222222223</v>
      </c>
      <c r="F437" s="10">
        <v>0.34291666666666665</v>
      </c>
      <c r="G437" s="10">
        <v>0.48938657407407404</v>
      </c>
      <c r="H437" s="8">
        <f t="shared" si="77"/>
        <v>0.12201388888888888</v>
      </c>
      <c r="I437" s="11">
        <f t="shared" si="2"/>
        <v>0.48959490740740741</v>
      </c>
      <c r="J437" s="8"/>
      <c r="K437" s="8"/>
      <c r="L437" s="8">
        <v>2.4456018518518519E-2</v>
      </c>
      <c r="M437" s="12"/>
      <c r="N437" s="13">
        <f t="shared" si="4"/>
        <v>1.0017074558907231</v>
      </c>
    </row>
    <row r="438" spans="1:14" ht="14.5">
      <c r="A438" s="6">
        <v>45462</v>
      </c>
      <c r="B438" s="47" t="s">
        <v>57</v>
      </c>
      <c r="C438" s="7">
        <v>15</v>
      </c>
      <c r="D438" s="8">
        <v>2.7777777777777779E-3</v>
      </c>
      <c r="E438" s="58">
        <f t="shared" si="0"/>
        <v>4.1666666666666671E-2</v>
      </c>
      <c r="F438" s="10">
        <v>0.48938657407407404</v>
      </c>
      <c r="G438" s="10">
        <v>0.53017361111111116</v>
      </c>
      <c r="H438" s="8">
        <f t="shared" si="77"/>
        <v>4.0787037037037122E-2</v>
      </c>
      <c r="I438" s="11">
        <f t="shared" si="2"/>
        <v>0.53105324074074067</v>
      </c>
      <c r="J438" s="8"/>
      <c r="K438" s="8"/>
      <c r="L438" s="8" t="str">
        <f t="shared" ref="L438:L439" si="97">IF(OR(J438=0,K438=0)," ",K438-J438)</f>
        <v xml:space="preserve"> </v>
      </c>
      <c r="M438" s="12"/>
      <c r="N438" s="13">
        <f t="shared" si="4"/>
        <v>1.0215664018161161</v>
      </c>
    </row>
    <row r="439" spans="1:14" ht="14.5">
      <c r="A439" s="6">
        <v>45462</v>
      </c>
      <c r="B439" s="47" t="s">
        <v>20</v>
      </c>
      <c r="C439" s="7">
        <v>35</v>
      </c>
      <c r="D439" s="8">
        <v>2.0833333333333333E-3</v>
      </c>
      <c r="E439" s="58">
        <f t="shared" si="0"/>
        <v>7.2916666666666671E-2</v>
      </c>
      <c r="F439" s="10">
        <v>0.53017361111111116</v>
      </c>
      <c r="G439" s="10">
        <v>0.61312500000000003</v>
      </c>
      <c r="H439" s="8">
        <f t="shared" si="77"/>
        <v>8.2951388888888866E-2</v>
      </c>
      <c r="I439" s="11">
        <f t="shared" si="2"/>
        <v>0.60309027777777779</v>
      </c>
      <c r="J439" s="8"/>
      <c r="K439" s="8"/>
      <c r="L439" s="8" t="str">
        <f t="shared" si="97"/>
        <v xml:space="preserve"> </v>
      </c>
      <c r="M439" s="18" t="s">
        <v>59</v>
      </c>
      <c r="N439" s="13">
        <f t="shared" si="4"/>
        <v>0.87902888237756416</v>
      </c>
    </row>
    <row r="440" spans="1:14" ht="14.5">
      <c r="A440" s="6">
        <v>45462</v>
      </c>
      <c r="B440" s="47" t="s">
        <v>20</v>
      </c>
      <c r="C440" s="7">
        <v>39</v>
      </c>
      <c r="D440" s="8">
        <v>2.0833333333333333E-3</v>
      </c>
      <c r="E440" s="58">
        <f t="shared" si="0"/>
        <v>8.1250000000000003E-2</v>
      </c>
      <c r="F440" s="10">
        <v>0.61312500000000003</v>
      </c>
      <c r="G440" s="10">
        <v>0.70997685185185189</v>
      </c>
      <c r="H440" s="8">
        <f t="shared" si="77"/>
        <v>7.6064814814814821E-2</v>
      </c>
      <c r="I440" s="11">
        <f t="shared" si="2"/>
        <v>0.71516203703703707</v>
      </c>
      <c r="J440" s="8"/>
      <c r="K440" s="8"/>
      <c r="L440" s="8">
        <v>2.0787037037037038E-2</v>
      </c>
      <c r="M440" s="18" t="s">
        <v>148</v>
      </c>
      <c r="N440" s="13">
        <f t="shared" si="4"/>
        <v>1.0681679853925745</v>
      </c>
    </row>
    <row r="441" spans="1:14" ht="14.5">
      <c r="A441" s="6">
        <v>45462</v>
      </c>
      <c r="B441" s="47" t="s">
        <v>16</v>
      </c>
      <c r="C441" s="7">
        <v>3</v>
      </c>
      <c r="D441" s="8">
        <v>5.5555555555555558E-3</v>
      </c>
      <c r="E441" s="58">
        <f t="shared" si="0"/>
        <v>1.6666666666666666E-2</v>
      </c>
      <c r="F441" s="10">
        <v>0.70997685185185189</v>
      </c>
      <c r="G441" s="10">
        <v>0.7252777777777778</v>
      </c>
      <c r="H441" s="8">
        <f t="shared" si="77"/>
        <v>1.5300925925925912E-2</v>
      </c>
      <c r="I441" s="11">
        <f t="shared" si="2"/>
        <v>0.72664351851851861</v>
      </c>
      <c r="J441" s="8"/>
      <c r="K441" s="8"/>
      <c r="L441" s="8"/>
      <c r="M441" s="12"/>
      <c r="N441" s="13">
        <f t="shared" si="4"/>
        <v>1.0892586989409994</v>
      </c>
    </row>
    <row r="442" spans="1:14" ht="14.5">
      <c r="A442" s="6">
        <v>45463</v>
      </c>
      <c r="B442" s="47" t="s">
        <v>93</v>
      </c>
      <c r="C442" s="7">
        <v>24</v>
      </c>
      <c r="D442" s="8">
        <v>6.9444444444444441E-3</v>
      </c>
      <c r="E442" s="58">
        <f t="shared" si="0"/>
        <v>0.16666666666666666</v>
      </c>
      <c r="F442" s="10">
        <v>0.32833333333333331</v>
      </c>
      <c r="G442" s="10">
        <v>0.53166666666666662</v>
      </c>
      <c r="H442" s="8">
        <f t="shared" si="77"/>
        <v>0.16358796296296294</v>
      </c>
      <c r="I442" s="11">
        <f t="shared" si="2"/>
        <v>0.5347453703703704</v>
      </c>
      <c r="J442" s="8"/>
      <c r="K442" s="8"/>
      <c r="L442" s="8">
        <v>3.9745370370370368E-2</v>
      </c>
      <c r="M442" s="12"/>
      <c r="N442" s="13">
        <f t="shared" si="4"/>
        <v>1.0188198669874065</v>
      </c>
    </row>
    <row r="443" spans="1:14" ht="14.5">
      <c r="A443" s="6">
        <v>45463</v>
      </c>
      <c r="B443" s="47" t="s">
        <v>28</v>
      </c>
      <c r="C443" s="7">
        <v>90</v>
      </c>
      <c r="D443" s="8">
        <v>1.3888888888888889E-3</v>
      </c>
      <c r="E443" s="58">
        <f t="shared" si="0"/>
        <v>0.125</v>
      </c>
      <c r="F443" s="10">
        <v>0.53166666666666662</v>
      </c>
      <c r="G443" s="10">
        <v>0.70925925925925926</v>
      </c>
      <c r="H443" s="8">
        <f t="shared" si="77"/>
        <v>0.12475694444444449</v>
      </c>
      <c r="I443" s="11">
        <f t="shared" si="2"/>
        <v>0.70950231481481474</v>
      </c>
      <c r="J443" s="8"/>
      <c r="K443" s="8"/>
      <c r="L443" s="8">
        <v>5.2835648148148145E-2</v>
      </c>
      <c r="M443" s="12"/>
      <c r="N443" s="13">
        <f t="shared" si="4"/>
        <v>1.0019482326746447</v>
      </c>
    </row>
    <row r="444" spans="1:14" ht="14.5">
      <c r="A444" s="6">
        <v>45464</v>
      </c>
      <c r="B444" s="47" t="s">
        <v>93</v>
      </c>
      <c r="C444" s="7">
        <v>4</v>
      </c>
      <c r="D444" s="8">
        <v>6.9444444444444441E-3</v>
      </c>
      <c r="E444" s="58">
        <f t="shared" si="0"/>
        <v>2.7777777777777776E-2</v>
      </c>
      <c r="F444" s="10">
        <v>0.33271990740740742</v>
      </c>
      <c r="G444" s="10">
        <v>0.35980324074074072</v>
      </c>
      <c r="H444" s="8">
        <f t="shared" si="77"/>
        <v>2.7083333333333293E-2</v>
      </c>
      <c r="I444" s="11">
        <f t="shared" si="2"/>
        <v>0.36049768518518521</v>
      </c>
      <c r="J444" s="8"/>
      <c r="K444" s="8"/>
      <c r="L444" s="8" t="str">
        <f>IF(OR(J444=0,K444=0)," ",K444-J444)</f>
        <v xml:space="preserve"> </v>
      </c>
      <c r="M444" s="12"/>
      <c r="N444" s="13">
        <f t="shared" si="4"/>
        <v>1.0256410256410271</v>
      </c>
    </row>
    <row r="445" spans="1:14" ht="14.5">
      <c r="A445" s="6">
        <v>45464</v>
      </c>
      <c r="B445" s="47" t="s">
        <v>93</v>
      </c>
      <c r="C445" s="7">
        <v>11</v>
      </c>
      <c r="D445" s="8">
        <v>6.9444444444444441E-3</v>
      </c>
      <c r="E445" s="58">
        <f t="shared" si="0"/>
        <v>7.6388888888888881E-2</v>
      </c>
      <c r="F445" s="10">
        <v>0.46267361111111116</v>
      </c>
      <c r="G445" s="10">
        <v>0.60277777777777775</v>
      </c>
      <c r="H445" s="8">
        <f t="shared" si="77"/>
        <v>7.5844907407407319E-2</v>
      </c>
      <c r="I445" s="11">
        <f t="shared" si="2"/>
        <v>0.60332175925925924</v>
      </c>
      <c r="J445" s="8"/>
      <c r="K445" s="8"/>
      <c r="L445" s="8">
        <v>6.4259259259259266E-2</v>
      </c>
      <c r="M445" s="12"/>
      <c r="N445" s="13">
        <f t="shared" si="4"/>
        <v>1.0071722875019087</v>
      </c>
    </row>
    <row r="446" spans="1:14" ht="14.5">
      <c r="A446" s="6">
        <v>45467</v>
      </c>
      <c r="B446" s="47" t="s">
        <v>44</v>
      </c>
      <c r="C446" s="7">
        <v>3</v>
      </c>
      <c r="D446" s="8">
        <v>3.472222222222222E-3</v>
      </c>
      <c r="E446" s="58">
        <f t="shared" si="0"/>
        <v>1.0416666666666666E-2</v>
      </c>
      <c r="F446" s="10">
        <v>0.32965277777777779</v>
      </c>
      <c r="G446" s="10">
        <v>0.33964120370370365</v>
      </c>
      <c r="H446" s="8">
        <f t="shared" si="77"/>
        <v>9.988425925925859E-3</v>
      </c>
      <c r="I446" s="11">
        <f t="shared" si="2"/>
        <v>0.34006944444444448</v>
      </c>
      <c r="J446" s="8"/>
      <c r="K446" s="8"/>
      <c r="L446" s="8" t="str">
        <f>IF(OR(J446=0,K446=0)," ",K446-J446)</f>
        <v xml:space="preserve"> </v>
      </c>
      <c r="M446" s="12"/>
      <c r="N446" s="13">
        <f t="shared" si="4"/>
        <v>1.0428736964078864</v>
      </c>
    </row>
    <row r="447" spans="1:14" ht="14.5">
      <c r="A447" s="6">
        <v>45467</v>
      </c>
      <c r="B447" s="47" t="s">
        <v>44</v>
      </c>
      <c r="C447" s="7">
        <v>2</v>
      </c>
      <c r="D447" s="8">
        <v>3.472222222222222E-3</v>
      </c>
      <c r="E447" s="58">
        <f t="shared" si="0"/>
        <v>6.9444444444444441E-3</v>
      </c>
      <c r="F447" s="10">
        <v>0.44848379629629631</v>
      </c>
      <c r="G447" s="10">
        <v>0.47890046296296296</v>
      </c>
      <c r="H447" s="8">
        <f t="shared" si="77"/>
        <v>6.5046296296296102E-3</v>
      </c>
      <c r="I447" s="11">
        <f t="shared" si="2"/>
        <v>0.47934027777777777</v>
      </c>
      <c r="J447" s="8"/>
      <c r="K447" s="8"/>
      <c r="L447" s="8">
        <v>2.3912037037037037E-2</v>
      </c>
      <c r="M447" s="12"/>
      <c r="N447" s="13">
        <f t="shared" si="4"/>
        <v>1.0676156583629925</v>
      </c>
    </row>
    <row r="448" spans="1:14" ht="14.5">
      <c r="A448" s="6">
        <v>45467</v>
      </c>
      <c r="B448" s="47" t="s">
        <v>85</v>
      </c>
      <c r="C448" s="7">
        <v>1</v>
      </c>
      <c r="D448" s="8">
        <v>0.11458333333333333</v>
      </c>
      <c r="E448" s="58">
        <f t="shared" si="0"/>
        <v>0.11458333333333333</v>
      </c>
      <c r="F448" s="10">
        <v>0.47890046296296296</v>
      </c>
      <c r="G448" s="10">
        <v>0.58862268518518523</v>
      </c>
      <c r="H448" s="8">
        <f t="shared" si="77"/>
        <v>0.10972222222222228</v>
      </c>
      <c r="I448" s="11">
        <f t="shared" si="2"/>
        <v>0.59348379629629633</v>
      </c>
      <c r="J448" s="8"/>
      <c r="K448" s="8"/>
      <c r="L448" s="8" t="str">
        <f t="shared" ref="L448:L452" si="98">IF(OR(J448=0,K448=0)," ",K448-J448)</f>
        <v xml:space="preserve"> </v>
      </c>
      <c r="M448" s="18" t="s">
        <v>149</v>
      </c>
      <c r="N448" s="13">
        <f t="shared" si="4"/>
        <v>1.0443037974683538</v>
      </c>
    </row>
    <row r="449" spans="1:14" ht="14.5">
      <c r="A449" s="6">
        <v>45467</v>
      </c>
      <c r="B449" s="47" t="s">
        <v>84</v>
      </c>
      <c r="C449" s="7">
        <v>1</v>
      </c>
      <c r="D449" s="8">
        <v>7.6388888888888895E-2</v>
      </c>
      <c r="E449" s="58">
        <f t="shared" si="0"/>
        <v>7.6388888888888895E-2</v>
      </c>
      <c r="F449" s="10">
        <v>0.58862268518518523</v>
      </c>
      <c r="G449" s="10">
        <v>0.674224537037037</v>
      </c>
      <c r="H449" s="8">
        <f t="shared" si="77"/>
        <v>8.5601851851851762E-2</v>
      </c>
      <c r="I449" s="11">
        <f t="shared" si="2"/>
        <v>0.66501157407407407</v>
      </c>
      <c r="J449" s="8"/>
      <c r="K449" s="8"/>
      <c r="L449" s="8" t="str">
        <f t="shared" si="98"/>
        <v xml:space="preserve"> </v>
      </c>
      <c r="M449" s="12"/>
      <c r="N449" s="13">
        <f t="shared" si="4"/>
        <v>0.8923742563547874</v>
      </c>
    </row>
    <row r="450" spans="1:14" ht="14.5">
      <c r="A450" s="6">
        <v>45467</v>
      </c>
      <c r="B450" s="47" t="s">
        <v>20</v>
      </c>
      <c r="C450" s="7">
        <v>37</v>
      </c>
      <c r="D450" s="8">
        <v>2.0833333333333333E-3</v>
      </c>
      <c r="E450" s="58">
        <f t="shared" si="0"/>
        <v>7.7083333333333337E-2</v>
      </c>
      <c r="F450" s="10">
        <v>0.674224537037037</v>
      </c>
      <c r="G450" s="10">
        <v>0.74005787037037041</v>
      </c>
      <c r="H450" s="8">
        <f t="shared" si="77"/>
        <v>6.583333333333341E-2</v>
      </c>
      <c r="I450" s="11">
        <f t="shared" si="2"/>
        <v>0.75130787037037039</v>
      </c>
      <c r="J450" s="8"/>
      <c r="K450" s="8"/>
      <c r="L450" s="8" t="str">
        <f t="shared" si="98"/>
        <v xml:space="preserve"> </v>
      </c>
      <c r="M450" s="12"/>
      <c r="N450" s="13">
        <f t="shared" si="4"/>
        <v>1.1708860759493658</v>
      </c>
    </row>
    <row r="451" spans="1:14" ht="14.5">
      <c r="A451" s="6">
        <v>45468</v>
      </c>
      <c r="B451" s="47" t="s">
        <v>57</v>
      </c>
      <c r="C451" s="7">
        <v>14</v>
      </c>
      <c r="D451" s="8">
        <v>2.7777777777777779E-3</v>
      </c>
      <c r="E451" s="58">
        <f t="shared" si="0"/>
        <v>3.888888888888889E-2</v>
      </c>
      <c r="F451" s="10">
        <v>0.33560185185185187</v>
      </c>
      <c r="G451" s="10">
        <v>0.37320601851851853</v>
      </c>
      <c r="H451" s="8">
        <f t="shared" si="77"/>
        <v>3.7604166666666661E-2</v>
      </c>
      <c r="I451" s="11">
        <f t="shared" si="2"/>
        <v>0.37449074074074074</v>
      </c>
      <c r="J451" s="8"/>
      <c r="K451" s="8"/>
      <c r="L451" s="8" t="str">
        <f t="shared" si="98"/>
        <v xml:space="preserve"> </v>
      </c>
      <c r="M451" s="12"/>
      <c r="N451" s="13">
        <f t="shared" si="4"/>
        <v>1.0341643582640814</v>
      </c>
    </row>
    <row r="452" spans="1:14" ht="14.5">
      <c r="A452" s="6">
        <v>45468</v>
      </c>
      <c r="B452" s="47" t="s">
        <v>44</v>
      </c>
      <c r="C452" s="7">
        <v>5</v>
      </c>
      <c r="D452" s="8">
        <v>3.472222222222222E-3</v>
      </c>
      <c r="E452" s="58">
        <f t="shared" si="0"/>
        <v>1.7361111111111112E-2</v>
      </c>
      <c r="F452" s="10">
        <v>0.37320601851851853</v>
      </c>
      <c r="G452" s="50">
        <v>0.38967592592592593</v>
      </c>
      <c r="H452" s="8">
        <f t="shared" si="77"/>
        <v>1.6469907407407391E-2</v>
      </c>
      <c r="I452" s="11">
        <f t="shared" si="2"/>
        <v>0.39056712962962964</v>
      </c>
      <c r="J452" s="8"/>
      <c r="K452" s="8"/>
      <c r="L452" s="8" t="str">
        <f t="shared" si="98"/>
        <v xml:space="preserve"> </v>
      </c>
      <c r="M452" s="12"/>
      <c r="N452" s="13">
        <f t="shared" si="4"/>
        <v>1.0541110330288135</v>
      </c>
    </row>
    <row r="453" spans="1:14" ht="14.5">
      <c r="A453" s="6">
        <v>45468</v>
      </c>
      <c r="B453" s="47" t="s">
        <v>27</v>
      </c>
      <c r="C453" s="7">
        <v>25</v>
      </c>
      <c r="D453" s="8">
        <v>1.3888888888888889E-3</v>
      </c>
      <c r="E453" s="58">
        <f t="shared" si="0"/>
        <v>3.4722222222222224E-2</v>
      </c>
      <c r="F453" s="50">
        <v>0.38967592592592593</v>
      </c>
      <c r="G453" s="10">
        <v>0.45562499999999995</v>
      </c>
      <c r="H453" s="8">
        <f t="shared" si="77"/>
        <v>3.9548611111111062E-2</v>
      </c>
      <c r="I453" s="11">
        <f t="shared" si="2"/>
        <v>0.45079861111111108</v>
      </c>
      <c r="J453" s="8"/>
      <c r="K453" s="8"/>
      <c r="L453" s="8">
        <v>2.6400462962962962E-2</v>
      </c>
      <c r="M453" s="12"/>
      <c r="N453" s="13">
        <f t="shared" si="4"/>
        <v>0.87796312554872813</v>
      </c>
    </row>
    <row r="454" spans="1:14" ht="14.5">
      <c r="A454" s="6">
        <v>45468</v>
      </c>
      <c r="B454" s="47" t="s">
        <v>16</v>
      </c>
      <c r="C454" s="7">
        <v>19</v>
      </c>
      <c r="D454" s="8">
        <v>5.5555555555555558E-3</v>
      </c>
      <c r="E454" s="58">
        <f t="shared" si="0"/>
        <v>0.10555555555555556</v>
      </c>
      <c r="F454" s="10">
        <v>0.45562499999999995</v>
      </c>
      <c r="G454" s="10">
        <v>0.58711805555555552</v>
      </c>
      <c r="H454" s="8">
        <f t="shared" si="77"/>
        <v>0.10405092592592594</v>
      </c>
      <c r="I454" s="11">
        <f t="shared" si="2"/>
        <v>0.58862268518518512</v>
      </c>
      <c r="J454" s="8"/>
      <c r="K454" s="8"/>
      <c r="L454" s="8">
        <v>2.7442129629629629E-2</v>
      </c>
      <c r="M454" s="12"/>
      <c r="N454" s="13">
        <f t="shared" si="4"/>
        <v>1.0144605116796439</v>
      </c>
    </row>
    <row r="455" spans="1:14" ht="14.5">
      <c r="A455" s="6">
        <v>45468</v>
      </c>
      <c r="B455" s="47" t="s">
        <v>20</v>
      </c>
      <c r="C455" s="7">
        <v>40</v>
      </c>
      <c r="D455" s="8">
        <v>2.0833333333333333E-3</v>
      </c>
      <c r="E455" s="58">
        <f t="shared" si="0"/>
        <v>8.3333333333333329E-2</v>
      </c>
      <c r="F455" s="10">
        <v>0.58711805555555552</v>
      </c>
      <c r="G455" s="10">
        <v>0.7123842592592593</v>
      </c>
      <c r="H455" s="8">
        <f t="shared" si="77"/>
        <v>7.7905092592592678E-2</v>
      </c>
      <c r="I455" s="11">
        <f t="shared" si="2"/>
        <v>0.71781249999999996</v>
      </c>
      <c r="J455" s="8"/>
      <c r="K455" s="8"/>
      <c r="L455" s="8">
        <v>4.7361111111111111E-2</v>
      </c>
      <c r="M455" s="12"/>
      <c r="N455" s="13">
        <f t="shared" si="4"/>
        <v>1.0696776110533341</v>
      </c>
    </row>
    <row r="456" spans="1:14" ht="14.5">
      <c r="A456" s="6">
        <v>45468</v>
      </c>
      <c r="B456" s="47" t="s">
        <v>50</v>
      </c>
      <c r="C456" s="7">
        <v>1</v>
      </c>
      <c r="D456" s="8">
        <v>1.0416666666666666E-2</v>
      </c>
      <c r="E456" s="58">
        <f t="shared" si="0"/>
        <v>1.0416666666666666E-2</v>
      </c>
      <c r="F456" s="10">
        <v>0.61724537037037042</v>
      </c>
      <c r="G456" s="10">
        <v>0.62706018518518514</v>
      </c>
      <c r="H456" s="8">
        <f t="shared" si="77"/>
        <v>9.8148148148147207E-3</v>
      </c>
      <c r="I456" s="11">
        <f t="shared" si="2"/>
        <v>0.62766203703703705</v>
      </c>
      <c r="J456" s="8"/>
      <c r="K456" s="8"/>
      <c r="L456" s="8" t="str">
        <f t="shared" ref="L456:L459" si="99">IF(OR(J456=0,K456=0)," ",K456-J456)</f>
        <v xml:space="preserve"> </v>
      </c>
      <c r="M456" s="12"/>
      <c r="N456" s="13">
        <f t="shared" si="4"/>
        <v>1.0613207547169912</v>
      </c>
    </row>
    <row r="457" spans="1:14" ht="14.5">
      <c r="A457" s="6">
        <v>45468</v>
      </c>
      <c r="B457" s="47" t="s">
        <v>51</v>
      </c>
      <c r="C457" s="7">
        <v>1</v>
      </c>
      <c r="D457" s="8">
        <v>1.0416666666666666E-2</v>
      </c>
      <c r="E457" s="58">
        <f t="shared" si="0"/>
        <v>1.0416666666666666E-2</v>
      </c>
      <c r="F457" s="10">
        <f t="shared" ref="F457:F458" si="100">G456</f>
        <v>0.62706018518518514</v>
      </c>
      <c r="G457" s="10">
        <v>0.63733796296296297</v>
      </c>
      <c r="H457" s="8">
        <f t="shared" si="77"/>
        <v>1.027777777777783E-2</v>
      </c>
      <c r="I457" s="11">
        <f t="shared" si="2"/>
        <v>0.63747685185185177</v>
      </c>
      <c r="J457" s="8"/>
      <c r="K457" s="8"/>
      <c r="L457" s="8" t="str">
        <f t="shared" si="99"/>
        <v xml:space="preserve"> </v>
      </c>
      <c r="M457" s="12"/>
      <c r="N457" s="13">
        <f t="shared" si="4"/>
        <v>1.0135135135135083</v>
      </c>
    </row>
    <row r="458" spans="1:14" ht="14.5">
      <c r="A458" s="6">
        <v>45468</v>
      </c>
      <c r="B458" s="47" t="s">
        <v>52</v>
      </c>
      <c r="C458" s="7">
        <v>1</v>
      </c>
      <c r="D458" s="8">
        <v>1.0416666666666666E-2</v>
      </c>
      <c r="E458" s="58">
        <f t="shared" si="0"/>
        <v>1.0416666666666666E-2</v>
      </c>
      <c r="F458" s="10">
        <f t="shared" si="100"/>
        <v>0.63733796296296297</v>
      </c>
      <c r="G458" s="50">
        <v>0.6473726851851852</v>
      </c>
      <c r="H458" s="8">
        <f t="shared" si="77"/>
        <v>1.0034722222222237E-2</v>
      </c>
      <c r="I458" s="11">
        <f t="shared" si="2"/>
        <v>0.6477546296296296</v>
      </c>
      <c r="J458" s="8"/>
      <c r="K458" s="8"/>
      <c r="L458" s="8" t="str">
        <f t="shared" si="99"/>
        <v xml:space="preserve"> </v>
      </c>
      <c r="M458" s="12"/>
      <c r="N458" s="13">
        <f t="shared" si="4"/>
        <v>1.0380622837370226</v>
      </c>
    </row>
    <row r="459" spans="1:14" ht="14.5">
      <c r="A459" s="6">
        <v>45469</v>
      </c>
      <c r="B459" s="47" t="s">
        <v>86</v>
      </c>
      <c r="C459" s="7">
        <v>20</v>
      </c>
      <c r="D459" s="8">
        <v>1.3888888888888889E-3</v>
      </c>
      <c r="E459" s="58">
        <f t="shared" si="0"/>
        <v>2.777777777777778E-2</v>
      </c>
      <c r="F459" s="10">
        <v>0.33865740740740741</v>
      </c>
      <c r="G459" s="10">
        <v>0.36545138888888884</v>
      </c>
      <c r="H459" s="8">
        <f t="shared" si="77"/>
        <v>2.6793981481481433E-2</v>
      </c>
      <c r="I459" s="11">
        <f t="shared" si="2"/>
        <v>0.3664351851851852</v>
      </c>
      <c r="J459" s="8"/>
      <c r="K459" s="8"/>
      <c r="L459" s="8" t="str">
        <f t="shared" si="99"/>
        <v xml:space="preserve"> </v>
      </c>
      <c r="M459" s="12"/>
      <c r="N459" s="13">
        <f t="shared" si="4"/>
        <v>1.0367170626349911</v>
      </c>
    </row>
    <row r="460" spans="1:14" ht="14.5">
      <c r="A460" s="6">
        <v>45469</v>
      </c>
      <c r="B460" s="47" t="s">
        <v>27</v>
      </c>
      <c r="C460" s="7">
        <v>80</v>
      </c>
      <c r="D460" s="8">
        <v>1.3888888888888889E-3</v>
      </c>
      <c r="E460" s="58">
        <f t="shared" si="0"/>
        <v>0.11111111111111112</v>
      </c>
      <c r="F460" s="10">
        <v>0.36545138888888884</v>
      </c>
      <c r="G460" s="10">
        <v>0.50785879629629627</v>
      </c>
      <c r="H460" s="8">
        <f t="shared" si="77"/>
        <v>0.10678240740740744</v>
      </c>
      <c r="I460" s="11">
        <f t="shared" si="2"/>
        <v>0.51218749999999991</v>
      </c>
      <c r="J460" s="8"/>
      <c r="K460" s="8"/>
      <c r="L460" s="8">
        <v>3.5624999999999997E-2</v>
      </c>
      <c r="M460" s="12"/>
      <c r="N460" s="13">
        <f t="shared" si="4"/>
        <v>1.0405376110990676</v>
      </c>
    </row>
    <row r="461" spans="1:14" ht="14.5">
      <c r="A461" s="6">
        <v>45469</v>
      </c>
      <c r="B461" s="47" t="s">
        <v>27</v>
      </c>
      <c r="C461" s="7">
        <v>95</v>
      </c>
      <c r="D461" s="8">
        <v>1.3888888888888889E-3</v>
      </c>
      <c r="E461" s="58">
        <f t="shared" si="0"/>
        <v>0.13194444444444445</v>
      </c>
      <c r="F461" s="10">
        <v>0.50785879629629627</v>
      </c>
      <c r="G461" s="10">
        <v>0.65071759259259254</v>
      </c>
      <c r="H461" s="8">
        <f t="shared" si="77"/>
        <v>0.12680555555555553</v>
      </c>
      <c r="I461" s="11">
        <f t="shared" si="2"/>
        <v>0.65585648148148146</v>
      </c>
      <c r="J461" s="8"/>
      <c r="K461" s="8"/>
      <c r="L461" s="8">
        <v>1.6053240740740739E-2</v>
      </c>
      <c r="M461" s="12"/>
      <c r="N461" s="13">
        <f t="shared" si="4"/>
        <v>1.0405257393209202</v>
      </c>
    </row>
    <row r="462" spans="1:14" ht="14.5">
      <c r="A462" s="6">
        <v>45469</v>
      </c>
      <c r="B462" s="47" t="s">
        <v>127</v>
      </c>
      <c r="C462" s="7">
        <v>2</v>
      </c>
      <c r="D462" s="8">
        <v>3.472222222222222E-3</v>
      </c>
      <c r="E462" s="58">
        <f t="shared" si="0"/>
        <v>6.9444444444444441E-3</v>
      </c>
      <c r="F462" s="10">
        <v>0.65071759259259254</v>
      </c>
      <c r="G462" s="10">
        <v>0.65717592592592589</v>
      </c>
      <c r="H462" s="8">
        <f t="shared" si="77"/>
        <v>6.4583333333333437E-3</v>
      </c>
      <c r="I462" s="11">
        <f t="shared" si="2"/>
        <v>0.65766203703703696</v>
      </c>
      <c r="J462" s="8"/>
      <c r="K462" s="8"/>
      <c r="L462" s="8" t="str">
        <f t="shared" ref="L462:L465" si="101">IF(OR(J462=0,K462=0)," ",K462-J462)</f>
        <v xml:space="preserve"> </v>
      </c>
      <c r="M462" s="12"/>
      <c r="N462" s="13">
        <f t="shared" si="4"/>
        <v>1.0752688172042992</v>
      </c>
    </row>
    <row r="463" spans="1:14" ht="14.5">
      <c r="A463" s="6">
        <v>45469</v>
      </c>
      <c r="B463" s="47" t="s">
        <v>93</v>
      </c>
      <c r="C463" s="7">
        <v>8</v>
      </c>
      <c r="D463" s="8">
        <v>6.9444444444444441E-3</v>
      </c>
      <c r="E463" s="58">
        <f t="shared" si="0"/>
        <v>5.5555555555555552E-2</v>
      </c>
      <c r="F463" s="10">
        <v>0.65717592592592589</v>
      </c>
      <c r="G463" s="10">
        <v>0.70844907407407409</v>
      </c>
      <c r="H463" s="8">
        <f t="shared" si="77"/>
        <v>5.1273148148148207E-2</v>
      </c>
      <c r="I463" s="11">
        <f t="shared" si="2"/>
        <v>0.71273148148148147</v>
      </c>
      <c r="J463" s="8"/>
      <c r="K463" s="8"/>
      <c r="L463" s="8" t="str">
        <f t="shared" si="101"/>
        <v xml:space="preserve"> </v>
      </c>
      <c r="M463" s="12"/>
      <c r="N463" s="13">
        <f t="shared" si="4"/>
        <v>1.0835214446952584</v>
      </c>
    </row>
    <row r="464" spans="1:14" ht="14.5">
      <c r="A464" s="6">
        <v>45469</v>
      </c>
      <c r="B464" s="47" t="s">
        <v>27</v>
      </c>
      <c r="C464" s="7">
        <v>15</v>
      </c>
      <c r="D464" s="8">
        <v>1.3888888888888889E-3</v>
      </c>
      <c r="E464" s="8">
        <f t="shared" si="0"/>
        <v>2.0833333333333336E-2</v>
      </c>
      <c r="F464" s="10">
        <f>G463</f>
        <v>0.70844907407407409</v>
      </c>
      <c r="G464" s="10">
        <v>0.72648148148148151</v>
      </c>
      <c r="H464" s="8">
        <f t="shared" si="77"/>
        <v>1.8032407407407414E-2</v>
      </c>
      <c r="I464" s="11">
        <f t="shared" si="2"/>
        <v>0.72928240740740746</v>
      </c>
      <c r="J464" s="8"/>
      <c r="K464" s="8"/>
      <c r="L464" s="8" t="str">
        <f t="shared" si="101"/>
        <v xml:space="preserve"> </v>
      </c>
      <c r="M464" s="12"/>
      <c r="N464" s="13">
        <f t="shared" si="4"/>
        <v>1.1553273427471114</v>
      </c>
    </row>
    <row r="465" spans="1:14" ht="14.5">
      <c r="A465" s="6">
        <v>45470</v>
      </c>
      <c r="B465" s="47" t="s">
        <v>42</v>
      </c>
      <c r="C465" s="7">
        <v>1</v>
      </c>
      <c r="D465" s="8">
        <v>6.9444444444444441E-3</v>
      </c>
      <c r="E465" s="8">
        <f t="shared" si="0"/>
        <v>6.9444444444444441E-3</v>
      </c>
      <c r="F465" s="10">
        <v>0.35570601851851852</v>
      </c>
      <c r="G465" s="10">
        <v>0.3621759259259259</v>
      </c>
      <c r="H465" s="8">
        <f t="shared" si="77"/>
        <v>6.4699074074073826E-3</v>
      </c>
      <c r="I465" s="11">
        <f t="shared" si="2"/>
        <v>0.36265046296296294</v>
      </c>
      <c r="J465" s="8"/>
      <c r="K465" s="8"/>
      <c r="L465" s="8" t="str">
        <f t="shared" si="101"/>
        <v xml:space="preserve"> </v>
      </c>
      <c r="M465" s="12"/>
      <c r="N465" s="13">
        <f t="shared" si="4"/>
        <v>1.0733452593917752</v>
      </c>
    </row>
    <row r="466" spans="1:14" ht="14.5">
      <c r="A466" s="6">
        <v>45470</v>
      </c>
      <c r="B466" s="47" t="s">
        <v>27</v>
      </c>
      <c r="C466" s="7">
        <v>32</v>
      </c>
      <c r="D466" s="8">
        <v>1.3888888888888889E-3</v>
      </c>
      <c r="E466" s="8">
        <f t="shared" si="0"/>
        <v>4.4444444444444446E-2</v>
      </c>
      <c r="F466" s="10">
        <v>0.3621759259259259</v>
      </c>
      <c r="G466" s="10">
        <v>0.41445601851851854</v>
      </c>
      <c r="H466" s="8">
        <f t="shared" si="77"/>
        <v>4.3530092592592641E-2</v>
      </c>
      <c r="I466" s="11">
        <f t="shared" si="2"/>
        <v>0.41537037037037033</v>
      </c>
      <c r="J466" s="8"/>
      <c r="K466" s="8"/>
      <c r="L466" s="8">
        <v>8.7500000000000008E-3</v>
      </c>
      <c r="M466" s="12"/>
      <c r="N466" s="13">
        <f t="shared" si="4"/>
        <v>1.0210050518479117</v>
      </c>
    </row>
    <row r="467" spans="1:14" ht="14.5">
      <c r="A467" s="6">
        <v>45470</v>
      </c>
      <c r="B467" s="47" t="s">
        <v>43</v>
      </c>
      <c r="C467" s="7">
        <v>1</v>
      </c>
      <c r="D467" s="8">
        <v>3.4722222222222224E-2</v>
      </c>
      <c r="E467" s="8">
        <f t="shared" si="0"/>
        <v>3.4722222222222224E-2</v>
      </c>
      <c r="F467" s="10">
        <v>0.41445601851851854</v>
      </c>
      <c r="G467" s="10">
        <v>0.44796296296296301</v>
      </c>
      <c r="H467" s="8">
        <f t="shared" si="77"/>
        <v>3.3506944444444464E-2</v>
      </c>
      <c r="I467" s="11">
        <f t="shared" si="2"/>
        <v>0.44917824074074075</v>
      </c>
      <c r="J467" s="8"/>
      <c r="K467" s="8"/>
      <c r="L467" s="8"/>
      <c r="M467" s="12"/>
      <c r="N467" s="13">
        <f t="shared" si="4"/>
        <v>1.0362694300518129</v>
      </c>
    </row>
    <row r="468" spans="1:14" ht="14.5">
      <c r="A468" s="6">
        <v>45470</v>
      </c>
      <c r="B468" s="47" t="s">
        <v>27</v>
      </c>
      <c r="C468" s="7">
        <v>35</v>
      </c>
      <c r="D468" s="8">
        <v>1.3888888888888889E-3</v>
      </c>
      <c r="E468" s="8">
        <f t="shared" si="0"/>
        <v>4.8611111111111112E-2</v>
      </c>
      <c r="F468" s="10">
        <v>0.44796296296296301</v>
      </c>
      <c r="G468" s="10">
        <v>0.52668981481481481</v>
      </c>
      <c r="H468" s="8">
        <f t="shared" si="77"/>
        <v>4.7870370370370313E-2</v>
      </c>
      <c r="I468" s="11">
        <f t="shared" si="2"/>
        <v>0.52743055555555562</v>
      </c>
      <c r="J468" s="8"/>
      <c r="K468" s="8"/>
      <c r="L468" s="8">
        <v>3.0856481481481481E-2</v>
      </c>
      <c r="M468" s="12"/>
      <c r="N468" s="13">
        <f t="shared" si="4"/>
        <v>1.0154738878143146</v>
      </c>
    </row>
    <row r="469" spans="1:14" ht="14.5">
      <c r="A469" s="6">
        <v>45470</v>
      </c>
      <c r="B469" s="47" t="s">
        <v>63</v>
      </c>
      <c r="C469" s="7">
        <v>1</v>
      </c>
      <c r="D469" s="8">
        <v>3.4722222222222224E-2</v>
      </c>
      <c r="E469" s="8">
        <f t="shared" si="0"/>
        <v>3.4722222222222224E-2</v>
      </c>
      <c r="F469" s="10">
        <v>0.52668981481481481</v>
      </c>
      <c r="G469" s="10">
        <v>0.58091435185185181</v>
      </c>
      <c r="H469" s="8">
        <f t="shared" si="77"/>
        <v>3.3391203703703673E-2</v>
      </c>
      <c r="I469" s="11">
        <f t="shared" si="2"/>
        <v>0.58224537037037039</v>
      </c>
      <c r="J469" s="8"/>
      <c r="K469" s="8"/>
      <c r="L469" s="8">
        <v>2.0833333333333332E-2</v>
      </c>
      <c r="M469" s="12"/>
      <c r="N469" s="13">
        <f t="shared" si="4"/>
        <v>1.0398613518197584</v>
      </c>
    </row>
    <row r="470" spans="1:14" ht="14.5">
      <c r="A470" s="6">
        <v>45470</v>
      </c>
      <c r="B470" s="47" t="s">
        <v>27</v>
      </c>
      <c r="C470" s="7">
        <v>70</v>
      </c>
      <c r="D470" s="8">
        <v>1.3888888888888889E-3</v>
      </c>
      <c r="E470" s="8">
        <f t="shared" si="0"/>
        <v>9.7222222222222224E-2</v>
      </c>
      <c r="F470" s="10">
        <v>0.58091435185185181</v>
      </c>
      <c r="G470" s="8">
        <v>0.73318287037037033</v>
      </c>
      <c r="H470" s="8">
        <f t="shared" si="77"/>
        <v>8.5196759259259264E-2</v>
      </c>
      <c r="I470" s="11">
        <f t="shared" si="2"/>
        <v>0.74520833333333325</v>
      </c>
      <c r="J470" s="8"/>
      <c r="K470" s="8"/>
      <c r="L470" s="8">
        <v>6.7071759259259262E-2</v>
      </c>
      <c r="M470" s="12"/>
      <c r="N470" s="13">
        <f t="shared" si="4"/>
        <v>1.1411493003667978</v>
      </c>
    </row>
    <row r="471" spans="1:14" ht="14.5">
      <c r="A471" s="6">
        <v>45470</v>
      </c>
      <c r="B471" s="47" t="s">
        <v>50</v>
      </c>
      <c r="C471" s="7">
        <v>1</v>
      </c>
      <c r="D471" s="8">
        <v>1.0416666666666666E-2</v>
      </c>
      <c r="E471" s="8">
        <f t="shared" si="0"/>
        <v>1.0416666666666666E-2</v>
      </c>
      <c r="F471" s="8">
        <v>0.6285532407407407</v>
      </c>
      <c r="G471" s="10">
        <v>0.63844907407407403</v>
      </c>
      <c r="H471" s="8">
        <f t="shared" si="77"/>
        <v>9.8958333333333259E-3</v>
      </c>
      <c r="I471" s="11">
        <f t="shared" si="2"/>
        <v>0.63896990740740733</v>
      </c>
      <c r="J471" s="8"/>
      <c r="K471" s="8"/>
      <c r="L471" s="8" t="str">
        <f t="shared" ref="L471:L473" si="102">IF(OR(J471=0,K471=0)," ",K471-J471)</f>
        <v xml:space="preserve"> </v>
      </c>
      <c r="M471" s="12"/>
      <c r="N471" s="13">
        <f t="shared" si="4"/>
        <v>1.0526315789473693</v>
      </c>
    </row>
    <row r="472" spans="1:14" ht="14.5">
      <c r="A472" s="6">
        <v>45470</v>
      </c>
      <c r="B472" s="47" t="s">
        <v>51</v>
      </c>
      <c r="C472" s="7">
        <v>1</v>
      </c>
      <c r="D472" s="8">
        <v>1.0416666666666666E-2</v>
      </c>
      <c r="E472" s="8">
        <f t="shared" si="0"/>
        <v>1.0416666666666666E-2</v>
      </c>
      <c r="F472" s="10">
        <v>0.63844907407407403</v>
      </c>
      <c r="G472" s="10">
        <v>0.64766203703703706</v>
      </c>
      <c r="H472" s="8">
        <f t="shared" si="77"/>
        <v>9.2129629629630339E-3</v>
      </c>
      <c r="I472" s="11">
        <f t="shared" si="2"/>
        <v>0.64886574074074066</v>
      </c>
      <c r="J472" s="8"/>
      <c r="K472" s="8"/>
      <c r="L472" s="8" t="str">
        <f t="shared" si="102"/>
        <v xml:space="preserve"> </v>
      </c>
      <c r="M472" s="12"/>
      <c r="N472" s="13">
        <f t="shared" si="4"/>
        <v>1.1306532663316495</v>
      </c>
    </row>
    <row r="473" spans="1:14" ht="14.5">
      <c r="A473" s="6">
        <v>45470</v>
      </c>
      <c r="B473" s="47" t="s">
        <v>52</v>
      </c>
      <c r="C473" s="7">
        <v>1</v>
      </c>
      <c r="D473" s="8">
        <v>1.0416666666666666E-2</v>
      </c>
      <c r="E473" s="8">
        <f t="shared" si="0"/>
        <v>1.0416666666666666E-2</v>
      </c>
      <c r="F473" s="10">
        <v>0.70204861111111116</v>
      </c>
      <c r="G473" s="10">
        <v>0.71196759259259257</v>
      </c>
      <c r="H473" s="8">
        <f t="shared" si="77"/>
        <v>9.9189814814814037E-3</v>
      </c>
      <c r="I473" s="11">
        <f t="shared" si="2"/>
        <v>0.71246527777777779</v>
      </c>
      <c r="J473" s="8"/>
      <c r="K473" s="8"/>
      <c r="L473" s="8" t="str">
        <f t="shared" si="102"/>
        <v xml:space="preserve"> </v>
      </c>
      <c r="M473" s="12"/>
      <c r="N473" s="13">
        <f t="shared" si="4"/>
        <v>1.0501750291715368</v>
      </c>
    </row>
    <row r="474" spans="1:14" ht="14.5">
      <c r="A474" s="6">
        <v>45471</v>
      </c>
      <c r="B474" s="47" t="s">
        <v>27</v>
      </c>
      <c r="C474" s="7">
        <v>48</v>
      </c>
      <c r="D474" s="8">
        <v>1.3888888888888889E-3</v>
      </c>
      <c r="E474" s="8">
        <f t="shared" si="0"/>
        <v>6.6666666666666666E-2</v>
      </c>
      <c r="F474" s="10">
        <v>0.36554398148148148</v>
      </c>
      <c r="G474" s="10">
        <v>0.4495717592592593</v>
      </c>
      <c r="H474" s="8">
        <f t="shared" si="77"/>
        <v>6.0601851851851886E-2</v>
      </c>
      <c r="I474" s="11">
        <f t="shared" si="2"/>
        <v>0.45563657407407404</v>
      </c>
      <c r="J474" s="8"/>
      <c r="K474" s="8"/>
      <c r="L474" s="8">
        <v>2.3425925925925926E-2</v>
      </c>
      <c r="M474" s="12"/>
      <c r="N474" s="13">
        <f t="shared" si="4"/>
        <v>1.1000763941940406</v>
      </c>
    </row>
    <row r="475" spans="1:14" ht="14.5">
      <c r="A475" s="6">
        <v>45471</v>
      </c>
      <c r="B475" s="47" t="s">
        <v>44</v>
      </c>
      <c r="C475" s="7">
        <v>4</v>
      </c>
      <c r="D475" s="8">
        <v>3.472222222222222E-3</v>
      </c>
      <c r="E475" s="8">
        <f t="shared" si="0"/>
        <v>1.3888888888888888E-2</v>
      </c>
      <c r="F475" s="10">
        <v>0.4495717592592593</v>
      </c>
      <c r="G475" s="10">
        <v>0.48434027777777777</v>
      </c>
      <c r="H475" s="8">
        <f t="shared" si="77"/>
        <v>1.2893518518518478E-2</v>
      </c>
      <c r="I475" s="11">
        <f t="shared" si="2"/>
        <v>0.48533564814814817</v>
      </c>
      <c r="J475" s="8"/>
      <c r="K475" s="8"/>
      <c r="L475" s="8">
        <v>2.1874999999999999E-2</v>
      </c>
      <c r="M475" s="12"/>
      <c r="N475" s="13">
        <f t="shared" si="4"/>
        <v>1.0771992818671488</v>
      </c>
    </row>
    <row r="476" spans="1:14" ht="14.5">
      <c r="A476" s="6">
        <v>45471</v>
      </c>
      <c r="B476" s="47" t="s">
        <v>28</v>
      </c>
      <c r="C476" s="7">
        <v>15</v>
      </c>
      <c r="D476" s="8">
        <v>1.3888888888888889E-3</v>
      </c>
      <c r="E476" s="8">
        <f t="shared" si="0"/>
        <v>2.0833333333333336E-2</v>
      </c>
      <c r="F476" s="10">
        <v>0.48434027777777777</v>
      </c>
      <c r="G476" s="10">
        <v>0.50436342592592598</v>
      </c>
      <c r="H476" s="8">
        <f t="shared" si="77"/>
        <v>2.0023148148148207E-2</v>
      </c>
      <c r="I476" s="11">
        <f t="shared" si="2"/>
        <v>0.50517361111111114</v>
      </c>
      <c r="J476" s="8"/>
      <c r="K476" s="8"/>
      <c r="L476" s="8" t="str">
        <f t="shared" ref="L476:L477" si="103">IF(OR(J476=0,K476=0)," ",K476-J476)</f>
        <v xml:space="preserve"> </v>
      </c>
      <c r="M476" s="18" t="s">
        <v>150</v>
      </c>
      <c r="N476" s="13">
        <f t="shared" si="4"/>
        <v>1.0404624277456618</v>
      </c>
    </row>
    <row r="477" spans="1:14" ht="14.5">
      <c r="A477" s="6">
        <v>45471</v>
      </c>
      <c r="B477" s="47" t="s">
        <v>38</v>
      </c>
      <c r="C477" s="7">
        <v>22</v>
      </c>
      <c r="D477" s="8">
        <v>2.7777777777777779E-3</v>
      </c>
      <c r="E477" s="8">
        <f t="shared" si="0"/>
        <v>6.1111111111111116E-2</v>
      </c>
      <c r="F477" s="10">
        <v>0.50436342592592598</v>
      </c>
      <c r="G477" s="10">
        <v>0.56281250000000005</v>
      </c>
      <c r="H477" s="8">
        <f t="shared" si="77"/>
        <v>5.844907407407407E-2</v>
      </c>
      <c r="I477" s="11">
        <f t="shared" si="2"/>
        <v>0.56547453703703709</v>
      </c>
      <c r="J477" s="8"/>
      <c r="K477" s="8"/>
      <c r="L477" s="8" t="str">
        <f t="shared" si="103"/>
        <v xml:space="preserve"> </v>
      </c>
      <c r="M477" s="12"/>
      <c r="N477" s="13">
        <f t="shared" si="4"/>
        <v>1.0455445544554458</v>
      </c>
    </row>
    <row r="478" spans="1:14" ht="14.5">
      <c r="A478" s="6">
        <v>45471</v>
      </c>
      <c r="B478" s="47" t="s">
        <v>65</v>
      </c>
      <c r="C478" s="7">
        <v>1</v>
      </c>
      <c r="D478" s="8">
        <v>2.0833333333333332E-2</v>
      </c>
      <c r="E478" s="8">
        <f t="shared" si="0"/>
        <v>2.0833333333333332E-2</v>
      </c>
      <c r="F478" s="10">
        <v>0.56281250000000005</v>
      </c>
      <c r="G478" s="10">
        <v>0.67569444444444449</v>
      </c>
      <c r="H478" s="8">
        <f t="shared" si="77"/>
        <v>5.3391203703703649E-2</v>
      </c>
      <c r="I478" s="11">
        <f t="shared" si="2"/>
        <v>0.64313657407407421</v>
      </c>
      <c r="J478" s="8"/>
      <c r="K478" s="8"/>
      <c r="L478" s="8">
        <f>SUM(H479:H481)+L480</f>
        <v>5.9490740740740788E-2</v>
      </c>
      <c r="M478" s="12"/>
      <c r="N478" s="13">
        <f t="shared" si="4"/>
        <v>0.39020160416215083</v>
      </c>
    </row>
    <row r="479" spans="1:14" ht="14.5">
      <c r="A479" s="6">
        <v>45471</v>
      </c>
      <c r="B479" s="47" t="s">
        <v>50</v>
      </c>
      <c r="C479" s="7">
        <v>1</v>
      </c>
      <c r="D479" s="8">
        <v>1.0416666666666666E-2</v>
      </c>
      <c r="E479" s="8">
        <f t="shared" si="0"/>
        <v>1.0416666666666666E-2</v>
      </c>
      <c r="F479" s="10">
        <v>0.61196759259259259</v>
      </c>
      <c r="G479" s="10">
        <v>0.62237268518518518</v>
      </c>
      <c r="H479" s="8">
        <f t="shared" si="77"/>
        <v>1.0405092592592591E-2</v>
      </c>
      <c r="I479" s="11">
        <f t="shared" si="2"/>
        <v>0.62238425925925922</v>
      </c>
      <c r="J479" s="8"/>
      <c r="K479" s="8"/>
      <c r="L479" s="8" t="str">
        <f>IF(OR(J479=0,K479=0)," ",K479-J479)</f>
        <v xml:space="preserve"> </v>
      </c>
      <c r="M479" s="12"/>
      <c r="N479" s="13">
        <f t="shared" si="4"/>
        <v>1.0011123470522805</v>
      </c>
    </row>
    <row r="480" spans="1:14" ht="14.5">
      <c r="A480" s="6">
        <v>45471</v>
      </c>
      <c r="B480" s="47" t="s">
        <v>50</v>
      </c>
      <c r="C480" s="7">
        <v>1</v>
      </c>
      <c r="D480" s="8">
        <v>1.0416666666666666E-2</v>
      </c>
      <c r="E480" s="8">
        <f t="shared" si="0"/>
        <v>1.0416666666666666E-2</v>
      </c>
      <c r="F480" s="10">
        <v>0.62237268518518518</v>
      </c>
      <c r="G480" s="10">
        <v>0.66128472222222223</v>
      </c>
      <c r="H480" s="8">
        <f t="shared" si="77"/>
        <v>9.756944444444457E-3</v>
      </c>
      <c r="I480" s="11">
        <f t="shared" si="2"/>
        <v>0.66194444444444445</v>
      </c>
      <c r="J480" s="8"/>
      <c r="K480" s="8"/>
      <c r="L480" s="8">
        <v>2.9155092592592594E-2</v>
      </c>
      <c r="M480" s="12"/>
      <c r="N480" s="13">
        <f t="shared" si="4"/>
        <v>1.0676156583629879</v>
      </c>
    </row>
    <row r="481" spans="1:14" ht="14.5">
      <c r="A481" s="6">
        <v>45471</v>
      </c>
      <c r="B481" s="47" t="s">
        <v>50</v>
      </c>
      <c r="C481" s="7">
        <v>1</v>
      </c>
      <c r="D481" s="8">
        <v>1.0416666666666666E-2</v>
      </c>
      <c r="E481" s="8">
        <f t="shared" si="0"/>
        <v>1.0416666666666666E-2</v>
      </c>
      <c r="F481" s="10">
        <v>0.66128472222222223</v>
      </c>
      <c r="G481" s="10">
        <v>0.67145833333333338</v>
      </c>
      <c r="H481" s="8">
        <f t="shared" si="77"/>
        <v>1.0173611111111147E-2</v>
      </c>
      <c r="I481" s="11">
        <f t="shared" si="2"/>
        <v>0.67170138888888886</v>
      </c>
      <c r="J481" s="8"/>
      <c r="K481" s="8"/>
      <c r="L481" s="8" t="str">
        <f t="shared" ref="L481:L482" si="104">IF(OR(J481=0,K481=0)," ",K481-J481)</f>
        <v xml:space="preserve"> </v>
      </c>
      <c r="M481" s="12"/>
      <c r="N481" s="13">
        <f t="shared" si="4"/>
        <v>1.0238907849829315</v>
      </c>
    </row>
    <row r="482" spans="1:14" ht="14.5">
      <c r="A482" s="6">
        <v>45471</v>
      </c>
      <c r="B482" s="47" t="s">
        <v>27</v>
      </c>
      <c r="C482" s="7">
        <v>50</v>
      </c>
      <c r="D482" s="8">
        <v>1.3888888888888889E-3</v>
      </c>
      <c r="E482" s="8">
        <f t="shared" si="0"/>
        <v>6.9444444444444448E-2</v>
      </c>
      <c r="F482" s="10">
        <v>0.67145833333333338</v>
      </c>
      <c r="G482" s="10">
        <v>0.73666590277571231</v>
      </c>
      <c r="H482" s="8">
        <f t="shared" si="77"/>
        <v>6.5207569442378932E-2</v>
      </c>
      <c r="I482" s="11">
        <f t="shared" si="2"/>
        <v>0.7409027777777778</v>
      </c>
      <c r="J482" s="8"/>
      <c r="K482" s="8"/>
      <c r="L482" s="8" t="str">
        <f t="shared" si="104"/>
        <v xml:space="preserve"> </v>
      </c>
      <c r="M482" s="12"/>
      <c r="N482" s="13">
        <f t="shared" si="4"/>
        <v>1.0649752020861543</v>
      </c>
    </row>
    <row r="483" spans="1:14" ht="14.5">
      <c r="A483" s="6">
        <v>45505</v>
      </c>
      <c r="B483" s="47" t="s">
        <v>65</v>
      </c>
      <c r="C483" s="7">
        <v>1</v>
      </c>
      <c r="D483" s="8">
        <v>2.0833333333333332E-2</v>
      </c>
      <c r="E483" s="58">
        <f t="shared" si="0"/>
        <v>2.0833333333333332E-2</v>
      </c>
      <c r="F483" s="10">
        <v>0.35908564814814814</v>
      </c>
      <c r="G483" s="8">
        <v>0.48099537037037032</v>
      </c>
      <c r="H483" s="8">
        <f t="shared" si="77"/>
        <v>9.8067129629629587E-2</v>
      </c>
      <c r="I483" s="11">
        <f t="shared" si="2"/>
        <v>0.40376157407407404</v>
      </c>
      <c r="J483" s="8"/>
      <c r="K483" s="8"/>
      <c r="L483" s="8">
        <v>2.3842592592592592E-2</v>
      </c>
      <c r="M483" s="18" t="s">
        <v>151</v>
      </c>
      <c r="N483" s="13">
        <f t="shared" si="4"/>
        <v>0.2124395137495575</v>
      </c>
    </row>
    <row r="484" spans="1:14" ht="14.5">
      <c r="A484" s="6">
        <v>45505</v>
      </c>
      <c r="B484" s="47" t="s">
        <v>43</v>
      </c>
      <c r="C484" s="7">
        <v>1</v>
      </c>
      <c r="D484" s="8">
        <v>3.4722222222222224E-2</v>
      </c>
      <c r="E484" s="58">
        <f t="shared" si="0"/>
        <v>3.4722222222222224E-2</v>
      </c>
      <c r="F484" s="8">
        <v>0.48099537037037032</v>
      </c>
      <c r="G484" s="8">
        <v>0.51358796296296294</v>
      </c>
      <c r="H484" s="8">
        <f t="shared" si="77"/>
        <v>3.2592592592592617E-2</v>
      </c>
      <c r="I484" s="11">
        <f t="shared" si="2"/>
        <v>0.51571759259259253</v>
      </c>
      <c r="J484" s="8"/>
      <c r="K484" s="8"/>
      <c r="L484" s="8" t="str">
        <f t="shared" ref="L484:L485" si="105">IF(OR(J484=0,K484=0)," ",K484-J484)</f>
        <v xml:space="preserve"> </v>
      </c>
      <c r="M484" s="12"/>
      <c r="N484" s="13">
        <f t="shared" si="4"/>
        <v>1.0653409090909083</v>
      </c>
    </row>
    <row r="485" spans="1:14" ht="14.5">
      <c r="A485" s="6">
        <v>45505</v>
      </c>
      <c r="B485" s="47" t="s">
        <v>86</v>
      </c>
      <c r="C485" s="7">
        <v>90</v>
      </c>
      <c r="D485" s="8">
        <v>1.3888888888888889E-3</v>
      </c>
      <c r="E485" s="58">
        <f t="shared" si="0"/>
        <v>0.125</v>
      </c>
      <c r="F485" s="8">
        <f>G484</f>
        <v>0.51358796296296294</v>
      </c>
      <c r="G485" s="8">
        <v>0.63241898148148146</v>
      </c>
      <c r="H485" s="8">
        <f t="shared" si="77"/>
        <v>0.11883101851851852</v>
      </c>
      <c r="I485" s="11">
        <f t="shared" si="2"/>
        <v>0.63858796296296294</v>
      </c>
      <c r="J485" s="8"/>
      <c r="K485" s="8"/>
      <c r="L485" s="8" t="str">
        <f t="shared" si="105"/>
        <v xml:space="preserve"> </v>
      </c>
      <c r="M485" s="12"/>
      <c r="N485" s="13">
        <f t="shared" si="4"/>
        <v>1.0519138988993864</v>
      </c>
    </row>
    <row r="486" spans="1:14" ht="14.5">
      <c r="A486" s="6">
        <v>45505</v>
      </c>
      <c r="B486" s="47" t="s">
        <v>16</v>
      </c>
      <c r="C486" s="7">
        <v>8</v>
      </c>
      <c r="D486" s="8">
        <v>5.5555555555555558E-3</v>
      </c>
      <c r="E486" s="58">
        <f t="shared" si="0"/>
        <v>4.4444444444444446E-2</v>
      </c>
      <c r="F486" s="8">
        <v>0.63241898148148146</v>
      </c>
      <c r="G486" s="10">
        <v>0.69818287037037041</v>
      </c>
      <c r="H486" s="8">
        <f t="shared" si="77"/>
        <v>4.2743055555555617E-2</v>
      </c>
      <c r="I486" s="11">
        <f t="shared" si="2"/>
        <v>0.69988425925925923</v>
      </c>
      <c r="J486" s="8"/>
      <c r="K486" s="8"/>
      <c r="L486" s="8">
        <v>2.3020833333333334E-2</v>
      </c>
      <c r="M486" s="12"/>
      <c r="N486" s="13">
        <f t="shared" si="4"/>
        <v>1.0398050365556444</v>
      </c>
    </row>
    <row r="487" spans="1:14" ht="14.5">
      <c r="A487" s="6">
        <v>45505</v>
      </c>
      <c r="B487" s="47" t="s">
        <v>38</v>
      </c>
      <c r="C487" s="7">
        <v>20</v>
      </c>
      <c r="D487" s="8">
        <v>2.7777777777777779E-3</v>
      </c>
      <c r="E487" s="58">
        <f t="shared" si="0"/>
        <v>5.5555555555555559E-2</v>
      </c>
      <c r="F487" s="10">
        <v>0.69818287037037041</v>
      </c>
      <c r="G487" s="10">
        <v>0.74614583333333329</v>
      </c>
      <c r="H487" s="8">
        <f t="shared" si="77"/>
        <v>4.7962962962962874E-2</v>
      </c>
      <c r="I487" s="11">
        <f t="shared" si="2"/>
        <v>0.75373842592592599</v>
      </c>
      <c r="J487" s="8"/>
      <c r="K487" s="8"/>
      <c r="L487" s="8" t="str">
        <f>IF(OR(J487=0,K487=0)," ",K487-J487)</f>
        <v xml:space="preserve"> </v>
      </c>
      <c r="M487" s="12"/>
      <c r="N487" s="13">
        <f t="shared" si="4"/>
        <v>1.1583011583011604</v>
      </c>
    </row>
    <row r="488" spans="1:14" ht="14.5">
      <c r="A488" s="6">
        <v>45506</v>
      </c>
      <c r="B488" s="47" t="s">
        <v>65</v>
      </c>
      <c r="C488" s="7">
        <v>1</v>
      </c>
      <c r="D488" s="8">
        <v>2.0833333333333332E-2</v>
      </c>
      <c r="E488" s="58">
        <f t="shared" si="0"/>
        <v>2.0833333333333332E-2</v>
      </c>
      <c r="F488" s="10">
        <v>0.34368055555555554</v>
      </c>
      <c r="G488" s="10">
        <v>0.48583333333333334</v>
      </c>
      <c r="H488" s="8">
        <f t="shared" si="77"/>
        <v>9.2997685185185197E-2</v>
      </c>
      <c r="I488" s="11">
        <f t="shared" si="2"/>
        <v>0.41366898148148146</v>
      </c>
      <c r="J488" s="8"/>
      <c r="K488" s="8"/>
      <c r="L488" s="8">
        <v>4.9155092592592591E-2</v>
      </c>
      <c r="M488" s="18" t="s">
        <v>152</v>
      </c>
      <c r="N488" s="13">
        <f t="shared" si="4"/>
        <v>0.22401991288114495</v>
      </c>
    </row>
    <row r="489" spans="1:14" ht="14.5">
      <c r="A489" s="6">
        <v>45506</v>
      </c>
      <c r="B489" s="47" t="s">
        <v>93</v>
      </c>
      <c r="C489" s="7">
        <v>4</v>
      </c>
      <c r="D489" s="8">
        <v>6.9444444444444441E-3</v>
      </c>
      <c r="E489" s="58">
        <f t="shared" si="0"/>
        <v>2.7777777777777776E-2</v>
      </c>
      <c r="F489" s="10">
        <v>0.48583333333333334</v>
      </c>
      <c r="G489" s="10">
        <v>0.51224537037037032</v>
      </c>
      <c r="H489" s="8">
        <f t="shared" si="77"/>
        <v>2.6412037037036984E-2</v>
      </c>
      <c r="I489" s="11">
        <f t="shared" si="2"/>
        <v>0.51361111111111113</v>
      </c>
      <c r="J489" s="8"/>
      <c r="K489" s="8"/>
      <c r="L489" s="8" t="str">
        <f t="shared" ref="L489:L500" si="106">IF(OR(J489=0,K489=0)," ",K489-J489)</f>
        <v xml:space="preserve"> </v>
      </c>
      <c r="M489" s="50"/>
      <c r="N489" s="13">
        <f t="shared" si="4"/>
        <v>1.0517090271691518</v>
      </c>
    </row>
    <row r="490" spans="1:14" ht="14.5">
      <c r="A490" s="6">
        <v>45506</v>
      </c>
      <c r="B490" s="47" t="s">
        <v>16</v>
      </c>
      <c r="C490" s="7">
        <v>8</v>
      </c>
      <c r="D490" s="8">
        <v>5.5555555555555558E-3</v>
      </c>
      <c r="E490" s="58">
        <f t="shared" si="0"/>
        <v>4.4444444444444446E-2</v>
      </c>
      <c r="F490" s="10">
        <v>0.51224537037037032</v>
      </c>
      <c r="G490" s="10">
        <v>0.55155092592592592</v>
      </c>
      <c r="H490" s="8">
        <f t="shared" si="77"/>
        <v>3.9305555555555594E-2</v>
      </c>
      <c r="I490" s="11">
        <f t="shared" si="2"/>
        <v>0.55668981481481472</v>
      </c>
      <c r="J490" s="8"/>
      <c r="K490" s="8"/>
      <c r="L490" s="8" t="str">
        <f t="shared" si="106"/>
        <v xml:space="preserve"> </v>
      </c>
      <c r="M490" s="12"/>
      <c r="N490" s="13">
        <f t="shared" si="4"/>
        <v>1.1307420494699636</v>
      </c>
    </row>
    <row r="491" spans="1:14" ht="14.5">
      <c r="A491" s="6">
        <v>45506</v>
      </c>
      <c r="B491" s="47" t="s">
        <v>38</v>
      </c>
      <c r="C491" s="7">
        <v>20</v>
      </c>
      <c r="D491" s="8">
        <v>2.7777777777777779E-3</v>
      </c>
      <c r="E491" s="58">
        <f t="shared" si="0"/>
        <v>5.5555555555555559E-2</v>
      </c>
      <c r="F491" s="10">
        <v>0.55155092592592592</v>
      </c>
      <c r="G491" s="10">
        <v>0.60293981481481485</v>
      </c>
      <c r="H491" s="8">
        <f t="shared" si="77"/>
        <v>5.1388888888888928E-2</v>
      </c>
      <c r="I491" s="11">
        <f t="shared" si="2"/>
        <v>0.6071064814814815</v>
      </c>
      <c r="J491" s="8"/>
      <c r="K491" s="8"/>
      <c r="L491" s="8" t="str">
        <f t="shared" si="106"/>
        <v xml:space="preserve"> </v>
      </c>
      <c r="M491" s="18"/>
      <c r="N491" s="13">
        <f t="shared" si="4"/>
        <v>1.0810810810810803</v>
      </c>
    </row>
    <row r="492" spans="1:14" ht="14.5">
      <c r="A492" s="6">
        <v>45506</v>
      </c>
      <c r="B492" s="47" t="s">
        <v>16</v>
      </c>
      <c r="C492" s="7">
        <v>26</v>
      </c>
      <c r="D492" s="8">
        <v>5.5555555555555558E-3</v>
      </c>
      <c r="E492" s="58">
        <f t="shared" si="0"/>
        <v>0.14444444444444446</v>
      </c>
      <c r="F492" s="10">
        <f>G491</f>
        <v>0.60293981481481485</v>
      </c>
      <c r="G492" s="10">
        <v>0.73137731481481483</v>
      </c>
      <c r="H492" s="8">
        <f t="shared" si="77"/>
        <v>0.12843749999999998</v>
      </c>
      <c r="I492" s="11">
        <f t="shared" si="2"/>
        <v>0.74738425925925933</v>
      </c>
      <c r="J492" s="8"/>
      <c r="K492" s="8"/>
      <c r="L492" s="8" t="str">
        <f t="shared" si="106"/>
        <v xml:space="preserve"> </v>
      </c>
      <c r="M492" s="12"/>
      <c r="N492" s="13">
        <f t="shared" si="4"/>
        <v>1.1246282779129497</v>
      </c>
    </row>
    <row r="493" spans="1:14" ht="14.5">
      <c r="A493" s="6">
        <v>45509</v>
      </c>
      <c r="B493" s="47" t="s">
        <v>50</v>
      </c>
      <c r="C493" s="7">
        <v>2</v>
      </c>
      <c r="D493" s="8">
        <v>1.0416666666666666E-2</v>
      </c>
      <c r="E493" s="58">
        <f t="shared" si="0"/>
        <v>2.0833333333333332E-2</v>
      </c>
      <c r="F493" s="10">
        <v>0.29180555555555554</v>
      </c>
      <c r="G493" s="10">
        <v>0.31131944444444443</v>
      </c>
      <c r="H493" s="8">
        <f t="shared" si="77"/>
        <v>1.9513888888888886E-2</v>
      </c>
      <c r="I493" s="11">
        <f t="shared" si="2"/>
        <v>0.31263888888888886</v>
      </c>
      <c r="J493" s="8"/>
      <c r="K493" s="8"/>
      <c r="L493" s="8" t="str">
        <f t="shared" si="106"/>
        <v xml:space="preserve"> </v>
      </c>
      <c r="M493" s="12"/>
      <c r="N493" s="13">
        <f t="shared" si="4"/>
        <v>1.0676156583629894</v>
      </c>
    </row>
    <row r="494" spans="1:14" ht="14.5">
      <c r="A494" s="6">
        <v>45509</v>
      </c>
      <c r="B494" s="47" t="s">
        <v>51</v>
      </c>
      <c r="C494" s="7">
        <v>2</v>
      </c>
      <c r="D494" s="8">
        <v>1.0416666666666666E-2</v>
      </c>
      <c r="E494" s="58">
        <f t="shared" si="0"/>
        <v>2.0833333333333332E-2</v>
      </c>
      <c r="F494" s="10">
        <f t="shared" ref="F494:F498" si="107">G493</f>
        <v>0.31131944444444443</v>
      </c>
      <c r="G494" s="10">
        <v>0.3306365740740741</v>
      </c>
      <c r="H494" s="8">
        <f t="shared" si="77"/>
        <v>1.931712962962967E-2</v>
      </c>
      <c r="I494" s="11">
        <f t="shared" si="2"/>
        <v>0.33215277777777774</v>
      </c>
      <c r="J494" s="8"/>
      <c r="K494" s="8"/>
      <c r="L494" s="8" t="str">
        <f t="shared" si="106"/>
        <v xml:space="preserve"> </v>
      </c>
      <c r="M494" s="12"/>
      <c r="N494" s="13">
        <f t="shared" si="4"/>
        <v>1.0784901138406209</v>
      </c>
    </row>
    <row r="495" spans="1:14" ht="14.5">
      <c r="A495" s="6">
        <v>45509</v>
      </c>
      <c r="B495" s="47" t="s">
        <v>52</v>
      </c>
      <c r="C495" s="7">
        <v>2</v>
      </c>
      <c r="D495" s="8">
        <v>1.0416666666666666E-2</v>
      </c>
      <c r="E495" s="58">
        <f t="shared" si="0"/>
        <v>2.0833333333333332E-2</v>
      </c>
      <c r="F495" s="10">
        <f t="shared" si="107"/>
        <v>0.3306365740740741</v>
      </c>
      <c r="G495" s="10">
        <v>0.3498148148148148</v>
      </c>
      <c r="H495" s="8">
        <f t="shared" si="77"/>
        <v>1.9178240740740704E-2</v>
      </c>
      <c r="I495" s="11">
        <f t="shared" si="2"/>
        <v>0.35146990740740741</v>
      </c>
      <c r="J495" s="8"/>
      <c r="K495" s="8"/>
      <c r="L495" s="8" t="str">
        <f t="shared" si="106"/>
        <v xml:space="preserve"> </v>
      </c>
      <c r="M495" s="12"/>
      <c r="N495" s="13">
        <f t="shared" si="4"/>
        <v>1.0863005431502737</v>
      </c>
    </row>
    <row r="496" spans="1:14" ht="14.5">
      <c r="A496" s="6">
        <v>45509</v>
      </c>
      <c r="B496" s="47" t="s">
        <v>97</v>
      </c>
      <c r="C496" s="7">
        <v>7</v>
      </c>
      <c r="D496" s="8">
        <v>2.0833333333333333E-3</v>
      </c>
      <c r="E496" s="58">
        <f t="shared" si="0"/>
        <v>1.4583333333333334E-2</v>
      </c>
      <c r="F496" s="10">
        <f t="shared" si="107"/>
        <v>0.3498148148148148</v>
      </c>
      <c r="G496" s="10">
        <v>0.36366898148148152</v>
      </c>
      <c r="H496" s="8">
        <f t="shared" si="77"/>
        <v>1.3854166666666723E-2</v>
      </c>
      <c r="I496" s="11">
        <f t="shared" si="2"/>
        <v>0.36439814814814814</v>
      </c>
      <c r="J496" s="8"/>
      <c r="K496" s="8"/>
      <c r="L496" s="8" t="str">
        <f t="shared" si="106"/>
        <v xml:space="preserve"> </v>
      </c>
      <c r="M496" s="12"/>
      <c r="N496" s="13">
        <f t="shared" si="4"/>
        <v>1.0526315789473641</v>
      </c>
    </row>
    <row r="497" spans="1:14" ht="14.5">
      <c r="A497" s="6">
        <v>45509</v>
      </c>
      <c r="B497" s="47" t="s">
        <v>93</v>
      </c>
      <c r="C497" s="7">
        <v>6</v>
      </c>
      <c r="D497" s="8">
        <v>6.9444444444444441E-3</v>
      </c>
      <c r="E497" s="58">
        <f t="shared" si="0"/>
        <v>4.1666666666666664E-2</v>
      </c>
      <c r="F497" s="10">
        <f t="shared" si="107"/>
        <v>0.36366898148148152</v>
      </c>
      <c r="G497" s="10">
        <v>0.40425925925925921</v>
      </c>
      <c r="H497" s="8">
        <f t="shared" si="77"/>
        <v>4.0590277777777684E-2</v>
      </c>
      <c r="I497" s="11">
        <f t="shared" si="2"/>
        <v>0.40533564814814821</v>
      </c>
      <c r="J497" s="8"/>
      <c r="K497" s="8"/>
      <c r="L497" s="8" t="str">
        <f t="shared" si="106"/>
        <v xml:space="preserve"> </v>
      </c>
      <c r="M497" s="12"/>
      <c r="N497" s="13">
        <f t="shared" si="4"/>
        <v>1.0265183917878551</v>
      </c>
    </row>
    <row r="498" spans="1:14" ht="14.5">
      <c r="A498" s="6">
        <v>45509</v>
      </c>
      <c r="B498" s="47" t="s">
        <v>16</v>
      </c>
      <c r="C498" s="7">
        <v>5</v>
      </c>
      <c r="D498" s="8">
        <v>5.5555555555555558E-3</v>
      </c>
      <c r="E498" s="58">
        <f t="shared" si="0"/>
        <v>2.777777777777778E-2</v>
      </c>
      <c r="F498" s="10">
        <f t="shared" si="107"/>
        <v>0.40425925925925921</v>
      </c>
      <c r="G498" s="10">
        <v>0.4272569444444444</v>
      </c>
      <c r="H498" s="8">
        <f t="shared" si="77"/>
        <v>2.299768518518519E-2</v>
      </c>
      <c r="I498" s="11">
        <f t="shared" si="2"/>
        <v>0.432037037037037</v>
      </c>
      <c r="J498" s="8"/>
      <c r="K498" s="8"/>
      <c r="L498" s="8" t="str">
        <f t="shared" si="106"/>
        <v xml:space="preserve"> </v>
      </c>
      <c r="M498" s="12"/>
      <c r="N498" s="13">
        <f t="shared" si="4"/>
        <v>1.2078510317060893</v>
      </c>
    </row>
    <row r="499" spans="1:14" ht="14.5">
      <c r="A499" s="6">
        <v>45509</v>
      </c>
      <c r="B499" s="47" t="s">
        <v>44</v>
      </c>
      <c r="C499" s="7">
        <v>2</v>
      </c>
      <c r="D499" s="8">
        <v>3.472222222222222E-3</v>
      </c>
      <c r="E499" s="58">
        <f t="shared" si="0"/>
        <v>6.9444444444444441E-3</v>
      </c>
      <c r="F499" s="10">
        <v>0.4272569444444444</v>
      </c>
      <c r="G499" s="8">
        <v>0.43335648148148154</v>
      </c>
      <c r="H499" s="8">
        <f t="shared" si="77"/>
        <v>6.0995370370371393E-3</v>
      </c>
      <c r="I499" s="11">
        <f t="shared" si="2"/>
        <v>0.43420138888888882</v>
      </c>
      <c r="J499" s="8"/>
      <c r="K499" s="8"/>
      <c r="L499" s="8" t="str">
        <f t="shared" si="106"/>
        <v xml:space="preserve"> </v>
      </c>
      <c r="M499" s="12"/>
      <c r="N499" s="13">
        <f t="shared" si="4"/>
        <v>1.1385199240986525</v>
      </c>
    </row>
    <row r="500" spans="1:14" ht="14.5">
      <c r="A500" s="6">
        <v>45509</v>
      </c>
      <c r="B500" s="47" t="s">
        <v>42</v>
      </c>
      <c r="C500" s="7">
        <v>1</v>
      </c>
      <c r="D500" s="8">
        <v>6.9444444444444441E-3</v>
      </c>
      <c r="E500" s="58">
        <f t="shared" si="0"/>
        <v>6.9444444444444441E-3</v>
      </c>
      <c r="F500" s="8">
        <v>0.43335648148148154</v>
      </c>
      <c r="G500" s="10">
        <v>0.43895833333333334</v>
      </c>
      <c r="H500" s="8">
        <f t="shared" si="77"/>
        <v>5.6018518518518023E-3</v>
      </c>
      <c r="I500" s="11">
        <f t="shared" si="2"/>
        <v>0.44030092592592596</v>
      </c>
      <c r="J500" s="8"/>
      <c r="K500" s="8"/>
      <c r="L500" s="8" t="str">
        <f t="shared" si="106"/>
        <v xml:space="preserve"> </v>
      </c>
      <c r="M500" s="12"/>
      <c r="N500" s="13">
        <f t="shared" si="4"/>
        <v>1.2396694214876143</v>
      </c>
    </row>
    <row r="501" spans="1:14" ht="14.5">
      <c r="A501" s="6">
        <v>45509</v>
      </c>
      <c r="B501" s="47" t="s">
        <v>43</v>
      </c>
      <c r="C501" s="7">
        <v>1</v>
      </c>
      <c r="D501" s="8">
        <v>3.4722222222222224E-2</v>
      </c>
      <c r="E501" s="58">
        <f t="shared" si="0"/>
        <v>3.4722222222222224E-2</v>
      </c>
      <c r="F501" s="10">
        <v>0.43895833333333334</v>
      </c>
      <c r="G501" s="10">
        <v>0.49719907407407404</v>
      </c>
      <c r="H501" s="8">
        <f t="shared" si="77"/>
        <v>3.2893518518518482E-2</v>
      </c>
      <c r="I501" s="11">
        <f t="shared" si="2"/>
        <v>0.49902777777777779</v>
      </c>
      <c r="J501" s="8"/>
      <c r="K501" s="8"/>
      <c r="L501" s="8">
        <v>2.5347222222222222E-2</v>
      </c>
      <c r="M501" s="12"/>
      <c r="N501" s="13">
        <f t="shared" si="4"/>
        <v>1.0555946516537662</v>
      </c>
    </row>
    <row r="502" spans="1:14" ht="14.5">
      <c r="A502" s="6">
        <v>45509</v>
      </c>
      <c r="B502" s="47" t="s">
        <v>16</v>
      </c>
      <c r="C502" s="7">
        <v>22</v>
      </c>
      <c r="D502" s="8">
        <v>5.5555555555555558E-3</v>
      </c>
      <c r="E502" s="58">
        <f t="shared" si="0"/>
        <v>0.12222222222222223</v>
      </c>
      <c r="F502" s="8">
        <f t="shared" ref="F502:F506" si="108">G501</f>
        <v>0.49719907407407404</v>
      </c>
      <c r="G502" s="50">
        <v>0.60847222222222219</v>
      </c>
      <c r="H502" s="8">
        <f t="shared" si="77"/>
        <v>0.11127314814814815</v>
      </c>
      <c r="I502" s="11">
        <f t="shared" si="2"/>
        <v>0.61942129629629628</v>
      </c>
      <c r="J502" s="8"/>
      <c r="K502" s="8"/>
      <c r="L502" s="8" t="str">
        <f t="shared" ref="L502:L505" si="109">IF(OR(J502=0,K502=0)," ",K502-J502)</f>
        <v xml:space="preserve"> </v>
      </c>
      <c r="M502" s="12"/>
      <c r="N502" s="13">
        <f t="shared" si="4"/>
        <v>1.0983981693363845</v>
      </c>
    </row>
    <row r="503" spans="1:14" ht="14.5">
      <c r="A503" s="6">
        <v>45509</v>
      </c>
      <c r="B503" s="47" t="s">
        <v>50</v>
      </c>
      <c r="C503" s="7">
        <v>1</v>
      </c>
      <c r="D503" s="8">
        <v>1.0416666666666666E-2</v>
      </c>
      <c r="E503" s="58">
        <f t="shared" si="0"/>
        <v>1.0416666666666666E-2</v>
      </c>
      <c r="F503" s="50">
        <f t="shared" si="108"/>
        <v>0.60847222222222219</v>
      </c>
      <c r="G503" s="10">
        <v>0.61797453703703709</v>
      </c>
      <c r="H503" s="8">
        <f t="shared" si="77"/>
        <v>9.5023148148148939E-3</v>
      </c>
      <c r="I503" s="11">
        <f t="shared" si="2"/>
        <v>0.61888888888888882</v>
      </c>
      <c r="J503" s="8"/>
      <c r="K503" s="8"/>
      <c r="L503" s="8" t="str">
        <f t="shared" si="109"/>
        <v xml:space="preserve"> </v>
      </c>
      <c r="M503" s="12"/>
      <c r="N503" s="13">
        <f t="shared" si="4"/>
        <v>1.0962241169305633</v>
      </c>
    </row>
    <row r="504" spans="1:14" ht="14.5">
      <c r="A504" s="6">
        <v>45509</v>
      </c>
      <c r="B504" s="47" t="s">
        <v>51</v>
      </c>
      <c r="C504" s="7">
        <v>1</v>
      </c>
      <c r="D504" s="8">
        <v>1.0416666666666666E-2</v>
      </c>
      <c r="E504" s="58">
        <f t="shared" si="0"/>
        <v>1.0416666666666666E-2</v>
      </c>
      <c r="F504" s="10">
        <f t="shared" si="108"/>
        <v>0.61797453703703709</v>
      </c>
      <c r="G504" s="10">
        <v>0.62795138888888891</v>
      </c>
      <c r="H504" s="8">
        <f t="shared" si="77"/>
        <v>9.9768518518518201E-3</v>
      </c>
      <c r="I504" s="11">
        <f t="shared" si="2"/>
        <v>0.62839120370370372</v>
      </c>
      <c r="J504" s="8"/>
      <c r="K504" s="8"/>
      <c r="L504" s="8" t="str">
        <f t="shared" si="109"/>
        <v xml:space="preserve"> </v>
      </c>
      <c r="M504" s="12"/>
      <c r="N504" s="13">
        <f t="shared" si="4"/>
        <v>1.0440835266821378</v>
      </c>
    </row>
    <row r="505" spans="1:14" ht="14.5">
      <c r="A505" s="6">
        <v>45509</v>
      </c>
      <c r="B505" s="47" t="s">
        <v>52</v>
      </c>
      <c r="C505" s="7">
        <v>1</v>
      </c>
      <c r="D505" s="8">
        <v>1.0416666666666666E-2</v>
      </c>
      <c r="E505" s="58">
        <f t="shared" si="0"/>
        <v>1.0416666666666666E-2</v>
      </c>
      <c r="F505" s="10">
        <f t="shared" si="108"/>
        <v>0.62795138888888891</v>
      </c>
      <c r="G505" s="10">
        <v>0.63774305555555555</v>
      </c>
      <c r="H505" s="8">
        <f t="shared" si="77"/>
        <v>9.791666666666643E-3</v>
      </c>
      <c r="I505" s="11">
        <f t="shared" si="2"/>
        <v>0.63836805555555554</v>
      </c>
      <c r="J505" s="8"/>
      <c r="K505" s="8"/>
      <c r="L505" s="8" t="str">
        <f t="shared" si="109"/>
        <v xml:space="preserve"> </v>
      </c>
      <c r="M505" s="12"/>
      <c r="N505" s="13">
        <f t="shared" si="4"/>
        <v>1.063829787234045</v>
      </c>
    </row>
    <row r="506" spans="1:14" ht="14.5">
      <c r="A506" s="6">
        <v>45509</v>
      </c>
      <c r="B506" s="47" t="s">
        <v>28</v>
      </c>
      <c r="C506" s="7">
        <v>20</v>
      </c>
      <c r="D506" s="8">
        <v>1.3888888888888889E-3</v>
      </c>
      <c r="E506" s="58">
        <f t="shared" si="0"/>
        <v>2.777777777777778E-2</v>
      </c>
      <c r="F506" s="10">
        <f t="shared" si="108"/>
        <v>0.63774305555555555</v>
      </c>
      <c r="G506" s="10">
        <v>0.67774305555555558</v>
      </c>
      <c r="H506" s="8">
        <f t="shared" si="77"/>
        <v>2.6574074074074111E-2</v>
      </c>
      <c r="I506" s="11">
        <f t="shared" si="2"/>
        <v>0.67894675925925929</v>
      </c>
      <c r="J506" s="8"/>
      <c r="K506" s="8"/>
      <c r="L506" s="8">
        <v>1.3425925925925926E-2</v>
      </c>
      <c r="M506" s="12"/>
      <c r="N506" s="13">
        <f t="shared" si="4"/>
        <v>1.0452961672473853</v>
      </c>
    </row>
    <row r="507" spans="1:14" ht="14.5">
      <c r="A507" s="6">
        <v>45510</v>
      </c>
      <c r="B507" s="47" t="s">
        <v>28</v>
      </c>
      <c r="C507" s="7">
        <v>24</v>
      </c>
      <c r="D507" s="8">
        <v>1.3888888888888889E-3</v>
      </c>
      <c r="E507" s="58">
        <f t="shared" si="0"/>
        <v>3.3333333333333333E-2</v>
      </c>
      <c r="F507" s="10">
        <v>0.34152777777777776</v>
      </c>
      <c r="G507" s="10">
        <v>0.35701388888888885</v>
      </c>
      <c r="H507" s="8">
        <f t="shared" si="77"/>
        <v>1.5486111111111089E-2</v>
      </c>
      <c r="I507" s="11">
        <f t="shared" si="2"/>
        <v>0.37486111111111109</v>
      </c>
      <c r="J507" s="8"/>
      <c r="K507" s="8"/>
      <c r="L507" s="8" t="str">
        <f>IF(OR(J507=0,K507=0)," ",K507-J507)</f>
        <v xml:space="preserve"> </v>
      </c>
      <c r="M507" s="12"/>
      <c r="N507" s="13">
        <f t="shared" si="4"/>
        <v>2.1524663677130076</v>
      </c>
    </row>
    <row r="508" spans="1:14" ht="14.5">
      <c r="A508" s="6">
        <v>45510</v>
      </c>
      <c r="B508" s="47" t="s">
        <v>86</v>
      </c>
      <c r="C508" s="7">
        <v>82</v>
      </c>
      <c r="D508" s="8">
        <v>1.3888888888888889E-3</v>
      </c>
      <c r="E508" s="58">
        <f t="shared" si="0"/>
        <v>0.11388888888888889</v>
      </c>
      <c r="F508" s="8">
        <f t="shared" ref="F508:F509" si="110">G507</f>
        <v>0.35701388888888885</v>
      </c>
      <c r="G508" s="10">
        <v>0.49983796296296301</v>
      </c>
      <c r="H508" s="8">
        <f t="shared" si="77"/>
        <v>0.10866898148148157</v>
      </c>
      <c r="I508" s="11">
        <f t="shared" si="2"/>
        <v>0.50505787037037031</v>
      </c>
      <c r="J508" s="8"/>
      <c r="K508" s="8"/>
      <c r="L508" s="8">
        <v>3.4155092592592591E-2</v>
      </c>
      <c r="M508" s="12"/>
      <c r="N508" s="13">
        <f t="shared" si="4"/>
        <v>1.0480349344978157</v>
      </c>
    </row>
    <row r="509" spans="1:14" ht="14.5">
      <c r="A509" s="6">
        <v>45510</v>
      </c>
      <c r="B509" s="47" t="s">
        <v>86</v>
      </c>
      <c r="C509" s="7">
        <v>75</v>
      </c>
      <c r="D509" s="8">
        <v>1.3888888888888889E-3</v>
      </c>
      <c r="E509" s="58">
        <f t="shared" si="0"/>
        <v>0.10416666666666667</v>
      </c>
      <c r="F509" s="8">
        <f t="shared" si="110"/>
        <v>0.49983796296296301</v>
      </c>
      <c r="G509" s="10">
        <v>0.59332175925925923</v>
      </c>
      <c r="H509" s="8">
        <f t="shared" si="77"/>
        <v>9.3483796296296218E-2</v>
      </c>
      <c r="I509" s="11">
        <f t="shared" si="2"/>
        <v>0.60400462962962964</v>
      </c>
      <c r="J509" s="8"/>
      <c r="K509" s="8"/>
      <c r="L509" s="8" t="str">
        <f>IF(OR(J509=0,K509=0)," ",K509-J509)</f>
        <v xml:space="preserve"> </v>
      </c>
      <c r="M509" s="12"/>
      <c r="N509" s="13">
        <f t="shared" si="4"/>
        <v>1.1142751021418853</v>
      </c>
    </row>
    <row r="510" spans="1:14" ht="14.5">
      <c r="A510" s="6">
        <v>45510</v>
      </c>
      <c r="B510" s="47" t="s">
        <v>16</v>
      </c>
      <c r="C510" s="7">
        <v>26</v>
      </c>
      <c r="D510" s="8">
        <v>5.5555555555555558E-3</v>
      </c>
      <c r="E510" s="58">
        <f t="shared" si="0"/>
        <v>0.14444444444444446</v>
      </c>
      <c r="F510" s="10">
        <v>0.59332175925925923</v>
      </c>
      <c r="G510" s="10">
        <v>0.73943287037037042</v>
      </c>
      <c r="H510" s="8">
        <f t="shared" si="77"/>
        <v>0.12878472222222231</v>
      </c>
      <c r="I510" s="11">
        <f t="shared" si="2"/>
        <v>0.75509259259259265</v>
      </c>
      <c r="J510" s="8"/>
      <c r="K510" s="8"/>
      <c r="L510" s="8">
        <v>1.7326388888888888E-2</v>
      </c>
      <c r="M510" s="12"/>
      <c r="N510" s="13">
        <f t="shared" si="4"/>
        <v>1.1215961175519</v>
      </c>
    </row>
    <row r="511" spans="1:14" ht="14.5">
      <c r="A511" s="6">
        <v>45511</v>
      </c>
      <c r="B511" s="47" t="s">
        <v>28</v>
      </c>
      <c r="C511" s="7">
        <v>43</v>
      </c>
      <c r="D511" s="8">
        <v>1.3888888888888889E-3</v>
      </c>
      <c r="E511" s="58">
        <f t="shared" si="0"/>
        <v>5.9722222222222225E-2</v>
      </c>
      <c r="F511" s="10">
        <v>0.34924768518518523</v>
      </c>
      <c r="G511" s="10">
        <v>0.41297453703703701</v>
      </c>
      <c r="H511" s="8">
        <f t="shared" si="77"/>
        <v>5.5891203703703637E-2</v>
      </c>
      <c r="I511" s="11">
        <f t="shared" si="2"/>
        <v>0.4168055555555556</v>
      </c>
      <c r="J511" s="8"/>
      <c r="K511" s="8"/>
      <c r="L511" s="8">
        <v>7.8356481481481489E-3</v>
      </c>
      <c r="M511" s="12"/>
      <c r="N511" s="13">
        <f t="shared" si="4"/>
        <v>1.068544212052186</v>
      </c>
    </row>
    <row r="512" spans="1:14" ht="14.5">
      <c r="A512" s="6">
        <v>45511</v>
      </c>
      <c r="B512" s="47" t="s">
        <v>16</v>
      </c>
      <c r="C512" s="7">
        <v>32</v>
      </c>
      <c r="D512" s="8">
        <v>5.5555555555555558E-3</v>
      </c>
      <c r="E512" s="58">
        <f t="shared" si="0"/>
        <v>0.17777777777777778</v>
      </c>
      <c r="F512" s="10">
        <v>0.41297453703703701</v>
      </c>
      <c r="G512" s="10">
        <v>0.62861111111111112</v>
      </c>
      <c r="H512" s="8">
        <f t="shared" si="77"/>
        <v>0.16155092592592596</v>
      </c>
      <c r="I512" s="11">
        <f t="shared" si="2"/>
        <v>0.64483796296296303</v>
      </c>
      <c r="J512" s="8"/>
      <c r="K512" s="8"/>
      <c r="L512" s="8">
        <v>5.4085648148148147E-2</v>
      </c>
      <c r="M512" s="12"/>
      <c r="N512" s="13">
        <f t="shared" si="4"/>
        <v>1.100444189711993</v>
      </c>
    </row>
    <row r="513" spans="1:14" ht="14.5">
      <c r="A513" s="6">
        <v>45511</v>
      </c>
      <c r="B513" s="47" t="s">
        <v>16</v>
      </c>
      <c r="C513" s="7">
        <v>17</v>
      </c>
      <c r="D513" s="8">
        <v>5.5555555555555558E-3</v>
      </c>
      <c r="E513" s="58">
        <f t="shared" si="0"/>
        <v>9.4444444444444442E-2</v>
      </c>
      <c r="F513" s="10">
        <f>G512</f>
        <v>0.62861111111111112</v>
      </c>
      <c r="G513" s="10">
        <v>0.72637731481481482</v>
      </c>
      <c r="H513" s="8">
        <f t="shared" si="77"/>
        <v>8.2951388888888894E-2</v>
      </c>
      <c r="I513" s="11">
        <f t="shared" si="2"/>
        <v>0.7378703703703704</v>
      </c>
      <c r="J513" s="8"/>
      <c r="K513" s="8"/>
      <c r="L513" s="8">
        <v>1.4814814814814815E-2</v>
      </c>
      <c r="M513" s="12"/>
      <c r="N513" s="13">
        <f t="shared" si="4"/>
        <v>1.1385516952699875</v>
      </c>
    </row>
    <row r="514" spans="1:14" ht="14.5">
      <c r="A514" s="6">
        <v>45512</v>
      </c>
      <c r="B514" s="47" t="s">
        <v>63</v>
      </c>
      <c r="C514" s="7">
        <v>1</v>
      </c>
      <c r="D514" s="8">
        <v>3.4722222222222224E-2</v>
      </c>
      <c r="E514" s="58">
        <f t="shared" si="0"/>
        <v>3.4722222222222224E-2</v>
      </c>
      <c r="F514" s="10">
        <v>0.33765046296296297</v>
      </c>
      <c r="G514" s="8">
        <v>0.37057870370370372</v>
      </c>
      <c r="H514" s="8">
        <f t="shared" si="77"/>
        <v>3.2928240740740744E-2</v>
      </c>
      <c r="I514" s="11">
        <f t="shared" si="2"/>
        <v>0.37237268518518518</v>
      </c>
      <c r="J514" s="8"/>
      <c r="K514" s="8"/>
      <c r="L514" s="8" t="str">
        <f t="shared" ref="L514:L515" si="111">IF(OR(J514=0,K514=0)," ",K514-J514)</f>
        <v xml:space="preserve"> </v>
      </c>
      <c r="M514" s="18"/>
      <c r="N514" s="13">
        <f t="shared" si="4"/>
        <v>1.0544815465729349</v>
      </c>
    </row>
    <row r="515" spans="1:14" ht="14.5">
      <c r="A515" s="6">
        <v>45512</v>
      </c>
      <c r="B515" s="47" t="s">
        <v>16</v>
      </c>
      <c r="C515" s="7">
        <v>2</v>
      </c>
      <c r="D515" s="8">
        <v>5.5555555555555558E-3</v>
      </c>
      <c r="E515" s="58">
        <f t="shared" si="0"/>
        <v>1.1111111111111112E-2</v>
      </c>
      <c r="F515" s="8">
        <v>0.37057870370370372</v>
      </c>
      <c r="G515" s="10">
        <v>0.38086805555555558</v>
      </c>
      <c r="H515" s="8">
        <f t="shared" si="77"/>
        <v>1.0289351851851869E-2</v>
      </c>
      <c r="I515" s="11">
        <f t="shared" si="2"/>
        <v>0.38168981481481484</v>
      </c>
      <c r="J515" s="8"/>
      <c r="K515" s="8"/>
      <c r="L515" s="8" t="str">
        <f t="shared" si="111"/>
        <v xml:space="preserve"> </v>
      </c>
      <c r="M515" s="18"/>
      <c r="N515" s="13">
        <f t="shared" si="4"/>
        <v>1.0798650168728892</v>
      </c>
    </row>
    <row r="516" spans="1:14" ht="14.5">
      <c r="A516" s="6">
        <v>45512</v>
      </c>
      <c r="B516" s="47" t="s">
        <v>43</v>
      </c>
      <c r="C516" s="7">
        <v>1</v>
      </c>
      <c r="D516" s="8">
        <v>3.4722222222222224E-2</v>
      </c>
      <c r="E516" s="58">
        <f t="shared" si="0"/>
        <v>3.4722222222222224E-2</v>
      </c>
      <c r="F516" s="10">
        <v>0.38086805555555558</v>
      </c>
      <c r="G516" s="10">
        <v>0.44263888888888892</v>
      </c>
      <c r="H516" s="8">
        <f t="shared" si="77"/>
        <v>2.7662037037037034E-2</v>
      </c>
      <c r="I516" s="11">
        <f t="shared" si="2"/>
        <v>0.44969907407407411</v>
      </c>
      <c r="J516" s="8"/>
      <c r="K516" s="8"/>
      <c r="L516" s="8">
        <v>3.4108796296296297E-2</v>
      </c>
      <c r="M516" s="12"/>
      <c r="N516" s="13">
        <f t="shared" si="4"/>
        <v>1.2552301255230127</v>
      </c>
    </row>
    <row r="517" spans="1:14" ht="14.5">
      <c r="A517" s="6">
        <v>45512</v>
      </c>
      <c r="B517" s="47" t="s">
        <v>86</v>
      </c>
      <c r="C517" s="7">
        <v>35</v>
      </c>
      <c r="D517" s="8">
        <v>1.3888888888888889E-3</v>
      </c>
      <c r="E517" s="58">
        <f t="shared" si="0"/>
        <v>4.8611111111111112E-2</v>
      </c>
      <c r="F517" s="10">
        <v>0.44263888888888892</v>
      </c>
      <c r="G517" s="10">
        <v>0.51238425925925923</v>
      </c>
      <c r="H517" s="8">
        <f t="shared" si="77"/>
        <v>4.4085648148148096E-2</v>
      </c>
      <c r="I517" s="11">
        <f t="shared" si="2"/>
        <v>0.5169097222222222</v>
      </c>
      <c r="J517" s="8"/>
      <c r="K517" s="8"/>
      <c r="L517" s="8">
        <v>2.5659722222222223E-2</v>
      </c>
      <c r="M517" s="18"/>
      <c r="N517" s="13">
        <f t="shared" si="4"/>
        <v>1.1026516145970084</v>
      </c>
    </row>
    <row r="518" spans="1:14" ht="14.5">
      <c r="A518" s="6">
        <v>45512</v>
      </c>
      <c r="B518" s="47" t="s">
        <v>16</v>
      </c>
      <c r="C518" s="7">
        <v>33</v>
      </c>
      <c r="D518" s="8">
        <v>5.5555555555555558E-3</v>
      </c>
      <c r="E518" s="58">
        <f t="shared" si="0"/>
        <v>0.18333333333333335</v>
      </c>
      <c r="F518" s="10">
        <f t="shared" ref="F518:F519" si="112">G517</f>
        <v>0.51238425925925923</v>
      </c>
      <c r="G518" s="10">
        <v>0.69718749999999996</v>
      </c>
      <c r="H518" s="8">
        <f t="shared" si="77"/>
        <v>0.1666435185185185</v>
      </c>
      <c r="I518" s="11">
        <f t="shared" si="2"/>
        <v>0.71387731481481476</v>
      </c>
      <c r="J518" s="8"/>
      <c r="K518" s="8"/>
      <c r="L518" s="8">
        <v>1.8159722222222223E-2</v>
      </c>
      <c r="M518" s="18"/>
      <c r="N518" s="13">
        <f t="shared" si="4"/>
        <v>1.1001527989998614</v>
      </c>
    </row>
    <row r="519" spans="1:14" ht="14.5">
      <c r="A519" s="6">
        <v>45512</v>
      </c>
      <c r="B519" s="47" t="s">
        <v>86</v>
      </c>
      <c r="C519" s="7">
        <v>18</v>
      </c>
      <c r="D519" s="8">
        <v>1.3888888888888889E-3</v>
      </c>
      <c r="E519" s="58">
        <f t="shared" si="0"/>
        <v>2.5000000000000001E-2</v>
      </c>
      <c r="F519" s="10">
        <f t="shared" si="112"/>
        <v>0.69718749999999996</v>
      </c>
      <c r="G519" s="10">
        <v>0.71964120370370366</v>
      </c>
      <c r="H519" s="8">
        <f t="shared" si="77"/>
        <v>2.2453703703703698E-2</v>
      </c>
      <c r="I519" s="11">
        <f t="shared" si="2"/>
        <v>0.72218749999999998</v>
      </c>
      <c r="J519" s="8"/>
      <c r="K519" s="8"/>
      <c r="L519" s="8" t="str">
        <f t="shared" ref="L519:L520" si="113">IF(OR(J519=0,K519=0)," ",K519-J519)</f>
        <v xml:space="preserve"> </v>
      </c>
      <c r="M519" s="12"/>
      <c r="N519" s="13">
        <f t="shared" si="4"/>
        <v>1.1134020618556704</v>
      </c>
    </row>
    <row r="520" spans="1:14" ht="14.5">
      <c r="A520" s="6">
        <v>45513</v>
      </c>
      <c r="B520" s="47" t="s">
        <v>86</v>
      </c>
      <c r="C520" s="7">
        <v>26</v>
      </c>
      <c r="D520" s="8">
        <v>1.3888888888888889E-3</v>
      </c>
      <c r="E520" s="58">
        <f t="shared" si="0"/>
        <v>3.6111111111111115E-2</v>
      </c>
      <c r="F520" s="10">
        <v>0.34122685185185186</v>
      </c>
      <c r="G520" s="10">
        <v>0.37418981481481484</v>
      </c>
      <c r="H520" s="8">
        <f t="shared" si="77"/>
        <v>3.2962962962962972E-2</v>
      </c>
      <c r="I520" s="11">
        <f t="shared" si="2"/>
        <v>0.37733796296296296</v>
      </c>
      <c r="J520" s="8"/>
      <c r="K520" s="8"/>
      <c r="L520" s="8" t="str">
        <f t="shared" si="113"/>
        <v xml:space="preserve"> </v>
      </c>
      <c r="M520" s="12"/>
      <c r="N520" s="13">
        <f t="shared" si="4"/>
        <v>1.095505617977528</v>
      </c>
    </row>
    <row r="521" spans="1:14" ht="14.5">
      <c r="A521" s="6">
        <v>45513</v>
      </c>
      <c r="B521" s="47" t="s">
        <v>93</v>
      </c>
      <c r="C521" s="7">
        <v>5</v>
      </c>
      <c r="D521" s="8">
        <v>6.9444444444444441E-3</v>
      </c>
      <c r="E521" s="58">
        <f t="shared" si="0"/>
        <v>3.4722222222222224E-2</v>
      </c>
      <c r="F521" s="10">
        <v>0.37418981481481484</v>
      </c>
      <c r="G521" s="10">
        <v>0.4309722222222222</v>
      </c>
      <c r="H521" s="8">
        <f t="shared" si="77"/>
        <v>3.1296296296296253E-2</v>
      </c>
      <c r="I521" s="11">
        <f t="shared" si="2"/>
        <v>0.43439814814814814</v>
      </c>
      <c r="J521" s="8"/>
      <c r="K521" s="8"/>
      <c r="L521" s="8">
        <v>2.5486111111111112E-2</v>
      </c>
      <c r="M521" s="12"/>
      <c r="N521" s="13">
        <f t="shared" si="4"/>
        <v>1.1094674556213033</v>
      </c>
    </row>
    <row r="522" spans="1:14" ht="14.5">
      <c r="A522" s="6">
        <v>45513</v>
      </c>
      <c r="B522" s="47" t="s">
        <v>65</v>
      </c>
      <c r="C522" s="7">
        <v>1</v>
      </c>
      <c r="D522" s="8">
        <v>2.0833333333333332E-2</v>
      </c>
      <c r="E522" s="58">
        <f t="shared" si="0"/>
        <v>2.0833333333333332E-2</v>
      </c>
      <c r="F522" s="10">
        <v>0.4309722222222222</v>
      </c>
      <c r="G522" s="10">
        <v>0.5441873263916932</v>
      </c>
      <c r="H522" s="8">
        <f t="shared" si="77"/>
        <v>9.3712789354656184E-2</v>
      </c>
      <c r="I522" s="11">
        <f t="shared" si="2"/>
        <v>0.47130787037037031</v>
      </c>
      <c r="J522" s="8"/>
      <c r="K522" s="8"/>
      <c r="L522" s="8">
        <v>1.9502314814814816E-2</v>
      </c>
      <c r="M522" s="12"/>
      <c r="N522" s="13">
        <f t="shared" si="4"/>
        <v>0.22231046025627893</v>
      </c>
    </row>
    <row r="523" spans="1:14" ht="14.5">
      <c r="A523" s="6">
        <v>45516</v>
      </c>
      <c r="B523" s="47" t="s">
        <v>16</v>
      </c>
      <c r="C523" s="7">
        <v>3</v>
      </c>
      <c r="D523" s="8">
        <v>5.5555555555555558E-3</v>
      </c>
      <c r="E523" s="58">
        <f t="shared" si="0"/>
        <v>1.6666666666666666E-2</v>
      </c>
      <c r="F523" s="10">
        <v>0.32188657407407406</v>
      </c>
      <c r="G523" s="10">
        <v>0.33783564814814815</v>
      </c>
      <c r="H523" s="8">
        <f t="shared" si="77"/>
        <v>1.5949074074074088E-2</v>
      </c>
      <c r="I523" s="11">
        <f t="shared" si="2"/>
        <v>0.33855324074074072</v>
      </c>
      <c r="J523" s="8"/>
      <c r="K523" s="8"/>
      <c r="L523" s="8" t="str">
        <f t="shared" ref="L523:L524" si="114">IF(OR(J523=0,K523=0)," ",K523-J523)</f>
        <v xml:space="preserve"> </v>
      </c>
      <c r="M523" s="12"/>
      <c r="N523" s="13">
        <f t="shared" si="4"/>
        <v>1.0449927431059498</v>
      </c>
    </row>
    <row r="524" spans="1:14" ht="14.5">
      <c r="A524" s="6">
        <v>45516</v>
      </c>
      <c r="B524" s="47" t="s">
        <v>28</v>
      </c>
      <c r="C524" s="7">
        <v>32</v>
      </c>
      <c r="D524" s="8">
        <v>1.3888888888888889E-3</v>
      </c>
      <c r="E524" s="58">
        <f t="shared" si="0"/>
        <v>4.4444444444444446E-2</v>
      </c>
      <c r="F524" s="10">
        <v>0.41140046296296295</v>
      </c>
      <c r="G524" s="10">
        <v>0.45254664351523388</v>
      </c>
      <c r="H524" s="8">
        <f t="shared" si="77"/>
        <v>4.1146180552270928E-2</v>
      </c>
      <c r="I524" s="11">
        <f t="shared" si="2"/>
        <v>0.45584490740740741</v>
      </c>
      <c r="J524" s="8"/>
      <c r="K524" s="8"/>
      <c r="L524" s="8" t="str">
        <f t="shared" si="114"/>
        <v xml:space="preserve"> </v>
      </c>
      <c r="M524" s="12"/>
      <c r="N524" s="13">
        <f t="shared" si="4"/>
        <v>1.0801596611861337</v>
      </c>
    </row>
    <row r="525" spans="1:14" ht="14.5">
      <c r="A525" s="6">
        <v>45516</v>
      </c>
      <c r="B525" s="47" t="s">
        <v>106</v>
      </c>
      <c r="C525" s="7">
        <v>17</v>
      </c>
      <c r="D525" s="8">
        <v>2.0833333333333333E-3</v>
      </c>
      <c r="E525" s="58">
        <f t="shared" si="0"/>
        <v>3.5416666666666666E-2</v>
      </c>
      <c r="F525" s="10">
        <v>0.45254664351523388</v>
      </c>
      <c r="G525" s="10">
        <v>0.51282407407407404</v>
      </c>
      <c r="H525" s="8">
        <f t="shared" si="77"/>
        <v>3.254594907735868E-2</v>
      </c>
      <c r="I525" s="11">
        <f t="shared" si="2"/>
        <v>0.51569479166338206</v>
      </c>
      <c r="J525" s="8"/>
      <c r="K525" s="8"/>
      <c r="L525" s="8">
        <v>2.7731481481481482E-2</v>
      </c>
      <c r="M525" s="12"/>
      <c r="N525" s="13">
        <f t="shared" si="4"/>
        <v>1.0882050660893177</v>
      </c>
    </row>
    <row r="526" spans="1:14" ht="14.5">
      <c r="A526" s="6">
        <v>45517</v>
      </c>
      <c r="B526" s="47" t="s">
        <v>16</v>
      </c>
      <c r="C526" s="7">
        <v>22</v>
      </c>
      <c r="D526" s="8">
        <v>5.5555555555555558E-3</v>
      </c>
      <c r="E526" s="58">
        <f t="shared" si="0"/>
        <v>0.12222222222222223</v>
      </c>
      <c r="F526" s="10">
        <v>0.45325231481481476</v>
      </c>
      <c r="G526" s="60">
        <v>0.66442650463432074</v>
      </c>
      <c r="H526" s="8">
        <f t="shared" si="77"/>
        <v>0.11564178241209856</v>
      </c>
      <c r="I526" s="11">
        <f t="shared" si="2"/>
        <v>0.67100694444444442</v>
      </c>
      <c r="J526" s="8"/>
      <c r="K526" s="8"/>
      <c r="L526" s="8">
        <v>9.5532407407407413E-2</v>
      </c>
      <c r="M526" s="12"/>
      <c r="N526" s="13">
        <f t="shared" si="4"/>
        <v>1.0569036525801181</v>
      </c>
    </row>
    <row r="527" spans="1:14" ht="14.5">
      <c r="A527" s="6">
        <v>45518</v>
      </c>
      <c r="B527" s="47" t="s">
        <v>28</v>
      </c>
      <c r="C527" s="7">
        <v>130</v>
      </c>
      <c r="D527" s="8">
        <v>1.3888888888888889E-3</v>
      </c>
      <c r="E527" s="58">
        <f t="shared" si="0"/>
        <v>0.18055555555555555</v>
      </c>
      <c r="F527" s="10">
        <v>0.3611226851851852</v>
      </c>
      <c r="G527" s="10">
        <v>0.56694258101924788</v>
      </c>
      <c r="H527" s="8">
        <f t="shared" si="77"/>
        <v>0.16987082175998861</v>
      </c>
      <c r="I527" s="11">
        <f t="shared" si="2"/>
        <v>0.57762731481481489</v>
      </c>
      <c r="J527" s="8"/>
      <c r="K527" s="8"/>
      <c r="L527" s="8">
        <v>3.5949074074074071E-2</v>
      </c>
      <c r="M527" s="18" t="s">
        <v>153</v>
      </c>
      <c r="N527" s="13">
        <f t="shared" si="4"/>
        <v>1.0628991705865971</v>
      </c>
    </row>
    <row r="528" spans="1:14" ht="14.5">
      <c r="A528" s="6">
        <v>45518</v>
      </c>
      <c r="B528" s="47" t="s">
        <v>28</v>
      </c>
      <c r="C528" s="7">
        <v>21</v>
      </c>
      <c r="D528" s="8">
        <v>1.3888888888888889E-3</v>
      </c>
      <c r="E528" s="58">
        <f t="shared" si="0"/>
        <v>2.9166666666666667E-2</v>
      </c>
      <c r="F528" s="10">
        <v>0.62159722222222225</v>
      </c>
      <c r="G528" s="10">
        <v>0.64906249999999999</v>
      </c>
      <c r="H528" s="8">
        <f t="shared" si="77"/>
        <v>2.7465277777777741E-2</v>
      </c>
      <c r="I528" s="11">
        <f t="shared" si="2"/>
        <v>0.65076388888888892</v>
      </c>
      <c r="J528" s="8"/>
      <c r="K528" s="8"/>
      <c r="L528" s="8" t="str">
        <f t="shared" ref="L528:L529" si="115">IF(OR(J528=0,K528=0)," ",K528-J528)</f>
        <v xml:space="preserve"> </v>
      </c>
      <c r="M528" s="12"/>
      <c r="N528" s="13">
        <f t="shared" si="4"/>
        <v>1.0619469026548687</v>
      </c>
    </row>
    <row r="529" spans="1:14" ht="14.5">
      <c r="A529" s="6">
        <v>45518</v>
      </c>
      <c r="B529" s="47" t="s">
        <v>16</v>
      </c>
      <c r="C529" s="7">
        <v>11</v>
      </c>
      <c r="D529" s="8">
        <v>5.5555555555555558E-3</v>
      </c>
      <c r="E529" s="58">
        <f t="shared" si="0"/>
        <v>6.1111111111111116E-2</v>
      </c>
      <c r="F529" s="8">
        <v>0.69299768518518523</v>
      </c>
      <c r="G529" s="10">
        <v>0.75018518518518518</v>
      </c>
      <c r="H529" s="8">
        <f t="shared" si="77"/>
        <v>5.7187499999999947E-2</v>
      </c>
      <c r="I529" s="11">
        <f t="shared" si="2"/>
        <v>0.75410879629629635</v>
      </c>
      <c r="J529" s="8"/>
      <c r="K529" s="8"/>
      <c r="L529" s="8" t="str">
        <f t="shared" si="115"/>
        <v xml:space="preserve"> </v>
      </c>
      <c r="M529" s="12"/>
      <c r="N529" s="13">
        <f t="shared" si="4"/>
        <v>1.0686095931997581</v>
      </c>
    </row>
    <row r="530" spans="1:14" ht="14.5">
      <c r="A530" s="6">
        <v>45519</v>
      </c>
      <c r="B530" s="47" t="s">
        <v>16</v>
      </c>
      <c r="C530" s="7">
        <v>15</v>
      </c>
      <c r="D530" s="8">
        <v>5.5555555555555558E-3</v>
      </c>
      <c r="E530" s="58">
        <f t="shared" si="0"/>
        <v>8.3333333333333343E-2</v>
      </c>
      <c r="F530" s="10">
        <v>0.35318287037037033</v>
      </c>
      <c r="G530" s="10">
        <v>0.44795138888888891</v>
      </c>
      <c r="H530" s="8">
        <f t="shared" si="77"/>
        <v>7.9166666666666732E-2</v>
      </c>
      <c r="I530" s="11">
        <f t="shared" si="2"/>
        <v>0.45211805555555556</v>
      </c>
      <c r="J530" s="8"/>
      <c r="K530" s="8"/>
      <c r="L530" s="8">
        <v>1.5601851851851851E-2</v>
      </c>
      <c r="M530" s="12"/>
      <c r="N530" s="13">
        <f t="shared" si="4"/>
        <v>1.0526315789473677</v>
      </c>
    </row>
    <row r="531" spans="1:14" ht="14.5">
      <c r="A531" s="6">
        <v>45519</v>
      </c>
      <c r="B531" s="47" t="s">
        <v>27</v>
      </c>
      <c r="C531" s="7">
        <v>90</v>
      </c>
      <c r="D531" s="8">
        <v>1.3888888888888889E-3</v>
      </c>
      <c r="E531" s="58">
        <f t="shared" si="0"/>
        <v>0.125</v>
      </c>
      <c r="F531" s="10">
        <f>G530</f>
        <v>0.44795138888888891</v>
      </c>
      <c r="G531" s="10">
        <v>0.59525462962962961</v>
      </c>
      <c r="H531" s="8">
        <f t="shared" si="77"/>
        <v>0.12031249999999995</v>
      </c>
      <c r="I531" s="11">
        <f t="shared" si="2"/>
        <v>0.59994212962962956</v>
      </c>
      <c r="J531" s="8"/>
      <c r="K531" s="8"/>
      <c r="L531" s="8">
        <v>2.6990740740740742E-2</v>
      </c>
      <c r="M531" s="12"/>
      <c r="N531" s="13">
        <f t="shared" si="4"/>
        <v>1.0389610389610393</v>
      </c>
    </row>
    <row r="532" spans="1:14" ht="14.5">
      <c r="A532" s="6">
        <v>45519</v>
      </c>
      <c r="B532" s="47" t="s">
        <v>28</v>
      </c>
      <c r="C532" s="7">
        <v>90</v>
      </c>
      <c r="D532" s="8">
        <v>1.3888888888888889E-3</v>
      </c>
      <c r="E532" s="58">
        <f t="shared" si="0"/>
        <v>0.125</v>
      </c>
      <c r="F532" s="10">
        <v>0.62197916666666664</v>
      </c>
      <c r="G532" s="10">
        <v>0.75694444444444442</v>
      </c>
      <c r="H532" s="8">
        <f t="shared" si="77"/>
        <v>0.11849537037037038</v>
      </c>
      <c r="I532" s="11">
        <f t="shared" si="2"/>
        <v>0.76344907407407403</v>
      </c>
      <c r="J532" s="8"/>
      <c r="K532" s="8"/>
      <c r="L532" s="8">
        <v>1.6469907407407409E-2</v>
      </c>
      <c r="M532" s="12"/>
      <c r="N532" s="13">
        <f t="shared" si="4"/>
        <v>1.0548935338933385</v>
      </c>
    </row>
    <row r="533" spans="1:14" ht="14.5">
      <c r="A533" s="6">
        <v>45523</v>
      </c>
      <c r="B533" s="47" t="s">
        <v>16</v>
      </c>
      <c r="C533" s="7">
        <v>19</v>
      </c>
      <c r="D533" s="8">
        <v>5.5555555555555558E-3</v>
      </c>
      <c r="E533" s="58">
        <f t="shared" si="0"/>
        <v>0.10555555555555556</v>
      </c>
      <c r="F533" s="10">
        <v>0.33972222222222226</v>
      </c>
      <c r="G533" s="10">
        <v>0.44245370370370374</v>
      </c>
      <c r="H533" s="8">
        <f t="shared" si="77"/>
        <v>9.8425925925925917E-2</v>
      </c>
      <c r="I533" s="11">
        <f t="shared" si="2"/>
        <v>0.44958333333333339</v>
      </c>
      <c r="J533" s="8"/>
      <c r="K533" s="8"/>
      <c r="L533" s="8">
        <v>4.3055555555555555E-3</v>
      </c>
      <c r="M533" s="12"/>
      <c r="N533" s="13">
        <f t="shared" si="4"/>
        <v>1.0724365004703671</v>
      </c>
    </row>
    <row r="534" spans="1:14" ht="14.5">
      <c r="A534" s="6">
        <v>45523</v>
      </c>
      <c r="B534" s="47" t="s">
        <v>43</v>
      </c>
      <c r="C534" s="7">
        <v>1</v>
      </c>
      <c r="D534" s="8">
        <v>3.4722222222222224E-2</v>
      </c>
      <c r="E534" s="58">
        <f t="shared" si="0"/>
        <v>3.4722222222222224E-2</v>
      </c>
      <c r="F534" s="10">
        <f t="shared" ref="F534:F535" si="116">G533</f>
        <v>0.44245370370370374</v>
      </c>
      <c r="G534" s="10">
        <v>0.50510416666666669</v>
      </c>
      <c r="H534" s="8">
        <f t="shared" si="77"/>
        <v>3.3321759259259245E-2</v>
      </c>
      <c r="I534" s="11">
        <f t="shared" si="2"/>
        <v>0.50650462962962961</v>
      </c>
      <c r="J534" s="8"/>
      <c r="K534" s="8"/>
      <c r="L534" s="8">
        <v>2.9328703703703704E-2</v>
      </c>
      <c r="M534" s="12"/>
      <c r="N534" s="13">
        <f t="shared" si="4"/>
        <v>1.0420284821118448</v>
      </c>
    </row>
    <row r="535" spans="1:14" ht="14.5">
      <c r="A535" s="6">
        <v>45523</v>
      </c>
      <c r="B535" s="47" t="s">
        <v>28</v>
      </c>
      <c r="C535" s="7">
        <v>30</v>
      </c>
      <c r="D535" s="8">
        <v>1.3888888888888889E-3</v>
      </c>
      <c r="E535" s="58">
        <f t="shared" si="0"/>
        <v>4.1666666666666671E-2</v>
      </c>
      <c r="F535" s="10">
        <f t="shared" si="116"/>
        <v>0.50510416666666669</v>
      </c>
      <c r="G535" s="10">
        <v>0.5434676041622879</v>
      </c>
      <c r="H535" s="8">
        <f t="shared" si="77"/>
        <v>3.8363437495621211E-2</v>
      </c>
      <c r="I535" s="11">
        <f t="shared" si="2"/>
        <v>0.54677083333333332</v>
      </c>
      <c r="J535" s="8"/>
      <c r="K535" s="8"/>
      <c r="L535" s="8" t="str">
        <f t="shared" ref="L535:L539" si="117">IF(OR(J535=0,K535=0)," ",K535-J535)</f>
        <v xml:space="preserve"> </v>
      </c>
      <c r="M535" s="18" t="s">
        <v>154</v>
      </c>
      <c r="N535" s="13">
        <f t="shared" si="4"/>
        <v>1.0861035763915183</v>
      </c>
    </row>
    <row r="536" spans="1:14" ht="14.5">
      <c r="A536" s="6">
        <v>45523</v>
      </c>
      <c r="B536" s="47" t="s">
        <v>16</v>
      </c>
      <c r="C536" s="7">
        <v>2</v>
      </c>
      <c r="D536" s="8">
        <v>5.5555555555555558E-3</v>
      </c>
      <c r="E536" s="58">
        <f t="shared" si="0"/>
        <v>1.1111111111111112E-2</v>
      </c>
      <c r="F536" s="10">
        <v>0.63255787037037037</v>
      </c>
      <c r="G536" s="10">
        <v>0.64312931713357102</v>
      </c>
      <c r="H536" s="8">
        <f t="shared" si="77"/>
        <v>1.0571446763200654E-2</v>
      </c>
      <c r="I536" s="11">
        <f t="shared" si="2"/>
        <v>0.64366898148148144</v>
      </c>
      <c r="J536" s="8"/>
      <c r="K536" s="8"/>
      <c r="L536" s="8" t="str">
        <f t="shared" si="117"/>
        <v xml:space="preserve"> </v>
      </c>
      <c r="M536" s="18"/>
      <c r="N536" s="13">
        <f t="shared" si="4"/>
        <v>1.0510492423599991</v>
      </c>
    </row>
    <row r="537" spans="1:14" ht="14.5">
      <c r="A537" s="6">
        <v>45524</v>
      </c>
      <c r="B537" s="47" t="s">
        <v>16</v>
      </c>
      <c r="C537" s="7">
        <v>2</v>
      </c>
      <c r="D537" s="8">
        <v>5.5555555555555558E-3</v>
      </c>
      <c r="E537" s="58">
        <f t="shared" si="0"/>
        <v>1.1111111111111112E-2</v>
      </c>
      <c r="F537" s="10">
        <v>0.33353009259259259</v>
      </c>
      <c r="G537" s="10">
        <v>0.34409722222222222</v>
      </c>
      <c r="H537" s="8">
        <f t="shared" si="77"/>
        <v>1.0567129629629635E-2</v>
      </c>
      <c r="I537" s="11">
        <f t="shared" si="2"/>
        <v>0.34464120370370371</v>
      </c>
      <c r="J537" s="8"/>
      <c r="K537" s="8"/>
      <c r="L537" s="8" t="str">
        <f t="shared" si="117"/>
        <v xml:space="preserve"> </v>
      </c>
      <c r="M537" s="12"/>
      <c r="N537" s="13">
        <f t="shared" si="4"/>
        <v>1.0514786418400872</v>
      </c>
    </row>
    <row r="538" spans="1:14" ht="14.5">
      <c r="A538" s="6">
        <v>45524</v>
      </c>
      <c r="B538" s="47" t="s">
        <v>44</v>
      </c>
      <c r="C538" s="7">
        <v>2</v>
      </c>
      <c r="D538" s="8">
        <v>3.472222222222222E-3</v>
      </c>
      <c r="E538" s="58">
        <f t="shared" si="0"/>
        <v>6.9444444444444441E-3</v>
      </c>
      <c r="F538" s="10">
        <v>0.48159722222222223</v>
      </c>
      <c r="G538" s="10">
        <v>0.48807870370370371</v>
      </c>
      <c r="H538" s="8">
        <f t="shared" si="77"/>
        <v>6.481481481481477E-3</v>
      </c>
      <c r="I538" s="11">
        <f t="shared" si="2"/>
        <v>0.48854166666666665</v>
      </c>
      <c r="J538" s="8"/>
      <c r="K538" s="8"/>
      <c r="L538" s="8" t="str">
        <f t="shared" si="117"/>
        <v xml:space="preserve"> </v>
      </c>
      <c r="M538" s="18"/>
      <c r="N538" s="13">
        <f t="shared" si="4"/>
        <v>1.0714285714285721</v>
      </c>
    </row>
    <row r="539" spans="1:14" ht="14.5">
      <c r="A539" s="6">
        <v>45524</v>
      </c>
      <c r="B539" s="47" t="s">
        <v>86</v>
      </c>
      <c r="C539" s="7">
        <v>28</v>
      </c>
      <c r="D539" s="8">
        <v>1.3888888888888889E-3</v>
      </c>
      <c r="E539" s="58">
        <f t="shared" si="0"/>
        <v>3.888888888888889E-2</v>
      </c>
      <c r="F539" s="10">
        <v>0.55170138888888887</v>
      </c>
      <c r="G539" s="10">
        <v>0.58936342592592594</v>
      </c>
      <c r="H539" s="8">
        <f t="shared" si="77"/>
        <v>3.7662037037037077E-2</v>
      </c>
      <c r="I539" s="11">
        <f t="shared" si="2"/>
        <v>0.59059027777777773</v>
      </c>
      <c r="J539" s="8"/>
      <c r="K539" s="8"/>
      <c r="L539" s="8" t="str">
        <f t="shared" si="117"/>
        <v xml:space="preserve"> </v>
      </c>
      <c r="M539" s="12"/>
      <c r="N539" s="13">
        <f t="shared" si="4"/>
        <v>1.0325752919483702</v>
      </c>
    </row>
    <row r="540" spans="1:14" ht="14.5">
      <c r="A540" s="6">
        <v>45524</v>
      </c>
      <c r="B540" s="47" t="s">
        <v>38</v>
      </c>
      <c r="C540" s="7">
        <v>22</v>
      </c>
      <c r="D540" s="8">
        <v>2.7777777777777779E-3</v>
      </c>
      <c r="E540" s="58">
        <f t="shared" si="0"/>
        <v>6.1111111111111116E-2</v>
      </c>
      <c r="F540" s="10">
        <v>0.58936342592592594</v>
      </c>
      <c r="G540" s="10">
        <v>0.66615740740740736</v>
      </c>
      <c r="H540" s="8">
        <f t="shared" si="77"/>
        <v>5.8946759259259199E-2</v>
      </c>
      <c r="I540" s="11">
        <f t="shared" si="2"/>
        <v>0.6683217592592593</v>
      </c>
      <c r="J540" s="8"/>
      <c r="K540" s="8"/>
      <c r="L540" s="8">
        <v>1.7847222222222223E-2</v>
      </c>
      <c r="M540" s="18"/>
      <c r="N540" s="13">
        <f t="shared" si="4"/>
        <v>1.0367170626349904</v>
      </c>
    </row>
    <row r="541" spans="1:14" ht="14.5">
      <c r="A541" s="6">
        <v>45524</v>
      </c>
      <c r="B541" s="47" t="s">
        <v>38</v>
      </c>
      <c r="C541" s="7">
        <v>18</v>
      </c>
      <c r="D541" s="8">
        <v>2.7777777777777779E-3</v>
      </c>
      <c r="E541" s="58">
        <f t="shared" si="0"/>
        <v>0.05</v>
      </c>
      <c r="F541" s="10">
        <v>0.66615740740740736</v>
      </c>
      <c r="G541" s="10">
        <v>0.71206018518518521</v>
      </c>
      <c r="H541" s="8">
        <f t="shared" si="77"/>
        <v>4.5902777777777848E-2</v>
      </c>
      <c r="I541" s="11">
        <f t="shared" si="2"/>
        <v>0.71615740740740741</v>
      </c>
      <c r="J541" s="8"/>
      <c r="K541" s="8"/>
      <c r="L541" s="8" t="str">
        <f>IF(OR(J541=0,K541=0)," ",K541-J541)</f>
        <v xml:space="preserve"> </v>
      </c>
      <c r="M541" s="18"/>
      <c r="N541" s="13">
        <f t="shared" si="4"/>
        <v>1.0892586989409969</v>
      </c>
    </row>
    <row r="542" spans="1:14" ht="14.5">
      <c r="A542" s="6">
        <v>45525</v>
      </c>
      <c r="B542" s="47" t="s">
        <v>38</v>
      </c>
      <c r="C542" s="7">
        <v>31</v>
      </c>
      <c r="D542" s="8">
        <v>2.7777777777777779E-3</v>
      </c>
      <c r="E542" s="58">
        <f t="shared" si="0"/>
        <v>8.611111111111111E-2</v>
      </c>
      <c r="F542" s="10">
        <v>0.33339120370370368</v>
      </c>
      <c r="G542" s="10">
        <v>0.4251388888888889</v>
      </c>
      <c r="H542" s="8">
        <f t="shared" si="77"/>
        <v>7.8101851851851894E-2</v>
      </c>
      <c r="I542" s="11">
        <f t="shared" si="2"/>
        <v>0.43314814814814817</v>
      </c>
      <c r="J542" s="8"/>
      <c r="K542" s="8"/>
      <c r="L542" s="8">
        <v>1.3645833333333333E-2</v>
      </c>
      <c r="M542" s="18"/>
      <c r="N542" s="13">
        <f t="shared" si="4"/>
        <v>1.1025489033787783</v>
      </c>
    </row>
    <row r="543" spans="1:14" ht="14.5">
      <c r="A543" s="6">
        <v>45525</v>
      </c>
      <c r="B543" s="47" t="s">
        <v>16</v>
      </c>
      <c r="C543" s="7">
        <v>11</v>
      </c>
      <c r="D543" s="8">
        <v>5.5555555555555558E-3</v>
      </c>
      <c r="E543" s="58">
        <f t="shared" si="0"/>
        <v>6.1111111111111116E-2</v>
      </c>
      <c r="F543" s="10">
        <v>0.4251388888888889</v>
      </c>
      <c r="G543" s="10">
        <v>0.50953703703703701</v>
      </c>
      <c r="H543" s="8">
        <f t="shared" si="77"/>
        <v>5.5613425925925886E-2</v>
      </c>
      <c r="I543" s="11">
        <f t="shared" si="2"/>
        <v>0.51503472222222224</v>
      </c>
      <c r="J543" s="8"/>
      <c r="K543" s="8"/>
      <c r="L543" s="8">
        <v>2.8784722222222222E-2</v>
      </c>
      <c r="M543" s="18" t="s">
        <v>155</v>
      </c>
      <c r="N543" s="13">
        <f t="shared" si="4"/>
        <v>1.0988553590010415</v>
      </c>
    </row>
    <row r="544" spans="1:14" ht="14.5">
      <c r="A544" s="6">
        <v>45525</v>
      </c>
      <c r="B544" s="47" t="s">
        <v>38</v>
      </c>
      <c r="C544" s="7">
        <v>6</v>
      </c>
      <c r="D544" s="8">
        <v>2.7777777777777779E-3</v>
      </c>
      <c r="E544" s="58">
        <f t="shared" si="0"/>
        <v>1.6666666666666666E-2</v>
      </c>
      <c r="F544" s="10">
        <f>G543</f>
        <v>0.50953703703703701</v>
      </c>
      <c r="G544" s="10">
        <v>0.52565972222222224</v>
      </c>
      <c r="H544" s="8">
        <f t="shared" si="77"/>
        <v>1.6122685185185226E-2</v>
      </c>
      <c r="I544" s="11">
        <f t="shared" si="2"/>
        <v>0.52620370370370373</v>
      </c>
      <c r="J544" s="8"/>
      <c r="K544" s="8"/>
      <c r="L544" s="8" t="str">
        <f>IF(OR(J544=0,K544=0)," ",K544-J544)</f>
        <v xml:space="preserve"> </v>
      </c>
      <c r="M544" s="12"/>
      <c r="N544" s="13">
        <f t="shared" si="4"/>
        <v>1.0337401292175135</v>
      </c>
    </row>
    <row r="545" spans="1:14" ht="14.5">
      <c r="A545" s="6">
        <v>45525</v>
      </c>
      <c r="B545" s="47" t="s">
        <v>16</v>
      </c>
      <c r="C545" s="7">
        <v>21</v>
      </c>
      <c r="D545" s="8">
        <v>5.5555555555555558E-3</v>
      </c>
      <c r="E545" s="58">
        <f t="shared" si="0"/>
        <v>0.11666666666666667</v>
      </c>
      <c r="F545" s="10">
        <v>0.58018518518518514</v>
      </c>
      <c r="G545" s="10">
        <v>0.71013090277847368</v>
      </c>
      <c r="H545" s="8">
        <f t="shared" si="77"/>
        <v>0.1024688657414367</v>
      </c>
      <c r="I545" s="11">
        <f t="shared" si="2"/>
        <v>0.72432870370370372</v>
      </c>
      <c r="J545" s="8"/>
      <c r="K545" s="8"/>
      <c r="L545" s="8">
        <v>2.7476851851851853E-2</v>
      </c>
      <c r="M545" s="12"/>
      <c r="N545" s="13">
        <f t="shared" si="4"/>
        <v>1.1385572175752954</v>
      </c>
    </row>
    <row r="546" spans="1:14" ht="14.5">
      <c r="A546" s="6">
        <v>45526</v>
      </c>
      <c r="B546" s="47" t="s">
        <v>16</v>
      </c>
      <c r="C546" s="7">
        <v>7</v>
      </c>
      <c r="D546" s="8">
        <v>5.5555555555555558E-3</v>
      </c>
      <c r="E546" s="58">
        <f t="shared" si="0"/>
        <v>3.888888888888889E-2</v>
      </c>
      <c r="F546" s="10">
        <v>0.33040509259259254</v>
      </c>
      <c r="G546" s="10">
        <v>0.37589120370370366</v>
      </c>
      <c r="H546" s="8">
        <f t="shared" si="77"/>
        <v>3.8865740740740742E-2</v>
      </c>
      <c r="I546" s="11">
        <f t="shared" si="2"/>
        <v>0.37591435185185179</v>
      </c>
      <c r="J546" s="8"/>
      <c r="K546" s="8"/>
      <c r="L546" s="8">
        <v>6.6203703703703702E-3</v>
      </c>
      <c r="M546" s="12"/>
      <c r="N546" s="13">
        <f t="shared" si="4"/>
        <v>1.0005955926146515</v>
      </c>
    </row>
    <row r="547" spans="1:14" ht="14.5">
      <c r="A547" s="6">
        <v>45526</v>
      </c>
      <c r="B547" s="47" t="s">
        <v>42</v>
      </c>
      <c r="C547" s="7">
        <v>1</v>
      </c>
      <c r="D547" s="8">
        <v>6.9444444444444441E-3</v>
      </c>
      <c r="E547" s="58">
        <f t="shared" si="0"/>
        <v>6.9444444444444441E-3</v>
      </c>
      <c r="F547" s="10">
        <v>0.3485300925925926</v>
      </c>
      <c r="G547" s="10">
        <v>0.35515046296296293</v>
      </c>
      <c r="H547" s="8">
        <f t="shared" si="77"/>
        <v>6.620370370370332E-3</v>
      </c>
      <c r="I547" s="11">
        <f t="shared" si="2"/>
        <v>0.35547453703703702</v>
      </c>
      <c r="J547" s="8"/>
      <c r="K547" s="8"/>
      <c r="L547" s="8" t="str">
        <f>IF(OR(J547=0,K547=0)," ",K547-J547)</f>
        <v xml:space="preserve"> </v>
      </c>
      <c r="M547" s="12"/>
      <c r="N547" s="13">
        <f t="shared" si="4"/>
        <v>1.048951048951055</v>
      </c>
    </row>
    <row r="548" spans="1:14" ht="14.5">
      <c r="A548" s="6">
        <v>45526</v>
      </c>
      <c r="B548" s="47" t="s">
        <v>43</v>
      </c>
      <c r="C548" s="7">
        <v>1</v>
      </c>
      <c r="D548" s="8">
        <v>3.4722222222222224E-2</v>
      </c>
      <c r="E548" s="58">
        <f t="shared" si="0"/>
        <v>3.4722222222222224E-2</v>
      </c>
      <c r="F548" s="10">
        <v>0.37589120370370366</v>
      </c>
      <c r="G548" s="10">
        <v>0.4148263888888889</v>
      </c>
      <c r="H548" s="8">
        <f t="shared" si="77"/>
        <v>3.1238425925925982E-2</v>
      </c>
      <c r="I548" s="11">
        <f t="shared" si="2"/>
        <v>0.41831018518518515</v>
      </c>
      <c r="J548" s="8"/>
      <c r="K548" s="8"/>
      <c r="L548" s="8">
        <v>7.6967592592592591E-3</v>
      </c>
      <c r="M548" s="12"/>
      <c r="N548" s="13">
        <f t="shared" si="4"/>
        <v>1.1115227862171155</v>
      </c>
    </row>
    <row r="549" spans="1:14" ht="14.5">
      <c r="A549" s="6">
        <v>45526</v>
      </c>
      <c r="B549" s="47" t="s">
        <v>38</v>
      </c>
      <c r="C549" s="7">
        <v>41</v>
      </c>
      <c r="D549" s="8">
        <v>2.7777777777777779E-3</v>
      </c>
      <c r="E549" s="58">
        <f t="shared" si="0"/>
        <v>0.11388888888888889</v>
      </c>
      <c r="F549" s="10">
        <v>0.4148263888888889</v>
      </c>
      <c r="G549" s="10">
        <v>0.57885416666666667</v>
      </c>
      <c r="H549" s="8">
        <f t="shared" si="77"/>
        <v>0.10438657407407406</v>
      </c>
      <c r="I549" s="11">
        <f t="shared" si="2"/>
        <v>0.58835648148148156</v>
      </c>
      <c r="J549" s="8"/>
      <c r="K549" s="8"/>
      <c r="L549" s="8">
        <v>5.9641203703703703E-2</v>
      </c>
      <c r="M549" s="18" t="s">
        <v>156</v>
      </c>
      <c r="N549" s="13">
        <f t="shared" si="4"/>
        <v>1.0910300476771262</v>
      </c>
    </row>
    <row r="550" spans="1:14" ht="14.5">
      <c r="A550" s="6">
        <v>45526</v>
      </c>
      <c r="B550" s="47" t="s">
        <v>106</v>
      </c>
      <c r="C550" s="7">
        <v>2</v>
      </c>
      <c r="D550" s="8">
        <v>2.0833333333333333E-3</v>
      </c>
      <c r="E550" s="58">
        <f t="shared" si="0"/>
        <v>4.1666666666666666E-3</v>
      </c>
      <c r="F550" s="10">
        <v>0.67923611111111115</v>
      </c>
      <c r="G550" s="10">
        <v>0.68531249999999999</v>
      </c>
      <c r="H550" s="8">
        <f t="shared" si="77"/>
        <v>6.0763888888888395E-3</v>
      </c>
      <c r="I550" s="11">
        <f t="shared" si="2"/>
        <v>0.6834027777777778</v>
      </c>
      <c r="J550" s="8"/>
      <c r="K550" s="8"/>
      <c r="L550" s="8" t="str">
        <f t="shared" ref="L550:L551" si="118">IF(OR(J550=0,K550=0)," ",K550-J550)</f>
        <v xml:space="preserve"> </v>
      </c>
      <c r="M550" s="12"/>
      <c r="N550" s="13">
        <f t="shared" si="4"/>
        <v>0.68571428571429127</v>
      </c>
    </row>
    <row r="551" spans="1:14" ht="14.5">
      <c r="A551" s="6">
        <v>45526</v>
      </c>
      <c r="B551" s="47" t="s">
        <v>16</v>
      </c>
      <c r="C551" s="7">
        <v>5</v>
      </c>
      <c r="D551" s="8">
        <v>5.5555555555555558E-3</v>
      </c>
      <c r="E551" s="58">
        <f t="shared" si="0"/>
        <v>2.777777777777778E-2</v>
      </c>
      <c r="F551" s="10">
        <v>0.68531249999999999</v>
      </c>
      <c r="G551" s="10">
        <v>0.70886574074074071</v>
      </c>
      <c r="H551" s="8">
        <f t="shared" si="77"/>
        <v>2.3553240740740722E-2</v>
      </c>
      <c r="I551" s="11">
        <f t="shared" si="2"/>
        <v>0.71309027777777778</v>
      </c>
      <c r="J551" s="8"/>
      <c r="K551" s="8"/>
      <c r="L551" s="8" t="str">
        <f t="shared" si="118"/>
        <v xml:space="preserve"> </v>
      </c>
      <c r="M551" s="12"/>
      <c r="N551" s="13">
        <f t="shared" si="4"/>
        <v>1.1793611793611805</v>
      </c>
    </row>
    <row r="552" spans="1:14" ht="14.5">
      <c r="A552" s="6">
        <v>45527</v>
      </c>
      <c r="B552" s="47" t="s">
        <v>16</v>
      </c>
      <c r="C552" s="7">
        <v>8</v>
      </c>
      <c r="D552" s="8">
        <v>5.5555555555555558E-3</v>
      </c>
      <c r="E552" s="58">
        <f t="shared" si="0"/>
        <v>4.4444444444444446E-2</v>
      </c>
      <c r="F552" s="10">
        <v>0.41659722222222217</v>
      </c>
      <c r="G552" s="10">
        <v>0.47972222222222222</v>
      </c>
      <c r="H552" s="8">
        <f t="shared" si="77"/>
        <v>4.0011574074074116E-2</v>
      </c>
      <c r="I552" s="11">
        <f t="shared" si="2"/>
        <v>0.48415509259259254</v>
      </c>
      <c r="J552" s="8"/>
      <c r="K552" s="8"/>
      <c r="L552" s="8">
        <v>2.3113425925925926E-2</v>
      </c>
      <c r="M552" s="12"/>
      <c r="N552" s="13">
        <f t="shared" si="4"/>
        <v>1.1107897020538027</v>
      </c>
    </row>
    <row r="553" spans="1:14" ht="14.5">
      <c r="A553" s="6">
        <v>45527</v>
      </c>
      <c r="B553" s="47" t="s">
        <v>16</v>
      </c>
      <c r="C553" s="7">
        <v>6</v>
      </c>
      <c r="D553" s="8">
        <v>5.5555555555555558E-3</v>
      </c>
      <c r="E553" s="58">
        <f t="shared" si="0"/>
        <v>3.3333333333333333E-2</v>
      </c>
      <c r="F553" s="10">
        <v>0.68232638888888886</v>
      </c>
      <c r="G553" s="10">
        <v>0.71032407407407405</v>
      </c>
      <c r="H553" s="8">
        <f t="shared" si="77"/>
        <v>2.7997685185185195E-2</v>
      </c>
      <c r="I553" s="11">
        <f t="shared" si="2"/>
        <v>0.71565972222222218</v>
      </c>
      <c r="J553" s="8"/>
      <c r="K553" s="8"/>
      <c r="L553" s="8" t="str">
        <f t="shared" ref="L553:L555" si="119">IF(OR(J553=0,K553=0)," ",K553-J553)</f>
        <v xml:space="preserve"> </v>
      </c>
      <c r="M553" s="12"/>
      <c r="N553" s="13">
        <f t="shared" si="4"/>
        <v>1.1905746176105825</v>
      </c>
    </row>
    <row r="554" spans="1:14" ht="14.5">
      <c r="A554" s="6">
        <v>45531</v>
      </c>
      <c r="B554" s="47" t="s">
        <v>42</v>
      </c>
      <c r="C554" s="7">
        <v>1</v>
      </c>
      <c r="D554" s="8">
        <v>6.9444444444444441E-3</v>
      </c>
      <c r="E554" s="58">
        <f t="shared" si="0"/>
        <v>6.9444444444444441E-3</v>
      </c>
      <c r="F554" s="10">
        <v>0.33704861111111106</v>
      </c>
      <c r="G554" s="10">
        <v>0.34380787037037042</v>
      </c>
      <c r="H554" s="8">
        <f t="shared" si="77"/>
        <v>6.7592592592593537E-3</v>
      </c>
      <c r="I554" s="11">
        <f t="shared" si="2"/>
        <v>0.34399305555555548</v>
      </c>
      <c r="J554" s="8"/>
      <c r="K554" s="8"/>
      <c r="L554" s="8" t="str">
        <f t="shared" si="119"/>
        <v xml:space="preserve"> </v>
      </c>
      <c r="M554" s="12"/>
      <c r="N554" s="13">
        <f t="shared" si="4"/>
        <v>1.0273972602739583</v>
      </c>
    </row>
    <row r="555" spans="1:14" ht="14.5">
      <c r="A555" s="6">
        <v>45531</v>
      </c>
      <c r="B555" s="47" t="s">
        <v>16</v>
      </c>
      <c r="C555" s="7">
        <v>3</v>
      </c>
      <c r="D555" s="8">
        <v>5.5555555555555558E-3</v>
      </c>
      <c r="E555" s="58">
        <f t="shared" si="0"/>
        <v>1.6666666666666666E-2</v>
      </c>
      <c r="F555" s="10">
        <v>0.34380787037037042</v>
      </c>
      <c r="G555" s="10">
        <v>0.3600578703703704</v>
      </c>
      <c r="H555" s="8">
        <f t="shared" si="77"/>
        <v>1.6249999999999987E-2</v>
      </c>
      <c r="I555" s="11">
        <f t="shared" si="2"/>
        <v>0.36047453703703708</v>
      </c>
      <c r="J555" s="8"/>
      <c r="K555" s="8"/>
      <c r="L555" s="8" t="str">
        <f t="shared" si="119"/>
        <v xml:space="preserve"> </v>
      </c>
      <c r="M555" s="12"/>
      <c r="N555" s="13">
        <f t="shared" si="4"/>
        <v>1.0256410256410264</v>
      </c>
    </row>
    <row r="556" spans="1:14" ht="14.5">
      <c r="A556" s="6">
        <v>45531</v>
      </c>
      <c r="B556" s="47" t="s">
        <v>43</v>
      </c>
      <c r="C556" s="7">
        <v>1</v>
      </c>
      <c r="D556" s="8">
        <v>3.4722222222222224E-2</v>
      </c>
      <c r="E556" s="58">
        <f t="shared" si="0"/>
        <v>3.4722222222222224E-2</v>
      </c>
      <c r="F556" s="10">
        <v>0.3872106481481481</v>
      </c>
      <c r="G556" s="10">
        <v>0.4290046296296296</v>
      </c>
      <c r="H556" s="8">
        <f t="shared" si="77"/>
        <v>2.9895833333333351E-2</v>
      </c>
      <c r="I556" s="11">
        <f t="shared" si="2"/>
        <v>0.43383101851851846</v>
      </c>
      <c r="J556" s="8"/>
      <c r="K556" s="8"/>
      <c r="L556" s="8">
        <v>1.1898148148148149E-2</v>
      </c>
      <c r="M556" s="12"/>
      <c r="N556" s="13">
        <f t="shared" si="4"/>
        <v>1.1614401858304291</v>
      </c>
    </row>
    <row r="557" spans="1:14" ht="14.5">
      <c r="A557" s="6">
        <v>45531</v>
      </c>
      <c r="B557" s="47" t="s">
        <v>63</v>
      </c>
      <c r="C557" s="7">
        <v>1</v>
      </c>
      <c r="D557" s="8">
        <v>3.4722222222222224E-2</v>
      </c>
      <c r="E557" s="58">
        <f t="shared" si="0"/>
        <v>3.4722222222222224E-2</v>
      </c>
      <c r="F557" s="10">
        <v>0.4290046296296296</v>
      </c>
      <c r="G557" s="10">
        <v>0.4912037037037037</v>
      </c>
      <c r="H557" s="8">
        <f t="shared" si="77"/>
        <v>3.0208333333333358E-2</v>
      </c>
      <c r="I557" s="11">
        <f t="shared" si="2"/>
        <v>0.49571759259259257</v>
      </c>
      <c r="J557" s="8"/>
      <c r="K557" s="8"/>
      <c r="L557" s="8">
        <v>3.1990740740740743E-2</v>
      </c>
      <c r="M557" s="18"/>
      <c r="N557" s="13">
        <f t="shared" si="4"/>
        <v>1.1494252873563209</v>
      </c>
    </row>
    <row r="558" spans="1:14" ht="14.5">
      <c r="A558" s="6">
        <v>45531</v>
      </c>
      <c r="B558" s="47" t="s">
        <v>83</v>
      </c>
      <c r="C558" s="7">
        <v>1</v>
      </c>
      <c r="D558" s="8">
        <v>1.0416666666666666E-2</v>
      </c>
      <c r="E558" s="58">
        <f t="shared" si="0"/>
        <v>1.0416666666666666E-2</v>
      </c>
      <c r="F558" s="10">
        <f t="shared" ref="F558:F559" si="120">G557</f>
        <v>0.4912037037037037</v>
      </c>
      <c r="G558" s="10">
        <v>0.50134259259259262</v>
      </c>
      <c r="H558" s="8">
        <f t="shared" si="77"/>
        <v>1.0138888888888919E-2</v>
      </c>
      <c r="I558" s="11">
        <f t="shared" si="2"/>
        <v>0.50162037037037033</v>
      </c>
      <c r="J558" s="8"/>
      <c r="K558" s="8"/>
      <c r="L558" s="8"/>
      <c r="M558" s="18"/>
      <c r="N558" s="13">
        <f t="shared" si="4"/>
        <v>1.0273972602739694</v>
      </c>
    </row>
    <row r="559" spans="1:14" ht="14.5">
      <c r="A559" s="6">
        <v>45531</v>
      </c>
      <c r="B559" s="47" t="s">
        <v>86</v>
      </c>
      <c r="C559" s="7">
        <v>20</v>
      </c>
      <c r="D559" s="8">
        <v>1.3888888888888889E-3</v>
      </c>
      <c r="E559" s="58">
        <f t="shared" si="0"/>
        <v>2.777777777777778E-2</v>
      </c>
      <c r="F559" s="10">
        <f t="shared" si="120"/>
        <v>0.50134259259259262</v>
      </c>
      <c r="G559" s="10">
        <v>0.52464120370370371</v>
      </c>
      <c r="H559" s="8">
        <f t="shared" si="77"/>
        <v>2.3298611111111089E-2</v>
      </c>
      <c r="I559" s="11">
        <f t="shared" si="2"/>
        <v>0.52912037037037041</v>
      </c>
      <c r="J559" s="8"/>
      <c r="K559" s="8"/>
      <c r="L559" s="8" t="str">
        <f t="shared" ref="L559:L565" si="121">IF(OR(J559=0,K559=0)," ",K559-J559)</f>
        <v xml:space="preserve"> </v>
      </c>
      <c r="M559" s="12"/>
      <c r="N559" s="13">
        <f t="shared" si="4"/>
        <v>1.1922503725782427</v>
      </c>
    </row>
    <row r="560" spans="1:14" ht="14.5">
      <c r="A560" s="6">
        <v>45531</v>
      </c>
      <c r="B560" s="47" t="s">
        <v>86</v>
      </c>
      <c r="C560" s="7">
        <v>17</v>
      </c>
      <c r="D560" s="8">
        <v>1.3888888888888889E-3</v>
      </c>
      <c r="E560" s="58">
        <f t="shared" si="0"/>
        <v>2.361111111111111E-2</v>
      </c>
      <c r="F560" s="10">
        <v>0.54899305555555555</v>
      </c>
      <c r="G560" s="10">
        <v>0.57160879629629635</v>
      </c>
      <c r="H560" s="8">
        <f t="shared" si="77"/>
        <v>2.2615740740740797E-2</v>
      </c>
      <c r="I560" s="11">
        <f t="shared" si="2"/>
        <v>0.57260416666666669</v>
      </c>
      <c r="J560" s="8"/>
      <c r="K560" s="8"/>
      <c r="L560" s="8" t="str">
        <f t="shared" si="121"/>
        <v xml:space="preserve"> </v>
      </c>
      <c r="M560" s="12"/>
      <c r="N560" s="13">
        <f t="shared" si="4"/>
        <v>1.0440122824974385</v>
      </c>
    </row>
    <row r="561" spans="1:14" ht="14.5">
      <c r="A561" s="6">
        <v>45531</v>
      </c>
      <c r="B561" s="47" t="s">
        <v>105</v>
      </c>
      <c r="C561" s="7">
        <v>2</v>
      </c>
      <c r="D561" s="8">
        <v>1.736111111111111E-3</v>
      </c>
      <c r="E561" s="58">
        <f t="shared" si="0"/>
        <v>3.472222222222222E-3</v>
      </c>
      <c r="F561" s="10">
        <f t="shared" ref="F561:F563" si="122">G560</f>
        <v>0.57160879629629635</v>
      </c>
      <c r="G561" s="10">
        <v>0.57489583333333338</v>
      </c>
      <c r="H561" s="8">
        <f t="shared" si="77"/>
        <v>3.2870370370370328E-3</v>
      </c>
      <c r="I561" s="11">
        <f t="shared" si="2"/>
        <v>0.57508101851851856</v>
      </c>
      <c r="J561" s="8"/>
      <c r="K561" s="8"/>
      <c r="L561" s="8" t="str">
        <f t="shared" si="121"/>
        <v xml:space="preserve"> </v>
      </c>
      <c r="M561" s="12"/>
      <c r="N561" s="13">
        <f t="shared" si="4"/>
        <v>1.0563380281690153</v>
      </c>
    </row>
    <row r="562" spans="1:14" ht="14.5">
      <c r="A562" s="6">
        <v>45531</v>
      </c>
      <c r="B562" s="47" t="s">
        <v>127</v>
      </c>
      <c r="C562" s="7">
        <v>1</v>
      </c>
      <c r="D562" s="8">
        <v>3.472222222222222E-3</v>
      </c>
      <c r="E562" s="58">
        <f t="shared" si="0"/>
        <v>3.472222222222222E-3</v>
      </c>
      <c r="F562" s="10">
        <f t="shared" si="122"/>
        <v>0.57489583333333338</v>
      </c>
      <c r="G562" s="10">
        <v>0.57800925925925928</v>
      </c>
      <c r="H562" s="8">
        <f t="shared" si="77"/>
        <v>3.1134259259258945E-3</v>
      </c>
      <c r="I562" s="11">
        <f t="shared" si="2"/>
        <v>0.57836805555555559</v>
      </c>
      <c r="J562" s="8"/>
      <c r="K562" s="8"/>
      <c r="L562" s="8" t="str">
        <f t="shared" si="121"/>
        <v xml:space="preserve"> </v>
      </c>
      <c r="M562" s="12"/>
      <c r="N562" s="13">
        <f t="shared" si="4"/>
        <v>1.1152416356877435</v>
      </c>
    </row>
    <row r="563" spans="1:14" ht="14.5">
      <c r="A563" s="6">
        <v>45531</v>
      </c>
      <c r="B563" s="47" t="s">
        <v>106</v>
      </c>
      <c r="C563" s="7">
        <v>1</v>
      </c>
      <c r="D563" s="8">
        <v>2.0833333333333333E-3</v>
      </c>
      <c r="E563" s="58">
        <f t="shared" si="0"/>
        <v>2.0833333333333333E-3</v>
      </c>
      <c r="F563" s="10">
        <f t="shared" si="122"/>
        <v>0.57800925925925928</v>
      </c>
      <c r="G563" s="10">
        <v>0.57990740740740743</v>
      </c>
      <c r="H563" s="8">
        <f t="shared" si="77"/>
        <v>1.8981481481481488E-3</v>
      </c>
      <c r="I563" s="11">
        <f t="shared" si="2"/>
        <v>0.5800925925925926</v>
      </c>
      <c r="J563" s="8"/>
      <c r="K563" s="8"/>
      <c r="L563" s="8" t="str">
        <f t="shared" si="121"/>
        <v xml:space="preserve"> </v>
      </c>
      <c r="M563" s="12"/>
      <c r="N563" s="13">
        <f t="shared" si="4"/>
        <v>1.0975609756097557</v>
      </c>
    </row>
    <row r="564" spans="1:14" ht="14.5">
      <c r="A564" s="6">
        <v>45531</v>
      </c>
      <c r="B564" s="47" t="s">
        <v>105</v>
      </c>
      <c r="C564" s="7">
        <v>8</v>
      </c>
      <c r="D564" s="8">
        <v>1.736111111111111E-3</v>
      </c>
      <c r="E564" s="58">
        <f t="shared" si="0"/>
        <v>1.3888888888888888E-2</v>
      </c>
      <c r="F564" s="10">
        <v>0.59159722222222222</v>
      </c>
      <c r="G564" s="10">
        <v>0.60473379629629631</v>
      </c>
      <c r="H564" s="8">
        <f t="shared" si="77"/>
        <v>1.3136574074074092E-2</v>
      </c>
      <c r="I564" s="11">
        <f t="shared" si="2"/>
        <v>0.60548611111111106</v>
      </c>
      <c r="J564" s="8"/>
      <c r="K564" s="8"/>
      <c r="L564" s="8" t="str">
        <f t="shared" si="121"/>
        <v xml:space="preserve"> </v>
      </c>
      <c r="M564" s="12"/>
      <c r="N564" s="13">
        <f t="shared" si="4"/>
        <v>1.0572687224669588</v>
      </c>
    </row>
    <row r="565" spans="1:14" ht="14.5">
      <c r="A565" s="6">
        <v>45531</v>
      </c>
      <c r="B565" s="47" t="s">
        <v>106</v>
      </c>
      <c r="C565" s="7">
        <v>8</v>
      </c>
      <c r="D565" s="8">
        <v>2.0833333333333333E-3</v>
      </c>
      <c r="E565" s="58">
        <f t="shared" si="0"/>
        <v>1.6666666666666666E-2</v>
      </c>
      <c r="F565" s="10">
        <f t="shared" ref="F565:F566" si="123">G564</f>
        <v>0.60473379629629631</v>
      </c>
      <c r="G565" s="10">
        <v>0.61966435185185187</v>
      </c>
      <c r="H565" s="8">
        <f t="shared" si="77"/>
        <v>1.4930555555555558E-2</v>
      </c>
      <c r="I565" s="11">
        <f t="shared" si="2"/>
        <v>0.62140046296296303</v>
      </c>
      <c r="J565" s="8"/>
      <c r="K565" s="8"/>
      <c r="L565" s="8" t="str">
        <f t="shared" si="121"/>
        <v xml:space="preserve"> </v>
      </c>
      <c r="M565" s="18"/>
      <c r="N565" s="13">
        <f t="shared" si="4"/>
        <v>1.1162790697674416</v>
      </c>
    </row>
    <row r="566" spans="1:14" ht="14.5">
      <c r="A566" s="6">
        <v>45531</v>
      </c>
      <c r="B566" s="47" t="s">
        <v>16</v>
      </c>
      <c r="C566" s="7">
        <v>13</v>
      </c>
      <c r="D566" s="8">
        <v>5.5555555555555558E-3</v>
      </c>
      <c r="E566" s="58">
        <f t="shared" si="0"/>
        <v>7.2222222222222229E-2</v>
      </c>
      <c r="F566" s="10">
        <f t="shared" si="123"/>
        <v>0.61966435185185187</v>
      </c>
      <c r="G566" s="10">
        <v>0.70021990740740736</v>
      </c>
      <c r="H566" s="8">
        <f t="shared" si="77"/>
        <v>6.6145833333333265E-2</v>
      </c>
      <c r="I566" s="11">
        <f t="shared" si="2"/>
        <v>0.70629629629629631</v>
      </c>
      <c r="J566" s="8"/>
      <c r="K566" s="8"/>
      <c r="L566" s="8">
        <v>1.4409722222222223E-2</v>
      </c>
      <c r="M566" s="12"/>
      <c r="N566" s="13">
        <f t="shared" si="4"/>
        <v>1.0918635170603688</v>
      </c>
    </row>
    <row r="567" spans="1:14" ht="14.5">
      <c r="A567" s="6">
        <v>45532</v>
      </c>
      <c r="B567" s="47" t="s">
        <v>85</v>
      </c>
      <c r="C567" s="7">
        <v>1</v>
      </c>
      <c r="D567" s="8">
        <v>0.11458333333333333</v>
      </c>
      <c r="E567" s="58">
        <f t="shared" si="0"/>
        <v>0.11458333333333333</v>
      </c>
      <c r="F567" s="10">
        <v>0.49194444444444441</v>
      </c>
      <c r="G567" s="10">
        <v>0.59642361111111108</v>
      </c>
      <c r="H567" s="8">
        <f t="shared" si="77"/>
        <v>0.10447916666666668</v>
      </c>
      <c r="I567" s="11">
        <f t="shared" si="2"/>
        <v>0.60652777777777778</v>
      </c>
      <c r="J567" s="8"/>
      <c r="K567" s="8"/>
      <c r="L567" s="8" t="str">
        <f t="shared" ref="L567:L568" si="124">IF(OR(J567=0,K567=0)," ",K567-J567)</f>
        <v xml:space="preserve"> </v>
      </c>
      <c r="M567" s="12"/>
      <c r="N567" s="13">
        <f t="shared" si="4"/>
        <v>1.0967098703888334</v>
      </c>
    </row>
    <row r="568" spans="1:14" ht="14.5">
      <c r="A568" s="6">
        <v>45532</v>
      </c>
      <c r="B568" s="47" t="s">
        <v>44</v>
      </c>
      <c r="C568" s="7">
        <v>5</v>
      </c>
      <c r="D568" s="8">
        <v>3.472222222222222E-3</v>
      </c>
      <c r="E568" s="58">
        <f t="shared" si="0"/>
        <v>1.7361111111111112E-2</v>
      </c>
      <c r="F568" s="10">
        <f t="shared" ref="F568:F570" si="125">G567</f>
        <v>0.59642361111111108</v>
      </c>
      <c r="G568" s="10">
        <v>0.61182870370370368</v>
      </c>
      <c r="H568" s="8">
        <f t="shared" si="77"/>
        <v>1.5405092592592595E-2</v>
      </c>
      <c r="I568" s="11">
        <f t="shared" si="2"/>
        <v>0.61378472222222225</v>
      </c>
      <c r="J568" s="8"/>
      <c r="K568" s="8"/>
      <c r="L568" s="8" t="str">
        <f t="shared" si="124"/>
        <v xml:space="preserve"> </v>
      </c>
      <c r="M568" s="12"/>
      <c r="N568" s="13">
        <f t="shared" si="4"/>
        <v>1.1269722013523664</v>
      </c>
    </row>
    <row r="569" spans="1:14" ht="14.5">
      <c r="A569" s="6">
        <v>45532</v>
      </c>
      <c r="B569" s="47" t="s">
        <v>84</v>
      </c>
      <c r="C569" s="7">
        <v>1</v>
      </c>
      <c r="D569" s="8">
        <v>7.6388888888888895E-2</v>
      </c>
      <c r="E569" s="58">
        <f t="shared" si="0"/>
        <v>7.6388888888888895E-2</v>
      </c>
      <c r="F569" s="8">
        <f t="shared" si="125"/>
        <v>0.61182870370370368</v>
      </c>
      <c r="G569" s="50">
        <v>0.70025462962962959</v>
      </c>
      <c r="H569" s="8">
        <f t="shared" si="77"/>
        <v>7.2893518518518496E-2</v>
      </c>
      <c r="I569" s="11">
        <f t="shared" si="2"/>
        <v>0.70374999999999999</v>
      </c>
      <c r="J569" s="8"/>
      <c r="K569" s="8"/>
      <c r="L569" s="8">
        <v>1.5532407407407408E-2</v>
      </c>
      <c r="M569" s="12"/>
      <c r="N569" s="13">
        <f t="shared" si="4"/>
        <v>1.0479517307081618</v>
      </c>
    </row>
    <row r="570" spans="1:14" ht="14.5">
      <c r="A570" s="6">
        <v>45532</v>
      </c>
      <c r="B570" s="47" t="s">
        <v>48</v>
      </c>
      <c r="C570" s="7">
        <v>11</v>
      </c>
      <c r="D570" s="8">
        <v>1.736111111111111E-3</v>
      </c>
      <c r="E570" s="58">
        <f t="shared" si="0"/>
        <v>1.909722222222222E-2</v>
      </c>
      <c r="F570" s="50">
        <f t="shared" si="125"/>
        <v>0.70025462962962959</v>
      </c>
      <c r="G570" s="10">
        <v>0.71741898148148153</v>
      </c>
      <c r="H570" s="8">
        <f t="shared" si="77"/>
        <v>1.7164351851851944E-2</v>
      </c>
      <c r="I570" s="11">
        <f t="shared" si="2"/>
        <v>0.7193518518518518</v>
      </c>
      <c r="J570" s="8"/>
      <c r="K570" s="8"/>
      <c r="L570" s="8" t="str">
        <f t="shared" ref="L570:L572" si="126">IF(OR(J570=0,K570=0)," ",K570-J570)</f>
        <v xml:space="preserve"> </v>
      </c>
      <c r="M570" s="12"/>
      <c r="N570" s="13">
        <f t="shared" si="4"/>
        <v>1.1126095751854288</v>
      </c>
    </row>
    <row r="571" spans="1:14" ht="14.5">
      <c r="A571" s="6">
        <v>45533</v>
      </c>
      <c r="B571" s="47" t="s">
        <v>42</v>
      </c>
      <c r="C571" s="7">
        <v>1</v>
      </c>
      <c r="D571" s="8">
        <v>6.9444444444444441E-3</v>
      </c>
      <c r="E571" s="58">
        <f t="shared" si="0"/>
        <v>6.9444444444444441E-3</v>
      </c>
      <c r="F571" s="10">
        <v>0.33468750000000003</v>
      </c>
      <c r="G571" s="10">
        <v>0.34114583333333337</v>
      </c>
      <c r="H571" s="8">
        <f t="shared" si="77"/>
        <v>6.4583333333333437E-3</v>
      </c>
      <c r="I571" s="11">
        <f t="shared" si="2"/>
        <v>0.34163194444444445</v>
      </c>
      <c r="J571" s="8"/>
      <c r="K571" s="8"/>
      <c r="L571" s="8" t="str">
        <f t="shared" si="126"/>
        <v xml:space="preserve"> </v>
      </c>
      <c r="M571" s="12"/>
      <c r="N571" s="13">
        <f t="shared" si="4"/>
        <v>1.0752688172042992</v>
      </c>
    </row>
    <row r="572" spans="1:14" ht="14.5">
      <c r="A572" s="6">
        <v>45533</v>
      </c>
      <c r="B572" s="47" t="s">
        <v>43</v>
      </c>
      <c r="C572" s="7">
        <v>1</v>
      </c>
      <c r="D572" s="8">
        <v>3.4722222222222224E-2</v>
      </c>
      <c r="E572" s="58">
        <f t="shared" si="0"/>
        <v>3.4722222222222224E-2</v>
      </c>
      <c r="F572" s="10">
        <f t="shared" ref="F572:F576" si="127">G571</f>
        <v>0.34114583333333337</v>
      </c>
      <c r="G572" s="10">
        <v>0.37289351851851854</v>
      </c>
      <c r="H572" s="8">
        <f t="shared" si="77"/>
        <v>3.174768518518517E-2</v>
      </c>
      <c r="I572" s="11">
        <f t="shared" si="2"/>
        <v>0.37586805555555558</v>
      </c>
      <c r="J572" s="8"/>
      <c r="K572" s="8"/>
      <c r="L572" s="8" t="str">
        <f t="shared" si="126"/>
        <v xml:space="preserve"> </v>
      </c>
      <c r="M572" s="12"/>
      <c r="N572" s="13">
        <f t="shared" si="4"/>
        <v>1.0936930368209994</v>
      </c>
    </row>
    <row r="573" spans="1:14" ht="14.5">
      <c r="A573" s="6">
        <v>45533</v>
      </c>
      <c r="B573" s="47" t="s">
        <v>27</v>
      </c>
      <c r="C573" s="7">
        <v>85</v>
      </c>
      <c r="D573" s="8">
        <v>1.3888888888888889E-3</v>
      </c>
      <c r="E573" s="58">
        <f t="shared" si="0"/>
        <v>0.11805555555555557</v>
      </c>
      <c r="F573" s="10">
        <f t="shared" si="127"/>
        <v>0.37289351851851854</v>
      </c>
      <c r="G573" s="10">
        <v>0.54767361111111112</v>
      </c>
      <c r="H573" s="8">
        <f t="shared" si="77"/>
        <v>0.10706018518518517</v>
      </c>
      <c r="I573" s="11">
        <f t="shared" si="2"/>
        <v>0.55866898148148159</v>
      </c>
      <c r="J573" s="8"/>
      <c r="K573" s="8"/>
      <c r="L573" s="8">
        <v>6.7719907407407409E-2</v>
      </c>
      <c r="M573" s="18" t="s">
        <v>157</v>
      </c>
      <c r="N573" s="13">
        <f t="shared" si="4"/>
        <v>1.102702702702703</v>
      </c>
    </row>
    <row r="574" spans="1:14" ht="14.5">
      <c r="A574" s="6">
        <v>45533</v>
      </c>
      <c r="B574" s="47" t="s">
        <v>93</v>
      </c>
      <c r="C574" s="7">
        <v>3</v>
      </c>
      <c r="D574" s="8">
        <v>6.9444444444444441E-3</v>
      </c>
      <c r="E574" s="58">
        <f t="shared" si="0"/>
        <v>2.0833333333333332E-2</v>
      </c>
      <c r="F574" s="10">
        <f t="shared" si="127"/>
        <v>0.54767361111111112</v>
      </c>
      <c r="G574" s="10">
        <v>0.56567129629629631</v>
      </c>
      <c r="H574" s="8">
        <f t="shared" si="77"/>
        <v>1.7997685185185186E-2</v>
      </c>
      <c r="I574" s="11">
        <f t="shared" si="2"/>
        <v>0.5685069444444445</v>
      </c>
      <c r="J574" s="8"/>
      <c r="K574" s="8"/>
      <c r="L574" s="8" t="str">
        <f t="shared" ref="L574:L575" si="128">IF(OR(J574=0,K574=0)," ",K574-J574)</f>
        <v xml:space="preserve"> </v>
      </c>
      <c r="M574" s="12"/>
      <c r="N574" s="13">
        <f t="shared" si="4"/>
        <v>1.157556270096463</v>
      </c>
    </row>
    <row r="575" spans="1:14" ht="14.5">
      <c r="A575" s="6">
        <v>45533</v>
      </c>
      <c r="B575" s="47" t="s">
        <v>97</v>
      </c>
      <c r="C575" s="7">
        <v>10</v>
      </c>
      <c r="D575" s="8">
        <v>2.0833333333333333E-3</v>
      </c>
      <c r="E575" s="58">
        <f t="shared" si="0"/>
        <v>2.0833333333333332E-2</v>
      </c>
      <c r="F575" s="10">
        <f t="shared" si="127"/>
        <v>0.56567129629629631</v>
      </c>
      <c r="G575" s="10">
        <v>0.58490740740740743</v>
      </c>
      <c r="H575" s="8">
        <f t="shared" si="77"/>
        <v>1.923611111111112E-2</v>
      </c>
      <c r="I575" s="11">
        <f t="shared" si="2"/>
        <v>0.58650462962962968</v>
      </c>
      <c r="J575" s="8"/>
      <c r="K575" s="8"/>
      <c r="L575" s="8" t="str">
        <f t="shared" si="128"/>
        <v xml:space="preserve"> </v>
      </c>
      <c r="M575" s="12"/>
      <c r="N575" s="13">
        <f t="shared" si="4"/>
        <v>1.0830324909747286</v>
      </c>
    </row>
    <row r="576" spans="1:14" ht="14.5">
      <c r="A576" s="6">
        <v>45533</v>
      </c>
      <c r="B576" s="47" t="s">
        <v>65</v>
      </c>
      <c r="C576" s="7">
        <v>1</v>
      </c>
      <c r="D576" s="8">
        <v>2.0833333333333332E-2</v>
      </c>
      <c r="E576" s="58">
        <f t="shared" si="0"/>
        <v>2.0833333333333332E-2</v>
      </c>
      <c r="F576" s="10">
        <f t="shared" si="127"/>
        <v>0.58490740740740743</v>
      </c>
      <c r="G576" s="10">
        <v>0.71229166666666666</v>
      </c>
      <c r="H576" s="8">
        <f t="shared" si="77"/>
        <v>9.3518518518518487E-2</v>
      </c>
      <c r="I576" s="11">
        <f t="shared" si="2"/>
        <v>0.63960648148148158</v>
      </c>
      <c r="J576" s="8"/>
      <c r="K576" s="8"/>
      <c r="L576" s="8">
        <v>3.3865740740740738E-2</v>
      </c>
      <c r="M576" s="12"/>
      <c r="N576" s="13">
        <f t="shared" si="4"/>
        <v>0.22277227722772283</v>
      </c>
    </row>
    <row r="577" spans="1:14" ht="14.5">
      <c r="A577" s="6">
        <v>45534</v>
      </c>
      <c r="B577" s="47" t="s">
        <v>28</v>
      </c>
      <c r="C577" s="7">
        <v>67</v>
      </c>
      <c r="D577" s="8">
        <v>1.3888888888888889E-3</v>
      </c>
      <c r="E577" s="58">
        <f t="shared" si="0"/>
        <v>9.3055555555555558E-2</v>
      </c>
      <c r="F577" s="10">
        <v>0.33089120370370373</v>
      </c>
      <c r="G577" s="10">
        <v>0.43805555555555553</v>
      </c>
      <c r="H577" s="8">
        <f t="shared" si="77"/>
        <v>8.3819444444444391E-2</v>
      </c>
      <c r="I577" s="11">
        <f t="shared" si="2"/>
        <v>0.4472916666666667</v>
      </c>
      <c r="J577" s="8"/>
      <c r="K577" s="8"/>
      <c r="L577" s="8">
        <v>2.3344907407407408E-2</v>
      </c>
      <c r="M577" s="18" t="s">
        <v>158</v>
      </c>
      <c r="N577" s="13">
        <f t="shared" si="4"/>
        <v>1.1101905550952782</v>
      </c>
    </row>
    <row r="578" spans="1:14" ht="14.5">
      <c r="A578" s="6">
        <v>45534</v>
      </c>
      <c r="B578" s="47" t="s">
        <v>38</v>
      </c>
      <c r="C578" s="7">
        <v>36</v>
      </c>
      <c r="D578" s="8">
        <v>2.7777777777777779E-3</v>
      </c>
      <c r="E578" s="58">
        <f t="shared" si="0"/>
        <v>0.1</v>
      </c>
      <c r="F578" s="10">
        <f t="shared" ref="F578:F579" si="129">G577</f>
        <v>0.43805555555555553</v>
      </c>
      <c r="G578" s="10">
        <v>0.55599537037037039</v>
      </c>
      <c r="H578" s="8">
        <f t="shared" si="77"/>
        <v>9.1701388888888929E-2</v>
      </c>
      <c r="I578" s="11">
        <f t="shared" si="2"/>
        <v>0.56429398148148147</v>
      </c>
      <c r="J578" s="8"/>
      <c r="K578" s="8"/>
      <c r="L578" s="8">
        <v>2.6238425925925925E-2</v>
      </c>
      <c r="M578" s="18" t="s">
        <v>159</v>
      </c>
      <c r="N578" s="13">
        <f t="shared" si="4"/>
        <v>1.0904960242332447</v>
      </c>
    </row>
    <row r="579" spans="1:14" ht="14.5">
      <c r="A579" s="6">
        <v>45534</v>
      </c>
      <c r="B579" s="47" t="s">
        <v>38</v>
      </c>
      <c r="C579" s="7">
        <v>50</v>
      </c>
      <c r="D579" s="8">
        <v>2.7777777777777779E-3</v>
      </c>
      <c r="E579" s="58">
        <f t="shared" si="0"/>
        <v>0.1388888888888889</v>
      </c>
      <c r="F579" s="10">
        <f t="shared" si="129"/>
        <v>0.55599537037037039</v>
      </c>
      <c r="G579" s="10">
        <v>0.70833333333333337</v>
      </c>
      <c r="H579" s="8">
        <f t="shared" si="77"/>
        <v>0.12357638888888889</v>
      </c>
      <c r="I579" s="11">
        <f t="shared" si="2"/>
        <v>0.72364583333333332</v>
      </c>
      <c r="J579" s="8"/>
      <c r="K579" s="8"/>
      <c r="L579" s="8">
        <v>2.8761574074074092E-2</v>
      </c>
      <c r="M579" s="18" t="s">
        <v>160</v>
      </c>
      <c r="N579" s="13">
        <f t="shared" si="4"/>
        <v>1.1239112110143299</v>
      </c>
    </row>
    <row r="580" spans="1:14" ht="14.5">
      <c r="A580" s="6">
        <v>45537</v>
      </c>
      <c r="B580" s="47" t="s">
        <v>16</v>
      </c>
      <c r="C580" s="7">
        <v>8</v>
      </c>
      <c r="D580" s="8">
        <v>5.5555555555555558E-3</v>
      </c>
      <c r="E580" s="58">
        <f t="shared" si="0"/>
        <v>4.4444444444444446E-2</v>
      </c>
      <c r="F580" s="10">
        <v>0.33663194444444444</v>
      </c>
      <c r="G580" s="8">
        <v>0.37736111111111115</v>
      </c>
      <c r="H580" s="8">
        <f t="shared" si="77"/>
        <v>4.0729166666666705E-2</v>
      </c>
      <c r="I580" s="11">
        <f t="shared" si="2"/>
        <v>0.3810763888888889</v>
      </c>
      <c r="J580" s="8"/>
      <c r="K580" s="8"/>
      <c r="L580" s="8"/>
      <c r="M580" s="18"/>
      <c r="N580" s="13">
        <f t="shared" si="4"/>
        <v>1.0912190963341848</v>
      </c>
    </row>
    <row r="581" spans="1:14" ht="14.5">
      <c r="A581" s="6">
        <v>45537</v>
      </c>
      <c r="B581" s="47" t="s">
        <v>42</v>
      </c>
      <c r="C581" s="7">
        <v>1</v>
      </c>
      <c r="D581" s="8">
        <v>6.9444444444444441E-3</v>
      </c>
      <c r="E581" s="58">
        <f t="shared" si="0"/>
        <v>6.9444444444444441E-3</v>
      </c>
      <c r="F581" s="8">
        <f t="shared" ref="F581:F584" si="130">G580</f>
        <v>0.37736111111111115</v>
      </c>
      <c r="G581" s="8">
        <v>0.38399305555555552</v>
      </c>
      <c r="H581" s="8">
        <f t="shared" si="77"/>
        <v>6.6319444444443709E-3</v>
      </c>
      <c r="I581" s="11">
        <f t="shared" si="2"/>
        <v>0.38430555555555557</v>
      </c>
      <c r="J581" s="8"/>
      <c r="K581" s="8"/>
      <c r="L581" s="8"/>
      <c r="M581" s="12"/>
      <c r="N581" s="13">
        <f t="shared" si="4"/>
        <v>1.0471204188481791</v>
      </c>
    </row>
    <row r="582" spans="1:14" ht="14.5">
      <c r="A582" s="6">
        <v>45537</v>
      </c>
      <c r="B582" s="47" t="s">
        <v>43</v>
      </c>
      <c r="C582" s="7">
        <v>1</v>
      </c>
      <c r="D582" s="8">
        <v>3.4722222222222224E-2</v>
      </c>
      <c r="E582" s="58">
        <f t="shared" si="0"/>
        <v>3.4722222222222224E-2</v>
      </c>
      <c r="F582" s="8">
        <f t="shared" si="130"/>
        <v>0.38399305555555552</v>
      </c>
      <c r="G582" s="8">
        <v>0.4254398148148148</v>
      </c>
      <c r="H582" s="8">
        <f t="shared" si="77"/>
        <v>3.1099537037037057E-2</v>
      </c>
      <c r="I582" s="11">
        <f t="shared" si="2"/>
        <v>0.42906249999999996</v>
      </c>
      <c r="J582" s="8"/>
      <c r="K582" s="8"/>
      <c r="L582" s="8">
        <v>1.0347222222222223E-2</v>
      </c>
      <c r="M582" s="12"/>
      <c r="N582" s="13">
        <f t="shared" si="4"/>
        <v>1.1164867882396718</v>
      </c>
    </row>
    <row r="583" spans="1:14" ht="14.5">
      <c r="A583" s="6">
        <v>45537</v>
      </c>
      <c r="B583" s="47" t="s">
        <v>38</v>
      </c>
      <c r="C583" s="7">
        <v>41</v>
      </c>
      <c r="D583" s="8">
        <v>2.7777777777777779E-3</v>
      </c>
      <c r="E583" s="58">
        <f t="shared" si="0"/>
        <v>0.11388888888888889</v>
      </c>
      <c r="F583" s="8">
        <f t="shared" si="130"/>
        <v>0.4254398148148148</v>
      </c>
      <c r="G583" s="10">
        <v>0.55420138888888892</v>
      </c>
      <c r="H583" s="8">
        <f t="shared" si="77"/>
        <v>0.10339120370370375</v>
      </c>
      <c r="I583" s="11">
        <f t="shared" si="2"/>
        <v>0.56469907407407405</v>
      </c>
      <c r="J583" s="8"/>
      <c r="K583" s="8"/>
      <c r="L583" s="8">
        <v>2.537037037037037E-2</v>
      </c>
      <c r="M583" s="12"/>
      <c r="N583" s="13">
        <f t="shared" si="4"/>
        <v>1.1015336393148993</v>
      </c>
    </row>
    <row r="584" spans="1:14" ht="14.5">
      <c r="A584" s="6">
        <v>45537</v>
      </c>
      <c r="B584" s="47" t="s">
        <v>85</v>
      </c>
      <c r="C584" s="7">
        <v>1</v>
      </c>
      <c r="D584" s="8">
        <v>0.11458333333333333</v>
      </c>
      <c r="E584" s="58">
        <f t="shared" si="0"/>
        <v>0.11458333333333333</v>
      </c>
      <c r="F584" s="10">
        <f t="shared" si="130"/>
        <v>0.55420138888888892</v>
      </c>
      <c r="G584" s="10">
        <v>0.71221064814814816</v>
      </c>
      <c r="H584" s="8">
        <f t="shared" si="77"/>
        <v>0.10854166666666665</v>
      </c>
      <c r="I584" s="11">
        <f t="shared" si="2"/>
        <v>0.71825231481481489</v>
      </c>
      <c r="J584" s="8"/>
      <c r="K584" s="8"/>
      <c r="L584" s="8">
        <v>4.9467592592592591E-2</v>
      </c>
      <c r="M584" s="12"/>
      <c r="N584" s="13">
        <f t="shared" si="4"/>
        <v>1.0556621880998083</v>
      </c>
    </row>
    <row r="585" spans="1:14" ht="14.5">
      <c r="A585" s="6">
        <v>45537</v>
      </c>
      <c r="B585" s="47" t="s">
        <v>50</v>
      </c>
      <c r="C585" s="7">
        <v>1</v>
      </c>
      <c r="D585" s="8">
        <v>1.0416666666666666E-2</v>
      </c>
      <c r="E585" s="58">
        <f t="shared" si="0"/>
        <v>1.0416666666666666E-2</v>
      </c>
      <c r="F585" s="10">
        <v>0.15069444444444446</v>
      </c>
      <c r="G585" s="10">
        <v>0.16064814814814815</v>
      </c>
      <c r="H585" s="8">
        <f t="shared" si="77"/>
        <v>9.9537037037036868E-3</v>
      </c>
      <c r="I585" s="11">
        <f t="shared" si="2"/>
        <v>0.16111111111111112</v>
      </c>
      <c r="J585" s="8"/>
      <c r="K585" s="8"/>
      <c r="L585" s="8"/>
      <c r="M585" s="18"/>
      <c r="N585" s="13">
        <f t="shared" si="4"/>
        <v>1.0465116279069784</v>
      </c>
    </row>
    <row r="586" spans="1:14" ht="14.5">
      <c r="A586" s="6">
        <v>45537</v>
      </c>
      <c r="B586" s="47" t="s">
        <v>51</v>
      </c>
      <c r="C586" s="7">
        <v>1</v>
      </c>
      <c r="D586" s="8">
        <v>1.0416666666666666E-2</v>
      </c>
      <c r="E586" s="58">
        <f t="shared" si="0"/>
        <v>1.0416666666666666E-2</v>
      </c>
      <c r="F586" s="10">
        <f t="shared" ref="F586:F587" si="131">G585</f>
        <v>0.16064814814814815</v>
      </c>
      <c r="G586" s="10">
        <v>0.17071759259259262</v>
      </c>
      <c r="H586" s="8">
        <f t="shared" si="77"/>
        <v>1.0069444444444464E-2</v>
      </c>
      <c r="I586" s="11">
        <f t="shared" si="2"/>
        <v>0.17106481481481481</v>
      </c>
      <c r="J586" s="8"/>
      <c r="K586" s="8"/>
      <c r="L586" s="8"/>
      <c r="M586" s="50"/>
      <c r="N586" s="13">
        <f t="shared" si="4"/>
        <v>1.0344827586206875</v>
      </c>
    </row>
    <row r="587" spans="1:14" ht="14.5">
      <c r="A587" s="6">
        <v>45537</v>
      </c>
      <c r="B587" s="47" t="s">
        <v>52</v>
      </c>
      <c r="C587" s="7">
        <v>1</v>
      </c>
      <c r="D587" s="8">
        <v>1.0416666666666666E-2</v>
      </c>
      <c r="E587" s="58">
        <f t="shared" si="0"/>
        <v>1.0416666666666666E-2</v>
      </c>
      <c r="F587" s="10">
        <f t="shared" si="131"/>
        <v>0.17071759259259262</v>
      </c>
      <c r="G587" s="10">
        <v>0.18011574074074072</v>
      </c>
      <c r="H587" s="8">
        <f t="shared" si="77"/>
        <v>9.3981481481481E-3</v>
      </c>
      <c r="I587" s="11">
        <f t="shared" si="2"/>
        <v>0.18113425925925927</v>
      </c>
      <c r="J587" s="8"/>
      <c r="K587" s="8"/>
      <c r="L587" s="8"/>
      <c r="M587" s="12"/>
      <c r="N587" s="13">
        <f t="shared" si="4"/>
        <v>1.1083743842364588</v>
      </c>
    </row>
    <row r="588" spans="1:14" ht="14.5">
      <c r="A588" s="6">
        <v>45538</v>
      </c>
      <c r="B588" s="47" t="s">
        <v>63</v>
      </c>
      <c r="C588" s="7">
        <v>1</v>
      </c>
      <c r="D588" s="8">
        <v>3.4722222222222224E-2</v>
      </c>
      <c r="E588" s="58">
        <f t="shared" si="0"/>
        <v>3.4722222222222224E-2</v>
      </c>
      <c r="F588" s="10">
        <v>0.33116898148148144</v>
      </c>
      <c r="G588" s="10">
        <v>0.36269675925925926</v>
      </c>
      <c r="H588" s="8">
        <f t="shared" si="77"/>
        <v>3.1527777777777821E-2</v>
      </c>
      <c r="I588" s="11">
        <f t="shared" si="2"/>
        <v>0.36589120370370365</v>
      </c>
      <c r="J588" s="8"/>
      <c r="K588" s="8"/>
      <c r="L588" s="8"/>
      <c r="M588" s="18"/>
      <c r="N588" s="13">
        <f t="shared" si="4"/>
        <v>1.1013215859030823</v>
      </c>
    </row>
    <row r="589" spans="1:14" ht="14.5">
      <c r="A589" s="6">
        <v>45538</v>
      </c>
      <c r="B589" s="47" t="s">
        <v>16</v>
      </c>
      <c r="C589" s="7">
        <v>15</v>
      </c>
      <c r="D589" s="8">
        <v>5.5555555555555558E-3</v>
      </c>
      <c r="E589" s="58">
        <f t="shared" si="0"/>
        <v>8.3333333333333343E-2</v>
      </c>
      <c r="F589" s="10">
        <f t="shared" ref="F589:F592" si="132">G588</f>
        <v>0.36269675925925926</v>
      </c>
      <c r="G589" s="10">
        <v>0.4453125</v>
      </c>
      <c r="H589" s="8">
        <f t="shared" si="77"/>
        <v>7.5752314814814814E-2</v>
      </c>
      <c r="I589" s="11">
        <f t="shared" si="2"/>
        <v>0.45289351851851856</v>
      </c>
      <c r="J589" s="8"/>
      <c r="K589" s="8"/>
      <c r="L589" s="8">
        <v>6.8634259259259256E-3</v>
      </c>
      <c r="M589" s="12"/>
      <c r="N589" s="13">
        <f t="shared" si="4"/>
        <v>1.1000763941940415</v>
      </c>
    </row>
    <row r="590" spans="1:14" ht="14.5">
      <c r="A590" s="6">
        <v>45538</v>
      </c>
      <c r="B590" s="47" t="s">
        <v>90</v>
      </c>
      <c r="C590" s="7">
        <v>1</v>
      </c>
      <c r="D590" s="8">
        <v>7.2916666666666671E-2</v>
      </c>
      <c r="E590" s="58">
        <f t="shared" si="0"/>
        <v>7.2916666666666671E-2</v>
      </c>
      <c r="F590" s="10">
        <f t="shared" si="132"/>
        <v>0.4453125</v>
      </c>
      <c r="G590" s="10">
        <v>0.53896990740740736</v>
      </c>
      <c r="H590" s="8">
        <f t="shared" si="77"/>
        <v>6.6863425925925868E-2</v>
      </c>
      <c r="I590" s="11">
        <f t="shared" si="2"/>
        <v>0.54502314814814812</v>
      </c>
      <c r="J590" s="8"/>
      <c r="K590" s="8"/>
      <c r="L590" s="8">
        <v>2.6793981481481481E-2</v>
      </c>
      <c r="M590" s="12"/>
      <c r="N590" s="13">
        <f t="shared" si="4"/>
        <v>1.0905314176908441</v>
      </c>
    </row>
    <row r="591" spans="1:14" ht="14.5">
      <c r="A591" s="6">
        <v>45538</v>
      </c>
      <c r="B591" s="47" t="s">
        <v>86</v>
      </c>
      <c r="C591" s="7">
        <v>11</v>
      </c>
      <c r="D591" s="8">
        <v>1.3888888888888889E-3</v>
      </c>
      <c r="E591" s="58">
        <f t="shared" si="0"/>
        <v>1.5277777777777779E-2</v>
      </c>
      <c r="F591" s="10">
        <f t="shared" si="132"/>
        <v>0.53896990740740736</v>
      </c>
      <c r="G591" s="10">
        <v>0.55130787037037032</v>
      </c>
      <c r="H591" s="8">
        <f t="shared" si="77"/>
        <v>1.2337962962962967E-2</v>
      </c>
      <c r="I591" s="11">
        <f t="shared" si="2"/>
        <v>0.55424768518518519</v>
      </c>
      <c r="J591" s="8"/>
      <c r="K591" s="8"/>
      <c r="L591" s="8"/>
      <c r="M591" s="12"/>
      <c r="N591" s="13">
        <f t="shared" si="4"/>
        <v>1.2382739212007501</v>
      </c>
    </row>
    <row r="592" spans="1:14" ht="14.5">
      <c r="A592" s="6">
        <v>45538</v>
      </c>
      <c r="B592" s="47" t="s">
        <v>93</v>
      </c>
      <c r="C592" s="7">
        <v>10</v>
      </c>
      <c r="D592" s="8">
        <v>6.9444444444444441E-3</v>
      </c>
      <c r="E592" s="58">
        <f t="shared" si="0"/>
        <v>6.9444444444444448E-2</v>
      </c>
      <c r="F592" s="10">
        <f t="shared" si="132"/>
        <v>0.55130787037037032</v>
      </c>
      <c r="G592" s="10">
        <v>0.67037037037037039</v>
      </c>
      <c r="H592" s="8">
        <f t="shared" si="77"/>
        <v>6.2893518518518599E-2</v>
      </c>
      <c r="I592" s="11">
        <f t="shared" si="2"/>
        <v>0.67692129629629627</v>
      </c>
      <c r="J592" s="8"/>
      <c r="K592" s="8"/>
      <c r="L592" s="8">
        <v>5.6168981481481479E-2</v>
      </c>
      <c r="M592" s="12"/>
      <c r="N592" s="13">
        <f t="shared" si="4"/>
        <v>1.1041589988958396</v>
      </c>
    </row>
    <row r="593" spans="1:14" ht="14.5">
      <c r="A593" s="6">
        <v>45538</v>
      </c>
      <c r="B593" s="47" t="s">
        <v>44</v>
      </c>
      <c r="C593" s="7">
        <v>3</v>
      </c>
      <c r="D593" s="8">
        <v>3.472222222222222E-3</v>
      </c>
      <c r="E593" s="58">
        <f t="shared" si="0"/>
        <v>1.0416666666666666E-2</v>
      </c>
      <c r="F593" s="10">
        <v>0.57144675925925925</v>
      </c>
      <c r="G593" s="10">
        <v>0.58083333333333331</v>
      </c>
      <c r="H593" s="8">
        <f t="shared" si="77"/>
        <v>9.3865740740740611E-3</v>
      </c>
      <c r="I593" s="11">
        <f t="shared" si="2"/>
        <v>0.58186342592592588</v>
      </c>
      <c r="J593" s="8"/>
      <c r="K593" s="8"/>
      <c r="L593" s="8"/>
      <c r="M593" s="12"/>
      <c r="N593" s="13">
        <f t="shared" si="4"/>
        <v>1.109741060419237</v>
      </c>
    </row>
    <row r="594" spans="1:14" ht="14.5">
      <c r="A594" s="6">
        <v>45538</v>
      </c>
      <c r="B594" s="47" t="s">
        <v>50</v>
      </c>
      <c r="C594" s="7">
        <v>1</v>
      </c>
      <c r="D594" s="8">
        <v>1.0416666666666666E-2</v>
      </c>
      <c r="E594" s="58">
        <f t="shared" si="0"/>
        <v>1.0416666666666666E-2</v>
      </c>
      <c r="F594" s="10">
        <f t="shared" ref="F594:F596" si="133">G593</f>
        <v>0.58083333333333331</v>
      </c>
      <c r="G594" s="10">
        <v>0.59043981481481478</v>
      </c>
      <c r="H594" s="8">
        <f t="shared" si="77"/>
        <v>9.6064814814814659E-3</v>
      </c>
      <c r="I594" s="11">
        <f t="shared" si="2"/>
        <v>0.59124999999999994</v>
      </c>
      <c r="J594" s="8"/>
      <c r="K594" s="8"/>
      <c r="L594" s="8"/>
      <c r="M594" s="12"/>
      <c r="N594" s="13">
        <f t="shared" si="4"/>
        <v>1.0843373493975921</v>
      </c>
    </row>
    <row r="595" spans="1:14" ht="14.5">
      <c r="A595" s="6">
        <v>45538</v>
      </c>
      <c r="B595" s="47" t="s">
        <v>51</v>
      </c>
      <c r="C595" s="7">
        <v>1</v>
      </c>
      <c r="D595" s="8">
        <v>1.0416666666666666E-2</v>
      </c>
      <c r="E595" s="58">
        <f t="shared" si="0"/>
        <v>1.0416666666666666E-2</v>
      </c>
      <c r="F595" s="10">
        <f t="shared" si="133"/>
        <v>0.59043981481481478</v>
      </c>
      <c r="G595" s="10">
        <v>0.60009259259259262</v>
      </c>
      <c r="H595" s="8">
        <f t="shared" si="77"/>
        <v>9.6527777777778434E-3</v>
      </c>
      <c r="I595" s="11">
        <f t="shared" si="2"/>
        <v>0.60085648148148141</v>
      </c>
      <c r="J595" s="8"/>
      <c r="K595" s="8"/>
      <c r="L595" s="8"/>
      <c r="M595" s="12"/>
      <c r="N595" s="13">
        <f t="shared" si="4"/>
        <v>1.0791366906474746</v>
      </c>
    </row>
    <row r="596" spans="1:14" ht="14.5">
      <c r="A596" s="6">
        <v>45538</v>
      </c>
      <c r="B596" s="47" t="s">
        <v>52</v>
      </c>
      <c r="C596" s="7">
        <v>1</v>
      </c>
      <c r="D596" s="8">
        <v>1.0416666666666666E-2</v>
      </c>
      <c r="E596" s="58">
        <f t="shared" si="0"/>
        <v>1.0416666666666666E-2</v>
      </c>
      <c r="F596" s="10">
        <f t="shared" si="133"/>
        <v>0.60009259259259262</v>
      </c>
      <c r="G596" s="8">
        <v>0.60921296296296301</v>
      </c>
      <c r="H596" s="8">
        <f t="shared" si="77"/>
        <v>9.1203703703703898E-3</v>
      </c>
      <c r="I596" s="11">
        <f t="shared" si="2"/>
        <v>0.61050925925925925</v>
      </c>
      <c r="J596" s="8"/>
      <c r="K596" s="8"/>
      <c r="L596" s="8"/>
      <c r="M596" s="12"/>
      <c r="N596" s="13">
        <f t="shared" si="4"/>
        <v>1.142131979695429</v>
      </c>
    </row>
    <row r="597" spans="1:14" ht="14.5">
      <c r="A597" s="6">
        <v>45538</v>
      </c>
      <c r="B597" s="47" t="s">
        <v>38</v>
      </c>
      <c r="C597" s="7">
        <v>14</v>
      </c>
      <c r="D597" s="8">
        <v>2.7777777777777779E-3</v>
      </c>
      <c r="E597" s="58">
        <f t="shared" si="0"/>
        <v>3.888888888888889E-2</v>
      </c>
      <c r="F597" s="8">
        <f>G592</f>
        <v>0.67037037037037039</v>
      </c>
      <c r="G597" s="10">
        <v>0.71107638888888891</v>
      </c>
      <c r="H597" s="8">
        <f t="shared" si="77"/>
        <v>4.0706018518518516E-2</v>
      </c>
      <c r="I597" s="11">
        <f t="shared" si="2"/>
        <v>0.70925925925925926</v>
      </c>
      <c r="J597" s="8"/>
      <c r="K597" s="8"/>
      <c r="L597" s="8"/>
      <c r="M597" s="18" t="s">
        <v>161</v>
      </c>
      <c r="N597" s="13">
        <f t="shared" si="4"/>
        <v>0.95535968154677287</v>
      </c>
    </row>
    <row r="598" spans="1:14" ht="14.5">
      <c r="A598" s="6">
        <v>45539</v>
      </c>
      <c r="B598" s="47" t="s">
        <v>38</v>
      </c>
      <c r="C598" s="7">
        <v>12</v>
      </c>
      <c r="D598" s="8">
        <v>2.7777777777777779E-3</v>
      </c>
      <c r="E598" s="58">
        <f t="shared" si="0"/>
        <v>3.3333333333333333E-2</v>
      </c>
      <c r="F598" s="10">
        <v>0.33291666666666664</v>
      </c>
      <c r="G598" s="10">
        <v>0.3629398148148148</v>
      </c>
      <c r="H598" s="8">
        <f t="shared" si="77"/>
        <v>3.002314814814816E-2</v>
      </c>
      <c r="I598" s="11">
        <f t="shared" si="2"/>
        <v>0.36624999999999996</v>
      </c>
      <c r="J598" s="8"/>
      <c r="K598" s="8"/>
      <c r="L598" s="8"/>
      <c r="M598" s="18" t="s">
        <v>162</v>
      </c>
      <c r="N598" s="13">
        <f t="shared" si="4"/>
        <v>1.1102544333076325</v>
      </c>
    </row>
    <row r="599" spans="1:14" ht="14.5">
      <c r="A599" s="6">
        <v>45539</v>
      </c>
      <c r="B599" s="47" t="s">
        <v>93</v>
      </c>
      <c r="C599" s="7">
        <v>20</v>
      </c>
      <c r="D599" s="8">
        <v>6.9444444444444441E-3</v>
      </c>
      <c r="E599" s="58">
        <f t="shared" si="0"/>
        <v>0.1388888888888889</v>
      </c>
      <c r="F599" s="8">
        <f t="shared" ref="F599:F605" si="134">G598</f>
        <v>0.3629398148148148</v>
      </c>
      <c r="G599" s="10">
        <v>0.5269907407407407</v>
      </c>
      <c r="H599" s="8">
        <f t="shared" si="77"/>
        <v>0.13004629629629627</v>
      </c>
      <c r="I599" s="11">
        <f t="shared" si="2"/>
        <v>0.53583333333333327</v>
      </c>
      <c r="J599" s="8"/>
      <c r="K599" s="8"/>
      <c r="L599" s="8">
        <v>3.4004629629629628E-2</v>
      </c>
      <c r="M599" s="12"/>
      <c r="N599" s="13">
        <f t="shared" si="4"/>
        <v>1.0679957280170882</v>
      </c>
    </row>
    <row r="600" spans="1:14" ht="14.5">
      <c r="A600" s="6">
        <v>45539</v>
      </c>
      <c r="B600" s="47" t="s">
        <v>28</v>
      </c>
      <c r="C600" s="7">
        <v>23</v>
      </c>
      <c r="D600" s="8">
        <v>1.3888888888888889E-3</v>
      </c>
      <c r="E600" s="58">
        <f t="shared" si="0"/>
        <v>3.1944444444444449E-2</v>
      </c>
      <c r="F600" s="8">
        <f t="shared" si="134"/>
        <v>0.5269907407407407</v>
      </c>
      <c r="G600" s="10">
        <v>0.55774305555555559</v>
      </c>
      <c r="H600" s="8">
        <f t="shared" si="77"/>
        <v>3.0752314814814885E-2</v>
      </c>
      <c r="I600" s="11">
        <f t="shared" si="2"/>
        <v>0.55893518518518515</v>
      </c>
      <c r="J600" s="8"/>
      <c r="K600" s="8"/>
      <c r="L600" s="8"/>
      <c r="M600" s="12"/>
      <c r="N600" s="13">
        <f t="shared" si="4"/>
        <v>1.0387655250282251</v>
      </c>
    </row>
    <row r="601" spans="1:14" ht="14.5">
      <c r="A601" s="6">
        <v>45539</v>
      </c>
      <c r="B601" s="47" t="s">
        <v>16</v>
      </c>
      <c r="C601" s="7">
        <v>13</v>
      </c>
      <c r="D601" s="8">
        <v>5.5555555555555558E-3</v>
      </c>
      <c r="E601" s="58">
        <f t="shared" si="0"/>
        <v>7.2222222222222229E-2</v>
      </c>
      <c r="F601" s="10">
        <f t="shared" si="134"/>
        <v>0.55774305555555559</v>
      </c>
      <c r="G601" s="10">
        <v>0.62275462962962957</v>
      </c>
      <c r="H601" s="8">
        <f t="shared" si="77"/>
        <v>6.5011574074073986E-2</v>
      </c>
      <c r="I601" s="11">
        <f t="shared" si="2"/>
        <v>0.62996527777777778</v>
      </c>
      <c r="J601" s="8"/>
      <c r="K601" s="8"/>
      <c r="L601" s="8"/>
      <c r="M601" s="12"/>
      <c r="N601" s="13">
        <f t="shared" si="4"/>
        <v>1.1109132989140127</v>
      </c>
    </row>
    <row r="602" spans="1:14" ht="14.5">
      <c r="A602" s="6">
        <v>45539</v>
      </c>
      <c r="B602" s="47" t="s">
        <v>50</v>
      </c>
      <c r="C602" s="7">
        <v>1</v>
      </c>
      <c r="D602" s="8">
        <v>1.0416666666666666E-2</v>
      </c>
      <c r="E602" s="58">
        <f t="shared" si="0"/>
        <v>1.0416666666666666E-2</v>
      </c>
      <c r="F602" s="10">
        <f t="shared" si="134"/>
        <v>0.62275462962962957</v>
      </c>
      <c r="G602" s="10">
        <v>0.63209490740740737</v>
      </c>
      <c r="H602" s="8">
        <f t="shared" si="77"/>
        <v>9.3402777777777946E-3</v>
      </c>
      <c r="I602" s="11">
        <f t="shared" si="2"/>
        <v>0.6331712962962962</v>
      </c>
      <c r="J602" s="8"/>
      <c r="K602" s="8"/>
      <c r="L602" s="8"/>
      <c r="M602" s="12"/>
      <c r="N602" s="13">
        <f t="shared" si="4"/>
        <v>1.1152416356877304</v>
      </c>
    </row>
    <row r="603" spans="1:14" ht="14.5">
      <c r="A603" s="6">
        <v>45539</v>
      </c>
      <c r="B603" s="47" t="s">
        <v>51</v>
      </c>
      <c r="C603" s="7">
        <v>1</v>
      </c>
      <c r="D603" s="8">
        <v>1.0416666666666666E-2</v>
      </c>
      <c r="E603" s="58">
        <f t="shared" si="0"/>
        <v>1.0416666666666666E-2</v>
      </c>
      <c r="F603" s="10">
        <f t="shared" si="134"/>
        <v>0.63209490740740737</v>
      </c>
      <c r="G603" s="10">
        <v>0.64164351851851853</v>
      </c>
      <c r="H603" s="8">
        <f t="shared" si="77"/>
        <v>9.5486111111111605E-3</v>
      </c>
      <c r="I603" s="11">
        <f t="shared" si="2"/>
        <v>0.642511574074074</v>
      </c>
      <c r="J603" s="8"/>
      <c r="K603" s="8"/>
      <c r="L603" s="8"/>
      <c r="M603" s="12"/>
      <c r="N603" s="13">
        <f t="shared" si="4"/>
        <v>1.0909090909090853</v>
      </c>
    </row>
    <row r="604" spans="1:14" ht="14.5">
      <c r="A604" s="6">
        <v>45539</v>
      </c>
      <c r="B604" s="47" t="s">
        <v>52</v>
      </c>
      <c r="C604" s="7">
        <v>1</v>
      </c>
      <c r="D604" s="8">
        <v>1.0416666666666666E-2</v>
      </c>
      <c r="E604" s="58">
        <f t="shared" si="0"/>
        <v>1.0416666666666666E-2</v>
      </c>
      <c r="F604" s="10">
        <f t="shared" si="134"/>
        <v>0.64164351851851853</v>
      </c>
      <c r="G604" s="10">
        <v>0.65151620370370367</v>
      </c>
      <c r="H604" s="8">
        <f t="shared" si="77"/>
        <v>9.8726851851851372E-3</v>
      </c>
      <c r="I604" s="11">
        <f t="shared" si="2"/>
        <v>0.65206018518518516</v>
      </c>
      <c r="J604" s="8"/>
      <c r="K604" s="8"/>
      <c r="L604" s="8"/>
      <c r="M604" s="12"/>
      <c r="N604" s="13">
        <f t="shared" si="4"/>
        <v>1.0550996483001223</v>
      </c>
    </row>
    <row r="605" spans="1:14" ht="14.5">
      <c r="A605" s="6">
        <v>45539</v>
      </c>
      <c r="B605" s="47" t="s">
        <v>46</v>
      </c>
      <c r="C605" s="7">
        <v>12</v>
      </c>
      <c r="D605" s="8">
        <v>3.472222222222222E-3</v>
      </c>
      <c r="E605" s="58">
        <f t="shared" si="0"/>
        <v>4.1666666666666664E-2</v>
      </c>
      <c r="F605" s="10">
        <f t="shared" si="134"/>
        <v>0.65151620370370367</v>
      </c>
      <c r="G605" s="10">
        <v>0.70930555555555552</v>
      </c>
      <c r="H605" s="8">
        <f t="shared" si="77"/>
        <v>3.9004629629629632E-2</v>
      </c>
      <c r="I605" s="11">
        <f t="shared" si="2"/>
        <v>0.71196759259259257</v>
      </c>
      <c r="J605" s="8"/>
      <c r="K605" s="8"/>
      <c r="L605" s="8">
        <v>1.8784722222222223E-2</v>
      </c>
      <c r="M605" s="12"/>
      <c r="N605" s="13">
        <f t="shared" si="4"/>
        <v>1.0682492581602372</v>
      </c>
    </row>
    <row r="606" spans="1:14" ht="14.5">
      <c r="A606" s="6">
        <v>45540</v>
      </c>
      <c r="B606" s="47" t="s">
        <v>42</v>
      </c>
      <c r="C606" s="7">
        <v>1</v>
      </c>
      <c r="D606" s="8">
        <v>6.9444444444444441E-3</v>
      </c>
      <c r="E606" s="58">
        <f t="shared" si="0"/>
        <v>6.9444444444444441E-3</v>
      </c>
      <c r="F606" s="8">
        <v>0.34622685185185187</v>
      </c>
      <c r="G606" s="10">
        <v>0.35239583333333335</v>
      </c>
      <c r="H606" s="8">
        <f t="shared" si="77"/>
        <v>6.1689814814814836E-3</v>
      </c>
      <c r="I606" s="11">
        <f t="shared" si="2"/>
        <v>0.35317129629629629</v>
      </c>
      <c r="J606" s="8"/>
      <c r="K606" s="8"/>
      <c r="L606" s="8"/>
      <c r="M606" s="12"/>
      <c r="N606" s="13">
        <f t="shared" si="4"/>
        <v>1.1257035647279545</v>
      </c>
    </row>
    <row r="607" spans="1:14" ht="14.5">
      <c r="A607" s="6">
        <v>45540</v>
      </c>
      <c r="B607" s="47" t="s">
        <v>43</v>
      </c>
      <c r="C607" s="7">
        <v>1</v>
      </c>
      <c r="D607" s="8">
        <v>3.4722222222222224E-2</v>
      </c>
      <c r="E607" s="58">
        <f t="shared" si="0"/>
        <v>3.4722222222222224E-2</v>
      </c>
      <c r="F607" s="10">
        <f t="shared" ref="F607:F608" si="135">G606</f>
        <v>0.35239583333333335</v>
      </c>
      <c r="G607" s="10">
        <v>0.38376157407407407</v>
      </c>
      <c r="H607" s="8">
        <f t="shared" si="77"/>
        <v>3.1365740740740722E-2</v>
      </c>
      <c r="I607" s="11">
        <f t="shared" si="2"/>
        <v>0.38711805555555556</v>
      </c>
      <c r="J607" s="8"/>
      <c r="K607" s="8"/>
      <c r="L607" s="8"/>
      <c r="M607" s="12"/>
      <c r="N607" s="13">
        <f t="shared" si="4"/>
        <v>1.1070110701107019</v>
      </c>
    </row>
    <row r="608" spans="1:14" ht="14.5">
      <c r="A608" s="6">
        <v>45540</v>
      </c>
      <c r="B608" s="47" t="s">
        <v>46</v>
      </c>
      <c r="C608" s="7">
        <v>25</v>
      </c>
      <c r="D608" s="8">
        <v>3.472222222222222E-3</v>
      </c>
      <c r="E608" s="58">
        <f t="shared" si="0"/>
        <v>8.6805555555555552E-2</v>
      </c>
      <c r="F608" s="10">
        <f t="shared" si="135"/>
        <v>0.38376157407407407</v>
      </c>
      <c r="G608" s="10">
        <v>0.51952546296296298</v>
      </c>
      <c r="H608" s="8">
        <f t="shared" si="77"/>
        <v>8.1250000000000017E-2</v>
      </c>
      <c r="I608" s="11">
        <f t="shared" si="2"/>
        <v>0.52508101851851852</v>
      </c>
      <c r="J608" s="8"/>
      <c r="K608" s="8"/>
      <c r="L608" s="8">
        <v>5.451388888888889E-2</v>
      </c>
      <c r="M608" s="12"/>
      <c r="N608" s="13">
        <f t="shared" si="4"/>
        <v>1.0683760683760681</v>
      </c>
    </row>
    <row r="609" spans="1:14" ht="14.5">
      <c r="A609" s="6">
        <v>45540</v>
      </c>
      <c r="B609" s="47" t="s">
        <v>27</v>
      </c>
      <c r="C609" s="7">
        <v>94</v>
      </c>
      <c r="D609" s="8">
        <v>1.3888888888888889E-3</v>
      </c>
      <c r="E609" s="58">
        <f t="shared" si="0"/>
        <v>0.13055555555555556</v>
      </c>
      <c r="F609" s="10">
        <v>0.51952546296296298</v>
      </c>
      <c r="G609" s="10">
        <v>0.68228009259259259</v>
      </c>
      <c r="H609" s="8">
        <f t="shared" si="77"/>
        <v>0.1187731481481481</v>
      </c>
      <c r="I609" s="11">
        <f t="shared" si="2"/>
        <v>0.69406250000000003</v>
      </c>
      <c r="J609" s="8"/>
      <c r="K609" s="8"/>
      <c r="L609" s="8">
        <f>SUM(H610:H613)</f>
        <v>4.398148148148151E-2</v>
      </c>
      <c r="M609" s="18" t="s">
        <v>163</v>
      </c>
      <c r="N609" s="13">
        <f t="shared" si="4"/>
        <v>1.0992009354901584</v>
      </c>
    </row>
    <row r="610" spans="1:14" ht="14.5">
      <c r="A610" s="6">
        <v>45540</v>
      </c>
      <c r="B610" s="47" t="s">
        <v>50</v>
      </c>
      <c r="C610" s="7">
        <v>1</v>
      </c>
      <c r="D610" s="8">
        <v>1.0416666666666666E-2</v>
      </c>
      <c r="E610" s="58">
        <f t="shared" si="0"/>
        <v>1.0416666666666666E-2</v>
      </c>
      <c r="F610" s="10">
        <v>0.63391203703703702</v>
      </c>
      <c r="G610" s="10">
        <v>0.64318287037037036</v>
      </c>
      <c r="H610" s="8">
        <f t="shared" si="77"/>
        <v>9.2708333333333393E-3</v>
      </c>
      <c r="I610" s="11">
        <f t="shared" si="2"/>
        <v>0.64432870370370365</v>
      </c>
      <c r="J610" s="8"/>
      <c r="K610" s="8"/>
      <c r="L610" s="8"/>
      <c r="M610" s="12"/>
      <c r="N610" s="13">
        <f t="shared" si="4"/>
        <v>1.1235955056179767</v>
      </c>
    </row>
    <row r="611" spans="1:14" ht="14.5">
      <c r="A611" s="6">
        <v>45540</v>
      </c>
      <c r="B611" s="47" t="s">
        <v>51</v>
      </c>
      <c r="C611" s="7">
        <v>1</v>
      </c>
      <c r="D611" s="8">
        <v>1.0416666666666666E-2</v>
      </c>
      <c r="E611" s="58">
        <f t="shared" si="0"/>
        <v>1.0416666666666666E-2</v>
      </c>
      <c r="F611" s="10">
        <f t="shared" ref="F611:F613" si="136">G610</f>
        <v>0.64318287037037036</v>
      </c>
      <c r="G611" s="8">
        <v>0.65288194444444447</v>
      </c>
      <c r="H611" s="8">
        <f t="shared" si="77"/>
        <v>9.6990740740741099E-3</v>
      </c>
      <c r="I611" s="11">
        <f t="shared" si="2"/>
        <v>0.65359953703703699</v>
      </c>
      <c r="J611" s="8"/>
      <c r="K611" s="8"/>
      <c r="L611" s="8"/>
      <c r="M611" s="18"/>
      <c r="N611" s="13">
        <f t="shared" si="4"/>
        <v>1.0739856801909267</v>
      </c>
    </row>
    <row r="612" spans="1:14" ht="14.5">
      <c r="A612" s="6">
        <v>45540</v>
      </c>
      <c r="B612" s="47" t="s">
        <v>27</v>
      </c>
      <c r="C612" s="7">
        <v>12</v>
      </c>
      <c r="D612" s="8">
        <v>1.3888888888888889E-3</v>
      </c>
      <c r="E612" s="58">
        <f t="shared" si="0"/>
        <v>1.6666666666666666E-2</v>
      </c>
      <c r="F612" s="10">
        <f t="shared" si="136"/>
        <v>0.65288194444444447</v>
      </c>
      <c r="G612" s="8">
        <v>0.66799768518518521</v>
      </c>
      <c r="H612" s="8">
        <f t="shared" si="77"/>
        <v>1.5115740740740735E-2</v>
      </c>
      <c r="I612" s="11">
        <f t="shared" si="2"/>
        <v>0.66954861111111119</v>
      </c>
      <c r="J612" s="8"/>
      <c r="K612" s="8"/>
      <c r="L612" s="8"/>
      <c r="M612" s="18" t="s">
        <v>163</v>
      </c>
      <c r="N612" s="13">
        <f t="shared" si="4"/>
        <v>1.1026033690658503</v>
      </c>
    </row>
    <row r="613" spans="1:14" ht="14.5">
      <c r="A613" s="6">
        <v>45540</v>
      </c>
      <c r="B613" s="47" t="s">
        <v>52</v>
      </c>
      <c r="C613" s="7">
        <v>1</v>
      </c>
      <c r="D613" s="8">
        <v>1.0416666666666666E-2</v>
      </c>
      <c r="E613" s="58">
        <f t="shared" si="0"/>
        <v>1.0416666666666666E-2</v>
      </c>
      <c r="F613" s="10">
        <f t="shared" si="136"/>
        <v>0.66799768518518521</v>
      </c>
      <c r="G613" s="10">
        <v>0.67789351851851853</v>
      </c>
      <c r="H613" s="8">
        <f t="shared" si="77"/>
        <v>9.8958333333333259E-3</v>
      </c>
      <c r="I613" s="11">
        <f t="shared" si="2"/>
        <v>0.67841435185185184</v>
      </c>
      <c r="J613" s="8"/>
      <c r="K613" s="8"/>
      <c r="L613" s="8"/>
      <c r="M613" s="12"/>
      <c r="N613" s="13">
        <f t="shared" si="4"/>
        <v>1.0526315789473693</v>
      </c>
    </row>
    <row r="614" spans="1:14" ht="14.5">
      <c r="A614" s="6">
        <v>45540</v>
      </c>
      <c r="B614" s="47" t="s">
        <v>27</v>
      </c>
      <c r="C614" s="7">
        <v>8</v>
      </c>
      <c r="D614" s="8">
        <v>1.3888888888888889E-3</v>
      </c>
      <c r="E614" s="58">
        <f t="shared" si="0"/>
        <v>1.1111111111111112E-2</v>
      </c>
      <c r="F614" s="10">
        <v>0.68228009259259259</v>
      </c>
      <c r="G614" s="10">
        <v>0.71459490740740739</v>
      </c>
      <c r="H614" s="8">
        <f t="shared" si="77"/>
        <v>1.0150462962962944E-2</v>
      </c>
      <c r="I614" s="11">
        <f t="shared" si="2"/>
        <v>0.7155555555555555</v>
      </c>
      <c r="J614" s="8"/>
      <c r="K614" s="8"/>
      <c r="L614" s="8">
        <v>2.2164351851851852E-2</v>
      </c>
      <c r="M614" s="18" t="s">
        <v>163</v>
      </c>
      <c r="N614" s="13">
        <f t="shared" si="4"/>
        <v>1.0946408209806178</v>
      </c>
    </row>
    <row r="615" spans="1:14" ht="14.5">
      <c r="A615" s="6">
        <v>45541</v>
      </c>
      <c r="B615" s="47" t="s">
        <v>27</v>
      </c>
      <c r="C615" s="7">
        <v>63</v>
      </c>
      <c r="D615" s="8">
        <v>1.3888888888888889E-3</v>
      </c>
      <c r="E615" s="58">
        <f t="shared" si="0"/>
        <v>8.7500000000000008E-2</v>
      </c>
      <c r="F615" s="10">
        <v>0.33171296296296293</v>
      </c>
      <c r="G615" s="10">
        <v>0.46211805555555552</v>
      </c>
      <c r="H615" s="8">
        <f t="shared" si="77"/>
        <v>8.0069444444444443E-2</v>
      </c>
      <c r="I615" s="11">
        <f t="shared" si="2"/>
        <v>0.46954861111111112</v>
      </c>
      <c r="J615" s="8"/>
      <c r="K615" s="8"/>
      <c r="L615" s="8">
        <v>5.033564814814815E-2</v>
      </c>
      <c r="M615" s="18" t="s">
        <v>163</v>
      </c>
      <c r="N615" s="13">
        <f t="shared" si="4"/>
        <v>1.0928013876843019</v>
      </c>
    </row>
    <row r="616" spans="1:14" ht="14.5">
      <c r="A616" s="6">
        <v>45541</v>
      </c>
      <c r="B616" s="47" t="s">
        <v>27</v>
      </c>
      <c r="C616" s="7">
        <v>72</v>
      </c>
      <c r="D616" s="8">
        <v>1.3888888888888889E-3</v>
      </c>
      <c r="E616" s="58">
        <f t="shared" si="0"/>
        <v>0.1</v>
      </c>
      <c r="F616" s="10">
        <f>G615</f>
        <v>0.46211805555555552</v>
      </c>
      <c r="G616" s="10">
        <v>0.55326388888888889</v>
      </c>
      <c r="H616" s="8">
        <f t="shared" si="77"/>
        <v>9.114583333333337E-2</v>
      </c>
      <c r="I616" s="11">
        <f t="shared" si="2"/>
        <v>0.5621180555555555</v>
      </c>
      <c r="J616" s="8"/>
      <c r="K616" s="8"/>
      <c r="L616" s="8"/>
      <c r="M616" s="18" t="s">
        <v>163</v>
      </c>
      <c r="N616" s="13">
        <f t="shared" si="4"/>
        <v>1.0971428571428568</v>
      </c>
    </row>
    <row r="617" spans="1:14" ht="14.5">
      <c r="A617" s="6">
        <v>45541</v>
      </c>
      <c r="B617" s="47" t="s">
        <v>27</v>
      </c>
      <c r="C617" s="7">
        <v>90</v>
      </c>
      <c r="D617" s="8">
        <v>1.3888888888888889E-3</v>
      </c>
      <c r="E617" s="58">
        <f t="shared" si="0"/>
        <v>0.125</v>
      </c>
      <c r="F617" s="10">
        <v>0.56098379629629624</v>
      </c>
      <c r="G617" s="10">
        <v>0.71319444444444446</v>
      </c>
      <c r="H617" s="8">
        <f t="shared" si="77"/>
        <v>0.11321759259259266</v>
      </c>
      <c r="I617" s="11">
        <f t="shared" si="2"/>
        <v>0.72497685185185179</v>
      </c>
      <c r="J617" s="8"/>
      <c r="K617" s="8"/>
      <c r="L617" s="8">
        <v>3.8993055555555559E-2</v>
      </c>
      <c r="M617" s="18" t="s">
        <v>163</v>
      </c>
      <c r="N617" s="13">
        <f t="shared" si="4"/>
        <v>1.1040686976078504</v>
      </c>
    </row>
    <row r="618" spans="1:14" ht="14.5">
      <c r="A618" s="6">
        <v>45541</v>
      </c>
      <c r="B618" s="47" t="s">
        <v>50</v>
      </c>
      <c r="C618" s="7">
        <v>1</v>
      </c>
      <c r="D618" s="8">
        <v>1.0416666666666666E-2</v>
      </c>
      <c r="E618" s="58">
        <f t="shared" si="0"/>
        <v>1.0416666666666666E-2</v>
      </c>
      <c r="F618" s="10">
        <v>0.61094907407407406</v>
      </c>
      <c r="G618" s="10">
        <v>0.62050925925925926</v>
      </c>
      <c r="H618" s="8">
        <f t="shared" si="77"/>
        <v>9.5601851851851993E-3</v>
      </c>
      <c r="I618" s="11">
        <f t="shared" si="2"/>
        <v>0.62136574074074069</v>
      </c>
      <c r="J618" s="8"/>
      <c r="K618" s="8"/>
      <c r="L618" s="8"/>
      <c r="M618" s="12"/>
      <c r="N618" s="13">
        <f t="shared" si="4"/>
        <v>1.0895883777239692</v>
      </c>
    </row>
    <row r="619" spans="1:14" ht="14.5">
      <c r="A619" s="6">
        <v>45541</v>
      </c>
      <c r="B619" s="47" t="s">
        <v>51</v>
      </c>
      <c r="C619" s="7">
        <v>1</v>
      </c>
      <c r="D619" s="8">
        <v>1.0416666666666666E-2</v>
      </c>
      <c r="E619" s="58">
        <f t="shared" si="0"/>
        <v>1.0416666666666666E-2</v>
      </c>
      <c r="F619" s="10">
        <f t="shared" ref="F619:F620" si="137">G618</f>
        <v>0.62050925925925926</v>
      </c>
      <c r="G619" s="10">
        <v>0.62981481481481483</v>
      </c>
      <c r="H619" s="8">
        <f t="shared" si="77"/>
        <v>9.3055555555555669E-3</v>
      </c>
      <c r="I619" s="11">
        <f t="shared" si="2"/>
        <v>0.63092592592592589</v>
      </c>
      <c r="J619" s="8"/>
      <c r="K619" s="8"/>
      <c r="L619" s="8"/>
      <c r="M619" s="12"/>
      <c r="N619" s="13">
        <f t="shared" si="4"/>
        <v>1.1194029850746254</v>
      </c>
    </row>
    <row r="620" spans="1:14" ht="14.5">
      <c r="A620" s="6">
        <v>45541</v>
      </c>
      <c r="B620" s="47" t="s">
        <v>52</v>
      </c>
      <c r="C620" s="7">
        <v>1</v>
      </c>
      <c r="D620" s="8">
        <v>1.0416666666666666E-2</v>
      </c>
      <c r="E620" s="58">
        <f t="shared" si="0"/>
        <v>1.0416666666666666E-2</v>
      </c>
      <c r="F620" s="10">
        <f t="shared" si="137"/>
        <v>0.62981481481481483</v>
      </c>
      <c r="G620" s="10">
        <v>0.63921296296296293</v>
      </c>
      <c r="H620" s="8">
        <f t="shared" si="77"/>
        <v>9.3981481481481E-3</v>
      </c>
      <c r="I620" s="11">
        <f t="shared" si="2"/>
        <v>0.64023148148148146</v>
      </c>
      <c r="J620" s="8"/>
      <c r="K620" s="8"/>
      <c r="L620" s="8"/>
      <c r="M620" s="12"/>
      <c r="N620" s="13">
        <f t="shared" si="4"/>
        <v>1.1083743842364588</v>
      </c>
    </row>
    <row r="621" spans="1:14" ht="14.5">
      <c r="A621" s="6">
        <v>45541</v>
      </c>
      <c r="B621" s="47" t="s">
        <v>44</v>
      </c>
      <c r="C621" s="7">
        <v>2</v>
      </c>
      <c r="D621" s="8">
        <v>3.472222222222222E-3</v>
      </c>
      <c r="E621" s="58">
        <f t="shared" si="0"/>
        <v>6.9444444444444441E-3</v>
      </c>
      <c r="F621" s="10">
        <v>0.66819444444444442</v>
      </c>
      <c r="G621" s="10">
        <v>0.67452546296296301</v>
      </c>
      <c r="H621" s="8">
        <f t="shared" si="77"/>
        <v>6.331018518518583E-3</v>
      </c>
      <c r="I621" s="11">
        <f t="shared" si="2"/>
        <v>0.67513888888888884</v>
      </c>
      <c r="J621" s="8"/>
      <c r="K621" s="8"/>
      <c r="L621" s="8"/>
      <c r="M621" s="12"/>
      <c r="N621" s="13">
        <f t="shared" si="4"/>
        <v>1.0968921389396598</v>
      </c>
    </row>
    <row r="622" spans="1:14" ht="14.5">
      <c r="A622" s="6">
        <v>45544</v>
      </c>
      <c r="B622" s="47" t="s">
        <v>42</v>
      </c>
      <c r="C622" s="7">
        <v>1</v>
      </c>
      <c r="D622" s="8">
        <v>6.9444444444444441E-3</v>
      </c>
      <c r="E622" s="58">
        <f t="shared" si="0"/>
        <v>6.9444444444444441E-3</v>
      </c>
      <c r="F622" s="10">
        <v>0.33539351851851851</v>
      </c>
      <c r="G622" s="10">
        <v>0.34155092592592595</v>
      </c>
      <c r="H622" s="8">
        <f t="shared" si="77"/>
        <v>6.1574074074074447E-3</v>
      </c>
      <c r="I622" s="11">
        <f t="shared" si="2"/>
        <v>0.34233796296296293</v>
      </c>
      <c r="J622" s="8"/>
      <c r="K622" s="8"/>
      <c r="L622" s="8"/>
      <c r="M622" s="12"/>
      <c r="N622" s="13">
        <f t="shared" si="4"/>
        <v>1.1278195488721736</v>
      </c>
    </row>
    <row r="623" spans="1:14" ht="14.5">
      <c r="A623" s="6">
        <v>45544</v>
      </c>
      <c r="B623" s="47" t="s">
        <v>43</v>
      </c>
      <c r="C623" s="7">
        <v>1</v>
      </c>
      <c r="D623" s="8">
        <v>3.4722222222222224E-2</v>
      </c>
      <c r="E623" s="58">
        <f t="shared" si="0"/>
        <v>3.4722222222222224E-2</v>
      </c>
      <c r="F623" s="10">
        <v>0.34155092592592595</v>
      </c>
      <c r="G623" s="10">
        <v>0.37378472222222225</v>
      </c>
      <c r="H623" s="8">
        <f t="shared" si="77"/>
        <v>3.2233796296296302E-2</v>
      </c>
      <c r="I623" s="11">
        <f t="shared" si="2"/>
        <v>0.37627314814814816</v>
      </c>
      <c r="J623" s="8"/>
      <c r="K623" s="8"/>
      <c r="L623" s="8"/>
      <c r="M623" s="12"/>
      <c r="N623" s="13">
        <f t="shared" si="4"/>
        <v>1.0771992818671452</v>
      </c>
    </row>
    <row r="624" spans="1:14" ht="14.5">
      <c r="A624" s="6">
        <v>45544</v>
      </c>
      <c r="B624" s="47" t="s">
        <v>63</v>
      </c>
      <c r="C624" s="7">
        <v>1</v>
      </c>
      <c r="D624" s="8">
        <v>3.4722222222222224E-2</v>
      </c>
      <c r="E624" s="58">
        <f t="shared" si="0"/>
        <v>3.4722222222222224E-2</v>
      </c>
      <c r="F624" s="10">
        <v>0.37378472222222225</v>
      </c>
      <c r="G624" s="10">
        <v>0.4115625</v>
      </c>
      <c r="H624" s="8">
        <f t="shared" si="77"/>
        <v>3.192129629629626E-2</v>
      </c>
      <c r="I624" s="11">
        <f t="shared" si="2"/>
        <v>0.41436342592592595</v>
      </c>
      <c r="J624" s="8"/>
      <c r="K624" s="8"/>
      <c r="L624" s="8">
        <v>5.8564814814814816E-3</v>
      </c>
      <c r="M624" s="18"/>
      <c r="N624" s="13">
        <f t="shared" si="4"/>
        <v>1.087744742567079</v>
      </c>
    </row>
    <row r="625" spans="1:14" ht="14.5">
      <c r="A625" s="6">
        <v>45544</v>
      </c>
      <c r="B625" s="47" t="s">
        <v>86</v>
      </c>
      <c r="C625" s="7">
        <v>16</v>
      </c>
      <c r="D625" s="8">
        <v>1.3888888888888889E-3</v>
      </c>
      <c r="E625" s="58">
        <f t="shared" si="0"/>
        <v>2.2222222222222223E-2</v>
      </c>
      <c r="F625" s="10">
        <f t="shared" ref="F625:F626" si="138">G624</f>
        <v>0.4115625</v>
      </c>
      <c r="G625" s="10">
        <v>0.43187500000000001</v>
      </c>
      <c r="H625" s="8">
        <f t="shared" si="77"/>
        <v>2.0312500000000011E-2</v>
      </c>
      <c r="I625" s="11">
        <f t="shared" si="2"/>
        <v>0.4337847222222222</v>
      </c>
      <c r="J625" s="8"/>
      <c r="K625" s="8"/>
      <c r="L625" s="8"/>
      <c r="M625" s="18" t="s">
        <v>163</v>
      </c>
      <c r="N625" s="13">
        <f t="shared" si="4"/>
        <v>1.0940170940170935</v>
      </c>
    </row>
    <row r="626" spans="1:14" ht="14.5">
      <c r="A626" s="6">
        <v>45544</v>
      </c>
      <c r="B626" s="47" t="s">
        <v>27</v>
      </c>
      <c r="C626" s="7">
        <v>84</v>
      </c>
      <c r="D626" s="8">
        <v>1.3888888888888889E-3</v>
      </c>
      <c r="E626" s="58">
        <f t="shared" si="0"/>
        <v>0.11666666666666667</v>
      </c>
      <c r="F626" s="10">
        <f t="shared" si="138"/>
        <v>0.43187500000000001</v>
      </c>
      <c r="G626" s="10">
        <v>0.57214120370370369</v>
      </c>
      <c r="H626" s="8">
        <f t="shared" si="77"/>
        <v>0.10796296296296294</v>
      </c>
      <c r="I626" s="11">
        <f t="shared" si="2"/>
        <v>0.58084490740740746</v>
      </c>
      <c r="J626" s="8"/>
      <c r="K626" s="8"/>
      <c r="L626" s="8">
        <v>3.2303240740740743E-2</v>
      </c>
      <c r="M626" s="12"/>
      <c r="N626" s="13">
        <f t="shared" si="4"/>
        <v>1.0806174957118355</v>
      </c>
    </row>
    <row r="627" spans="1:14" ht="14.5">
      <c r="A627" s="6">
        <v>45544</v>
      </c>
      <c r="B627" s="47" t="s">
        <v>27</v>
      </c>
      <c r="C627" s="7">
        <v>18</v>
      </c>
      <c r="D627" s="8">
        <v>1.3888888888888889E-3</v>
      </c>
      <c r="E627" s="58">
        <f t="shared" si="0"/>
        <v>2.5000000000000001E-2</v>
      </c>
      <c r="F627" s="10">
        <v>0.57680555555555557</v>
      </c>
      <c r="G627" s="10">
        <v>0.60056712962962966</v>
      </c>
      <c r="H627" s="8">
        <f t="shared" si="77"/>
        <v>2.3761574074074088E-2</v>
      </c>
      <c r="I627" s="11">
        <f t="shared" si="2"/>
        <v>0.60180555555555559</v>
      </c>
      <c r="J627" s="8"/>
      <c r="K627" s="8"/>
      <c r="L627" s="8"/>
      <c r="M627" s="12"/>
      <c r="N627" s="13">
        <f t="shared" si="4"/>
        <v>1.052118850462737</v>
      </c>
    </row>
    <row r="628" spans="1:14" ht="14.5">
      <c r="A628" s="6">
        <v>45544</v>
      </c>
      <c r="B628" s="47" t="s">
        <v>86</v>
      </c>
      <c r="C628" s="7">
        <v>8</v>
      </c>
      <c r="D628" s="8">
        <v>1.3888888888888889E-3</v>
      </c>
      <c r="E628" s="58">
        <f t="shared" si="0"/>
        <v>1.1111111111111112E-2</v>
      </c>
      <c r="F628" s="10">
        <f>G627</f>
        <v>0.60056712962962966</v>
      </c>
      <c r="G628" s="10">
        <v>0.61063657407407412</v>
      </c>
      <c r="H628" s="8">
        <f t="shared" si="77"/>
        <v>1.0069444444444464E-2</v>
      </c>
      <c r="I628" s="11">
        <f t="shared" si="2"/>
        <v>0.61167824074074073</v>
      </c>
      <c r="J628" s="8"/>
      <c r="K628" s="8"/>
      <c r="L628" s="8"/>
      <c r="M628" s="12"/>
      <c r="N628" s="13">
        <f t="shared" si="4"/>
        <v>1.103448275862067</v>
      </c>
    </row>
    <row r="629" spans="1:14" ht="14.5">
      <c r="A629" s="6">
        <v>45544</v>
      </c>
      <c r="B629" s="47" t="s">
        <v>50</v>
      </c>
      <c r="C629" s="7">
        <v>1</v>
      </c>
      <c r="D629" s="8">
        <v>1.0416666666666666E-2</v>
      </c>
      <c r="E629" s="58">
        <f t="shared" si="0"/>
        <v>1.0416666666666666E-2</v>
      </c>
      <c r="F629" s="10">
        <v>0.61453703703703699</v>
      </c>
      <c r="G629" s="10">
        <v>0.62442129629629628</v>
      </c>
      <c r="H629" s="8">
        <f t="shared" si="77"/>
        <v>9.8842592592592871E-3</v>
      </c>
      <c r="I629" s="11">
        <f t="shared" si="2"/>
        <v>0.62495370370370362</v>
      </c>
      <c r="J629" s="8"/>
      <c r="K629" s="8"/>
      <c r="L629" s="8"/>
      <c r="M629" s="12"/>
      <c r="N629" s="13">
        <f t="shared" si="4"/>
        <v>1.0538641686182639</v>
      </c>
    </row>
    <row r="630" spans="1:14" ht="14.5">
      <c r="A630" s="6">
        <v>45544</v>
      </c>
      <c r="B630" s="47" t="s">
        <v>51</v>
      </c>
      <c r="C630" s="7">
        <v>1</v>
      </c>
      <c r="D630" s="8">
        <v>1.0416666666666666E-2</v>
      </c>
      <c r="E630" s="58">
        <f t="shared" si="0"/>
        <v>1.0416666666666666E-2</v>
      </c>
      <c r="F630" s="10">
        <f t="shared" ref="F630:F632" si="139">G629</f>
        <v>0.62442129629629628</v>
      </c>
      <c r="G630" s="10">
        <v>0.63388888888888884</v>
      </c>
      <c r="H630" s="8">
        <f t="shared" si="77"/>
        <v>9.4675925925925553E-3</v>
      </c>
      <c r="I630" s="11">
        <f t="shared" si="2"/>
        <v>0.63483796296296291</v>
      </c>
      <c r="J630" s="8"/>
      <c r="K630" s="8"/>
      <c r="L630" s="8"/>
      <c r="M630" s="12"/>
      <c r="N630" s="13">
        <f t="shared" si="4"/>
        <v>1.1002444987775104</v>
      </c>
    </row>
    <row r="631" spans="1:14" ht="14.5">
      <c r="A631" s="6">
        <v>45544</v>
      </c>
      <c r="B631" s="47" t="s">
        <v>52</v>
      </c>
      <c r="C631" s="7">
        <v>1</v>
      </c>
      <c r="D631" s="8">
        <v>1.0416666666666666E-2</v>
      </c>
      <c r="E631" s="58">
        <f t="shared" si="0"/>
        <v>1.0416666666666666E-2</v>
      </c>
      <c r="F631" s="10">
        <f t="shared" si="139"/>
        <v>0.63388888888888884</v>
      </c>
      <c r="G631" s="10">
        <v>0.64328703703703705</v>
      </c>
      <c r="H631" s="8">
        <f t="shared" si="77"/>
        <v>9.398148148148211E-3</v>
      </c>
      <c r="I631" s="11">
        <f t="shared" si="2"/>
        <v>0.64430555555555546</v>
      </c>
      <c r="J631" s="8"/>
      <c r="K631" s="8"/>
      <c r="L631" s="8"/>
      <c r="M631" s="12"/>
      <c r="N631" s="13">
        <f t="shared" si="4"/>
        <v>1.1083743842364457</v>
      </c>
    </row>
    <row r="632" spans="1:14" ht="14.5">
      <c r="A632" s="6">
        <v>45544</v>
      </c>
      <c r="B632" s="47" t="s">
        <v>16</v>
      </c>
      <c r="C632" s="7">
        <v>11</v>
      </c>
      <c r="D632" s="8">
        <v>5.5555555555555558E-3</v>
      </c>
      <c r="E632" s="58">
        <f t="shared" si="0"/>
        <v>6.1111111111111116E-2</v>
      </c>
      <c r="F632" s="10">
        <f t="shared" si="139"/>
        <v>0.64328703703703705</v>
      </c>
      <c r="G632" s="10">
        <v>0.71704754629172385</v>
      </c>
      <c r="H632" s="8">
        <f t="shared" si="77"/>
        <v>5.7417916662094212E-2</v>
      </c>
      <c r="I632" s="11">
        <f t="shared" si="2"/>
        <v>0.72074074074074079</v>
      </c>
      <c r="J632" s="8"/>
      <c r="K632" s="8"/>
      <c r="L632" s="8">
        <v>1.6342592592592593E-2</v>
      </c>
      <c r="M632" s="18"/>
      <c r="N632" s="13">
        <f t="shared" si="4"/>
        <v>1.064321289655134</v>
      </c>
    </row>
    <row r="633" spans="1:14" ht="14.5">
      <c r="A633" s="6">
        <v>45545</v>
      </c>
      <c r="B633" s="47" t="s">
        <v>79</v>
      </c>
      <c r="C633" s="7">
        <v>110</v>
      </c>
      <c r="D633" s="8">
        <v>1.3888888888888889E-3</v>
      </c>
      <c r="E633" s="58">
        <f t="shared" si="0"/>
        <v>0.15277777777777779</v>
      </c>
      <c r="F633" s="10">
        <v>0.3373032407407407</v>
      </c>
      <c r="G633" s="10">
        <v>0.51074074074074072</v>
      </c>
      <c r="H633" s="8">
        <f t="shared" si="77"/>
        <v>0.14099537037037041</v>
      </c>
      <c r="I633" s="11">
        <f t="shared" si="2"/>
        <v>0.52252314814814815</v>
      </c>
      <c r="J633" s="8"/>
      <c r="K633" s="8"/>
      <c r="L633" s="8">
        <v>3.2442129629629626E-2</v>
      </c>
      <c r="M633" s="18"/>
      <c r="N633" s="13">
        <f t="shared" si="4"/>
        <v>1.0835659169266127</v>
      </c>
    </row>
    <row r="634" spans="1:14" ht="14.5">
      <c r="A634" s="6">
        <v>45545</v>
      </c>
      <c r="B634" s="47" t="s">
        <v>86</v>
      </c>
      <c r="C634" s="7">
        <v>20</v>
      </c>
      <c r="D634" s="8">
        <v>1.3888888888888889E-3</v>
      </c>
      <c r="E634" s="58">
        <f t="shared" si="0"/>
        <v>2.777777777777778E-2</v>
      </c>
      <c r="F634" s="10">
        <f t="shared" ref="F634:F635" si="140">G633</f>
        <v>0.51074074074074072</v>
      </c>
      <c r="G634" s="10">
        <v>0.53570601851851851</v>
      </c>
      <c r="H634" s="8">
        <f t="shared" si="77"/>
        <v>2.4965277777777795E-2</v>
      </c>
      <c r="I634" s="11">
        <f t="shared" si="2"/>
        <v>0.53851851851851851</v>
      </c>
      <c r="J634" s="8"/>
      <c r="K634" s="8"/>
      <c r="L634" s="8"/>
      <c r="M634" s="12"/>
      <c r="N634" s="13">
        <f t="shared" si="4"/>
        <v>1.1126564673157155</v>
      </c>
    </row>
    <row r="635" spans="1:14" ht="14.5">
      <c r="A635" s="6">
        <v>45545</v>
      </c>
      <c r="B635" s="47" t="s">
        <v>16</v>
      </c>
      <c r="C635" s="7">
        <v>5</v>
      </c>
      <c r="D635" s="8">
        <v>5.5555555555555558E-3</v>
      </c>
      <c r="E635" s="58">
        <f t="shared" si="0"/>
        <v>2.777777777777778E-2</v>
      </c>
      <c r="F635" s="10">
        <f t="shared" si="140"/>
        <v>0.53570601851851851</v>
      </c>
      <c r="G635" s="10">
        <v>0.56293981481481481</v>
      </c>
      <c r="H635" s="8">
        <f t="shared" si="77"/>
        <v>2.7233796296296298E-2</v>
      </c>
      <c r="I635" s="11">
        <f t="shared" si="2"/>
        <v>0.5634837962962963</v>
      </c>
      <c r="J635" s="8"/>
      <c r="K635" s="8"/>
      <c r="L635" s="8"/>
      <c r="M635" s="18"/>
      <c r="N635" s="13">
        <f t="shared" si="4"/>
        <v>1.0199745006374841</v>
      </c>
    </row>
    <row r="636" spans="1:14" ht="14.5">
      <c r="A636" s="6">
        <v>45545</v>
      </c>
      <c r="B636" s="47" t="s">
        <v>38</v>
      </c>
      <c r="C636" s="7">
        <v>22</v>
      </c>
      <c r="D636" s="8">
        <v>2.7777777777777779E-3</v>
      </c>
      <c r="E636" s="58">
        <f t="shared" si="0"/>
        <v>6.1111111111111116E-2</v>
      </c>
      <c r="F636" s="10">
        <v>0.57328703703703698</v>
      </c>
      <c r="G636" s="10">
        <v>0.67574074074074075</v>
      </c>
      <c r="H636" s="8">
        <f t="shared" si="77"/>
        <v>5.5868055555555622E-2</v>
      </c>
      <c r="I636" s="11">
        <f t="shared" si="2"/>
        <v>0.68098379629629624</v>
      </c>
      <c r="J636" s="8"/>
      <c r="K636" s="8"/>
      <c r="L636" s="8">
        <v>4.6585648148148147E-2</v>
      </c>
      <c r="M636" s="12"/>
      <c r="N636" s="13">
        <f t="shared" si="4"/>
        <v>1.0938471100062139</v>
      </c>
    </row>
    <row r="637" spans="1:14" ht="14.5">
      <c r="A637" s="6">
        <v>45545</v>
      </c>
      <c r="B637" s="47" t="s">
        <v>50</v>
      </c>
      <c r="C637" s="7">
        <v>1</v>
      </c>
      <c r="D637" s="8">
        <v>1.0416666666666666E-2</v>
      </c>
      <c r="E637" s="58">
        <f t="shared" si="0"/>
        <v>1.0416666666666666E-2</v>
      </c>
      <c r="F637" s="10">
        <v>0.6133912037037037</v>
      </c>
      <c r="G637" s="10">
        <v>0.62282407407407403</v>
      </c>
      <c r="H637" s="8">
        <f t="shared" si="77"/>
        <v>9.4328703703703276E-3</v>
      </c>
      <c r="I637" s="11">
        <f t="shared" si="2"/>
        <v>0.62380787037037033</v>
      </c>
      <c r="J637" s="8"/>
      <c r="K637" s="8"/>
      <c r="L637" s="8"/>
      <c r="M637" s="18"/>
      <c r="N637" s="13">
        <f t="shared" si="4"/>
        <v>1.1042944785276123</v>
      </c>
    </row>
    <row r="638" spans="1:14" ht="14.5">
      <c r="A638" s="6">
        <v>45545</v>
      </c>
      <c r="B638" s="47" t="s">
        <v>51</v>
      </c>
      <c r="C638" s="7">
        <v>1</v>
      </c>
      <c r="D638" s="8">
        <v>1.0416666666666666E-2</v>
      </c>
      <c r="E638" s="58">
        <f t="shared" si="0"/>
        <v>1.0416666666666666E-2</v>
      </c>
      <c r="F638" s="10">
        <f t="shared" ref="F638:F639" si="141">G637</f>
        <v>0.62282407407407403</v>
      </c>
      <c r="G638" s="10">
        <v>0.63230324074074074</v>
      </c>
      <c r="H638" s="8">
        <f t="shared" si="77"/>
        <v>9.4791666666667052E-3</v>
      </c>
      <c r="I638" s="11">
        <f t="shared" si="2"/>
        <v>0.63324074074074066</v>
      </c>
      <c r="J638" s="8"/>
      <c r="K638" s="8"/>
      <c r="L638" s="8"/>
      <c r="M638" s="18"/>
      <c r="N638" s="13">
        <f t="shared" si="4"/>
        <v>1.0989010989010943</v>
      </c>
    </row>
    <row r="639" spans="1:14" ht="14.5">
      <c r="A639" s="6">
        <v>45545</v>
      </c>
      <c r="B639" s="47" t="s">
        <v>52</v>
      </c>
      <c r="C639" s="7">
        <v>1</v>
      </c>
      <c r="D639" s="8">
        <v>1.0416666666666666E-2</v>
      </c>
      <c r="E639" s="58">
        <f t="shared" si="0"/>
        <v>1.0416666666666666E-2</v>
      </c>
      <c r="F639" s="10">
        <f t="shared" si="141"/>
        <v>0.63230324074074074</v>
      </c>
      <c r="G639" s="10">
        <v>0.64173611111111106</v>
      </c>
      <c r="H639" s="8">
        <f t="shared" si="77"/>
        <v>9.4328703703703276E-3</v>
      </c>
      <c r="I639" s="11">
        <f t="shared" si="2"/>
        <v>0.64271990740740736</v>
      </c>
      <c r="J639" s="8"/>
      <c r="K639" s="8"/>
      <c r="L639" s="8"/>
      <c r="M639" s="18"/>
      <c r="N639" s="13">
        <f t="shared" si="4"/>
        <v>1.1042944785276123</v>
      </c>
    </row>
    <row r="640" spans="1:14" ht="14.5">
      <c r="A640" s="6">
        <v>45546</v>
      </c>
      <c r="B640" s="47" t="s">
        <v>104</v>
      </c>
      <c r="C640" s="7">
        <v>1</v>
      </c>
      <c r="D640" s="8">
        <v>3.4722222222222224E-2</v>
      </c>
      <c r="E640" s="58">
        <f t="shared" si="0"/>
        <v>3.4722222222222224E-2</v>
      </c>
      <c r="F640" s="10">
        <v>0.33559027777777772</v>
      </c>
      <c r="G640" s="10">
        <v>0.36799768518518516</v>
      </c>
      <c r="H640" s="8">
        <f t="shared" si="77"/>
        <v>3.240740740740744E-2</v>
      </c>
      <c r="I640" s="11">
        <f t="shared" si="2"/>
        <v>0.37031249999999993</v>
      </c>
      <c r="J640" s="8"/>
      <c r="K640" s="8"/>
      <c r="L640" s="8"/>
      <c r="M640" s="18"/>
      <c r="N640" s="13">
        <f t="shared" si="4"/>
        <v>1.0714285714285703</v>
      </c>
    </row>
    <row r="641" spans="1:14" ht="14.5">
      <c r="A641" s="6">
        <v>45546</v>
      </c>
      <c r="B641" s="47" t="s">
        <v>44</v>
      </c>
      <c r="C641" s="7">
        <v>3</v>
      </c>
      <c r="D641" s="8">
        <v>3.472222222222222E-3</v>
      </c>
      <c r="E641" s="58">
        <f t="shared" si="0"/>
        <v>1.0416666666666666E-2</v>
      </c>
      <c r="F641" s="10">
        <v>0.50033564814814813</v>
      </c>
      <c r="G641" s="10">
        <v>0.5096180555555555</v>
      </c>
      <c r="H641" s="8">
        <f t="shared" si="77"/>
        <v>9.2824074074073781E-3</v>
      </c>
      <c r="I641" s="11">
        <f t="shared" si="2"/>
        <v>0.51075231481481476</v>
      </c>
      <c r="J641" s="8"/>
      <c r="K641" s="8"/>
      <c r="L641" s="8"/>
      <c r="M641" s="12"/>
      <c r="N641" s="13">
        <f t="shared" si="4"/>
        <v>1.1221945137157141</v>
      </c>
    </row>
    <row r="642" spans="1:14" ht="14.5">
      <c r="A642" s="6">
        <v>45546</v>
      </c>
      <c r="B642" s="47" t="s">
        <v>16</v>
      </c>
      <c r="C642" s="7">
        <v>32</v>
      </c>
      <c r="D642" s="8">
        <v>5.5555555555555558E-3</v>
      </c>
      <c r="E642" s="58">
        <f t="shared" si="0"/>
        <v>0.17777777777777778</v>
      </c>
      <c r="F642" s="10">
        <v>0.38667824074074075</v>
      </c>
      <c r="G642" s="10">
        <v>0.59478575231332798</v>
      </c>
      <c r="H642" s="8">
        <f t="shared" si="77"/>
        <v>0.16160288194295763</v>
      </c>
      <c r="I642" s="11">
        <f t="shared" si="2"/>
        <v>0.61096064814814821</v>
      </c>
      <c r="J642" s="8"/>
      <c r="K642" s="8">
        <v>3.7222222222222219E-2</v>
      </c>
      <c r="L642" s="8">
        <f>K642+H641</f>
        <v>4.6504629629629597E-2</v>
      </c>
      <c r="M642" s="12"/>
      <c r="N642" s="13">
        <f t="shared" si="4"/>
        <v>1.1000903922030891</v>
      </c>
    </row>
    <row r="643" spans="1:14" ht="14.5">
      <c r="A643" s="6">
        <v>45546</v>
      </c>
      <c r="B643" s="47" t="s">
        <v>16</v>
      </c>
      <c r="C643" s="7">
        <v>17</v>
      </c>
      <c r="D643" s="8">
        <v>5.5555555555555558E-3</v>
      </c>
      <c r="E643" s="58">
        <f t="shared" si="0"/>
        <v>9.4444444444444442E-2</v>
      </c>
      <c r="F643" s="10">
        <v>0.60175925925925922</v>
      </c>
      <c r="G643" s="10">
        <v>0.73611111111111116</v>
      </c>
      <c r="H643" s="8">
        <f t="shared" si="77"/>
        <v>9.0092592592592696E-2</v>
      </c>
      <c r="I643" s="11">
        <f t="shared" si="2"/>
        <v>0.74046296296296288</v>
      </c>
      <c r="J643" s="8"/>
      <c r="K643" s="8">
        <v>2.5127314814814814E-2</v>
      </c>
      <c r="L643" s="8">
        <f>SUM(H644:H645)+K643</f>
        <v>4.4259259259259248E-2</v>
      </c>
      <c r="M643" s="12"/>
      <c r="N643" s="13">
        <f t="shared" si="4"/>
        <v>1.0483042137718384</v>
      </c>
    </row>
    <row r="644" spans="1:14" ht="14.5">
      <c r="A644" s="6">
        <v>45546</v>
      </c>
      <c r="B644" s="47" t="s">
        <v>50</v>
      </c>
      <c r="C644" s="7">
        <v>1</v>
      </c>
      <c r="D644" s="8">
        <v>1.0416666666666666E-2</v>
      </c>
      <c r="E644" s="58">
        <f t="shared" si="0"/>
        <v>1.0416666666666666E-2</v>
      </c>
      <c r="F644" s="10">
        <v>0.65364583333333337</v>
      </c>
      <c r="G644" s="10">
        <v>0.66312499999999996</v>
      </c>
      <c r="H644" s="8">
        <f t="shared" si="77"/>
        <v>9.4791666666665941E-3</v>
      </c>
      <c r="I644" s="11">
        <f t="shared" si="2"/>
        <v>0.6640625</v>
      </c>
      <c r="J644" s="8"/>
      <c r="K644" s="8"/>
      <c r="L644" s="8"/>
      <c r="M644" s="12"/>
      <c r="N644" s="13">
        <f t="shared" si="4"/>
        <v>1.0989010989011072</v>
      </c>
    </row>
    <row r="645" spans="1:14" ht="14.5">
      <c r="A645" s="6">
        <v>45546</v>
      </c>
      <c r="B645" s="47" t="s">
        <v>51</v>
      </c>
      <c r="C645" s="7">
        <v>1</v>
      </c>
      <c r="D645" s="8">
        <v>1.0416666666666666E-2</v>
      </c>
      <c r="E645" s="58">
        <f t="shared" si="0"/>
        <v>1.0416666666666666E-2</v>
      </c>
      <c r="F645" s="10">
        <v>0.66312499999999996</v>
      </c>
      <c r="G645" s="10">
        <v>0.67277777777777781</v>
      </c>
      <c r="H645" s="8">
        <f t="shared" si="77"/>
        <v>9.6527777777778434E-3</v>
      </c>
      <c r="I645" s="11">
        <f t="shared" si="2"/>
        <v>0.67354166666666659</v>
      </c>
      <c r="J645" s="8"/>
      <c r="K645" s="8"/>
      <c r="L645" s="8"/>
      <c r="M645" s="12"/>
      <c r="N645" s="13">
        <f t="shared" si="4"/>
        <v>1.0791366906474746</v>
      </c>
    </row>
    <row r="646" spans="1:14" ht="14.5">
      <c r="A646" s="6">
        <v>45546</v>
      </c>
      <c r="B646" s="47" t="s">
        <v>52</v>
      </c>
      <c r="C646" s="7">
        <v>1</v>
      </c>
      <c r="D646" s="8">
        <v>1.0416666666666666E-2</v>
      </c>
      <c r="E646" s="58">
        <f t="shared" si="0"/>
        <v>1.0416666666666666E-2</v>
      </c>
      <c r="F646" s="10">
        <f t="shared" ref="F646:F647" si="142">G645</f>
        <v>0.67277777777777781</v>
      </c>
      <c r="G646" s="10">
        <v>0.68216435185185187</v>
      </c>
      <c r="H646" s="8">
        <f t="shared" si="77"/>
        <v>9.3865740740740611E-3</v>
      </c>
      <c r="I646" s="11">
        <f t="shared" si="2"/>
        <v>0.68319444444444444</v>
      </c>
      <c r="J646" s="8"/>
      <c r="K646" s="8"/>
      <c r="L646" s="8"/>
      <c r="M646" s="18"/>
      <c r="N646" s="13">
        <f t="shared" si="4"/>
        <v>1.109741060419237</v>
      </c>
    </row>
    <row r="647" spans="1:14" ht="14.5">
      <c r="A647" s="6">
        <v>45546</v>
      </c>
      <c r="B647" s="47" t="s">
        <v>27</v>
      </c>
      <c r="C647" s="7">
        <v>1</v>
      </c>
      <c r="D647" s="8">
        <v>1.3888888888888889E-3</v>
      </c>
      <c r="E647" s="58">
        <f t="shared" si="0"/>
        <v>1.3888888888888889E-3</v>
      </c>
      <c r="F647" s="10">
        <f t="shared" si="142"/>
        <v>0.68216435185185187</v>
      </c>
      <c r="G647" s="10">
        <v>0.68331018518518516</v>
      </c>
      <c r="H647" s="8">
        <f t="shared" si="77"/>
        <v>1.1458333333332904E-3</v>
      </c>
      <c r="I647" s="11">
        <f t="shared" si="2"/>
        <v>0.68355324074074075</v>
      </c>
      <c r="J647" s="8"/>
      <c r="K647" s="8"/>
      <c r="L647" s="8"/>
      <c r="M647" s="12"/>
      <c r="N647" s="13">
        <f t="shared" si="4"/>
        <v>1.2121212121212577</v>
      </c>
    </row>
    <row r="648" spans="1:14" ht="14.5">
      <c r="A648" s="6">
        <v>45547</v>
      </c>
      <c r="B648" s="47" t="s">
        <v>42</v>
      </c>
      <c r="C648" s="7">
        <v>1</v>
      </c>
      <c r="D648" s="8">
        <v>6.9444444444444441E-3</v>
      </c>
      <c r="E648" s="58">
        <f t="shared" si="0"/>
        <v>6.9444444444444441E-3</v>
      </c>
      <c r="F648" s="10">
        <v>0.3400347222222222</v>
      </c>
      <c r="G648" s="10">
        <v>0.34700231481481481</v>
      </c>
      <c r="H648" s="8">
        <f t="shared" si="77"/>
        <v>6.9675925925926085E-3</v>
      </c>
      <c r="I648" s="11">
        <f t="shared" si="2"/>
        <v>0.34697916666666662</v>
      </c>
      <c r="J648" s="8"/>
      <c r="K648" s="8"/>
      <c r="L648" s="8"/>
      <c r="M648" s="12"/>
      <c r="N648" s="13">
        <f t="shared" si="4"/>
        <v>0.99667774086378502</v>
      </c>
    </row>
    <row r="649" spans="1:14" ht="14.5">
      <c r="A649" s="6">
        <v>45547</v>
      </c>
      <c r="B649" s="47" t="s">
        <v>43</v>
      </c>
      <c r="C649" s="7">
        <v>1</v>
      </c>
      <c r="D649" s="8">
        <v>3.4722222222222224E-2</v>
      </c>
      <c r="E649" s="58">
        <f t="shared" si="0"/>
        <v>3.4722222222222224E-2</v>
      </c>
      <c r="F649" s="10">
        <f t="shared" ref="F649:F651" si="143">G648</f>
        <v>0.34700231481481481</v>
      </c>
      <c r="G649" s="10">
        <v>0.37684027777777773</v>
      </c>
      <c r="H649" s="8">
        <f t="shared" si="77"/>
        <v>2.9837962962962927E-2</v>
      </c>
      <c r="I649" s="11">
        <f t="shared" si="2"/>
        <v>0.38172453703703701</v>
      </c>
      <c r="J649" s="8"/>
      <c r="K649" s="8"/>
      <c r="L649" s="8"/>
      <c r="M649" s="12"/>
      <c r="N649" s="13">
        <f t="shared" si="4"/>
        <v>1.1636927851047338</v>
      </c>
    </row>
    <row r="650" spans="1:14" ht="14.5">
      <c r="A650" s="6">
        <v>45547</v>
      </c>
      <c r="B650" s="47" t="s">
        <v>16</v>
      </c>
      <c r="C650" s="7">
        <v>10</v>
      </c>
      <c r="D650" s="8">
        <v>5.5555555555555558E-3</v>
      </c>
      <c r="E650" s="58">
        <f t="shared" si="0"/>
        <v>5.5555555555555559E-2</v>
      </c>
      <c r="F650" s="10">
        <f t="shared" si="143"/>
        <v>0.37684027777777773</v>
      </c>
      <c r="G650" s="10">
        <v>0.44216435185185188</v>
      </c>
      <c r="H650" s="8">
        <f t="shared" si="77"/>
        <v>5.2233796296296368E-2</v>
      </c>
      <c r="I650" s="11">
        <f t="shared" si="2"/>
        <v>0.44548611111111108</v>
      </c>
      <c r="J650" s="8"/>
      <c r="K650" s="8"/>
      <c r="L650" s="8">
        <v>1.3090277777777777E-2</v>
      </c>
      <c r="M650" s="12"/>
      <c r="N650" s="13">
        <f t="shared" si="4"/>
        <v>1.0635940615998214</v>
      </c>
    </row>
    <row r="651" spans="1:14" ht="14.5">
      <c r="A651" s="6">
        <v>45547</v>
      </c>
      <c r="B651" s="47" t="s">
        <v>16</v>
      </c>
      <c r="C651" s="7">
        <v>22</v>
      </c>
      <c r="D651" s="8">
        <v>5.5555555555555558E-3</v>
      </c>
      <c r="E651" s="58">
        <f t="shared" si="0"/>
        <v>0.12222222222222223</v>
      </c>
      <c r="F651" s="10">
        <f t="shared" si="143"/>
        <v>0.44216435185185188</v>
      </c>
      <c r="G651" s="10">
        <v>0.57384259259259263</v>
      </c>
      <c r="H651" s="8">
        <f t="shared" si="77"/>
        <v>0.11033564814814815</v>
      </c>
      <c r="I651" s="11">
        <f t="shared" si="2"/>
        <v>0.58572916666666675</v>
      </c>
      <c r="J651" s="8"/>
      <c r="K651" s="8"/>
      <c r="L651" s="8">
        <v>2.1342592592592594E-2</v>
      </c>
      <c r="M651" s="12"/>
      <c r="N651" s="13">
        <f t="shared" si="4"/>
        <v>1.1077310395468374</v>
      </c>
    </row>
    <row r="652" spans="1:14" ht="14.5">
      <c r="A652" s="6">
        <v>45547</v>
      </c>
      <c r="B652" s="47" t="s">
        <v>16</v>
      </c>
      <c r="C652" s="7">
        <v>21</v>
      </c>
      <c r="D652" s="8">
        <v>5.5555555555555558E-3</v>
      </c>
      <c r="E652" s="58">
        <f t="shared" si="0"/>
        <v>0.11666666666666667</v>
      </c>
      <c r="F652" s="10">
        <v>0.5821412037037037</v>
      </c>
      <c r="G652" s="10">
        <v>0.71527777777777779</v>
      </c>
      <c r="H652" s="8">
        <f t="shared" si="77"/>
        <v>0.10776620370370371</v>
      </c>
      <c r="I652" s="11">
        <f t="shared" si="2"/>
        <v>0.72417824074074078</v>
      </c>
      <c r="J652" s="8"/>
      <c r="K652" s="8"/>
      <c r="L652" s="8">
        <v>2.537037037037037E-2</v>
      </c>
      <c r="M652" s="12"/>
      <c r="N652" s="13">
        <f t="shared" si="4"/>
        <v>1.0825904843733218</v>
      </c>
    </row>
    <row r="653" spans="1:14" ht="14.5">
      <c r="A653" s="6">
        <v>45548</v>
      </c>
      <c r="B653" s="47" t="s">
        <v>86</v>
      </c>
      <c r="C653" s="7">
        <v>93</v>
      </c>
      <c r="D653" s="8">
        <v>1.3888888888888889E-3</v>
      </c>
      <c r="E653" s="58">
        <f t="shared" si="0"/>
        <v>0.12916666666666668</v>
      </c>
      <c r="F653" s="10">
        <v>0.33407407407407408</v>
      </c>
      <c r="G653" s="10">
        <v>0.50059027777777776</v>
      </c>
      <c r="H653" s="8">
        <f t="shared" si="77"/>
        <v>0.11974537037037035</v>
      </c>
      <c r="I653" s="11">
        <f t="shared" si="2"/>
        <v>0.51001157407407405</v>
      </c>
      <c r="J653" s="8"/>
      <c r="K653" s="8"/>
      <c r="L653" s="8">
        <v>4.6770833333333331E-2</v>
      </c>
      <c r="M653" s="12"/>
      <c r="N653" s="13">
        <f t="shared" si="4"/>
        <v>1.0786777498550166</v>
      </c>
    </row>
    <row r="654" spans="1:14" ht="14.5">
      <c r="A654" s="6">
        <v>45548</v>
      </c>
      <c r="B654" s="47" t="s">
        <v>16</v>
      </c>
      <c r="C654" s="7">
        <v>37</v>
      </c>
      <c r="D654" s="8">
        <v>5.5555555555555558E-3</v>
      </c>
      <c r="E654" s="58">
        <f t="shared" si="0"/>
        <v>0.20555555555555557</v>
      </c>
      <c r="F654" s="10">
        <v>0.50071759259259263</v>
      </c>
      <c r="G654" s="8">
        <v>0.6939467592592593</v>
      </c>
      <c r="H654" s="8">
        <f t="shared" si="77"/>
        <v>0.17439814814814814</v>
      </c>
      <c r="I654" s="11">
        <f t="shared" si="2"/>
        <v>0.72510416666666677</v>
      </c>
      <c r="J654" s="8"/>
      <c r="K654" s="8"/>
      <c r="L654" s="8">
        <f>H655</f>
        <v>1.8831018518518539E-2</v>
      </c>
      <c r="M654" s="18"/>
      <c r="N654" s="13">
        <f t="shared" si="4"/>
        <v>1.1786567560392887</v>
      </c>
    </row>
    <row r="655" spans="1:14" ht="14.5">
      <c r="A655" s="6">
        <v>45548</v>
      </c>
      <c r="B655" s="47" t="s">
        <v>65</v>
      </c>
      <c r="C655" s="7">
        <v>1</v>
      </c>
      <c r="D655" s="8">
        <v>2.0833333333333332E-2</v>
      </c>
      <c r="E655" s="58">
        <f t="shared" si="0"/>
        <v>2.0833333333333332E-2</v>
      </c>
      <c r="F655" s="10">
        <v>0.64884259259259258</v>
      </c>
      <c r="G655" s="8">
        <v>0.66767361111111112</v>
      </c>
      <c r="H655" s="8">
        <f t="shared" si="77"/>
        <v>1.8831018518518539E-2</v>
      </c>
      <c r="I655" s="11">
        <f t="shared" si="2"/>
        <v>0.66967592592592595</v>
      </c>
      <c r="J655" s="8"/>
      <c r="K655" s="8"/>
      <c r="L655" s="8"/>
      <c r="M655" s="18"/>
      <c r="N655" s="13">
        <f t="shared" si="4"/>
        <v>1.1063306699446822</v>
      </c>
    </row>
    <row r="656" spans="1:14" ht="14.5">
      <c r="A656" s="6">
        <v>45548</v>
      </c>
      <c r="B656" s="47" t="s">
        <v>86</v>
      </c>
      <c r="C656" s="7">
        <v>13</v>
      </c>
      <c r="D656" s="8">
        <v>1.3888888888888889E-3</v>
      </c>
      <c r="E656" s="58">
        <f t="shared" si="0"/>
        <v>1.8055555555555557E-2</v>
      </c>
      <c r="F656" s="10">
        <v>0.69421296296296298</v>
      </c>
      <c r="G656" s="10">
        <v>0.71180555555555558</v>
      </c>
      <c r="H656" s="8">
        <f t="shared" si="77"/>
        <v>1.7592592592592604E-2</v>
      </c>
      <c r="I656" s="11">
        <f t="shared" si="2"/>
        <v>0.71226851851851858</v>
      </c>
      <c r="J656" s="8"/>
      <c r="K656" s="8"/>
      <c r="L656" s="8"/>
      <c r="M656" s="12"/>
      <c r="N656" s="13">
        <f t="shared" si="4"/>
        <v>1.0263157894736836</v>
      </c>
    </row>
    <row r="657" spans="1:14" ht="14.5">
      <c r="A657" s="6">
        <v>45551</v>
      </c>
      <c r="B657" s="47" t="s">
        <v>42</v>
      </c>
      <c r="C657" s="7">
        <v>1</v>
      </c>
      <c r="D657" s="8">
        <v>6.9444444444444441E-3</v>
      </c>
      <c r="E657" s="58">
        <f t="shared" si="0"/>
        <v>6.9444444444444441E-3</v>
      </c>
      <c r="F657" s="10">
        <v>0.34157407407407403</v>
      </c>
      <c r="G657" s="10">
        <v>0.34798611111111111</v>
      </c>
      <c r="H657" s="8">
        <f t="shared" si="77"/>
        <v>6.4120370370370772E-3</v>
      </c>
      <c r="I657" s="11">
        <f t="shared" si="2"/>
        <v>0.34851851851851845</v>
      </c>
      <c r="J657" s="8"/>
      <c r="K657" s="8"/>
      <c r="L657" s="8"/>
      <c r="M657" s="12"/>
      <c r="N657" s="13">
        <f t="shared" si="4"/>
        <v>1.0830324909747224</v>
      </c>
    </row>
    <row r="658" spans="1:14" ht="14.5">
      <c r="A658" s="6">
        <v>45551</v>
      </c>
      <c r="B658" s="47" t="s">
        <v>43</v>
      </c>
      <c r="C658" s="7">
        <v>1</v>
      </c>
      <c r="D658" s="8">
        <v>3.4722222222222224E-2</v>
      </c>
      <c r="E658" s="58">
        <f t="shared" si="0"/>
        <v>3.4722222222222224E-2</v>
      </c>
      <c r="F658" s="10">
        <f t="shared" ref="F658:F660" si="144">G657</f>
        <v>0.34798611111111111</v>
      </c>
      <c r="G658" s="10">
        <v>0.38196759259259261</v>
      </c>
      <c r="H658" s="8">
        <f t="shared" si="77"/>
        <v>3.3981481481481501E-2</v>
      </c>
      <c r="I658" s="11">
        <f t="shared" si="2"/>
        <v>0.38270833333333332</v>
      </c>
      <c r="J658" s="8"/>
      <c r="K658" s="8"/>
      <c r="L658" s="8"/>
      <c r="M658" s="12"/>
      <c r="N658" s="13">
        <f t="shared" si="4"/>
        <v>1.0217983651226152</v>
      </c>
    </row>
    <row r="659" spans="1:14" ht="14.5">
      <c r="A659" s="6">
        <v>45551</v>
      </c>
      <c r="B659" s="47" t="s">
        <v>65</v>
      </c>
      <c r="C659" s="7">
        <v>1</v>
      </c>
      <c r="D659" s="8">
        <v>2.0833333333333332E-2</v>
      </c>
      <c r="E659" s="58">
        <f t="shared" si="0"/>
        <v>2.0833333333333332E-2</v>
      </c>
      <c r="F659" s="10">
        <f t="shared" si="144"/>
        <v>0.38196759259259261</v>
      </c>
      <c r="G659" s="10">
        <v>0.40570601851851851</v>
      </c>
      <c r="H659" s="8">
        <f t="shared" si="77"/>
        <v>1.9155092592592564E-2</v>
      </c>
      <c r="I659" s="11">
        <f t="shared" si="2"/>
        <v>0.40738425925925925</v>
      </c>
      <c r="J659" s="8"/>
      <c r="K659" s="8"/>
      <c r="L659" s="8">
        <v>4.5833333333333334E-3</v>
      </c>
      <c r="M659" s="12"/>
      <c r="N659" s="13">
        <f t="shared" si="4"/>
        <v>1.0876132930513611</v>
      </c>
    </row>
    <row r="660" spans="1:14" ht="14.5">
      <c r="A660" s="6">
        <v>45551</v>
      </c>
      <c r="B660" s="47" t="s">
        <v>16</v>
      </c>
      <c r="C660" s="7">
        <v>3</v>
      </c>
      <c r="D660" s="8">
        <v>5.5555555555555558E-3</v>
      </c>
      <c r="E660" s="58">
        <f t="shared" si="0"/>
        <v>1.6666666666666666E-2</v>
      </c>
      <c r="F660" s="10">
        <f t="shared" si="144"/>
        <v>0.40570601851851851</v>
      </c>
      <c r="G660" s="10">
        <v>0.42094907407407406</v>
      </c>
      <c r="H660" s="8">
        <f t="shared" si="77"/>
        <v>1.5243055555555551E-2</v>
      </c>
      <c r="I660" s="11">
        <f t="shared" si="2"/>
        <v>0.42237268518518517</v>
      </c>
      <c r="J660" s="8"/>
      <c r="K660" s="8"/>
      <c r="L660" s="8"/>
      <c r="M660" s="12"/>
      <c r="N660" s="13">
        <f t="shared" si="4"/>
        <v>1.0933940774487474</v>
      </c>
    </row>
    <row r="661" spans="1:14" ht="14.5">
      <c r="A661" s="6">
        <v>45558</v>
      </c>
      <c r="B661" s="47" t="s">
        <v>43</v>
      </c>
      <c r="C661" s="7">
        <v>2</v>
      </c>
      <c r="D661" s="8">
        <v>3.4722222222222224E-2</v>
      </c>
      <c r="E661" s="58">
        <f t="shared" si="0"/>
        <v>6.9444444444444448E-2</v>
      </c>
      <c r="F661" s="10">
        <v>0.33931712962962968</v>
      </c>
      <c r="G661" s="10">
        <v>0.41380787037037037</v>
      </c>
      <c r="H661" s="8">
        <f t="shared" si="77"/>
        <v>6.3981481481481431E-2</v>
      </c>
      <c r="I661" s="11">
        <f t="shared" si="2"/>
        <v>0.41927083333333337</v>
      </c>
      <c r="J661" s="8"/>
      <c r="K661" s="8"/>
      <c r="L661" s="8">
        <v>1.050925925925926E-2</v>
      </c>
      <c r="M661" s="18" t="s">
        <v>164</v>
      </c>
      <c r="N661" s="13">
        <f t="shared" si="4"/>
        <v>1.0853835021707678</v>
      </c>
    </row>
    <row r="662" spans="1:14" ht="14.5">
      <c r="A662" s="6">
        <v>45558</v>
      </c>
      <c r="B662" s="47" t="s">
        <v>42</v>
      </c>
      <c r="C662" s="7">
        <v>1</v>
      </c>
      <c r="D662" s="8">
        <v>6.9444444444444441E-3</v>
      </c>
      <c r="E662" s="58">
        <f t="shared" si="0"/>
        <v>6.9444444444444441E-3</v>
      </c>
      <c r="F662" s="10">
        <f>G661</f>
        <v>0.41380787037037037</v>
      </c>
      <c r="G662" s="10">
        <v>0.41997685185185185</v>
      </c>
      <c r="H662" s="8">
        <f t="shared" si="77"/>
        <v>6.1689814814814836E-3</v>
      </c>
      <c r="I662" s="11">
        <f t="shared" si="2"/>
        <v>0.42075231481481479</v>
      </c>
      <c r="J662" s="8"/>
      <c r="K662" s="8"/>
      <c r="L662" s="8"/>
      <c r="M662" s="18"/>
      <c r="N662" s="13">
        <f t="shared" si="4"/>
        <v>1.1257035647279545</v>
      </c>
    </row>
    <row r="663" spans="1:14" ht="14.5">
      <c r="A663" s="6">
        <v>45558</v>
      </c>
      <c r="B663" s="47" t="s">
        <v>50</v>
      </c>
      <c r="C663" s="7">
        <v>1</v>
      </c>
      <c r="D663" s="8">
        <v>1.0416666666666666E-2</v>
      </c>
      <c r="E663" s="58">
        <f t="shared" si="0"/>
        <v>1.0416666666666666E-2</v>
      </c>
      <c r="F663" s="10">
        <v>0.62886574074074075</v>
      </c>
      <c r="G663" s="10">
        <v>0.63855324074074071</v>
      </c>
      <c r="H663" s="8">
        <f t="shared" si="77"/>
        <v>9.68749999999996E-3</v>
      </c>
      <c r="I663" s="11">
        <f t="shared" si="2"/>
        <v>0.63928240740740738</v>
      </c>
      <c r="J663" s="8"/>
      <c r="K663" s="8"/>
      <c r="L663" s="8"/>
      <c r="M663" s="12"/>
      <c r="N663" s="13">
        <f t="shared" si="4"/>
        <v>1.0752688172043054</v>
      </c>
    </row>
    <row r="664" spans="1:14" ht="14.5">
      <c r="A664" s="6">
        <v>45558</v>
      </c>
      <c r="B664" s="47" t="s">
        <v>51</v>
      </c>
      <c r="C664" s="7">
        <v>1</v>
      </c>
      <c r="D664" s="8">
        <v>1.0416666666666666E-2</v>
      </c>
      <c r="E664" s="58">
        <f t="shared" si="0"/>
        <v>1.0416666666666666E-2</v>
      </c>
      <c r="F664" s="10">
        <f t="shared" ref="F664:F666" si="145">G663</f>
        <v>0.63855324074074071</v>
      </c>
      <c r="G664" s="10">
        <v>0.64785879629629628</v>
      </c>
      <c r="H664" s="8">
        <f t="shared" si="77"/>
        <v>9.3055555555555669E-3</v>
      </c>
      <c r="I664" s="11">
        <f t="shared" si="2"/>
        <v>0.64896990740740734</v>
      </c>
      <c r="J664" s="8"/>
      <c r="K664" s="8"/>
      <c r="L664" s="8"/>
      <c r="M664" s="12"/>
      <c r="N664" s="13">
        <f t="shared" si="4"/>
        <v>1.1194029850746254</v>
      </c>
    </row>
    <row r="665" spans="1:14" ht="14.5">
      <c r="A665" s="6">
        <v>45558</v>
      </c>
      <c r="B665" s="47" t="s">
        <v>52</v>
      </c>
      <c r="C665" s="7">
        <v>1</v>
      </c>
      <c r="D665" s="8">
        <v>1.0416666666666666E-2</v>
      </c>
      <c r="E665" s="58">
        <f t="shared" si="0"/>
        <v>1.0416666666666666E-2</v>
      </c>
      <c r="F665" s="10">
        <f t="shared" si="145"/>
        <v>0.64785879629629628</v>
      </c>
      <c r="G665" s="10">
        <v>0.65806712962962965</v>
      </c>
      <c r="H665" s="8">
        <f t="shared" si="77"/>
        <v>1.0208333333333375E-2</v>
      </c>
      <c r="I665" s="11">
        <f t="shared" si="2"/>
        <v>0.65827546296296291</v>
      </c>
      <c r="J665" s="8"/>
      <c r="K665" s="8"/>
      <c r="L665" s="8"/>
      <c r="M665" s="12"/>
      <c r="N665" s="13">
        <f t="shared" si="4"/>
        <v>1.0204081632653019</v>
      </c>
    </row>
    <row r="666" spans="1:14" ht="14.5">
      <c r="A666" s="6">
        <v>45558</v>
      </c>
      <c r="B666" s="47" t="s">
        <v>53</v>
      </c>
      <c r="C666" s="7">
        <v>1</v>
      </c>
      <c r="D666" s="8">
        <v>1.0416666666666666E-2</v>
      </c>
      <c r="E666" s="58">
        <f t="shared" si="0"/>
        <v>1.0416666666666666E-2</v>
      </c>
      <c r="F666" s="10">
        <f t="shared" si="145"/>
        <v>0.65806712962962965</v>
      </c>
      <c r="G666" s="50">
        <v>0.66753768518537981</v>
      </c>
      <c r="H666" s="8">
        <f t="shared" si="77"/>
        <v>9.4705555557501597E-3</v>
      </c>
      <c r="I666" s="11">
        <f t="shared" si="2"/>
        <v>0.66848379629629628</v>
      </c>
      <c r="J666" s="8"/>
      <c r="K666" s="8"/>
      <c r="L666" s="8"/>
      <c r="M666" s="12"/>
      <c r="N666" s="13">
        <f t="shared" si="4"/>
        <v>1.0999002756857346</v>
      </c>
    </row>
    <row r="667" spans="1:14" ht="14.5">
      <c r="A667" s="6">
        <v>45559</v>
      </c>
      <c r="B667" s="47" t="s">
        <v>49</v>
      </c>
      <c r="C667" s="7">
        <v>8</v>
      </c>
      <c r="D667" s="8">
        <v>3.472222222222222E-3</v>
      </c>
      <c r="E667" s="58">
        <f t="shared" si="0"/>
        <v>2.7777777777777776E-2</v>
      </c>
      <c r="F667" s="10">
        <v>0.56709490740740742</v>
      </c>
      <c r="G667" s="10">
        <v>0.59875199073576368</v>
      </c>
      <c r="H667" s="8">
        <f t="shared" si="77"/>
        <v>2.7490416661689596E-2</v>
      </c>
      <c r="I667" s="11">
        <f t="shared" si="2"/>
        <v>0.59903935185185186</v>
      </c>
      <c r="J667" s="8"/>
      <c r="K667" s="8"/>
      <c r="L667" s="8">
        <v>4.1666666666666666E-3</v>
      </c>
      <c r="M667" s="18" t="s">
        <v>165</v>
      </c>
      <c r="N667" s="13">
        <f t="shared" si="4"/>
        <v>1.0104531378925459</v>
      </c>
    </row>
    <row r="668" spans="1:14" ht="14.5">
      <c r="A668" s="6">
        <v>45559</v>
      </c>
      <c r="B668" s="47" t="s">
        <v>50</v>
      </c>
      <c r="C668" s="7">
        <v>1</v>
      </c>
      <c r="D668" s="8">
        <v>1.0416666666666666E-2</v>
      </c>
      <c r="E668" s="58">
        <f t="shared" si="0"/>
        <v>1.0416666666666666E-2</v>
      </c>
      <c r="F668" s="10">
        <v>0.60422453703703705</v>
      </c>
      <c r="G668" s="10">
        <v>0.6136342592592593</v>
      </c>
      <c r="H668" s="8">
        <f t="shared" si="77"/>
        <v>9.4097222222222499E-3</v>
      </c>
      <c r="I668" s="11">
        <f t="shared" si="2"/>
        <v>0.61464120370370368</v>
      </c>
      <c r="J668" s="8"/>
      <c r="K668" s="8"/>
      <c r="L668" s="8"/>
      <c r="M668" s="12"/>
      <c r="N668" s="13">
        <f t="shared" si="4"/>
        <v>1.1070110701106979</v>
      </c>
    </row>
    <row r="669" spans="1:14" ht="14.5">
      <c r="A669" s="6">
        <v>45559</v>
      </c>
      <c r="B669" s="47" t="s">
        <v>51</v>
      </c>
      <c r="C669" s="7">
        <v>1</v>
      </c>
      <c r="D669" s="8">
        <v>1.0416666666666666E-2</v>
      </c>
      <c r="E669" s="58">
        <f t="shared" si="0"/>
        <v>1.0416666666666666E-2</v>
      </c>
      <c r="F669" s="10">
        <f t="shared" ref="F669:F671" si="146">G668</f>
        <v>0.6136342592592593</v>
      </c>
      <c r="G669" s="10">
        <v>0.6468518518518519</v>
      </c>
      <c r="H669" s="8">
        <f t="shared" si="77"/>
        <v>9.8379629629629754E-3</v>
      </c>
      <c r="I669" s="11">
        <f t="shared" si="2"/>
        <v>0.64743055555555551</v>
      </c>
      <c r="J669" s="8"/>
      <c r="K669" s="8"/>
      <c r="L669" s="8">
        <v>2.3379629629629629E-2</v>
      </c>
      <c r="M669" s="12"/>
      <c r="N669" s="13">
        <f t="shared" si="4"/>
        <v>1.0588235294117634</v>
      </c>
    </row>
    <row r="670" spans="1:14" ht="14.5">
      <c r="A670" s="6">
        <v>45559</v>
      </c>
      <c r="B670" s="47" t="s">
        <v>52</v>
      </c>
      <c r="C670" s="7">
        <v>1</v>
      </c>
      <c r="D670" s="8">
        <v>1.0416666666666666E-2</v>
      </c>
      <c r="E670" s="58">
        <f t="shared" si="0"/>
        <v>1.0416666666666666E-2</v>
      </c>
      <c r="F670" s="10">
        <f t="shared" si="146"/>
        <v>0.6468518518518519</v>
      </c>
      <c r="G670" s="10">
        <v>0.65656250000000005</v>
      </c>
      <c r="H670" s="8">
        <f t="shared" si="77"/>
        <v>9.7106481481481488E-3</v>
      </c>
      <c r="I670" s="11">
        <f t="shared" si="2"/>
        <v>0.65726851851851853</v>
      </c>
      <c r="J670" s="8"/>
      <c r="K670" s="8"/>
      <c r="L670" s="8"/>
      <c r="M670" s="18"/>
      <c r="N670" s="13">
        <f t="shared" si="4"/>
        <v>1.072705601907032</v>
      </c>
    </row>
    <row r="671" spans="1:14" ht="14.5">
      <c r="A671" s="6">
        <v>45559</v>
      </c>
      <c r="B671" s="47" t="s">
        <v>53</v>
      </c>
      <c r="C671" s="7">
        <v>1</v>
      </c>
      <c r="D671" s="8">
        <v>1.0416666666666666E-2</v>
      </c>
      <c r="E671" s="58">
        <f t="shared" si="0"/>
        <v>1.0416666666666666E-2</v>
      </c>
      <c r="F671" s="10">
        <f t="shared" si="146"/>
        <v>0.65656250000000005</v>
      </c>
      <c r="G671" s="10">
        <v>0.66582175925925924</v>
      </c>
      <c r="H671" s="8">
        <f t="shared" si="77"/>
        <v>9.2592592592591894E-3</v>
      </c>
      <c r="I671" s="11">
        <f t="shared" si="2"/>
        <v>0.66697916666666668</v>
      </c>
      <c r="J671" s="8"/>
      <c r="K671" s="8"/>
      <c r="L671" s="8"/>
      <c r="M671" s="12"/>
      <c r="N671" s="13">
        <f t="shared" si="4"/>
        <v>1.1250000000000084</v>
      </c>
    </row>
    <row r="672" spans="1:14" ht="14.5">
      <c r="A672" s="6">
        <v>45559</v>
      </c>
      <c r="B672" s="47" t="s">
        <v>49</v>
      </c>
      <c r="C672" s="7">
        <v>32</v>
      </c>
      <c r="D672" s="8">
        <v>3.472222222222222E-3</v>
      </c>
      <c r="E672" s="58">
        <f t="shared" si="0"/>
        <v>0.1111111111111111</v>
      </c>
      <c r="F672" s="10">
        <v>0.66599537037037038</v>
      </c>
      <c r="G672" s="10">
        <v>0.77430555555555558</v>
      </c>
      <c r="H672" s="8">
        <f t="shared" si="77"/>
        <v>0.1083101851851852</v>
      </c>
      <c r="I672" s="11">
        <f t="shared" si="2"/>
        <v>0.77710648148148143</v>
      </c>
      <c r="J672" s="8"/>
      <c r="K672" s="8"/>
      <c r="L672" s="8"/>
      <c r="M672" s="12"/>
      <c r="N672" s="13">
        <f t="shared" si="4"/>
        <v>1.0258602265441332</v>
      </c>
    </row>
    <row r="673" spans="1:14" ht="14.5">
      <c r="A673" s="6">
        <v>45560</v>
      </c>
      <c r="B673" s="47" t="s">
        <v>49</v>
      </c>
      <c r="C673" s="7">
        <v>17</v>
      </c>
      <c r="D673" s="8">
        <v>3.472222222222222E-3</v>
      </c>
      <c r="E673" s="58">
        <f t="shared" si="0"/>
        <v>5.9027777777777776E-2</v>
      </c>
      <c r="F673" s="10">
        <v>0.3480092592592593</v>
      </c>
      <c r="G673" s="10">
        <v>0.41415509259259264</v>
      </c>
      <c r="H673" s="8">
        <f t="shared" si="77"/>
        <v>5.8356481481481495E-2</v>
      </c>
      <c r="I673" s="11">
        <f t="shared" si="2"/>
        <v>0.41482638888888895</v>
      </c>
      <c r="J673" s="8"/>
      <c r="K673" s="8"/>
      <c r="L673" s="8">
        <v>7.789351851851852E-3</v>
      </c>
      <c r="M673" s="12"/>
      <c r="N673" s="13">
        <f t="shared" si="4"/>
        <v>1.0115033716779054</v>
      </c>
    </row>
    <row r="674" spans="1:14" ht="14.5">
      <c r="A674" s="6">
        <v>45560</v>
      </c>
      <c r="B674" s="47" t="s">
        <v>49</v>
      </c>
      <c r="C674" s="7">
        <v>5</v>
      </c>
      <c r="D674" s="8">
        <v>3.472222222222222E-3</v>
      </c>
      <c r="E674" s="58">
        <f t="shared" si="0"/>
        <v>1.7361111111111112E-2</v>
      </c>
      <c r="F674" s="10">
        <v>0.41592592592592592</v>
      </c>
      <c r="G674" s="10">
        <v>0.43288194444444444</v>
      </c>
      <c r="H674" s="8">
        <f t="shared" si="77"/>
        <v>1.6956018518518523E-2</v>
      </c>
      <c r="I674" s="11">
        <f t="shared" si="2"/>
        <v>0.43328703703703703</v>
      </c>
      <c r="J674" s="8"/>
      <c r="K674" s="8"/>
      <c r="L674" s="8"/>
      <c r="M674" s="18"/>
      <c r="N674" s="13">
        <f t="shared" si="4"/>
        <v>1.0238907849829348</v>
      </c>
    </row>
    <row r="675" spans="1:14" ht="14.5">
      <c r="A675" s="6">
        <v>45560</v>
      </c>
      <c r="B675" s="47" t="s">
        <v>38</v>
      </c>
      <c r="C675" s="7">
        <v>43</v>
      </c>
      <c r="D675" s="8">
        <v>2.7777777777777779E-3</v>
      </c>
      <c r="E675" s="58">
        <f t="shared" si="0"/>
        <v>0.11944444444444445</v>
      </c>
      <c r="F675" s="10">
        <v>0.43299768518518517</v>
      </c>
      <c r="G675" s="10">
        <v>0.56258101851851849</v>
      </c>
      <c r="H675" s="8">
        <f t="shared" si="77"/>
        <v>0.10829861111111111</v>
      </c>
      <c r="I675" s="11">
        <f t="shared" si="2"/>
        <v>0.57372685185185179</v>
      </c>
      <c r="J675" s="8"/>
      <c r="K675" s="8"/>
      <c r="L675" s="8">
        <v>2.1284722222222222E-2</v>
      </c>
      <c r="M675" s="18"/>
      <c r="N675" s="13">
        <f t="shared" si="4"/>
        <v>1.1029176017954474</v>
      </c>
    </row>
    <row r="676" spans="1:14" ht="14.5">
      <c r="A676" s="6">
        <v>45560</v>
      </c>
      <c r="B676" s="47" t="s">
        <v>37</v>
      </c>
      <c r="C676" s="7">
        <v>25</v>
      </c>
      <c r="D676" s="8">
        <v>1.3888888888888889E-3</v>
      </c>
      <c r="E676" s="58">
        <f t="shared" si="0"/>
        <v>3.4722222222222224E-2</v>
      </c>
      <c r="F676" s="10">
        <v>0.5677430555555556</v>
      </c>
      <c r="G676" s="10">
        <v>0.59764335647923872</v>
      </c>
      <c r="H676" s="8">
        <f t="shared" si="77"/>
        <v>2.9900300923683121E-2</v>
      </c>
      <c r="I676" s="11">
        <f t="shared" si="2"/>
        <v>0.60246527777777781</v>
      </c>
      <c r="J676" s="8"/>
      <c r="K676" s="8"/>
      <c r="L676" s="8"/>
      <c r="M676" s="18"/>
      <c r="N676" s="13">
        <f t="shared" si="4"/>
        <v>1.1612666478122233</v>
      </c>
    </row>
    <row r="677" spans="1:14" ht="14.5">
      <c r="A677" s="6">
        <v>45560</v>
      </c>
      <c r="B677" s="47" t="s">
        <v>49</v>
      </c>
      <c r="C677" s="7">
        <v>25</v>
      </c>
      <c r="D677" s="8">
        <v>3.472222222222222E-3</v>
      </c>
      <c r="E677" s="58">
        <f t="shared" si="0"/>
        <v>8.6805555555555552E-2</v>
      </c>
      <c r="F677" s="10">
        <v>0.60238425925925931</v>
      </c>
      <c r="G677" s="10">
        <v>0.71098379629629627</v>
      </c>
      <c r="H677" s="8">
        <f t="shared" si="77"/>
        <v>8.2337962962962877E-2</v>
      </c>
      <c r="I677" s="11">
        <f t="shared" si="2"/>
        <v>0.71545138888888893</v>
      </c>
      <c r="J677" s="8"/>
      <c r="K677" s="8"/>
      <c r="L677" s="8">
        <v>2.6261574074074073E-2</v>
      </c>
      <c r="M677" s="12"/>
      <c r="N677" s="13">
        <f t="shared" si="4"/>
        <v>1.0542592071970773</v>
      </c>
    </row>
    <row r="678" spans="1:14" ht="14.5">
      <c r="A678" s="6">
        <v>45560</v>
      </c>
      <c r="B678" s="47" t="s">
        <v>65</v>
      </c>
      <c r="C678" s="7">
        <v>1</v>
      </c>
      <c r="D678" s="8">
        <v>2.0833333333333332E-2</v>
      </c>
      <c r="E678" s="8">
        <f t="shared" si="0"/>
        <v>2.0833333333333332E-2</v>
      </c>
      <c r="F678" s="10">
        <v>0.71103009259259264</v>
      </c>
      <c r="G678" s="10">
        <v>0.72715277777777776</v>
      </c>
      <c r="H678" s="8">
        <f t="shared" si="77"/>
        <v>1.6122685185185115E-2</v>
      </c>
      <c r="I678" s="11">
        <f t="shared" si="2"/>
        <v>0.73186342592592601</v>
      </c>
      <c r="J678" s="8"/>
      <c r="K678" s="8"/>
      <c r="L678" s="8" t="str">
        <f t="shared" ref="L678:L680" si="147">IF(OR(J678=0,K678=0)," ",K678-J678)</f>
        <v xml:space="preserve"> </v>
      </c>
      <c r="M678" s="12"/>
      <c r="N678" s="13">
        <f t="shared" si="4"/>
        <v>1.2921751615219008</v>
      </c>
    </row>
    <row r="679" spans="1:14" ht="14.5">
      <c r="A679" s="6">
        <v>45561</v>
      </c>
      <c r="B679" s="47" t="s">
        <v>42</v>
      </c>
      <c r="C679" s="7">
        <v>1</v>
      </c>
      <c r="D679" s="8">
        <v>6.9444444444444441E-3</v>
      </c>
      <c r="E679" s="8">
        <f t="shared" si="0"/>
        <v>6.9444444444444441E-3</v>
      </c>
      <c r="F679" s="10">
        <v>0.33409722222222227</v>
      </c>
      <c r="G679" s="10">
        <v>0.34038194444444447</v>
      </c>
      <c r="H679" s="8">
        <f t="shared" si="77"/>
        <v>6.2847222222222054E-3</v>
      </c>
      <c r="I679" s="11">
        <f t="shared" si="2"/>
        <v>0.34104166666666669</v>
      </c>
      <c r="J679" s="8"/>
      <c r="K679" s="8"/>
      <c r="L679" s="8" t="str">
        <f t="shared" si="147"/>
        <v xml:space="preserve"> </v>
      </c>
      <c r="M679" s="12"/>
      <c r="N679" s="13">
        <f t="shared" si="4"/>
        <v>1.1049723756906107</v>
      </c>
    </row>
    <row r="680" spans="1:14" ht="14.5">
      <c r="A680" s="6">
        <v>45561</v>
      </c>
      <c r="B680" s="47" t="s">
        <v>43</v>
      </c>
      <c r="C680" s="7">
        <v>1</v>
      </c>
      <c r="D680" s="8">
        <v>3.4722222222222224E-2</v>
      </c>
      <c r="E680" s="8">
        <f t="shared" si="0"/>
        <v>3.4722222222222224E-2</v>
      </c>
      <c r="F680" s="10">
        <v>0.34038194444444447</v>
      </c>
      <c r="G680" s="10">
        <v>0.3712152777777778</v>
      </c>
      <c r="H680" s="8">
        <f t="shared" si="77"/>
        <v>3.0833333333333324E-2</v>
      </c>
      <c r="I680" s="11">
        <f t="shared" si="2"/>
        <v>0.37510416666666668</v>
      </c>
      <c r="J680" s="8"/>
      <c r="K680" s="8"/>
      <c r="L680" s="8" t="str">
        <f t="shared" si="147"/>
        <v xml:space="preserve"> </v>
      </c>
      <c r="M680" s="12"/>
      <c r="N680" s="13">
        <f t="shared" si="4"/>
        <v>1.1261261261261266</v>
      </c>
    </row>
    <row r="681" spans="1:14" ht="14.5">
      <c r="A681" s="6">
        <v>45561</v>
      </c>
      <c r="B681" s="47" t="s">
        <v>38</v>
      </c>
      <c r="C681" s="7">
        <v>37</v>
      </c>
      <c r="D681" s="8">
        <v>2.7777777777777779E-3</v>
      </c>
      <c r="E681" s="8">
        <f t="shared" si="0"/>
        <v>0.10277777777777779</v>
      </c>
      <c r="F681" s="10">
        <f>G680</f>
        <v>0.3712152777777778</v>
      </c>
      <c r="G681" s="10">
        <v>0.50934027777777779</v>
      </c>
      <c r="H681" s="8">
        <f t="shared" si="77"/>
        <v>9.5000000000000001E-2</v>
      </c>
      <c r="I681" s="11">
        <f t="shared" si="2"/>
        <v>0.51711805555555557</v>
      </c>
      <c r="J681" s="8"/>
      <c r="K681" s="8"/>
      <c r="L681" s="8">
        <v>4.3124999999999997E-2</v>
      </c>
      <c r="M681" s="18"/>
      <c r="N681" s="13">
        <f t="shared" si="4"/>
        <v>1.0818713450292399</v>
      </c>
    </row>
    <row r="682" spans="1:14" ht="14.5">
      <c r="A682" s="6">
        <v>45561</v>
      </c>
      <c r="B682" s="47" t="s">
        <v>49</v>
      </c>
      <c r="C682" s="7">
        <v>12</v>
      </c>
      <c r="D682" s="8">
        <v>3.472222222222222E-3</v>
      </c>
      <c r="E682" s="8">
        <f t="shared" si="0"/>
        <v>4.1666666666666664E-2</v>
      </c>
      <c r="F682" s="10">
        <v>0.50949074074074074</v>
      </c>
      <c r="G682" s="10">
        <v>0.55975694444444446</v>
      </c>
      <c r="H682" s="8">
        <f t="shared" si="77"/>
        <v>5.0266203703703716E-2</v>
      </c>
      <c r="I682" s="11">
        <f t="shared" si="2"/>
        <v>0.55115740740740737</v>
      </c>
      <c r="J682" s="8"/>
      <c r="K682" s="8"/>
      <c r="L682" s="8"/>
      <c r="M682" s="12"/>
      <c r="N682" s="13">
        <f t="shared" si="4"/>
        <v>0.82892010131245664</v>
      </c>
    </row>
    <row r="683" spans="1:14" ht="14.5">
      <c r="A683" s="6">
        <v>45561</v>
      </c>
      <c r="B683" s="47" t="s">
        <v>49</v>
      </c>
      <c r="C683" s="7">
        <v>18</v>
      </c>
      <c r="D683" s="8">
        <v>3.472222222222222E-3</v>
      </c>
      <c r="E683" s="9">
        <f t="shared" si="0"/>
        <v>6.25E-2</v>
      </c>
      <c r="F683" s="10">
        <v>0.57013888888888886</v>
      </c>
      <c r="G683" s="8">
        <v>0.63769675925925928</v>
      </c>
      <c r="H683" s="8">
        <f t="shared" si="77"/>
        <v>5.4780092592592644E-2</v>
      </c>
      <c r="I683" s="11">
        <f t="shared" si="2"/>
        <v>0.64541666666666664</v>
      </c>
      <c r="J683" s="8"/>
      <c r="K683" s="8"/>
      <c r="L683" s="8">
        <v>1.2777777777777779E-2</v>
      </c>
      <c r="M683" s="12"/>
      <c r="N683" s="13">
        <f t="shared" si="4"/>
        <v>1.1409254172829062</v>
      </c>
    </row>
    <row r="684" spans="1:14" ht="14.5">
      <c r="A684" s="6">
        <v>45561</v>
      </c>
      <c r="B684" s="47" t="s">
        <v>50</v>
      </c>
      <c r="C684" s="7">
        <v>1</v>
      </c>
      <c r="D684" s="8">
        <v>1.0416666666666666E-2</v>
      </c>
      <c r="E684" s="8">
        <f t="shared" si="0"/>
        <v>1.0416666666666666E-2</v>
      </c>
      <c r="F684" s="8">
        <v>0.63778935185185182</v>
      </c>
      <c r="G684" s="10">
        <v>0.64722222222222225</v>
      </c>
      <c r="H684" s="8">
        <f t="shared" si="77"/>
        <v>9.4328703703704386E-3</v>
      </c>
      <c r="I684" s="11">
        <f t="shared" si="2"/>
        <v>0.64820601851851845</v>
      </c>
      <c r="J684" s="8"/>
      <c r="K684" s="8"/>
      <c r="L684" s="8" t="str">
        <f>IF(OR(J684=0,K684=0)," ",K684-J684)</f>
        <v xml:space="preserve"> </v>
      </c>
      <c r="M684" s="18"/>
      <c r="N684" s="13">
        <f t="shared" si="4"/>
        <v>1.1042944785275992</v>
      </c>
    </row>
    <row r="685" spans="1:14" ht="14.5">
      <c r="A685" s="6">
        <v>45561</v>
      </c>
      <c r="B685" s="47" t="s">
        <v>51</v>
      </c>
      <c r="C685" s="7">
        <v>1</v>
      </c>
      <c r="D685" s="8">
        <v>1.0416666666666666E-2</v>
      </c>
      <c r="E685" s="8">
        <f t="shared" si="0"/>
        <v>1.0416666666666666E-2</v>
      </c>
      <c r="F685" s="8">
        <f t="shared" ref="F685:F687" si="148">G684</f>
        <v>0.64722222222222225</v>
      </c>
      <c r="G685" s="10">
        <v>0.66962962962962957</v>
      </c>
      <c r="H685" s="8">
        <f t="shared" si="77"/>
        <v>9.2476851851850984E-3</v>
      </c>
      <c r="I685" s="11">
        <f t="shared" si="2"/>
        <v>0.67079861111111105</v>
      </c>
      <c r="J685" s="8"/>
      <c r="K685" s="8"/>
      <c r="L685" s="8">
        <v>1.3159722222222222E-2</v>
      </c>
      <c r="M685" s="12"/>
      <c r="N685" s="13">
        <f t="shared" si="4"/>
        <v>1.1264080100125262</v>
      </c>
    </row>
    <row r="686" spans="1:14" ht="14.5">
      <c r="A686" s="6">
        <v>45561</v>
      </c>
      <c r="B686" s="47" t="s">
        <v>52</v>
      </c>
      <c r="C686" s="7">
        <v>1</v>
      </c>
      <c r="D686" s="8">
        <v>1.0416666666666666E-2</v>
      </c>
      <c r="E686" s="8">
        <f t="shared" si="0"/>
        <v>1.0416666666666666E-2</v>
      </c>
      <c r="F686" s="8">
        <f t="shared" si="148"/>
        <v>0.66962962962962957</v>
      </c>
      <c r="G686" s="10">
        <v>0.67883101851851857</v>
      </c>
      <c r="H686" s="8">
        <f t="shared" si="77"/>
        <v>9.201388888888995E-3</v>
      </c>
      <c r="I686" s="11">
        <f t="shared" si="2"/>
        <v>0.6800462962962962</v>
      </c>
      <c r="J686" s="8"/>
      <c r="K686" s="8"/>
      <c r="L686" s="8" t="str">
        <f t="shared" ref="L686:L688" si="149">IF(OR(J686=0,K686=0)," ",K686-J686)</f>
        <v xml:space="preserve"> </v>
      </c>
      <c r="M686" s="12"/>
      <c r="N686" s="13">
        <f t="shared" si="4"/>
        <v>1.1320754716981001</v>
      </c>
    </row>
    <row r="687" spans="1:14" ht="14.5">
      <c r="A687" s="6">
        <v>45561</v>
      </c>
      <c r="B687" s="47" t="s">
        <v>53</v>
      </c>
      <c r="C687" s="7">
        <v>1</v>
      </c>
      <c r="D687" s="8">
        <v>1.0416666666666666E-2</v>
      </c>
      <c r="E687" s="8">
        <f t="shared" si="0"/>
        <v>1.0416666666666666E-2</v>
      </c>
      <c r="F687" s="8">
        <f t="shared" si="148"/>
        <v>0.67883101851851857</v>
      </c>
      <c r="G687" s="10">
        <v>0.68817129629629625</v>
      </c>
      <c r="H687" s="8">
        <f t="shared" si="77"/>
        <v>9.3402777777776835E-3</v>
      </c>
      <c r="I687" s="11">
        <f t="shared" si="2"/>
        <v>0.6892476851851852</v>
      </c>
      <c r="J687" s="8"/>
      <c r="K687" s="8"/>
      <c r="L687" s="8" t="str">
        <f t="shared" si="149"/>
        <v xml:space="preserve"> </v>
      </c>
      <c r="M687" s="12"/>
      <c r="N687" s="13">
        <f t="shared" si="4"/>
        <v>1.1152416356877435</v>
      </c>
    </row>
    <row r="688" spans="1:14" ht="14.5">
      <c r="A688" s="6">
        <v>45561</v>
      </c>
      <c r="B688" s="47" t="s">
        <v>49</v>
      </c>
      <c r="C688" s="7">
        <v>7</v>
      </c>
      <c r="D688" s="8">
        <v>3.472222222222222E-3</v>
      </c>
      <c r="E688" s="8">
        <f t="shared" si="0"/>
        <v>2.4305555555555552E-2</v>
      </c>
      <c r="F688" s="8">
        <v>0.68831018518518516</v>
      </c>
      <c r="G688" s="10">
        <v>0.71370370370370373</v>
      </c>
      <c r="H688" s="8">
        <f t="shared" si="77"/>
        <v>2.5393518518518565E-2</v>
      </c>
      <c r="I688" s="11">
        <f t="shared" si="2"/>
        <v>0.71261574074074074</v>
      </c>
      <c r="J688" s="8"/>
      <c r="K688" s="8"/>
      <c r="L688" s="8" t="str">
        <f t="shared" si="149"/>
        <v xml:space="preserve"> </v>
      </c>
      <c r="M688" s="18"/>
      <c r="N688" s="13">
        <f t="shared" si="4"/>
        <v>0.95715587967183036</v>
      </c>
    </row>
    <row r="689" spans="1:14" ht="14.5">
      <c r="A689" s="6">
        <v>45562</v>
      </c>
      <c r="B689" s="47" t="s">
        <v>49</v>
      </c>
      <c r="C689" s="7">
        <v>40</v>
      </c>
      <c r="D689" s="8">
        <v>3.472222222222222E-3</v>
      </c>
      <c r="E689" s="8">
        <f t="shared" si="0"/>
        <v>0.1388888888888889</v>
      </c>
      <c r="F689" s="10">
        <v>0.33777777777777773</v>
      </c>
      <c r="G689" s="50">
        <v>0.52644675925925921</v>
      </c>
      <c r="H689" s="8">
        <f t="shared" si="77"/>
        <v>0.13756944444444444</v>
      </c>
      <c r="I689" s="11">
        <f t="shared" si="2"/>
        <v>0.52776620370370364</v>
      </c>
      <c r="J689" s="8"/>
      <c r="K689" s="8"/>
      <c r="L689" s="8">
        <v>5.1099537037037034E-2</v>
      </c>
      <c r="M689" s="18"/>
      <c r="N689" s="13">
        <f t="shared" si="4"/>
        <v>1.0095911155981829</v>
      </c>
    </row>
    <row r="690" spans="1:14" ht="14.5">
      <c r="A690" s="6">
        <v>45562</v>
      </c>
      <c r="B690" s="47" t="s">
        <v>16</v>
      </c>
      <c r="C690" s="7">
        <v>4</v>
      </c>
      <c r="D690" s="8">
        <v>5.5555555555555558E-3</v>
      </c>
      <c r="E690" s="8">
        <f t="shared" si="0"/>
        <v>2.2222222222222223E-2</v>
      </c>
      <c r="F690" s="50">
        <v>0.52656250000000004</v>
      </c>
      <c r="G690" s="10">
        <v>0.54616898148148152</v>
      </c>
      <c r="H690" s="8">
        <f t="shared" si="77"/>
        <v>1.9606481481481475E-2</v>
      </c>
      <c r="I690" s="11">
        <f t="shared" si="2"/>
        <v>0.5487847222222223</v>
      </c>
      <c r="J690" s="8"/>
      <c r="K690" s="8"/>
      <c r="L690" s="8" t="str">
        <f>IF(OR(J690=0,K690=0)," ",K690-J690)</f>
        <v xml:space="preserve"> </v>
      </c>
      <c r="M690" s="12"/>
      <c r="N690" s="13">
        <f t="shared" si="4"/>
        <v>1.1334120425029521</v>
      </c>
    </row>
    <row r="691" spans="1:14" ht="14.5">
      <c r="A691" s="6">
        <v>45562</v>
      </c>
      <c r="B691" s="47" t="s">
        <v>49</v>
      </c>
      <c r="C691" s="7">
        <v>23</v>
      </c>
      <c r="D691" s="8">
        <v>3.472222222222222E-3</v>
      </c>
      <c r="E691" s="8">
        <f t="shared" si="0"/>
        <v>7.9861111111111105E-2</v>
      </c>
      <c r="F691" s="10">
        <v>0.5462731481481482</v>
      </c>
      <c r="G691" s="10">
        <v>0.67386574074074079</v>
      </c>
      <c r="H691" s="8">
        <f t="shared" si="77"/>
        <v>7.7766203703703699E-2</v>
      </c>
      <c r="I691" s="11">
        <f t="shared" si="2"/>
        <v>0.67596064814814827</v>
      </c>
      <c r="J691" s="8"/>
      <c r="K691" s="8"/>
      <c r="L691" s="8">
        <v>4.9826388888888892E-2</v>
      </c>
      <c r="M691" s="18"/>
      <c r="N691" s="13">
        <f t="shared" si="4"/>
        <v>1.0269385325197202</v>
      </c>
    </row>
    <row r="692" spans="1:14" ht="14.5">
      <c r="A692" s="6">
        <v>45562</v>
      </c>
      <c r="B692" s="47" t="s">
        <v>16</v>
      </c>
      <c r="C692" s="7">
        <v>9</v>
      </c>
      <c r="D692" s="8">
        <v>5.5555555555555558E-3</v>
      </c>
      <c r="E692" s="8">
        <f t="shared" si="0"/>
        <v>0.05</v>
      </c>
      <c r="F692" s="10">
        <v>0.67394675925925929</v>
      </c>
      <c r="G692" s="10">
        <v>0.71932870370370372</v>
      </c>
      <c r="H692" s="8">
        <f t="shared" si="77"/>
        <v>4.5381944444444433E-2</v>
      </c>
      <c r="I692" s="11">
        <f t="shared" si="2"/>
        <v>0.72394675925925933</v>
      </c>
      <c r="J692" s="8"/>
      <c r="K692" s="8"/>
      <c r="L692" s="8" t="str">
        <f t="shared" ref="L692:L694" si="150">IF(OR(J692=0,K692=0)," ",K692-J692)</f>
        <v xml:space="preserve"> </v>
      </c>
      <c r="M692" s="18"/>
      <c r="N692" s="13">
        <f t="shared" si="4"/>
        <v>1.1017597551644991</v>
      </c>
    </row>
    <row r="693" spans="1:14" ht="14.5">
      <c r="A693" s="6">
        <v>45565</v>
      </c>
      <c r="B693" s="47" t="s">
        <v>42</v>
      </c>
      <c r="C693" s="7">
        <v>1</v>
      </c>
      <c r="D693" s="8">
        <v>6.9444444444444441E-3</v>
      </c>
      <c r="E693" s="8">
        <f t="shared" si="0"/>
        <v>6.9444444444444441E-3</v>
      </c>
      <c r="F693" s="10">
        <v>0.33598379629629627</v>
      </c>
      <c r="G693" s="10">
        <v>0.34218749999999998</v>
      </c>
      <c r="H693" s="8">
        <f t="shared" si="77"/>
        <v>6.2037037037037113E-3</v>
      </c>
      <c r="I693" s="11">
        <f t="shared" si="2"/>
        <v>0.34292824074074069</v>
      </c>
      <c r="J693" s="8"/>
      <c r="K693" s="8"/>
      <c r="L693" s="8" t="str">
        <f t="shared" si="150"/>
        <v xml:space="preserve"> </v>
      </c>
      <c r="M693" s="18"/>
      <c r="N693" s="13">
        <f t="shared" si="4"/>
        <v>1.1194029850746254</v>
      </c>
    </row>
    <row r="694" spans="1:14" ht="14.5">
      <c r="A694" s="6">
        <v>45565</v>
      </c>
      <c r="B694" s="47" t="s">
        <v>43</v>
      </c>
      <c r="C694" s="7">
        <v>1</v>
      </c>
      <c r="D694" s="8">
        <v>3.4722222222222224E-2</v>
      </c>
      <c r="E694" s="8">
        <f t="shared" si="0"/>
        <v>3.4722222222222224E-2</v>
      </c>
      <c r="F694" s="10">
        <f t="shared" ref="F694:F702" si="151">G693</f>
        <v>0.34218749999999998</v>
      </c>
      <c r="G694" s="10">
        <v>0.37375000000000003</v>
      </c>
      <c r="H694" s="8">
        <f t="shared" si="77"/>
        <v>3.1562500000000049E-2</v>
      </c>
      <c r="I694" s="11">
        <f t="shared" si="2"/>
        <v>0.37690972222222219</v>
      </c>
      <c r="J694" s="8"/>
      <c r="K694" s="8"/>
      <c r="L694" s="8" t="str">
        <f t="shared" si="150"/>
        <v xml:space="preserve"> </v>
      </c>
      <c r="M694" s="12"/>
      <c r="N694" s="13">
        <f t="shared" si="4"/>
        <v>1.1001100110010984</v>
      </c>
    </row>
    <row r="695" spans="1:14" ht="14.5">
      <c r="A695" s="6">
        <v>45565</v>
      </c>
      <c r="B695" s="47" t="s">
        <v>63</v>
      </c>
      <c r="C695" s="7">
        <v>1</v>
      </c>
      <c r="D695" s="8">
        <v>3.4722222222222224E-2</v>
      </c>
      <c r="E695" s="8">
        <f t="shared" si="0"/>
        <v>3.4722222222222224E-2</v>
      </c>
      <c r="F695" s="10">
        <f t="shared" si="151"/>
        <v>0.37375000000000003</v>
      </c>
      <c r="G695" s="10">
        <v>0.41079861111111116</v>
      </c>
      <c r="H695" s="8">
        <f t="shared" si="77"/>
        <v>3.3912037037037053E-2</v>
      </c>
      <c r="I695" s="11">
        <f t="shared" si="2"/>
        <v>0.41160879629629632</v>
      </c>
      <c r="J695" s="8"/>
      <c r="K695" s="8"/>
      <c r="L695" s="8">
        <v>3.1365740740740742E-3</v>
      </c>
      <c r="M695" s="18"/>
      <c r="N695" s="13">
        <f t="shared" si="4"/>
        <v>1.0238907849829346</v>
      </c>
    </row>
    <row r="696" spans="1:14" ht="14.5">
      <c r="A696" s="6">
        <v>45565</v>
      </c>
      <c r="B696" s="47" t="s">
        <v>85</v>
      </c>
      <c r="C696" s="7">
        <v>1</v>
      </c>
      <c r="D696" s="8">
        <v>0.11458333333333333</v>
      </c>
      <c r="E696" s="8">
        <f t="shared" si="0"/>
        <v>0.11458333333333333</v>
      </c>
      <c r="F696" s="10">
        <f t="shared" si="151"/>
        <v>0.41079861111111116</v>
      </c>
      <c r="G696" s="10">
        <v>0.53372685185185187</v>
      </c>
      <c r="H696" s="8">
        <f t="shared" si="77"/>
        <v>0.10388888888888886</v>
      </c>
      <c r="I696" s="11">
        <f t="shared" si="2"/>
        <v>0.54442129629629643</v>
      </c>
      <c r="J696" s="8"/>
      <c r="K696" s="8"/>
      <c r="L696" s="8">
        <v>1.9039351851851852E-2</v>
      </c>
      <c r="M696" s="18"/>
      <c r="N696" s="13">
        <f t="shared" si="4"/>
        <v>1.1029411764705885</v>
      </c>
    </row>
    <row r="697" spans="1:14" ht="14.5">
      <c r="A697" s="6">
        <v>45565</v>
      </c>
      <c r="B697" s="47" t="s">
        <v>27</v>
      </c>
      <c r="C697" s="7">
        <v>62</v>
      </c>
      <c r="D697" s="8">
        <v>1.3888888888888889E-3</v>
      </c>
      <c r="E697" s="8">
        <f t="shared" si="0"/>
        <v>8.611111111111111E-2</v>
      </c>
      <c r="F697" s="10">
        <f t="shared" si="151"/>
        <v>0.53372685185185187</v>
      </c>
      <c r="G697" s="10">
        <v>0.65016203703703701</v>
      </c>
      <c r="H697" s="8">
        <f t="shared" si="77"/>
        <v>8.2118055555555514E-2</v>
      </c>
      <c r="I697" s="11">
        <f t="shared" si="2"/>
        <v>0.65415509259259264</v>
      </c>
      <c r="J697" s="8"/>
      <c r="K697" s="8"/>
      <c r="L697" s="8">
        <v>3.4317129629629628E-2</v>
      </c>
      <c r="M697" s="12"/>
      <c r="N697" s="13">
        <f t="shared" si="4"/>
        <v>1.0486257928118399</v>
      </c>
    </row>
    <row r="698" spans="1:14" ht="14.5">
      <c r="A698" s="6">
        <v>45565</v>
      </c>
      <c r="B698" s="47" t="s">
        <v>50</v>
      </c>
      <c r="C698" s="7">
        <v>1</v>
      </c>
      <c r="D698" s="8">
        <v>1.0416666666666666E-2</v>
      </c>
      <c r="E698" s="8">
        <f t="shared" si="0"/>
        <v>1.0416666666666666E-2</v>
      </c>
      <c r="F698" s="10">
        <f t="shared" si="151"/>
        <v>0.65016203703703701</v>
      </c>
      <c r="G698" s="10">
        <v>0.65957175925925926</v>
      </c>
      <c r="H698" s="8">
        <f t="shared" si="77"/>
        <v>9.4097222222222499E-3</v>
      </c>
      <c r="I698" s="11">
        <f t="shared" si="2"/>
        <v>0.66057870370370364</v>
      </c>
      <c r="J698" s="8"/>
      <c r="K698" s="8"/>
      <c r="L698" s="8" t="str">
        <f t="shared" ref="L698:L702" si="152">IF(OR(J698=0,K698=0)," ",K698-J698)</f>
        <v xml:space="preserve"> </v>
      </c>
      <c r="M698" s="18"/>
      <c r="N698" s="13">
        <f t="shared" si="4"/>
        <v>1.1070110701106979</v>
      </c>
    </row>
    <row r="699" spans="1:14" ht="14.5">
      <c r="A699" s="6">
        <v>45565</v>
      </c>
      <c r="B699" s="47" t="s">
        <v>16</v>
      </c>
      <c r="C699" s="7">
        <v>5</v>
      </c>
      <c r="D699" s="8">
        <v>5.5555555555555558E-3</v>
      </c>
      <c r="E699" s="8">
        <f t="shared" si="0"/>
        <v>2.777777777777778E-2</v>
      </c>
      <c r="F699" s="10">
        <f t="shared" si="151"/>
        <v>0.65957175925925926</v>
      </c>
      <c r="G699" s="10">
        <v>0.68486111111111114</v>
      </c>
      <c r="H699" s="8">
        <f t="shared" si="77"/>
        <v>2.5289351851851882E-2</v>
      </c>
      <c r="I699" s="11">
        <f t="shared" si="2"/>
        <v>0.68734953703703705</v>
      </c>
      <c r="J699" s="8"/>
      <c r="K699" s="8"/>
      <c r="L699" s="8" t="str">
        <f t="shared" si="152"/>
        <v xml:space="preserve"> </v>
      </c>
      <c r="M699" s="18"/>
      <c r="N699" s="13">
        <f t="shared" si="4"/>
        <v>1.0983981693363831</v>
      </c>
    </row>
    <row r="700" spans="1:14" ht="14.5">
      <c r="A700" s="6">
        <v>45565</v>
      </c>
      <c r="B700" s="47" t="s">
        <v>51</v>
      </c>
      <c r="C700" s="7">
        <v>1</v>
      </c>
      <c r="D700" s="8">
        <v>1.0416666666666666E-2</v>
      </c>
      <c r="E700" s="8">
        <f t="shared" si="0"/>
        <v>1.0416666666666666E-2</v>
      </c>
      <c r="F700" s="10">
        <f t="shared" si="151"/>
        <v>0.68486111111111114</v>
      </c>
      <c r="G700" s="10">
        <v>0.69472222222222224</v>
      </c>
      <c r="H700" s="8">
        <f t="shared" si="77"/>
        <v>9.8611111111110983E-3</v>
      </c>
      <c r="I700" s="11">
        <f t="shared" si="2"/>
        <v>0.69527777777777777</v>
      </c>
      <c r="J700" s="8"/>
      <c r="K700" s="8"/>
      <c r="L700" s="8" t="str">
        <f t="shared" si="152"/>
        <v xml:space="preserve"> </v>
      </c>
      <c r="M700" s="12"/>
      <c r="N700" s="13">
        <f t="shared" si="4"/>
        <v>1.0563380281690153</v>
      </c>
    </row>
    <row r="701" spans="1:14" ht="14.5">
      <c r="A701" s="6">
        <v>45565</v>
      </c>
      <c r="B701" s="47" t="s">
        <v>52</v>
      </c>
      <c r="C701" s="7">
        <v>1</v>
      </c>
      <c r="D701" s="8">
        <v>1.0416666666666666E-2</v>
      </c>
      <c r="E701" s="8">
        <f t="shared" si="0"/>
        <v>1.0416666666666666E-2</v>
      </c>
      <c r="F701" s="10">
        <f t="shared" si="151"/>
        <v>0.69472222222222224</v>
      </c>
      <c r="G701" s="10">
        <v>0.70407407407407407</v>
      </c>
      <c r="H701" s="8">
        <f t="shared" si="77"/>
        <v>9.3518518518518334E-3</v>
      </c>
      <c r="I701" s="11">
        <f t="shared" si="2"/>
        <v>0.70513888888888887</v>
      </c>
      <c r="J701" s="8"/>
      <c r="K701" s="8"/>
      <c r="L701" s="8" t="str">
        <f t="shared" si="152"/>
        <v xml:space="preserve"> </v>
      </c>
      <c r="M701" s="12"/>
      <c r="N701" s="13">
        <f t="shared" si="4"/>
        <v>1.113861386138616</v>
      </c>
    </row>
    <row r="702" spans="1:14" ht="14.5">
      <c r="A702" s="6">
        <v>45565</v>
      </c>
      <c r="B702" s="47" t="s">
        <v>53</v>
      </c>
      <c r="C702" s="7">
        <v>1</v>
      </c>
      <c r="D702" s="8">
        <v>1.0416666666666666E-2</v>
      </c>
      <c r="E702" s="8">
        <f t="shared" si="0"/>
        <v>1.0416666666666666E-2</v>
      </c>
      <c r="F702" s="10">
        <f t="shared" si="151"/>
        <v>0.70407407407407407</v>
      </c>
      <c r="G702" s="10">
        <v>0.71346064814814814</v>
      </c>
      <c r="H702" s="8">
        <f t="shared" si="77"/>
        <v>9.3865740740740611E-3</v>
      </c>
      <c r="I702" s="11">
        <f t="shared" si="2"/>
        <v>0.7144907407407407</v>
      </c>
      <c r="J702" s="8"/>
      <c r="K702" s="8"/>
      <c r="L702" s="8" t="str">
        <f t="shared" si="152"/>
        <v xml:space="preserve"> </v>
      </c>
      <c r="M702" s="18"/>
      <c r="N702" s="13">
        <f t="shared" si="4"/>
        <v>1.109741060419237</v>
      </c>
    </row>
    <row r="703" spans="1:14" ht="14.5">
      <c r="A703" s="6">
        <v>45566</v>
      </c>
      <c r="B703" s="47" t="s">
        <v>90</v>
      </c>
      <c r="C703" s="7">
        <v>1</v>
      </c>
      <c r="D703" s="8">
        <v>7.2916666666666671E-2</v>
      </c>
      <c r="E703" s="8">
        <f t="shared" si="0"/>
        <v>7.2916666666666671E-2</v>
      </c>
      <c r="F703" s="10">
        <v>0.3299305555555555</v>
      </c>
      <c r="G703" s="10">
        <v>0.41143518518518518</v>
      </c>
      <c r="H703" s="8">
        <f t="shared" si="77"/>
        <v>6.6840277777777818E-2</v>
      </c>
      <c r="I703" s="11">
        <f t="shared" si="2"/>
        <v>0.41751157407407402</v>
      </c>
      <c r="J703" s="8"/>
      <c r="K703" s="8"/>
      <c r="L703" s="8">
        <v>1.4664351851851852E-2</v>
      </c>
      <c r="M703" s="18"/>
      <c r="N703" s="13">
        <f t="shared" si="4"/>
        <v>1.0909090909090904</v>
      </c>
    </row>
    <row r="704" spans="1:14" ht="14.5">
      <c r="A704" s="6">
        <v>45566</v>
      </c>
      <c r="B704" s="47" t="s">
        <v>86</v>
      </c>
      <c r="C704" s="7">
        <v>45</v>
      </c>
      <c r="D704" s="8">
        <v>1.3888888888888889E-3</v>
      </c>
      <c r="E704" s="8">
        <f t="shared" si="0"/>
        <v>6.25E-2</v>
      </c>
      <c r="F704" s="10">
        <f t="shared" ref="F704:F706" si="153">G703</f>
        <v>0.41143518518518518</v>
      </c>
      <c r="G704" s="10">
        <v>0.49703703703703705</v>
      </c>
      <c r="H704" s="8">
        <f t="shared" si="77"/>
        <v>5.9895833333333356E-2</v>
      </c>
      <c r="I704" s="11">
        <f t="shared" si="2"/>
        <v>0.49964120370370368</v>
      </c>
      <c r="J704" s="8"/>
      <c r="K704" s="8"/>
      <c r="L704" s="8">
        <v>2.5706018518518517E-2</v>
      </c>
      <c r="M704" s="37" t="s">
        <v>94</v>
      </c>
      <c r="N704" s="13">
        <f t="shared" si="4"/>
        <v>1.0434782608695647</v>
      </c>
    </row>
    <row r="705" spans="1:14" ht="14.5">
      <c r="A705" s="6">
        <v>45566</v>
      </c>
      <c r="B705" s="47" t="s">
        <v>16</v>
      </c>
      <c r="C705" s="7">
        <v>7</v>
      </c>
      <c r="D705" s="8">
        <v>5.5555555555555558E-3</v>
      </c>
      <c r="E705" s="8">
        <f t="shared" si="0"/>
        <v>3.888888888888889E-2</v>
      </c>
      <c r="F705" s="10">
        <f t="shared" si="153"/>
        <v>0.49703703703703705</v>
      </c>
      <c r="G705" s="10">
        <v>0.53313657407407411</v>
      </c>
      <c r="H705" s="8">
        <f t="shared" si="77"/>
        <v>3.6099537037037055E-2</v>
      </c>
      <c r="I705" s="11">
        <f t="shared" si="2"/>
        <v>0.53592592592592592</v>
      </c>
      <c r="J705" s="8"/>
      <c r="K705" s="8"/>
      <c r="L705" s="8" t="str">
        <f>IF(OR(J705=0,K705=0)," ",K705-J705)</f>
        <v xml:space="preserve"> </v>
      </c>
      <c r="M705" s="12"/>
      <c r="N705" s="13">
        <f t="shared" si="4"/>
        <v>1.0772683552420643</v>
      </c>
    </row>
    <row r="706" spans="1:14" ht="14.5">
      <c r="A706" s="6">
        <v>45566</v>
      </c>
      <c r="B706" s="47" t="s">
        <v>38</v>
      </c>
      <c r="C706" s="7">
        <v>60</v>
      </c>
      <c r="D706" s="8">
        <v>2.7777777777777779E-3</v>
      </c>
      <c r="E706" s="8">
        <f t="shared" si="0"/>
        <v>0.16666666666666669</v>
      </c>
      <c r="F706" s="10">
        <f t="shared" si="153"/>
        <v>0.53313657407407411</v>
      </c>
      <c r="G706" s="10">
        <v>0.7129050925925926</v>
      </c>
      <c r="H706" s="8">
        <f t="shared" si="77"/>
        <v>0.15685185185185183</v>
      </c>
      <c r="I706" s="11">
        <f t="shared" si="2"/>
        <v>0.72271990740740755</v>
      </c>
      <c r="J706" s="8"/>
      <c r="K706" s="8"/>
      <c r="L706" s="8">
        <v>2.2916666666666665E-2</v>
      </c>
      <c r="M706" s="18"/>
      <c r="N706" s="13">
        <f t="shared" si="4"/>
        <v>1.0625737898465175</v>
      </c>
    </row>
    <row r="707" spans="1:14" ht="14.5">
      <c r="A707" s="6">
        <v>45567</v>
      </c>
      <c r="B707" s="47" t="s">
        <v>38</v>
      </c>
      <c r="C707" s="7">
        <v>40</v>
      </c>
      <c r="D707" s="8">
        <v>2.7777777777777779E-3</v>
      </c>
      <c r="E707" s="8">
        <f t="shared" si="0"/>
        <v>0.11111111111111112</v>
      </c>
      <c r="F707" s="10">
        <v>0.32732638888888888</v>
      </c>
      <c r="G707" s="10">
        <v>0.46892361111111114</v>
      </c>
      <c r="H707" s="8">
        <f t="shared" si="77"/>
        <v>0.10162037037037042</v>
      </c>
      <c r="I707" s="11">
        <f t="shared" si="2"/>
        <v>0.47841435185185183</v>
      </c>
      <c r="J707" s="8"/>
      <c r="K707" s="8"/>
      <c r="L707" s="8">
        <v>3.9976851851851854E-2</v>
      </c>
      <c r="M707" s="18"/>
      <c r="N707" s="13">
        <f t="shared" si="4"/>
        <v>1.0933940774487467</v>
      </c>
    </row>
    <row r="708" spans="1:14" ht="14.5">
      <c r="A708" s="6">
        <v>45567</v>
      </c>
      <c r="B708" s="47" t="s">
        <v>44</v>
      </c>
      <c r="C708" s="7">
        <v>1</v>
      </c>
      <c r="D708" s="8">
        <v>3.472222222222222E-3</v>
      </c>
      <c r="E708" s="8">
        <f t="shared" si="0"/>
        <v>3.472222222222222E-3</v>
      </c>
      <c r="F708" s="10">
        <v>0.39415509259259263</v>
      </c>
      <c r="G708" s="10">
        <v>0.39728009259259262</v>
      </c>
      <c r="H708" s="8">
        <f t="shared" si="77"/>
        <v>3.1249999999999889E-3</v>
      </c>
      <c r="I708" s="11">
        <f t="shared" si="2"/>
        <v>0.39762731481481484</v>
      </c>
      <c r="J708" s="8"/>
      <c r="K708" s="8"/>
      <c r="L708" s="8" t="str">
        <f t="shared" ref="L708:L709" si="154">IF(OR(J708=0,K708=0)," ",K708-J708)</f>
        <v xml:space="preserve"> </v>
      </c>
      <c r="M708" s="18"/>
      <c r="N708" s="13">
        <f t="shared" si="4"/>
        <v>1.1111111111111149</v>
      </c>
    </row>
    <row r="709" spans="1:14" ht="14.5">
      <c r="A709" s="6">
        <v>45567</v>
      </c>
      <c r="B709" s="47" t="s">
        <v>16</v>
      </c>
      <c r="C709" s="7">
        <v>13</v>
      </c>
      <c r="D709" s="8">
        <v>5.5555555555555558E-3</v>
      </c>
      <c r="E709" s="8">
        <f t="shared" si="0"/>
        <v>7.2222222222222229E-2</v>
      </c>
      <c r="F709" s="10">
        <f>G707</f>
        <v>0.46892361111111114</v>
      </c>
      <c r="G709" s="10">
        <v>0.53775462962962961</v>
      </c>
      <c r="H709" s="8">
        <f t="shared" si="77"/>
        <v>6.8831018518518472E-2</v>
      </c>
      <c r="I709" s="11">
        <f t="shared" si="2"/>
        <v>0.54114583333333333</v>
      </c>
      <c r="J709" s="8"/>
      <c r="K709" s="8"/>
      <c r="L709" s="8" t="str">
        <f t="shared" si="154"/>
        <v xml:space="preserve"> </v>
      </c>
      <c r="M709" s="18"/>
      <c r="N709" s="13">
        <f t="shared" si="4"/>
        <v>1.049268538759039</v>
      </c>
    </row>
    <row r="710" spans="1:14" ht="14.5">
      <c r="A710" s="6">
        <v>45567</v>
      </c>
      <c r="B710" s="47" t="s">
        <v>54</v>
      </c>
      <c r="C710" s="7">
        <v>1</v>
      </c>
      <c r="D710" s="8">
        <v>2.0833333333333332E-2</v>
      </c>
      <c r="E710" s="8">
        <f t="shared" si="0"/>
        <v>2.0833333333333332E-2</v>
      </c>
      <c r="F710" s="10">
        <f t="shared" ref="F710:F712" si="155">G709</f>
        <v>0.53775462962962961</v>
      </c>
      <c r="G710" s="10">
        <v>0.55560185185185185</v>
      </c>
      <c r="H710" s="8">
        <f t="shared" si="77"/>
        <v>1.7847222222222237E-2</v>
      </c>
      <c r="I710" s="11">
        <f t="shared" si="2"/>
        <v>0.55858796296296298</v>
      </c>
      <c r="J710" s="8"/>
      <c r="K710" s="8"/>
      <c r="L710" s="8"/>
      <c r="M710" s="18" t="s">
        <v>95</v>
      </c>
      <c r="N710" s="13">
        <f t="shared" si="4"/>
        <v>1.1673151750972752</v>
      </c>
    </row>
    <row r="711" spans="1:14" ht="14.5">
      <c r="A711" s="6">
        <v>45567</v>
      </c>
      <c r="B711" s="47" t="s">
        <v>65</v>
      </c>
      <c r="C711" s="7">
        <v>1</v>
      </c>
      <c r="D711" s="8">
        <v>2.0833333333333332E-2</v>
      </c>
      <c r="E711" s="8">
        <f t="shared" si="0"/>
        <v>2.0833333333333332E-2</v>
      </c>
      <c r="F711" s="10">
        <f t="shared" si="155"/>
        <v>0.55560185185185185</v>
      </c>
      <c r="G711" s="10">
        <v>0.57365740740740745</v>
      </c>
      <c r="H711" s="8">
        <f t="shared" si="77"/>
        <v>1.8055555555555602E-2</v>
      </c>
      <c r="I711" s="11">
        <f t="shared" si="2"/>
        <v>0.57643518518518522</v>
      </c>
      <c r="J711" s="8"/>
      <c r="K711" s="8"/>
      <c r="L711" s="8" t="str">
        <f>IF(OR(J711=0,K711=0)," ",K711-J711)</f>
        <v xml:space="preserve"> </v>
      </c>
      <c r="M711" s="18"/>
      <c r="N711" s="13">
        <f t="shared" si="4"/>
        <v>1.1538461538461509</v>
      </c>
    </row>
    <row r="712" spans="1:14" ht="14.5">
      <c r="A712" s="6">
        <v>45567</v>
      </c>
      <c r="B712" s="47" t="s">
        <v>16</v>
      </c>
      <c r="C712" s="7">
        <v>14</v>
      </c>
      <c r="D712" s="8">
        <v>5.5555555555555558E-3</v>
      </c>
      <c r="E712" s="9">
        <f t="shared" si="0"/>
        <v>7.7777777777777779E-2</v>
      </c>
      <c r="F712" s="10">
        <f t="shared" si="155"/>
        <v>0.57365740740740745</v>
      </c>
      <c r="G712" s="10">
        <v>0.70833333333333337</v>
      </c>
      <c r="H712" s="8">
        <f t="shared" si="77"/>
        <v>7.168981481481479E-2</v>
      </c>
      <c r="I712" s="11">
        <f t="shared" si="2"/>
        <v>0.71442129629629636</v>
      </c>
      <c r="J712" s="8"/>
      <c r="K712" s="8"/>
      <c r="L712" s="8">
        <v>6.2986111111111132E-2</v>
      </c>
      <c r="M712" s="18"/>
      <c r="N712" s="13">
        <f t="shared" si="4"/>
        <v>1.0849208911850181</v>
      </c>
    </row>
    <row r="713" spans="1:14" ht="14.5">
      <c r="A713" s="6">
        <v>45567</v>
      </c>
      <c r="B713" s="47" t="s">
        <v>50</v>
      </c>
      <c r="C713" s="7">
        <v>1</v>
      </c>
      <c r="D713" s="8">
        <v>1.0416666666666666E-2</v>
      </c>
      <c r="E713" s="8">
        <f t="shared" si="0"/>
        <v>1.0416666666666666E-2</v>
      </c>
      <c r="F713" s="10">
        <v>0.64718750000000003</v>
      </c>
      <c r="G713" s="10">
        <v>0.65660879629629632</v>
      </c>
      <c r="H713" s="8">
        <f t="shared" si="77"/>
        <v>9.4212962962962887E-3</v>
      </c>
      <c r="I713" s="11">
        <f t="shared" si="2"/>
        <v>0.65760416666666666</v>
      </c>
      <c r="J713" s="8"/>
      <c r="K713" s="8"/>
      <c r="L713" s="8" t="str">
        <f t="shared" ref="L713:L719" si="156">IF(OR(J713=0,K713=0)," ",K713-J713)</f>
        <v xml:space="preserve"> </v>
      </c>
      <c r="M713" s="18"/>
      <c r="N713" s="13">
        <f t="shared" si="4"/>
        <v>1.1056511056511065</v>
      </c>
    </row>
    <row r="714" spans="1:14" ht="14.5">
      <c r="A714" s="6">
        <v>45567</v>
      </c>
      <c r="B714" s="47" t="s">
        <v>51</v>
      </c>
      <c r="C714" s="7">
        <v>1</v>
      </c>
      <c r="D714" s="8">
        <v>1.0416666666666666E-2</v>
      </c>
      <c r="E714" s="8">
        <f t="shared" si="0"/>
        <v>1.0416666666666666E-2</v>
      </c>
      <c r="F714" s="10">
        <f t="shared" ref="F714:F717" si="157">G713</f>
        <v>0.65660879629629632</v>
      </c>
      <c r="G714" s="10">
        <v>0.66607638888888887</v>
      </c>
      <c r="H714" s="8">
        <f t="shared" si="77"/>
        <v>9.4675925925925553E-3</v>
      </c>
      <c r="I714" s="11">
        <f t="shared" si="2"/>
        <v>0.66702546296296295</v>
      </c>
      <c r="J714" s="8"/>
      <c r="K714" s="8"/>
      <c r="L714" s="8" t="str">
        <f t="shared" si="156"/>
        <v xml:space="preserve"> </v>
      </c>
      <c r="M714" s="18"/>
      <c r="N714" s="13">
        <f t="shared" si="4"/>
        <v>1.1002444987775104</v>
      </c>
    </row>
    <row r="715" spans="1:14" ht="14.5">
      <c r="A715" s="6">
        <v>45567</v>
      </c>
      <c r="B715" s="47" t="s">
        <v>52</v>
      </c>
      <c r="C715" s="7">
        <v>1</v>
      </c>
      <c r="D715" s="8">
        <v>1.0416666666666666E-2</v>
      </c>
      <c r="E715" s="8">
        <f t="shared" si="0"/>
        <v>1.0416666666666666E-2</v>
      </c>
      <c r="F715" s="10">
        <f t="shared" si="157"/>
        <v>0.66607638888888887</v>
      </c>
      <c r="G715" s="10">
        <v>0.67583333333333329</v>
      </c>
      <c r="H715" s="8">
        <f t="shared" si="77"/>
        <v>9.7569444444444153E-3</v>
      </c>
      <c r="I715" s="11">
        <f t="shared" si="2"/>
        <v>0.6764930555555555</v>
      </c>
      <c r="J715" s="8"/>
      <c r="K715" s="8"/>
      <c r="L715" s="8" t="str">
        <f t="shared" si="156"/>
        <v xml:space="preserve"> </v>
      </c>
      <c r="M715" s="18"/>
      <c r="N715" s="13">
        <f t="shared" si="4"/>
        <v>1.0676156583629925</v>
      </c>
    </row>
    <row r="716" spans="1:14" ht="14.5">
      <c r="A716" s="6">
        <v>45567</v>
      </c>
      <c r="B716" s="47" t="s">
        <v>53</v>
      </c>
      <c r="C716" s="7">
        <v>1</v>
      </c>
      <c r="D716" s="8">
        <v>1.0416666666666666E-2</v>
      </c>
      <c r="E716" s="8">
        <f t="shared" si="0"/>
        <v>1.0416666666666666E-2</v>
      </c>
      <c r="F716" s="10">
        <f t="shared" si="157"/>
        <v>0.67583333333333329</v>
      </c>
      <c r="G716" s="10">
        <v>0.68559027777777781</v>
      </c>
      <c r="H716" s="8">
        <f t="shared" si="77"/>
        <v>9.7569444444445264E-3</v>
      </c>
      <c r="I716" s="11">
        <f t="shared" si="2"/>
        <v>0.68624999999999992</v>
      </c>
      <c r="J716" s="8"/>
      <c r="K716" s="8"/>
      <c r="L716" s="8" t="str">
        <f t="shared" si="156"/>
        <v xml:space="preserve"> </v>
      </c>
      <c r="M716" s="18"/>
      <c r="N716" s="13">
        <f t="shared" si="4"/>
        <v>1.0676156583629803</v>
      </c>
    </row>
    <row r="717" spans="1:14" ht="14.5">
      <c r="A717" s="6">
        <v>45567</v>
      </c>
      <c r="B717" s="47" t="s">
        <v>16</v>
      </c>
      <c r="C717" s="7">
        <v>1</v>
      </c>
      <c r="D717" s="8">
        <v>5.5555555555555558E-3</v>
      </c>
      <c r="E717" s="8">
        <f t="shared" si="0"/>
        <v>5.5555555555555558E-3</v>
      </c>
      <c r="F717" s="10">
        <f t="shared" si="157"/>
        <v>0.68559027777777781</v>
      </c>
      <c r="G717" s="10">
        <v>0.6909143518518519</v>
      </c>
      <c r="H717" s="8">
        <f t="shared" si="77"/>
        <v>5.3240740740740922E-3</v>
      </c>
      <c r="I717" s="11">
        <f t="shared" si="2"/>
        <v>0.69114583333333335</v>
      </c>
      <c r="J717" s="8"/>
      <c r="K717" s="8"/>
      <c r="L717" s="8" t="str">
        <f t="shared" si="156"/>
        <v xml:space="preserve"> </v>
      </c>
      <c r="M717" s="18"/>
      <c r="N717" s="13">
        <f t="shared" si="4"/>
        <v>1.0434782608695616</v>
      </c>
    </row>
    <row r="718" spans="1:14" ht="14.5">
      <c r="A718" s="6">
        <v>45568</v>
      </c>
      <c r="B718" s="47" t="s">
        <v>42</v>
      </c>
      <c r="C718" s="7">
        <v>1</v>
      </c>
      <c r="D718" s="8">
        <v>6.9444444444444441E-3</v>
      </c>
      <c r="E718" s="8">
        <f t="shared" si="0"/>
        <v>6.9444444444444441E-3</v>
      </c>
      <c r="F718" s="10">
        <v>0.33809027777777778</v>
      </c>
      <c r="G718" s="10">
        <v>0.34460648148148143</v>
      </c>
      <c r="H718" s="8">
        <f t="shared" si="77"/>
        <v>6.5162037037036491E-3</v>
      </c>
      <c r="I718" s="11">
        <f t="shared" si="2"/>
        <v>0.3450347222222222</v>
      </c>
      <c r="J718" s="8"/>
      <c r="K718" s="8"/>
      <c r="L718" s="8" t="str">
        <f t="shared" si="156"/>
        <v xml:space="preserve"> </v>
      </c>
      <c r="M718" s="18"/>
      <c r="N718" s="13">
        <f t="shared" si="4"/>
        <v>1.0657193605683926</v>
      </c>
    </row>
    <row r="719" spans="1:14" ht="14.5">
      <c r="A719" s="6">
        <v>45568</v>
      </c>
      <c r="B719" s="47" t="s">
        <v>43</v>
      </c>
      <c r="C719" s="7">
        <v>1</v>
      </c>
      <c r="D719" s="8">
        <v>3.4722222222222224E-2</v>
      </c>
      <c r="E719" s="8">
        <f t="shared" si="0"/>
        <v>3.4722222222222224E-2</v>
      </c>
      <c r="F719" s="10">
        <f t="shared" ref="F719:F726" si="158">G718</f>
        <v>0.34460648148148143</v>
      </c>
      <c r="G719" s="10">
        <v>0.37753472222222217</v>
      </c>
      <c r="H719" s="8">
        <f t="shared" si="77"/>
        <v>3.2928240740740744E-2</v>
      </c>
      <c r="I719" s="11">
        <f t="shared" si="2"/>
        <v>0.37932870370370364</v>
      </c>
      <c r="J719" s="8"/>
      <c r="K719" s="8"/>
      <c r="L719" s="8" t="str">
        <f t="shared" si="156"/>
        <v xml:space="preserve"> </v>
      </c>
      <c r="M719" s="18"/>
      <c r="N719" s="13">
        <f t="shared" si="4"/>
        <v>1.0544815465729349</v>
      </c>
    </row>
    <row r="720" spans="1:14" ht="14.5">
      <c r="A720" s="6">
        <v>45568</v>
      </c>
      <c r="B720" s="47" t="s">
        <v>16</v>
      </c>
      <c r="C720" s="7">
        <v>9</v>
      </c>
      <c r="D720" s="8">
        <v>5.5555555555555558E-3</v>
      </c>
      <c r="E720" s="8">
        <f t="shared" si="0"/>
        <v>0.05</v>
      </c>
      <c r="F720" s="10">
        <f t="shared" si="158"/>
        <v>0.37753472222222217</v>
      </c>
      <c r="G720" s="10">
        <v>0.44866898148148149</v>
      </c>
      <c r="H720" s="8">
        <f t="shared" si="77"/>
        <v>4.5046296296296348E-2</v>
      </c>
      <c r="I720" s="11">
        <f t="shared" si="2"/>
        <v>0.45362268518518511</v>
      </c>
      <c r="J720" s="8"/>
      <c r="K720" s="8"/>
      <c r="L720" s="8">
        <v>2.6087962962962962E-2</v>
      </c>
      <c r="M720" s="18"/>
      <c r="N720" s="13">
        <f t="shared" si="4"/>
        <v>1.1099691675231231</v>
      </c>
    </row>
    <row r="721" spans="1:14" ht="14.5">
      <c r="A721" s="6">
        <v>45568</v>
      </c>
      <c r="B721" s="47" t="s">
        <v>16</v>
      </c>
      <c r="C721" s="7">
        <v>21</v>
      </c>
      <c r="D721" s="8">
        <v>5.5555555555555558E-3</v>
      </c>
      <c r="E721" s="8">
        <f t="shared" si="0"/>
        <v>0.11666666666666667</v>
      </c>
      <c r="F721" s="10">
        <f t="shared" si="158"/>
        <v>0.44866898148148149</v>
      </c>
      <c r="G721" s="10">
        <v>0.60151620370370373</v>
      </c>
      <c r="H721" s="8">
        <f t="shared" si="77"/>
        <v>0.11182870370370374</v>
      </c>
      <c r="I721" s="11">
        <f t="shared" si="2"/>
        <v>0.60635416666666675</v>
      </c>
      <c r="J721" s="8"/>
      <c r="K721" s="8"/>
      <c r="L721" s="8">
        <v>4.1018518518518517E-2</v>
      </c>
      <c r="M721" s="18"/>
      <c r="N721" s="13">
        <f t="shared" si="4"/>
        <v>1.0432622645415026</v>
      </c>
    </row>
    <row r="722" spans="1:14" ht="14.5">
      <c r="A722" s="6">
        <v>45568</v>
      </c>
      <c r="B722" s="47" t="s">
        <v>50</v>
      </c>
      <c r="C722" s="7">
        <v>1</v>
      </c>
      <c r="D722" s="8">
        <v>1.0416666666666666E-2</v>
      </c>
      <c r="E722" s="8">
        <f t="shared" si="0"/>
        <v>1.0416666666666666E-2</v>
      </c>
      <c r="F722" s="10">
        <f t="shared" si="158"/>
        <v>0.60151620370370373</v>
      </c>
      <c r="G722" s="10">
        <v>0.61079861111111111</v>
      </c>
      <c r="H722" s="8">
        <f t="shared" si="77"/>
        <v>9.2824074074073781E-3</v>
      </c>
      <c r="I722" s="11">
        <f t="shared" si="2"/>
        <v>0.61193287037037036</v>
      </c>
      <c r="J722" s="8"/>
      <c r="K722" s="8"/>
      <c r="L722" s="8" t="str">
        <f t="shared" ref="L722:L725" si="159">IF(OR(J722=0,K722=0)," ",K722-J722)</f>
        <v xml:space="preserve"> </v>
      </c>
      <c r="M722" s="18"/>
      <c r="N722" s="13">
        <f t="shared" si="4"/>
        <v>1.1221945137157141</v>
      </c>
    </row>
    <row r="723" spans="1:14" ht="14.5">
      <c r="A723" s="6">
        <v>45568</v>
      </c>
      <c r="B723" s="47" t="s">
        <v>51</v>
      </c>
      <c r="C723" s="7">
        <v>1</v>
      </c>
      <c r="D723" s="8">
        <v>1.0416666666666666E-2</v>
      </c>
      <c r="E723" s="8">
        <f t="shared" si="0"/>
        <v>1.0416666666666666E-2</v>
      </c>
      <c r="F723" s="10">
        <f t="shared" si="158"/>
        <v>0.61079861111111111</v>
      </c>
      <c r="G723" s="10">
        <v>0.62009259259259264</v>
      </c>
      <c r="H723" s="8">
        <f t="shared" si="77"/>
        <v>9.293981481481528E-3</v>
      </c>
      <c r="I723" s="11">
        <f t="shared" si="2"/>
        <v>0.62121527777777774</v>
      </c>
      <c r="J723" s="8"/>
      <c r="K723" s="8"/>
      <c r="L723" s="8" t="str">
        <f t="shared" si="159"/>
        <v xml:space="preserve"> </v>
      </c>
      <c r="M723" s="18"/>
      <c r="N723" s="13">
        <f t="shared" si="4"/>
        <v>1.1207970112079644</v>
      </c>
    </row>
    <row r="724" spans="1:14" ht="14.5">
      <c r="A724" s="6">
        <v>45568</v>
      </c>
      <c r="B724" s="47" t="s">
        <v>52</v>
      </c>
      <c r="C724" s="7">
        <v>1</v>
      </c>
      <c r="D724" s="8">
        <v>1.0416666666666666E-2</v>
      </c>
      <c r="E724" s="8">
        <f t="shared" si="0"/>
        <v>1.0416666666666666E-2</v>
      </c>
      <c r="F724" s="10">
        <f t="shared" si="158"/>
        <v>0.62009259259259264</v>
      </c>
      <c r="G724" s="10">
        <v>0.62951388888888893</v>
      </c>
      <c r="H724" s="8">
        <f t="shared" si="77"/>
        <v>9.4212962962962887E-3</v>
      </c>
      <c r="I724" s="11">
        <f t="shared" si="2"/>
        <v>0.63050925925925927</v>
      </c>
      <c r="J724" s="8"/>
      <c r="K724" s="8"/>
      <c r="L724" s="8" t="str">
        <f t="shared" si="159"/>
        <v xml:space="preserve"> </v>
      </c>
      <c r="M724" s="18"/>
      <c r="N724" s="13">
        <f t="shared" si="4"/>
        <v>1.1056511056511065</v>
      </c>
    </row>
    <row r="725" spans="1:14" ht="14.5">
      <c r="A725" s="6">
        <v>45568</v>
      </c>
      <c r="B725" s="47" t="s">
        <v>53</v>
      </c>
      <c r="C725" s="7">
        <v>1</v>
      </c>
      <c r="D725" s="8">
        <v>1.0416666666666666E-2</v>
      </c>
      <c r="E725" s="8">
        <f t="shared" si="0"/>
        <v>1.0416666666666666E-2</v>
      </c>
      <c r="F725" s="10">
        <f t="shared" si="158"/>
        <v>0.62951388888888893</v>
      </c>
      <c r="G725" s="10">
        <v>0.63876157407407408</v>
      </c>
      <c r="H725" s="8">
        <f t="shared" si="77"/>
        <v>9.2476851851851505E-3</v>
      </c>
      <c r="I725" s="11">
        <f t="shared" si="2"/>
        <v>0.63993055555555556</v>
      </c>
      <c r="J725" s="8"/>
      <c r="K725" s="8"/>
      <c r="L725" s="8" t="str">
        <f t="shared" si="159"/>
        <v xml:space="preserve"> </v>
      </c>
      <c r="M725" s="18"/>
      <c r="N725" s="13">
        <f t="shared" si="4"/>
        <v>1.1264080100125198</v>
      </c>
    </row>
    <row r="726" spans="1:14" ht="14.5">
      <c r="A726" s="6">
        <v>45568</v>
      </c>
      <c r="B726" s="47" t="s">
        <v>16</v>
      </c>
      <c r="C726" s="7">
        <v>13</v>
      </c>
      <c r="D726" s="8">
        <v>5.5555555555555558E-3</v>
      </c>
      <c r="E726" s="8">
        <f t="shared" si="0"/>
        <v>7.2222222222222229E-2</v>
      </c>
      <c r="F726" s="10">
        <f t="shared" si="158"/>
        <v>0.63876157407407408</v>
      </c>
      <c r="G726" s="10">
        <v>0.72412037037037036</v>
      </c>
      <c r="H726" s="8">
        <f t="shared" si="77"/>
        <v>6.8240740740740727E-2</v>
      </c>
      <c r="I726" s="11">
        <f t="shared" si="2"/>
        <v>0.72810185185185183</v>
      </c>
      <c r="J726" s="8"/>
      <c r="K726" s="8"/>
      <c r="L726" s="8">
        <v>1.7118055555555556E-2</v>
      </c>
      <c r="M726" s="18"/>
      <c r="N726" s="13">
        <f t="shared" si="4"/>
        <v>1.058344640434193</v>
      </c>
    </row>
    <row r="727" spans="1:14" ht="14.5">
      <c r="A727" s="6">
        <v>45569</v>
      </c>
      <c r="B727" s="47" t="s">
        <v>16</v>
      </c>
      <c r="C727" s="7">
        <v>17</v>
      </c>
      <c r="D727" s="8">
        <v>5.5555555555555558E-3</v>
      </c>
      <c r="E727" s="8">
        <f t="shared" si="0"/>
        <v>9.4444444444444442E-2</v>
      </c>
      <c r="F727" s="10">
        <v>0.32193287037037033</v>
      </c>
      <c r="G727" s="10">
        <v>0.43386574074074069</v>
      </c>
      <c r="H727" s="8">
        <f t="shared" si="77"/>
        <v>8.6087962962962949E-2</v>
      </c>
      <c r="I727" s="11">
        <f t="shared" si="2"/>
        <v>0.44222222222222218</v>
      </c>
      <c r="J727" s="8"/>
      <c r="K727" s="8"/>
      <c r="L727" s="8">
        <v>2.5844907407407407E-2</v>
      </c>
      <c r="M727" s="18"/>
      <c r="N727" s="13">
        <f t="shared" si="4"/>
        <v>1.0970691045980103</v>
      </c>
    </row>
    <row r="728" spans="1:14" ht="14.5">
      <c r="A728" s="6">
        <v>45569</v>
      </c>
      <c r="B728" s="47" t="s">
        <v>44</v>
      </c>
      <c r="C728" s="7">
        <v>1</v>
      </c>
      <c r="D728" s="8">
        <v>3.472222222222222E-3</v>
      </c>
      <c r="E728" s="8">
        <f t="shared" si="0"/>
        <v>3.472222222222222E-3</v>
      </c>
      <c r="F728" s="10">
        <f t="shared" ref="F728:F735" si="160">G727</f>
        <v>0.43386574074074069</v>
      </c>
      <c r="G728" s="10">
        <v>0.43686342592592597</v>
      </c>
      <c r="H728" s="8">
        <f t="shared" si="77"/>
        <v>2.9976851851852837E-3</v>
      </c>
      <c r="I728" s="11">
        <f t="shared" si="2"/>
        <v>0.4373379629629629</v>
      </c>
      <c r="J728" s="8"/>
      <c r="K728" s="8"/>
      <c r="L728" s="8" t="str">
        <f>IF(OR(J728=0,K728=0)," ",K728-J728)</f>
        <v xml:space="preserve"> </v>
      </c>
      <c r="M728" s="18"/>
      <c r="N728" s="13">
        <f t="shared" si="4"/>
        <v>1.1583011583011202</v>
      </c>
    </row>
    <row r="729" spans="1:14" ht="14.5">
      <c r="A729" s="6">
        <v>45569</v>
      </c>
      <c r="B729" s="47" t="s">
        <v>16</v>
      </c>
      <c r="C729" s="7">
        <v>21</v>
      </c>
      <c r="D729" s="8">
        <v>5.5555555555555558E-3</v>
      </c>
      <c r="E729" s="8">
        <f t="shared" si="0"/>
        <v>0.11666666666666667</v>
      </c>
      <c r="F729" s="10">
        <f t="shared" si="160"/>
        <v>0.43686342592592597</v>
      </c>
      <c r="G729" s="10">
        <v>0.58011574074074079</v>
      </c>
      <c r="H729" s="8">
        <f t="shared" si="77"/>
        <v>0.11021990740740742</v>
      </c>
      <c r="I729" s="11">
        <f t="shared" si="2"/>
        <v>0.5865625000000001</v>
      </c>
      <c r="J729" s="8"/>
      <c r="K729" s="8"/>
      <c r="L729" s="8">
        <v>3.3032407407407406E-2</v>
      </c>
      <c r="M729" s="18"/>
      <c r="N729" s="13">
        <f t="shared" si="4"/>
        <v>1.05848997164759</v>
      </c>
    </row>
    <row r="730" spans="1:14" ht="14.5">
      <c r="A730" s="6">
        <v>45569</v>
      </c>
      <c r="B730" s="47" t="s">
        <v>16</v>
      </c>
      <c r="C730" s="7">
        <v>7</v>
      </c>
      <c r="D730" s="8">
        <v>5.5555555555555558E-3</v>
      </c>
      <c r="E730" s="8">
        <f t="shared" si="0"/>
        <v>3.888888888888889E-2</v>
      </c>
      <c r="F730" s="10">
        <f t="shared" si="160"/>
        <v>0.58011574074074079</v>
      </c>
      <c r="G730" s="10">
        <v>0.62549768518518523</v>
      </c>
      <c r="H730" s="8">
        <f t="shared" si="77"/>
        <v>3.7002314814814807E-2</v>
      </c>
      <c r="I730" s="11">
        <f t="shared" si="2"/>
        <v>0.62738425925925934</v>
      </c>
      <c r="J730" s="8"/>
      <c r="K730" s="8"/>
      <c r="L730" s="8">
        <v>8.3796296296296292E-3</v>
      </c>
      <c r="M730" s="18"/>
      <c r="N730" s="13">
        <f t="shared" si="4"/>
        <v>1.0509852987175479</v>
      </c>
    </row>
    <row r="731" spans="1:14" ht="14.5">
      <c r="A731" s="6">
        <v>45569</v>
      </c>
      <c r="B731" s="47" t="s">
        <v>50</v>
      </c>
      <c r="C731" s="7">
        <v>1</v>
      </c>
      <c r="D731" s="8">
        <v>1.0416666666666666E-2</v>
      </c>
      <c r="E731" s="8">
        <f t="shared" si="0"/>
        <v>1.0416666666666666E-2</v>
      </c>
      <c r="F731" s="10">
        <f t="shared" si="160"/>
        <v>0.62549768518518523</v>
      </c>
      <c r="G731" s="10">
        <v>0.63510416666666669</v>
      </c>
      <c r="H731" s="8">
        <f t="shared" si="77"/>
        <v>9.6064814814814659E-3</v>
      </c>
      <c r="I731" s="11">
        <f t="shared" si="2"/>
        <v>0.63591435185185186</v>
      </c>
      <c r="J731" s="8"/>
      <c r="K731" s="8"/>
      <c r="L731" s="8" t="str">
        <f t="shared" ref="L731:L737" si="161">IF(OR(J731=0,K731=0)," ",K731-J731)</f>
        <v xml:space="preserve"> </v>
      </c>
      <c r="M731" s="18"/>
      <c r="N731" s="13">
        <f t="shared" si="4"/>
        <v>1.0843373493975921</v>
      </c>
    </row>
    <row r="732" spans="1:14" ht="14.5">
      <c r="A732" s="6">
        <v>45569</v>
      </c>
      <c r="B732" s="47" t="s">
        <v>51</v>
      </c>
      <c r="C732" s="7">
        <v>1</v>
      </c>
      <c r="D732" s="8">
        <v>1.0416666666666666E-2</v>
      </c>
      <c r="E732" s="8">
        <f t="shared" si="0"/>
        <v>1.0416666666666666E-2</v>
      </c>
      <c r="F732" s="10">
        <f t="shared" si="160"/>
        <v>0.63510416666666669</v>
      </c>
      <c r="G732" s="10">
        <v>0.64430555555555558</v>
      </c>
      <c r="H732" s="8">
        <f t="shared" si="77"/>
        <v>9.201388888888884E-3</v>
      </c>
      <c r="I732" s="11">
        <f t="shared" si="2"/>
        <v>0.64552083333333332</v>
      </c>
      <c r="J732" s="8"/>
      <c r="K732" s="8"/>
      <c r="L732" s="8" t="str">
        <f t="shared" si="161"/>
        <v xml:space="preserve"> </v>
      </c>
      <c r="M732" s="18"/>
      <c r="N732" s="13">
        <f t="shared" si="4"/>
        <v>1.1320754716981138</v>
      </c>
    </row>
    <row r="733" spans="1:14" ht="14.5">
      <c r="A733" s="6">
        <v>45569</v>
      </c>
      <c r="B733" s="47" t="s">
        <v>52</v>
      </c>
      <c r="C733" s="7">
        <v>1</v>
      </c>
      <c r="D733" s="8">
        <v>1.0416666666666666E-2</v>
      </c>
      <c r="E733" s="8">
        <f t="shared" si="0"/>
        <v>1.0416666666666666E-2</v>
      </c>
      <c r="F733" s="10">
        <f t="shared" si="160"/>
        <v>0.64430555555555558</v>
      </c>
      <c r="G733" s="10">
        <v>0.6537384259259259</v>
      </c>
      <c r="H733" s="8">
        <f t="shared" si="77"/>
        <v>9.4328703703703276E-3</v>
      </c>
      <c r="I733" s="11">
        <f t="shared" si="2"/>
        <v>0.65472222222222221</v>
      </c>
      <c r="J733" s="8"/>
      <c r="K733" s="8"/>
      <c r="L733" s="8" t="str">
        <f t="shared" si="161"/>
        <v xml:space="preserve"> </v>
      </c>
      <c r="M733" s="18"/>
      <c r="N733" s="13">
        <f t="shared" si="4"/>
        <v>1.1042944785276123</v>
      </c>
    </row>
    <row r="734" spans="1:14" ht="14.5">
      <c r="A734" s="6">
        <v>45569</v>
      </c>
      <c r="B734" s="47" t="s">
        <v>53</v>
      </c>
      <c r="C734" s="7">
        <v>1</v>
      </c>
      <c r="D734" s="8">
        <v>1.0416666666666666E-2</v>
      </c>
      <c r="E734" s="8">
        <f t="shared" si="0"/>
        <v>1.0416666666666666E-2</v>
      </c>
      <c r="F734" s="10">
        <f t="shared" si="160"/>
        <v>0.6537384259259259</v>
      </c>
      <c r="G734" s="10">
        <v>0.66388888888888886</v>
      </c>
      <c r="H734" s="8">
        <f t="shared" si="77"/>
        <v>1.0150462962962958E-2</v>
      </c>
      <c r="I734" s="11">
        <f t="shared" si="2"/>
        <v>0.66415509259259253</v>
      </c>
      <c r="J734" s="8"/>
      <c r="K734" s="8"/>
      <c r="L734" s="8" t="str">
        <f t="shared" si="161"/>
        <v xml:space="preserve"> </v>
      </c>
      <c r="M734" s="18"/>
      <c r="N734" s="13">
        <f t="shared" si="4"/>
        <v>1.0262257696693278</v>
      </c>
    </row>
    <row r="735" spans="1:14" ht="14.5">
      <c r="A735" s="6">
        <v>45569</v>
      </c>
      <c r="B735" s="47" t="s">
        <v>16</v>
      </c>
      <c r="C735" s="7">
        <v>10</v>
      </c>
      <c r="D735" s="8">
        <v>5.5555555555555558E-3</v>
      </c>
      <c r="E735" s="8">
        <f t="shared" si="0"/>
        <v>5.5555555555555559E-2</v>
      </c>
      <c r="F735" s="10">
        <f t="shared" si="160"/>
        <v>0.66388888888888886</v>
      </c>
      <c r="G735" s="10">
        <v>0.71277121527236886</v>
      </c>
      <c r="H735" s="8">
        <f t="shared" si="77"/>
        <v>4.8882326383480001E-2</v>
      </c>
      <c r="I735" s="11">
        <f t="shared" si="2"/>
        <v>0.71944444444444444</v>
      </c>
      <c r="J735" s="8"/>
      <c r="K735" s="8"/>
      <c r="L735" s="8" t="str">
        <f t="shared" si="161"/>
        <v xml:space="preserve"> </v>
      </c>
      <c r="M735" s="18"/>
      <c r="N735" s="13">
        <f t="shared" si="4"/>
        <v>1.1365161944160416</v>
      </c>
    </row>
    <row r="736" spans="1:14" ht="14.5">
      <c r="A736" s="6">
        <v>45572</v>
      </c>
      <c r="B736" s="47" t="s">
        <v>42</v>
      </c>
      <c r="C736" s="7">
        <v>1</v>
      </c>
      <c r="D736" s="8">
        <v>6.9444444444444441E-3</v>
      </c>
      <c r="E736" s="8">
        <f t="shared" si="0"/>
        <v>6.9444444444444441E-3</v>
      </c>
      <c r="F736" s="10">
        <v>0.33678240740740739</v>
      </c>
      <c r="G736" s="10">
        <v>0.34340277777777778</v>
      </c>
      <c r="H736" s="8">
        <f t="shared" si="77"/>
        <v>6.6203703703703876E-3</v>
      </c>
      <c r="I736" s="11">
        <f t="shared" si="2"/>
        <v>0.34372685185185181</v>
      </c>
      <c r="J736" s="8"/>
      <c r="K736" s="8"/>
      <c r="L736" s="8" t="str">
        <f t="shared" si="161"/>
        <v xml:space="preserve"> </v>
      </c>
      <c r="M736" s="18"/>
      <c r="N736" s="13">
        <f t="shared" si="4"/>
        <v>1.0489510489510461</v>
      </c>
    </row>
    <row r="737" spans="1:14" ht="14.5">
      <c r="A737" s="6">
        <v>45572</v>
      </c>
      <c r="B737" s="47" t="s">
        <v>43</v>
      </c>
      <c r="C737" s="7">
        <v>1</v>
      </c>
      <c r="D737" s="8">
        <v>3.4722222222222224E-2</v>
      </c>
      <c r="E737" s="8">
        <f t="shared" si="0"/>
        <v>3.4722222222222224E-2</v>
      </c>
      <c r="F737" s="10">
        <f t="shared" ref="F737:F740" si="162">G736</f>
        <v>0.34340277777777778</v>
      </c>
      <c r="G737" s="10">
        <v>0.3762847222222222</v>
      </c>
      <c r="H737" s="8">
        <f t="shared" si="77"/>
        <v>3.2881944444444422E-2</v>
      </c>
      <c r="I737" s="11">
        <f t="shared" si="2"/>
        <v>0.37812499999999999</v>
      </c>
      <c r="J737" s="8"/>
      <c r="K737" s="8"/>
      <c r="L737" s="8" t="str">
        <f t="shared" si="161"/>
        <v xml:space="preserve"> </v>
      </c>
      <c r="M737" s="18"/>
      <c r="N737" s="13">
        <f t="shared" si="4"/>
        <v>1.0559662090813102</v>
      </c>
    </row>
    <row r="738" spans="1:14" ht="14.5">
      <c r="A738" s="6">
        <v>45572</v>
      </c>
      <c r="B738" s="47" t="s">
        <v>63</v>
      </c>
      <c r="C738" s="7">
        <v>1</v>
      </c>
      <c r="D738" s="8">
        <v>3.4722222222222224E-2</v>
      </c>
      <c r="E738" s="8">
        <f t="shared" si="0"/>
        <v>3.4722222222222224E-2</v>
      </c>
      <c r="F738" s="10">
        <f t="shared" si="162"/>
        <v>0.3762847222222222</v>
      </c>
      <c r="G738" s="10">
        <v>0.42363425925925924</v>
      </c>
      <c r="H738" s="8">
        <f t="shared" si="77"/>
        <v>3.0578703703703705E-2</v>
      </c>
      <c r="I738" s="11">
        <f t="shared" si="2"/>
        <v>0.42777777777777776</v>
      </c>
      <c r="J738" s="8"/>
      <c r="K738" s="8"/>
      <c r="L738" s="8">
        <v>1.6770833333333332E-2</v>
      </c>
      <c r="M738" s="18"/>
      <c r="N738" s="13">
        <f t="shared" si="4"/>
        <v>1.1355034065102196</v>
      </c>
    </row>
    <row r="739" spans="1:14" ht="14.5">
      <c r="A739" s="6">
        <v>45572</v>
      </c>
      <c r="B739" s="47" t="s">
        <v>16</v>
      </c>
      <c r="C739" s="7">
        <v>28</v>
      </c>
      <c r="D739" s="8">
        <v>5.5555555555555558E-3</v>
      </c>
      <c r="E739" s="8">
        <f t="shared" si="0"/>
        <v>0.15555555555555556</v>
      </c>
      <c r="F739" s="10">
        <f t="shared" si="162"/>
        <v>0.42363425925925924</v>
      </c>
      <c r="G739" s="10">
        <v>0.62768518518518523</v>
      </c>
      <c r="H739" s="8">
        <f t="shared" si="77"/>
        <v>0.14789351851851859</v>
      </c>
      <c r="I739" s="11">
        <f t="shared" si="2"/>
        <v>0.63534722222222217</v>
      </c>
      <c r="J739" s="8"/>
      <c r="K739" s="8"/>
      <c r="L739" s="8">
        <v>5.6157407407407406E-2</v>
      </c>
      <c r="M739" s="18"/>
      <c r="N739" s="13">
        <f t="shared" si="4"/>
        <v>1.0518077946470492</v>
      </c>
    </row>
    <row r="740" spans="1:14" ht="14.5">
      <c r="A740" s="6">
        <v>45572</v>
      </c>
      <c r="B740" s="47" t="s">
        <v>16</v>
      </c>
      <c r="C740" s="7">
        <v>18</v>
      </c>
      <c r="D740" s="8">
        <v>5.5555555555555558E-3</v>
      </c>
      <c r="E740" s="8">
        <f t="shared" si="0"/>
        <v>0.1</v>
      </c>
      <c r="F740" s="10">
        <f t="shared" si="162"/>
        <v>0.62768518518518523</v>
      </c>
      <c r="G740" s="10">
        <v>0.72222222222222221</v>
      </c>
      <c r="H740" s="8">
        <f t="shared" si="77"/>
        <v>9.4537037037036975E-2</v>
      </c>
      <c r="I740" s="11">
        <f t="shared" si="2"/>
        <v>0.72768518518518521</v>
      </c>
      <c r="J740" s="8"/>
      <c r="K740" s="8"/>
      <c r="L740" s="8" t="str">
        <f>IF(OR(J740=0,K740=0)," ",K740-J740)</f>
        <v xml:space="preserve"> </v>
      </c>
      <c r="M740" s="18"/>
      <c r="N740" s="13">
        <f t="shared" si="4"/>
        <v>1.057786483839374</v>
      </c>
    </row>
    <row r="741" spans="1:14" ht="14.5">
      <c r="A741" s="6">
        <v>45573</v>
      </c>
      <c r="B741" s="47" t="s">
        <v>16</v>
      </c>
      <c r="C741" s="7">
        <v>15</v>
      </c>
      <c r="D741" s="8">
        <v>5.5555555555555558E-3</v>
      </c>
      <c r="E741" s="8">
        <f t="shared" si="0"/>
        <v>8.3333333333333343E-2</v>
      </c>
      <c r="F741" s="10">
        <v>0.33416666666666667</v>
      </c>
      <c r="G741" s="10">
        <v>0.4258912037037037</v>
      </c>
      <c r="H741" s="8">
        <f t="shared" si="77"/>
        <v>7.9699074074074075E-2</v>
      </c>
      <c r="I741" s="11">
        <f t="shared" si="2"/>
        <v>0.42952546296296296</v>
      </c>
      <c r="J741" s="8"/>
      <c r="K741" s="8"/>
      <c r="L741" s="8">
        <v>1.2025462962962963E-2</v>
      </c>
      <c r="M741" s="18"/>
      <c r="N741" s="13">
        <f t="shared" si="4"/>
        <v>1.0455997676444961</v>
      </c>
    </row>
    <row r="742" spans="1:14" ht="14.5">
      <c r="A742" s="6">
        <v>45573</v>
      </c>
      <c r="B742" s="47" t="s">
        <v>16</v>
      </c>
      <c r="C742" s="7">
        <v>33</v>
      </c>
      <c r="D742" s="8">
        <v>5.5555555555555558E-3</v>
      </c>
      <c r="E742" s="8">
        <f t="shared" si="0"/>
        <v>0.18333333333333335</v>
      </c>
      <c r="F742" s="10">
        <f>G741</f>
        <v>0.4258912037037037</v>
      </c>
      <c r="G742" s="10">
        <v>0.67531249999999998</v>
      </c>
      <c r="H742" s="8">
        <f t="shared" si="77"/>
        <v>0.17516203703703703</v>
      </c>
      <c r="I742" s="11">
        <f t="shared" si="2"/>
        <v>0.6834837962962963</v>
      </c>
      <c r="J742" s="8"/>
      <c r="K742" s="8"/>
      <c r="L742" s="8">
        <v>7.4259259259259261E-2</v>
      </c>
      <c r="M742" s="18"/>
      <c r="N742" s="13">
        <f t="shared" si="4"/>
        <v>1.0466499273159773</v>
      </c>
    </row>
    <row r="743" spans="1:14" ht="14.5">
      <c r="A743" s="6">
        <v>45573</v>
      </c>
      <c r="B743" s="47" t="s">
        <v>97</v>
      </c>
      <c r="C743" s="7">
        <v>4</v>
      </c>
      <c r="D743" s="8">
        <v>2.0833333333333333E-3</v>
      </c>
      <c r="E743" s="8">
        <f t="shared" si="0"/>
        <v>8.3333333333333332E-3</v>
      </c>
      <c r="F743" s="10">
        <v>0.48804398148148154</v>
      </c>
      <c r="G743" s="10">
        <v>0.49585648148148148</v>
      </c>
      <c r="H743" s="8">
        <f t="shared" si="77"/>
        <v>7.8124999999999445E-3</v>
      </c>
      <c r="I743" s="11">
        <f t="shared" si="2"/>
        <v>0.4963773148148149</v>
      </c>
      <c r="J743" s="8"/>
      <c r="K743" s="8"/>
      <c r="L743" s="8" t="str">
        <f t="shared" ref="L743:L745" si="163">IF(OR(J743=0,K743=0)," ",K743-J743)</f>
        <v xml:space="preserve"> </v>
      </c>
      <c r="M743" s="18"/>
      <c r="N743" s="13">
        <f t="shared" si="4"/>
        <v>1.0666666666666742</v>
      </c>
    </row>
    <row r="744" spans="1:14" ht="14.5">
      <c r="A744" s="6">
        <v>45573</v>
      </c>
      <c r="B744" s="47" t="s">
        <v>38</v>
      </c>
      <c r="C744" s="7">
        <v>16</v>
      </c>
      <c r="D744" s="8">
        <v>2.7777777777777779E-3</v>
      </c>
      <c r="E744" s="8">
        <f t="shared" si="0"/>
        <v>4.4444444444444446E-2</v>
      </c>
      <c r="F744" s="10">
        <f>G742</f>
        <v>0.67531249999999998</v>
      </c>
      <c r="G744" s="10">
        <v>0.71885416666666668</v>
      </c>
      <c r="H744" s="8">
        <f t="shared" si="77"/>
        <v>4.3541666666666701E-2</v>
      </c>
      <c r="I744" s="11">
        <f t="shared" si="2"/>
        <v>0.71975694444444438</v>
      </c>
      <c r="J744" s="8"/>
      <c r="K744" s="8"/>
      <c r="L744" s="8" t="str">
        <f t="shared" si="163"/>
        <v xml:space="preserve"> </v>
      </c>
      <c r="M744" s="18"/>
      <c r="N744" s="13">
        <f t="shared" si="4"/>
        <v>1.0207336523125989</v>
      </c>
    </row>
    <row r="745" spans="1:14" ht="14.5">
      <c r="A745" s="6">
        <v>45574</v>
      </c>
      <c r="B745" s="47" t="s">
        <v>37</v>
      </c>
      <c r="C745" s="7">
        <v>16</v>
      </c>
      <c r="D745" s="8">
        <v>1.3888888888888889E-3</v>
      </c>
      <c r="E745" s="8">
        <f t="shared" si="0"/>
        <v>2.2222222222222223E-2</v>
      </c>
      <c r="F745" s="10">
        <v>0.33552083333333338</v>
      </c>
      <c r="G745" s="10">
        <v>0.35579861111111111</v>
      </c>
      <c r="H745" s="8">
        <f t="shared" si="77"/>
        <v>2.0277777777777728E-2</v>
      </c>
      <c r="I745" s="11">
        <f t="shared" si="2"/>
        <v>0.35774305555555558</v>
      </c>
      <c r="J745" s="8"/>
      <c r="K745" s="8"/>
      <c r="L745" s="8" t="str">
        <f t="shared" si="163"/>
        <v xml:space="preserve"> </v>
      </c>
      <c r="M745" s="18"/>
      <c r="N745" s="13">
        <f t="shared" si="4"/>
        <v>1.0958904109589069</v>
      </c>
    </row>
    <row r="746" spans="1:14" ht="14.5">
      <c r="A746" s="6">
        <v>45574</v>
      </c>
      <c r="B746" s="47" t="s">
        <v>16</v>
      </c>
      <c r="C746" s="7">
        <v>11</v>
      </c>
      <c r="D746" s="8">
        <v>5.5555555555555558E-3</v>
      </c>
      <c r="E746" s="9">
        <f t="shared" si="0"/>
        <v>6.1111111111111116E-2</v>
      </c>
      <c r="F746" s="10">
        <v>0.42060185185185184</v>
      </c>
      <c r="G746" s="10">
        <v>0.49991898148148151</v>
      </c>
      <c r="H746" s="8">
        <f t="shared" si="77"/>
        <v>5.7511574074074111E-2</v>
      </c>
      <c r="I746" s="11">
        <f t="shared" si="2"/>
        <v>0.50351851851851848</v>
      </c>
      <c r="J746" s="8"/>
      <c r="K746" s="8"/>
      <c r="L746" s="8">
        <v>2.1805555555555557E-2</v>
      </c>
      <c r="M746" s="18"/>
      <c r="N746" s="13">
        <f t="shared" si="4"/>
        <v>1.0625880458844832</v>
      </c>
    </row>
    <row r="747" spans="1:14" ht="14.5">
      <c r="A747" s="6">
        <v>45574</v>
      </c>
      <c r="B747" s="47" t="s">
        <v>49</v>
      </c>
      <c r="C747" s="7">
        <v>18</v>
      </c>
      <c r="D747" s="8">
        <v>3.472222222222222E-3</v>
      </c>
      <c r="E747" s="8">
        <f t="shared" si="0"/>
        <v>6.25E-2</v>
      </c>
      <c r="F747" s="10">
        <v>0.50005787037037042</v>
      </c>
      <c r="G747" s="10">
        <v>0.56721064814814814</v>
      </c>
      <c r="H747" s="8">
        <f t="shared" si="77"/>
        <v>6.2314814814814767E-2</v>
      </c>
      <c r="I747" s="11">
        <f t="shared" si="2"/>
        <v>0.56739583333333343</v>
      </c>
      <c r="J747" s="8"/>
      <c r="K747" s="8"/>
      <c r="L747" s="8">
        <v>4.8379629629629632E-3</v>
      </c>
      <c r="M747" s="18"/>
      <c r="N747" s="13">
        <f t="shared" si="4"/>
        <v>1.0029717682020809</v>
      </c>
    </row>
    <row r="748" spans="1:14" ht="14.5">
      <c r="A748" s="6">
        <v>45574</v>
      </c>
      <c r="B748" s="47" t="s">
        <v>16</v>
      </c>
      <c r="C748" s="7">
        <v>19</v>
      </c>
      <c r="D748" s="8">
        <v>5.5555555555555558E-3</v>
      </c>
      <c r="E748" s="8">
        <f t="shared" si="0"/>
        <v>0.10555555555555556</v>
      </c>
      <c r="F748" s="10">
        <v>0.56724537037037037</v>
      </c>
      <c r="G748" s="10">
        <v>0.69625000000000004</v>
      </c>
      <c r="H748" s="8">
        <f t="shared" si="77"/>
        <v>0.10282407407407411</v>
      </c>
      <c r="I748" s="11">
        <f t="shared" si="2"/>
        <v>0.69898148148148143</v>
      </c>
      <c r="J748" s="8"/>
      <c r="K748" s="8"/>
      <c r="L748" s="8">
        <v>2.6180555555555554E-2</v>
      </c>
      <c r="M748" s="18"/>
      <c r="N748" s="13">
        <f t="shared" si="4"/>
        <v>1.0265646105357944</v>
      </c>
    </row>
    <row r="749" spans="1:14" ht="14.5">
      <c r="A749" s="6">
        <v>45574</v>
      </c>
      <c r="B749" s="47" t="s">
        <v>49</v>
      </c>
      <c r="C749" s="7">
        <v>6</v>
      </c>
      <c r="D749" s="8">
        <v>3.472222222222222E-3</v>
      </c>
      <c r="E749" s="8">
        <f t="shared" si="0"/>
        <v>2.0833333333333332E-2</v>
      </c>
      <c r="F749" s="10">
        <f>G748</f>
        <v>0.69625000000000004</v>
      </c>
      <c r="G749" s="10">
        <v>0.7176851851851852</v>
      </c>
      <c r="H749" s="8">
        <f t="shared" si="77"/>
        <v>2.1435185185185168E-2</v>
      </c>
      <c r="I749" s="11">
        <f t="shared" si="2"/>
        <v>0.71708333333333341</v>
      </c>
      <c r="J749" s="8"/>
      <c r="K749" s="8"/>
      <c r="L749" s="8"/>
      <c r="M749" s="18"/>
      <c r="N749" s="13">
        <f t="shared" si="4"/>
        <v>0.9719222462203031</v>
      </c>
    </row>
    <row r="750" spans="1:14" ht="14.5">
      <c r="A750" s="6">
        <v>45575</v>
      </c>
      <c r="B750" s="47" t="s">
        <v>46</v>
      </c>
      <c r="C750" s="7">
        <v>26</v>
      </c>
      <c r="D750" s="8">
        <v>3.472222222222222E-3</v>
      </c>
      <c r="E750" s="8">
        <f t="shared" si="0"/>
        <v>9.0277777777777776E-2</v>
      </c>
      <c r="F750" s="10">
        <v>0.34021990740740743</v>
      </c>
      <c r="G750" s="10">
        <v>0.44084490740740739</v>
      </c>
      <c r="H750" s="8">
        <f t="shared" si="77"/>
        <v>8.5092592592592553E-2</v>
      </c>
      <c r="I750" s="11">
        <f t="shared" si="2"/>
        <v>0.44603009259259263</v>
      </c>
      <c r="J750" s="8"/>
      <c r="K750" s="8"/>
      <c r="L750" s="8">
        <v>1.5532407407407408E-2</v>
      </c>
      <c r="M750" s="18"/>
      <c r="N750" s="13">
        <f t="shared" si="4"/>
        <v>1.0609357997823725</v>
      </c>
    </row>
    <row r="751" spans="1:14" ht="14.5">
      <c r="A751" s="6">
        <v>45575</v>
      </c>
      <c r="B751" s="47" t="s">
        <v>42</v>
      </c>
      <c r="C751" s="7">
        <v>1</v>
      </c>
      <c r="D751" s="8">
        <v>6.9444444444444441E-3</v>
      </c>
      <c r="E751" s="8">
        <f t="shared" si="0"/>
        <v>6.9444444444444441E-3</v>
      </c>
      <c r="F751" s="10">
        <f>G750</f>
        <v>0.44084490740740739</v>
      </c>
      <c r="G751" s="10">
        <v>0.4472800925925926</v>
      </c>
      <c r="H751" s="8">
        <f t="shared" si="77"/>
        <v>6.4351851851852104E-3</v>
      </c>
      <c r="I751" s="11">
        <f t="shared" si="2"/>
        <v>0.44778935185185181</v>
      </c>
      <c r="J751" s="8"/>
      <c r="K751" s="8"/>
      <c r="L751" s="8" t="str">
        <f>IF(OR(J751=0,K751=0)," ",K751-J751)</f>
        <v xml:space="preserve"> </v>
      </c>
      <c r="M751" s="18"/>
      <c r="N751" s="13">
        <f t="shared" si="4"/>
        <v>1.0791366906474777</v>
      </c>
    </row>
    <row r="752" spans="1:14" ht="14.5">
      <c r="A752" s="6">
        <v>45575</v>
      </c>
      <c r="B752" s="47" t="s">
        <v>49</v>
      </c>
      <c r="C752" s="7">
        <v>6</v>
      </c>
      <c r="D752" s="8">
        <v>3.472222222222222E-3</v>
      </c>
      <c r="E752" s="8">
        <f t="shared" si="0"/>
        <v>2.0833333333333332E-2</v>
      </c>
      <c r="F752" s="10">
        <v>0.44737268518518519</v>
      </c>
      <c r="G752" s="10">
        <v>0.49746527777777777</v>
      </c>
      <c r="H752" s="8">
        <f t="shared" si="77"/>
        <v>2.10648148148148E-2</v>
      </c>
      <c r="I752" s="11">
        <f t="shared" si="2"/>
        <v>0.49723379629629627</v>
      </c>
      <c r="J752" s="8"/>
      <c r="K752" s="8"/>
      <c r="L752" s="8">
        <v>2.9027777777777777E-2</v>
      </c>
      <c r="M752" s="18"/>
      <c r="N752" s="13">
        <f t="shared" si="4"/>
        <v>0.98901098901098961</v>
      </c>
    </row>
    <row r="753" spans="1:14" ht="14.5">
      <c r="A753" s="6">
        <v>45575</v>
      </c>
      <c r="B753" s="47" t="s">
        <v>46</v>
      </c>
      <c r="C753" s="7">
        <v>26</v>
      </c>
      <c r="D753" s="8">
        <v>3.472222222222222E-3</v>
      </c>
      <c r="E753" s="8">
        <f t="shared" si="0"/>
        <v>9.0277777777777776E-2</v>
      </c>
      <c r="F753" s="10">
        <v>0.49752314814814813</v>
      </c>
      <c r="G753" s="10">
        <v>0.59936342592592595</v>
      </c>
      <c r="H753" s="8">
        <f t="shared" si="77"/>
        <v>8.7511574074074117E-2</v>
      </c>
      <c r="I753" s="11">
        <f t="shared" si="2"/>
        <v>0.60212962962962957</v>
      </c>
      <c r="J753" s="8"/>
      <c r="K753" s="8"/>
      <c r="L753" s="8">
        <v>1.4328703703703703E-2</v>
      </c>
      <c r="M753" s="18"/>
      <c r="N753" s="13">
        <f t="shared" si="4"/>
        <v>1.0316095754529819</v>
      </c>
    </row>
    <row r="754" spans="1:14" ht="14.5">
      <c r="A754" s="6">
        <v>45575</v>
      </c>
      <c r="B754" s="47" t="s">
        <v>50</v>
      </c>
      <c r="C754" s="7">
        <v>1</v>
      </c>
      <c r="D754" s="8">
        <v>1.0416666666666666E-2</v>
      </c>
      <c r="E754" s="8">
        <f t="shared" si="0"/>
        <v>1.0416666666666666E-2</v>
      </c>
      <c r="F754" s="10">
        <f t="shared" ref="F754:F760" si="164">G753</f>
        <v>0.59936342592592595</v>
      </c>
      <c r="G754" s="10">
        <v>0.60924768518518524</v>
      </c>
      <c r="H754" s="8">
        <f t="shared" si="77"/>
        <v>9.8842592592592871E-3</v>
      </c>
      <c r="I754" s="11">
        <f t="shared" si="2"/>
        <v>0.60978009259259258</v>
      </c>
      <c r="J754" s="8"/>
      <c r="K754" s="8"/>
      <c r="L754" s="8" t="str">
        <f t="shared" ref="L754:L755" si="165">IF(OR(J754=0,K754=0)," ",K754-J754)</f>
        <v xml:space="preserve"> </v>
      </c>
      <c r="M754" s="18"/>
      <c r="N754" s="13">
        <f t="shared" si="4"/>
        <v>1.0538641686182639</v>
      </c>
    </row>
    <row r="755" spans="1:14" ht="14.5">
      <c r="A755" s="6">
        <v>45575</v>
      </c>
      <c r="B755" s="47" t="s">
        <v>51</v>
      </c>
      <c r="C755" s="7">
        <v>1</v>
      </c>
      <c r="D755" s="8">
        <v>1.0416666666666666E-2</v>
      </c>
      <c r="E755" s="8">
        <f t="shared" si="0"/>
        <v>1.0416666666666666E-2</v>
      </c>
      <c r="F755" s="10">
        <f t="shared" si="164"/>
        <v>0.60924768518518524</v>
      </c>
      <c r="G755" s="10">
        <v>0.6185532407407407</v>
      </c>
      <c r="H755" s="8">
        <f t="shared" si="77"/>
        <v>9.3055555555554559E-3</v>
      </c>
      <c r="I755" s="11">
        <f t="shared" si="2"/>
        <v>0.61966435185185187</v>
      </c>
      <c r="J755" s="8"/>
      <c r="K755" s="8"/>
      <c r="L755" s="8" t="str">
        <f t="shared" si="165"/>
        <v xml:space="preserve"> </v>
      </c>
      <c r="M755" s="18"/>
      <c r="N755" s="13">
        <f t="shared" si="4"/>
        <v>1.1194029850746388</v>
      </c>
    </row>
    <row r="756" spans="1:14" ht="14.5">
      <c r="A756" s="6">
        <v>45575</v>
      </c>
      <c r="B756" s="47" t="s">
        <v>52</v>
      </c>
      <c r="C756" s="7">
        <v>1</v>
      </c>
      <c r="D756" s="8">
        <v>1.0416666666666666E-2</v>
      </c>
      <c r="E756" s="8">
        <f t="shared" si="0"/>
        <v>1.0416666666666666E-2</v>
      </c>
      <c r="F756" s="10">
        <f t="shared" si="164"/>
        <v>0.6185532407407407</v>
      </c>
      <c r="G756" s="10">
        <v>0.64025462962962965</v>
      </c>
      <c r="H756" s="8">
        <f t="shared" si="77"/>
        <v>9.3865740740741357E-3</v>
      </c>
      <c r="I756" s="11">
        <f t="shared" si="2"/>
        <v>0.6412847222222221</v>
      </c>
      <c r="J756" s="8"/>
      <c r="K756" s="8"/>
      <c r="L756" s="8">
        <v>1.2314814814814815E-2</v>
      </c>
      <c r="M756" s="18"/>
      <c r="N756" s="13">
        <f t="shared" si="4"/>
        <v>1.1097410604192282</v>
      </c>
    </row>
    <row r="757" spans="1:14" ht="14.5">
      <c r="A757" s="6">
        <v>45575</v>
      </c>
      <c r="B757" s="47" t="s">
        <v>53</v>
      </c>
      <c r="C757" s="7">
        <v>1</v>
      </c>
      <c r="D757" s="8">
        <v>1.0416666666666666E-2</v>
      </c>
      <c r="E757" s="8">
        <f t="shared" si="0"/>
        <v>1.0416666666666666E-2</v>
      </c>
      <c r="F757" s="10">
        <f t="shared" si="164"/>
        <v>0.64025462962962965</v>
      </c>
      <c r="G757" s="10">
        <v>0.64960648148148148</v>
      </c>
      <c r="H757" s="8">
        <f t="shared" si="77"/>
        <v>9.3518518518518334E-3</v>
      </c>
      <c r="I757" s="11">
        <f t="shared" si="2"/>
        <v>0.65067129629629628</v>
      </c>
      <c r="J757" s="8"/>
      <c r="K757" s="8"/>
      <c r="L757" s="8" t="str">
        <f t="shared" ref="L757:L760" si="166">IF(OR(J757=0,K757=0)," ",K757-J757)</f>
        <v xml:space="preserve"> </v>
      </c>
      <c r="M757" s="18"/>
      <c r="N757" s="13">
        <f t="shared" si="4"/>
        <v>1.113861386138616</v>
      </c>
    </row>
    <row r="758" spans="1:14" ht="14.5">
      <c r="A758" s="6">
        <v>45575</v>
      </c>
      <c r="B758" s="47" t="s">
        <v>43</v>
      </c>
      <c r="C758" s="7">
        <v>1</v>
      </c>
      <c r="D758" s="8">
        <v>3.4722222222222224E-2</v>
      </c>
      <c r="E758" s="8">
        <f t="shared" si="0"/>
        <v>3.4722222222222224E-2</v>
      </c>
      <c r="F758" s="10">
        <f t="shared" si="164"/>
        <v>0.64960648148148148</v>
      </c>
      <c r="G758" s="10">
        <v>0.68053240740740739</v>
      </c>
      <c r="H758" s="8">
        <f t="shared" si="77"/>
        <v>3.0925925925925912E-2</v>
      </c>
      <c r="I758" s="11">
        <f t="shared" si="2"/>
        <v>0.68432870370370369</v>
      </c>
      <c r="J758" s="8"/>
      <c r="K758" s="8"/>
      <c r="L758" s="8" t="str">
        <f t="shared" si="166"/>
        <v xml:space="preserve"> </v>
      </c>
      <c r="M758" s="18"/>
      <c r="N758" s="13">
        <f t="shared" si="4"/>
        <v>1.1227544910179645</v>
      </c>
    </row>
    <row r="759" spans="1:14" ht="14.5">
      <c r="A759" s="6">
        <v>45575</v>
      </c>
      <c r="B759" s="47" t="s">
        <v>65</v>
      </c>
      <c r="C759" s="7">
        <v>1</v>
      </c>
      <c r="D759" s="8">
        <v>2.0833333333333332E-2</v>
      </c>
      <c r="E759" s="8">
        <f t="shared" si="0"/>
        <v>2.0833333333333332E-2</v>
      </c>
      <c r="F759" s="10">
        <f t="shared" si="164"/>
        <v>0.68053240740740739</v>
      </c>
      <c r="G759" s="10">
        <v>0.69865740740740745</v>
      </c>
      <c r="H759" s="8">
        <f t="shared" si="77"/>
        <v>1.8125000000000058E-2</v>
      </c>
      <c r="I759" s="11">
        <f t="shared" si="2"/>
        <v>0.70136574074074076</v>
      </c>
      <c r="J759" s="8"/>
      <c r="K759" s="8"/>
      <c r="L759" s="8" t="str">
        <f t="shared" si="166"/>
        <v xml:space="preserve"> </v>
      </c>
      <c r="M759" s="18"/>
      <c r="N759" s="13">
        <f t="shared" si="4"/>
        <v>1.1494252873563182</v>
      </c>
    </row>
    <row r="760" spans="1:14" ht="14.5">
      <c r="A760" s="38">
        <v>45575</v>
      </c>
      <c r="B760" s="61" t="s">
        <v>86</v>
      </c>
      <c r="C760" s="39">
        <v>18</v>
      </c>
      <c r="D760" s="40">
        <v>1.3888888888888889E-3</v>
      </c>
      <c r="E760" s="40">
        <f t="shared" si="0"/>
        <v>2.5000000000000001E-2</v>
      </c>
      <c r="F760" s="41">
        <f t="shared" si="164"/>
        <v>0.69865740740740745</v>
      </c>
      <c r="G760" s="41">
        <v>0.72290509259259261</v>
      </c>
      <c r="H760" s="40">
        <f t="shared" si="77"/>
        <v>2.4247685185185164E-2</v>
      </c>
      <c r="I760" s="42">
        <f t="shared" si="2"/>
        <v>0.72365740740740747</v>
      </c>
      <c r="J760" s="40"/>
      <c r="K760" s="40"/>
      <c r="L760" s="40" t="str">
        <f t="shared" si="166"/>
        <v xml:space="preserve"> </v>
      </c>
      <c r="M760" s="43"/>
      <c r="N760" s="44">
        <f t="shared" si="4"/>
        <v>1.0310262529832945</v>
      </c>
    </row>
    <row r="761" spans="1:14" ht="14.5">
      <c r="A761" s="6">
        <v>45576</v>
      </c>
      <c r="B761" s="47" t="s">
        <v>16</v>
      </c>
      <c r="C761" s="7">
        <v>28</v>
      </c>
      <c r="D761" s="8">
        <v>5.5555555555555558E-3</v>
      </c>
      <c r="E761" s="8">
        <f t="shared" si="0"/>
        <v>0.15555555555555556</v>
      </c>
      <c r="F761" s="10">
        <v>0.33826388888888886</v>
      </c>
      <c r="G761" s="10">
        <v>0.54104166666666664</v>
      </c>
      <c r="H761" s="8">
        <f t="shared" si="77"/>
        <v>0.15167824074074074</v>
      </c>
      <c r="I761" s="11">
        <f t="shared" si="2"/>
        <v>0.54491898148148143</v>
      </c>
      <c r="J761" s="8"/>
      <c r="K761" s="8"/>
      <c r="L761" s="8">
        <v>5.1099537037037034E-2</v>
      </c>
      <c r="M761" s="18"/>
      <c r="N761" s="13">
        <f t="shared" si="4"/>
        <v>1.0255627623044641</v>
      </c>
    </row>
    <row r="762" spans="1:14" ht="14.5">
      <c r="A762" s="6">
        <v>45576</v>
      </c>
      <c r="B762" s="47" t="s">
        <v>16</v>
      </c>
      <c r="C762" s="7">
        <v>24</v>
      </c>
      <c r="D762" s="8">
        <v>5.5555555555555558E-3</v>
      </c>
      <c r="E762" s="8">
        <f t="shared" si="0"/>
        <v>0.13333333333333333</v>
      </c>
      <c r="F762" s="10">
        <f>G761</f>
        <v>0.54104166666666664</v>
      </c>
      <c r="G762" s="10">
        <v>0.7246966087986948</v>
      </c>
      <c r="H762" s="8">
        <f t="shared" si="77"/>
        <v>0.1313401273172134</v>
      </c>
      <c r="I762" s="11">
        <f t="shared" si="2"/>
        <v>0.72668981481481465</v>
      </c>
      <c r="J762" s="8"/>
      <c r="K762" s="8"/>
      <c r="L762" s="8">
        <v>5.2314814814814752E-2</v>
      </c>
      <c r="M762" s="18"/>
      <c r="N762" s="13">
        <f t="shared" si="4"/>
        <v>1.015175910491589</v>
      </c>
    </row>
    <row r="763" spans="1:14" ht="14.5">
      <c r="A763" s="6">
        <v>45576</v>
      </c>
      <c r="B763" s="47" t="s">
        <v>50</v>
      </c>
      <c r="C763" s="7">
        <v>1</v>
      </c>
      <c r="D763" s="8">
        <v>1.0416666666666666E-2</v>
      </c>
      <c r="E763" s="8">
        <f t="shared" si="0"/>
        <v>1.0416666666666666E-2</v>
      </c>
      <c r="F763" s="10">
        <v>0.61300925925925931</v>
      </c>
      <c r="G763" s="10">
        <v>0.62222222222222223</v>
      </c>
      <c r="H763" s="8">
        <f t="shared" si="77"/>
        <v>9.2129629629629228E-3</v>
      </c>
      <c r="I763" s="11">
        <f t="shared" si="2"/>
        <v>0.62342592592592594</v>
      </c>
      <c r="J763" s="8"/>
      <c r="K763" s="8"/>
      <c r="L763" s="8" t="str">
        <f t="shared" ref="L763:L771" si="167">IF(OR(J763=0,K763=0)," ",K763-J763)</f>
        <v xml:space="preserve"> </v>
      </c>
      <c r="M763" s="18"/>
      <c r="N763" s="13">
        <f t="shared" si="4"/>
        <v>1.1306532663316631</v>
      </c>
    </row>
    <row r="764" spans="1:14" ht="14.5">
      <c r="A764" s="6">
        <v>45576</v>
      </c>
      <c r="B764" s="47" t="s">
        <v>51</v>
      </c>
      <c r="C764" s="7">
        <v>1</v>
      </c>
      <c r="D764" s="8">
        <v>1.0416666666666666E-2</v>
      </c>
      <c r="E764" s="8">
        <f t="shared" si="0"/>
        <v>1.0416666666666666E-2</v>
      </c>
      <c r="F764" s="10">
        <f t="shared" ref="F764:F766" si="168">G763</f>
        <v>0.62222222222222223</v>
      </c>
      <c r="G764" s="10">
        <v>0.63180555555555551</v>
      </c>
      <c r="H764" s="8">
        <f t="shared" si="77"/>
        <v>9.5833333333332771E-3</v>
      </c>
      <c r="I764" s="11">
        <f t="shared" si="2"/>
        <v>0.63263888888888886</v>
      </c>
      <c r="J764" s="8"/>
      <c r="K764" s="8"/>
      <c r="L764" s="8" t="str">
        <f t="shared" si="167"/>
        <v xml:space="preserve"> </v>
      </c>
      <c r="M764" s="18"/>
      <c r="N764" s="13">
        <f t="shared" si="4"/>
        <v>1.0869565217391368</v>
      </c>
    </row>
    <row r="765" spans="1:14" ht="14.5">
      <c r="A765" s="6">
        <v>45576</v>
      </c>
      <c r="B765" s="47" t="s">
        <v>52</v>
      </c>
      <c r="C765" s="7">
        <v>1</v>
      </c>
      <c r="D765" s="8">
        <v>1.0416666666666666E-2</v>
      </c>
      <c r="E765" s="8">
        <f t="shared" si="0"/>
        <v>1.0416666666666666E-2</v>
      </c>
      <c r="F765" s="10">
        <f t="shared" si="168"/>
        <v>0.63180555555555551</v>
      </c>
      <c r="G765" s="10">
        <v>0.64115740740740745</v>
      </c>
      <c r="H765" s="8">
        <f t="shared" si="77"/>
        <v>9.3518518518519445E-3</v>
      </c>
      <c r="I765" s="11">
        <f t="shared" si="2"/>
        <v>0.64222222222222214</v>
      </c>
      <c r="J765" s="8"/>
      <c r="K765" s="8"/>
      <c r="L765" s="8" t="str">
        <f t="shared" si="167"/>
        <v xml:space="preserve"> </v>
      </c>
      <c r="M765" s="18"/>
      <c r="N765" s="13">
        <f t="shared" si="4"/>
        <v>1.1138613861386029</v>
      </c>
    </row>
    <row r="766" spans="1:14" ht="14.5">
      <c r="A766" s="6">
        <v>45576</v>
      </c>
      <c r="B766" s="47" t="s">
        <v>53</v>
      </c>
      <c r="C766" s="7">
        <v>1</v>
      </c>
      <c r="D766" s="8">
        <v>1.0416666666666666E-2</v>
      </c>
      <c r="E766" s="8">
        <f t="shared" si="0"/>
        <v>1.0416666666666666E-2</v>
      </c>
      <c r="F766" s="10">
        <f t="shared" si="168"/>
        <v>0.64115740740740745</v>
      </c>
      <c r="G766" s="10">
        <v>0.6504861111111111</v>
      </c>
      <c r="H766" s="8">
        <f t="shared" si="77"/>
        <v>9.3287037037036447E-3</v>
      </c>
      <c r="I766" s="11">
        <f t="shared" si="2"/>
        <v>0.65157407407407408</v>
      </c>
      <c r="J766" s="8"/>
      <c r="K766" s="8"/>
      <c r="L766" s="8" t="str">
        <f t="shared" si="167"/>
        <v xml:space="preserve"> </v>
      </c>
      <c r="M766" s="18"/>
      <c r="N766" s="13">
        <f t="shared" si="4"/>
        <v>1.1166253101737043</v>
      </c>
    </row>
    <row r="767" spans="1:14" ht="14.5">
      <c r="A767" s="6">
        <v>45579</v>
      </c>
      <c r="B767" s="47" t="s">
        <v>50</v>
      </c>
      <c r="C767" s="7">
        <v>2</v>
      </c>
      <c r="D767" s="8">
        <v>1.0416666666666666E-2</v>
      </c>
      <c r="E767" s="8">
        <f t="shared" si="0"/>
        <v>2.0833333333333332E-2</v>
      </c>
      <c r="F767" s="10">
        <v>0.28775462962962961</v>
      </c>
      <c r="G767" s="10">
        <v>0.30730324074074072</v>
      </c>
      <c r="H767" s="8">
        <f t="shared" si="77"/>
        <v>1.9548611111111114E-2</v>
      </c>
      <c r="I767" s="11">
        <f t="shared" si="2"/>
        <v>0.30858796296296293</v>
      </c>
      <c r="J767" s="8"/>
      <c r="K767" s="8"/>
      <c r="L767" s="8" t="str">
        <f t="shared" si="167"/>
        <v xml:space="preserve"> </v>
      </c>
      <c r="M767" s="18"/>
      <c r="N767" s="13">
        <f t="shared" si="4"/>
        <v>1.0657193605683835</v>
      </c>
    </row>
    <row r="768" spans="1:14" ht="14.5">
      <c r="A768" s="6">
        <v>45579</v>
      </c>
      <c r="B768" s="47" t="s">
        <v>51</v>
      </c>
      <c r="C768" s="7">
        <v>2</v>
      </c>
      <c r="D768" s="8">
        <v>1.0416666666666666E-2</v>
      </c>
      <c r="E768" s="8">
        <f t="shared" si="0"/>
        <v>2.0833333333333332E-2</v>
      </c>
      <c r="F768" s="10">
        <f t="shared" ref="F768:F774" si="169">G767</f>
        <v>0.30730324074074072</v>
      </c>
      <c r="G768" s="10">
        <v>0.32657407407407413</v>
      </c>
      <c r="H768" s="8">
        <f t="shared" si="77"/>
        <v>1.9270833333333404E-2</v>
      </c>
      <c r="I768" s="11">
        <f t="shared" si="2"/>
        <v>0.32813657407407404</v>
      </c>
      <c r="J768" s="8"/>
      <c r="K768" s="8"/>
      <c r="L768" s="8" t="str">
        <f t="shared" si="167"/>
        <v xml:space="preserve"> </v>
      </c>
      <c r="M768" s="18"/>
      <c r="N768" s="13">
        <f t="shared" si="4"/>
        <v>1.0810810810810771</v>
      </c>
    </row>
    <row r="769" spans="1:14" ht="14.5">
      <c r="A769" s="6">
        <v>45579</v>
      </c>
      <c r="B769" s="47" t="s">
        <v>52</v>
      </c>
      <c r="C769" s="7">
        <v>2</v>
      </c>
      <c r="D769" s="8">
        <v>1.0416666666666666E-2</v>
      </c>
      <c r="E769" s="8">
        <f t="shared" si="0"/>
        <v>2.0833333333333332E-2</v>
      </c>
      <c r="F769" s="10">
        <f t="shared" si="169"/>
        <v>0.32657407407407413</v>
      </c>
      <c r="G769" s="10">
        <v>0.34543981481481478</v>
      </c>
      <c r="H769" s="8">
        <f t="shared" si="77"/>
        <v>1.8865740740740655E-2</v>
      </c>
      <c r="I769" s="11">
        <f t="shared" si="2"/>
        <v>0.34740740740740744</v>
      </c>
      <c r="J769" s="8"/>
      <c r="K769" s="8"/>
      <c r="L769" s="8" t="str">
        <f t="shared" si="167"/>
        <v xml:space="preserve"> </v>
      </c>
      <c r="M769" s="18"/>
      <c r="N769" s="13">
        <f t="shared" si="4"/>
        <v>1.1042944785276123</v>
      </c>
    </row>
    <row r="770" spans="1:14" ht="14.5">
      <c r="A770" s="6">
        <v>45579</v>
      </c>
      <c r="B770" s="47" t="s">
        <v>53</v>
      </c>
      <c r="C770" s="7">
        <v>2</v>
      </c>
      <c r="D770" s="8">
        <v>1.0416666666666666E-2</v>
      </c>
      <c r="E770" s="8">
        <f t="shared" si="0"/>
        <v>2.0833333333333332E-2</v>
      </c>
      <c r="F770" s="10">
        <f t="shared" si="169"/>
        <v>0.34543981481481478</v>
      </c>
      <c r="G770" s="10">
        <v>0.36442129629629627</v>
      </c>
      <c r="H770" s="8">
        <f t="shared" si="77"/>
        <v>1.8981481481481488E-2</v>
      </c>
      <c r="I770" s="11">
        <f t="shared" si="2"/>
        <v>0.3662731481481481</v>
      </c>
      <c r="J770" s="8"/>
      <c r="K770" s="8"/>
      <c r="L770" s="8" t="str">
        <f t="shared" si="167"/>
        <v xml:space="preserve"> </v>
      </c>
      <c r="M770" s="18"/>
      <c r="N770" s="13">
        <f t="shared" si="4"/>
        <v>1.0975609756097557</v>
      </c>
    </row>
    <row r="771" spans="1:14" ht="14.5">
      <c r="A771" s="6">
        <v>45579</v>
      </c>
      <c r="B771" s="47" t="s">
        <v>42</v>
      </c>
      <c r="C771" s="7">
        <v>1</v>
      </c>
      <c r="D771" s="8">
        <v>6.9444444444444441E-3</v>
      </c>
      <c r="E771" s="8">
        <f t="shared" si="0"/>
        <v>6.9444444444444441E-3</v>
      </c>
      <c r="F771" s="10">
        <f t="shared" si="169"/>
        <v>0.36442129629629627</v>
      </c>
      <c r="G771" s="10">
        <v>0.37093750000000003</v>
      </c>
      <c r="H771" s="8">
        <f t="shared" si="77"/>
        <v>6.5162037037037601E-3</v>
      </c>
      <c r="I771" s="11">
        <f t="shared" si="2"/>
        <v>0.37136574074074069</v>
      </c>
      <c r="J771" s="8"/>
      <c r="K771" s="8"/>
      <c r="L771" s="8" t="str">
        <f t="shared" si="167"/>
        <v xml:space="preserve"> </v>
      </c>
      <c r="M771" s="18"/>
      <c r="N771" s="13">
        <f t="shared" si="4"/>
        <v>1.0657193605683744</v>
      </c>
    </row>
    <row r="772" spans="1:14" ht="14.5">
      <c r="A772" s="6">
        <v>45579</v>
      </c>
      <c r="B772" s="47" t="s">
        <v>43</v>
      </c>
      <c r="C772" s="7">
        <v>1</v>
      </c>
      <c r="D772" s="8">
        <v>3.4722222222222224E-2</v>
      </c>
      <c r="E772" s="8">
        <f t="shared" si="0"/>
        <v>3.4722222222222224E-2</v>
      </c>
      <c r="F772" s="10">
        <f t="shared" si="169"/>
        <v>0.37093750000000003</v>
      </c>
      <c r="G772" s="10">
        <v>0.41977569444861729</v>
      </c>
      <c r="H772" s="8">
        <f t="shared" si="77"/>
        <v>3.1778009263432071E-2</v>
      </c>
      <c r="I772" s="11">
        <f t="shared" si="2"/>
        <v>0.42271990740740745</v>
      </c>
      <c r="J772" s="8"/>
      <c r="K772" s="8"/>
      <c r="L772" s="8">
        <v>1.7060185185185185E-2</v>
      </c>
      <c r="M772" s="18"/>
      <c r="N772" s="13">
        <f t="shared" si="4"/>
        <v>1.0926493832380542</v>
      </c>
    </row>
    <row r="773" spans="1:14" ht="14.5">
      <c r="A773" s="6">
        <v>45579</v>
      </c>
      <c r="B773" s="47" t="s">
        <v>63</v>
      </c>
      <c r="C773" s="7">
        <v>1</v>
      </c>
      <c r="D773" s="8">
        <v>3.4722222222222224E-2</v>
      </c>
      <c r="E773" s="8">
        <f t="shared" si="0"/>
        <v>3.4722222222222224E-2</v>
      </c>
      <c r="F773" s="10">
        <f t="shared" si="169"/>
        <v>0.41977569444861729</v>
      </c>
      <c r="G773" s="10">
        <v>0.4760416666666667</v>
      </c>
      <c r="H773" s="8">
        <f t="shared" si="77"/>
        <v>3.300208332916052E-2</v>
      </c>
      <c r="I773" s="11">
        <f t="shared" si="2"/>
        <v>0.47776180555972836</v>
      </c>
      <c r="J773" s="8"/>
      <c r="K773" s="8"/>
      <c r="L773" s="8">
        <v>2.326388888888889E-2</v>
      </c>
      <c r="M773" s="18"/>
      <c r="N773" s="13">
        <f t="shared" si="4"/>
        <v>1.0521221304699209</v>
      </c>
    </row>
    <row r="774" spans="1:14" ht="14.5">
      <c r="A774" s="6">
        <v>45579</v>
      </c>
      <c r="B774" s="47" t="s">
        <v>16</v>
      </c>
      <c r="C774" s="7">
        <v>31</v>
      </c>
      <c r="D774" s="8">
        <v>5.5555555555555558E-3</v>
      </c>
      <c r="E774" s="8">
        <f t="shared" si="0"/>
        <v>0.17222222222222222</v>
      </c>
      <c r="F774" s="10">
        <f t="shared" si="169"/>
        <v>0.4760416666666667</v>
      </c>
      <c r="G774" s="10">
        <v>0.67013888888888884</v>
      </c>
      <c r="H774" s="8">
        <f t="shared" si="77"/>
        <v>0.16023148148148142</v>
      </c>
      <c r="I774" s="11">
        <f t="shared" si="2"/>
        <v>0.68212962962962975</v>
      </c>
      <c r="J774" s="8"/>
      <c r="K774" s="8"/>
      <c r="L774" s="8">
        <v>3.3865740740740738E-2</v>
      </c>
      <c r="M774" s="18"/>
      <c r="N774" s="13">
        <f t="shared" si="4"/>
        <v>1.0748338630453631</v>
      </c>
    </row>
    <row r="775" spans="1:14" ht="14.5">
      <c r="A775" s="6">
        <v>45579</v>
      </c>
      <c r="B775" s="47" t="s">
        <v>44</v>
      </c>
      <c r="C775" s="7">
        <v>1</v>
      </c>
      <c r="D775" s="8">
        <v>3.472222222222222E-3</v>
      </c>
      <c r="E775" s="8">
        <f t="shared" si="0"/>
        <v>3.472222222222222E-3</v>
      </c>
      <c r="F775" s="10">
        <v>0.65196759259259263</v>
      </c>
      <c r="G775" s="10">
        <v>0.65491898148148153</v>
      </c>
      <c r="H775" s="8">
        <f t="shared" si="77"/>
        <v>2.9513888888889062E-3</v>
      </c>
      <c r="I775" s="11">
        <f t="shared" si="2"/>
        <v>0.65543981481481484</v>
      </c>
      <c r="J775" s="8"/>
      <c r="K775" s="8"/>
      <c r="L775" s="8" t="str">
        <f t="shared" ref="L775:L778" si="170">IF(OR(J775=0,K775=0)," ",K775-J775)</f>
        <v xml:space="preserve"> </v>
      </c>
      <c r="M775" s="18"/>
      <c r="N775" s="13">
        <f t="shared" si="4"/>
        <v>1.1764705882352873</v>
      </c>
    </row>
    <row r="776" spans="1:14" ht="14.5">
      <c r="A776" s="6">
        <v>45580</v>
      </c>
      <c r="B776" s="47" t="s">
        <v>98</v>
      </c>
      <c r="C776" s="7">
        <v>1</v>
      </c>
      <c r="D776" s="8">
        <v>1.0416666666666666E-2</v>
      </c>
      <c r="E776" s="8">
        <f t="shared" si="0"/>
        <v>1.0416666666666666E-2</v>
      </c>
      <c r="F776" s="10">
        <v>0.34347222222222218</v>
      </c>
      <c r="G776" s="10">
        <v>0.3533101851851852</v>
      </c>
      <c r="H776" s="8">
        <f t="shared" si="77"/>
        <v>9.8379629629630205E-3</v>
      </c>
      <c r="I776" s="11">
        <f t="shared" si="2"/>
        <v>0.35388888888888886</v>
      </c>
      <c r="J776" s="8"/>
      <c r="K776" s="8"/>
      <c r="L776" s="8" t="str">
        <f t="shared" si="170"/>
        <v xml:space="preserve"> </v>
      </c>
      <c r="M776" s="18"/>
      <c r="N776" s="13">
        <f t="shared" si="4"/>
        <v>1.0588235294117585</v>
      </c>
    </row>
    <row r="777" spans="1:14" ht="14.5">
      <c r="A777" s="6">
        <v>45580</v>
      </c>
      <c r="B777" s="47" t="s">
        <v>86</v>
      </c>
      <c r="C777" s="7">
        <v>18</v>
      </c>
      <c r="D777" s="8">
        <v>1.3888888888888889E-3</v>
      </c>
      <c r="E777" s="8">
        <f t="shared" si="0"/>
        <v>2.5000000000000001E-2</v>
      </c>
      <c r="F777" s="10">
        <f>G776</f>
        <v>0.3533101851851852</v>
      </c>
      <c r="G777" s="10">
        <v>0.37418981481481484</v>
      </c>
      <c r="H777" s="8">
        <f t="shared" si="77"/>
        <v>2.0879629629629637E-2</v>
      </c>
      <c r="I777" s="11">
        <f t="shared" si="2"/>
        <v>0.37831018518518522</v>
      </c>
      <c r="J777" s="8"/>
      <c r="K777" s="8"/>
      <c r="L777" s="8" t="str">
        <f t="shared" si="170"/>
        <v xml:space="preserve"> </v>
      </c>
      <c r="M777" s="18"/>
      <c r="N777" s="13">
        <f t="shared" si="4"/>
        <v>1.1973392461197336</v>
      </c>
    </row>
    <row r="778" spans="1:14" ht="14.5">
      <c r="A778" s="6">
        <v>45580</v>
      </c>
      <c r="B778" s="47" t="s">
        <v>49</v>
      </c>
      <c r="C778" s="7">
        <v>7</v>
      </c>
      <c r="D778" s="8">
        <v>3.472222222222222E-3</v>
      </c>
      <c r="E778" s="8">
        <f t="shared" si="0"/>
        <v>2.4305555555555552E-2</v>
      </c>
      <c r="F778" s="10">
        <v>0.37432870370370369</v>
      </c>
      <c r="G778" s="10">
        <v>0.39999498843098991</v>
      </c>
      <c r="H778" s="8">
        <f t="shared" si="77"/>
        <v>2.5666284727286215E-2</v>
      </c>
      <c r="I778" s="11">
        <f t="shared" si="2"/>
        <v>0.39863425925925922</v>
      </c>
      <c r="J778" s="8"/>
      <c r="K778" s="8"/>
      <c r="L778" s="8" t="str">
        <f t="shared" si="170"/>
        <v xml:space="preserve"> </v>
      </c>
      <c r="M778" s="18"/>
      <c r="N778" s="13">
        <f t="shared" si="4"/>
        <v>0.94698378880352518</v>
      </c>
    </row>
    <row r="779" spans="1:14" ht="14.5">
      <c r="A779" s="6">
        <v>45580</v>
      </c>
      <c r="B779" s="47" t="s">
        <v>86</v>
      </c>
      <c r="C779" s="7">
        <v>40</v>
      </c>
      <c r="D779" s="8">
        <v>1.3888888888888889E-3</v>
      </c>
      <c r="E779" s="8">
        <f t="shared" si="0"/>
        <v>5.5555555555555559E-2</v>
      </c>
      <c r="F779" s="10">
        <v>0.40065972222222224</v>
      </c>
      <c r="G779" s="10">
        <v>0.5046180555555555</v>
      </c>
      <c r="H779" s="8">
        <f t="shared" si="77"/>
        <v>5.226851851851845E-2</v>
      </c>
      <c r="I779" s="11">
        <f t="shared" si="2"/>
        <v>0.50790509259259264</v>
      </c>
      <c r="J779" s="8"/>
      <c r="K779" s="8"/>
      <c r="L779" s="8">
        <v>5.1689814814814813E-2</v>
      </c>
      <c r="M779" s="18"/>
      <c r="N779" s="13">
        <f t="shared" si="4"/>
        <v>1.0628875110717464</v>
      </c>
    </row>
    <row r="780" spans="1:14" ht="14.5">
      <c r="A780" s="6">
        <v>45580</v>
      </c>
      <c r="B780" s="47" t="s">
        <v>16</v>
      </c>
      <c r="C780" s="7">
        <v>33</v>
      </c>
      <c r="D780" s="8">
        <v>5.5555555555555558E-3</v>
      </c>
      <c r="E780" s="8">
        <f t="shared" si="0"/>
        <v>0.18333333333333335</v>
      </c>
      <c r="F780" s="10">
        <f>G779</f>
        <v>0.5046180555555555</v>
      </c>
      <c r="G780" s="10">
        <v>0.72569444444444442</v>
      </c>
      <c r="H780" s="8">
        <f t="shared" si="77"/>
        <v>0.17819444444444449</v>
      </c>
      <c r="I780" s="11">
        <f t="shared" si="2"/>
        <v>0.73083333333333333</v>
      </c>
      <c r="J780" s="8"/>
      <c r="K780" s="8"/>
      <c r="L780" s="8">
        <v>4.2881944444444445E-2</v>
      </c>
      <c r="M780" s="18"/>
      <c r="N780" s="13">
        <f t="shared" si="4"/>
        <v>1.0288386593920498</v>
      </c>
    </row>
    <row r="781" spans="1:14" ht="14.5">
      <c r="A781" s="6">
        <v>45581</v>
      </c>
      <c r="B781" s="47" t="s">
        <v>86</v>
      </c>
      <c r="C781" s="7">
        <v>7</v>
      </c>
      <c r="D781" s="8">
        <v>1.3888888888888889E-3</v>
      </c>
      <c r="E781" s="8">
        <f t="shared" si="0"/>
        <v>9.7222222222222224E-3</v>
      </c>
      <c r="F781" s="10">
        <v>0.34622685185185187</v>
      </c>
      <c r="G781" s="10">
        <v>0.35543981481481479</v>
      </c>
      <c r="H781" s="8">
        <f t="shared" si="77"/>
        <v>9.2129629629629228E-3</v>
      </c>
      <c r="I781" s="11">
        <f t="shared" si="2"/>
        <v>0.35594907407407411</v>
      </c>
      <c r="J781" s="8"/>
      <c r="K781" s="8"/>
      <c r="L781" s="8" t="str">
        <f>IF(OR(J781=0,K781=0)," ",K781-J781)</f>
        <v xml:space="preserve"> </v>
      </c>
      <c r="M781" s="18"/>
      <c r="N781" s="13">
        <f t="shared" si="4"/>
        <v>1.0552763819095523</v>
      </c>
    </row>
    <row r="782" spans="1:14" ht="14.5">
      <c r="A782" s="6">
        <v>45581</v>
      </c>
      <c r="B782" s="47" t="s">
        <v>49</v>
      </c>
      <c r="C782" s="7">
        <v>21</v>
      </c>
      <c r="D782" s="8">
        <v>3.472222222222222E-3</v>
      </c>
      <c r="E782" s="8">
        <f t="shared" si="0"/>
        <v>7.2916666666666657E-2</v>
      </c>
      <c r="F782" s="10">
        <v>0.35559027777777774</v>
      </c>
      <c r="G782" s="10">
        <v>0.47898148148148151</v>
      </c>
      <c r="H782" s="8">
        <f t="shared" si="77"/>
        <v>7.6087962962963024E-2</v>
      </c>
      <c r="I782" s="11">
        <f t="shared" si="2"/>
        <v>0.47581018518518514</v>
      </c>
      <c r="J782" s="8"/>
      <c r="K782" s="8"/>
      <c r="L782" s="8">
        <v>4.7303240740740743E-2</v>
      </c>
      <c r="M782" s="18"/>
      <c r="N782" s="13">
        <f t="shared" si="4"/>
        <v>0.95832065713416403</v>
      </c>
    </row>
    <row r="783" spans="1:14" ht="14.5">
      <c r="A783" s="6">
        <v>45581</v>
      </c>
      <c r="B783" s="47" t="s">
        <v>16</v>
      </c>
      <c r="C783" s="7">
        <v>7</v>
      </c>
      <c r="D783" s="8">
        <v>5.5555555555555558E-3</v>
      </c>
      <c r="E783" s="8">
        <f t="shared" si="0"/>
        <v>3.888888888888889E-2</v>
      </c>
      <c r="F783" s="10">
        <v>0.47909722222222223</v>
      </c>
      <c r="G783" s="10">
        <v>0.51443287037037033</v>
      </c>
      <c r="H783" s="8">
        <f t="shared" si="77"/>
        <v>3.5335648148148102E-2</v>
      </c>
      <c r="I783" s="11">
        <f t="shared" si="2"/>
        <v>0.51798611111111115</v>
      </c>
      <c r="J783" s="8"/>
      <c r="K783" s="8"/>
      <c r="L783" s="8" t="str">
        <f>IF(OR(J783=0,K783=0)," ",K783-J783)</f>
        <v xml:space="preserve"> </v>
      </c>
      <c r="M783" s="18"/>
      <c r="N783" s="13">
        <f t="shared" si="4"/>
        <v>1.1005568293481836</v>
      </c>
    </row>
    <row r="784" spans="1:14" ht="14.5">
      <c r="A784" s="6">
        <v>45581</v>
      </c>
      <c r="B784" s="47" t="s">
        <v>86</v>
      </c>
      <c r="C784" s="7">
        <v>56</v>
      </c>
      <c r="D784" s="8">
        <v>1.3888888888888889E-3</v>
      </c>
      <c r="E784" s="8">
        <f t="shared" si="0"/>
        <v>7.7777777777777779E-2</v>
      </c>
      <c r="F784" s="10">
        <f t="shared" ref="F784:F789" si="171">G783</f>
        <v>0.51443287037037033</v>
      </c>
      <c r="G784" s="10">
        <v>0.60945601851851849</v>
      </c>
      <c r="H784" s="8">
        <f t="shared" si="77"/>
        <v>7.1365740740740757E-2</v>
      </c>
      <c r="I784" s="11">
        <f t="shared" si="2"/>
        <v>0.61586805555555557</v>
      </c>
      <c r="J784" s="8"/>
      <c r="K784" s="8"/>
      <c r="L784" s="8">
        <v>2.3657407407407408E-2</v>
      </c>
      <c r="M784" s="18"/>
      <c r="N784" s="13">
        <f t="shared" si="4"/>
        <v>1.0898475510866037</v>
      </c>
    </row>
    <row r="785" spans="1:14" ht="14.5">
      <c r="A785" s="6">
        <v>45581</v>
      </c>
      <c r="B785" s="47" t="s">
        <v>50</v>
      </c>
      <c r="C785" s="7">
        <v>1</v>
      </c>
      <c r="D785" s="8">
        <v>1.0416666666666666E-2</v>
      </c>
      <c r="E785" s="8">
        <f t="shared" si="0"/>
        <v>1.0416666666666666E-2</v>
      </c>
      <c r="F785" s="10">
        <f t="shared" si="171"/>
        <v>0.60945601851851849</v>
      </c>
      <c r="G785" s="10">
        <v>0.64187499999999997</v>
      </c>
      <c r="H785" s="8">
        <f t="shared" si="77"/>
        <v>9.6412037037037004E-3</v>
      </c>
      <c r="I785" s="11">
        <f t="shared" si="2"/>
        <v>0.64265046296296291</v>
      </c>
      <c r="J785" s="8"/>
      <c r="K785" s="8"/>
      <c r="L785" s="8">
        <v>2.2777777777777779E-2</v>
      </c>
      <c r="M785" s="18"/>
      <c r="N785" s="13">
        <f t="shared" si="4"/>
        <v>1.0804321728691479</v>
      </c>
    </row>
    <row r="786" spans="1:14" ht="14.5">
      <c r="A786" s="6">
        <v>45581</v>
      </c>
      <c r="B786" s="47" t="s">
        <v>51</v>
      </c>
      <c r="C786" s="7">
        <v>1</v>
      </c>
      <c r="D786" s="8">
        <v>1.0416666666666666E-2</v>
      </c>
      <c r="E786" s="8">
        <f t="shared" si="0"/>
        <v>1.0416666666666666E-2</v>
      </c>
      <c r="F786" s="10">
        <f t="shared" si="171"/>
        <v>0.64187499999999997</v>
      </c>
      <c r="G786" s="10">
        <v>0.65126157407407403</v>
      </c>
      <c r="H786" s="8">
        <f t="shared" si="77"/>
        <v>9.3865740740740611E-3</v>
      </c>
      <c r="I786" s="11">
        <f t="shared" si="2"/>
        <v>0.6522916666666666</v>
      </c>
      <c r="J786" s="8"/>
      <c r="K786" s="8"/>
      <c r="L786" s="8" t="str">
        <f t="shared" ref="L786:L791" si="172">IF(OR(J786=0,K786=0)," ",K786-J786)</f>
        <v xml:space="preserve"> </v>
      </c>
      <c r="M786" s="18"/>
      <c r="N786" s="13">
        <f t="shared" si="4"/>
        <v>1.109741060419237</v>
      </c>
    </row>
    <row r="787" spans="1:14" ht="14.5">
      <c r="A787" s="6">
        <v>45581</v>
      </c>
      <c r="B787" s="47" t="s">
        <v>52</v>
      </c>
      <c r="C787" s="7">
        <v>1</v>
      </c>
      <c r="D787" s="8">
        <v>1.0416666666666666E-2</v>
      </c>
      <c r="E787" s="8">
        <f t="shared" si="0"/>
        <v>1.0416666666666666E-2</v>
      </c>
      <c r="F787" s="10">
        <f t="shared" si="171"/>
        <v>0.65126157407407403</v>
      </c>
      <c r="G787" s="10">
        <v>0.66048611111111111</v>
      </c>
      <c r="H787" s="8">
        <f t="shared" si="77"/>
        <v>9.2245370370370727E-3</v>
      </c>
      <c r="I787" s="11">
        <f t="shared" si="2"/>
        <v>0.66167824074074066</v>
      </c>
      <c r="J787" s="8"/>
      <c r="K787" s="8"/>
      <c r="L787" s="8" t="str">
        <f t="shared" si="172"/>
        <v xml:space="preserve"> </v>
      </c>
      <c r="M787" s="18"/>
      <c r="N787" s="13">
        <f t="shared" si="4"/>
        <v>1.129234629861978</v>
      </c>
    </row>
    <row r="788" spans="1:14" ht="14.5">
      <c r="A788" s="6">
        <v>45581</v>
      </c>
      <c r="B788" s="47" t="s">
        <v>53</v>
      </c>
      <c r="C788" s="7">
        <v>1</v>
      </c>
      <c r="D788" s="8">
        <v>1.0416666666666666E-2</v>
      </c>
      <c r="E788" s="8">
        <f t="shared" si="0"/>
        <v>1.0416666666666666E-2</v>
      </c>
      <c r="F788" s="10">
        <f t="shared" si="171"/>
        <v>0.66048611111111111</v>
      </c>
      <c r="G788" s="10">
        <v>0.67021990740740744</v>
      </c>
      <c r="H788" s="8">
        <f t="shared" si="77"/>
        <v>9.7337962962963376E-3</v>
      </c>
      <c r="I788" s="11">
        <f t="shared" si="2"/>
        <v>0.67090277777777774</v>
      </c>
      <c r="J788" s="8"/>
      <c r="K788" s="8"/>
      <c r="L788" s="8" t="str">
        <f t="shared" si="172"/>
        <v xml:space="preserve"> </v>
      </c>
      <c r="M788" s="18"/>
      <c r="N788" s="13">
        <f t="shared" si="4"/>
        <v>1.0701545778834674</v>
      </c>
    </row>
    <row r="789" spans="1:14" ht="14.5">
      <c r="A789" s="6">
        <v>45581</v>
      </c>
      <c r="B789" s="47" t="s">
        <v>93</v>
      </c>
      <c r="C789" s="7">
        <v>9</v>
      </c>
      <c r="D789" s="8">
        <v>6.9444444444444441E-3</v>
      </c>
      <c r="E789" s="8">
        <f t="shared" si="0"/>
        <v>6.25E-2</v>
      </c>
      <c r="F789" s="10">
        <f t="shared" si="171"/>
        <v>0.67021990740740744</v>
      </c>
      <c r="G789" s="10">
        <v>0.73050925925925925</v>
      </c>
      <c r="H789" s="8">
        <f t="shared" si="77"/>
        <v>6.0289351851851802E-2</v>
      </c>
      <c r="I789" s="11">
        <f t="shared" si="2"/>
        <v>0.73271990740740744</v>
      </c>
      <c r="J789" s="8"/>
      <c r="K789" s="8"/>
      <c r="L789" s="8" t="str">
        <f t="shared" si="172"/>
        <v xml:space="preserve"> </v>
      </c>
      <c r="M789" s="18"/>
      <c r="N789" s="13">
        <f t="shared" si="4"/>
        <v>1.036667306584758</v>
      </c>
    </row>
    <row r="790" spans="1:14" ht="14.5">
      <c r="A790" s="6">
        <v>45582</v>
      </c>
      <c r="B790" s="47" t="s">
        <v>42</v>
      </c>
      <c r="C790" s="7">
        <v>1</v>
      </c>
      <c r="D790" s="8">
        <v>6.9444444444444441E-3</v>
      </c>
      <c r="E790" s="8">
        <f t="shared" si="0"/>
        <v>6.9444444444444441E-3</v>
      </c>
      <c r="F790" s="10">
        <v>0.33694444444444449</v>
      </c>
      <c r="G790" s="10">
        <v>0.34320601851851851</v>
      </c>
      <c r="H790" s="8">
        <f t="shared" si="77"/>
        <v>6.2615740740740167E-3</v>
      </c>
      <c r="I790" s="11">
        <f t="shared" si="2"/>
        <v>0.34388888888888891</v>
      </c>
      <c r="J790" s="8"/>
      <c r="K790" s="8"/>
      <c r="L790" s="8" t="str">
        <f t="shared" si="172"/>
        <v xml:space="preserve"> </v>
      </c>
      <c r="M790" s="18"/>
      <c r="N790" s="13">
        <f t="shared" si="4"/>
        <v>1.1090573012939102</v>
      </c>
    </row>
    <row r="791" spans="1:14" ht="14.5">
      <c r="A791" s="6">
        <v>45582</v>
      </c>
      <c r="B791" s="47" t="s">
        <v>43</v>
      </c>
      <c r="C791" s="7">
        <v>1</v>
      </c>
      <c r="D791" s="8">
        <v>3.4722222222222224E-2</v>
      </c>
      <c r="E791" s="8">
        <f t="shared" si="0"/>
        <v>3.4722222222222224E-2</v>
      </c>
      <c r="F791" s="10">
        <f t="shared" ref="F791:F793" si="173">G790</f>
        <v>0.34320601851851851</v>
      </c>
      <c r="G791" s="10">
        <v>0.37430555555555556</v>
      </c>
      <c r="H791" s="8">
        <f t="shared" si="77"/>
        <v>3.1099537037037051E-2</v>
      </c>
      <c r="I791" s="11">
        <f t="shared" si="2"/>
        <v>0.37792824074074072</v>
      </c>
      <c r="J791" s="8"/>
      <c r="K791" s="8"/>
      <c r="L791" s="8" t="str">
        <f t="shared" si="172"/>
        <v xml:space="preserve"> </v>
      </c>
      <c r="M791" s="18"/>
      <c r="N791" s="13">
        <f t="shared" si="4"/>
        <v>1.1164867882396721</v>
      </c>
    </row>
    <row r="792" spans="1:14" ht="14.5">
      <c r="A792" s="6">
        <v>45582</v>
      </c>
      <c r="B792" s="47" t="s">
        <v>93</v>
      </c>
      <c r="C792" s="7">
        <v>12</v>
      </c>
      <c r="D792" s="8">
        <v>6.9444444444444441E-3</v>
      </c>
      <c r="E792" s="8">
        <f t="shared" si="0"/>
        <v>8.3333333333333329E-2</v>
      </c>
      <c r="F792" s="10">
        <f t="shared" si="173"/>
        <v>0.37430555555555556</v>
      </c>
      <c r="G792" s="10">
        <v>0.49321759259259257</v>
      </c>
      <c r="H792" s="8">
        <f t="shared" si="77"/>
        <v>7.8553240740740715E-2</v>
      </c>
      <c r="I792" s="11">
        <f t="shared" si="2"/>
        <v>0.49799768518518517</v>
      </c>
      <c r="J792" s="8"/>
      <c r="K792" s="8"/>
      <c r="L792" s="8">
        <v>4.0358796296296295E-2</v>
      </c>
      <c r="M792" s="18"/>
      <c r="N792" s="13">
        <f t="shared" si="4"/>
        <v>1.0608516281125684</v>
      </c>
    </row>
    <row r="793" spans="1:14" ht="14.5">
      <c r="A793" s="6">
        <v>45582</v>
      </c>
      <c r="B793" s="47" t="s">
        <v>38</v>
      </c>
      <c r="C793" s="7">
        <v>2</v>
      </c>
      <c r="D793" s="8">
        <v>2.7777777777777779E-3</v>
      </c>
      <c r="E793" s="8">
        <f t="shared" si="0"/>
        <v>5.5555555555555558E-3</v>
      </c>
      <c r="F793" s="10">
        <f t="shared" si="173"/>
        <v>0.49321759259259257</v>
      </c>
      <c r="G793" s="10">
        <v>0.49814814814814812</v>
      </c>
      <c r="H793" s="8">
        <f t="shared" si="77"/>
        <v>4.9305555555555491E-3</v>
      </c>
      <c r="I793" s="11">
        <f t="shared" si="2"/>
        <v>0.4987731481481481</v>
      </c>
      <c r="J793" s="8"/>
      <c r="K793" s="8"/>
      <c r="L793" s="8" t="str">
        <f>IF(OR(J793=0,K793=0)," ",K793-J793)</f>
        <v xml:space="preserve"> </v>
      </c>
      <c r="M793" s="18"/>
      <c r="N793" s="13">
        <f t="shared" si="4"/>
        <v>1.1267605633802833</v>
      </c>
    </row>
    <row r="794" spans="1:14" ht="14.5">
      <c r="A794" s="6">
        <v>45582</v>
      </c>
      <c r="B794" s="47" t="s">
        <v>49</v>
      </c>
      <c r="C794" s="7">
        <v>35</v>
      </c>
      <c r="D794" s="8">
        <v>3.472222222222222E-3</v>
      </c>
      <c r="E794" s="8">
        <f t="shared" si="0"/>
        <v>0.12152777777777778</v>
      </c>
      <c r="F794" s="10">
        <v>0.49819444444444444</v>
      </c>
      <c r="G794" s="10">
        <v>0.66707175925925921</v>
      </c>
      <c r="H794" s="8">
        <f t="shared" si="77"/>
        <v>0.13081018518518514</v>
      </c>
      <c r="I794" s="11">
        <f t="shared" si="2"/>
        <v>0.65778935185185183</v>
      </c>
      <c r="J794" s="8"/>
      <c r="K794" s="8"/>
      <c r="L794" s="8">
        <v>3.8067129629629631E-2</v>
      </c>
      <c r="M794" s="18"/>
      <c r="N794" s="13">
        <f t="shared" si="4"/>
        <v>0.92903910812245649</v>
      </c>
    </row>
    <row r="795" spans="1:14" ht="14.5">
      <c r="A795" s="6">
        <v>45582</v>
      </c>
      <c r="B795" s="47" t="s">
        <v>65</v>
      </c>
      <c r="C795" s="7">
        <v>1</v>
      </c>
      <c r="D795" s="8">
        <v>2.0833333333333332E-2</v>
      </c>
      <c r="E795" s="8">
        <f t="shared" si="0"/>
        <v>2.0833333333333332E-2</v>
      </c>
      <c r="F795" s="10">
        <v>0.66710648148148144</v>
      </c>
      <c r="G795" s="10">
        <v>0.68565972222222227</v>
      </c>
      <c r="H795" s="8">
        <f t="shared" si="77"/>
        <v>1.8553240740740828E-2</v>
      </c>
      <c r="I795" s="11">
        <f t="shared" si="2"/>
        <v>0.68793981481481481</v>
      </c>
      <c r="J795" s="8"/>
      <c r="K795" s="8"/>
      <c r="L795" s="8" t="str">
        <f t="shared" ref="L795:L797" si="174">IF(OR(J795=0,K795=0)," ",K795-J795)</f>
        <v xml:space="preserve"> </v>
      </c>
      <c r="M795" s="18"/>
      <c r="N795" s="13">
        <f t="shared" si="4"/>
        <v>1.1228945726762267</v>
      </c>
    </row>
    <row r="796" spans="1:14" ht="14.5">
      <c r="A796" s="6">
        <v>45582</v>
      </c>
      <c r="B796" s="47" t="s">
        <v>49</v>
      </c>
      <c r="C796" s="7">
        <v>9</v>
      </c>
      <c r="D796" s="8">
        <v>3.472222222222222E-3</v>
      </c>
      <c r="E796" s="8">
        <f t="shared" si="0"/>
        <v>3.125E-2</v>
      </c>
      <c r="F796" s="10">
        <v>0.68574074074074076</v>
      </c>
      <c r="G796" s="10">
        <v>0.71875</v>
      </c>
      <c r="H796" s="8">
        <f t="shared" si="77"/>
        <v>3.3009259259259238E-2</v>
      </c>
      <c r="I796" s="11">
        <f t="shared" si="2"/>
        <v>0.71699074074074076</v>
      </c>
      <c r="J796" s="8"/>
      <c r="K796" s="8"/>
      <c r="L796" s="8" t="str">
        <f t="shared" si="174"/>
        <v xml:space="preserve"> </v>
      </c>
      <c r="M796" s="18"/>
      <c r="N796" s="13">
        <f t="shared" si="4"/>
        <v>0.94670406732117873</v>
      </c>
    </row>
    <row r="797" spans="1:14" ht="14.5">
      <c r="A797" s="6">
        <v>45583</v>
      </c>
      <c r="B797" s="47" t="s">
        <v>49</v>
      </c>
      <c r="C797" s="7">
        <v>8</v>
      </c>
      <c r="D797" s="8">
        <v>3.472222222222222E-3</v>
      </c>
      <c r="E797" s="8">
        <f t="shared" si="0"/>
        <v>2.7777777777777776E-2</v>
      </c>
      <c r="F797" s="10">
        <v>0.34211805555555552</v>
      </c>
      <c r="G797" s="10">
        <v>0.36799768518518516</v>
      </c>
      <c r="H797" s="8">
        <f t="shared" si="77"/>
        <v>2.5879629629629641E-2</v>
      </c>
      <c r="I797" s="11">
        <f t="shared" si="2"/>
        <v>0.36989583333333331</v>
      </c>
      <c r="J797" s="8"/>
      <c r="K797" s="8"/>
      <c r="L797" s="8" t="str">
        <f t="shared" si="174"/>
        <v xml:space="preserve"> </v>
      </c>
      <c r="M797" s="18"/>
      <c r="N797" s="13">
        <f t="shared" si="4"/>
        <v>1.0733452593917705</v>
      </c>
    </row>
    <row r="798" spans="1:14" ht="14.5">
      <c r="A798" s="6">
        <v>45583</v>
      </c>
      <c r="B798" s="47" t="s">
        <v>99</v>
      </c>
      <c r="C798" s="7">
        <v>1</v>
      </c>
      <c r="D798" s="8">
        <v>5.2083333333333336E-2</v>
      </c>
      <c r="E798" s="8">
        <f t="shared" si="0"/>
        <v>5.2083333333333336E-2</v>
      </c>
      <c r="F798" s="10">
        <v>0.36818287037037034</v>
      </c>
      <c r="G798" s="10">
        <v>0.44255787037037042</v>
      </c>
      <c r="H798" s="8">
        <f t="shared" si="77"/>
        <v>4.975694444444452E-2</v>
      </c>
      <c r="I798" s="11">
        <f t="shared" si="2"/>
        <v>0.44488425925925923</v>
      </c>
      <c r="J798" s="8"/>
      <c r="K798" s="8"/>
      <c r="L798" s="8">
        <v>2.4618055555555556E-2</v>
      </c>
      <c r="M798" s="18" t="s">
        <v>100</v>
      </c>
      <c r="N798" s="13">
        <f t="shared" si="4"/>
        <v>1.0467550593161186</v>
      </c>
    </row>
    <row r="799" spans="1:14" ht="14.5">
      <c r="A799" s="6">
        <v>45583</v>
      </c>
      <c r="B799" s="47" t="s">
        <v>28</v>
      </c>
      <c r="C799" s="7">
        <v>61</v>
      </c>
      <c r="D799" s="8">
        <v>1.3888888888888889E-3</v>
      </c>
      <c r="E799" s="8">
        <f t="shared" si="0"/>
        <v>8.4722222222222227E-2</v>
      </c>
      <c r="F799" s="10">
        <f t="shared" ref="F799:F800" si="175">G798</f>
        <v>0.44255787037037042</v>
      </c>
      <c r="G799" s="10">
        <v>0.55795138888888884</v>
      </c>
      <c r="H799" s="8">
        <f t="shared" si="77"/>
        <v>7.6944444444444343E-2</v>
      </c>
      <c r="I799" s="11">
        <f t="shared" si="2"/>
        <v>0.56572916666666673</v>
      </c>
      <c r="J799" s="8"/>
      <c r="K799" s="8"/>
      <c r="L799" s="8">
        <v>3.8449074074074073E-2</v>
      </c>
      <c r="M799" s="18" t="s">
        <v>101</v>
      </c>
      <c r="N799" s="13">
        <f t="shared" si="4"/>
        <v>1.1010830324909762</v>
      </c>
    </row>
    <row r="800" spans="1:14" ht="14.5">
      <c r="A800" s="6">
        <v>45583</v>
      </c>
      <c r="B800" s="47" t="s">
        <v>28</v>
      </c>
      <c r="C800" s="7">
        <v>120</v>
      </c>
      <c r="D800" s="8">
        <v>1.3888888888888889E-3</v>
      </c>
      <c r="E800" s="8">
        <f t="shared" si="0"/>
        <v>0.16666666666666669</v>
      </c>
      <c r="F800" s="10">
        <f t="shared" si="175"/>
        <v>0.55795138888888884</v>
      </c>
      <c r="G800" s="10">
        <v>0.71875</v>
      </c>
      <c r="H800" s="8">
        <f t="shared" si="77"/>
        <v>0.15381944444444448</v>
      </c>
      <c r="I800" s="11">
        <f t="shared" si="2"/>
        <v>0.73159722222222212</v>
      </c>
      <c r="J800" s="8"/>
      <c r="K800" s="8"/>
      <c r="L800" s="8">
        <v>6.9791666666666665E-3</v>
      </c>
      <c r="M800" s="18" t="s">
        <v>101</v>
      </c>
      <c r="N800" s="13">
        <f t="shared" si="4"/>
        <v>1.0835214446952595</v>
      </c>
    </row>
    <row r="801" spans="1:14" ht="14.5">
      <c r="A801" s="6">
        <v>45586</v>
      </c>
      <c r="B801" s="47" t="s">
        <v>43</v>
      </c>
      <c r="C801" s="7">
        <v>1</v>
      </c>
      <c r="D801" s="8">
        <v>3.4722222222222224E-2</v>
      </c>
      <c r="E801" s="8">
        <f t="shared" si="0"/>
        <v>3.4722222222222224E-2</v>
      </c>
      <c r="F801" s="10">
        <v>0.34234953703703708</v>
      </c>
      <c r="G801" s="10">
        <v>0.37357638888888889</v>
      </c>
      <c r="H801" s="8">
        <f t="shared" si="77"/>
        <v>3.1226851851851811E-2</v>
      </c>
      <c r="I801" s="11">
        <f t="shared" si="2"/>
        <v>0.37707175925925929</v>
      </c>
      <c r="J801" s="8"/>
      <c r="K801" s="8"/>
      <c r="L801" s="8" t="str">
        <f t="shared" ref="L801:L802" si="176">IF(OR(J801=0,K801=0)," ",K801-J801)</f>
        <v xml:space="preserve"> </v>
      </c>
      <c r="M801" s="18"/>
      <c r="N801" s="13">
        <f t="shared" si="4"/>
        <v>1.1119347664937005</v>
      </c>
    </row>
    <row r="802" spans="1:14" ht="14.5">
      <c r="A802" s="6">
        <v>45586</v>
      </c>
      <c r="B802" s="47" t="s">
        <v>42</v>
      </c>
      <c r="C802" s="7">
        <v>1</v>
      </c>
      <c r="D802" s="8">
        <v>6.9444444444444441E-3</v>
      </c>
      <c r="E802" s="8">
        <f t="shared" si="0"/>
        <v>6.9444444444444441E-3</v>
      </c>
      <c r="F802" s="10">
        <f t="shared" ref="F802:F806" si="177">G801</f>
        <v>0.37357638888888889</v>
      </c>
      <c r="G802" s="10">
        <v>0.38006944444444446</v>
      </c>
      <c r="H802" s="8">
        <f t="shared" si="77"/>
        <v>6.4930555555555713E-3</v>
      </c>
      <c r="I802" s="11">
        <f t="shared" si="2"/>
        <v>0.38052083333333331</v>
      </c>
      <c r="J802" s="8"/>
      <c r="K802" s="8"/>
      <c r="L802" s="8" t="str">
        <f t="shared" si="176"/>
        <v xml:space="preserve"> </v>
      </c>
      <c r="M802" s="18"/>
      <c r="N802" s="13">
        <f t="shared" si="4"/>
        <v>1.0695187165775375</v>
      </c>
    </row>
    <row r="803" spans="1:14" ht="14.5">
      <c r="A803" s="6">
        <v>45586</v>
      </c>
      <c r="B803" s="47" t="s">
        <v>63</v>
      </c>
      <c r="C803" s="7">
        <v>1</v>
      </c>
      <c r="D803" s="8">
        <v>3.4722222222222224E-2</v>
      </c>
      <c r="E803" s="8">
        <f t="shared" si="0"/>
        <v>3.4722222222222224E-2</v>
      </c>
      <c r="F803" s="10">
        <f t="shared" si="177"/>
        <v>0.38006944444444446</v>
      </c>
      <c r="G803" s="10">
        <v>0.4180787037037037</v>
      </c>
      <c r="H803" s="8">
        <f t="shared" si="77"/>
        <v>3.0937499999999982E-2</v>
      </c>
      <c r="I803" s="11">
        <f t="shared" si="2"/>
        <v>0.42186342592592591</v>
      </c>
      <c r="J803" s="8"/>
      <c r="K803" s="8"/>
      <c r="L803" s="8">
        <v>7.0717592592592594E-3</v>
      </c>
      <c r="M803" s="18"/>
      <c r="N803" s="13">
        <f t="shared" si="4"/>
        <v>1.1223344556677897</v>
      </c>
    </row>
    <row r="804" spans="1:14" ht="14.5">
      <c r="A804" s="6">
        <v>45586</v>
      </c>
      <c r="B804" s="47" t="s">
        <v>28</v>
      </c>
      <c r="C804" s="7">
        <v>46</v>
      </c>
      <c r="D804" s="8">
        <v>1.3888888888888889E-3</v>
      </c>
      <c r="E804" s="8">
        <f t="shared" si="0"/>
        <v>6.3888888888888898E-2</v>
      </c>
      <c r="F804" s="10">
        <f t="shared" si="177"/>
        <v>0.4180787037037037</v>
      </c>
      <c r="G804" s="10">
        <v>0.51746527777777773</v>
      </c>
      <c r="H804" s="8">
        <f t="shared" si="77"/>
        <v>6.1874999999999958E-2</v>
      </c>
      <c r="I804" s="11">
        <f t="shared" si="2"/>
        <v>0.51947916666666671</v>
      </c>
      <c r="J804" s="8"/>
      <c r="K804" s="8"/>
      <c r="L804" s="8">
        <v>3.7511574074074072E-2</v>
      </c>
      <c r="M804" s="18" t="s">
        <v>101</v>
      </c>
      <c r="N804" s="13">
        <f t="shared" si="4"/>
        <v>1.0325476992143667</v>
      </c>
    </row>
    <row r="805" spans="1:14" ht="14.5">
      <c r="A805" s="6">
        <v>45586</v>
      </c>
      <c r="B805" s="47" t="s">
        <v>99</v>
      </c>
      <c r="C805" s="7">
        <v>1</v>
      </c>
      <c r="D805" s="8">
        <v>5.2083333333333336E-2</v>
      </c>
      <c r="E805" s="8">
        <f t="shared" si="0"/>
        <v>5.2083333333333336E-2</v>
      </c>
      <c r="F805" s="10">
        <f t="shared" si="177"/>
        <v>0.51746527777777773</v>
      </c>
      <c r="G805" s="10">
        <v>0.57538194444444446</v>
      </c>
      <c r="H805" s="8">
        <f t="shared" si="77"/>
        <v>4.9502314814814874E-2</v>
      </c>
      <c r="I805" s="11">
        <f t="shared" si="2"/>
        <v>0.5779629629629629</v>
      </c>
      <c r="J805" s="8"/>
      <c r="K805" s="8"/>
      <c r="L805" s="8">
        <v>8.4143518518518517E-3</v>
      </c>
      <c r="M805" s="18" t="s">
        <v>100</v>
      </c>
      <c r="N805" s="13">
        <f t="shared" si="4"/>
        <v>1.0521393500116891</v>
      </c>
    </row>
    <row r="806" spans="1:14" ht="14.5">
      <c r="A806" s="6">
        <v>45586</v>
      </c>
      <c r="B806" s="47" t="s">
        <v>28</v>
      </c>
      <c r="C806" s="7">
        <v>90</v>
      </c>
      <c r="D806" s="8">
        <v>1.3888888888888889E-3</v>
      </c>
      <c r="E806" s="8">
        <f t="shared" si="0"/>
        <v>0.125</v>
      </c>
      <c r="F806" s="10">
        <f t="shared" si="177"/>
        <v>0.57538194444444446</v>
      </c>
      <c r="G806" s="10">
        <v>0.73468060184677597</v>
      </c>
      <c r="H806" s="8">
        <f t="shared" si="77"/>
        <v>0.12961115740233151</v>
      </c>
      <c r="I806" s="11">
        <f t="shared" si="2"/>
        <v>0.73006944444444444</v>
      </c>
      <c r="J806" s="8"/>
      <c r="K806" s="8"/>
      <c r="L806" s="8">
        <v>2.9687499999999999E-2</v>
      </c>
      <c r="M806" s="18"/>
      <c r="N806" s="13">
        <f t="shared" si="4"/>
        <v>0.96442314462158674</v>
      </c>
    </row>
    <row r="807" spans="1:14" ht="14.5">
      <c r="A807" s="6">
        <v>45587</v>
      </c>
      <c r="B807" s="47" t="s">
        <v>28</v>
      </c>
      <c r="C807" s="7">
        <v>100</v>
      </c>
      <c r="D807" s="8">
        <v>1.3888888888888889E-3</v>
      </c>
      <c r="E807" s="8">
        <f t="shared" si="0"/>
        <v>0.1388888888888889</v>
      </c>
      <c r="F807" s="10">
        <v>0.37225694444444446</v>
      </c>
      <c r="G807" s="10">
        <v>0.6134722222222222</v>
      </c>
      <c r="H807" s="8">
        <f t="shared" si="77"/>
        <v>0.12924768518518515</v>
      </c>
      <c r="I807" s="11">
        <f t="shared" si="2"/>
        <v>0.623113425925926</v>
      </c>
      <c r="J807" s="8"/>
      <c r="K807" s="8"/>
      <c r="L807" s="8">
        <v>0.11196759259259259</v>
      </c>
      <c r="M807" s="18"/>
      <c r="N807" s="13">
        <f t="shared" si="4"/>
        <v>1.0745947882152775</v>
      </c>
    </row>
    <row r="808" spans="1:14" ht="14.5">
      <c r="A808" s="6">
        <v>45587</v>
      </c>
      <c r="B808" s="47" t="s">
        <v>99</v>
      </c>
      <c r="C808" s="7">
        <v>1</v>
      </c>
      <c r="D808" s="8">
        <v>5.2083333333333336E-2</v>
      </c>
      <c r="E808" s="8">
        <f t="shared" si="0"/>
        <v>5.2083333333333336E-2</v>
      </c>
      <c r="F808" s="10">
        <f t="shared" ref="F808:F809" si="178">G807</f>
        <v>0.6134722222222222</v>
      </c>
      <c r="G808" s="10">
        <v>0.68038194444444444</v>
      </c>
      <c r="H808" s="8">
        <f t="shared" si="77"/>
        <v>4.8229166666666691E-2</v>
      </c>
      <c r="I808" s="11">
        <f t="shared" si="2"/>
        <v>0.68423611111111116</v>
      </c>
      <c r="J808" s="8"/>
      <c r="K808" s="8"/>
      <c r="L808" s="8">
        <v>1.8680555555555554E-2</v>
      </c>
      <c r="M808" s="18" t="s">
        <v>100</v>
      </c>
      <c r="N808" s="13">
        <f t="shared" si="4"/>
        <v>1.0799136069114466</v>
      </c>
    </row>
    <row r="809" spans="1:14" ht="14.5">
      <c r="A809" s="6">
        <v>45587</v>
      </c>
      <c r="B809" s="47" t="s">
        <v>93</v>
      </c>
      <c r="C809" s="7">
        <v>11</v>
      </c>
      <c r="D809" s="8">
        <v>6.9444444444444441E-3</v>
      </c>
      <c r="E809" s="8">
        <f t="shared" si="0"/>
        <v>7.6388888888888881E-2</v>
      </c>
      <c r="F809" s="10">
        <f t="shared" si="178"/>
        <v>0.68038194444444444</v>
      </c>
      <c r="G809" s="10">
        <v>0.75</v>
      </c>
      <c r="H809" s="8">
        <f t="shared" si="77"/>
        <v>6.9618055555555558E-2</v>
      </c>
      <c r="I809" s="11">
        <f t="shared" si="2"/>
        <v>0.75677083333333328</v>
      </c>
      <c r="J809" s="8"/>
      <c r="K809" s="8"/>
      <c r="L809" s="8" t="str">
        <f>IF(OR(J809=0,K809=0)," ",K809-J809)</f>
        <v xml:space="preserve"> </v>
      </c>
      <c r="M809" s="18"/>
      <c r="N809" s="13">
        <f t="shared" si="4"/>
        <v>1.0972568578553614</v>
      </c>
    </row>
    <row r="810" spans="1:14" ht="14.5">
      <c r="A810" s="6">
        <v>45588</v>
      </c>
      <c r="B810" s="47" t="s">
        <v>84</v>
      </c>
      <c r="C810" s="7">
        <v>1</v>
      </c>
      <c r="D810" s="8">
        <v>7.6388888888888895E-2</v>
      </c>
      <c r="E810" s="8">
        <f t="shared" si="0"/>
        <v>7.6388888888888895E-2</v>
      </c>
      <c r="F810" s="10">
        <v>0.34218749999999998</v>
      </c>
      <c r="G810" s="10">
        <v>0.44521990740740736</v>
      </c>
      <c r="H810" s="8">
        <f t="shared" si="77"/>
        <v>6.9016203703703677E-2</v>
      </c>
      <c r="I810" s="11">
        <f t="shared" si="2"/>
        <v>0.45259259259259255</v>
      </c>
      <c r="J810" s="8"/>
      <c r="K810" s="8"/>
      <c r="L810" s="8">
        <v>3.4016203703703701E-2</v>
      </c>
      <c r="M810" s="18"/>
      <c r="N810" s="13">
        <f t="shared" si="4"/>
        <v>1.1068254234445754</v>
      </c>
    </row>
    <row r="811" spans="1:14" ht="14.5">
      <c r="A811" s="6">
        <v>45588</v>
      </c>
      <c r="B811" s="47" t="s">
        <v>86</v>
      </c>
      <c r="C811" s="7">
        <v>130</v>
      </c>
      <c r="D811" s="8">
        <v>1.3888888888888889E-3</v>
      </c>
      <c r="E811" s="8">
        <f t="shared" si="0"/>
        <v>0.18055555555555555</v>
      </c>
      <c r="F811" s="10">
        <f t="shared" ref="F811:F812" si="179">G810</f>
        <v>0.44521990740740736</v>
      </c>
      <c r="G811" s="10">
        <v>0.66747481481434079</v>
      </c>
      <c r="H811" s="8">
        <f t="shared" si="77"/>
        <v>0.1682965740736001</v>
      </c>
      <c r="I811" s="11">
        <f t="shared" si="2"/>
        <v>0.67973379629629627</v>
      </c>
      <c r="J811" s="8"/>
      <c r="K811" s="8"/>
      <c r="L811" s="8">
        <v>5.395833333333333E-2</v>
      </c>
      <c r="M811" s="18"/>
      <c r="N811" s="13">
        <f t="shared" si="4"/>
        <v>1.0728415391069952</v>
      </c>
    </row>
    <row r="812" spans="1:14" ht="14.5">
      <c r="A812" s="6">
        <v>45588</v>
      </c>
      <c r="B812" s="47" t="s">
        <v>16</v>
      </c>
      <c r="C812" s="7">
        <v>8</v>
      </c>
      <c r="D812" s="8">
        <v>5.5555555555555558E-3</v>
      </c>
      <c r="E812" s="8">
        <f t="shared" si="0"/>
        <v>4.4444444444444446E-2</v>
      </c>
      <c r="F812" s="10">
        <f t="shared" si="179"/>
        <v>0.66747481481434079</v>
      </c>
      <c r="G812" s="10">
        <v>0.72971054397930857</v>
      </c>
      <c r="H812" s="8">
        <f t="shared" si="77"/>
        <v>4.530285879459741E-2</v>
      </c>
      <c r="I812" s="11">
        <f t="shared" si="2"/>
        <v>0.72885212962915558</v>
      </c>
      <c r="J812" s="8"/>
      <c r="K812" s="8"/>
      <c r="L812" s="8">
        <v>1.6932870370370369E-2</v>
      </c>
      <c r="M812" s="18"/>
      <c r="N812" s="13">
        <f t="shared" si="4"/>
        <v>0.98105165163980035</v>
      </c>
    </row>
    <row r="813" spans="1:14" ht="14.5">
      <c r="A813" s="6">
        <v>45589</v>
      </c>
      <c r="B813" s="47" t="s">
        <v>43</v>
      </c>
      <c r="C813" s="7">
        <v>1</v>
      </c>
      <c r="D813" s="8">
        <v>3.4722222222222224E-2</v>
      </c>
      <c r="E813" s="8">
        <f t="shared" si="0"/>
        <v>3.4722222222222224E-2</v>
      </c>
      <c r="F813" s="10">
        <v>0.3383680555555556</v>
      </c>
      <c r="G813" s="10">
        <v>0.36931712962962959</v>
      </c>
      <c r="H813" s="8">
        <f t="shared" si="77"/>
        <v>3.094907407407399E-2</v>
      </c>
      <c r="I813" s="11">
        <f t="shared" si="2"/>
        <v>0.37309027777777781</v>
      </c>
      <c r="J813" s="8"/>
      <c r="K813" s="8"/>
      <c r="L813" s="8" t="str">
        <f t="shared" ref="L813:L815" si="180">IF(OR(J813=0,K813=0)," ",K813-J813)</f>
        <v xml:space="preserve"> </v>
      </c>
      <c r="M813" s="18"/>
      <c r="N813" s="13">
        <f t="shared" si="4"/>
        <v>1.1219147344801825</v>
      </c>
    </row>
    <row r="814" spans="1:14" ht="14.5">
      <c r="A814" s="6">
        <v>45589</v>
      </c>
      <c r="B814" s="47" t="s">
        <v>42</v>
      </c>
      <c r="C814" s="7">
        <v>1</v>
      </c>
      <c r="D814" s="8">
        <v>6.9444444444444441E-3</v>
      </c>
      <c r="E814" s="8">
        <f t="shared" si="0"/>
        <v>6.9444444444444441E-3</v>
      </c>
      <c r="F814" s="10">
        <f t="shared" ref="F814:F815" si="181">G813</f>
        <v>0.36931712962962959</v>
      </c>
      <c r="G814" s="10">
        <v>0.37591435185185185</v>
      </c>
      <c r="H814" s="8">
        <f t="shared" si="77"/>
        <v>6.5972222222222543E-3</v>
      </c>
      <c r="I814" s="11">
        <f t="shared" si="2"/>
        <v>0.37626157407407401</v>
      </c>
      <c r="J814" s="8"/>
      <c r="K814" s="8"/>
      <c r="L814" s="8" t="str">
        <f t="shared" si="180"/>
        <v xml:space="preserve"> </v>
      </c>
      <c r="M814" s="18"/>
      <c r="N814" s="13">
        <f t="shared" si="4"/>
        <v>1.0526315789473633</v>
      </c>
    </row>
    <row r="815" spans="1:14" ht="14.5">
      <c r="A815" s="6">
        <v>45589</v>
      </c>
      <c r="B815" s="47" t="s">
        <v>99</v>
      </c>
      <c r="C815" s="7">
        <v>1</v>
      </c>
      <c r="D815" s="8">
        <v>5.2083333333333336E-2</v>
      </c>
      <c r="E815" s="8">
        <f t="shared" si="0"/>
        <v>5.2083333333333336E-2</v>
      </c>
      <c r="F815" s="10">
        <f t="shared" si="181"/>
        <v>0.37591435185185185</v>
      </c>
      <c r="G815" s="10">
        <v>0.43343750000000003</v>
      </c>
      <c r="H815" s="8">
        <f t="shared" si="77"/>
        <v>5.7523148148148184E-2</v>
      </c>
      <c r="I815" s="11">
        <f t="shared" si="2"/>
        <v>0.42799768518518516</v>
      </c>
      <c r="J815" s="8"/>
      <c r="K815" s="8"/>
      <c r="L815" s="8" t="str">
        <f t="shared" si="180"/>
        <v xml:space="preserve"> </v>
      </c>
      <c r="M815" s="18"/>
      <c r="N815" s="13">
        <f t="shared" si="4"/>
        <v>0.90543259557344014</v>
      </c>
    </row>
    <row r="816" spans="1:14" ht="14.5">
      <c r="A816" s="6">
        <v>45589</v>
      </c>
      <c r="B816" s="47" t="s">
        <v>49</v>
      </c>
      <c r="C816" s="7">
        <v>50</v>
      </c>
      <c r="D816" s="8">
        <v>3.472222222222222E-3</v>
      </c>
      <c r="E816" s="8">
        <f t="shared" si="0"/>
        <v>0.1736111111111111</v>
      </c>
      <c r="F816" s="10">
        <v>0.43353009259259262</v>
      </c>
      <c r="G816" s="10">
        <v>0.71942129629629625</v>
      </c>
      <c r="H816" s="8">
        <f t="shared" si="77"/>
        <v>0.16995370370370363</v>
      </c>
      <c r="I816" s="11">
        <f t="shared" si="2"/>
        <v>0.72307870370370375</v>
      </c>
      <c r="J816" s="8"/>
      <c r="K816" s="8"/>
      <c r="L816" s="8">
        <v>0.1159375</v>
      </c>
      <c r="M816" s="18"/>
      <c r="N816" s="13">
        <f t="shared" si="4"/>
        <v>1.0215200217924274</v>
      </c>
    </row>
    <row r="817" spans="1:14" ht="14.5">
      <c r="A817" s="6">
        <v>45590</v>
      </c>
      <c r="B817" s="47" t="s">
        <v>49</v>
      </c>
      <c r="C817" s="7">
        <v>30</v>
      </c>
      <c r="D817" s="8">
        <v>3.472222222222222E-3</v>
      </c>
      <c r="E817" s="8">
        <f t="shared" si="0"/>
        <v>0.10416666666666666</v>
      </c>
      <c r="F817" s="10">
        <v>0.34221064814814817</v>
      </c>
      <c r="G817" s="10">
        <v>0.50386574074074075</v>
      </c>
      <c r="H817" s="8">
        <f t="shared" si="77"/>
        <v>9.6307870370370363E-2</v>
      </c>
      <c r="I817" s="11">
        <f t="shared" si="2"/>
        <v>0.51172453703703702</v>
      </c>
      <c r="J817" s="8"/>
      <c r="K817" s="8"/>
      <c r="L817" s="8">
        <v>6.5347222222222223E-2</v>
      </c>
      <c r="M817" s="18"/>
      <c r="N817" s="13">
        <f t="shared" si="4"/>
        <v>1.0816007691383247</v>
      </c>
    </row>
    <row r="818" spans="1:14" ht="14.5">
      <c r="A818" s="6">
        <v>45590</v>
      </c>
      <c r="B818" s="47" t="s">
        <v>102</v>
      </c>
      <c r="C818" s="7">
        <v>1</v>
      </c>
      <c r="D818" s="8">
        <v>6.25E-2</v>
      </c>
      <c r="E818" s="8">
        <f t="shared" si="0"/>
        <v>6.25E-2</v>
      </c>
      <c r="F818" s="10">
        <v>0.50394675925925925</v>
      </c>
      <c r="G818" s="10">
        <v>0.569849537037037</v>
      </c>
      <c r="H818" s="8">
        <f t="shared" si="77"/>
        <v>5.6192129629629606E-2</v>
      </c>
      <c r="I818" s="11">
        <f t="shared" si="2"/>
        <v>0.5761574074074074</v>
      </c>
      <c r="J818" s="8"/>
      <c r="K818" s="8"/>
      <c r="L818" s="8">
        <v>9.7106481481481488E-3</v>
      </c>
      <c r="M818" s="18"/>
      <c r="N818" s="13">
        <f t="shared" si="4"/>
        <v>1.1122554067971169</v>
      </c>
    </row>
    <row r="819" spans="1:14" ht="14.5">
      <c r="A819" s="6">
        <v>45590</v>
      </c>
      <c r="B819" s="47" t="s">
        <v>99</v>
      </c>
      <c r="C819" s="7">
        <v>1</v>
      </c>
      <c r="D819" s="8">
        <v>5.2083333333333336E-2</v>
      </c>
      <c r="E819" s="8">
        <f t="shared" si="0"/>
        <v>5.2083333333333336E-2</v>
      </c>
      <c r="F819" s="10">
        <f t="shared" ref="F819:F820" si="182">G818</f>
        <v>0.569849537037037</v>
      </c>
      <c r="G819" s="8">
        <v>0.63111111111111107</v>
      </c>
      <c r="H819" s="8">
        <f t="shared" si="77"/>
        <v>5.0370370370370364E-2</v>
      </c>
      <c r="I819" s="11">
        <f t="shared" si="2"/>
        <v>0.63282407407407404</v>
      </c>
      <c r="J819" s="8"/>
      <c r="K819" s="8"/>
      <c r="L819" s="8">
        <v>1.0891203703703703E-2</v>
      </c>
      <c r="M819" s="18"/>
      <c r="N819" s="13">
        <f t="shared" si="4"/>
        <v>1.0340073529411766</v>
      </c>
    </row>
    <row r="820" spans="1:14" ht="14.5">
      <c r="A820" s="6">
        <v>45590</v>
      </c>
      <c r="B820" s="47" t="s">
        <v>93</v>
      </c>
      <c r="C820" s="7">
        <v>14</v>
      </c>
      <c r="D820" s="8">
        <v>6.9444444444444441E-3</v>
      </c>
      <c r="E820" s="8">
        <f t="shared" si="0"/>
        <v>9.722222222222221E-2</v>
      </c>
      <c r="F820" s="10">
        <f t="shared" si="182"/>
        <v>0.63111111111111107</v>
      </c>
      <c r="G820" s="10">
        <v>0.72479883101914311</v>
      </c>
      <c r="H820" s="8">
        <f t="shared" si="77"/>
        <v>9.3687719908032041E-2</v>
      </c>
      <c r="I820" s="11">
        <f t="shared" si="2"/>
        <v>0.72833333333333328</v>
      </c>
      <c r="J820" s="8"/>
      <c r="K820" s="8"/>
      <c r="L820" s="8" t="str">
        <f t="shared" ref="L820:L822" si="183">IF(OR(J820=0,K820=0)," ",K820-J820)</f>
        <v xml:space="preserve"> </v>
      </c>
      <c r="M820" s="18" t="s">
        <v>100</v>
      </c>
      <c r="N820" s="13">
        <f t="shared" si="4"/>
        <v>1.0377264204706849</v>
      </c>
    </row>
    <row r="821" spans="1:14" ht="14.5">
      <c r="A821" s="6">
        <v>45593</v>
      </c>
      <c r="B821" s="47" t="s">
        <v>93</v>
      </c>
      <c r="C821" s="7">
        <v>3</v>
      </c>
      <c r="D821" s="8">
        <v>6.9444444444444441E-3</v>
      </c>
      <c r="E821" s="8">
        <f t="shared" si="0"/>
        <v>2.0833333333333332E-2</v>
      </c>
      <c r="F821" s="10">
        <v>0.33241898148148152</v>
      </c>
      <c r="G821" s="10">
        <v>0.35085648148148152</v>
      </c>
      <c r="H821" s="8">
        <f t="shared" si="77"/>
        <v>1.8437499999999996E-2</v>
      </c>
      <c r="I821" s="11">
        <f t="shared" si="2"/>
        <v>0.35325231481481484</v>
      </c>
      <c r="J821" s="8"/>
      <c r="K821" s="8"/>
      <c r="L821" s="8" t="str">
        <f t="shared" si="183"/>
        <v xml:space="preserve"> </v>
      </c>
      <c r="M821" s="18"/>
      <c r="N821" s="13">
        <f t="shared" si="4"/>
        <v>1.129943502824859</v>
      </c>
    </row>
    <row r="822" spans="1:14" ht="14.5">
      <c r="A822" s="6">
        <v>45593</v>
      </c>
      <c r="B822" s="47" t="s">
        <v>42</v>
      </c>
      <c r="C822" s="7">
        <v>1</v>
      </c>
      <c r="D822" s="8">
        <v>6.9444444444444441E-3</v>
      </c>
      <c r="E822" s="8">
        <f t="shared" si="0"/>
        <v>6.9444444444444441E-3</v>
      </c>
      <c r="F822" s="10">
        <f t="shared" ref="F822:F826" si="184">G821</f>
        <v>0.35085648148148152</v>
      </c>
      <c r="G822" s="10">
        <v>0.35709490740740746</v>
      </c>
      <c r="H822" s="8">
        <f t="shared" si="77"/>
        <v>6.2384259259259389E-3</v>
      </c>
      <c r="I822" s="11">
        <f t="shared" si="2"/>
        <v>0.35780092592592594</v>
      </c>
      <c r="J822" s="8"/>
      <c r="K822" s="8"/>
      <c r="L822" s="8" t="str">
        <f t="shared" si="183"/>
        <v xml:space="preserve"> </v>
      </c>
      <c r="M822" s="18"/>
      <c r="N822" s="13">
        <f t="shared" si="4"/>
        <v>1.113172541743968</v>
      </c>
    </row>
    <row r="823" spans="1:14" ht="14.5">
      <c r="A823" s="6">
        <v>45593</v>
      </c>
      <c r="B823" s="47" t="s">
        <v>43</v>
      </c>
      <c r="C823" s="7">
        <v>1</v>
      </c>
      <c r="D823" s="8">
        <v>3.4722222222222224E-2</v>
      </c>
      <c r="E823" s="8">
        <f t="shared" si="0"/>
        <v>3.4722222222222224E-2</v>
      </c>
      <c r="F823" s="10">
        <f t="shared" si="184"/>
        <v>0.35709490740740746</v>
      </c>
      <c r="G823" s="10">
        <v>0.4005671296296297</v>
      </c>
      <c r="H823" s="8">
        <f t="shared" si="77"/>
        <v>3.5104166666666686E-2</v>
      </c>
      <c r="I823" s="11">
        <f t="shared" si="2"/>
        <v>0.4001851851851852</v>
      </c>
      <c r="J823" s="8"/>
      <c r="K823" s="8"/>
      <c r="L823" s="8">
        <v>8.3680555555555557E-3</v>
      </c>
      <c r="M823" s="18"/>
      <c r="N823" s="13">
        <f t="shared" si="4"/>
        <v>0.98911968348170076</v>
      </c>
    </row>
    <row r="824" spans="1:14" ht="14.5">
      <c r="A824" s="6">
        <v>45593</v>
      </c>
      <c r="B824" s="47" t="s">
        <v>99</v>
      </c>
      <c r="C824" s="7">
        <v>1</v>
      </c>
      <c r="D824" s="8">
        <v>5.2083333333333336E-2</v>
      </c>
      <c r="E824" s="8">
        <f t="shared" si="0"/>
        <v>5.2083333333333336E-2</v>
      </c>
      <c r="F824" s="10">
        <f t="shared" si="184"/>
        <v>0.4005671296296297</v>
      </c>
      <c r="G824" s="10">
        <v>0.46785879629629634</v>
      </c>
      <c r="H824" s="8">
        <f t="shared" si="77"/>
        <v>4.8680555555555532E-2</v>
      </c>
      <c r="I824" s="11">
        <f t="shared" si="2"/>
        <v>0.47126157407407415</v>
      </c>
      <c r="J824" s="8"/>
      <c r="K824" s="8"/>
      <c r="L824" s="8">
        <v>1.861111111111111E-2</v>
      </c>
      <c r="M824" s="18" t="s">
        <v>100</v>
      </c>
      <c r="N824" s="13">
        <f t="shared" si="4"/>
        <v>1.069900142653353</v>
      </c>
    </row>
    <row r="825" spans="1:14" ht="14.5">
      <c r="A825" s="6">
        <v>45593</v>
      </c>
      <c r="B825" s="47" t="s">
        <v>30</v>
      </c>
      <c r="C825" s="7">
        <v>3</v>
      </c>
      <c r="D825" s="8">
        <v>3.125E-2</v>
      </c>
      <c r="E825" s="8">
        <f t="shared" si="0"/>
        <v>9.375E-2</v>
      </c>
      <c r="F825" s="10">
        <f t="shared" si="184"/>
        <v>0.46785879629629634</v>
      </c>
      <c r="G825" s="10">
        <v>0.5700115740740741</v>
      </c>
      <c r="H825" s="8">
        <f t="shared" si="77"/>
        <v>8.8425925925925908E-2</v>
      </c>
      <c r="I825" s="11">
        <f t="shared" si="2"/>
        <v>0.57533564814814819</v>
      </c>
      <c r="J825" s="8"/>
      <c r="K825" s="8"/>
      <c r="L825" s="8">
        <v>1.3726851851851851E-2</v>
      </c>
      <c r="M825" s="18"/>
      <c r="N825" s="13">
        <f t="shared" si="4"/>
        <v>1.0602094240837698</v>
      </c>
    </row>
    <row r="826" spans="1:14" ht="14.5">
      <c r="A826" s="6">
        <v>45593</v>
      </c>
      <c r="B826" s="47" t="s">
        <v>63</v>
      </c>
      <c r="C826" s="7">
        <v>1</v>
      </c>
      <c r="D826" s="8">
        <v>3.4722222222222224E-2</v>
      </c>
      <c r="E826" s="8">
        <f t="shared" si="0"/>
        <v>3.4722222222222224E-2</v>
      </c>
      <c r="F826" s="10">
        <f t="shared" si="184"/>
        <v>0.5700115740740741</v>
      </c>
      <c r="G826" s="10">
        <v>0.60056712962962966</v>
      </c>
      <c r="H826" s="8">
        <f t="shared" si="77"/>
        <v>3.0555555555555558E-2</v>
      </c>
      <c r="I826" s="11">
        <f t="shared" si="2"/>
        <v>0.60473379629629631</v>
      </c>
      <c r="J826" s="8"/>
      <c r="K826" s="8"/>
      <c r="L826" s="8" t="str">
        <f>IF(OR(J826=0,K826=0)," ",K826-J826)</f>
        <v xml:space="preserve"> </v>
      </c>
      <c r="M826" s="18"/>
      <c r="N826" s="13">
        <f t="shared" si="4"/>
        <v>1.1363636363636362</v>
      </c>
    </row>
    <row r="827" spans="1:14" ht="14.5">
      <c r="A827" s="6">
        <v>45593</v>
      </c>
      <c r="B827" s="47" t="s">
        <v>49</v>
      </c>
      <c r="C827" s="7">
        <v>15</v>
      </c>
      <c r="D827" s="8">
        <v>3.472222222222222E-3</v>
      </c>
      <c r="E827" s="8">
        <f t="shared" si="0"/>
        <v>5.2083333333333329E-2</v>
      </c>
      <c r="F827" s="10">
        <v>0.60069444444444442</v>
      </c>
      <c r="G827" s="10">
        <v>0.68027777777777787</v>
      </c>
      <c r="H827" s="8">
        <f t="shared" si="77"/>
        <v>5.4687500000000118E-2</v>
      </c>
      <c r="I827" s="11">
        <f t="shared" si="2"/>
        <v>0.67767361111111113</v>
      </c>
      <c r="J827" s="8"/>
      <c r="K827" s="8"/>
      <c r="L827" s="8">
        <v>2.4895833333333332E-2</v>
      </c>
      <c r="M827" s="37"/>
      <c r="N827" s="13">
        <f t="shared" si="4"/>
        <v>0.95238095238095022</v>
      </c>
    </row>
    <row r="828" spans="1:14" ht="14.5">
      <c r="A828" s="6">
        <v>45593</v>
      </c>
      <c r="B828" s="47" t="s">
        <v>16</v>
      </c>
      <c r="C828" s="7">
        <v>6</v>
      </c>
      <c r="D828" s="8">
        <v>5.5555555555555558E-3</v>
      </c>
      <c r="E828" s="8">
        <f t="shared" si="0"/>
        <v>3.3333333333333333E-2</v>
      </c>
      <c r="F828" s="10">
        <f>G827</f>
        <v>0.68027777777777787</v>
      </c>
      <c r="G828" s="10">
        <v>0.71058752315002494</v>
      </c>
      <c r="H828" s="8">
        <f t="shared" si="77"/>
        <v>3.0309745372247066E-2</v>
      </c>
      <c r="I828" s="11">
        <f t="shared" si="2"/>
        <v>0.7136111111111112</v>
      </c>
      <c r="J828" s="8"/>
      <c r="K828" s="8"/>
      <c r="L828" s="8"/>
      <c r="M828" s="12"/>
      <c r="N828" s="13">
        <f t="shared" si="4"/>
        <v>1.0997562969913564</v>
      </c>
    </row>
    <row r="829" spans="1:14" ht="14.5">
      <c r="A829" s="6">
        <v>45596</v>
      </c>
      <c r="B829" s="47" t="s">
        <v>43</v>
      </c>
      <c r="C829" s="7">
        <v>1</v>
      </c>
      <c r="D829" s="8">
        <v>3.4722222222222224E-2</v>
      </c>
      <c r="E829" s="8">
        <f t="shared" si="0"/>
        <v>3.4722222222222224E-2</v>
      </c>
      <c r="F829" s="10">
        <v>0.33611111111111114</v>
      </c>
      <c r="G829" s="10">
        <v>0.36826388888888895</v>
      </c>
      <c r="H829" s="8">
        <f t="shared" si="77"/>
        <v>3.2152777777777808E-2</v>
      </c>
      <c r="I829" s="11">
        <f t="shared" si="2"/>
        <v>0.37083333333333335</v>
      </c>
      <c r="J829" s="8"/>
      <c r="K829" s="8"/>
      <c r="L829" s="8"/>
      <c r="M829" s="18"/>
      <c r="N829" s="13">
        <f t="shared" si="4"/>
        <v>1.0799136069114461</v>
      </c>
    </row>
    <row r="830" spans="1:14" ht="14.5">
      <c r="A830" s="6">
        <v>45596</v>
      </c>
      <c r="B830" s="47" t="s">
        <v>42</v>
      </c>
      <c r="C830" s="7">
        <v>1</v>
      </c>
      <c r="D830" s="8">
        <v>6.9444444444444441E-3</v>
      </c>
      <c r="E830" s="8">
        <f t="shared" si="0"/>
        <v>6.9444444444444441E-3</v>
      </c>
      <c r="F830" s="10">
        <f t="shared" ref="F830:F833" si="185">G829</f>
        <v>0.36826388888888895</v>
      </c>
      <c r="G830" s="10">
        <v>0.37429398148148152</v>
      </c>
      <c r="H830" s="8">
        <f t="shared" si="77"/>
        <v>6.030092592592573E-3</v>
      </c>
      <c r="I830" s="11">
        <f t="shared" si="2"/>
        <v>0.37520833333333337</v>
      </c>
      <c r="J830" s="8"/>
      <c r="K830" s="8"/>
      <c r="L830" s="8" t="str">
        <f>IF(OR(J830=0,K830=0)," ",K830-J830)</f>
        <v xml:space="preserve"> </v>
      </c>
      <c r="M830" s="18"/>
      <c r="N830" s="13">
        <f t="shared" si="4"/>
        <v>1.1516314779270671</v>
      </c>
    </row>
    <row r="831" spans="1:14" ht="14.5">
      <c r="A831" s="6">
        <v>45596</v>
      </c>
      <c r="B831" s="47" t="s">
        <v>99</v>
      </c>
      <c r="C831" s="7">
        <v>1</v>
      </c>
      <c r="D831" s="8">
        <v>5.2083333333333336E-2</v>
      </c>
      <c r="E831" s="8">
        <f t="shared" si="0"/>
        <v>5.2083333333333336E-2</v>
      </c>
      <c r="F831" s="10">
        <f t="shared" si="185"/>
        <v>0.37429398148148152</v>
      </c>
      <c r="G831" s="10">
        <v>0.46517361111111111</v>
      </c>
      <c r="H831" s="8">
        <f t="shared" si="77"/>
        <v>5.009259259259255E-2</v>
      </c>
      <c r="I831" s="11">
        <f t="shared" si="2"/>
        <v>0.4671643518518519</v>
      </c>
      <c r="J831" s="8"/>
      <c r="K831" s="8"/>
      <c r="L831" s="8">
        <v>4.0787037037037038E-2</v>
      </c>
      <c r="M831" s="12"/>
      <c r="N831" s="13">
        <f t="shared" si="4"/>
        <v>1.0397412199630323</v>
      </c>
    </row>
    <row r="832" spans="1:14" ht="14.5">
      <c r="A832" s="6">
        <v>45596</v>
      </c>
      <c r="B832" s="47" t="s">
        <v>86</v>
      </c>
      <c r="C832" s="7">
        <f>27+6+34+13</f>
        <v>80</v>
      </c>
      <c r="D832" s="8">
        <v>1.3888888888888889E-3</v>
      </c>
      <c r="E832" s="8">
        <f t="shared" si="0"/>
        <v>0.11111111111111112</v>
      </c>
      <c r="F832" s="10">
        <f t="shared" si="185"/>
        <v>0.46517361111111111</v>
      </c>
      <c r="G832" s="10">
        <v>0.583587962962963</v>
      </c>
      <c r="H832" s="8">
        <f t="shared" si="77"/>
        <v>0.10896990740740745</v>
      </c>
      <c r="I832" s="11">
        <f t="shared" si="2"/>
        <v>0.58572916666666675</v>
      </c>
      <c r="J832" s="8"/>
      <c r="K832" s="8"/>
      <c r="L832" s="8">
        <v>9.4444444444444445E-3</v>
      </c>
      <c r="M832" s="12"/>
      <c r="N832" s="13">
        <f t="shared" si="4"/>
        <v>1.0196494954859263</v>
      </c>
    </row>
    <row r="833" spans="1:14" ht="14.5">
      <c r="A833" s="6">
        <v>45596</v>
      </c>
      <c r="B833" s="47" t="s">
        <v>49</v>
      </c>
      <c r="C833" s="7">
        <v>33</v>
      </c>
      <c r="D833" s="8">
        <v>3.472222222222222E-3</v>
      </c>
      <c r="E833" s="8">
        <f t="shared" si="0"/>
        <v>0.11458333333333333</v>
      </c>
      <c r="F833" s="10">
        <f t="shared" si="185"/>
        <v>0.583587962962963</v>
      </c>
      <c r="G833" s="10">
        <v>0.7132574652787298</v>
      </c>
      <c r="H833" s="8">
        <f t="shared" si="77"/>
        <v>0.11324589120465568</v>
      </c>
      <c r="I833" s="11">
        <f t="shared" si="2"/>
        <v>0.7145949074074075</v>
      </c>
      <c r="J833" s="8"/>
      <c r="K833" s="8"/>
      <c r="L833" s="8">
        <v>1.6423611111111111E-2</v>
      </c>
      <c r="M833" s="12"/>
      <c r="N833" s="13">
        <f t="shared" si="4"/>
        <v>1.0118100719986445</v>
      </c>
    </row>
    <row r="834" spans="1:14" ht="14.5">
      <c r="A834" s="6">
        <v>45597</v>
      </c>
      <c r="B834" s="47" t="s">
        <v>37</v>
      </c>
      <c r="C834" s="7">
        <v>26</v>
      </c>
      <c r="D834" s="8">
        <v>1.3888888888888889E-3</v>
      </c>
      <c r="E834" s="9">
        <v>3.6111111111111115E-2</v>
      </c>
      <c r="F834" s="10">
        <v>0.33369212962962969</v>
      </c>
      <c r="G834" s="10">
        <v>0.39192129629629635</v>
      </c>
      <c r="H834" s="8">
        <v>3.3379629629629627E-2</v>
      </c>
      <c r="I834" s="11">
        <v>0.3946527777777778</v>
      </c>
      <c r="J834" s="8"/>
      <c r="K834" s="8"/>
      <c r="L834" s="8">
        <v>2.4849537037037038E-2</v>
      </c>
      <c r="M834" s="12"/>
      <c r="N834" s="13">
        <v>1.0818307905686548</v>
      </c>
    </row>
    <row r="835" spans="1:14" ht="14.5">
      <c r="A835" s="6">
        <v>45597</v>
      </c>
      <c r="B835" s="47" t="s">
        <v>18</v>
      </c>
      <c r="C835" s="7">
        <v>1</v>
      </c>
      <c r="D835" s="8">
        <v>4.8611111111111112E-2</v>
      </c>
      <c r="E835" s="9">
        <v>4.8611111111111112E-2</v>
      </c>
      <c r="F835" s="10">
        <v>0.39192129629629635</v>
      </c>
      <c r="G835" s="8">
        <v>0.47773148148148148</v>
      </c>
      <c r="H835" s="8">
        <v>4.744212962962957E-2</v>
      </c>
      <c r="I835" s="11">
        <v>0.47890046296296301</v>
      </c>
      <c r="J835" s="8"/>
      <c r="K835" s="8"/>
      <c r="L835" s="8">
        <v>3.8368055555555558E-2</v>
      </c>
      <c r="M835" s="12"/>
      <c r="N835" s="13">
        <v>1.0246401561356442</v>
      </c>
    </row>
    <row r="836" spans="1:14" ht="14.5">
      <c r="A836" s="6">
        <v>45597</v>
      </c>
      <c r="B836" s="47" t="s">
        <v>16</v>
      </c>
      <c r="C836" s="7">
        <v>13</v>
      </c>
      <c r="D836" s="8">
        <v>5.5555555555555558E-3</v>
      </c>
      <c r="E836" s="9">
        <v>7.2222222222222229E-2</v>
      </c>
      <c r="F836" s="10">
        <v>0.47773148148148148</v>
      </c>
      <c r="G836" s="8">
        <v>0.55099537037037039</v>
      </c>
      <c r="H836" s="8">
        <v>6.3043981481481493E-2</v>
      </c>
      <c r="I836" s="11">
        <v>0.56017361111111108</v>
      </c>
      <c r="J836" s="8"/>
      <c r="K836" s="8"/>
      <c r="L836" s="8">
        <v>1.0219907407407407E-2</v>
      </c>
      <c r="M836" s="12"/>
      <c r="N836" s="13">
        <v>1.1455847255369926</v>
      </c>
    </row>
    <row r="837" spans="1:14" ht="14.5">
      <c r="A837" s="6">
        <v>45597</v>
      </c>
      <c r="B837" s="47" t="s">
        <v>50</v>
      </c>
      <c r="C837" s="7">
        <v>1</v>
      </c>
      <c r="D837" s="8">
        <v>1.0416666666666666E-2</v>
      </c>
      <c r="E837" s="9">
        <v>1.0416666666666666E-2</v>
      </c>
      <c r="F837" s="10">
        <v>0.55099537037037039</v>
      </c>
      <c r="G837" s="10">
        <v>0.56116898148148153</v>
      </c>
      <c r="H837" s="8">
        <v>1.0173611111111147E-2</v>
      </c>
      <c r="I837" s="11">
        <v>0.56141203703703701</v>
      </c>
      <c r="J837" s="8"/>
      <c r="K837" s="8"/>
      <c r="L837" s="8"/>
      <c r="M837" s="12"/>
      <c r="N837" s="13">
        <v>1.0238907849829315</v>
      </c>
    </row>
    <row r="838" spans="1:14" ht="14.5">
      <c r="A838" s="6">
        <v>45597</v>
      </c>
      <c r="B838" s="47" t="s">
        <v>51</v>
      </c>
      <c r="C838" s="7">
        <v>1</v>
      </c>
      <c r="D838" s="8">
        <v>1.0416666666666666E-2</v>
      </c>
      <c r="E838" s="9">
        <v>1.0416666666666666E-2</v>
      </c>
      <c r="F838" s="10">
        <v>0.56116898148148153</v>
      </c>
      <c r="G838" s="10">
        <v>0.57062500000000005</v>
      </c>
      <c r="H838" s="8">
        <v>9.4560185185185164E-3</v>
      </c>
      <c r="I838" s="11">
        <v>0.57158564814814816</v>
      </c>
      <c r="J838" s="8"/>
      <c r="K838" s="8"/>
      <c r="L838" s="8"/>
      <c r="M838" s="12"/>
      <c r="N838" s="13">
        <v>1.101591187270502</v>
      </c>
    </row>
    <row r="839" spans="1:14" ht="14.5">
      <c r="A839" s="6">
        <v>45597</v>
      </c>
      <c r="B839" s="47" t="s">
        <v>52</v>
      </c>
      <c r="C839" s="7">
        <v>1</v>
      </c>
      <c r="D839" s="8">
        <v>1.0416666666666666E-2</v>
      </c>
      <c r="E839" s="9">
        <v>1.0416666666666666E-2</v>
      </c>
      <c r="F839" s="10">
        <v>0.57062500000000005</v>
      </c>
      <c r="G839" s="10">
        <v>0.57983796296296297</v>
      </c>
      <c r="H839" s="8">
        <v>9.2129629629629228E-3</v>
      </c>
      <c r="I839" s="11">
        <v>0.58104166666666668</v>
      </c>
      <c r="J839" s="8"/>
      <c r="K839" s="8"/>
      <c r="L839" s="8"/>
      <c r="M839" s="12"/>
      <c r="N839" s="13">
        <v>1.1306532663316631</v>
      </c>
    </row>
    <row r="840" spans="1:14" ht="14.5">
      <c r="A840" s="6">
        <v>45597</v>
      </c>
      <c r="B840" s="47" t="s">
        <v>53</v>
      </c>
      <c r="C840" s="7">
        <v>1</v>
      </c>
      <c r="D840" s="8">
        <v>1.0416666666666666E-2</v>
      </c>
      <c r="E840" s="9">
        <v>1.0416666666666666E-2</v>
      </c>
      <c r="F840" s="10">
        <v>0.57983796296296297</v>
      </c>
      <c r="G840" s="10">
        <v>0.58928240740740745</v>
      </c>
      <c r="H840" s="8">
        <v>9.4444444444444775E-3</v>
      </c>
      <c r="I840" s="11">
        <v>0.5902546296296296</v>
      </c>
      <c r="J840" s="8"/>
      <c r="K840" s="8"/>
      <c r="L840" s="8"/>
      <c r="M840" s="12"/>
      <c r="N840" s="13">
        <v>1.1029411764705843</v>
      </c>
    </row>
    <row r="841" spans="1:14" ht="14.5">
      <c r="A841" s="6">
        <v>45597</v>
      </c>
      <c r="B841" s="47" t="s">
        <v>85</v>
      </c>
      <c r="C841" s="7">
        <v>1</v>
      </c>
      <c r="D841" s="8">
        <v>0.11458333333333333</v>
      </c>
      <c r="E841" s="9">
        <v>0.11458333333333333</v>
      </c>
      <c r="F841" s="10">
        <v>0.58928240740740745</v>
      </c>
      <c r="G841" s="10">
        <v>0.70902777777777781</v>
      </c>
      <c r="H841" s="8">
        <v>0.11974537037037036</v>
      </c>
      <c r="I841" s="11">
        <v>0.70386574074074082</v>
      </c>
      <c r="J841" s="8"/>
      <c r="K841" s="8"/>
      <c r="L841" s="8"/>
      <c r="M841" s="12"/>
      <c r="N841" s="13">
        <v>0.95689155229074041</v>
      </c>
    </row>
    <row r="842" spans="1:14" ht="14.5">
      <c r="A842" s="6">
        <v>45600</v>
      </c>
      <c r="B842" s="47" t="s">
        <v>43</v>
      </c>
      <c r="C842" s="7">
        <v>1</v>
      </c>
      <c r="D842" s="8">
        <v>3.4722222222222224E-2</v>
      </c>
      <c r="E842" s="9">
        <v>3.4722222222222224E-2</v>
      </c>
      <c r="F842" s="10">
        <v>0.32315972222222222</v>
      </c>
      <c r="G842" s="10">
        <v>0.3550578703703704</v>
      </c>
      <c r="H842" s="8">
        <v>3.1898148148148175E-2</v>
      </c>
      <c r="I842" s="11">
        <v>0.35788194444444443</v>
      </c>
      <c r="J842" s="8"/>
      <c r="K842" s="8"/>
      <c r="L842" s="8"/>
      <c r="M842" s="12"/>
      <c r="N842" s="13">
        <v>1.0885341074020309</v>
      </c>
    </row>
    <row r="843" spans="1:14" ht="14.5">
      <c r="A843" s="6">
        <v>45600</v>
      </c>
      <c r="B843" s="47" t="s">
        <v>42</v>
      </c>
      <c r="C843" s="7">
        <v>1</v>
      </c>
      <c r="D843" s="8">
        <v>6.9444444444444441E-3</v>
      </c>
      <c r="E843" s="9">
        <v>6.9444444444444441E-3</v>
      </c>
      <c r="F843" s="10">
        <v>0.3550578703703704</v>
      </c>
      <c r="G843" s="10">
        <v>0.36167824074074073</v>
      </c>
      <c r="H843" s="8">
        <v>6.620370370370332E-3</v>
      </c>
      <c r="I843" s="11">
        <v>0.36200231481481482</v>
      </c>
      <c r="J843" s="8"/>
      <c r="K843" s="8"/>
      <c r="L843" s="8"/>
      <c r="M843" s="12"/>
      <c r="N843" s="13">
        <v>1.048951048951055</v>
      </c>
    </row>
    <row r="844" spans="1:14" ht="14.5">
      <c r="A844" s="6">
        <v>45600</v>
      </c>
      <c r="B844" s="47" t="s">
        <v>63</v>
      </c>
      <c r="C844" s="7">
        <v>1</v>
      </c>
      <c r="D844" s="8">
        <v>4.5138888888888888E-2</v>
      </c>
      <c r="E844" s="9">
        <v>4.5138888888888888E-2</v>
      </c>
      <c r="F844" s="10">
        <v>0.36167824074074073</v>
      </c>
      <c r="G844" s="10">
        <v>0.40945601851851854</v>
      </c>
      <c r="H844" s="8">
        <v>4.1261574074074103E-2</v>
      </c>
      <c r="I844" s="11">
        <v>0.41333333333333333</v>
      </c>
      <c r="J844" s="8"/>
      <c r="K844" s="8"/>
      <c r="L844" s="8">
        <v>6.5162037037037037E-3</v>
      </c>
      <c r="M844" s="12"/>
      <c r="N844" s="13">
        <v>1.0939691444600272</v>
      </c>
    </row>
    <row r="845" spans="1:14" ht="14.5">
      <c r="A845" s="6">
        <v>45600</v>
      </c>
      <c r="B845" s="47" t="s">
        <v>18</v>
      </c>
      <c r="C845" s="7">
        <v>1</v>
      </c>
      <c r="D845" s="8">
        <v>4.8611111111111112E-2</v>
      </c>
      <c r="E845" s="9">
        <v>4.8611111111111112E-2</v>
      </c>
      <c r="F845" s="10">
        <v>0.40945601851851854</v>
      </c>
      <c r="G845" s="10">
        <v>0.48754629629629631</v>
      </c>
      <c r="H845" s="8">
        <v>5.1562499999999997E-2</v>
      </c>
      <c r="I845" s="11">
        <v>0.4845949074074074</v>
      </c>
      <c r="J845" s="8"/>
      <c r="K845" s="8"/>
      <c r="L845" s="8">
        <v>2.6527777777777779E-2</v>
      </c>
      <c r="M845" s="12"/>
      <c r="N845" s="13">
        <v>0.9427609427609428</v>
      </c>
    </row>
    <row r="846" spans="1:14" ht="14.5">
      <c r="A846" s="6">
        <v>45600</v>
      </c>
      <c r="B846" s="47" t="s">
        <v>44</v>
      </c>
      <c r="C846" s="7">
        <v>60</v>
      </c>
      <c r="D846" s="8">
        <v>3.472222222222222E-3</v>
      </c>
      <c r="E846" s="9">
        <v>0.20833333333333331</v>
      </c>
      <c r="F846" s="10">
        <v>0.48754629629629631</v>
      </c>
      <c r="G846" s="10">
        <v>0.70902777777777781</v>
      </c>
      <c r="H846" s="8">
        <v>0.18792824074074077</v>
      </c>
      <c r="I846" s="11">
        <v>0.72943287037037041</v>
      </c>
      <c r="J846" s="8"/>
      <c r="K846" s="8"/>
      <c r="L846" s="8">
        <v>3.3553240740740738E-2</v>
      </c>
      <c r="M846" s="18" t="s">
        <v>88</v>
      </c>
      <c r="N846" s="13">
        <v>1.1085791710291306</v>
      </c>
    </row>
    <row r="847" spans="1:14" ht="14.5">
      <c r="A847" s="6">
        <v>45601</v>
      </c>
      <c r="B847" s="47" t="s">
        <v>44</v>
      </c>
      <c r="C847" s="7">
        <v>42</v>
      </c>
      <c r="D847" s="8">
        <v>3.472222222222222E-3</v>
      </c>
      <c r="E847" s="9">
        <v>0.14583333333333331</v>
      </c>
      <c r="F847" s="10">
        <v>0.33105324074074083</v>
      </c>
      <c r="G847" s="10">
        <v>0.49356481481481479</v>
      </c>
      <c r="H847" s="8">
        <v>0.13444444444444434</v>
      </c>
      <c r="I847" s="11">
        <v>0.50495370370370374</v>
      </c>
      <c r="J847" s="8"/>
      <c r="K847" s="8"/>
      <c r="L847" s="8">
        <v>2.8067129629629629E-2</v>
      </c>
      <c r="M847" s="18" t="s">
        <v>88</v>
      </c>
      <c r="N847" s="13">
        <v>1.0847107438016537</v>
      </c>
    </row>
    <row r="848" spans="1:14" ht="14.5">
      <c r="A848" s="6">
        <v>45601</v>
      </c>
      <c r="B848" s="47" t="s">
        <v>86</v>
      </c>
      <c r="C848" s="7">
        <v>20</v>
      </c>
      <c r="D848" s="8">
        <v>1.3888888888888889E-3</v>
      </c>
      <c r="E848" s="9">
        <v>2.777777777777778E-2</v>
      </c>
      <c r="F848" s="10">
        <v>0.49356481481481479</v>
      </c>
      <c r="G848" s="10">
        <v>0.5286805555555556</v>
      </c>
      <c r="H848" s="8">
        <v>2.5416666666666733E-2</v>
      </c>
      <c r="I848" s="11">
        <v>0.53104166666666663</v>
      </c>
      <c r="J848" s="8"/>
      <c r="K848" s="8"/>
      <c r="L848" s="8">
        <v>9.6990740740740735E-3</v>
      </c>
      <c r="M848" s="12"/>
      <c r="N848" s="13">
        <v>1.0928961748633852</v>
      </c>
    </row>
    <row r="849" spans="1:14" ht="14.5">
      <c r="A849" s="6">
        <v>45601</v>
      </c>
      <c r="B849" s="47" t="s">
        <v>18</v>
      </c>
      <c r="C849" s="7">
        <v>1</v>
      </c>
      <c r="D849" s="8">
        <v>4.8611111111111112E-2</v>
      </c>
      <c r="E849" s="9">
        <v>4.8611111111111112E-2</v>
      </c>
      <c r="F849" s="10">
        <v>0.5286805555555556</v>
      </c>
      <c r="G849" s="10">
        <v>0.58038194444444446</v>
      </c>
      <c r="H849" s="8">
        <v>4.7118055555555531E-2</v>
      </c>
      <c r="I849" s="11">
        <v>0.58187500000000014</v>
      </c>
      <c r="J849" s="8"/>
      <c r="K849" s="8"/>
      <c r="L849" s="8">
        <v>4.5833333333333334E-3</v>
      </c>
      <c r="M849" s="12"/>
      <c r="N849" s="13">
        <v>1.0316875460574804</v>
      </c>
    </row>
    <row r="850" spans="1:14" ht="14.5">
      <c r="A850" s="6">
        <v>45601</v>
      </c>
      <c r="B850" s="47" t="s">
        <v>16</v>
      </c>
      <c r="C850" s="7">
        <v>10</v>
      </c>
      <c r="D850" s="8">
        <v>5.5555555555555558E-3</v>
      </c>
      <c r="E850" s="9">
        <v>5.5555555555555559E-2</v>
      </c>
      <c r="F850" s="10">
        <v>0.58038194444444446</v>
      </c>
      <c r="G850" s="10">
        <v>0.62896990740740744</v>
      </c>
      <c r="H850" s="8">
        <v>4.8587962962962972E-2</v>
      </c>
      <c r="I850" s="11">
        <v>0.63593750000000004</v>
      </c>
      <c r="J850" s="8"/>
      <c r="K850" s="8"/>
      <c r="L850" s="8"/>
      <c r="M850" s="12"/>
      <c r="N850" s="13">
        <v>1.1434016198189614</v>
      </c>
    </row>
    <row r="851" spans="1:14" ht="14.5">
      <c r="A851" s="6">
        <v>45601</v>
      </c>
      <c r="B851" s="47" t="s">
        <v>44</v>
      </c>
      <c r="C851" s="7">
        <v>17</v>
      </c>
      <c r="D851" s="8">
        <v>3.472222222222222E-3</v>
      </c>
      <c r="E851" s="9">
        <v>5.9027777777777776E-2</v>
      </c>
      <c r="F851" s="10">
        <v>0.62896990740740744</v>
      </c>
      <c r="G851" s="10">
        <v>0.70902777777777781</v>
      </c>
      <c r="H851" s="8">
        <v>5.5763888888888891E-2</v>
      </c>
      <c r="I851" s="11">
        <v>0.71229166666666666</v>
      </c>
      <c r="J851" s="8"/>
      <c r="K851" s="8"/>
      <c r="L851" s="8">
        <v>2.4293981481481482E-2</v>
      </c>
      <c r="M851" s="18" t="s">
        <v>88</v>
      </c>
      <c r="N851" s="13">
        <v>1.0585305105853051</v>
      </c>
    </row>
    <row r="852" spans="1:14" ht="14.5">
      <c r="A852" s="6">
        <v>45602</v>
      </c>
      <c r="B852" s="47" t="s">
        <v>44</v>
      </c>
      <c r="C852" s="7">
        <v>35</v>
      </c>
      <c r="D852" s="8">
        <v>3.472222222222222E-3</v>
      </c>
      <c r="E852" s="9">
        <v>0.12152777777777778</v>
      </c>
      <c r="F852" s="10">
        <v>0.341863425925926</v>
      </c>
      <c r="G852" s="10">
        <v>0.49119212962962966</v>
      </c>
      <c r="H852" s="8">
        <v>0.11287037037037032</v>
      </c>
      <c r="I852" s="11">
        <v>0.49984953703703711</v>
      </c>
      <c r="J852" s="8"/>
      <c r="K852" s="8"/>
      <c r="L852" s="8">
        <v>3.6458333333333336E-2</v>
      </c>
      <c r="M852" s="18" t="s">
        <v>88</v>
      </c>
      <c r="N852" s="13">
        <v>1.0767022149302712</v>
      </c>
    </row>
    <row r="853" spans="1:14" ht="14.5">
      <c r="A853" s="6">
        <v>45602</v>
      </c>
      <c r="B853" s="47" t="s">
        <v>38</v>
      </c>
      <c r="C853" s="7">
        <v>8</v>
      </c>
      <c r="D853" s="8">
        <v>2.7777777777777779E-3</v>
      </c>
      <c r="E853" s="9">
        <v>2.2222222222222223E-2</v>
      </c>
      <c r="F853" s="10">
        <v>0.49119212962962966</v>
      </c>
      <c r="G853" s="10">
        <v>0.51273148148148151</v>
      </c>
      <c r="H853" s="8">
        <v>2.1539351851851851E-2</v>
      </c>
      <c r="I853" s="11">
        <v>0.51341435185185191</v>
      </c>
      <c r="J853" s="8"/>
      <c r="K853" s="8"/>
      <c r="L853" s="8"/>
      <c r="M853" s="12"/>
      <c r="N853" s="13">
        <v>1.031703385276733</v>
      </c>
    </row>
    <row r="854" spans="1:14" ht="14.5">
      <c r="A854" s="6">
        <v>45602</v>
      </c>
      <c r="B854" s="47" t="s">
        <v>18</v>
      </c>
      <c r="C854" s="7">
        <v>1</v>
      </c>
      <c r="D854" s="8">
        <v>4.8611111111111112E-2</v>
      </c>
      <c r="E854" s="9">
        <v>4.8611111111111112E-2</v>
      </c>
      <c r="F854" s="10">
        <v>0.51273148148148151</v>
      </c>
      <c r="G854" s="10">
        <v>0.57701388888888894</v>
      </c>
      <c r="H854" s="8">
        <v>4.5289351851851872E-2</v>
      </c>
      <c r="I854" s="11">
        <v>0.5803356481481482</v>
      </c>
      <c r="J854" s="8"/>
      <c r="K854" s="8"/>
      <c r="L854" s="8">
        <v>1.8993055555555555E-2</v>
      </c>
      <c r="M854" s="12"/>
      <c r="N854" s="13">
        <v>1.0733452593917705</v>
      </c>
    </row>
    <row r="855" spans="1:14" ht="14.5">
      <c r="A855" s="6">
        <v>45602</v>
      </c>
      <c r="B855" s="47" t="s">
        <v>49</v>
      </c>
      <c r="C855" s="7">
        <v>37</v>
      </c>
      <c r="D855" s="8">
        <v>3.472222222222222E-3</v>
      </c>
      <c r="E855" s="9">
        <v>0.12847222222222221</v>
      </c>
      <c r="F855" s="10">
        <v>0.57753472222222224</v>
      </c>
      <c r="G855" s="10">
        <v>0.71875</v>
      </c>
      <c r="H855" s="8">
        <v>0.12739583333333332</v>
      </c>
      <c r="I855" s="11">
        <v>0.71982638888888895</v>
      </c>
      <c r="J855" s="8"/>
      <c r="K855" s="8"/>
      <c r="L855" s="8">
        <v>1.3819444444444445E-2</v>
      </c>
      <c r="M855" s="12"/>
      <c r="N855" s="13">
        <v>1.0084491687108204</v>
      </c>
    </row>
    <row r="856" spans="1:14" ht="14.5">
      <c r="A856" s="6">
        <v>45603</v>
      </c>
      <c r="B856" s="47" t="s">
        <v>43</v>
      </c>
      <c r="C856" s="7">
        <v>1</v>
      </c>
      <c r="D856" s="8">
        <v>3.4722222222222224E-2</v>
      </c>
      <c r="E856" s="9">
        <v>3.4722222222222224E-2</v>
      </c>
      <c r="F856" s="10">
        <v>0.33074074074074078</v>
      </c>
      <c r="G856" s="10">
        <v>0.36130787037037038</v>
      </c>
      <c r="H856" s="8">
        <v>3.0567129629629597E-2</v>
      </c>
      <c r="I856" s="11">
        <v>0.36546296296296299</v>
      </c>
      <c r="J856" s="8"/>
      <c r="K856" s="8"/>
      <c r="L856" s="8"/>
      <c r="M856" s="12"/>
      <c r="N856" s="13">
        <v>1.1359333585762981</v>
      </c>
    </row>
    <row r="857" spans="1:14" ht="14.5">
      <c r="A857" s="6">
        <v>45603</v>
      </c>
      <c r="B857" s="47" t="s">
        <v>42</v>
      </c>
      <c r="C857" s="7">
        <v>1</v>
      </c>
      <c r="D857" s="8">
        <v>6.9444444444444441E-3</v>
      </c>
      <c r="E857" s="9">
        <v>6.9444444444444441E-3</v>
      </c>
      <c r="F857" s="10">
        <v>0.36130787037037038</v>
      </c>
      <c r="G857" s="10">
        <v>0.36791666666666667</v>
      </c>
      <c r="H857" s="8">
        <v>6.6087962962962932E-3</v>
      </c>
      <c r="I857" s="11">
        <v>0.3682523148148148</v>
      </c>
      <c r="J857" s="8"/>
      <c r="K857" s="8"/>
      <c r="L857" s="8"/>
      <c r="M857" s="12"/>
      <c r="N857" s="13">
        <v>1.0507880910683016</v>
      </c>
    </row>
    <row r="858" spans="1:14" ht="14.5">
      <c r="A858" s="6">
        <v>45603</v>
      </c>
      <c r="B858" s="47" t="s">
        <v>18</v>
      </c>
      <c r="C858" s="7">
        <v>2</v>
      </c>
      <c r="D858" s="8">
        <v>4.8611111111111112E-2</v>
      </c>
      <c r="E858" s="9">
        <v>9.7222222222222224E-2</v>
      </c>
      <c r="F858" s="10">
        <v>0.36791666666666667</v>
      </c>
      <c r="G858" s="10">
        <v>0.52724537037037045</v>
      </c>
      <c r="H858" s="8">
        <v>0.10590277777777785</v>
      </c>
      <c r="I858" s="11">
        <v>0.51856481481481476</v>
      </c>
      <c r="J858" s="8"/>
      <c r="K858" s="8"/>
      <c r="L858" s="8">
        <v>5.3425925925925925E-2</v>
      </c>
      <c r="M858" s="12"/>
      <c r="N858" s="13">
        <v>0.91803278688524537</v>
      </c>
    </row>
    <row r="859" spans="1:14" ht="14.5">
      <c r="A859" s="6">
        <v>45603</v>
      </c>
      <c r="B859" s="47" t="s">
        <v>30</v>
      </c>
      <c r="C859" s="7">
        <v>3</v>
      </c>
      <c r="D859" s="8">
        <v>3.125E-2</v>
      </c>
      <c r="E859" s="9">
        <v>9.375E-2</v>
      </c>
      <c r="F859" s="10">
        <v>0.52724537037037045</v>
      </c>
      <c r="G859" s="10">
        <v>0.65140046296296295</v>
      </c>
      <c r="H859" s="8">
        <v>8.6944444444444269E-2</v>
      </c>
      <c r="I859" s="11">
        <v>0.65820601851851868</v>
      </c>
      <c r="J859" s="8"/>
      <c r="K859" s="8"/>
      <c r="L859" s="8">
        <v>3.7210648148148229E-2</v>
      </c>
      <c r="M859" s="12"/>
      <c r="N859" s="13">
        <v>1.0782747603833887</v>
      </c>
    </row>
    <row r="860" spans="1:14" ht="14.5">
      <c r="A860" s="6">
        <v>45603</v>
      </c>
      <c r="B860" s="47" t="s">
        <v>50</v>
      </c>
      <c r="C860" s="7">
        <v>1</v>
      </c>
      <c r="D860" s="8">
        <v>1.0416666666666666E-2</v>
      </c>
      <c r="E860" s="9">
        <v>1.0416666666666666E-2</v>
      </c>
      <c r="F860" s="10">
        <v>0.60017361111111112</v>
      </c>
      <c r="G860" s="10">
        <v>0.60936342592592596</v>
      </c>
      <c r="H860" s="8">
        <v>9.1898148148148451E-3</v>
      </c>
      <c r="I860" s="11">
        <v>0.61059027777777775</v>
      </c>
      <c r="J860" s="8"/>
      <c r="K860" s="8"/>
      <c r="L860" s="8"/>
      <c r="M860" s="12"/>
      <c r="N860" s="13">
        <v>1.13350125944584</v>
      </c>
    </row>
    <row r="861" spans="1:14" ht="14.5">
      <c r="A861" s="6">
        <v>45603</v>
      </c>
      <c r="B861" s="47" t="s">
        <v>51</v>
      </c>
      <c r="C861" s="7">
        <v>1</v>
      </c>
      <c r="D861" s="8">
        <v>1.0416666666666666E-2</v>
      </c>
      <c r="E861" s="9">
        <v>1.0416666666666666E-2</v>
      </c>
      <c r="F861" s="10">
        <v>0.60936342592592596</v>
      </c>
      <c r="G861" s="10">
        <v>0.61869212962962972</v>
      </c>
      <c r="H861" s="8">
        <v>9.3287037037037557E-3</v>
      </c>
      <c r="I861" s="11">
        <v>0.61978009259259259</v>
      </c>
      <c r="J861" s="8"/>
      <c r="K861" s="8"/>
      <c r="L861" s="8"/>
      <c r="M861" s="12"/>
      <c r="N861" s="13">
        <v>1.1166253101736909</v>
      </c>
    </row>
    <row r="862" spans="1:14" ht="14.5">
      <c r="A862" s="6">
        <v>45603</v>
      </c>
      <c r="B862" s="47" t="s">
        <v>52</v>
      </c>
      <c r="C862" s="7">
        <v>1</v>
      </c>
      <c r="D862" s="8">
        <v>1.0416666666666666E-2</v>
      </c>
      <c r="E862" s="9">
        <v>1.0416666666666666E-2</v>
      </c>
      <c r="F862" s="10">
        <v>0.61869212962962972</v>
      </c>
      <c r="G862" s="10">
        <v>0.62802083333333336</v>
      </c>
      <c r="H862" s="8">
        <v>9.3287037037036447E-3</v>
      </c>
      <c r="I862" s="11">
        <v>0.62910879629629635</v>
      </c>
      <c r="J862" s="8"/>
      <c r="K862" s="8"/>
      <c r="L862" s="8"/>
      <c r="M862" s="12"/>
      <c r="N862" s="13">
        <v>1.1166253101737043</v>
      </c>
    </row>
    <row r="863" spans="1:14" ht="14.5">
      <c r="A863" s="6">
        <v>45603</v>
      </c>
      <c r="B863" s="47" t="s">
        <v>53</v>
      </c>
      <c r="C863" s="7">
        <v>1</v>
      </c>
      <c r="D863" s="8">
        <v>1.0416666666666666E-2</v>
      </c>
      <c r="E863" s="9">
        <v>1.0416666666666666E-2</v>
      </c>
      <c r="F863" s="10">
        <v>0.62802083333333336</v>
      </c>
      <c r="G863" s="10">
        <v>0.63738425925925934</v>
      </c>
      <c r="H863" s="8">
        <v>9.3634259259259833E-3</v>
      </c>
      <c r="I863" s="11">
        <v>0.63843749999999999</v>
      </c>
      <c r="J863" s="8"/>
      <c r="K863" s="8"/>
      <c r="L863" s="8"/>
      <c r="M863" s="12"/>
      <c r="N863" s="13">
        <v>1.1124845488257038</v>
      </c>
    </row>
    <row r="864" spans="1:14" ht="14.5">
      <c r="A864" s="6">
        <v>45603</v>
      </c>
      <c r="B864" s="47" t="s">
        <v>65</v>
      </c>
      <c r="C864" s="7">
        <v>1</v>
      </c>
      <c r="D864" s="8">
        <v>2.0833333333333332E-2</v>
      </c>
      <c r="E864" s="9">
        <v>2.0833333333333332E-2</v>
      </c>
      <c r="F864" s="10">
        <v>0.65140046296296295</v>
      </c>
      <c r="G864" s="10">
        <v>0.67153935185185187</v>
      </c>
      <c r="H864" s="8">
        <v>2.0138888888888928E-2</v>
      </c>
      <c r="I864" s="11">
        <v>0.67223379629629632</v>
      </c>
      <c r="J864" s="8"/>
      <c r="K864" s="8"/>
      <c r="L864" s="8"/>
      <c r="M864" s="12"/>
      <c r="N864" s="13">
        <v>1.0344827586206875</v>
      </c>
    </row>
    <row r="865" spans="1:14" ht="14.5">
      <c r="A865" s="6">
        <v>45603</v>
      </c>
      <c r="B865" s="47" t="s">
        <v>37</v>
      </c>
      <c r="C865" s="7">
        <v>26</v>
      </c>
      <c r="D865" s="8">
        <v>1.3888888888888889E-3</v>
      </c>
      <c r="E865" s="9">
        <v>3.6111111111111115E-2</v>
      </c>
      <c r="F865" s="10">
        <v>0.67153935185185187</v>
      </c>
      <c r="G865" s="10">
        <v>0.70833333333333337</v>
      </c>
      <c r="H865" s="8">
        <v>3.6793981481481497E-2</v>
      </c>
      <c r="I865" s="11">
        <v>0.70765046296296297</v>
      </c>
      <c r="J865" s="8"/>
      <c r="K865" s="8"/>
      <c r="L865" s="8"/>
      <c r="M865" s="12"/>
      <c r="N865" s="13">
        <v>0.98144070462409527</v>
      </c>
    </row>
    <row r="866" spans="1:14" ht="14.5">
      <c r="A866" s="6">
        <v>45604</v>
      </c>
      <c r="B866" s="47" t="s">
        <v>18</v>
      </c>
      <c r="C866" s="7">
        <v>1</v>
      </c>
      <c r="D866" s="8">
        <v>4.8611111111111112E-2</v>
      </c>
      <c r="E866" s="9">
        <v>4.8611111111111112E-2</v>
      </c>
      <c r="F866" s="10">
        <v>0.32697916666666671</v>
      </c>
      <c r="G866" s="10">
        <v>0.40528935185185189</v>
      </c>
      <c r="H866" s="8">
        <v>4.479166666666666E-2</v>
      </c>
      <c r="I866" s="11">
        <v>0.40910879629629632</v>
      </c>
      <c r="J866" s="8"/>
      <c r="K866" s="8"/>
      <c r="L866" s="8">
        <v>3.3518518518518517E-2</v>
      </c>
      <c r="M866" s="12"/>
      <c r="N866" s="13">
        <v>1.0852713178294575</v>
      </c>
    </row>
    <row r="867" spans="1:14" ht="14.5">
      <c r="A867" s="6">
        <v>45604</v>
      </c>
      <c r="B867" s="47" t="s">
        <v>49</v>
      </c>
      <c r="C867" s="7">
        <v>28</v>
      </c>
      <c r="D867" s="8">
        <v>3.472222222222222E-3</v>
      </c>
      <c r="E867" s="9">
        <v>9.722222222222221E-2</v>
      </c>
      <c r="F867" s="10">
        <v>0.40539351851851851</v>
      </c>
      <c r="G867" s="10">
        <v>0.60944444444444446</v>
      </c>
      <c r="H867" s="8">
        <v>0.10626157407407409</v>
      </c>
      <c r="I867" s="11">
        <v>0.60040509259259267</v>
      </c>
      <c r="J867" s="8"/>
      <c r="K867" s="8"/>
      <c r="L867" s="8">
        <v>9.778935185185185E-2</v>
      </c>
      <c r="M867" s="18" t="s">
        <v>89</v>
      </c>
      <c r="N867" s="13">
        <v>0.91493301383291559</v>
      </c>
    </row>
    <row r="868" spans="1:14" ht="14.5">
      <c r="A868" s="6">
        <v>45604</v>
      </c>
      <c r="B868" s="47" t="s">
        <v>50</v>
      </c>
      <c r="C868" s="7">
        <v>1</v>
      </c>
      <c r="D868" s="8">
        <v>1.0416666666666666E-2</v>
      </c>
      <c r="E868" s="9">
        <v>1.0416666666666666E-2</v>
      </c>
      <c r="F868" s="10">
        <v>0.60956018518518518</v>
      </c>
      <c r="G868" s="10">
        <v>0.61880787037037044</v>
      </c>
      <c r="H868" s="8">
        <v>9.2476851851852615E-3</v>
      </c>
      <c r="I868" s="11">
        <v>0.61997685185185181</v>
      </c>
      <c r="J868" s="8"/>
      <c r="K868" s="8"/>
      <c r="L868" s="8"/>
      <c r="M868" s="12"/>
      <c r="N868" s="13">
        <v>1.1264080100125062</v>
      </c>
    </row>
    <row r="869" spans="1:14" ht="14.5">
      <c r="A869" s="6">
        <v>45604</v>
      </c>
      <c r="B869" s="47" t="s">
        <v>51</v>
      </c>
      <c r="C869" s="7">
        <v>1</v>
      </c>
      <c r="D869" s="8">
        <v>1.0416666666666666E-2</v>
      </c>
      <c r="E869" s="9">
        <v>1.0416666666666666E-2</v>
      </c>
      <c r="F869" s="10">
        <v>0.61880787037037044</v>
      </c>
      <c r="G869" s="10">
        <v>0.62818287037037046</v>
      </c>
      <c r="H869" s="8">
        <v>9.3750000000000222E-3</v>
      </c>
      <c r="I869" s="11">
        <v>0.62922453703703707</v>
      </c>
      <c r="J869" s="8"/>
      <c r="K869" s="8"/>
      <c r="L869" s="8"/>
      <c r="M869" s="12"/>
      <c r="N869" s="13">
        <v>1.1111111111111085</v>
      </c>
    </row>
    <row r="870" spans="1:14" ht="14.5">
      <c r="A870" s="6">
        <v>45604</v>
      </c>
      <c r="B870" s="47" t="s">
        <v>52</v>
      </c>
      <c r="C870" s="7">
        <v>1</v>
      </c>
      <c r="D870" s="8">
        <v>1.0416666666666666E-2</v>
      </c>
      <c r="E870" s="9">
        <v>1.0416666666666666E-2</v>
      </c>
      <c r="F870" s="10">
        <v>0.62818287037037046</v>
      </c>
      <c r="G870" s="10">
        <v>0.63751157407407411</v>
      </c>
      <c r="H870" s="8">
        <v>9.3287037037036447E-3</v>
      </c>
      <c r="I870" s="11">
        <v>0.63859953703703709</v>
      </c>
      <c r="J870" s="8"/>
      <c r="K870" s="8"/>
      <c r="L870" s="8"/>
      <c r="M870" s="12"/>
      <c r="N870" s="13">
        <v>1.1166253101737043</v>
      </c>
    </row>
    <row r="871" spans="1:14" ht="14.5">
      <c r="A871" s="6">
        <v>45604</v>
      </c>
      <c r="B871" s="47" t="s">
        <v>53</v>
      </c>
      <c r="C871" s="7">
        <v>1</v>
      </c>
      <c r="D871" s="8">
        <v>1.0416666666666666E-2</v>
      </c>
      <c r="E871" s="9">
        <v>1.0416666666666666E-2</v>
      </c>
      <c r="F871" s="10">
        <v>0.63751157407407411</v>
      </c>
      <c r="G871" s="10">
        <v>0.64673611111111118</v>
      </c>
      <c r="H871" s="8">
        <v>9.2245370370370727E-3</v>
      </c>
      <c r="I871" s="11">
        <v>0.64792824074074074</v>
      </c>
      <c r="J871" s="8"/>
      <c r="K871" s="8"/>
      <c r="L871" s="8"/>
      <c r="M871" s="12"/>
      <c r="N871" s="13">
        <v>1.129234629861978</v>
      </c>
    </row>
    <row r="872" spans="1:14" ht="14.5">
      <c r="A872" s="6">
        <v>45604</v>
      </c>
      <c r="B872" s="47" t="s">
        <v>49</v>
      </c>
      <c r="C872" s="7">
        <v>9</v>
      </c>
      <c r="D872" s="8">
        <v>3.472222222222222E-3</v>
      </c>
      <c r="E872" s="9">
        <v>3.125E-2</v>
      </c>
      <c r="F872" s="10">
        <v>0.64682870370370371</v>
      </c>
      <c r="G872" s="10">
        <v>0.70833333333333337</v>
      </c>
      <c r="H872" s="8">
        <v>3.1168981481481509E-2</v>
      </c>
      <c r="I872" s="11">
        <v>0.70841435185185186</v>
      </c>
      <c r="J872" s="8"/>
      <c r="K872" s="8"/>
      <c r="L872" s="8">
        <v>3.033564814814815E-2</v>
      </c>
      <c r="M872" s="12"/>
      <c r="N872" s="13">
        <v>1.0025993316004447</v>
      </c>
    </row>
    <row r="873" spans="1:14" ht="14.5">
      <c r="A873" s="6">
        <v>45607</v>
      </c>
      <c r="B873" s="47" t="s">
        <v>42</v>
      </c>
      <c r="C873" s="7">
        <v>1</v>
      </c>
      <c r="D873" s="8">
        <v>6.9444444444444441E-3</v>
      </c>
      <c r="E873" s="9">
        <v>6.9444444444444441E-3</v>
      </c>
      <c r="F873" s="10">
        <v>0.34231481481481485</v>
      </c>
      <c r="G873" s="10">
        <v>0.34890046296296295</v>
      </c>
      <c r="H873" s="8">
        <v>6.5856481481481044E-3</v>
      </c>
      <c r="I873" s="11">
        <v>0.34925925925925927</v>
      </c>
      <c r="J873" s="8"/>
      <c r="K873" s="8"/>
      <c r="L873" s="8"/>
      <c r="M873" s="12"/>
      <c r="N873" s="13">
        <v>1.054481546572942</v>
      </c>
    </row>
    <row r="874" spans="1:14" ht="14.5">
      <c r="A874" s="6">
        <v>45607</v>
      </c>
      <c r="B874" s="47" t="s">
        <v>43</v>
      </c>
      <c r="C874" s="7">
        <v>1</v>
      </c>
      <c r="D874" s="8">
        <v>3.4722222222222224E-2</v>
      </c>
      <c r="E874" s="9">
        <v>3.4722222222222224E-2</v>
      </c>
      <c r="F874" s="10">
        <v>0.34890046296296295</v>
      </c>
      <c r="G874" s="10">
        <v>0.37976851851851856</v>
      </c>
      <c r="H874" s="8">
        <v>3.0868055555555607E-2</v>
      </c>
      <c r="I874" s="11">
        <v>0.38362268518518516</v>
      </c>
      <c r="J874" s="8"/>
      <c r="K874" s="8"/>
      <c r="L874" s="8"/>
      <c r="M874" s="12"/>
      <c r="N874" s="13">
        <v>1.1248593925759263</v>
      </c>
    </row>
    <row r="875" spans="1:14" ht="14.5">
      <c r="A875" s="6">
        <v>45607</v>
      </c>
      <c r="B875" s="47" t="s">
        <v>18</v>
      </c>
      <c r="C875" s="7">
        <v>1</v>
      </c>
      <c r="D875" s="8">
        <v>4.8611111111111112E-2</v>
      </c>
      <c r="E875" s="9">
        <v>4.8611111111111112E-2</v>
      </c>
      <c r="F875" s="10">
        <v>0.37976851851851856</v>
      </c>
      <c r="G875" s="10">
        <v>0.43130787037037044</v>
      </c>
      <c r="H875" s="8">
        <v>4.6122685185185211E-2</v>
      </c>
      <c r="I875" s="11">
        <v>0.43379629629629635</v>
      </c>
      <c r="J875" s="8"/>
      <c r="K875" s="8"/>
      <c r="L875" s="8">
        <v>5.4166666666666669E-3</v>
      </c>
      <c r="M875" s="12"/>
      <c r="N875" s="13">
        <v>1.0539523212045163</v>
      </c>
    </row>
    <row r="876" spans="1:14" ht="14.5">
      <c r="A876" s="6">
        <v>45607</v>
      </c>
      <c r="B876" s="47" t="s">
        <v>63</v>
      </c>
      <c r="C876" s="7">
        <v>1</v>
      </c>
      <c r="D876" s="8">
        <v>4.5138888888888888E-2</v>
      </c>
      <c r="E876" s="9">
        <v>4.5138888888888888E-2</v>
      </c>
      <c r="F876" s="10">
        <v>0.43130787037037044</v>
      </c>
      <c r="G876" s="10">
        <v>0.47498842592592594</v>
      </c>
      <c r="H876" s="8">
        <v>4.36805555555555E-2</v>
      </c>
      <c r="I876" s="11">
        <v>0.47644675925925933</v>
      </c>
      <c r="J876" s="8"/>
      <c r="K876" s="8"/>
      <c r="L876" s="8"/>
      <c r="M876" s="12"/>
      <c r="N876" s="13">
        <v>1.0333863275039759</v>
      </c>
    </row>
    <row r="877" spans="1:14" ht="14.5">
      <c r="A877" s="6">
        <v>45607</v>
      </c>
      <c r="B877" s="47" t="s">
        <v>84</v>
      </c>
      <c r="C877" s="7">
        <v>1</v>
      </c>
      <c r="D877" s="8">
        <v>7.6388888888888895E-2</v>
      </c>
      <c r="E877" s="9">
        <v>7.6388888888888895E-2</v>
      </c>
      <c r="F877" s="10">
        <v>0.47498842592592594</v>
      </c>
      <c r="G877" s="10">
        <v>0.591400462962963</v>
      </c>
      <c r="H877" s="8">
        <v>7.1388888888888918E-2</v>
      </c>
      <c r="I877" s="11">
        <v>0.59640046296296301</v>
      </c>
      <c r="J877" s="8"/>
      <c r="K877" s="8"/>
      <c r="L877" s="8">
        <v>4.5023148148148145E-2</v>
      </c>
      <c r="M877" s="12"/>
      <c r="N877" s="13">
        <v>1.0700389105058363</v>
      </c>
    </row>
    <row r="878" spans="1:14" ht="14.5">
      <c r="A878" s="6">
        <v>45607</v>
      </c>
      <c r="B878" s="47" t="s">
        <v>85</v>
      </c>
      <c r="C878" s="7">
        <v>1</v>
      </c>
      <c r="D878" s="8">
        <v>0.11458333333333333</v>
      </c>
      <c r="E878" s="9">
        <v>0.11458333333333333</v>
      </c>
      <c r="F878" s="10">
        <v>0.591400462962963</v>
      </c>
      <c r="G878" s="10">
        <v>0.72668842592975125</v>
      </c>
      <c r="H878" s="8">
        <v>0.11590138889271417</v>
      </c>
      <c r="I878" s="11">
        <v>0.72537037037037044</v>
      </c>
      <c r="J878" s="8"/>
      <c r="K878" s="8"/>
      <c r="L878" s="8">
        <v>1.9386574074074073E-2</v>
      </c>
      <c r="M878" s="12"/>
      <c r="N878" s="13">
        <v>0.98862778460229739</v>
      </c>
    </row>
    <row r="879" spans="1:14" ht="14.5">
      <c r="A879" s="6">
        <v>45608</v>
      </c>
      <c r="B879" s="47" t="s">
        <v>90</v>
      </c>
      <c r="C879" s="7">
        <v>1</v>
      </c>
      <c r="D879" s="8">
        <v>7.2916666666666671E-2</v>
      </c>
      <c r="E879" s="9">
        <v>7.2916666666666671E-2</v>
      </c>
      <c r="F879" s="10">
        <v>0.35670138888888892</v>
      </c>
      <c r="G879" s="10">
        <v>0.45508813657215796</v>
      </c>
      <c r="H879" s="8">
        <v>6.6650636572157945E-2</v>
      </c>
      <c r="I879" s="11">
        <v>0.46135416666666673</v>
      </c>
      <c r="J879" s="8"/>
      <c r="K879" s="8"/>
      <c r="L879" s="8">
        <v>3.1736111111111111E-2</v>
      </c>
      <c r="M879" s="12"/>
      <c r="N879" s="13">
        <v>1.09401305699046</v>
      </c>
    </row>
    <row r="880" spans="1:14" ht="14.5">
      <c r="A880" s="6">
        <v>45608</v>
      </c>
      <c r="B880" s="47" t="s">
        <v>18</v>
      </c>
      <c r="C880" s="7">
        <v>1</v>
      </c>
      <c r="D880" s="8">
        <v>4.8611111111111112E-2</v>
      </c>
      <c r="E880" s="9">
        <v>4.8611111111111112E-2</v>
      </c>
      <c r="F880" s="10">
        <v>0.45508813657215796</v>
      </c>
      <c r="G880" s="10">
        <v>0.50133101851851858</v>
      </c>
      <c r="H880" s="8">
        <v>4.6242881946360614E-2</v>
      </c>
      <c r="I880" s="11">
        <v>0.50369924768326912</v>
      </c>
      <c r="J880" s="8"/>
      <c r="K880" s="8"/>
      <c r="L880" s="8"/>
      <c r="M880" s="12"/>
      <c r="N880" s="13">
        <v>1.0512128367669109</v>
      </c>
    </row>
    <row r="881" spans="1:14" ht="14.5">
      <c r="A881" s="6">
        <v>45608</v>
      </c>
      <c r="B881" s="47" t="s">
        <v>29</v>
      </c>
      <c r="C881" s="7">
        <v>41</v>
      </c>
      <c r="D881" s="8">
        <v>2.0833333333333333E-3</v>
      </c>
      <c r="E881" s="9">
        <v>8.5416666666666669E-2</v>
      </c>
      <c r="F881" s="10">
        <v>0.50133101851851858</v>
      </c>
      <c r="G881" s="8">
        <v>0.60733796296296305</v>
      </c>
      <c r="H881" s="8">
        <v>8.0451388888888919E-2</v>
      </c>
      <c r="I881" s="11">
        <v>0.61230324074074083</v>
      </c>
      <c r="J881" s="8"/>
      <c r="K881" s="8"/>
      <c r="L881" s="8">
        <v>2.5555555555555557E-2</v>
      </c>
      <c r="M881" s="12"/>
      <c r="N881" s="13">
        <v>1.0617177384548981</v>
      </c>
    </row>
    <row r="882" spans="1:14" ht="14.5">
      <c r="A882" s="6">
        <v>45608</v>
      </c>
      <c r="B882" s="47" t="s">
        <v>37</v>
      </c>
      <c r="C882" s="7">
        <v>62</v>
      </c>
      <c r="D882" s="8">
        <v>1.3888888888888889E-3</v>
      </c>
      <c r="E882" s="9">
        <v>8.611111111111111E-2</v>
      </c>
      <c r="F882" s="10">
        <v>0.60733796296296305</v>
      </c>
      <c r="G882" s="10">
        <v>0.6967592592592593</v>
      </c>
      <c r="H882" s="8">
        <v>8.0277777777777726E-2</v>
      </c>
      <c r="I882" s="11">
        <v>0.70259259259259266</v>
      </c>
      <c r="J882" s="8"/>
      <c r="K882" s="8"/>
      <c r="L882" s="8">
        <v>9.1435185185185178E-3</v>
      </c>
      <c r="M882" s="12"/>
      <c r="N882" s="13">
        <v>1.0726643598615924</v>
      </c>
    </row>
    <row r="883" spans="1:14" ht="14.5">
      <c r="A883" s="6">
        <v>45608</v>
      </c>
      <c r="B883" s="47" t="s">
        <v>49</v>
      </c>
      <c r="C883" s="7">
        <v>10</v>
      </c>
      <c r="D883" s="8">
        <v>3.472222222222222E-3</v>
      </c>
      <c r="E883" s="9">
        <v>3.4722222222222224E-2</v>
      </c>
      <c r="F883" s="10">
        <v>0.69726851851851857</v>
      </c>
      <c r="G883" s="10">
        <v>0.73263888888888884</v>
      </c>
      <c r="H883" s="8">
        <v>3.5370370370370274E-2</v>
      </c>
      <c r="I883" s="11">
        <v>0.73199074074074078</v>
      </c>
      <c r="J883" s="8"/>
      <c r="K883" s="8"/>
      <c r="L883" s="8"/>
      <c r="M883" s="12"/>
      <c r="N883" s="13">
        <v>0.9816753926701598</v>
      </c>
    </row>
    <row r="884" spans="1:14" ht="14.5">
      <c r="A884" s="6">
        <v>45609</v>
      </c>
      <c r="B884" s="47" t="s">
        <v>18</v>
      </c>
      <c r="C884" s="7">
        <v>1</v>
      </c>
      <c r="D884" s="8">
        <v>4.8611111111111112E-2</v>
      </c>
      <c r="E884" s="9">
        <v>4.8611111111111112E-2</v>
      </c>
      <c r="F884" s="8">
        <v>0.3417824074074074</v>
      </c>
      <c r="G884" s="10">
        <v>0.38645833333333335</v>
      </c>
      <c r="H884" s="8">
        <v>4.4675925925925952E-2</v>
      </c>
      <c r="I884" s="11">
        <v>0.3903935185185185</v>
      </c>
      <c r="J884" s="8"/>
      <c r="K884" s="8"/>
      <c r="L884" s="8"/>
      <c r="M884" s="12"/>
      <c r="N884" s="13">
        <v>1.0880829015544036</v>
      </c>
    </row>
    <row r="885" spans="1:14" ht="14.5">
      <c r="A885" s="6">
        <v>45609</v>
      </c>
      <c r="B885" s="47" t="s">
        <v>48</v>
      </c>
      <c r="C885" s="7">
        <v>62</v>
      </c>
      <c r="D885" s="8">
        <v>1.736111111111111E-3</v>
      </c>
      <c r="E885" s="9">
        <v>0.10763888888888888</v>
      </c>
      <c r="F885" s="10">
        <v>0.38645833333333335</v>
      </c>
      <c r="G885" s="10">
        <v>0.55098379629629635</v>
      </c>
      <c r="H885" s="8">
        <v>0.10717592592592595</v>
      </c>
      <c r="I885" s="11">
        <v>0.55144675925925923</v>
      </c>
      <c r="J885" s="8"/>
      <c r="K885" s="8"/>
      <c r="L885" s="8">
        <v>5.7349537037037039E-2</v>
      </c>
      <c r="M885" s="12"/>
      <c r="N885" s="13">
        <v>1.0043196544276454</v>
      </c>
    </row>
    <row r="886" spans="1:14" ht="14.5">
      <c r="A886" s="6">
        <v>45609</v>
      </c>
      <c r="B886" s="47" t="s">
        <v>20</v>
      </c>
      <c r="C886" s="7">
        <v>65</v>
      </c>
      <c r="D886" s="8">
        <v>2.0833333333333333E-3</v>
      </c>
      <c r="E886" s="9">
        <v>0.13541666666666666</v>
      </c>
      <c r="F886" s="10">
        <v>0.55098379629629635</v>
      </c>
      <c r="G886" s="10">
        <v>0.71902777777777782</v>
      </c>
      <c r="H886" s="8">
        <v>0.12784722222222222</v>
      </c>
      <c r="I886" s="11">
        <v>0.72659722222222223</v>
      </c>
      <c r="J886" s="8"/>
      <c r="K886" s="8"/>
      <c r="L886" s="8">
        <v>4.0196759259259258E-2</v>
      </c>
      <c r="M886" s="12"/>
      <c r="N886" s="13">
        <v>1.0592069527430743</v>
      </c>
    </row>
    <row r="887" spans="1:14" ht="14.5">
      <c r="A887" s="6">
        <v>45610</v>
      </c>
      <c r="B887" s="47" t="s">
        <v>43</v>
      </c>
      <c r="C887" s="7">
        <v>1</v>
      </c>
      <c r="D887" s="8">
        <v>3.4722222222222224E-2</v>
      </c>
      <c r="E887" s="9">
        <v>3.4722222222222224E-2</v>
      </c>
      <c r="F887" s="10">
        <v>0.34017361111111111</v>
      </c>
      <c r="G887" s="10">
        <v>0.3746412037037038</v>
      </c>
      <c r="H887" s="8">
        <v>3.1944444444444539E-2</v>
      </c>
      <c r="I887" s="11">
        <v>0.37741898148148145</v>
      </c>
      <c r="J887" s="8"/>
      <c r="K887" s="8"/>
      <c r="L887" s="8">
        <v>2.5231481481481481E-3</v>
      </c>
      <c r="M887" s="12"/>
      <c r="N887" s="13">
        <v>1.0869565217391273</v>
      </c>
    </row>
    <row r="888" spans="1:14" ht="14.5">
      <c r="A888" s="6">
        <v>45610</v>
      </c>
      <c r="B888" s="47" t="s">
        <v>42</v>
      </c>
      <c r="C888" s="7">
        <v>1</v>
      </c>
      <c r="D888" s="8">
        <v>6.9444444444444441E-3</v>
      </c>
      <c r="E888" s="9">
        <v>6.9444444444444441E-3</v>
      </c>
      <c r="F888" s="10">
        <v>0.3746412037037038</v>
      </c>
      <c r="G888" s="10">
        <v>0.3810648148148148</v>
      </c>
      <c r="H888" s="8">
        <v>6.423611111111005E-3</v>
      </c>
      <c r="I888" s="11">
        <v>0.38158564814814822</v>
      </c>
      <c r="J888" s="8"/>
      <c r="K888" s="8"/>
      <c r="L888" s="8"/>
      <c r="M888" s="12"/>
      <c r="N888" s="13">
        <v>1.0810810810810989</v>
      </c>
    </row>
    <row r="889" spans="1:14" ht="14.5">
      <c r="A889" s="6">
        <v>45610</v>
      </c>
      <c r="B889" s="47" t="s">
        <v>18</v>
      </c>
      <c r="C889" s="7">
        <v>1</v>
      </c>
      <c r="D889" s="8">
        <v>4.8611111111111112E-2</v>
      </c>
      <c r="E889" s="9">
        <v>4.8611111111111112E-2</v>
      </c>
      <c r="F889" s="10">
        <v>0.3810648148148148</v>
      </c>
      <c r="G889" s="10">
        <v>0.46207175925925925</v>
      </c>
      <c r="H889" s="8">
        <v>5.1192129629629636E-2</v>
      </c>
      <c r="I889" s="11">
        <v>0.4594907407407407</v>
      </c>
      <c r="J889" s="8"/>
      <c r="K889" s="8"/>
      <c r="L889" s="8">
        <v>2.9814814814814815E-2</v>
      </c>
      <c r="M889" s="12"/>
      <c r="N889" s="13">
        <v>0.94958173185620609</v>
      </c>
    </row>
    <row r="890" spans="1:14" ht="14.5">
      <c r="A890" s="6">
        <v>45610</v>
      </c>
      <c r="B890" s="47" t="s">
        <v>30</v>
      </c>
      <c r="C890" s="7">
        <v>1</v>
      </c>
      <c r="D890" s="8">
        <v>3.125E-2</v>
      </c>
      <c r="E890" s="9">
        <v>3.125E-2</v>
      </c>
      <c r="F890" s="10">
        <v>0.46207175925925925</v>
      </c>
      <c r="G890" s="10">
        <v>0.49315972222222226</v>
      </c>
      <c r="H890" s="8">
        <v>3.1087962962963012E-2</v>
      </c>
      <c r="I890" s="11">
        <v>0.49332175925925925</v>
      </c>
      <c r="J890" s="8"/>
      <c r="K890" s="8"/>
      <c r="L890" s="8"/>
      <c r="M890" s="12"/>
      <c r="N890" s="13">
        <v>1.0052122114668636</v>
      </c>
    </row>
    <row r="891" spans="1:14" ht="14.5">
      <c r="A891" s="6">
        <v>45610</v>
      </c>
      <c r="B891" s="47" t="s">
        <v>65</v>
      </c>
      <c r="C891" s="7">
        <v>1</v>
      </c>
      <c r="D891" s="8">
        <v>2.0833333333333332E-2</v>
      </c>
      <c r="E891" s="9">
        <v>2.0833333333333332E-2</v>
      </c>
      <c r="F891" s="10">
        <v>0.49315972222222226</v>
      </c>
      <c r="G891" s="8">
        <v>0.5136574074074074</v>
      </c>
      <c r="H891" s="8">
        <v>2.0497685185185133E-2</v>
      </c>
      <c r="I891" s="11">
        <v>0.51399305555555563</v>
      </c>
      <c r="J891" s="8"/>
      <c r="K891" s="8"/>
      <c r="L891" s="8"/>
      <c r="M891" s="12"/>
      <c r="N891" s="13">
        <v>1.0163749294184101</v>
      </c>
    </row>
    <row r="892" spans="1:14" ht="14.5">
      <c r="A892" s="6">
        <v>45610</v>
      </c>
      <c r="B892" s="47" t="s">
        <v>16</v>
      </c>
      <c r="C892" s="7">
        <v>16</v>
      </c>
      <c r="D892" s="8">
        <v>5.5555555555555558E-3</v>
      </c>
      <c r="E892" s="9">
        <v>8.8888888888888892E-2</v>
      </c>
      <c r="F892" s="10">
        <v>0.5136574074074074</v>
      </c>
      <c r="G892" s="10">
        <v>0.62562499999999999</v>
      </c>
      <c r="H892" s="8">
        <v>8.0231481481481487E-2</v>
      </c>
      <c r="I892" s="11">
        <v>0.63428240740740738</v>
      </c>
      <c r="J892" s="8"/>
      <c r="K892" s="8"/>
      <c r="L892" s="8">
        <v>3.1736111111111111E-2</v>
      </c>
      <c r="M892" s="12"/>
      <c r="N892" s="13">
        <v>1.1079053664166185</v>
      </c>
    </row>
    <row r="893" spans="1:14" ht="14.5">
      <c r="A893" s="6">
        <v>45610</v>
      </c>
      <c r="B893" s="47" t="s">
        <v>49</v>
      </c>
      <c r="C893" s="7">
        <v>12</v>
      </c>
      <c r="D893" s="8">
        <v>3.472222222222222E-3</v>
      </c>
      <c r="E893" s="9">
        <v>4.1666666666666664E-2</v>
      </c>
      <c r="F893" s="10">
        <v>0.62571759259259263</v>
      </c>
      <c r="G893" s="10">
        <v>0.66508101851851853</v>
      </c>
      <c r="H893" s="8">
        <v>3.9363425925925899E-2</v>
      </c>
      <c r="I893" s="11">
        <v>0.66738425925925926</v>
      </c>
      <c r="J893" s="8"/>
      <c r="K893" s="8"/>
      <c r="L893" s="8"/>
      <c r="M893" s="12"/>
      <c r="N893" s="13">
        <v>1.0585122022934437</v>
      </c>
    </row>
    <row r="894" spans="1:14" ht="14.5">
      <c r="A894" s="6">
        <v>45610</v>
      </c>
      <c r="B894" s="47" t="s">
        <v>16</v>
      </c>
      <c r="C894" s="7">
        <v>7</v>
      </c>
      <c r="D894" s="8">
        <v>5.5555555555555558E-3</v>
      </c>
      <c r="E894" s="9">
        <v>3.888888888888889E-2</v>
      </c>
      <c r="F894" s="10">
        <v>0.68450231481481483</v>
      </c>
      <c r="G894" s="10">
        <v>0.72094980324618518</v>
      </c>
      <c r="H894" s="8">
        <v>3.6447488431370356E-2</v>
      </c>
      <c r="I894" s="11">
        <v>0.72339120370370369</v>
      </c>
      <c r="J894" s="8"/>
      <c r="K894" s="8"/>
      <c r="L894" s="8"/>
      <c r="M894" s="12"/>
      <c r="N894" s="13">
        <v>1.0669840519221407</v>
      </c>
    </row>
    <row r="895" spans="1:14" ht="14.5">
      <c r="A895" s="6">
        <v>45611</v>
      </c>
      <c r="B895" s="47" t="s">
        <v>16</v>
      </c>
      <c r="C895" s="7">
        <v>7</v>
      </c>
      <c r="D895" s="8">
        <v>5.5555555555555558E-3</v>
      </c>
      <c r="E895" s="9">
        <v>3.888888888888889E-2</v>
      </c>
      <c r="F895" s="10">
        <v>0.34123842592592601</v>
      </c>
      <c r="G895" s="10">
        <v>0.40148148148148155</v>
      </c>
      <c r="H895" s="8">
        <v>3.5416666666666652E-2</v>
      </c>
      <c r="I895" s="11">
        <v>0.40495370370370376</v>
      </c>
      <c r="J895" s="8"/>
      <c r="K895" s="8"/>
      <c r="L895" s="8">
        <v>2.4826388888888887E-2</v>
      </c>
      <c r="M895" s="12"/>
      <c r="N895" s="13">
        <v>1.098039215686275</v>
      </c>
    </row>
    <row r="896" spans="1:14" ht="14.5">
      <c r="A896" s="6">
        <v>45611</v>
      </c>
      <c r="B896" s="47" t="s">
        <v>18</v>
      </c>
      <c r="C896" s="7">
        <v>1</v>
      </c>
      <c r="D896" s="8">
        <v>4.8611111111111112E-2</v>
      </c>
      <c r="E896" s="9">
        <v>4.8611111111111112E-2</v>
      </c>
      <c r="F896" s="10">
        <v>0.40148148148148155</v>
      </c>
      <c r="G896" s="10">
        <v>0.44290509259259259</v>
      </c>
      <c r="H896" s="8">
        <v>4.1423611111111036E-2</v>
      </c>
      <c r="I896" s="11">
        <v>0.45009259259259266</v>
      </c>
      <c r="J896" s="8"/>
      <c r="K896" s="8"/>
      <c r="L896" s="8"/>
      <c r="M896" s="12"/>
      <c r="N896" s="13">
        <v>1.1735121542330282</v>
      </c>
    </row>
    <row r="897" spans="1:14" ht="14.5">
      <c r="A897" s="6">
        <v>45611</v>
      </c>
      <c r="B897" s="47" t="s">
        <v>49</v>
      </c>
      <c r="C897" s="7">
        <v>40</v>
      </c>
      <c r="D897" s="8">
        <v>3.472222222222222E-3</v>
      </c>
      <c r="E897" s="9">
        <v>0.1388888888888889</v>
      </c>
      <c r="F897" s="10">
        <v>0.44297453703703704</v>
      </c>
      <c r="G897" s="10">
        <v>0.6546643518518519</v>
      </c>
      <c r="H897" s="8">
        <v>0.1405555555555556</v>
      </c>
      <c r="I897" s="11">
        <v>0.65299768518518508</v>
      </c>
      <c r="J897" s="8"/>
      <c r="K897" s="8"/>
      <c r="L897" s="8">
        <v>7.1134259259259258E-2</v>
      </c>
      <c r="M897" s="12"/>
      <c r="N897" s="13">
        <v>0.98814229249011831</v>
      </c>
    </row>
    <row r="898" spans="1:14" ht="14.5">
      <c r="A898" s="6">
        <v>45611</v>
      </c>
      <c r="B898" s="47" t="s">
        <v>16</v>
      </c>
      <c r="C898" s="7">
        <v>13</v>
      </c>
      <c r="D898" s="8">
        <v>5.5555555555555558E-3</v>
      </c>
      <c r="E898" s="9">
        <v>7.2222222222222229E-2</v>
      </c>
      <c r="F898" s="10">
        <v>0.6546643518518519</v>
      </c>
      <c r="G898" s="10">
        <v>0.72080148148234002</v>
      </c>
      <c r="H898" s="8">
        <v>6.6137129630488123E-2</v>
      </c>
      <c r="I898" s="11">
        <v>0.72688657407407409</v>
      </c>
      <c r="J898" s="8"/>
      <c r="K898" s="8"/>
      <c r="L898" s="8"/>
      <c r="M898" s="12"/>
      <c r="N898" s="13">
        <v>1.0920072072333931</v>
      </c>
    </row>
    <row r="899" spans="1:14" ht="14.5">
      <c r="A899" s="6">
        <v>45614</v>
      </c>
      <c r="B899" s="47" t="s">
        <v>43</v>
      </c>
      <c r="C899" s="7">
        <v>1</v>
      </c>
      <c r="D899" s="8">
        <v>3.4722222222222224E-2</v>
      </c>
      <c r="E899" s="9">
        <v>3.4722222222222224E-2</v>
      </c>
      <c r="F899" s="10">
        <v>0.36592592592592599</v>
      </c>
      <c r="G899" s="10">
        <v>0.4079976851851852</v>
      </c>
      <c r="H899" s="8">
        <v>3.3321759259259211E-2</v>
      </c>
      <c r="I899" s="11">
        <v>0.40939814814814818</v>
      </c>
      <c r="J899" s="8"/>
      <c r="K899" s="8"/>
      <c r="L899" s="8">
        <v>8.7500000000000008E-3</v>
      </c>
      <c r="M899" s="12"/>
      <c r="N899" s="13">
        <v>1.042028482111846</v>
      </c>
    </row>
    <row r="900" spans="1:14" ht="14.5">
      <c r="A900" s="6">
        <v>45614</v>
      </c>
      <c r="B900" s="47" t="s">
        <v>42</v>
      </c>
      <c r="C900" s="7">
        <v>1</v>
      </c>
      <c r="D900" s="8">
        <v>6.9444444444444441E-3</v>
      </c>
      <c r="E900" s="9">
        <v>6.9444444444444441E-3</v>
      </c>
      <c r="F900" s="10">
        <v>0.4079976851851852</v>
      </c>
      <c r="G900" s="10">
        <v>0.41447916666666673</v>
      </c>
      <c r="H900" s="8">
        <v>6.4814814814815325E-3</v>
      </c>
      <c r="I900" s="11">
        <v>0.41494212962962962</v>
      </c>
      <c r="J900" s="8"/>
      <c r="K900" s="8"/>
      <c r="L900" s="8"/>
      <c r="M900" s="12"/>
      <c r="N900" s="13">
        <v>1.071428571428563</v>
      </c>
    </row>
    <row r="901" spans="1:14" ht="14.5">
      <c r="A901" s="6">
        <v>45614</v>
      </c>
      <c r="B901" s="47" t="s">
        <v>63</v>
      </c>
      <c r="C901" s="7">
        <v>1</v>
      </c>
      <c r="D901" s="8">
        <v>4.5138888888888888E-2</v>
      </c>
      <c r="E901" s="9">
        <v>4.5138888888888888E-2</v>
      </c>
      <c r="F901" s="10">
        <v>0.41447916666666673</v>
      </c>
      <c r="G901" s="10">
        <v>0.46020833333333333</v>
      </c>
      <c r="H901" s="8">
        <v>3.9629629629629563E-2</v>
      </c>
      <c r="I901" s="11">
        <v>0.46571759259259266</v>
      </c>
      <c r="J901" s="8"/>
      <c r="K901" s="8"/>
      <c r="L901" s="8">
        <v>6.099537037037037E-3</v>
      </c>
      <c r="M901" s="12"/>
      <c r="N901" s="13">
        <v>1.139018691588787</v>
      </c>
    </row>
    <row r="902" spans="1:14" ht="14.5">
      <c r="A902" s="6">
        <v>45614</v>
      </c>
      <c r="B902" s="47" t="s">
        <v>18</v>
      </c>
      <c r="C902" s="7">
        <v>1</v>
      </c>
      <c r="D902" s="8">
        <v>4.8611111111111112E-2</v>
      </c>
      <c r="E902" s="9">
        <v>4.8611111111111112E-2</v>
      </c>
      <c r="F902" s="10">
        <v>0.46020833333333333</v>
      </c>
      <c r="G902" s="10">
        <v>0.52109953703703704</v>
      </c>
      <c r="H902" s="8">
        <v>4.9988425925925936E-2</v>
      </c>
      <c r="I902" s="11">
        <v>0.51972222222222231</v>
      </c>
      <c r="J902" s="8"/>
      <c r="K902" s="8"/>
      <c r="L902" s="8">
        <v>1.0902777777777779E-2</v>
      </c>
      <c r="M902" s="12"/>
      <c r="N902" s="13">
        <v>0.97244732576985393</v>
      </c>
    </row>
    <row r="903" spans="1:14" ht="14.5">
      <c r="A903" s="6">
        <v>45614</v>
      </c>
      <c r="B903" s="47" t="s">
        <v>16</v>
      </c>
      <c r="C903" s="7">
        <v>8</v>
      </c>
      <c r="D903" s="8">
        <v>5.5555555555555558E-3</v>
      </c>
      <c r="E903" s="9">
        <v>4.4444444444444446E-2</v>
      </c>
      <c r="F903" s="10">
        <v>0.52109953703703704</v>
      </c>
      <c r="G903" s="10">
        <v>0.56711805555555561</v>
      </c>
      <c r="H903" s="8">
        <v>4.1782407407407456E-2</v>
      </c>
      <c r="I903" s="11">
        <v>0.56978009259259255</v>
      </c>
      <c r="J903" s="8"/>
      <c r="K903" s="8"/>
      <c r="L903" s="8">
        <v>4.2361111111111115E-3</v>
      </c>
      <c r="M903" s="12"/>
      <c r="N903" s="13">
        <v>1.0637119113573394</v>
      </c>
    </row>
    <row r="904" spans="1:14" ht="14.5">
      <c r="A904" s="6">
        <v>45614</v>
      </c>
      <c r="B904" s="47" t="s">
        <v>85</v>
      </c>
      <c r="C904" s="7">
        <v>1</v>
      </c>
      <c r="D904" s="8">
        <v>0.11458333333333333</v>
      </c>
      <c r="E904" s="9">
        <v>0.11458333333333333</v>
      </c>
      <c r="F904" s="10">
        <v>0.56711805555555561</v>
      </c>
      <c r="G904" s="10">
        <v>0.72027777777777779</v>
      </c>
      <c r="H904" s="8">
        <v>0.10789351851851847</v>
      </c>
      <c r="I904" s="11">
        <v>0.72696759259259269</v>
      </c>
      <c r="J904" s="8"/>
      <c r="K904" s="8"/>
      <c r="L904" s="8">
        <v>4.5266203703703704E-2</v>
      </c>
      <c r="M904" s="12"/>
      <c r="N904" s="13">
        <v>1.0620038618322252</v>
      </c>
    </row>
    <row r="905" spans="1:14" ht="14.5">
      <c r="A905" s="6">
        <v>45614</v>
      </c>
      <c r="B905" s="47" t="s">
        <v>27</v>
      </c>
      <c r="C905" s="7">
        <v>22</v>
      </c>
      <c r="D905" s="8">
        <v>1.3888888888888889E-3</v>
      </c>
      <c r="E905" s="9">
        <v>3.0555555555555558E-2</v>
      </c>
      <c r="F905" s="10">
        <v>0.72027777777777779</v>
      </c>
      <c r="G905" s="10">
        <v>0.75</v>
      </c>
      <c r="H905" s="8">
        <v>2.9722222222222205E-2</v>
      </c>
      <c r="I905" s="11">
        <v>0.75083333333333335</v>
      </c>
      <c r="J905" s="8"/>
      <c r="K905" s="8"/>
      <c r="L905" s="8"/>
      <c r="M905" s="12"/>
      <c r="N905" s="13">
        <v>1.0280373831775707</v>
      </c>
    </row>
    <row r="906" spans="1:14" ht="14.5">
      <c r="A906" s="6">
        <v>45615</v>
      </c>
      <c r="B906" s="47" t="s">
        <v>18</v>
      </c>
      <c r="C906" s="7">
        <v>1</v>
      </c>
      <c r="D906" s="8">
        <v>4.8611111111111112E-2</v>
      </c>
      <c r="E906" s="9">
        <v>4.8611111111111112E-2</v>
      </c>
      <c r="F906" s="10">
        <v>0.37336805555555563</v>
      </c>
      <c r="G906" s="10">
        <v>0.41740740740740745</v>
      </c>
      <c r="H906" s="8">
        <v>4.4039351851851816E-2</v>
      </c>
      <c r="I906" s="11">
        <v>0.42197916666666674</v>
      </c>
      <c r="J906" s="8"/>
      <c r="K906" s="8"/>
      <c r="L906" s="8"/>
      <c r="M906" s="12"/>
      <c r="N906" s="13">
        <v>1.1038107752956645</v>
      </c>
    </row>
    <row r="907" spans="1:14" ht="14.5">
      <c r="A907" s="6">
        <v>45615</v>
      </c>
      <c r="B907" s="47" t="s">
        <v>37</v>
      </c>
      <c r="C907" s="7">
        <v>8</v>
      </c>
      <c r="D907" s="8">
        <v>1.3888888888888889E-3</v>
      </c>
      <c r="E907" s="9">
        <v>1.1111111111111112E-2</v>
      </c>
      <c r="F907" s="10">
        <v>0.41740740740740745</v>
      </c>
      <c r="G907" s="10">
        <v>0.42790509259259268</v>
      </c>
      <c r="H907" s="8">
        <v>1.0497685185185235E-2</v>
      </c>
      <c r="I907" s="11">
        <v>0.42851851851851858</v>
      </c>
      <c r="J907" s="8"/>
      <c r="K907" s="8"/>
      <c r="L907" s="8"/>
      <c r="M907" s="18" t="s">
        <v>91</v>
      </c>
      <c r="N907" s="13">
        <v>1.0584343991179663</v>
      </c>
    </row>
    <row r="908" spans="1:14" ht="14.5">
      <c r="A908" s="6">
        <v>45615</v>
      </c>
      <c r="B908" s="47" t="s">
        <v>90</v>
      </c>
      <c r="C908" s="7">
        <v>1</v>
      </c>
      <c r="D908" s="8">
        <v>7.2916666666666671E-2</v>
      </c>
      <c r="E908" s="9">
        <v>7.2916666666666671E-2</v>
      </c>
      <c r="F908" s="10">
        <v>0.42790509259259268</v>
      </c>
      <c r="G908" s="10">
        <v>0.50045138888888896</v>
      </c>
      <c r="H908" s="8">
        <v>7.2546296296296275E-2</v>
      </c>
      <c r="I908" s="11">
        <v>0.50082175925925931</v>
      </c>
      <c r="J908" s="8"/>
      <c r="K908" s="8"/>
      <c r="L908" s="8"/>
      <c r="M908" s="12"/>
      <c r="N908" s="13">
        <v>1.0051052967453737</v>
      </c>
    </row>
    <row r="909" spans="1:14" ht="14.5">
      <c r="A909" s="6">
        <v>45615</v>
      </c>
      <c r="B909" s="47" t="s">
        <v>27</v>
      </c>
      <c r="C909" s="7">
        <v>130</v>
      </c>
      <c r="D909" s="8">
        <v>1.3888888888888889E-3</v>
      </c>
      <c r="E909" s="9">
        <v>0.18055555555555555</v>
      </c>
      <c r="F909" s="10">
        <v>0.50045138888888896</v>
      </c>
      <c r="G909" s="10">
        <v>0.75</v>
      </c>
      <c r="H909" s="8">
        <v>0.17575231481481474</v>
      </c>
      <c r="I909" s="11">
        <v>0.75480324074074079</v>
      </c>
      <c r="J909" s="8"/>
      <c r="K909" s="8"/>
      <c r="L909" s="8">
        <v>7.379629629629629E-2</v>
      </c>
      <c r="M909" s="18" t="s">
        <v>92</v>
      </c>
      <c r="N909" s="13">
        <v>1.0273296015805076</v>
      </c>
    </row>
    <row r="910" spans="1:14" ht="14.5">
      <c r="A910" s="6">
        <v>45616</v>
      </c>
      <c r="B910" s="47" t="s">
        <v>18</v>
      </c>
      <c r="C910" s="7">
        <v>1</v>
      </c>
      <c r="D910" s="8">
        <v>4.8611111111111112E-2</v>
      </c>
      <c r="E910" s="9">
        <v>4.8611111111111112E-2</v>
      </c>
      <c r="F910" s="10">
        <v>0.33002314814814815</v>
      </c>
      <c r="G910" s="10">
        <v>0.3752199074074074</v>
      </c>
      <c r="H910" s="8">
        <v>4.5196759259259256E-2</v>
      </c>
      <c r="I910" s="11">
        <v>0.37863425925925925</v>
      </c>
      <c r="J910" s="8"/>
      <c r="K910" s="8"/>
      <c r="L910" s="8"/>
      <c r="M910" s="12"/>
      <c r="N910" s="13">
        <v>1.0755441741357235</v>
      </c>
    </row>
    <row r="911" spans="1:14" ht="14.5">
      <c r="A911" s="6">
        <v>45616</v>
      </c>
      <c r="B911" s="47" t="s">
        <v>27</v>
      </c>
      <c r="C911" s="7">
        <v>26</v>
      </c>
      <c r="D911" s="8">
        <v>1.3888888888888889E-3</v>
      </c>
      <c r="E911" s="9">
        <v>3.6111111111111115E-2</v>
      </c>
      <c r="F911" s="10">
        <v>0.3752199074074074</v>
      </c>
      <c r="G911" s="10">
        <v>0.41000000000000003</v>
      </c>
      <c r="H911" s="8">
        <v>3.4780092592592626E-2</v>
      </c>
      <c r="I911" s="11">
        <v>0.4113310185185185</v>
      </c>
      <c r="J911" s="8"/>
      <c r="K911" s="8"/>
      <c r="L911" s="8"/>
      <c r="M911" s="12"/>
      <c r="N911" s="13">
        <v>1.0382695507487512</v>
      </c>
    </row>
    <row r="912" spans="1:14" ht="14.5">
      <c r="A912" s="6">
        <v>45616</v>
      </c>
      <c r="B912" s="47" t="s">
        <v>16</v>
      </c>
      <c r="C912" s="7">
        <v>16</v>
      </c>
      <c r="D912" s="8">
        <v>5.5555555555555558E-3</v>
      </c>
      <c r="E912" s="9">
        <v>8.8888888888888892E-2</v>
      </c>
      <c r="F912" s="10">
        <v>0.41000000000000003</v>
      </c>
      <c r="G912" s="10">
        <v>0.51774969907273771</v>
      </c>
      <c r="H912" s="8">
        <v>8.4971921294959896E-2</v>
      </c>
      <c r="I912" s="11">
        <v>0.52166666666666672</v>
      </c>
      <c r="J912" s="8"/>
      <c r="K912" s="8"/>
      <c r="L912" s="8">
        <v>2.2777777777777779E-2</v>
      </c>
      <c r="M912" s="12"/>
      <c r="N912" s="13">
        <v>1.0460971993363803</v>
      </c>
    </row>
    <row r="913" spans="1:14" ht="14.5">
      <c r="A913" s="6">
        <v>45616</v>
      </c>
      <c r="B913" s="47" t="s">
        <v>16</v>
      </c>
      <c r="C913" s="7">
        <v>17</v>
      </c>
      <c r="D913" s="8">
        <v>5.5555555555555558E-3</v>
      </c>
      <c r="E913" s="9">
        <v>9.4444444444444442E-2</v>
      </c>
      <c r="F913" s="10">
        <v>0.51774969907273771</v>
      </c>
      <c r="G913" s="10">
        <v>0.60892361111111115</v>
      </c>
      <c r="H913" s="8">
        <v>9.1173912038373439E-2</v>
      </c>
      <c r="I913" s="11">
        <v>0.61219414351718215</v>
      </c>
      <c r="J913" s="8"/>
      <c r="K913" s="8"/>
      <c r="L913" s="8"/>
      <c r="M913" s="12"/>
      <c r="N913" s="13">
        <v>1.0358713620261737</v>
      </c>
    </row>
    <row r="914" spans="1:14" ht="14.5">
      <c r="A914" s="6">
        <v>45616</v>
      </c>
      <c r="B914" s="47" t="s">
        <v>37</v>
      </c>
      <c r="C914" s="7">
        <v>7</v>
      </c>
      <c r="D914" s="8">
        <v>1.3888888888888889E-3</v>
      </c>
      <c r="E914" s="9">
        <v>9.7222222222222224E-3</v>
      </c>
      <c r="F914" s="10">
        <v>0.60892361111111115</v>
      </c>
      <c r="G914" s="10">
        <v>0.61820601851851853</v>
      </c>
      <c r="H914" s="8">
        <v>9.2824074074073781E-3</v>
      </c>
      <c r="I914" s="11">
        <v>0.61864583333333334</v>
      </c>
      <c r="J914" s="8"/>
      <c r="K914" s="8"/>
      <c r="L914" s="8"/>
      <c r="M914" s="12"/>
      <c r="N914" s="13">
        <v>1.0473815461346667</v>
      </c>
    </row>
    <row r="915" spans="1:14" ht="14.5">
      <c r="A915" s="6">
        <v>45616</v>
      </c>
      <c r="B915" s="47" t="s">
        <v>49</v>
      </c>
      <c r="C915" s="7">
        <v>16</v>
      </c>
      <c r="D915" s="8">
        <v>3.472222222222222E-3</v>
      </c>
      <c r="E915" s="9">
        <v>5.5555555555555552E-2</v>
      </c>
      <c r="F915" s="10">
        <v>0.61833333333333329</v>
      </c>
      <c r="G915" s="10">
        <v>0.67344907407407406</v>
      </c>
      <c r="H915" s="8">
        <v>5.5115740740740771E-2</v>
      </c>
      <c r="I915" s="11">
        <v>0.67388888888888887</v>
      </c>
      <c r="J915" s="8"/>
      <c r="K915" s="8"/>
      <c r="L915" s="8"/>
      <c r="M915" s="12"/>
      <c r="N915" s="13">
        <v>1.0079798404031914</v>
      </c>
    </row>
    <row r="916" spans="1:14" ht="14.5">
      <c r="A916" s="6">
        <v>45616</v>
      </c>
      <c r="B916" s="47" t="s">
        <v>16</v>
      </c>
      <c r="C916" s="7">
        <v>4</v>
      </c>
      <c r="D916" s="8">
        <v>5.5555555555555558E-3</v>
      </c>
      <c r="E916" s="9">
        <v>2.2222222222222223E-2</v>
      </c>
      <c r="F916" s="10">
        <v>0.67361111111111116</v>
      </c>
      <c r="G916" s="10">
        <v>0.71246527777777779</v>
      </c>
      <c r="H916" s="8">
        <v>2.1620370370370338E-2</v>
      </c>
      <c r="I916" s="11">
        <v>0.7130671296296297</v>
      </c>
      <c r="J916" s="8"/>
      <c r="K916" s="8"/>
      <c r="L916" s="8">
        <v>1.7233796296296296E-2</v>
      </c>
      <c r="M916" s="12"/>
      <c r="N916" s="13">
        <v>1.0278372591006439</v>
      </c>
    </row>
    <row r="917" spans="1:14" ht="14.5">
      <c r="A917" s="6">
        <v>45617</v>
      </c>
      <c r="B917" s="47" t="s">
        <v>43</v>
      </c>
      <c r="C917" s="7">
        <v>1</v>
      </c>
      <c r="D917" s="8">
        <v>3.4722222222222224E-2</v>
      </c>
      <c r="E917" s="9">
        <v>3.4722222222222224E-2</v>
      </c>
      <c r="F917" s="10">
        <v>0.36928240740740748</v>
      </c>
      <c r="G917" s="10">
        <v>0.40168981481481481</v>
      </c>
      <c r="H917" s="8">
        <v>3.2407407407407329E-2</v>
      </c>
      <c r="I917" s="11">
        <v>0.40400462962962969</v>
      </c>
      <c r="J917" s="8"/>
      <c r="K917" s="8"/>
      <c r="L917" s="8"/>
      <c r="M917" s="12"/>
      <c r="N917" s="13">
        <v>1.0714285714285741</v>
      </c>
    </row>
    <row r="918" spans="1:14" ht="14.5">
      <c r="A918" s="6">
        <v>45617</v>
      </c>
      <c r="B918" s="47" t="s">
        <v>42</v>
      </c>
      <c r="C918" s="7">
        <v>1</v>
      </c>
      <c r="D918" s="8">
        <v>6.9444444444444441E-3</v>
      </c>
      <c r="E918" s="9">
        <v>6.9444444444444441E-3</v>
      </c>
      <c r="F918" s="10">
        <v>0.40168981481481481</v>
      </c>
      <c r="G918" s="10">
        <v>0.42065972222222225</v>
      </c>
      <c r="H918" s="8">
        <v>6.342592592592634E-3</v>
      </c>
      <c r="I918" s="11">
        <v>0.42126157407407405</v>
      </c>
      <c r="J918" s="8"/>
      <c r="K918" s="8"/>
      <c r="L918" s="8">
        <v>1.2627314814814815E-2</v>
      </c>
      <c r="M918" s="12"/>
      <c r="N918" s="13">
        <v>1.094890510948898</v>
      </c>
    </row>
    <row r="919" spans="1:14" ht="14.5">
      <c r="A919" s="6">
        <v>45617</v>
      </c>
      <c r="B919" s="47" t="s">
        <v>18</v>
      </c>
      <c r="C919" s="7">
        <v>1</v>
      </c>
      <c r="D919" s="8">
        <v>4.8611111111111112E-2</v>
      </c>
      <c r="E919" s="9">
        <v>4.8611111111111112E-2</v>
      </c>
      <c r="F919" s="10">
        <v>0.42065972222222225</v>
      </c>
      <c r="G919" s="10">
        <v>0.46650462962962969</v>
      </c>
      <c r="H919" s="8">
        <v>4.5844907407407431E-2</v>
      </c>
      <c r="I919" s="11">
        <v>0.46927083333333336</v>
      </c>
      <c r="J919" s="8"/>
      <c r="K919" s="8"/>
      <c r="L919" s="8"/>
      <c r="M919" s="12"/>
      <c r="N919" s="13">
        <v>1.060338298409492</v>
      </c>
    </row>
    <row r="920" spans="1:14" ht="14.5">
      <c r="A920" s="6">
        <v>45617</v>
      </c>
      <c r="B920" s="47" t="s">
        <v>16</v>
      </c>
      <c r="C920" s="7">
        <v>11</v>
      </c>
      <c r="D920" s="8">
        <v>5.5555555555555558E-3</v>
      </c>
      <c r="E920" s="9">
        <v>6.1111111111111116E-2</v>
      </c>
      <c r="F920" s="10">
        <v>0.46650462962962969</v>
      </c>
      <c r="G920" s="10">
        <v>0.55193287037037042</v>
      </c>
      <c r="H920" s="8">
        <v>5.8333333333333327E-2</v>
      </c>
      <c r="I920" s="11">
        <v>0.55471064814814819</v>
      </c>
      <c r="J920" s="8"/>
      <c r="K920" s="8"/>
      <c r="L920" s="8">
        <v>2.7094907407407408E-2</v>
      </c>
      <c r="M920" s="12"/>
      <c r="N920" s="13">
        <v>1.0476190476190479</v>
      </c>
    </row>
    <row r="921" spans="1:14" ht="14.5">
      <c r="A921" s="6">
        <v>45617</v>
      </c>
      <c r="B921" s="47" t="s">
        <v>86</v>
      </c>
      <c r="C921" s="7">
        <v>98</v>
      </c>
      <c r="D921" s="8">
        <v>1.3888888888888889E-3</v>
      </c>
      <c r="E921" s="9">
        <v>0.13611111111111113</v>
      </c>
      <c r="F921" s="10">
        <v>0.55193287037037042</v>
      </c>
      <c r="G921" s="10">
        <v>0.75100694444444449</v>
      </c>
      <c r="H921" s="8">
        <v>0.13059027777777782</v>
      </c>
      <c r="I921" s="11">
        <v>0.75652777777777791</v>
      </c>
      <c r="J921" s="8"/>
      <c r="K921" s="8">
        <v>4.9525462962962966E-2</v>
      </c>
      <c r="L921" s="8">
        <v>6.8483796296296265E-2</v>
      </c>
      <c r="M921" s="12"/>
      <c r="N921" s="13">
        <v>1.0422759904280774</v>
      </c>
    </row>
    <row r="922" spans="1:14" ht="14.5">
      <c r="A922" s="6">
        <v>45617</v>
      </c>
      <c r="B922" s="47" t="s">
        <v>65</v>
      </c>
      <c r="C922" s="7">
        <v>1</v>
      </c>
      <c r="D922" s="8">
        <v>2.0833333333333332E-2</v>
      </c>
      <c r="E922" s="9">
        <v>2.0833333333333332E-2</v>
      </c>
      <c r="F922" s="10">
        <v>0.67861111111111116</v>
      </c>
      <c r="G922" s="10">
        <v>0.69756944444444446</v>
      </c>
      <c r="H922" s="8">
        <v>1.8958333333333299E-2</v>
      </c>
      <c r="I922" s="11">
        <v>0.69944444444444454</v>
      </c>
      <c r="J922" s="8"/>
      <c r="K922" s="8"/>
      <c r="L922" s="8"/>
      <c r="M922" s="12"/>
      <c r="N922" s="13">
        <v>1.0989010989011008</v>
      </c>
    </row>
    <row r="923" spans="1:14" ht="14.5">
      <c r="A923" s="6">
        <v>45621</v>
      </c>
      <c r="B923" s="47" t="s">
        <v>42</v>
      </c>
      <c r="C923" s="7">
        <v>1</v>
      </c>
      <c r="D923" s="8">
        <v>6.9444444444444441E-3</v>
      </c>
      <c r="E923" s="9">
        <v>6.9444444444444441E-3</v>
      </c>
      <c r="F923" s="10">
        <v>0.37839120370370372</v>
      </c>
      <c r="G923" s="10">
        <v>0.38489583333333333</v>
      </c>
      <c r="H923" s="8">
        <v>6.5046296296296102E-3</v>
      </c>
      <c r="I923" s="11">
        <v>0.38533564814814814</v>
      </c>
      <c r="J923" s="8"/>
      <c r="K923" s="8"/>
      <c r="L923" s="8"/>
      <c r="M923" s="12"/>
      <c r="N923" s="13">
        <v>1.0676156583629925</v>
      </c>
    </row>
    <row r="924" spans="1:14" ht="14.5">
      <c r="A924" s="6">
        <v>45621</v>
      </c>
      <c r="B924" s="47" t="s">
        <v>18</v>
      </c>
      <c r="C924" s="7">
        <v>1</v>
      </c>
      <c r="D924" s="8">
        <v>4.8611111111111112E-2</v>
      </c>
      <c r="E924" s="9">
        <v>4.8611111111111112E-2</v>
      </c>
      <c r="F924" s="10">
        <v>0.38489583333333333</v>
      </c>
      <c r="G924" s="10">
        <v>0.43710648148148157</v>
      </c>
      <c r="H924" s="8">
        <v>4.5335648148148243E-2</v>
      </c>
      <c r="I924" s="11">
        <v>0.44038194444444445</v>
      </c>
      <c r="J924" s="8"/>
      <c r="K924" s="8"/>
      <c r="L924" s="8">
        <v>6.875E-3</v>
      </c>
      <c r="M924" s="12"/>
      <c r="N924" s="13">
        <v>1.0722491702833779</v>
      </c>
    </row>
    <row r="925" spans="1:14" ht="14.5">
      <c r="A925" s="6">
        <v>45621</v>
      </c>
      <c r="B925" s="47" t="s">
        <v>43</v>
      </c>
      <c r="C925" s="7">
        <v>1</v>
      </c>
      <c r="D925" s="8">
        <v>3.4722222222222224E-2</v>
      </c>
      <c r="E925" s="9">
        <v>3.4722222222222224E-2</v>
      </c>
      <c r="F925" s="10">
        <v>0.43710648148148157</v>
      </c>
      <c r="G925" s="10">
        <v>0.46807870370370375</v>
      </c>
      <c r="H925" s="8">
        <v>3.0972222222222179E-2</v>
      </c>
      <c r="I925" s="11">
        <v>0.47182870370370378</v>
      </c>
      <c r="J925" s="8"/>
      <c r="K925" s="8"/>
      <c r="L925" s="8"/>
      <c r="M925" s="12"/>
      <c r="N925" s="13">
        <v>1.1210762331838582</v>
      </c>
    </row>
    <row r="926" spans="1:14" ht="14.5">
      <c r="A926" s="6">
        <v>45621</v>
      </c>
      <c r="B926" s="47" t="s">
        <v>93</v>
      </c>
      <c r="C926" s="7">
        <v>14</v>
      </c>
      <c r="D926" s="8">
        <v>6.9444444444444441E-3</v>
      </c>
      <c r="E926" s="9">
        <v>9.722222222222221E-2</v>
      </c>
      <c r="F926" s="10">
        <v>0.46807870370370375</v>
      </c>
      <c r="G926" s="10">
        <v>0.59548611111111116</v>
      </c>
      <c r="H926" s="8">
        <v>9.3275462962962963E-2</v>
      </c>
      <c r="I926" s="11">
        <v>0.59943287037037041</v>
      </c>
      <c r="J926" s="8"/>
      <c r="K926" s="8"/>
      <c r="L926" s="8">
        <v>3.4131944444444444E-2</v>
      </c>
      <c r="M926" s="12"/>
      <c r="N926" s="13">
        <v>1.0423129420523636</v>
      </c>
    </row>
    <row r="927" spans="1:14" ht="14.5">
      <c r="A927" s="6">
        <v>45621</v>
      </c>
      <c r="B927" s="47" t="s">
        <v>86</v>
      </c>
      <c r="C927" s="7">
        <v>40</v>
      </c>
      <c r="D927" s="8">
        <v>1.3888888888888889E-3</v>
      </c>
      <c r="E927" s="9">
        <v>5.5555555555555559E-2</v>
      </c>
      <c r="F927" s="10">
        <v>0.59548611111111116</v>
      </c>
      <c r="G927" s="10">
        <v>0.67103009259259261</v>
      </c>
      <c r="H927" s="8">
        <v>5.1087962962962932E-2</v>
      </c>
      <c r="I927" s="11">
        <v>0.67549768518518527</v>
      </c>
      <c r="J927" s="8"/>
      <c r="K927" s="8"/>
      <c r="L927" s="8">
        <v>2.4456018518518519E-2</v>
      </c>
      <c r="M927" s="12"/>
      <c r="N927" s="13">
        <v>1.0874490258269152</v>
      </c>
    </row>
    <row r="928" spans="1:14" ht="14.5">
      <c r="A928" s="6">
        <v>45621</v>
      </c>
      <c r="B928" s="47" t="s">
        <v>63</v>
      </c>
      <c r="C928" s="7">
        <v>1</v>
      </c>
      <c r="D928" s="8">
        <v>4.5138888888888888E-2</v>
      </c>
      <c r="E928" s="9">
        <v>4.5138888888888888E-2</v>
      </c>
      <c r="F928" s="10">
        <v>0.67103009259259261</v>
      </c>
      <c r="G928" s="10">
        <v>0.71226851851851858</v>
      </c>
      <c r="H928" s="8">
        <v>4.123842592592597E-2</v>
      </c>
      <c r="I928" s="11">
        <v>0.71616898148148145</v>
      </c>
      <c r="J928" s="8"/>
      <c r="K928" s="8"/>
      <c r="L928" s="8"/>
      <c r="M928" s="12"/>
      <c r="N928" s="13">
        <v>1.0945832163906808</v>
      </c>
    </row>
    <row r="929" spans="1:14" ht="14.5">
      <c r="A929" s="6">
        <v>45621</v>
      </c>
      <c r="B929" s="47" t="s">
        <v>37</v>
      </c>
      <c r="C929" s="7">
        <v>30</v>
      </c>
      <c r="D929" s="8">
        <v>1.3888888888888889E-3</v>
      </c>
      <c r="E929" s="9">
        <v>4.1666666666666671E-2</v>
      </c>
      <c r="F929" s="10">
        <v>0.71226851851851858</v>
      </c>
      <c r="G929" s="10">
        <v>0.75347222222222221</v>
      </c>
      <c r="H929" s="8">
        <v>3.7048611111111039E-2</v>
      </c>
      <c r="I929" s="11">
        <v>0.75809027777777782</v>
      </c>
      <c r="J929" s="8"/>
      <c r="K929" s="8"/>
      <c r="L929" s="8">
        <v>4.1550925925925922E-3</v>
      </c>
      <c r="M929" s="12"/>
      <c r="N929" s="13">
        <v>1.124648547328962</v>
      </c>
    </row>
    <row r="930" spans="1:14" ht="14.5">
      <c r="A930" s="6">
        <v>45622</v>
      </c>
      <c r="B930" s="62" t="s">
        <v>86</v>
      </c>
      <c r="C930" s="34">
        <v>82</v>
      </c>
      <c r="D930" s="35">
        <v>1.3888888888888889E-3</v>
      </c>
      <c r="E930" s="9">
        <v>0.11388888888888889</v>
      </c>
      <c r="F930" s="36">
        <v>0.3732523148148148</v>
      </c>
      <c r="G930" s="36">
        <v>0.47961805555555559</v>
      </c>
      <c r="H930" s="8">
        <v>0.10636574074074079</v>
      </c>
      <c r="I930" s="11">
        <v>0.48714120370370367</v>
      </c>
      <c r="J930" s="8"/>
      <c r="K930" s="8"/>
      <c r="L930" s="8"/>
      <c r="M930" s="12"/>
      <c r="N930" s="13">
        <v>1.0707290533188243</v>
      </c>
    </row>
    <row r="931" spans="1:14" ht="14.5">
      <c r="A931" s="6">
        <v>45622</v>
      </c>
      <c r="B931" s="47" t="s">
        <v>16</v>
      </c>
      <c r="C931" s="7">
        <v>15</v>
      </c>
      <c r="D931" s="8">
        <v>5.5555555555555558E-3</v>
      </c>
      <c r="E931" s="9">
        <v>8.3333333333333343E-2</v>
      </c>
      <c r="F931" s="10">
        <v>0.47961805555555559</v>
      </c>
      <c r="G931" s="10">
        <v>0.66942129629629632</v>
      </c>
      <c r="H931" s="8">
        <v>8.1377314814814805E-2</v>
      </c>
      <c r="I931" s="11">
        <v>0.67137731481481489</v>
      </c>
      <c r="J931" s="8"/>
      <c r="K931" s="8"/>
      <c r="L931" s="8">
        <v>0.10842592592592593</v>
      </c>
      <c r="M931" s="12"/>
      <c r="N931" s="13">
        <v>1.0240364101834734</v>
      </c>
    </row>
    <row r="932" spans="1:14" ht="14.5">
      <c r="A932" s="6">
        <v>45622</v>
      </c>
      <c r="B932" s="47" t="s">
        <v>50</v>
      </c>
      <c r="C932" s="7">
        <v>1</v>
      </c>
      <c r="D932" s="8">
        <v>1.0416666666666666E-2</v>
      </c>
      <c r="E932" s="9">
        <v>1.0416666666666666E-2</v>
      </c>
      <c r="F932" s="10">
        <v>0.66942129629629632</v>
      </c>
      <c r="G932" s="10">
        <v>0.67917824074074074</v>
      </c>
      <c r="H932" s="8">
        <v>9.7569444444444153E-3</v>
      </c>
      <c r="I932" s="11">
        <v>0.67983796296296295</v>
      </c>
      <c r="J932" s="8"/>
      <c r="K932" s="8"/>
      <c r="L932" s="8"/>
      <c r="M932" s="12"/>
      <c r="N932" s="13">
        <v>1.0676156583629925</v>
      </c>
    </row>
    <row r="933" spans="1:14" ht="14.5">
      <c r="A933" s="6">
        <v>45622</v>
      </c>
      <c r="B933" s="47" t="s">
        <v>51</v>
      </c>
      <c r="C933" s="7">
        <v>1</v>
      </c>
      <c r="D933" s="8">
        <v>1.0416666666666666E-2</v>
      </c>
      <c r="E933" s="9">
        <v>1.0416666666666666E-2</v>
      </c>
      <c r="F933" s="10">
        <v>0.67917824074074074</v>
      </c>
      <c r="G933" s="10">
        <v>0.68862268518518521</v>
      </c>
      <c r="H933" s="8">
        <v>9.4444444444444775E-3</v>
      </c>
      <c r="I933" s="11">
        <v>0.68959490740740736</v>
      </c>
      <c r="J933" s="8"/>
      <c r="K933" s="8"/>
      <c r="L933" s="8"/>
      <c r="M933" s="12"/>
      <c r="N933" s="13">
        <v>1.1029411764705843</v>
      </c>
    </row>
    <row r="934" spans="1:14" ht="14.5">
      <c r="A934" s="6">
        <v>45622</v>
      </c>
      <c r="B934" s="47" t="s">
        <v>52</v>
      </c>
      <c r="C934" s="7">
        <v>1</v>
      </c>
      <c r="D934" s="8">
        <v>1.0416666666666666E-2</v>
      </c>
      <c r="E934" s="9">
        <v>1.0416666666666666E-2</v>
      </c>
      <c r="F934" s="10">
        <v>0.68862268518518521</v>
      </c>
      <c r="G934" s="10">
        <v>0.6983449074074074</v>
      </c>
      <c r="H934" s="8">
        <v>9.7222222222221877E-3</v>
      </c>
      <c r="I934" s="11">
        <v>0.69903935185185184</v>
      </c>
      <c r="J934" s="8"/>
      <c r="K934" s="8"/>
      <c r="L934" s="8"/>
      <c r="M934" s="12"/>
      <c r="N934" s="13">
        <v>1.0714285714285752</v>
      </c>
    </row>
    <row r="935" spans="1:14" ht="14.5">
      <c r="A935" s="6">
        <v>45622</v>
      </c>
      <c r="B935" s="47" t="s">
        <v>53</v>
      </c>
      <c r="C935" s="7">
        <v>1</v>
      </c>
      <c r="D935" s="8">
        <v>1.0416666666666666E-2</v>
      </c>
      <c r="E935" s="9">
        <v>1.0416666666666666E-2</v>
      </c>
      <c r="F935" s="10">
        <v>0.6983449074074074</v>
      </c>
      <c r="G935" s="10">
        <v>0.70761574074074074</v>
      </c>
      <c r="H935" s="8">
        <v>9.2708333333333393E-3</v>
      </c>
      <c r="I935" s="11">
        <v>0.70876157407407403</v>
      </c>
      <c r="J935" s="8"/>
      <c r="K935" s="8"/>
      <c r="L935" s="8"/>
      <c r="M935" s="12"/>
      <c r="N935" s="13">
        <v>1.1235955056179767</v>
      </c>
    </row>
    <row r="936" spans="1:14" ht="14.5">
      <c r="A936" s="6">
        <v>45622</v>
      </c>
      <c r="B936" s="47" t="s">
        <v>18</v>
      </c>
      <c r="C936" s="7">
        <v>1</v>
      </c>
      <c r="D936" s="8">
        <v>4.8611111111111112E-2</v>
      </c>
      <c r="E936" s="9">
        <v>4.8611111111111112E-2</v>
      </c>
      <c r="F936" s="10">
        <v>0.70761574074074074</v>
      </c>
      <c r="G936" s="10">
        <v>0.75</v>
      </c>
      <c r="H936" s="8">
        <v>4.238425925925926E-2</v>
      </c>
      <c r="I936" s="11">
        <v>0.7562268518518519</v>
      </c>
      <c r="J936" s="8"/>
      <c r="K936" s="8"/>
      <c r="L936" s="8"/>
      <c r="M936" s="12"/>
      <c r="N936" s="13">
        <v>1.1469142545057345</v>
      </c>
    </row>
    <row r="937" spans="1:14" ht="14.5">
      <c r="A937" s="6">
        <v>45623</v>
      </c>
      <c r="B937" s="47" t="s">
        <v>16</v>
      </c>
      <c r="C937" s="7">
        <v>6</v>
      </c>
      <c r="D937" s="8">
        <v>5.5555555555555558E-3</v>
      </c>
      <c r="E937" s="9">
        <v>3.3333333333333333E-2</v>
      </c>
      <c r="F937" s="10">
        <v>0.38471064814814815</v>
      </c>
      <c r="G937" s="10">
        <v>0.42327546296296303</v>
      </c>
      <c r="H937" s="8">
        <v>3.1145833333333404E-2</v>
      </c>
      <c r="I937" s="11">
        <v>0.42546296296296293</v>
      </c>
      <c r="J937" s="8"/>
      <c r="K937" s="8"/>
      <c r="L937" s="8">
        <v>7.4189814814814813E-3</v>
      </c>
      <c r="M937" s="12"/>
      <c r="N937" s="13">
        <v>1.0702341137123721</v>
      </c>
    </row>
    <row r="938" spans="1:14" ht="14.5">
      <c r="A938" s="6">
        <v>45623</v>
      </c>
      <c r="B938" s="47" t="s">
        <v>85</v>
      </c>
      <c r="C938" s="7">
        <v>1</v>
      </c>
      <c r="D938" s="8">
        <v>0.11458333333333333</v>
      </c>
      <c r="E938" s="9">
        <v>0.11458333333333333</v>
      </c>
      <c r="F938" s="10">
        <v>0.42327546296296303</v>
      </c>
      <c r="G938" s="10">
        <v>0.5381597222222223</v>
      </c>
      <c r="H938" s="8">
        <v>0.10572916666666668</v>
      </c>
      <c r="I938" s="11">
        <v>0.54701388888888902</v>
      </c>
      <c r="J938" s="8"/>
      <c r="K938" s="8"/>
      <c r="L938" s="8">
        <v>9.1550925925925931E-3</v>
      </c>
      <c r="M938" s="12"/>
      <c r="N938" s="13">
        <v>1.0837438423645318</v>
      </c>
    </row>
    <row r="939" spans="1:14" ht="14.5">
      <c r="A939" s="6">
        <v>45623</v>
      </c>
      <c r="B939" s="47" t="s">
        <v>18</v>
      </c>
      <c r="C939" s="7">
        <v>1</v>
      </c>
      <c r="D939" s="8">
        <v>4.8611111111111112E-2</v>
      </c>
      <c r="E939" s="9">
        <v>4.8611111111111112E-2</v>
      </c>
      <c r="F939" s="10">
        <v>0.5381597222222223</v>
      </c>
      <c r="G939" s="8">
        <v>0.58880787037037041</v>
      </c>
      <c r="H939" s="8">
        <v>4.5752314814814773E-2</v>
      </c>
      <c r="I939" s="11">
        <v>0.59166666666666679</v>
      </c>
      <c r="J939" s="8"/>
      <c r="K939" s="8"/>
      <c r="L939" s="8">
        <v>4.8958333333333336E-3</v>
      </c>
      <c r="M939" s="12"/>
      <c r="N939" s="13">
        <v>1.0624841892233756</v>
      </c>
    </row>
    <row r="940" spans="1:14" ht="14.5">
      <c r="A940" s="6">
        <v>45623</v>
      </c>
      <c r="B940" s="47" t="s">
        <v>37</v>
      </c>
      <c r="C940" s="7">
        <v>95</v>
      </c>
      <c r="D940" s="8">
        <v>1.3888888888888889E-3</v>
      </c>
      <c r="E940" s="9">
        <v>0.13194444444444445</v>
      </c>
      <c r="F940" s="10">
        <v>0.58880787037037041</v>
      </c>
      <c r="G940" s="10">
        <v>0.75714648148277774</v>
      </c>
      <c r="H940" s="8">
        <v>0.12618583333462957</v>
      </c>
      <c r="I940" s="11">
        <v>0.76290509259259265</v>
      </c>
      <c r="J940" s="8"/>
      <c r="K940" s="8"/>
      <c r="L940" s="8">
        <v>4.2152777777777775E-2</v>
      </c>
      <c r="M940" s="18" t="s">
        <v>91</v>
      </c>
      <c r="N940" s="13">
        <v>1.0456359557775692</v>
      </c>
    </row>
    <row r="941" spans="1:14" ht="14.5">
      <c r="A941" s="6">
        <v>45624</v>
      </c>
      <c r="B941" s="47" t="s">
        <v>43</v>
      </c>
      <c r="C941" s="7">
        <v>1</v>
      </c>
      <c r="D941" s="8">
        <v>3.4722222222222224E-2</v>
      </c>
      <c r="E941" s="9">
        <v>3.4722222222222224E-2</v>
      </c>
      <c r="F941" s="10">
        <v>0.37804398148148155</v>
      </c>
      <c r="G941" s="10">
        <v>0.41049768518518526</v>
      </c>
      <c r="H941" s="8">
        <v>3.2453703703703707E-2</v>
      </c>
      <c r="I941" s="11">
        <v>0.41276620370370376</v>
      </c>
      <c r="J941" s="8"/>
      <c r="K941" s="8"/>
      <c r="L941" s="8"/>
      <c r="M941" s="12"/>
      <c r="N941" s="13">
        <v>1.0699001426533523</v>
      </c>
    </row>
    <row r="942" spans="1:14" ht="14.5">
      <c r="A942" s="6">
        <v>45624</v>
      </c>
      <c r="B942" s="47" t="s">
        <v>42</v>
      </c>
      <c r="C942" s="7">
        <v>1</v>
      </c>
      <c r="D942" s="8">
        <v>6.9444444444444441E-3</v>
      </c>
      <c r="E942" s="9">
        <v>6.9444444444444441E-3</v>
      </c>
      <c r="F942" s="10">
        <v>0.41049768518518526</v>
      </c>
      <c r="G942" s="10">
        <v>0.41674768518518523</v>
      </c>
      <c r="H942" s="8">
        <v>6.2499999999999778E-3</v>
      </c>
      <c r="I942" s="11">
        <v>0.41744212962962968</v>
      </c>
      <c r="J942" s="8"/>
      <c r="K942" s="8"/>
      <c r="L942" s="8"/>
      <c r="M942" s="12"/>
      <c r="N942" s="13">
        <v>1.1111111111111149</v>
      </c>
    </row>
    <row r="943" spans="1:14" ht="14.5">
      <c r="A943" s="6">
        <v>45624</v>
      </c>
      <c r="B943" s="47" t="s">
        <v>18</v>
      </c>
      <c r="C943" s="7">
        <v>1</v>
      </c>
      <c r="D943" s="8">
        <v>4.8611111111111112E-2</v>
      </c>
      <c r="E943" s="9">
        <v>4.8611111111111112E-2</v>
      </c>
      <c r="F943" s="10">
        <v>0.41674768518518523</v>
      </c>
      <c r="G943" s="10">
        <v>0.48876157407407406</v>
      </c>
      <c r="H943" s="8">
        <v>4.504629629629623E-2</v>
      </c>
      <c r="I943" s="11">
        <v>0.49232638888888891</v>
      </c>
      <c r="J943" s="8"/>
      <c r="K943" s="8"/>
      <c r="L943" s="8">
        <v>2.6967592592592592E-2</v>
      </c>
      <c r="M943" s="12"/>
      <c r="N943" s="13">
        <v>1.0791366906474835</v>
      </c>
    </row>
    <row r="944" spans="1:14" ht="14.5">
      <c r="A944" s="6">
        <v>45624</v>
      </c>
      <c r="B944" s="47" t="s">
        <v>37</v>
      </c>
      <c r="C944" s="7">
        <v>175</v>
      </c>
      <c r="D944" s="8">
        <v>1.3888888888888889E-3</v>
      </c>
      <c r="E944" s="9">
        <v>0.24305555555555555</v>
      </c>
      <c r="F944" s="10">
        <v>0.48876157407407406</v>
      </c>
      <c r="G944" s="10">
        <v>0.75347222222222221</v>
      </c>
      <c r="H944" s="8">
        <v>0.23086805555555556</v>
      </c>
      <c r="I944" s="11">
        <v>0.76565972222222223</v>
      </c>
      <c r="J944" s="8"/>
      <c r="K944" s="8"/>
      <c r="L944" s="8">
        <v>3.3842592592592591E-2</v>
      </c>
      <c r="M944" s="18" t="s">
        <v>91</v>
      </c>
      <c r="N944" s="13">
        <v>1.052789893217025</v>
      </c>
    </row>
    <row r="945" spans="1:14" ht="14.5">
      <c r="A945" s="6">
        <v>45625</v>
      </c>
      <c r="B945" s="47" t="s">
        <v>18</v>
      </c>
      <c r="C945" s="7">
        <v>1</v>
      </c>
      <c r="D945" s="8">
        <v>4.8611111111111112E-2</v>
      </c>
      <c r="E945" s="9">
        <v>4.8611111111111112E-2</v>
      </c>
      <c r="F945" s="10">
        <v>0.37961805555555561</v>
      </c>
      <c r="G945" s="10">
        <v>0.42587962962962966</v>
      </c>
      <c r="H945" s="8">
        <v>4.6261574074074052E-2</v>
      </c>
      <c r="I945" s="11">
        <v>0.42822916666666672</v>
      </c>
      <c r="J945" s="8"/>
      <c r="K945" s="8"/>
      <c r="L945" s="8"/>
      <c r="M945" s="12"/>
      <c r="N945" s="13">
        <v>1.0507880910683018</v>
      </c>
    </row>
    <row r="946" spans="1:14" ht="14.5">
      <c r="A946" s="6">
        <v>45625</v>
      </c>
      <c r="B946" s="47" t="s">
        <v>65</v>
      </c>
      <c r="C946" s="7">
        <v>1</v>
      </c>
      <c r="D946" s="8">
        <v>2.0833333333333332E-2</v>
      </c>
      <c r="E946" s="9">
        <v>2.0833333333333332E-2</v>
      </c>
      <c r="F946" s="10">
        <v>0.42587962962962966</v>
      </c>
      <c r="G946" s="10">
        <v>0.44559027777777782</v>
      </c>
      <c r="H946" s="8">
        <v>1.9710648148148158E-2</v>
      </c>
      <c r="I946" s="11">
        <v>0.44671296296296298</v>
      </c>
      <c r="J946" s="8"/>
      <c r="K946" s="8"/>
      <c r="L946" s="8"/>
      <c r="M946" s="12"/>
      <c r="N946" s="13">
        <v>1.0569583088667052</v>
      </c>
    </row>
    <row r="947" spans="1:14" ht="14.5">
      <c r="A947" s="6">
        <v>45625</v>
      </c>
      <c r="B947" s="47" t="s">
        <v>37</v>
      </c>
      <c r="C947" s="7">
        <v>75</v>
      </c>
      <c r="D947" s="8">
        <v>1.3888888888888889E-3</v>
      </c>
      <c r="E947" s="9">
        <v>0.10416666666666667</v>
      </c>
      <c r="F947" s="10">
        <v>0.44559027777777782</v>
      </c>
      <c r="G947" s="10">
        <v>0.5628819444444445</v>
      </c>
      <c r="H947" s="8">
        <v>9.8900462962962982E-2</v>
      </c>
      <c r="I947" s="11">
        <v>0.56814814814814818</v>
      </c>
      <c r="J947" s="8"/>
      <c r="K947" s="8"/>
      <c r="L947" s="8">
        <v>1.8391203703703705E-2</v>
      </c>
      <c r="M947" s="18" t="s">
        <v>91</v>
      </c>
      <c r="N947" s="13">
        <v>1.0532475131655938</v>
      </c>
    </row>
    <row r="948" spans="1:14" ht="14.5">
      <c r="A948" s="6">
        <v>45625</v>
      </c>
      <c r="B948" s="47" t="s">
        <v>37</v>
      </c>
      <c r="C948" s="7">
        <v>105</v>
      </c>
      <c r="D948" s="8">
        <v>1.3888888888888889E-3</v>
      </c>
      <c r="E948" s="9">
        <v>0.14583333333333334</v>
      </c>
      <c r="F948" s="10">
        <v>0.5628819444444445</v>
      </c>
      <c r="G948" s="10">
        <v>0.75616980323684402</v>
      </c>
      <c r="H948" s="8">
        <v>0.14010498842202915</v>
      </c>
      <c r="I948" s="11">
        <v>0.76189814814814827</v>
      </c>
      <c r="J948" s="8"/>
      <c r="K948" s="8"/>
      <c r="L948" s="8">
        <v>5.3182870370370373E-2</v>
      </c>
      <c r="M948" s="12"/>
      <c r="N948" s="13">
        <v>1.0408860881815933</v>
      </c>
    </row>
    <row r="949" spans="1:14" ht="14.5">
      <c r="A949" s="6">
        <v>45628</v>
      </c>
      <c r="B949" s="47" t="s">
        <v>50</v>
      </c>
      <c r="C949" s="7">
        <v>2</v>
      </c>
      <c r="D949" s="8">
        <f>IFERROR(VLOOKUP($B949,Task!$B$1:$G$61,6,0)," ")</f>
        <v>1.0416666666666666E-2</v>
      </c>
      <c r="E949" s="9">
        <f t="shared" ref="E949:E1036" si="186">IFERROR(D949*C949," ")</f>
        <v>2.0833333333333332E-2</v>
      </c>
      <c r="F949" s="10">
        <v>0.29155092592592591</v>
      </c>
      <c r="G949" s="10">
        <v>0.31184027777777779</v>
      </c>
      <c r="H949" s="8">
        <f t="shared" ref="H949:H1036" si="187">IF(G949="","", IF(L949=" ",IF(OR(F949=0,G949=0)," ",G949-F949),((G949-F949)-L949)))</f>
        <v>2.0289351851851878E-2</v>
      </c>
      <c r="I949" s="11">
        <f t="shared" ref="I949:I1036" si="188">IFERROR(IF(L949=" ",(F949+E949),(F949+E949+L949)),"")</f>
        <v>0.31238425925925922</v>
      </c>
      <c r="J949" s="8"/>
      <c r="K949" s="8"/>
      <c r="L949" s="8"/>
      <c r="M949" s="12"/>
      <c r="N949" s="13">
        <f t="shared" ref="N949:N1036" si="189">IFERROR(E949/H949," ")</f>
        <v>1.0268111808328566</v>
      </c>
    </row>
    <row r="950" spans="1:14" ht="14.5">
      <c r="A950" s="6">
        <v>45628</v>
      </c>
      <c r="B950" s="47" t="s">
        <v>51</v>
      </c>
      <c r="C950" s="7">
        <v>2</v>
      </c>
      <c r="D950" s="8">
        <f>IFERROR(VLOOKUP($B950,Task!$B$1:$G$61,6,0)," ")</f>
        <v>1.0416666666666666E-2</v>
      </c>
      <c r="E950" s="9">
        <f t="shared" si="186"/>
        <v>2.0833333333333332E-2</v>
      </c>
      <c r="F950" s="10">
        <f t="shared" ref="F950:F958" si="190">G949</f>
        <v>0.31184027777777779</v>
      </c>
      <c r="G950" s="8">
        <v>0.33410879629629631</v>
      </c>
      <c r="H950" s="8">
        <f t="shared" si="187"/>
        <v>2.2268518518518521E-2</v>
      </c>
      <c r="I950" s="11">
        <f t="shared" si="188"/>
        <v>0.3326736111111111</v>
      </c>
      <c r="J950" s="8"/>
      <c r="K950" s="8"/>
      <c r="L950" s="8"/>
      <c r="M950" s="12"/>
      <c r="N950" s="13">
        <f t="shared" si="189"/>
        <v>0.93555093555093538</v>
      </c>
    </row>
    <row r="951" spans="1:14" ht="14.5">
      <c r="A951" s="6">
        <v>45628</v>
      </c>
      <c r="B951" s="47" t="s">
        <v>52</v>
      </c>
      <c r="C951" s="7">
        <v>2</v>
      </c>
      <c r="D951" s="8">
        <f>IFERROR(VLOOKUP($B951,Task!$B$1:$G$61,6,0)," ")</f>
        <v>1.0416666666666666E-2</v>
      </c>
      <c r="E951" s="9">
        <f t="shared" si="186"/>
        <v>2.0833333333333332E-2</v>
      </c>
      <c r="F951" s="10">
        <f t="shared" si="190"/>
        <v>0.33410879629629631</v>
      </c>
      <c r="G951" s="8">
        <v>0.35276620370370371</v>
      </c>
      <c r="H951" s="8">
        <f t="shared" si="187"/>
        <v>1.86574074074074E-2</v>
      </c>
      <c r="I951" s="11">
        <f t="shared" si="188"/>
        <v>0.35494212962962962</v>
      </c>
      <c r="J951" s="8"/>
      <c r="K951" s="8"/>
      <c r="L951" s="8"/>
      <c r="M951" s="12"/>
      <c r="N951" s="13">
        <f t="shared" si="189"/>
        <v>1.1166253101736976</v>
      </c>
    </row>
    <row r="952" spans="1:14" ht="14.5">
      <c r="A952" s="6">
        <v>45628</v>
      </c>
      <c r="B952" s="47" t="s">
        <v>53</v>
      </c>
      <c r="C952" s="7">
        <v>2</v>
      </c>
      <c r="D952" s="8">
        <f>IFERROR(VLOOKUP($B952,Task!$B$1:$G$61,6,0)," ")</f>
        <v>1.0416666666666666E-2</v>
      </c>
      <c r="E952" s="9">
        <f t="shared" si="186"/>
        <v>2.0833333333333332E-2</v>
      </c>
      <c r="F952" s="10">
        <f t="shared" si="190"/>
        <v>0.35276620370370371</v>
      </c>
      <c r="G952" s="10">
        <v>0.37105324074074075</v>
      </c>
      <c r="H952" s="8">
        <f t="shared" si="187"/>
        <v>1.8287037037037046E-2</v>
      </c>
      <c r="I952" s="11">
        <f t="shared" si="188"/>
        <v>0.37359953703703702</v>
      </c>
      <c r="J952" s="8"/>
      <c r="K952" s="8"/>
      <c r="L952" s="8"/>
      <c r="M952" s="12"/>
      <c r="N952" s="13">
        <f t="shared" si="189"/>
        <v>1.1392405063291133</v>
      </c>
    </row>
    <row r="953" spans="1:14" ht="14.5">
      <c r="A953" s="6">
        <v>45628</v>
      </c>
      <c r="B953" s="47" t="s">
        <v>42</v>
      </c>
      <c r="C953" s="7">
        <v>1</v>
      </c>
      <c r="D953" s="8">
        <f>IFERROR(VLOOKUP($B953,Task!$B$1:$G$61,6,0)," ")</f>
        <v>6.9444444444444441E-3</v>
      </c>
      <c r="E953" s="9">
        <f t="shared" si="186"/>
        <v>6.9444444444444441E-3</v>
      </c>
      <c r="F953" s="10">
        <f t="shared" si="190"/>
        <v>0.37105324074074075</v>
      </c>
      <c r="G953" s="10">
        <v>0.38420138888888888</v>
      </c>
      <c r="H953" s="8">
        <f t="shared" si="187"/>
        <v>6.273148148148131E-3</v>
      </c>
      <c r="I953" s="11">
        <f t="shared" si="188"/>
        <v>0.38487268518518519</v>
      </c>
      <c r="J953" s="8"/>
      <c r="K953" s="8"/>
      <c r="L953" s="8">
        <v>6.875E-3</v>
      </c>
      <c r="M953" s="12"/>
      <c r="N953" s="13">
        <f t="shared" si="189"/>
        <v>1.1070110701107041</v>
      </c>
    </row>
    <row r="954" spans="1:14" ht="14.5">
      <c r="A954" s="6">
        <v>45628</v>
      </c>
      <c r="B954" s="47" t="s">
        <v>43</v>
      </c>
      <c r="C954" s="7">
        <v>1</v>
      </c>
      <c r="D954" s="8">
        <f>IFERROR(VLOOKUP($B954,Task!$B$1:$G$61,6,0)," ")</f>
        <v>3.4722222222222224E-2</v>
      </c>
      <c r="E954" s="9">
        <f t="shared" si="186"/>
        <v>3.4722222222222224E-2</v>
      </c>
      <c r="F954" s="10">
        <f t="shared" si="190"/>
        <v>0.38420138888888888</v>
      </c>
      <c r="G954" s="10">
        <v>0.41432870370370378</v>
      </c>
      <c r="H954" s="8">
        <f t="shared" si="187"/>
        <v>3.0127314814814898E-2</v>
      </c>
      <c r="I954" s="11">
        <f t="shared" si="188"/>
        <v>0.41892361111111109</v>
      </c>
      <c r="J954" s="8"/>
      <c r="K954" s="8"/>
      <c r="L954" s="8"/>
      <c r="M954" s="12"/>
      <c r="N954" s="13">
        <f t="shared" si="189"/>
        <v>1.1525163273146337</v>
      </c>
    </row>
    <row r="955" spans="1:14" ht="14.5">
      <c r="A955" s="6">
        <v>45628</v>
      </c>
      <c r="B955" s="47" t="s">
        <v>83</v>
      </c>
      <c r="C955" s="7">
        <v>1</v>
      </c>
      <c r="D955" s="8">
        <f>IFERROR(VLOOKUP($B955,Task!$B$1:$G$61,6,0)," ")</f>
        <v>2.0833333333333332E-2</v>
      </c>
      <c r="E955" s="9">
        <f t="shared" si="186"/>
        <v>2.0833333333333332E-2</v>
      </c>
      <c r="F955" s="10">
        <f t="shared" si="190"/>
        <v>0.41432870370370378</v>
      </c>
      <c r="G955" s="10">
        <v>0.45418981481481491</v>
      </c>
      <c r="H955" s="8">
        <f t="shared" si="187"/>
        <v>1.891203703703705E-2</v>
      </c>
      <c r="I955" s="11">
        <f t="shared" si="188"/>
        <v>0.45611111111111119</v>
      </c>
      <c r="J955" s="8"/>
      <c r="K955" s="8"/>
      <c r="L955" s="8">
        <v>2.0949074074074075E-2</v>
      </c>
      <c r="M955" s="12"/>
      <c r="N955" s="13">
        <f t="shared" si="189"/>
        <v>1.1015911872705011</v>
      </c>
    </row>
    <row r="956" spans="1:14" ht="14.5">
      <c r="A956" s="6">
        <v>45628</v>
      </c>
      <c r="B956" s="47" t="s">
        <v>63</v>
      </c>
      <c r="C956" s="7">
        <v>1</v>
      </c>
      <c r="D956" s="8">
        <f>IFERROR(VLOOKUP($B956,Task!$B$1:$G$61,6,0)," ")</f>
        <v>4.5138888888888888E-2</v>
      </c>
      <c r="E956" s="9">
        <f t="shared" si="186"/>
        <v>4.5138888888888888E-2</v>
      </c>
      <c r="F956" s="10">
        <f t="shared" si="190"/>
        <v>0.45418981481481491</v>
      </c>
      <c r="G956" s="10">
        <v>0.49266203703703704</v>
      </c>
      <c r="H956" s="8">
        <f t="shared" si="187"/>
        <v>3.847222222222213E-2</v>
      </c>
      <c r="I956" s="11">
        <f t="shared" si="188"/>
        <v>0.4993287037037038</v>
      </c>
      <c r="J956" s="8"/>
      <c r="K956" s="8"/>
      <c r="L956" s="8"/>
      <c r="M956" s="12"/>
      <c r="N956" s="13">
        <f t="shared" si="189"/>
        <v>1.1732851985559594</v>
      </c>
    </row>
    <row r="957" spans="1:14" ht="14.5">
      <c r="A957" s="6">
        <v>45628</v>
      </c>
      <c r="B957" s="47" t="s">
        <v>18</v>
      </c>
      <c r="C957" s="7">
        <v>2</v>
      </c>
      <c r="D957" s="8">
        <f>IFERROR(VLOOKUP($B957,Task!$B$1:$G$61,6,0)," ")</f>
        <v>4.8611111111111112E-2</v>
      </c>
      <c r="E957" s="9">
        <f t="shared" si="186"/>
        <v>9.7222222222222224E-2</v>
      </c>
      <c r="F957" s="10">
        <f t="shared" si="190"/>
        <v>0.49266203703703704</v>
      </c>
      <c r="G957" s="10">
        <v>0.60481481481481481</v>
      </c>
      <c r="H957" s="8">
        <f t="shared" si="187"/>
        <v>8.4687499999999985E-2</v>
      </c>
      <c r="I957" s="11">
        <f t="shared" si="188"/>
        <v>0.61734953703703699</v>
      </c>
      <c r="J957" s="8"/>
      <c r="K957" s="8"/>
      <c r="L957" s="8">
        <v>2.7465277777777779E-2</v>
      </c>
      <c r="M957" s="12"/>
      <c r="N957" s="13">
        <f t="shared" si="189"/>
        <v>1.1480114801148014</v>
      </c>
    </row>
    <row r="958" spans="1:14" ht="14.5">
      <c r="A958" s="6">
        <v>45628</v>
      </c>
      <c r="B958" s="47" t="s">
        <v>16</v>
      </c>
      <c r="C958" s="7">
        <v>11</v>
      </c>
      <c r="D958" s="8">
        <f>IFERROR(VLOOKUP($B958,Task!$B$1:$G$61,6,0)," ")</f>
        <v>5.5555555555555558E-3</v>
      </c>
      <c r="E958" s="9">
        <f t="shared" si="186"/>
        <v>6.1111111111111116E-2</v>
      </c>
      <c r="F958" s="10">
        <f t="shared" si="190"/>
        <v>0.60481481481481481</v>
      </c>
      <c r="G958" s="10">
        <v>0.67013888888888884</v>
      </c>
      <c r="H958" s="8">
        <f t="shared" si="187"/>
        <v>5.8483796296296256E-2</v>
      </c>
      <c r="I958" s="11">
        <f t="shared" si="188"/>
        <v>0.67276620370370366</v>
      </c>
      <c r="J958" s="8"/>
      <c r="K958" s="8"/>
      <c r="L958" s="8">
        <v>6.8402777777777776E-3</v>
      </c>
      <c r="M958" s="12"/>
      <c r="N958" s="13">
        <f t="shared" si="189"/>
        <v>1.044923807639027</v>
      </c>
    </row>
    <row r="959" spans="1:14" ht="14.5">
      <c r="A959" s="6">
        <v>45629</v>
      </c>
      <c r="B959" s="47" t="s">
        <v>56</v>
      </c>
      <c r="C959" s="7">
        <v>1</v>
      </c>
      <c r="D959" s="8">
        <f>IFERROR(VLOOKUP($B959,Task!$B$1:$G$61,6,0)," ")</f>
        <v>4.1666666666666664E-2</v>
      </c>
      <c r="E959" s="9">
        <f t="shared" si="186"/>
        <v>4.1666666666666664E-2</v>
      </c>
      <c r="F959" s="10">
        <v>0.37715277777777778</v>
      </c>
      <c r="G959" s="10">
        <v>0.4150462962962963</v>
      </c>
      <c r="H959" s="8">
        <f t="shared" si="187"/>
        <v>3.7893518518518521E-2</v>
      </c>
      <c r="I959" s="11">
        <f t="shared" si="188"/>
        <v>0.41881944444444447</v>
      </c>
      <c r="J959" s="8"/>
      <c r="K959" s="8"/>
      <c r="L959" s="8"/>
      <c r="M959" s="12"/>
      <c r="N959" s="13">
        <f t="shared" si="189"/>
        <v>1.099572388515577</v>
      </c>
    </row>
    <row r="960" spans="1:14" ht="14.5">
      <c r="A960" s="6">
        <v>45629</v>
      </c>
      <c r="B960" s="47" t="s">
        <v>57</v>
      </c>
      <c r="C960" s="7">
        <v>7</v>
      </c>
      <c r="D960" s="8">
        <f>IFERROR(VLOOKUP($B960,Task!$B$1:$G$61,6,0)," ")</f>
        <v>2.7777777777777779E-3</v>
      </c>
      <c r="E960" s="9">
        <f t="shared" si="186"/>
        <v>1.9444444444444445E-2</v>
      </c>
      <c r="F960" s="10">
        <f t="shared" ref="F960:F964" si="191">G959</f>
        <v>0.4150462962962963</v>
      </c>
      <c r="G960" s="10">
        <v>0.43218750000000006</v>
      </c>
      <c r="H960" s="8">
        <f t="shared" si="187"/>
        <v>1.7141203703703756E-2</v>
      </c>
      <c r="I960" s="11">
        <f t="shared" si="188"/>
        <v>0.43449074074074073</v>
      </c>
      <c r="J960" s="8"/>
      <c r="K960" s="8"/>
      <c r="L960" s="8"/>
      <c r="M960" s="12"/>
      <c r="N960" s="13">
        <f t="shared" si="189"/>
        <v>1.1343686698176874</v>
      </c>
    </row>
    <row r="961" spans="1:14" ht="14.5">
      <c r="A961" s="6">
        <v>45629</v>
      </c>
      <c r="B961" s="47" t="s">
        <v>44</v>
      </c>
      <c r="C961" s="7">
        <v>5</v>
      </c>
      <c r="D961" s="8">
        <f>IFERROR(VLOOKUP($B961,Task!$B$1:$G$61,6,0)," ")</f>
        <v>3.472222222222222E-3</v>
      </c>
      <c r="E961" s="9">
        <f t="shared" si="186"/>
        <v>1.7361111111111112E-2</v>
      </c>
      <c r="F961" s="10">
        <f t="shared" si="191"/>
        <v>0.43218750000000006</v>
      </c>
      <c r="G961" s="10">
        <v>0.44847222222222227</v>
      </c>
      <c r="H961" s="8">
        <f t="shared" si="187"/>
        <v>1.6284722222222214E-2</v>
      </c>
      <c r="I961" s="11">
        <f t="shared" si="188"/>
        <v>0.44954861111111116</v>
      </c>
      <c r="J961" s="8"/>
      <c r="K961" s="8"/>
      <c r="L961" s="8"/>
      <c r="M961" s="18"/>
      <c r="N961" s="13">
        <f t="shared" si="189"/>
        <v>1.0660980810234548</v>
      </c>
    </row>
    <row r="962" spans="1:14" ht="14.5">
      <c r="A962" s="6">
        <v>45629</v>
      </c>
      <c r="B962" s="47" t="s">
        <v>18</v>
      </c>
      <c r="C962" s="7">
        <v>1</v>
      </c>
      <c r="D962" s="8">
        <f>IFERROR(VLOOKUP($B962,Task!$B$1:$G$61,6,0)," ")</f>
        <v>4.8611111111111112E-2</v>
      </c>
      <c r="E962" s="9">
        <f t="shared" si="186"/>
        <v>4.8611111111111112E-2</v>
      </c>
      <c r="F962" s="10">
        <f t="shared" si="191"/>
        <v>0.44847222222222227</v>
      </c>
      <c r="G962" s="10">
        <v>0.4933333333333334</v>
      </c>
      <c r="H962" s="8">
        <f t="shared" si="187"/>
        <v>4.4861111111111129E-2</v>
      </c>
      <c r="I962" s="11">
        <f t="shared" si="188"/>
        <v>0.49708333333333338</v>
      </c>
      <c r="J962" s="8"/>
      <c r="K962" s="8"/>
      <c r="L962" s="8"/>
      <c r="M962" s="18"/>
      <c r="N962" s="13">
        <f t="shared" si="189"/>
        <v>1.0835913312693495</v>
      </c>
    </row>
    <row r="963" spans="1:14" ht="14.5">
      <c r="A963" s="6">
        <v>45629</v>
      </c>
      <c r="B963" s="47" t="s">
        <v>84</v>
      </c>
      <c r="C963" s="7">
        <v>1</v>
      </c>
      <c r="D963" s="8">
        <f>IFERROR(VLOOKUP($B963,Task!$B$1:$G$61,6,0)," ")</f>
        <v>7.6388888888888895E-2</v>
      </c>
      <c r="E963" s="9">
        <f t="shared" si="186"/>
        <v>7.6388888888888895E-2</v>
      </c>
      <c r="F963" s="10">
        <f t="shared" si="191"/>
        <v>0.4933333333333334</v>
      </c>
      <c r="G963" s="10">
        <v>0.58907407407407408</v>
      </c>
      <c r="H963" s="8">
        <f t="shared" si="187"/>
        <v>6.8888888888888833E-2</v>
      </c>
      <c r="I963" s="11">
        <f t="shared" si="188"/>
        <v>0.59657407407407415</v>
      </c>
      <c r="J963" s="8"/>
      <c r="K963" s="8"/>
      <c r="L963" s="8">
        <v>2.6851851851851852E-2</v>
      </c>
      <c r="M963" s="12"/>
      <c r="N963" s="13">
        <f t="shared" si="189"/>
        <v>1.1088709677419364</v>
      </c>
    </row>
    <row r="964" spans="1:14" ht="14.5">
      <c r="A964" s="6">
        <v>45629</v>
      </c>
      <c r="B964" s="47" t="s">
        <v>16</v>
      </c>
      <c r="C964" s="7">
        <v>24</v>
      </c>
      <c r="D964" s="8">
        <f>IFERROR(VLOOKUP($B964,Task!$B$1:$G$61,6,0)," ")</f>
        <v>5.5555555555555558E-3</v>
      </c>
      <c r="E964" s="9">
        <f t="shared" si="186"/>
        <v>0.13333333333333333</v>
      </c>
      <c r="F964" s="10">
        <f t="shared" si="191"/>
        <v>0.58907407407407408</v>
      </c>
      <c r="G964" s="10">
        <v>0.7583611458321684</v>
      </c>
      <c r="H964" s="8">
        <f t="shared" si="187"/>
        <v>0.11948383101735358</v>
      </c>
      <c r="I964" s="11">
        <f t="shared" si="188"/>
        <v>0.7722106481481481</v>
      </c>
      <c r="J964" s="8"/>
      <c r="K964" s="8"/>
      <c r="L964" s="8">
        <v>4.9803240740740738E-2</v>
      </c>
      <c r="M964" s="12"/>
      <c r="N964" s="13">
        <f t="shared" si="189"/>
        <v>1.1159111002556346</v>
      </c>
    </row>
    <row r="965" spans="1:14" ht="14.5">
      <c r="A965" s="6">
        <v>45630</v>
      </c>
      <c r="B965" s="47" t="s">
        <v>18</v>
      </c>
      <c r="C965" s="7">
        <v>1</v>
      </c>
      <c r="D965" s="8">
        <f>IFERROR(VLOOKUP($B965,Task!$B$1:$G$61,6,0)," ")</f>
        <v>4.8611111111111112E-2</v>
      </c>
      <c r="E965" s="9">
        <f t="shared" si="186"/>
        <v>4.8611111111111112E-2</v>
      </c>
      <c r="F965" s="10">
        <v>0.37278935185185191</v>
      </c>
      <c r="G965" s="10">
        <v>0.41739583333333341</v>
      </c>
      <c r="H965" s="8">
        <f t="shared" si="187"/>
        <v>4.4606481481481497E-2</v>
      </c>
      <c r="I965" s="11">
        <f t="shared" si="188"/>
        <v>0.42140046296296302</v>
      </c>
      <c r="J965" s="8"/>
      <c r="K965" s="8"/>
      <c r="L965" s="8"/>
      <c r="M965" s="12"/>
      <c r="N965" s="13">
        <f t="shared" si="189"/>
        <v>1.0897768552153604</v>
      </c>
    </row>
    <row r="966" spans="1:14" ht="14.5">
      <c r="A966" s="6">
        <v>45630</v>
      </c>
      <c r="B966" s="47" t="s">
        <v>85</v>
      </c>
      <c r="C966" s="7">
        <v>1</v>
      </c>
      <c r="D966" s="8">
        <f>IFERROR(VLOOKUP($B966,Task!$B$1:$G$61,6,0)," ")</f>
        <v>0.11458333333333333</v>
      </c>
      <c r="E966" s="9">
        <f t="shared" si="186"/>
        <v>0.11458333333333333</v>
      </c>
      <c r="F966" s="10">
        <f t="shared" ref="F966:F967" si="192">G965</f>
        <v>0.41739583333333341</v>
      </c>
      <c r="G966" s="10">
        <v>0.57859953703703704</v>
      </c>
      <c r="H966" s="8">
        <f t="shared" si="187"/>
        <v>0.10408564814814808</v>
      </c>
      <c r="I966" s="11">
        <f t="shared" si="188"/>
        <v>0.58909722222222238</v>
      </c>
      <c r="J966" s="8"/>
      <c r="K966" s="8"/>
      <c r="L966" s="8">
        <v>5.7118055555555554E-2</v>
      </c>
      <c r="M966" s="18"/>
      <c r="N966" s="13">
        <f t="shared" si="189"/>
        <v>1.1008562215056161</v>
      </c>
    </row>
    <row r="967" spans="1:14" ht="14.5">
      <c r="A967" s="6">
        <v>45630</v>
      </c>
      <c r="B967" s="47" t="s">
        <v>16</v>
      </c>
      <c r="C967" s="7">
        <v>27</v>
      </c>
      <c r="D967" s="8">
        <f>IFERROR(VLOOKUP($B967,Task!$B$1:$G$61,6,0)," ")</f>
        <v>5.5555555555555558E-3</v>
      </c>
      <c r="E967" s="9">
        <f t="shared" si="186"/>
        <v>0.15</v>
      </c>
      <c r="F967" s="10">
        <f t="shared" si="192"/>
        <v>0.57859953703703704</v>
      </c>
      <c r="G967" s="10">
        <v>0.75</v>
      </c>
      <c r="H967" s="8">
        <f t="shared" si="187"/>
        <v>0.13631944444444444</v>
      </c>
      <c r="I967" s="11">
        <f t="shared" si="188"/>
        <v>0.76368055555555558</v>
      </c>
      <c r="J967" s="8"/>
      <c r="K967" s="8"/>
      <c r="L967" s="8">
        <v>3.5081018518518518E-2</v>
      </c>
      <c r="M967" s="18"/>
      <c r="N967" s="13">
        <f t="shared" si="189"/>
        <v>1.1003565970453388</v>
      </c>
    </row>
    <row r="968" spans="1:14" ht="14.5">
      <c r="A968" s="6">
        <v>45631</v>
      </c>
      <c r="B968" s="47" t="s">
        <v>43</v>
      </c>
      <c r="C968" s="7">
        <v>1</v>
      </c>
      <c r="D968" s="8">
        <f>IFERROR(VLOOKUP($B968,Task!$B$1:$G$61,6,0)," ")</f>
        <v>3.4722222222222224E-2</v>
      </c>
      <c r="E968" s="9">
        <f t="shared" si="186"/>
        <v>3.4722222222222224E-2</v>
      </c>
      <c r="F968" s="10">
        <v>0.32045138888888891</v>
      </c>
      <c r="G968" s="10">
        <v>0.35048611111111116</v>
      </c>
      <c r="H968" s="8">
        <f t="shared" si="187"/>
        <v>3.0034722222222254E-2</v>
      </c>
      <c r="I968" s="11">
        <f t="shared" si="188"/>
        <v>0.35517361111111112</v>
      </c>
      <c r="J968" s="8"/>
      <c r="K968" s="8"/>
      <c r="L968" s="8"/>
      <c r="M968" s="12"/>
      <c r="N968" s="13">
        <f t="shared" si="189"/>
        <v>1.1560693641618485</v>
      </c>
    </row>
    <row r="969" spans="1:14" ht="14.5">
      <c r="A969" s="6">
        <v>45631</v>
      </c>
      <c r="B969" s="47" t="s">
        <v>42</v>
      </c>
      <c r="C969" s="7">
        <v>1</v>
      </c>
      <c r="D969" s="8">
        <f>IFERROR(VLOOKUP($B969,Task!$B$1:$G$61,6,0)," ")</f>
        <v>6.9444444444444441E-3</v>
      </c>
      <c r="E969" s="9">
        <f t="shared" si="186"/>
        <v>6.9444444444444441E-3</v>
      </c>
      <c r="F969" s="10">
        <f t="shared" ref="F969:F972" si="193">G968</f>
        <v>0.35048611111111116</v>
      </c>
      <c r="G969" s="10">
        <v>0.35679398148148156</v>
      </c>
      <c r="H969" s="8">
        <f t="shared" si="187"/>
        <v>6.3078703703703942E-3</v>
      </c>
      <c r="I969" s="11">
        <f t="shared" si="188"/>
        <v>0.35743055555555558</v>
      </c>
      <c r="J969" s="8"/>
      <c r="K969" s="8"/>
      <c r="L969" s="8"/>
      <c r="M969" s="12"/>
      <c r="N969" s="13">
        <f t="shared" si="189"/>
        <v>1.1009174311926564</v>
      </c>
    </row>
    <row r="970" spans="1:14" ht="14.5">
      <c r="A970" s="6">
        <v>45631</v>
      </c>
      <c r="B970" s="47" t="s">
        <v>16</v>
      </c>
      <c r="C970" s="7">
        <v>16</v>
      </c>
      <c r="D970" s="8">
        <f>IFERROR(VLOOKUP($B970,Task!$B$1:$G$61,6,0)," ")</f>
        <v>5.5555555555555558E-3</v>
      </c>
      <c r="E970" s="9">
        <f t="shared" si="186"/>
        <v>8.8888888888888892E-2</v>
      </c>
      <c r="F970" s="10">
        <f t="shared" si="193"/>
        <v>0.35679398148148156</v>
      </c>
      <c r="G970" s="10">
        <v>0.43675278934824746</v>
      </c>
      <c r="H970" s="8">
        <f t="shared" si="187"/>
        <v>7.9958807866765902E-2</v>
      </c>
      <c r="I970" s="11">
        <f t="shared" si="188"/>
        <v>0.44568287037037047</v>
      </c>
      <c r="J970" s="8"/>
      <c r="K970" s="8"/>
      <c r="L970" s="8"/>
      <c r="M970" s="12"/>
      <c r="N970" s="13">
        <f t="shared" si="189"/>
        <v>1.1116835188063714</v>
      </c>
    </row>
    <row r="971" spans="1:14" ht="14.5">
      <c r="A971" s="6">
        <v>45631</v>
      </c>
      <c r="B971" s="47" t="s">
        <v>18</v>
      </c>
      <c r="C971" s="7">
        <v>1</v>
      </c>
      <c r="D971" s="8">
        <f>IFERROR(VLOOKUP($B971,Task!$B$1:$G$61,6,0)," ")</f>
        <v>4.8611111111111112E-2</v>
      </c>
      <c r="E971" s="9">
        <f t="shared" si="186"/>
        <v>4.8611111111111112E-2</v>
      </c>
      <c r="F971" s="10">
        <f t="shared" si="193"/>
        <v>0.43675278934824746</v>
      </c>
      <c r="G971" s="10">
        <v>0.48197916666666674</v>
      </c>
      <c r="H971" s="8">
        <f t="shared" si="187"/>
        <v>4.5226377318419275E-2</v>
      </c>
      <c r="I971" s="11">
        <f t="shared" si="188"/>
        <v>0.48536390045935857</v>
      </c>
      <c r="J971" s="8"/>
      <c r="K971" s="8"/>
      <c r="L971" s="8"/>
      <c r="M971" s="12"/>
      <c r="N971" s="13">
        <f t="shared" si="189"/>
        <v>1.0748398167923421</v>
      </c>
    </row>
    <row r="972" spans="1:14" ht="14.5">
      <c r="A972" s="6">
        <v>45631</v>
      </c>
      <c r="B972" s="47" t="s">
        <v>16</v>
      </c>
      <c r="C972" s="7">
        <v>32</v>
      </c>
      <c r="D972" s="8">
        <f>IFERROR(VLOOKUP($B972,Task!$B$1:$G$61,6,0)," ")</f>
        <v>5.5555555555555558E-3</v>
      </c>
      <c r="E972" s="9">
        <f t="shared" si="186"/>
        <v>0.17777777777777778</v>
      </c>
      <c r="F972" s="10">
        <f t="shared" si="193"/>
        <v>0.48197916666666674</v>
      </c>
      <c r="G972" s="10">
        <v>0.70910067130171228</v>
      </c>
      <c r="H972" s="8">
        <f t="shared" si="187"/>
        <v>0.16167011574615664</v>
      </c>
      <c r="I972" s="11">
        <f t="shared" si="188"/>
        <v>0.72520833333333345</v>
      </c>
      <c r="J972" s="8"/>
      <c r="K972" s="8"/>
      <c r="L972" s="8">
        <v>6.5451388888888892E-2</v>
      </c>
      <c r="M972" s="12"/>
      <c r="N972" s="13">
        <f t="shared" si="189"/>
        <v>1.0996328972567342</v>
      </c>
    </row>
    <row r="973" spans="1:14" ht="14.5">
      <c r="A973" s="6">
        <v>45632</v>
      </c>
      <c r="B973" s="47" t="s">
        <v>18</v>
      </c>
      <c r="C973" s="7">
        <v>1</v>
      </c>
      <c r="D973" s="8">
        <f>IFERROR(VLOOKUP($B973,Task!$B$1:$G$61,6,0)," ")</f>
        <v>4.8611111111111112E-2</v>
      </c>
      <c r="E973" s="9">
        <f t="shared" si="186"/>
        <v>4.8611111111111112E-2</v>
      </c>
      <c r="F973" s="10">
        <v>0.33285879629629633</v>
      </c>
      <c r="G973" s="10">
        <v>0.40250000000000008</v>
      </c>
      <c r="H973" s="8">
        <f t="shared" si="187"/>
        <v>4.5833333333333379E-2</v>
      </c>
      <c r="I973" s="11">
        <f t="shared" si="188"/>
        <v>0.40527777777777779</v>
      </c>
      <c r="J973" s="8"/>
      <c r="K973" s="8"/>
      <c r="L973" s="8">
        <v>2.3807870370370372E-2</v>
      </c>
      <c r="M973" s="12"/>
      <c r="N973" s="13">
        <f t="shared" si="189"/>
        <v>1.0606060606060597</v>
      </c>
    </row>
    <row r="974" spans="1:14" ht="14.5">
      <c r="A974" s="6">
        <v>45632</v>
      </c>
      <c r="B974" s="47" t="s">
        <v>16</v>
      </c>
      <c r="C974" s="7">
        <v>35</v>
      </c>
      <c r="D974" s="8">
        <f>IFERROR(VLOOKUP($B974,Task!$B$1:$G$61,6,0)," ")</f>
        <v>5.5555555555555558E-3</v>
      </c>
      <c r="E974" s="9">
        <f t="shared" si="186"/>
        <v>0.19444444444444445</v>
      </c>
      <c r="F974" s="10">
        <f>G973</f>
        <v>0.40250000000000008</v>
      </c>
      <c r="G974" s="10">
        <v>0.71044362268003169</v>
      </c>
      <c r="H974" s="8">
        <f t="shared" si="187"/>
        <v>0.17730704860595764</v>
      </c>
      <c r="I974" s="11">
        <f t="shared" si="188"/>
        <v>0.72758101851851853</v>
      </c>
      <c r="J974" s="8"/>
      <c r="K974" s="8">
        <v>4.8425925925925928E-2</v>
      </c>
      <c r="L974" s="8">
        <f>K974+H975+H976</f>
        <v>0.13063657407407397</v>
      </c>
      <c r="M974" s="12"/>
      <c r="N974" s="13">
        <f t="shared" si="189"/>
        <v>1.0966537764472775</v>
      </c>
    </row>
    <row r="975" spans="1:14" ht="14.5">
      <c r="A975" s="6">
        <v>45632</v>
      </c>
      <c r="B975" s="47" t="s">
        <v>86</v>
      </c>
      <c r="C975" s="7">
        <v>51</v>
      </c>
      <c r="D975" s="8">
        <v>1.3888888888888889E-3</v>
      </c>
      <c r="E975" s="9">
        <f t="shared" si="186"/>
        <v>7.0833333333333331E-2</v>
      </c>
      <c r="F975" s="10">
        <v>0.466863425925926</v>
      </c>
      <c r="G975" s="10">
        <v>0.53667824074074078</v>
      </c>
      <c r="H975" s="8">
        <f t="shared" si="187"/>
        <v>6.3391203703703658E-2</v>
      </c>
      <c r="I975" s="11">
        <f t="shared" si="188"/>
        <v>0.54412037037037042</v>
      </c>
      <c r="J975" s="8"/>
      <c r="K975" s="8"/>
      <c r="L975" s="8">
        <v>6.4236111111111108E-3</v>
      </c>
      <c r="M975" s="12"/>
      <c r="N975" s="13">
        <f t="shared" si="189"/>
        <v>1.1174000365163419</v>
      </c>
    </row>
    <row r="976" spans="1:14" ht="14.5">
      <c r="A976" s="6">
        <v>45632</v>
      </c>
      <c r="B976" s="47" t="s">
        <v>65</v>
      </c>
      <c r="C976" s="7">
        <v>1</v>
      </c>
      <c r="D976" s="8">
        <f>IFERROR(VLOOKUP($B976,Task!$B$1:$G$61,6,0)," ")</f>
        <v>2.0833333333333332E-2</v>
      </c>
      <c r="E976" s="9">
        <f t="shared" si="186"/>
        <v>2.0833333333333332E-2</v>
      </c>
      <c r="F976" s="10">
        <v>0.54903935185185193</v>
      </c>
      <c r="G976" s="10">
        <v>0.56785879629629632</v>
      </c>
      <c r="H976" s="8">
        <f t="shared" si="187"/>
        <v>1.8819444444444389E-2</v>
      </c>
      <c r="I976" s="11">
        <f t="shared" si="188"/>
        <v>0.5698726851851853</v>
      </c>
      <c r="J976" s="8"/>
      <c r="K976" s="8"/>
      <c r="L976" s="8"/>
      <c r="M976" s="12"/>
      <c r="N976" s="13">
        <f t="shared" si="189"/>
        <v>1.1070110701107043</v>
      </c>
    </row>
    <row r="977" spans="1:14" ht="14.5">
      <c r="A977" s="6">
        <v>45635</v>
      </c>
      <c r="B977" s="47" t="s">
        <v>43</v>
      </c>
      <c r="C977" s="7">
        <v>1</v>
      </c>
      <c r="D977" s="8">
        <f>IFERROR(VLOOKUP($B977,Task!$B$1:$G$61,6,0)," ")</f>
        <v>3.4722222222222224E-2</v>
      </c>
      <c r="E977" s="9">
        <f t="shared" si="186"/>
        <v>3.4722222222222224E-2</v>
      </c>
      <c r="F977" s="10">
        <v>0.36884259259259267</v>
      </c>
      <c r="G977" s="10">
        <v>0.39947916666666672</v>
      </c>
      <c r="H977" s="8">
        <f t="shared" si="187"/>
        <v>3.0636574074074052E-2</v>
      </c>
      <c r="I977" s="11">
        <f t="shared" si="188"/>
        <v>0.40356481481481488</v>
      </c>
      <c r="J977" s="8"/>
      <c r="K977" s="8"/>
      <c r="L977" s="8"/>
      <c r="M977" s="12"/>
      <c r="N977" s="13">
        <f t="shared" si="189"/>
        <v>1.1333585190782025</v>
      </c>
    </row>
    <row r="978" spans="1:14" ht="14.5">
      <c r="A978" s="6">
        <v>45635</v>
      </c>
      <c r="B978" s="47" t="s">
        <v>42</v>
      </c>
      <c r="C978" s="7">
        <v>1</v>
      </c>
      <c r="D978" s="8">
        <f>IFERROR(VLOOKUP($B978,Task!$B$1:$G$61,6,0)," ")</f>
        <v>6.9444444444444441E-3</v>
      </c>
      <c r="E978" s="9">
        <f t="shared" si="186"/>
        <v>6.9444444444444441E-3</v>
      </c>
      <c r="F978" s="10">
        <f t="shared" ref="F978:F981" si="194">G977</f>
        <v>0.39947916666666672</v>
      </c>
      <c r="G978" s="10">
        <v>0.40584490740740742</v>
      </c>
      <c r="H978" s="8">
        <f t="shared" si="187"/>
        <v>6.3657407407406996E-3</v>
      </c>
      <c r="I978" s="11">
        <f t="shared" si="188"/>
        <v>0.40642361111111114</v>
      </c>
      <c r="J978" s="8"/>
      <c r="K978" s="8"/>
      <c r="L978" s="8"/>
      <c r="M978" s="12"/>
      <c r="N978" s="13">
        <f t="shared" si="189"/>
        <v>1.0909090909090979</v>
      </c>
    </row>
    <row r="979" spans="1:14" ht="14.5">
      <c r="A979" s="6">
        <v>45635</v>
      </c>
      <c r="B979" s="47" t="s">
        <v>63</v>
      </c>
      <c r="C979" s="7">
        <v>1</v>
      </c>
      <c r="D979" s="8">
        <f>IFERROR(VLOOKUP($B979,Task!$B$1:$G$61,6,0)," ")</f>
        <v>4.5138888888888888E-2</v>
      </c>
      <c r="E979" s="9">
        <f t="shared" si="186"/>
        <v>4.5138888888888888E-2</v>
      </c>
      <c r="F979" s="10">
        <f t="shared" si="194"/>
        <v>0.40584490740740742</v>
      </c>
      <c r="G979" s="10">
        <v>0.47645833333333332</v>
      </c>
      <c r="H979" s="8">
        <f t="shared" si="187"/>
        <v>4.4432870370370345E-2</v>
      </c>
      <c r="I979" s="11">
        <f t="shared" si="188"/>
        <v>0.47716435185185185</v>
      </c>
      <c r="J979" s="8"/>
      <c r="K979" s="8"/>
      <c r="L979" s="8">
        <v>2.6180555555555554E-2</v>
      </c>
      <c r="M979" s="12"/>
      <c r="N979" s="13">
        <f t="shared" si="189"/>
        <v>1.0158895545715037</v>
      </c>
    </row>
    <row r="980" spans="1:14" ht="14.5">
      <c r="A980" s="6">
        <v>45635</v>
      </c>
      <c r="B980" s="47" t="s">
        <v>30</v>
      </c>
      <c r="C980" s="7">
        <v>4</v>
      </c>
      <c r="D980" s="8">
        <f>IFERROR(VLOOKUP($B980,Task!$B$1:$G$61,6,0)," ")</f>
        <v>4.8611111111111112E-2</v>
      </c>
      <c r="E980" s="9">
        <f t="shared" si="186"/>
        <v>0.19444444444444445</v>
      </c>
      <c r="F980" s="10">
        <f t="shared" si="194"/>
        <v>0.47645833333333332</v>
      </c>
      <c r="G980" s="10">
        <v>0.7313425925925926</v>
      </c>
      <c r="H980" s="8">
        <f t="shared" si="187"/>
        <v>0.19697916666666671</v>
      </c>
      <c r="I980" s="11">
        <f t="shared" si="188"/>
        <v>0.72880787037037031</v>
      </c>
      <c r="J980" s="8"/>
      <c r="K980" s="8"/>
      <c r="L980" s="8">
        <v>5.7905092592592591E-2</v>
      </c>
      <c r="M980" s="12"/>
      <c r="N980" s="13">
        <f t="shared" si="189"/>
        <v>0.98713202890886642</v>
      </c>
    </row>
    <row r="981" spans="1:14" ht="14.5">
      <c r="A981" s="6">
        <v>45635</v>
      </c>
      <c r="B981" s="47" t="s">
        <v>16</v>
      </c>
      <c r="C981" s="7">
        <v>4</v>
      </c>
      <c r="D981" s="8">
        <f>IFERROR(VLOOKUP($B981,Task!$B$1:$G$61,6,0)," ")</f>
        <v>5.5555555555555558E-3</v>
      </c>
      <c r="E981" s="9">
        <f t="shared" si="186"/>
        <v>2.2222222222222223E-2</v>
      </c>
      <c r="F981" s="10">
        <f t="shared" si="194"/>
        <v>0.7313425925925926</v>
      </c>
      <c r="G981" s="10">
        <v>0.75138888888888888</v>
      </c>
      <c r="H981" s="8">
        <f t="shared" si="187"/>
        <v>2.0046296296296284E-2</v>
      </c>
      <c r="I981" s="11">
        <f t="shared" si="188"/>
        <v>0.75356481481481485</v>
      </c>
      <c r="J981" s="8"/>
      <c r="K981" s="8"/>
      <c r="L981" s="8"/>
      <c r="M981" s="12"/>
      <c r="N981" s="13">
        <f t="shared" si="189"/>
        <v>1.1085450346420331</v>
      </c>
    </row>
    <row r="982" spans="1:14" ht="14.5">
      <c r="A982" s="6">
        <v>45636</v>
      </c>
      <c r="B982" s="47" t="s">
        <v>16</v>
      </c>
      <c r="C982" s="7">
        <v>13</v>
      </c>
      <c r="D982" s="8">
        <f>IFERROR(VLOOKUP($B982,Task!$B$1:$G$61,6,0)," ")</f>
        <v>5.5555555555555558E-3</v>
      </c>
      <c r="E982" s="9">
        <f t="shared" si="186"/>
        <v>7.2222222222222229E-2</v>
      </c>
      <c r="F982" s="10">
        <v>0.37863425925925931</v>
      </c>
      <c r="G982" s="10">
        <v>0.48305555555555557</v>
      </c>
      <c r="H982" s="8">
        <f t="shared" si="187"/>
        <v>6.347222222222218E-2</v>
      </c>
      <c r="I982" s="11">
        <f t="shared" si="188"/>
        <v>0.49180555555555561</v>
      </c>
      <c r="J982" s="8"/>
      <c r="K982" s="8"/>
      <c r="L982" s="8">
        <v>4.0949074074074075E-2</v>
      </c>
      <c r="M982" s="18"/>
      <c r="N982" s="13">
        <f t="shared" si="189"/>
        <v>1.1378555798687098</v>
      </c>
    </row>
    <row r="983" spans="1:14" ht="14.5">
      <c r="A983" s="6">
        <v>45636</v>
      </c>
      <c r="B983" s="47" t="s">
        <v>86</v>
      </c>
      <c r="C983" s="7">
        <v>105</v>
      </c>
      <c r="D983" s="8">
        <v>1.3888888888888889E-3</v>
      </c>
      <c r="E983" s="9">
        <f t="shared" si="186"/>
        <v>0.14583333333333334</v>
      </c>
      <c r="F983" s="10">
        <f t="shared" ref="F983:F984" si="195">G982</f>
        <v>0.48305555555555557</v>
      </c>
      <c r="G983" s="10">
        <v>0.68093750000000008</v>
      </c>
      <c r="H983" s="8">
        <f t="shared" si="187"/>
        <v>0.13226851851851859</v>
      </c>
      <c r="I983" s="11">
        <f t="shared" si="188"/>
        <v>0.69450231481481484</v>
      </c>
      <c r="J983" s="8"/>
      <c r="K983" s="8"/>
      <c r="L983" s="8">
        <v>6.5613425925925922E-2</v>
      </c>
      <c r="M983" s="12"/>
      <c r="N983" s="13">
        <f t="shared" si="189"/>
        <v>1.1025551277563872</v>
      </c>
    </row>
    <row r="984" spans="1:14" ht="14.5">
      <c r="A984" s="6">
        <v>45636</v>
      </c>
      <c r="B984" s="47" t="s">
        <v>16</v>
      </c>
      <c r="C984" s="7">
        <v>15</v>
      </c>
      <c r="D984" s="8">
        <f>IFERROR(VLOOKUP($B984,Task!$B$1:$G$61,6,0)," ")</f>
        <v>5.5555555555555558E-3</v>
      </c>
      <c r="E984" s="9">
        <f t="shared" si="186"/>
        <v>8.3333333333333343E-2</v>
      </c>
      <c r="F984" s="10">
        <f t="shared" si="195"/>
        <v>0.68093750000000008</v>
      </c>
      <c r="G984" s="10">
        <v>0.75675368055817671</v>
      </c>
      <c r="H984" s="8">
        <f t="shared" si="187"/>
        <v>7.5816180558176627E-2</v>
      </c>
      <c r="I984" s="11">
        <f t="shared" si="188"/>
        <v>0.76427083333333345</v>
      </c>
      <c r="J984" s="8"/>
      <c r="K984" s="8"/>
      <c r="L984" s="8"/>
      <c r="M984" s="12"/>
      <c r="N984" s="13">
        <f t="shared" si="189"/>
        <v>1.0991497160607888</v>
      </c>
    </row>
    <row r="985" spans="1:14" ht="14.5">
      <c r="A985" s="6">
        <v>45637</v>
      </c>
      <c r="B985" s="47" t="s">
        <v>18</v>
      </c>
      <c r="C985" s="7">
        <v>1</v>
      </c>
      <c r="D985" s="8">
        <f>IFERROR(VLOOKUP($B985,Task!$B$1:$G$61,6,0)," ")</f>
        <v>4.8611111111111112E-2</v>
      </c>
      <c r="E985" s="9">
        <f t="shared" si="186"/>
        <v>4.8611111111111112E-2</v>
      </c>
      <c r="F985" s="10">
        <v>0.37597222222222226</v>
      </c>
      <c r="G985" s="10">
        <v>0.42236111111111119</v>
      </c>
      <c r="H985" s="8">
        <f t="shared" si="187"/>
        <v>4.4525462962962996E-2</v>
      </c>
      <c r="I985" s="11">
        <f t="shared" si="188"/>
        <v>0.42644675925925929</v>
      </c>
      <c r="J985" s="8"/>
      <c r="K985" s="8"/>
      <c r="L985" s="8">
        <v>1.8634259259259259E-3</v>
      </c>
      <c r="M985" s="12"/>
      <c r="N985" s="13">
        <f t="shared" si="189"/>
        <v>1.0917598128411741</v>
      </c>
    </row>
    <row r="986" spans="1:14" ht="14.5">
      <c r="A986" s="6">
        <v>45637</v>
      </c>
      <c r="B986" s="47" t="s">
        <v>46</v>
      </c>
      <c r="C986" s="7">
        <v>39</v>
      </c>
      <c r="D986" s="8">
        <f>IFERROR(VLOOKUP($B986,Task!$B$1:$G$61,6,0)," ")</f>
        <v>3.472222222222222E-3</v>
      </c>
      <c r="E986" s="9">
        <f t="shared" si="186"/>
        <v>0.13541666666666666</v>
      </c>
      <c r="F986" s="10">
        <f t="shared" ref="F986:F987" si="196">G985</f>
        <v>0.42236111111111119</v>
      </c>
      <c r="G986" s="10">
        <v>0.58695601851851853</v>
      </c>
      <c r="H986" s="8">
        <f t="shared" si="187"/>
        <v>0.12575231481481475</v>
      </c>
      <c r="I986" s="11">
        <f t="shared" si="188"/>
        <v>0.59662037037037041</v>
      </c>
      <c r="J986" s="8"/>
      <c r="K986" s="8"/>
      <c r="L986" s="8">
        <v>3.8842592592592595E-2</v>
      </c>
      <c r="M986" s="12"/>
      <c r="N986" s="13">
        <f t="shared" si="189"/>
        <v>1.0768522779567424</v>
      </c>
    </row>
    <row r="987" spans="1:14" ht="14.5">
      <c r="A987" s="6">
        <v>45637</v>
      </c>
      <c r="B987" s="47" t="s">
        <v>86</v>
      </c>
      <c r="C987" s="7">
        <v>43</v>
      </c>
      <c r="D987" s="8">
        <f>IFERROR(VLOOKUP($B987,Task!$B$1:$G$61,6,0)," ")</f>
        <v>3.472222222222222E-3</v>
      </c>
      <c r="E987" s="9">
        <f t="shared" si="186"/>
        <v>0.14930555555555555</v>
      </c>
      <c r="F987" s="10">
        <f t="shared" si="196"/>
        <v>0.58695601851851853</v>
      </c>
      <c r="G987" s="10">
        <v>0.75696759259259261</v>
      </c>
      <c r="H987" s="8">
        <f t="shared" si="187"/>
        <v>0.1375925925925926</v>
      </c>
      <c r="I987" s="11">
        <f t="shared" si="188"/>
        <v>0.76868055555555559</v>
      </c>
      <c r="J987" s="8"/>
      <c r="K987" s="8"/>
      <c r="L987" s="8">
        <v>3.2418981481481479E-2</v>
      </c>
      <c r="M987" s="12"/>
      <c r="N987" s="13">
        <f t="shared" si="189"/>
        <v>1.0851278600269179</v>
      </c>
    </row>
    <row r="988" spans="1:14" ht="14.5">
      <c r="A988" s="6">
        <v>45638</v>
      </c>
      <c r="B988" s="47" t="s">
        <v>43</v>
      </c>
      <c r="C988" s="7">
        <v>1</v>
      </c>
      <c r="D988" s="8">
        <f>IFERROR(VLOOKUP($B988,Task!$B$1:$G$61,6,0)," ")</f>
        <v>3.4722222222222224E-2</v>
      </c>
      <c r="E988" s="9">
        <f t="shared" si="186"/>
        <v>3.4722222222222224E-2</v>
      </c>
      <c r="F988" s="10">
        <v>0.37888888888888894</v>
      </c>
      <c r="G988" s="10">
        <v>0.41144675925925933</v>
      </c>
      <c r="H988" s="8">
        <f t="shared" si="187"/>
        <v>3.0520833333333351E-2</v>
      </c>
      <c r="I988" s="11">
        <f t="shared" si="188"/>
        <v>0.41564814814814821</v>
      </c>
      <c r="J988" s="8"/>
      <c r="K988" s="8"/>
      <c r="L988" s="8">
        <v>2.0370370370370369E-3</v>
      </c>
      <c r="M988" s="12"/>
      <c r="N988" s="13">
        <f t="shared" si="189"/>
        <v>1.1376564277588161</v>
      </c>
    </row>
    <row r="989" spans="1:14" ht="14.5">
      <c r="A989" s="6">
        <v>45638</v>
      </c>
      <c r="B989" s="47" t="s">
        <v>42</v>
      </c>
      <c r="C989" s="7">
        <v>1</v>
      </c>
      <c r="D989" s="8">
        <f>IFERROR(VLOOKUP($B989,Task!$B$1:$G$61,6,0)," ")</f>
        <v>6.9444444444444441E-3</v>
      </c>
      <c r="E989" s="9">
        <f t="shared" si="186"/>
        <v>6.9444444444444441E-3</v>
      </c>
      <c r="F989" s="10">
        <f t="shared" ref="F989:F991" si="197">G988</f>
        <v>0.41144675925925933</v>
      </c>
      <c r="G989" s="10">
        <v>0.41768518518518527</v>
      </c>
      <c r="H989" s="8">
        <f t="shared" si="187"/>
        <v>6.2384259259259389E-3</v>
      </c>
      <c r="I989" s="11">
        <f t="shared" si="188"/>
        <v>0.41839120370370375</v>
      </c>
      <c r="J989" s="8"/>
      <c r="K989" s="8"/>
      <c r="L989" s="8"/>
      <c r="M989" s="12"/>
      <c r="N989" s="13">
        <f t="shared" si="189"/>
        <v>1.113172541743968</v>
      </c>
    </row>
    <row r="990" spans="1:14" ht="14.5">
      <c r="A990" s="6">
        <v>45638</v>
      </c>
      <c r="B990" s="47" t="s">
        <v>18</v>
      </c>
      <c r="C990" s="7">
        <v>2</v>
      </c>
      <c r="D990" s="8">
        <f>IFERROR(VLOOKUP($B990,Task!$B$1:$G$61,6,0)," ")</f>
        <v>4.8611111111111112E-2</v>
      </c>
      <c r="E990" s="9">
        <f t="shared" si="186"/>
        <v>9.7222222222222224E-2</v>
      </c>
      <c r="F990" s="10">
        <f t="shared" si="197"/>
        <v>0.41768518518518527</v>
      </c>
      <c r="G990" s="10">
        <v>0.52009259259259255</v>
      </c>
      <c r="H990" s="8">
        <f t="shared" si="187"/>
        <v>9.2280092592592469E-2</v>
      </c>
      <c r="I990" s="11">
        <f t="shared" si="188"/>
        <v>0.52503472222222225</v>
      </c>
      <c r="J990" s="8"/>
      <c r="K990" s="8"/>
      <c r="L990" s="8">
        <v>1.0127314814814815E-2</v>
      </c>
      <c r="M990" s="12"/>
      <c r="N990" s="13">
        <f t="shared" si="189"/>
        <v>1.0535557506584738</v>
      </c>
    </row>
    <row r="991" spans="1:14" ht="14.5">
      <c r="A991" s="6">
        <v>45638</v>
      </c>
      <c r="B991" s="47" t="s">
        <v>86</v>
      </c>
      <c r="C991" s="7">
        <v>55</v>
      </c>
      <c r="D991" s="8">
        <f>IFERROR(VLOOKUP($B991,Task!$B$1:$G$61,6,0)," ")</f>
        <v>3.472222222222222E-3</v>
      </c>
      <c r="E991" s="9">
        <f t="shared" si="186"/>
        <v>0.19097222222222221</v>
      </c>
      <c r="F991" s="10">
        <f t="shared" si="197"/>
        <v>0.52009259259259255</v>
      </c>
      <c r="G991" s="10">
        <v>0.75694444444444442</v>
      </c>
      <c r="H991" s="8">
        <f t="shared" si="187"/>
        <v>0.18640046296296298</v>
      </c>
      <c r="I991" s="11">
        <f t="shared" si="188"/>
        <v>0.76151620370370365</v>
      </c>
      <c r="J991" s="8"/>
      <c r="K991" s="8"/>
      <c r="L991" s="8">
        <v>5.0451388888888886E-2</v>
      </c>
      <c r="M991" s="12"/>
      <c r="N991" s="13">
        <f t="shared" si="189"/>
        <v>1.0245265445513814</v>
      </c>
    </row>
    <row r="992" spans="1:14" ht="14.5">
      <c r="A992" s="6">
        <v>45639</v>
      </c>
      <c r="B992" s="47" t="s">
        <v>18</v>
      </c>
      <c r="C992" s="7">
        <v>1</v>
      </c>
      <c r="D992" s="8">
        <f>IFERROR(VLOOKUP($B992,Task!$B$1:$G$61,6,0)," ")</f>
        <v>4.8611111111111112E-2</v>
      </c>
      <c r="E992" s="9">
        <f t="shared" si="186"/>
        <v>4.8611111111111112E-2</v>
      </c>
      <c r="F992" s="10">
        <v>0.2872569444444445</v>
      </c>
      <c r="G992" s="10">
        <v>0.33221064814814816</v>
      </c>
      <c r="H992" s="8">
        <f t="shared" si="187"/>
        <v>4.4953703703703662E-2</v>
      </c>
      <c r="I992" s="11">
        <f t="shared" si="188"/>
        <v>0.3358680555555556</v>
      </c>
      <c r="J992" s="8"/>
      <c r="K992" s="8"/>
      <c r="L992" s="8"/>
      <c r="M992" s="12"/>
      <c r="N992" s="13">
        <f t="shared" si="189"/>
        <v>1.0813594232749753</v>
      </c>
    </row>
    <row r="993" spans="1:23" ht="14.5">
      <c r="A993" s="6">
        <v>45639</v>
      </c>
      <c r="B993" s="47" t="s">
        <v>86</v>
      </c>
      <c r="C993" s="7">
        <v>10</v>
      </c>
      <c r="D993" s="8">
        <f>IFERROR(VLOOKUP($B993,Task!$B$1:$G$61,6,0)," ")</f>
        <v>3.472222222222222E-3</v>
      </c>
      <c r="E993" s="9">
        <f t="shared" si="186"/>
        <v>3.4722222222222224E-2</v>
      </c>
      <c r="F993" s="10">
        <f t="shared" ref="F993:F995" si="198">G992</f>
        <v>0.33221064814814816</v>
      </c>
      <c r="G993" s="10">
        <v>0.39846899305121042</v>
      </c>
      <c r="H993" s="8">
        <f t="shared" si="187"/>
        <v>3.2577789347506707E-2</v>
      </c>
      <c r="I993" s="11">
        <f t="shared" si="188"/>
        <v>0.40061342592592591</v>
      </c>
      <c r="J993" s="8"/>
      <c r="K993" s="8"/>
      <c r="L993" s="8">
        <v>3.3680555555555554E-2</v>
      </c>
      <c r="M993" s="12"/>
      <c r="N993" s="13">
        <f t="shared" si="189"/>
        <v>1.0658249966515803</v>
      </c>
    </row>
    <row r="994" spans="1:23" ht="14.5">
      <c r="A994" s="6">
        <v>45639</v>
      </c>
      <c r="B994" s="47" t="s">
        <v>65</v>
      </c>
      <c r="C994" s="7">
        <v>1</v>
      </c>
      <c r="D994" s="8">
        <f>IFERROR(VLOOKUP($B994,Task!$B$1:$G$61,6,0)," ")</f>
        <v>2.0833333333333332E-2</v>
      </c>
      <c r="E994" s="9">
        <f t="shared" si="186"/>
        <v>2.0833333333333332E-2</v>
      </c>
      <c r="F994" s="10">
        <f t="shared" si="198"/>
        <v>0.39846899305121042</v>
      </c>
      <c r="G994" s="10">
        <v>0.43660879629629629</v>
      </c>
      <c r="H994" s="8">
        <f t="shared" si="187"/>
        <v>1.8799525467308089E-2</v>
      </c>
      <c r="I994" s="11">
        <f t="shared" si="188"/>
        <v>0.43864260416232154</v>
      </c>
      <c r="J994" s="8"/>
      <c r="K994" s="8"/>
      <c r="L994" s="8">
        <v>1.9340277777777779E-2</v>
      </c>
      <c r="M994" s="12"/>
      <c r="N994" s="13">
        <f t="shared" si="189"/>
        <v>1.1081840001526626</v>
      </c>
    </row>
    <row r="995" spans="1:23" ht="14.5">
      <c r="A995" s="6">
        <v>45639</v>
      </c>
      <c r="B995" s="47" t="s">
        <v>86</v>
      </c>
      <c r="C995" s="7">
        <v>8</v>
      </c>
      <c r="D995" s="8">
        <f>IFERROR(VLOOKUP($B995,Task!$B$1:$G$61,6,0)," ")</f>
        <v>3.472222222222222E-3</v>
      </c>
      <c r="E995" s="9">
        <f t="shared" si="186"/>
        <v>2.7777777777777776E-2</v>
      </c>
      <c r="F995" s="10">
        <f t="shared" si="198"/>
        <v>0.43660879629629629</v>
      </c>
      <c r="G995" s="10">
        <v>0.46200231481481491</v>
      </c>
      <c r="H995" s="8">
        <f t="shared" si="187"/>
        <v>2.5393518518518621E-2</v>
      </c>
      <c r="I995" s="11">
        <f t="shared" si="188"/>
        <v>0.46438657407407408</v>
      </c>
      <c r="J995" s="8"/>
      <c r="K995" s="8"/>
      <c r="L995" s="8"/>
      <c r="M995" s="12"/>
      <c r="N995" s="13">
        <f t="shared" si="189"/>
        <v>1.093892433910661</v>
      </c>
    </row>
    <row r="996" spans="1:23" ht="14.5">
      <c r="A996" s="6">
        <v>45639</v>
      </c>
      <c r="B996" s="47" t="s">
        <v>16</v>
      </c>
      <c r="C996" s="7">
        <v>14</v>
      </c>
      <c r="D996" s="8">
        <f>IFERROR(VLOOKUP($B996,Task!$B$1:$G$61,6,0)," ")</f>
        <v>5.5555555555555558E-3</v>
      </c>
      <c r="E996" s="9">
        <f t="shared" si="186"/>
        <v>7.7777777777777779E-2</v>
      </c>
      <c r="F996" s="10">
        <v>0.5129745370370371</v>
      </c>
      <c r="G996" s="8">
        <v>0.58359953703703704</v>
      </c>
      <c r="H996" s="8">
        <f t="shared" si="187"/>
        <v>6.4965277777777719E-2</v>
      </c>
      <c r="I996" s="11">
        <f t="shared" si="188"/>
        <v>0.59641203703703705</v>
      </c>
      <c r="J996" s="8"/>
      <c r="K996" s="8"/>
      <c r="L996" s="8">
        <v>5.6597222222222222E-3</v>
      </c>
      <c r="M996" s="12"/>
      <c r="N996" s="13">
        <f t="shared" si="189"/>
        <v>1.1972207375734911</v>
      </c>
    </row>
    <row r="997" spans="1:23" ht="14.5">
      <c r="A997" s="6">
        <v>45642</v>
      </c>
      <c r="B997" s="47" t="s">
        <v>42</v>
      </c>
      <c r="C997" s="7">
        <v>1</v>
      </c>
      <c r="D997" s="8">
        <f>IFERROR(VLOOKUP($B997,Task!$B$1:$G$61,6,0)," ")</f>
        <v>6.9444444444444441E-3</v>
      </c>
      <c r="E997" s="9">
        <f t="shared" si="186"/>
        <v>6.9444444444444441E-3</v>
      </c>
      <c r="F997" s="10">
        <v>0.38025462962962964</v>
      </c>
      <c r="G997" s="10">
        <v>0.38850694444444445</v>
      </c>
      <c r="H997" s="8">
        <f t="shared" si="187"/>
        <v>6.6550925925925875E-3</v>
      </c>
      <c r="I997" s="11">
        <f t="shared" si="188"/>
        <v>0.38879629629629631</v>
      </c>
      <c r="J997" s="8"/>
      <c r="K997" s="8"/>
      <c r="L997" s="8">
        <v>1.5972222222222223E-3</v>
      </c>
      <c r="M997" s="12"/>
      <c r="N997" s="13">
        <f t="shared" si="189"/>
        <v>1.0434782608695659</v>
      </c>
      <c r="W997" s="29" t="s">
        <v>32</v>
      </c>
    </row>
    <row r="998" spans="1:23" ht="14.5">
      <c r="A998" s="6">
        <v>45642</v>
      </c>
      <c r="B998" s="47" t="s">
        <v>43</v>
      </c>
      <c r="C998" s="7">
        <v>1</v>
      </c>
      <c r="D998" s="8">
        <f>IFERROR(VLOOKUP($B998,Task!$B$1:$G$61,6,0)," ")</f>
        <v>3.4722222222222224E-2</v>
      </c>
      <c r="E998" s="9">
        <f t="shared" si="186"/>
        <v>3.4722222222222224E-2</v>
      </c>
      <c r="F998" s="10">
        <f t="shared" ref="F998:F1001" si="199">G997</f>
        <v>0.38850694444444445</v>
      </c>
      <c r="G998" s="10">
        <v>0.41724537037037046</v>
      </c>
      <c r="H998" s="8">
        <f t="shared" si="187"/>
        <v>2.8738425925926014E-2</v>
      </c>
      <c r="I998" s="11">
        <f t="shared" si="188"/>
        <v>0.42322916666666666</v>
      </c>
      <c r="J998" s="8"/>
      <c r="K998" s="8"/>
      <c r="L998" s="8"/>
      <c r="M998" s="12"/>
      <c r="N998" s="13">
        <f t="shared" si="189"/>
        <v>1.2082158679017281</v>
      </c>
      <c r="W998" s="22" t="s">
        <v>33</v>
      </c>
    </row>
    <row r="999" spans="1:23" ht="14.5">
      <c r="A999" s="6">
        <v>45642</v>
      </c>
      <c r="B999" s="47" t="s">
        <v>63</v>
      </c>
      <c r="C999" s="7">
        <v>1</v>
      </c>
      <c r="D999" s="8">
        <f>IFERROR(VLOOKUP($B999,Task!$B$1:$G$61,6,0)," ")</f>
        <v>4.5138888888888888E-2</v>
      </c>
      <c r="E999" s="9">
        <f t="shared" si="186"/>
        <v>4.5138888888888888E-2</v>
      </c>
      <c r="F999" s="8">
        <f t="shared" si="199"/>
        <v>0.41724537037037046</v>
      </c>
      <c r="G999" s="10">
        <v>0.45879629629629631</v>
      </c>
      <c r="H999" s="8">
        <f t="shared" si="187"/>
        <v>4.1550925925925852E-2</v>
      </c>
      <c r="I999" s="11">
        <f t="shared" si="188"/>
        <v>0.46238425925925936</v>
      </c>
      <c r="J999" s="8"/>
      <c r="K999" s="8"/>
      <c r="L999" s="8"/>
      <c r="M999" s="12"/>
      <c r="N999" s="13">
        <f t="shared" si="189"/>
        <v>1.0863509749303639</v>
      </c>
      <c r="W999" s="22"/>
    </row>
    <row r="1000" spans="1:23" ht="14.5">
      <c r="A1000" s="6">
        <v>45642</v>
      </c>
      <c r="B1000" s="47" t="s">
        <v>37</v>
      </c>
      <c r="C1000" s="7">
        <v>50</v>
      </c>
      <c r="D1000" s="8">
        <f>IFERROR(VLOOKUP($B1000,Task!$B$1:$G$61,6,0)," ")</f>
        <v>1.3888888888888889E-3</v>
      </c>
      <c r="E1000" s="9">
        <f t="shared" si="186"/>
        <v>6.9444444444444448E-2</v>
      </c>
      <c r="F1000" s="10">
        <f t="shared" si="199"/>
        <v>0.45879629629629631</v>
      </c>
      <c r="G1000" s="10">
        <v>0.52872685185185186</v>
      </c>
      <c r="H1000" s="8">
        <f t="shared" si="187"/>
        <v>6.3935185185185178E-2</v>
      </c>
      <c r="I1000" s="11">
        <f t="shared" si="188"/>
        <v>0.53423611111111113</v>
      </c>
      <c r="J1000" s="8"/>
      <c r="K1000" s="8"/>
      <c r="L1000" s="8">
        <v>5.9953703703703705E-3</v>
      </c>
      <c r="M1000" s="18" t="s">
        <v>30</v>
      </c>
      <c r="N1000" s="13">
        <f t="shared" si="189"/>
        <v>1.0861694424330197</v>
      </c>
      <c r="W1000" s="22"/>
    </row>
    <row r="1001" spans="1:23" ht="14.5">
      <c r="A1001" s="6">
        <v>45642</v>
      </c>
      <c r="B1001" s="47" t="s">
        <v>18</v>
      </c>
      <c r="C1001" s="7">
        <v>4</v>
      </c>
      <c r="D1001" s="8">
        <f>IFERROR(VLOOKUP($B1001,Task!$B$1:$G$61,6,0)," ")</f>
        <v>4.8611111111111112E-2</v>
      </c>
      <c r="E1001" s="9">
        <f t="shared" si="186"/>
        <v>0.19444444444444445</v>
      </c>
      <c r="F1001" s="10">
        <f t="shared" si="199"/>
        <v>0.52872685185185186</v>
      </c>
      <c r="G1001" s="10">
        <v>0.75862268518518516</v>
      </c>
      <c r="H1001" s="8">
        <f t="shared" si="187"/>
        <v>0.17355324074074072</v>
      </c>
      <c r="I1001" s="11">
        <f t="shared" si="188"/>
        <v>0.77951388888888884</v>
      </c>
      <c r="J1001" s="8"/>
      <c r="K1001" s="8"/>
      <c r="L1001" s="8">
        <v>5.634259259259259E-2</v>
      </c>
      <c r="M1001" s="12"/>
      <c r="N1001" s="13">
        <f t="shared" si="189"/>
        <v>1.1203734578192732</v>
      </c>
      <c r="W1001" s="22"/>
    </row>
    <row r="1002" spans="1:23" ht="14.5">
      <c r="A1002" s="6">
        <v>45643</v>
      </c>
      <c r="B1002" s="47" t="s">
        <v>18</v>
      </c>
      <c r="C1002" s="7">
        <v>1</v>
      </c>
      <c r="D1002" s="8">
        <f>IFERROR(VLOOKUP($B1002,Task!$B$1:$G$61,6,0)," ")</f>
        <v>4.8611111111111112E-2</v>
      </c>
      <c r="E1002" s="9">
        <f t="shared" si="186"/>
        <v>4.8611111111111112E-2</v>
      </c>
      <c r="F1002" s="10">
        <v>0.37329861111111118</v>
      </c>
      <c r="G1002" s="10">
        <v>0.44954861111111111</v>
      </c>
      <c r="H1002" s="8">
        <f t="shared" si="187"/>
        <v>4.4722222222222149E-2</v>
      </c>
      <c r="I1002" s="11">
        <f t="shared" si="188"/>
        <v>0.45343750000000005</v>
      </c>
      <c r="J1002" s="8"/>
      <c r="K1002" s="8"/>
      <c r="L1002" s="8">
        <v>3.152777777777778E-2</v>
      </c>
      <c r="M1002" s="12"/>
      <c r="N1002" s="13">
        <f t="shared" si="189"/>
        <v>1.0869565217391322</v>
      </c>
      <c r="W1002" s="22"/>
    </row>
    <row r="1003" spans="1:23" ht="14.5">
      <c r="A1003" s="6">
        <v>45643</v>
      </c>
      <c r="B1003" s="47" t="s">
        <v>30</v>
      </c>
      <c r="C1003" s="7">
        <v>4</v>
      </c>
      <c r="D1003" s="8">
        <f>IFERROR(VLOOKUP($B1003,Task!$B$1:$G$61,6,0)," ")</f>
        <v>4.8611111111111112E-2</v>
      </c>
      <c r="E1003" s="9">
        <f t="shared" si="186"/>
        <v>0.19444444444444445</v>
      </c>
      <c r="F1003" s="10">
        <f t="shared" ref="F1003:F1004" si="200">G1002</f>
        <v>0.44954861111111111</v>
      </c>
      <c r="G1003" s="10">
        <v>0.60922453703703705</v>
      </c>
      <c r="H1003" s="8">
        <f t="shared" si="187"/>
        <v>0.1317476851851852</v>
      </c>
      <c r="I1003" s="11">
        <f t="shared" si="188"/>
        <v>0.67192129629629627</v>
      </c>
      <c r="J1003" s="8"/>
      <c r="K1003" s="8"/>
      <c r="L1003" s="8">
        <v>2.792824074074074E-2</v>
      </c>
      <c r="M1003" s="12"/>
      <c r="N1003" s="13">
        <f t="shared" si="189"/>
        <v>1.4758850918035666</v>
      </c>
      <c r="W1003" s="22"/>
    </row>
    <row r="1004" spans="1:23" ht="14.5">
      <c r="A1004" s="6">
        <v>45643</v>
      </c>
      <c r="B1004" s="47" t="s">
        <v>37</v>
      </c>
      <c r="C1004" s="7">
        <v>92</v>
      </c>
      <c r="D1004" s="8">
        <f>IFERROR(VLOOKUP($B1004,Task!$B$1:$G$61,6,0)," ")</f>
        <v>1.3888888888888889E-3</v>
      </c>
      <c r="E1004" s="9">
        <f t="shared" si="186"/>
        <v>0.1277777777777778</v>
      </c>
      <c r="F1004" s="10">
        <f t="shared" si="200"/>
        <v>0.60922453703703705</v>
      </c>
      <c r="G1004" s="10">
        <v>0.75121527777777775</v>
      </c>
      <c r="H1004" s="8">
        <f t="shared" si="187"/>
        <v>0.11156249999999995</v>
      </c>
      <c r="I1004" s="11">
        <f t="shared" si="188"/>
        <v>0.76743055555555562</v>
      </c>
      <c r="J1004" s="8"/>
      <c r="K1004" s="8"/>
      <c r="L1004" s="8">
        <v>3.0428240740740742E-2</v>
      </c>
      <c r="M1004" s="18" t="s">
        <v>87</v>
      </c>
      <c r="N1004" s="13">
        <f t="shared" si="189"/>
        <v>1.1453470276999695</v>
      </c>
      <c r="W1004" s="22"/>
    </row>
    <row r="1005" spans="1:23" ht="14.5">
      <c r="A1005" s="6">
        <v>45644</v>
      </c>
      <c r="B1005" s="47" t="s">
        <v>86</v>
      </c>
      <c r="C1005" s="7">
        <v>55</v>
      </c>
      <c r="D1005" s="8">
        <f>IFERROR(VLOOKUP($B1005,Task!$B$1:$G$61,6,0)," ")</f>
        <v>3.472222222222222E-3</v>
      </c>
      <c r="E1005" s="9">
        <f t="shared" si="186"/>
        <v>0.19097222222222221</v>
      </c>
      <c r="F1005" s="10">
        <v>0.37922453703703707</v>
      </c>
      <c r="G1005" s="10">
        <v>0.63918981481481485</v>
      </c>
      <c r="H1005" s="8">
        <f t="shared" si="187"/>
        <v>0.17385416666666667</v>
      </c>
      <c r="I1005" s="11">
        <f t="shared" si="188"/>
        <v>0.65630787037037042</v>
      </c>
      <c r="J1005" s="8"/>
      <c r="K1005" s="8"/>
      <c r="L1005" s="8">
        <v>8.611111111111111E-2</v>
      </c>
      <c r="M1005" s="12"/>
      <c r="N1005" s="13">
        <f t="shared" si="189"/>
        <v>1.0984621529858198</v>
      </c>
      <c r="W1005" s="22"/>
    </row>
    <row r="1006" spans="1:23" ht="14.5">
      <c r="A1006" s="6">
        <v>45644</v>
      </c>
      <c r="B1006" s="47" t="s">
        <v>16</v>
      </c>
      <c r="C1006" s="7">
        <v>18</v>
      </c>
      <c r="D1006" s="8">
        <f>IFERROR(VLOOKUP($B1006,Task!$B$1:$G$61,6,0)," ")</f>
        <v>5.5555555555555558E-3</v>
      </c>
      <c r="E1006" s="9">
        <f t="shared" si="186"/>
        <v>0.1</v>
      </c>
      <c r="F1006" s="10">
        <f>G1005</f>
        <v>0.63918981481481485</v>
      </c>
      <c r="G1006" s="8">
        <v>0.75694444444444442</v>
      </c>
      <c r="H1006" s="8">
        <f t="shared" si="187"/>
        <v>9.5995370370370314E-2</v>
      </c>
      <c r="I1006" s="11">
        <f t="shared" si="188"/>
        <v>0.76094907407407408</v>
      </c>
      <c r="J1006" s="8"/>
      <c r="K1006" s="8"/>
      <c r="L1006" s="8">
        <v>2.1759259259259259E-2</v>
      </c>
      <c r="M1006" s="12"/>
      <c r="N1006" s="13">
        <f t="shared" si="189"/>
        <v>1.04171690378587</v>
      </c>
      <c r="W1006" s="22"/>
    </row>
    <row r="1007" spans="1:23" ht="14.5">
      <c r="A1007" s="6">
        <v>45645</v>
      </c>
      <c r="B1007" s="47" t="s">
        <v>42</v>
      </c>
      <c r="C1007" s="7">
        <v>1</v>
      </c>
      <c r="D1007" s="8">
        <f>IFERROR(VLOOKUP($B1007,Task!$B$1:$G$61,6,0)," ")</f>
        <v>6.9444444444444441E-3</v>
      </c>
      <c r="E1007" s="9">
        <f t="shared" si="186"/>
        <v>6.9444444444444441E-3</v>
      </c>
      <c r="F1007" s="10">
        <v>0.37553240740740745</v>
      </c>
      <c r="G1007" s="10">
        <v>0.38186342592592593</v>
      </c>
      <c r="H1007" s="8">
        <f t="shared" si="187"/>
        <v>6.331018518518472E-3</v>
      </c>
      <c r="I1007" s="11">
        <f t="shared" si="188"/>
        <v>0.38247685185185187</v>
      </c>
      <c r="J1007" s="8"/>
      <c r="K1007" s="8"/>
      <c r="L1007" s="8"/>
      <c r="M1007" s="12"/>
      <c r="N1007" s="13">
        <f t="shared" si="189"/>
        <v>1.0968921389396789</v>
      </c>
      <c r="W1007" s="22"/>
    </row>
    <row r="1008" spans="1:23" ht="14.5">
      <c r="A1008" s="6">
        <v>45645</v>
      </c>
      <c r="B1008" s="47" t="s">
        <v>43</v>
      </c>
      <c r="C1008" s="7">
        <v>1</v>
      </c>
      <c r="D1008" s="8">
        <f>IFERROR(VLOOKUP($B1008,Task!$B$1:$G$61,6,0)," ")</f>
        <v>3.4722222222222224E-2</v>
      </c>
      <c r="E1008" s="9">
        <f t="shared" si="186"/>
        <v>3.4722222222222224E-2</v>
      </c>
      <c r="F1008" s="10">
        <v>0.41229166666666672</v>
      </c>
      <c r="G1008" s="10">
        <v>0.44204861111111116</v>
      </c>
      <c r="H1008" s="8">
        <f t="shared" si="187"/>
        <v>2.9756944444444433E-2</v>
      </c>
      <c r="I1008" s="11">
        <f t="shared" si="188"/>
        <v>0.44701388888888893</v>
      </c>
      <c r="J1008" s="8"/>
      <c r="K1008" s="8"/>
      <c r="L1008" s="8"/>
      <c r="M1008" s="12"/>
      <c r="N1008" s="13">
        <f t="shared" si="189"/>
        <v>1.1668611435239211</v>
      </c>
      <c r="W1008" s="22"/>
    </row>
    <row r="1009" spans="1:23" ht="14.5">
      <c r="A1009" s="6">
        <v>45645</v>
      </c>
      <c r="B1009" s="47" t="s">
        <v>16</v>
      </c>
      <c r="C1009" s="7">
        <v>20</v>
      </c>
      <c r="D1009" s="8">
        <f>IFERROR(VLOOKUP($B1009,Task!$B$1:$G$61,6,0)," ")</f>
        <v>5.5555555555555558E-3</v>
      </c>
      <c r="E1009" s="9">
        <f t="shared" si="186"/>
        <v>0.11111111111111112</v>
      </c>
      <c r="F1009" s="10">
        <f t="shared" ref="F1009:F1011" si="201">G1008</f>
        <v>0.44204861111111116</v>
      </c>
      <c r="G1009" s="10">
        <v>0.57125000000000004</v>
      </c>
      <c r="H1009" s="8">
        <f t="shared" si="187"/>
        <v>0.10162037037037036</v>
      </c>
      <c r="I1009" s="11">
        <f t="shared" si="188"/>
        <v>0.58074074074074078</v>
      </c>
      <c r="J1009" s="8"/>
      <c r="K1009" s="8"/>
      <c r="L1009" s="8">
        <v>2.7581018518518519E-2</v>
      </c>
      <c r="M1009" s="12"/>
      <c r="N1009" s="13">
        <f t="shared" si="189"/>
        <v>1.0933940774487474</v>
      </c>
      <c r="W1009" s="22"/>
    </row>
    <row r="1010" spans="1:23" ht="14.5">
      <c r="A1010" s="6">
        <v>45645</v>
      </c>
      <c r="B1010" s="47" t="s">
        <v>65</v>
      </c>
      <c r="C1010" s="7">
        <v>1</v>
      </c>
      <c r="D1010" s="8">
        <f>IFERROR(VLOOKUP($B1010,Task!$B$1:$G$61,6,0)," ")</f>
        <v>2.0833333333333332E-2</v>
      </c>
      <c r="E1010" s="9">
        <f t="shared" si="186"/>
        <v>2.0833333333333332E-2</v>
      </c>
      <c r="F1010" s="10">
        <f t="shared" si="201"/>
        <v>0.57125000000000004</v>
      </c>
      <c r="G1010" s="10">
        <v>0.59030092592592598</v>
      </c>
      <c r="H1010" s="8">
        <f t="shared" si="187"/>
        <v>1.9050925925925943E-2</v>
      </c>
      <c r="I1010" s="11">
        <f t="shared" si="188"/>
        <v>0.59208333333333341</v>
      </c>
      <c r="J1010" s="8"/>
      <c r="K1010" s="8"/>
      <c r="L1010" s="8"/>
      <c r="M1010" s="12"/>
      <c r="N1010" s="13">
        <f t="shared" si="189"/>
        <v>1.0935601458080184</v>
      </c>
      <c r="W1010" s="22"/>
    </row>
    <row r="1011" spans="1:23" ht="14.5">
      <c r="A1011" s="6">
        <v>45645</v>
      </c>
      <c r="B1011" s="47" t="s">
        <v>16</v>
      </c>
      <c r="C1011" s="7">
        <v>28</v>
      </c>
      <c r="D1011" s="8">
        <f>IFERROR(VLOOKUP($B1011,Task!$B$1:$G$61,6,0)," ")</f>
        <v>5.5555555555555558E-3</v>
      </c>
      <c r="E1011" s="9">
        <f t="shared" si="186"/>
        <v>0.15555555555555556</v>
      </c>
      <c r="F1011" s="10">
        <f t="shared" si="201"/>
        <v>0.59030092592592598</v>
      </c>
      <c r="G1011" s="10">
        <v>0.75778935185185181</v>
      </c>
      <c r="H1011" s="8">
        <f t="shared" si="187"/>
        <v>0.13591435185185174</v>
      </c>
      <c r="I1011" s="11">
        <f t="shared" si="188"/>
        <v>0.77743055555555562</v>
      </c>
      <c r="J1011" s="8"/>
      <c r="K1011" s="8"/>
      <c r="L1011" s="8">
        <v>3.1574074074074074E-2</v>
      </c>
      <c r="M1011" s="12"/>
      <c r="N1011" s="13">
        <f t="shared" si="189"/>
        <v>1.1445116239461817</v>
      </c>
      <c r="W1011" s="22"/>
    </row>
    <row r="1012" spans="1:23" ht="14.5">
      <c r="A1012" s="6">
        <v>45646</v>
      </c>
      <c r="B1012" s="47" t="s">
        <v>16</v>
      </c>
      <c r="C1012" s="7">
        <v>18</v>
      </c>
      <c r="D1012" s="8">
        <f>IFERROR(VLOOKUP($B1012,Task!$B$1:$G$61,6,0)," ")</f>
        <v>5.5555555555555558E-3</v>
      </c>
      <c r="E1012" s="9">
        <f t="shared" si="186"/>
        <v>0.1</v>
      </c>
      <c r="F1012" s="10">
        <v>0.23006944444444447</v>
      </c>
      <c r="G1012" s="10">
        <v>0.32202324074023636</v>
      </c>
      <c r="H1012" s="8">
        <f t="shared" si="187"/>
        <v>9.1953796295791895E-2</v>
      </c>
      <c r="I1012" s="11">
        <f t="shared" si="188"/>
        <v>0.33006944444444447</v>
      </c>
      <c r="J1012" s="8"/>
      <c r="K1012" s="8"/>
      <c r="L1012" s="8"/>
      <c r="M1012" s="12"/>
      <c r="N1012" s="13">
        <f t="shared" si="189"/>
        <v>1.0875026810021582</v>
      </c>
      <c r="W1012" s="22"/>
    </row>
    <row r="1013" spans="1:23" ht="14.5">
      <c r="A1013" s="6">
        <v>45646</v>
      </c>
      <c r="B1013" s="47" t="s">
        <v>16</v>
      </c>
      <c r="C1013" s="7">
        <v>35</v>
      </c>
      <c r="D1013" s="8">
        <f>IFERROR(VLOOKUP($B1013,Task!$B$1:$G$61,6,0)," ")</f>
        <v>5.5555555555555558E-3</v>
      </c>
      <c r="E1013" s="9">
        <f t="shared" si="186"/>
        <v>0.19444444444444445</v>
      </c>
      <c r="F1013" s="10">
        <v>0.57973379629629629</v>
      </c>
      <c r="G1013" s="10">
        <v>0.75982217592536472</v>
      </c>
      <c r="H1013" s="8">
        <f t="shared" si="187"/>
        <v>0.18008837962906843</v>
      </c>
      <c r="I1013" s="11">
        <f t="shared" si="188"/>
        <v>0.77417824074074071</v>
      </c>
      <c r="J1013" s="8"/>
      <c r="K1013" s="8"/>
      <c r="L1013" s="8"/>
      <c r="M1013" s="12"/>
      <c r="N1013" s="13">
        <f t="shared" si="189"/>
        <v>1.0797167748687921</v>
      </c>
      <c r="W1013" s="22"/>
    </row>
    <row r="1014" spans="1:23" ht="14.5">
      <c r="A1014" s="6">
        <v>45649</v>
      </c>
      <c r="B1014" s="47" t="s">
        <v>43</v>
      </c>
      <c r="C1014" s="7">
        <v>1</v>
      </c>
      <c r="D1014" s="8">
        <f>IFERROR(VLOOKUP($B1014,Task!$B$1:$G$61,6,0)," ")</f>
        <v>3.4722222222222224E-2</v>
      </c>
      <c r="E1014" s="9">
        <f t="shared" si="186"/>
        <v>3.4722222222222224E-2</v>
      </c>
      <c r="F1014" s="10">
        <v>0.37547453703703704</v>
      </c>
      <c r="G1014" s="10">
        <v>0.4097453703703704</v>
      </c>
      <c r="H1014" s="8">
        <f t="shared" si="187"/>
        <v>3.0347222222222251E-2</v>
      </c>
      <c r="I1014" s="11">
        <f t="shared" si="188"/>
        <v>0.41412037037037036</v>
      </c>
      <c r="J1014" s="8"/>
      <c r="K1014" s="8"/>
      <c r="L1014" s="8">
        <v>3.9236111111111112E-3</v>
      </c>
      <c r="M1014" s="12"/>
      <c r="N1014" s="13">
        <f t="shared" si="189"/>
        <v>1.1441647597253994</v>
      </c>
      <c r="W1014" s="22"/>
    </row>
    <row r="1015" spans="1:23" ht="14.5">
      <c r="A1015" s="6">
        <v>45649</v>
      </c>
      <c r="B1015" s="47" t="s">
        <v>42</v>
      </c>
      <c r="C1015" s="7">
        <v>1</v>
      </c>
      <c r="D1015" s="8">
        <f>IFERROR(VLOOKUP($B1015,Task!$B$1:$G$61,6,0)," ")</f>
        <v>6.9444444444444441E-3</v>
      </c>
      <c r="E1015" s="9">
        <f t="shared" si="186"/>
        <v>6.9444444444444441E-3</v>
      </c>
      <c r="F1015" s="10">
        <v>0.42160879629629633</v>
      </c>
      <c r="G1015" s="10">
        <v>0.42806712962962967</v>
      </c>
      <c r="H1015" s="8">
        <f t="shared" si="187"/>
        <v>6.4583333333333437E-3</v>
      </c>
      <c r="I1015" s="11">
        <f t="shared" si="188"/>
        <v>0.42855324074074075</v>
      </c>
      <c r="J1015" s="8"/>
      <c r="K1015" s="8"/>
      <c r="L1015" s="8"/>
      <c r="M1015" s="12"/>
      <c r="N1015" s="13">
        <f t="shared" si="189"/>
        <v>1.0752688172042992</v>
      </c>
      <c r="W1015" s="22"/>
    </row>
    <row r="1016" spans="1:23" ht="14.5">
      <c r="A1016" s="6">
        <v>45649</v>
      </c>
      <c r="B1016" s="47" t="s">
        <v>16</v>
      </c>
      <c r="C1016" s="7">
        <v>19</v>
      </c>
      <c r="D1016" s="8">
        <f>IFERROR(VLOOKUP($B1016,Task!$B$1:$G$61,6,0)," ")</f>
        <v>5.5555555555555558E-3</v>
      </c>
      <c r="E1016" s="9">
        <f t="shared" si="186"/>
        <v>0.10555555555555556</v>
      </c>
      <c r="F1016" s="10">
        <f>G1014</f>
        <v>0.4097453703703704</v>
      </c>
      <c r="G1016" s="10">
        <v>0.56292824074074077</v>
      </c>
      <c r="H1016" s="8">
        <f t="shared" si="187"/>
        <v>9.7581018518518525E-2</v>
      </c>
      <c r="I1016" s="11">
        <f t="shared" si="188"/>
        <v>0.57090277777777776</v>
      </c>
      <c r="J1016" s="8"/>
      <c r="K1016" s="8"/>
      <c r="L1016" s="8">
        <v>5.5601851851851854E-2</v>
      </c>
      <c r="M1016" s="12"/>
      <c r="N1016" s="13">
        <f t="shared" si="189"/>
        <v>1.0817222156327837</v>
      </c>
      <c r="W1016" s="22"/>
    </row>
    <row r="1017" spans="1:23" ht="14.5">
      <c r="A1017" s="6">
        <v>45649</v>
      </c>
      <c r="B1017" s="47" t="s">
        <v>16</v>
      </c>
      <c r="C1017" s="7">
        <v>32</v>
      </c>
      <c r="D1017" s="8">
        <f>IFERROR(VLOOKUP($B1017,Task!$B$1:$G$61,6,0)," ")</f>
        <v>5.5555555555555558E-3</v>
      </c>
      <c r="E1017" s="9">
        <f t="shared" si="186"/>
        <v>0.17777777777777778</v>
      </c>
      <c r="F1017" s="10">
        <f>G1016</f>
        <v>0.56292824074074077</v>
      </c>
      <c r="G1017" s="10">
        <v>0.75524402777955402</v>
      </c>
      <c r="H1017" s="8">
        <f t="shared" si="187"/>
        <v>0.16551023148325769</v>
      </c>
      <c r="I1017" s="11">
        <f t="shared" si="188"/>
        <v>0.76751157407407411</v>
      </c>
      <c r="J1017" s="8"/>
      <c r="K1017" s="8"/>
      <c r="L1017" s="8">
        <v>2.6805555555555555E-2</v>
      </c>
      <c r="M1017" s="12"/>
      <c r="N1017" s="13">
        <f t="shared" si="189"/>
        <v>1.0741195646008206</v>
      </c>
      <c r="W1017" s="22"/>
    </row>
    <row r="1018" spans="1:23" ht="14.5">
      <c r="A1018" s="6">
        <v>45650</v>
      </c>
      <c r="B1018" s="47" t="s">
        <v>18</v>
      </c>
      <c r="C1018" s="7">
        <v>1</v>
      </c>
      <c r="D1018" s="8">
        <f>IFERROR(VLOOKUP($B1018,Task!$B$1:$G$61,6,0)," ")</f>
        <v>4.8611111111111112E-2</v>
      </c>
      <c r="E1018" s="9">
        <f t="shared" si="186"/>
        <v>4.8611111111111112E-2</v>
      </c>
      <c r="F1018" s="10">
        <v>0.39826388888888897</v>
      </c>
      <c r="G1018" s="10">
        <v>0.44324074074074082</v>
      </c>
      <c r="H1018" s="8">
        <f t="shared" si="187"/>
        <v>4.4976851851851851E-2</v>
      </c>
      <c r="I1018" s="11">
        <f t="shared" si="188"/>
        <v>0.44687500000000008</v>
      </c>
      <c r="J1018" s="8"/>
      <c r="K1018" s="8"/>
      <c r="L1018" s="8"/>
      <c r="M1018" s="12"/>
      <c r="N1018" s="13">
        <f t="shared" si="189"/>
        <v>1.0808028821410192</v>
      </c>
      <c r="W1018" s="22"/>
    </row>
    <row r="1019" spans="1:23" ht="14.5">
      <c r="A1019" s="6">
        <v>45650</v>
      </c>
      <c r="B1019" s="47" t="s">
        <v>16</v>
      </c>
      <c r="C1019" s="7">
        <v>24</v>
      </c>
      <c r="D1019" s="8">
        <f>IFERROR(VLOOKUP($B1019,Task!$B$1:$G$61,6,0)," ")</f>
        <v>5.5555555555555558E-3</v>
      </c>
      <c r="E1019" s="9">
        <f t="shared" si="186"/>
        <v>0.13333333333333333</v>
      </c>
      <c r="F1019" s="10">
        <f t="shared" ref="F1019:F1020" si="202">G1018</f>
        <v>0.44324074074074082</v>
      </c>
      <c r="G1019" s="10">
        <v>0.59275462962962966</v>
      </c>
      <c r="H1019" s="8">
        <f t="shared" si="187"/>
        <v>0.11934027777777773</v>
      </c>
      <c r="I1019" s="11">
        <f t="shared" si="188"/>
        <v>0.60674768518518518</v>
      </c>
      <c r="J1019" s="8"/>
      <c r="K1019" s="8"/>
      <c r="L1019" s="8">
        <v>3.0173611111111109E-2</v>
      </c>
      <c r="M1019" s="12"/>
      <c r="N1019" s="13">
        <f t="shared" si="189"/>
        <v>1.117253418679081</v>
      </c>
      <c r="W1019" s="22"/>
    </row>
    <row r="1020" spans="1:23" ht="14.5">
      <c r="A1020" s="6">
        <v>45650</v>
      </c>
      <c r="B1020" s="47" t="s">
        <v>46</v>
      </c>
      <c r="C1020" s="7">
        <v>45</v>
      </c>
      <c r="D1020" s="8">
        <f>IFERROR(VLOOKUP($B1020,Task!$B$1:$G$61,6,0)," ")</f>
        <v>3.472222222222222E-3</v>
      </c>
      <c r="E1020" s="9">
        <f t="shared" si="186"/>
        <v>0.15625</v>
      </c>
      <c r="F1020" s="10">
        <f t="shared" si="202"/>
        <v>0.59275462962962966</v>
      </c>
      <c r="G1020" s="10">
        <v>0.75902777777777775</v>
      </c>
      <c r="H1020" s="8">
        <f t="shared" si="187"/>
        <v>0.14170138888888884</v>
      </c>
      <c r="I1020" s="11">
        <f t="shared" si="188"/>
        <v>0.77357638888888891</v>
      </c>
      <c r="J1020" s="8"/>
      <c r="K1020" s="8"/>
      <c r="L1020" s="8">
        <v>2.4571759259259258E-2</v>
      </c>
      <c r="M1020" s="12"/>
      <c r="N1020" s="13">
        <f t="shared" si="189"/>
        <v>1.1026709139916691</v>
      </c>
      <c r="W1020" s="22"/>
    </row>
    <row r="1021" spans="1:23" ht="14.5">
      <c r="A1021" s="6">
        <v>45653</v>
      </c>
      <c r="B1021" s="47" t="s">
        <v>46</v>
      </c>
      <c r="C1021" s="7">
        <v>37</v>
      </c>
      <c r="D1021" s="8">
        <f>IFERROR(VLOOKUP($B1021,Task!$B$1:$G$61,6,0)," ")</f>
        <v>3.472222222222222E-3</v>
      </c>
      <c r="E1021" s="9">
        <f t="shared" si="186"/>
        <v>0.12847222222222221</v>
      </c>
      <c r="F1021" s="10">
        <v>0.36528935185185185</v>
      </c>
      <c r="G1021" s="10">
        <v>0.60188657407407409</v>
      </c>
      <c r="H1021" s="8">
        <f t="shared" si="187"/>
        <v>0.11663194444444445</v>
      </c>
      <c r="I1021" s="11">
        <f t="shared" si="188"/>
        <v>0.61372685185185183</v>
      </c>
      <c r="J1021" s="8"/>
      <c r="K1021" s="8"/>
      <c r="L1021" s="8">
        <v>0.11996527777777778</v>
      </c>
      <c r="M1021" s="12"/>
      <c r="N1021" s="13">
        <f t="shared" si="189"/>
        <v>1.1015183090205416</v>
      </c>
      <c r="W1021" s="22"/>
    </row>
    <row r="1022" spans="1:23" ht="14.5">
      <c r="A1022" s="6">
        <v>45653</v>
      </c>
      <c r="B1022" s="47" t="s">
        <v>18</v>
      </c>
      <c r="C1022" s="7">
        <v>1</v>
      </c>
      <c r="D1022" s="8">
        <f>IFERROR(VLOOKUP($B1022,Task!$B$1:$G$61,6,0)," ")</f>
        <v>4.8611111111111112E-2</v>
      </c>
      <c r="E1022" s="9">
        <f t="shared" si="186"/>
        <v>4.8611111111111112E-2</v>
      </c>
      <c r="F1022" s="10">
        <v>0.48090277777777779</v>
      </c>
      <c r="G1022" s="10">
        <v>0.56037037037037041</v>
      </c>
      <c r="H1022" s="8">
        <f t="shared" si="187"/>
        <v>4.473379629629632E-2</v>
      </c>
      <c r="I1022" s="11">
        <f t="shared" si="188"/>
        <v>0.5642476851851852</v>
      </c>
      <c r="J1022" s="8"/>
      <c r="K1022" s="8"/>
      <c r="L1022" s="8">
        <v>3.4733796296296297E-2</v>
      </c>
      <c r="M1022" s="18"/>
      <c r="N1022" s="13">
        <f t="shared" si="189"/>
        <v>1.0866752910737381</v>
      </c>
      <c r="W1022" s="22"/>
    </row>
    <row r="1023" spans="1:23" ht="14.5">
      <c r="A1023" s="6">
        <v>45653</v>
      </c>
      <c r="B1023" s="47" t="s">
        <v>50</v>
      </c>
      <c r="C1023" s="7">
        <v>2</v>
      </c>
      <c r="D1023" s="8">
        <f>IFERROR(VLOOKUP($B1023,Task!$B$1:$G$61,6,0)," ")</f>
        <v>1.0416666666666666E-2</v>
      </c>
      <c r="E1023" s="9">
        <f t="shared" si="186"/>
        <v>2.0833333333333332E-2</v>
      </c>
      <c r="F1023" s="10">
        <v>0.56037037037037041</v>
      </c>
      <c r="G1023" s="10">
        <v>0.5855787037037038</v>
      </c>
      <c r="H1023" s="8">
        <f t="shared" si="187"/>
        <v>2.5208333333333388E-2</v>
      </c>
      <c r="I1023" s="11">
        <f t="shared" si="188"/>
        <v>0.58120370370370378</v>
      </c>
      <c r="J1023" s="8"/>
      <c r="K1023" s="8"/>
      <c r="L1023" s="8"/>
      <c r="M1023" s="12"/>
      <c r="N1023" s="13">
        <f t="shared" si="189"/>
        <v>0.82644628099173367</v>
      </c>
      <c r="W1023" s="22"/>
    </row>
    <row r="1024" spans="1:23" ht="14.5">
      <c r="A1024" s="6">
        <v>45653</v>
      </c>
      <c r="B1024" s="47" t="s">
        <v>51</v>
      </c>
      <c r="C1024" s="7">
        <v>2</v>
      </c>
      <c r="D1024" s="8">
        <f>IFERROR(VLOOKUP($B1024,Task!$B$1:$G$61,6,0)," ")</f>
        <v>1.0416666666666666E-2</v>
      </c>
      <c r="E1024" s="9">
        <f t="shared" si="186"/>
        <v>2.0833333333333332E-2</v>
      </c>
      <c r="F1024" s="10">
        <f>G1023</f>
        <v>0.5855787037037038</v>
      </c>
      <c r="G1024" s="10">
        <v>0.60086805555555556</v>
      </c>
      <c r="H1024" s="8">
        <f t="shared" si="187"/>
        <v>1.5289351851851762E-2</v>
      </c>
      <c r="I1024" s="11">
        <f t="shared" si="188"/>
        <v>0.60641203703703717</v>
      </c>
      <c r="J1024" s="8"/>
      <c r="K1024" s="8"/>
      <c r="L1024" s="8"/>
      <c r="M1024" s="18"/>
      <c r="N1024" s="13">
        <f t="shared" si="189"/>
        <v>1.3626040878122714</v>
      </c>
      <c r="W1024" s="22"/>
    </row>
    <row r="1025" spans="1:23" ht="14.5">
      <c r="A1025" s="6">
        <v>45653</v>
      </c>
      <c r="B1025" s="47" t="s">
        <v>52</v>
      </c>
      <c r="C1025" s="7">
        <v>2</v>
      </c>
      <c r="D1025" s="8">
        <f>IFERROR(VLOOKUP($B1025,Task!$B$1:$G$61,6,0)," ")</f>
        <v>1.0416666666666666E-2</v>
      </c>
      <c r="E1025" s="9">
        <f t="shared" si="186"/>
        <v>2.0833333333333332E-2</v>
      </c>
      <c r="F1025" s="10">
        <v>0.60188657407407409</v>
      </c>
      <c r="G1025" s="10">
        <v>0.62091435185185184</v>
      </c>
      <c r="H1025" s="8">
        <f t="shared" si="187"/>
        <v>1.9027777777777755E-2</v>
      </c>
      <c r="I1025" s="11">
        <f t="shared" si="188"/>
        <v>0.62271990740740746</v>
      </c>
      <c r="J1025" s="8"/>
      <c r="K1025" s="8"/>
      <c r="L1025" s="8"/>
      <c r="M1025" s="12"/>
      <c r="N1025" s="13">
        <f t="shared" si="189"/>
        <v>1.0948905109489064</v>
      </c>
      <c r="W1025" s="22"/>
    </row>
    <row r="1026" spans="1:23" ht="14.5">
      <c r="A1026" s="6">
        <v>45653</v>
      </c>
      <c r="B1026" s="47" t="s">
        <v>53</v>
      </c>
      <c r="C1026" s="7">
        <v>2</v>
      </c>
      <c r="D1026" s="8">
        <f>IFERROR(VLOOKUP($B1026,Task!$B$1:$G$61,6,0)," ")</f>
        <v>1.0416666666666666E-2</v>
      </c>
      <c r="E1026" s="9">
        <f t="shared" si="186"/>
        <v>2.0833333333333332E-2</v>
      </c>
      <c r="F1026" s="10">
        <f t="shared" ref="F1026:F1027" si="203">G1025</f>
        <v>0.62091435185185184</v>
      </c>
      <c r="G1026" s="10">
        <v>0.67503472222222227</v>
      </c>
      <c r="H1026" s="8">
        <f t="shared" si="187"/>
        <v>1.8807870370370433E-2</v>
      </c>
      <c r="I1026" s="11">
        <f t="shared" si="188"/>
        <v>0.67706018518518518</v>
      </c>
      <c r="J1026" s="8"/>
      <c r="K1026" s="8"/>
      <c r="L1026" s="8">
        <v>3.5312499999999997E-2</v>
      </c>
      <c r="M1026" s="12"/>
      <c r="N1026" s="13">
        <f t="shared" si="189"/>
        <v>1.107692307692304</v>
      </c>
      <c r="W1026" s="22"/>
    </row>
    <row r="1027" spans="1:23" ht="14.5">
      <c r="A1027" s="6">
        <v>45653</v>
      </c>
      <c r="B1027" s="47" t="s">
        <v>46</v>
      </c>
      <c r="C1027" s="7">
        <v>24</v>
      </c>
      <c r="D1027" s="8">
        <f>IFERROR(VLOOKUP($B1027,Task!$B$1:$G$61,6,0)," ")</f>
        <v>3.472222222222222E-3</v>
      </c>
      <c r="E1027" s="9">
        <f t="shared" si="186"/>
        <v>8.3333333333333329E-2</v>
      </c>
      <c r="F1027" s="10">
        <f t="shared" si="203"/>
        <v>0.67503472222222227</v>
      </c>
      <c r="G1027" s="10">
        <v>0.75</v>
      </c>
      <c r="H1027" s="8">
        <f t="shared" si="187"/>
        <v>7.4965277777777728E-2</v>
      </c>
      <c r="I1027" s="11">
        <f t="shared" si="188"/>
        <v>0.75836805555555564</v>
      </c>
      <c r="J1027" s="8"/>
      <c r="K1027" s="8"/>
      <c r="L1027" s="8"/>
      <c r="M1027" s="12"/>
      <c r="N1027" s="13">
        <f t="shared" si="189"/>
        <v>1.1116257526632707</v>
      </c>
      <c r="W1027" s="22"/>
    </row>
    <row r="1028" spans="1:23" ht="14.5">
      <c r="A1028" s="6">
        <v>45656</v>
      </c>
      <c r="B1028" s="47" t="s">
        <v>43</v>
      </c>
      <c r="C1028" s="7">
        <v>1</v>
      </c>
      <c r="D1028" s="8">
        <f>IFERROR(VLOOKUP($B1028,Task!$B$1:$G$61,6,0)," ")</f>
        <v>3.4722222222222224E-2</v>
      </c>
      <c r="E1028" s="9">
        <f t="shared" si="186"/>
        <v>3.4722222222222224E-2</v>
      </c>
      <c r="F1028" s="10">
        <v>0.38069444444444445</v>
      </c>
      <c r="G1028" s="10">
        <v>0.41127314814814819</v>
      </c>
      <c r="H1028" s="8">
        <f t="shared" si="187"/>
        <v>3.0578703703703747E-2</v>
      </c>
      <c r="I1028" s="11">
        <f t="shared" si="188"/>
        <v>0.41541666666666666</v>
      </c>
      <c r="J1028" s="8"/>
      <c r="K1028" s="8"/>
      <c r="L1028" s="8"/>
      <c r="M1028" s="12"/>
      <c r="N1028" s="13">
        <f t="shared" si="189"/>
        <v>1.1355034065102181</v>
      </c>
      <c r="W1028" s="22"/>
    </row>
    <row r="1029" spans="1:23" ht="14.5">
      <c r="A1029" s="6">
        <v>45656</v>
      </c>
      <c r="B1029" s="47" t="s">
        <v>42</v>
      </c>
      <c r="C1029" s="7">
        <v>1</v>
      </c>
      <c r="D1029" s="8">
        <f>IFERROR(VLOOKUP($B1029,Task!$B$1:$G$61,6,0)," ")</f>
        <v>6.9444444444444441E-3</v>
      </c>
      <c r="E1029" s="9">
        <f t="shared" si="186"/>
        <v>6.9444444444444441E-3</v>
      </c>
      <c r="F1029" s="10">
        <f t="shared" ref="F1029:F1030" si="204">G1028</f>
        <v>0.41127314814814819</v>
      </c>
      <c r="G1029" s="10">
        <v>0.41773148148148148</v>
      </c>
      <c r="H1029" s="8">
        <f t="shared" si="187"/>
        <v>6.4583333333332882E-3</v>
      </c>
      <c r="I1029" s="11">
        <f t="shared" si="188"/>
        <v>0.41821759259259261</v>
      </c>
      <c r="J1029" s="8"/>
      <c r="K1029" s="8"/>
      <c r="L1029" s="8"/>
      <c r="M1029" s="12"/>
      <c r="N1029" s="13">
        <f t="shared" si="189"/>
        <v>1.0752688172043086</v>
      </c>
      <c r="W1029" s="22"/>
    </row>
    <row r="1030" spans="1:23" ht="14.5">
      <c r="A1030" s="6">
        <v>45656</v>
      </c>
      <c r="B1030" s="47" t="s">
        <v>46</v>
      </c>
      <c r="C1030" s="7">
        <v>36</v>
      </c>
      <c r="D1030" s="8">
        <f>IFERROR(VLOOKUP($B1030,Task!$B$1:$G$61,6,0)," ")</f>
        <v>3.472222222222222E-3</v>
      </c>
      <c r="E1030" s="9">
        <f t="shared" si="186"/>
        <v>0.125</v>
      </c>
      <c r="F1030" s="10">
        <f t="shared" si="204"/>
        <v>0.41773148148148148</v>
      </c>
      <c r="G1030" s="10">
        <v>0.58078703703703705</v>
      </c>
      <c r="H1030" s="8">
        <f t="shared" si="187"/>
        <v>0.11427083333333338</v>
      </c>
      <c r="I1030" s="11">
        <f t="shared" si="188"/>
        <v>0.59151620370370361</v>
      </c>
      <c r="J1030" s="8"/>
      <c r="K1030" s="8">
        <v>4.5706018518518521E-2</v>
      </c>
      <c r="L1030" s="8">
        <f>K1030+H1031</f>
        <v>4.8784722222222188E-2</v>
      </c>
      <c r="M1030" s="12"/>
      <c r="N1030" s="13">
        <f t="shared" si="189"/>
        <v>1.093892433910665</v>
      </c>
      <c r="W1030" s="22"/>
    </row>
    <row r="1031" spans="1:23" ht="14.5">
      <c r="A1031" s="6">
        <v>45656</v>
      </c>
      <c r="B1031" s="47" t="s">
        <v>46</v>
      </c>
      <c r="C1031" s="7">
        <v>1</v>
      </c>
      <c r="D1031" s="8">
        <f>IFERROR(VLOOKUP($B1031,Task!$B$1:$G$61,6,0)," ")</f>
        <v>3.472222222222222E-3</v>
      </c>
      <c r="E1031" s="9">
        <f t="shared" si="186"/>
        <v>3.472222222222222E-3</v>
      </c>
      <c r="F1031" s="10">
        <v>0.57664351851851858</v>
      </c>
      <c r="G1031" s="10">
        <v>0.57972222222222225</v>
      </c>
      <c r="H1031" s="8">
        <f t="shared" si="187"/>
        <v>3.0787037037036669E-3</v>
      </c>
      <c r="I1031" s="11">
        <f t="shared" si="188"/>
        <v>0.58011574074074079</v>
      </c>
      <c r="J1031" s="8"/>
      <c r="K1031" s="8"/>
      <c r="L1031" s="8"/>
      <c r="M1031" s="12"/>
      <c r="N1031" s="13">
        <f t="shared" si="189"/>
        <v>1.1278195488721938</v>
      </c>
      <c r="W1031" s="22"/>
    </row>
    <row r="1032" spans="1:23" ht="14.5">
      <c r="A1032" s="6">
        <v>45656</v>
      </c>
      <c r="B1032" s="47" t="s">
        <v>18</v>
      </c>
      <c r="C1032" s="7">
        <v>1</v>
      </c>
      <c r="D1032" s="8">
        <f>IFERROR(VLOOKUP($B1032,Task!$B$1:$G$61,6,0)," ")</f>
        <v>4.8611111111111112E-2</v>
      </c>
      <c r="E1032" s="9">
        <f t="shared" si="186"/>
        <v>4.8611111111111112E-2</v>
      </c>
      <c r="F1032" s="10">
        <v>0.58078703703703705</v>
      </c>
      <c r="G1032" s="10">
        <v>0.62746527777777783</v>
      </c>
      <c r="H1032" s="8">
        <f t="shared" si="187"/>
        <v>4.6678240740740784E-2</v>
      </c>
      <c r="I1032" s="11">
        <f t="shared" si="188"/>
        <v>0.62939814814814821</v>
      </c>
      <c r="J1032" s="8"/>
      <c r="K1032" s="8"/>
      <c r="L1032" s="8"/>
      <c r="M1032" s="12"/>
      <c r="N1032" s="13">
        <f t="shared" si="189"/>
        <v>1.0414083808579211</v>
      </c>
      <c r="W1032" s="22"/>
    </row>
    <row r="1033" spans="1:23" ht="14.5">
      <c r="A1033" s="6">
        <v>45656</v>
      </c>
      <c r="B1033" s="47" t="s">
        <v>46</v>
      </c>
      <c r="C1033" s="7">
        <v>40</v>
      </c>
      <c r="D1033" s="8">
        <f>IFERROR(VLOOKUP($B1033,Task!$B$1:$G$61,6,0)," ")</f>
        <v>3.472222222222222E-3</v>
      </c>
      <c r="E1033" s="9">
        <f t="shared" si="186"/>
        <v>0.1388888888888889</v>
      </c>
      <c r="F1033" s="10">
        <f>G1032</f>
        <v>0.62746527777777783</v>
      </c>
      <c r="G1033" s="10">
        <v>0.76298511573986616</v>
      </c>
      <c r="H1033" s="8">
        <f t="shared" si="187"/>
        <v>0.12336706018431055</v>
      </c>
      <c r="I1033" s="11">
        <f t="shared" si="188"/>
        <v>0.77850694444444446</v>
      </c>
      <c r="J1033" s="8"/>
      <c r="K1033" s="8"/>
      <c r="L1033" s="8">
        <v>1.2152777777777778E-2</v>
      </c>
      <c r="M1033" s="12"/>
      <c r="N1033" s="13">
        <f t="shared" si="189"/>
        <v>1.1258182587911936</v>
      </c>
      <c r="W1033" s="22"/>
    </row>
    <row r="1034" spans="1:23" ht="14.5">
      <c r="A1034" s="6">
        <v>45657</v>
      </c>
      <c r="B1034" s="47" t="s">
        <v>46</v>
      </c>
      <c r="C1034" s="7">
        <v>37</v>
      </c>
      <c r="D1034" s="8">
        <f>IFERROR(VLOOKUP($B1034,Task!$B$1:$G$61,6,0)," ")</f>
        <v>3.472222222222222E-3</v>
      </c>
      <c r="E1034" s="9">
        <f t="shared" si="186"/>
        <v>0.12847222222222221</v>
      </c>
      <c r="F1034" s="10">
        <v>0.24531250000000002</v>
      </c>
      <c r="G1034" s="10">
        <v>0.36430555555555555</v>
      </c>
      <c r="H1034" s="8">
        <f t="shared" si="187"/>
        <v>0.11899305555555553</v>
      </c>
      <c r="I1034" s="11">
        <f t="shared" si="188"/>
        <v>0.37378472222222225</v>
      </c>
      <c r="J1034" s="8"/>
      <c r="K1034" s="8"/>
      <c r="L1034" s="8"/>
      <c r="M1034" s="12"/>
      <c r="N1034" s="13">
        <f t="shared" si="189"/>
        <v>1.0796615115261163</v>
      </c>
      <c r="W1034" s="22"/>
    </row>
    <row r="1035" spans="1:23" ht="14.5">
      <c r="A1035" s="6">
        <v>45657</v>
      </c>
      <c r="B1035" s="47" t="s">
        <v>18</v>
      </c>
      <c r="C1035" s="7">
        <v>1</v>
      </c>
      <c r="D1035" s="8">
        <f>IFERROR(VLOOKUP($B1035,Task!$B$1:$G$61,6,0)," ")</f>
        <v>4.8611111111111112E-2</v>
      </c>
      <c r="E1035" s="9">
        <f t="shared" si="186"/>
        <v>4.8611111111111112E-2</v>
      </c>
      <c r="F1035" s="10">
        <v>0.36430555555555555</v>
      </c>
      <c r="G1035" s="10">
        <v>0.41185185185185186</v>
      </c>
      <c r="H1035" s="8">
        <f t="shared" si="187"/>
        <v>4.4583333333333343E-2</v>
      </c>
      <c r="I1035" s="11">
        <f t="shared" si="188"/>
        <v>0.4158796296296296</v>
      </c>
      <c r="J1035" s="8"/>
      <c r="K1035" s="8"/>
      <c r="L1035" s="8">
        <v>2.9629629629629628E-3</v>
      </c>
      <c r="M1035" s="12"/>
      <c r="N1035" s="13">
        <f t="shared" si="189"/>
        <v>1.0903426791277255</v>
      </c>
      <c r="W1035" s="22"/>
    </row>
    <row r="1036" spans="1:23" ht="14.5">
      <c r="A1036" s="6">
        <v>45657</v>
      </c>
      <c r="B1036" s="47" t="s">
        <v>46</v>
      </c>
      <c r="C1036" s="7">
        <v>48</v>
      </c>
      <c r="D1036" s="8">
        <f>IFERROR(VLOOKUP($B1036,Task!$B$1:$G$61,6,0)," ")</f>
        <v>3.472222222222222E-3</v>
      </c>
      <c r="E1036" s="9">
        <f t="shared" si="186"/>
        <v>0.16666666666666666</v>
      </c>
      <c r="F1036" s="10">
        <f>G1035</f>
        <v>0.41185185185185186</v>
      </c>
      <c r="G1036" s="10">
        <v>0.63011116898269393</v>
      </c>
      <c r="H1036" s="8">
        <f t="shared" si="187"/>
        <v>0.15858339120491616</v>
      </c>
      <c r="I1036" s="11">
        <f t="shared" si="188"/>
        <v>0.63819444444444451</v>
      </c>
      <c r="J1036" s="8"/>
      <c r="K1036" s="8"/>
      <c r="L1036" s="8">
        <v>5.9675925925925924E-2</v>
      </c>
      <c r="M1036" s="12"/>
      <c r="N1036" s="13">
        <f t="shared" si="189"/>
        <v>1.050971765708463</v>
      </c>
      <c r="W1036" s="22"/>
    </row>
    <row r="1037" spans="1:23" ht="14.5">
      <c r="A1037" s="63"/>
      <c r="B1037" s="64"/>
      <c r="C1037" s="65"/>
      <c r="D1037" s="66"/>
      <c r="E1037" s="67"/>
      <c r="F1037" s="68"/>
      <c r="G1037" s="68"/>
      <c r="H1037" s="66"/>
      <c r="I1037" s="69"/>
      <c r="J1037" s="66"/>
      <c r="K1037" s="66"/>
      <c r="L1037" s="66"/>
      <c r="M1037" s="70"/>
      <c r="N1037" s="71"/>
      <c r="W1037" s="22"/>
    </row>
    <row r="1038" spans="1:23" ht="14.5">
      <c r="A1038" s="63"/>
      <c r="B1038" s="64"/>
      <c r="C1038" s="65"/>
      <c r="D1038" s="66"/>
      <c r="E1038" s="67"/>
      <c r="F1038" s="68"/>
      <c r="G1038" s="68"/>
      <c r="H1038" s="66"/>
      <c r="I1038" s="69"/>
      <c r="J1038" s="66"/>
      <c r="K1038" s="66"/>
      <c r="L1038" s="66"/>
      <c r="M1038" s="70"/>
      <c r="N1038" s="71"/>
      <c r="W1038" s="22"/>
    </row>
    <row r="1039" spans="1:23" ht="14.5">
      <c r="A1039" s="63"/>
      <c r="B1039" s="64"/>
      <c r="C1039" s="65"/>
      <c r="D1039" s="66"/>
      <c r="E1039" s="67"/>
      <c r="F1039" s="68"/>
      <c r="G1039" s="68"/>
      <c r="H1039" s="66"/>
      <c r="I1039" s="69"/>
      <c r="J1039" s="66"/>
      <c r="K1039" s="66"/>
      <c r="L1039" s="66"/>
      <c r="M1039" s="70"/>
      <c r="N1039" s="71"/>
      <c r="W1039" s="22"/>
    </row>
    <row r="1040" spans="1:23" ht="14.5">
      <c r="A1040" s="63"/>
      <c r="B1040" s="64"/>
      <c r="C1040" s="65"/>
      <c r="D1040" s="66"/>
      <c r="E1040" s="67"/>
      <c r="F1040" s="68"/>
      <c r="G1040" s="68"/>
      <c r="H1040" s="66"/>
      <c r="I1040" s="69"/>
      <c r="J1040" s="66"/>
      <c r="K1040" s="66"/>
      <c r="L1040" s="66"/>
      <c r="M1040" s="70"/>
      <c r="N1040" s="71"/>
      <c r="W1040" s="22"/>
    </row>
    <row r="1041" spans="1:23" ht="14.5">
      <c r="A1041" s="63"/>
      <c r="B1041" s="64"/>
      <c r="C1041" s="65"/>
      <c r="D1041" s="66"/>
      <c r="E1041" s="67"/>
      <c r="F1041" s="68"/>
      <c r="G1041" s="68"/>
      <c r="H1041" s="66"/>
      <c r="I1041" s="69"/>
      <c r="J1041" s="66"/>
      <c r="K1041" s="66"/>
      <c r="L1041" s="66"/>
      <c r="M1041" s="70"/>
      <c r="N1041" s="71"/>
      <c r="W1041" s="22"/>
    </row>
    <row r="1042" spans="1:23" ht="14.5">
      <c r="A1042" s="63"/>
      <c r="B1042" s="64"/>
      <c r="C1042" s="65"/>
      <c r="D1042" s="66"/>
      <c r="E1042" s="67"/>
      <c r="F1042" s="68"/>
      <c r="G1042" s="68"/>
      <c r="H1042" s="66"/>
      <c r="I1042" s="69"/>
      <c r="J1042" s="66"/>
      <c r="K1042" s="66"/>
      <c r="L1042" s="66"/>
      <c r="M1042" s="70"/>
      <c r="N1042" s="71"/>
      <c r="W1042" s="22"/>
    </row>
    <row r="1043" spans="1:23" ht="14.5">
      <c r="A1043" s="63"/>
      <c r="B1043" s="64"/>
      <c r="C1043" s="65"/>
      <c r="D1043" s="66"/>
      <c r="E1043" s="67"/>
      <c r="F1043" s="68"/>
      <c r="G1043" s="68"/>
      <c r="H1043" s="66"/>
      <c r="I1043" s="69"/>
      <c r="J1043" s="66"/>
      <c r="K1043" s="66"/>
      <c r="L1043" s="66"/>
      <c r="M1043" s="70"/>
      <c r="N1043" s="71"/>
      <c r="W1043" s="22"/>
    </row>
    <row r="1044" spans="1:23" ht="14.5">
      <c r="A1044" s="63"/>
      <c r="B1044" s="64"/>
      <c r="C1044" s="65"/>
      <c r="D1044" s="66"/>
      <c r="E1044" s="67"/>
      <c r="F1044" s="68"/>
      <c r="G1044" s="68"/>
      <c r="H1044" s="66"/>
      <c r="I1044" s="69"/>
      <c r="J1044" s="66"/>
      <c r="K1044" s="66"/>
      <c r="L1044" s="66"/>
      <c r="M1044" s="70"/>
      <c r="N1044" s="71"/>
      <c r="W1044" s="22"/>
    </row>
    <row r="1045" spans="1:23" ht="14.5">
      <c r="A1045" s="63"/>
      <c r="B1045" s="64"/>
      <c r="C1045" s="65"/>
      <c r="D1045" s="66"/>
      <c r="E1045" s="67"/>
      <c r="F1045" s="68"/>
      <c r="G1045" s="68"/>
      <c r="H1045" s="66"/>
      <c r="I1045" s="69"/>
      <c r="J1045" s="66"/>
      <c r="K1045" s="66"/>
      <c r="L1045" s="66"/>
      <c r="M1045" s="70"/>
      <c r="N1045" s="71"/>
      <c r="W1045" s="22"/>
    </row>
    <row r="1046" spans="1:23" ht="14.5">
      <c r="A1046" s="63"/>
      <c r="B1046" s="64"/>
      <c r="C1046" s="65"/>
      <c r="D1046" s="66"/>
      <c r="E1046" s="67"/>
      <c r="F1046" s="68"/>
      <c r="G1046" s="68"/>
      <c r="H1046" s="66"/>
      <c r="I1046" s="69"/>
      <c r="J1046" s="66"/>
      <c r="K1046" s="66"/>
      <c r="L1046" s="66"/>
      <c r="M1046" s="70"/>
      <c r="N1046" s="71"/>
      <c r="W1046" s="22"/>
    </row>
    <row r="1047" spans="1:23" ht="14.5">
      <c r="A1047" s="63"/>
      <c r="B1047" s="64"/>
      <c r="C1047" s="65"/>
      <c r="D1047" s="66"/>
      <c r="E1047" s="67"/>
      <c r="F1047" s="68"/>
      <c r="G1047" s="68"/>
      <c r="H1047" s="66"/>
      <c r="I1047" s="69"/>
      <c r="J1047" s="66"/>
      <c r="K1047" s="66"/>
      <c r="L1047" s="66"/>
      <c r="M1047" s="70"/>
      <c r="N1047" s="71"/>
      <c r="W1047" s="22"/>
    </row>
    <row r="1048" spans="1:23" ht="14.5">
      <c r="A1048" s="63"/>
      <c r="B1048" s="64"/>
      <c r="C1048" s="65"/>
      <c r="D1048" s="66"/>
      <c r="E1048" s="67"/>
      <c r="F1048" s="68"/>
      <c r="G1048" s="68"/>
      <c r="H1048" s="66"/>
      <c r="I1048" s="69"/>
      <c r="J1048" s="66"/>
      <c r="K1048" s="66"/>
      <c r="L1048" s="66"/>
      <c r="M1048" s="70"/>
      <c r="N1048" s="71"/>
      <c r="W1048" s="22"/>
    </row>
    <row r="1049" spans="1:23" ht="14.5">
      <c r="A1049" s="63"/>
      <c r="B1049" s="64"/>
      <c r="C1049" s="65"/>
      <c r="D1049" s="66"/>
      <c r="E1049" s="67"/>
      <c r="F1049" s="68"/>
      <c r="G1049" s="68"/>
      <c r="H1049" s="66"/>
      <c r="I1049" s="69"/>
      <c r="J1049" s="66"/>
      <c r="K1049" s="66"/>
      <c r="L1049" s="66"/>
      <c r="M1049" s="70"/>
      <c r="N1049" s="71"/>
      <c r="W1049" s="22"/>
    </row>
    <row r="1050" spans="1:23" ht="14.5">
      <c r="A1050" s="63"/>
      <c r="B1050" s="64"/>
      <c r="C1050" s="65"/>
      <c r="D1050" s="66"/>
      <c r="E1050" s="67"/>
      <c r="F1050" s="68"/>
      <c r="G1050" s="68"/>
      <c r="H1050" s="66"/>
      <c r="I1050" s="69"/>
      <c r="J1050" s="66"/>
      <c r="K1050" s="66"/>
      <c r="L1050" s="66"/>
      <c r="M1050" s="70"/>
      <c r="N1050" s="71"/>
      <c r="W1050" s="22"/>
    </row>
    <row r="1051" spans="1:23" ht="14.5">
      <c r="A1051" s="63"/>
      <c r="B1051" s="64"/>
      <c r="C1051" s="65"/>
      <c r="D1051" s="66"/>
      <c r="E1051" s="67"/>
      <c r="F1051" s="68"/>
      <c r="G1051" s="68"/>
      <c r="H1051" s="66"/>
      <c r="I1051" s="69"/>
      <c r="J1051" s="66"/>
      <c r="K1051" s="66"/>
      <c r="L1051" s="66"/>
      <c r="M1051" s="70"/>
      <c r="N1051" s="71"/>
      <c r="W1051" s="22"/>
    </row>
    <row r="1052" spans="1:23" ht="14.5">
      <c r="A1052" s="63"/>
      <c r="B1052" s="64"/>
      <c r="C1052" s="65"/>
      <c r="D1052" s="66"/>
      <c r="E1052" s="67"/>
      <c r="F1052" s="68"/>
      <c r="G1052" s="68"/>
      <c r="H1052" s="66"/>
      <c r="I1052" s="69"/>
      <c r="J1052" s="66"/>
      <c r="K1052" s="66"/>
      <c r="L1052" s="66"/>
      <c r="M1052" s="70"/>
      <c r="N1052" s="71"/>
      <c r="W1052" s="22"/>
    </row>
    <row r="1053" spans="1:23" ht="14.5">
      <c r="A1053" s="63"/>
      <c r="B1053" s="64"/>
      <c r="C1053" s="65"/>
      <c r="D1053" s="66"/>
      <c r="E1053" s="67"/>
      <c r="F1053" s="68"/>
      <c r="G1053" s="68"/>
      <c r="H1053" s="66"/>
      <c r="I1053" s="69"/>
      <c r="J1053" s="66"/>
      <c r="K1053" s="66"/>
      <c r="L1053" s="66"/>
      <c r="M1053" s="70"/>
      <c r="N1053" s="71"/>
      <c r="W1053" s="22"/>
    </row>
    <row r="1054" spans="1:23" ht="14.5">
      <c r="A1054" s="63"/>
      <c r="B1054" s="64"/>
      <c r="C1054" s="65"/>
      <c r="D1054" s="66"/>
      <c r="E1054" s="67"/>
      <c r="F1054" s="68"/>
      <c r="G1054" s="68"/>
      <c r="H1054" s="66"/>
      <c r="I1054" s="69"/>
      <c r="J1054" s="66"/>
      <c r="K1054" s="66"/>
      <c r="L1054" s="66"/>
      <c r="M1054" s="70"/>
      <c r="N1054" s="71"/>
      <c r="W1054" s="22"/>
    </row>
    <row r="1055" spans="1:23" ht="14.5">
      <c r="A1055" s="63"/>
      <c r="B1055" s="64"/>
      <c r="C1055" s="65"/>
      <c r="D1055" s="66"/>
      <c r="E1055" s="67"/>
      <c r="F1055" s="68"/>
      <c r="G1055" s="68"/>
      <c r="H1055" s="66"/>
      <c r="I1055" s="69"/>
      <c r="J1055" s="66"/>
      <c r="K1055" s="66"/>
      <c r="L1055" s="66"/>
      <c r="M1055" s="70"/>
      <c r="N1055" s="71"/>
      <c r="W1055" s="22"/>
    </row>
    <row r="1056" spans="1:23" ht="14.5">
      <c r="A1056" s="63"/>
      <c r="B1056" s="64"/>
      <c r="C1056" s="65"/>
      <c r="D1056" s="66"/>
      <c r="E1056" s="67"/>
      <c r="F1056" s="68"/>
      <c r="G1056" s="68"/>
      <c r="H1056" s="66"/>
      <c r="I1056" s="69"/>
      <c r="J1056" s="66"/>
      <c r="K1056" s="66"/>
      <c r="L1056" s="66"/>
      <c r="M1056" s="70"/>
      <c r="N1056" s="71"/>
      <c r="W1056" s="22"/>
    </row>
    <row r="1057" spans="1:23" ht="14.5">
      <c r="A1057" s="63"/>
      <c r="B1057" s="64"/>
      <c r="C1057" s="65"/>
      <c r="D1057" s="66"/>
      <c r="E1057" s="67"/>
      <c r="F1057" s="68"/>
      <c r="G1057" s="68"/>
      <c r="H1057" s="66"/>
      <c r="I1057" s="69"/>
      <c r="J1057" s="66"/>
      <c r="K1057" s="66"/>
      <c r="L1057" s="66"/>
      <c r="M1057" s="70"/>
      <c r="N1057" s="71"/>
      <c r="W1057" s="22"/>
    </row>
    <row r="1058" spans="1:23" ht="14.5">
      <c r="A1058" s="63"/>
      <c r="B1058" s="64"/>
      <c r="C1058" s="65"/>
      <c r="D1058" s="66"/>
      <c r="E1058" s="67"/>
      <c r="F1058" s="68"/>
      <c r="G1058" s="68"/>
      <c r="H1058" s="66"/>
      <c r="I1058" s="69"/>
      <c r="J1058" s="66"/>
      <c r="K1058" s="66"/>
      <c r="L1058" s="66"/>
      <c r="M1058" s="70"/>
      <c r="N1058" s="71"/>
      <c r="W1058" s="22"/>
    </row>
    <row r="1059" spans="1:23" ht="14.5">
      <c r="A1059" s="63"/>
      <c r="B1059" s="64"/>
      <c r="C1059" s="65"/>
      <c r="D1059" s="66"/>
      <c r="E1059" s="67"/>
      <c r="F1059" s="68"/>
      <c r="G1059" s="68"/>
      <c r="H1059" s="66"/>
      <c r="I1059" s="69"/>
      <c r="J1059" s="66"/>
      <c r="K1059" s="66"/>
      <c r="L1059" s="66"/>
      <c r="M1059" s="70"/>
      <c r="N1059" s="71"/>
      <c r="W1059" s="22"/>
    </row>
    <row r="1060" spans="1:23" ht="14.5">
      <c r="A1060" s="63"/>
      <c r="B1060" s="64"/>
      <c r="C1060" s="65"/>
      <c r="D1060" s="66"/>
      <c r="E1060" s="67"/>
      <c r="F1060" s="68"/>
      <c r="G1060" s="68"/>
      <c r="H1060" s="66"/>
      <c r="I1060" s="69"/>
      <c r="J1060" s="66"/>
      <c r="K1060" s="66"/>
      <c r="L1060" s="66"/>
      <c r="M1060" s="70"/>
      <c r="N1060" s="71"/>
      <c r="W1060" s="22"/>
    </row>
    <row r="1061" spans="1:23" ht="14.5">
      <c r="A1061" s="63"/>
      <c r="B1061" s="64"/>
      <c r="C1061" s="65"/>
      <c r="D1061" s="66"/>
      <c r="E1061" s="67"/>
      <c r="F1061" s="68"/>
      <c r="G1061" s="68"/>
      <c r="H1061" s="66"/>
      <c r="I1061" s="69"/>
      <c r="J1061" s="66"/>
      <c r="K1061" s="66"/>
      <c r="L1061" s="66"/>
      <c r="M1061" s="70"/>
      <c r="N1061" s="71"/>
      <c r="W1061" s="22"/>
    </row>
    <row r="1062" spans="1:23" ht="14.5">
      <c r="A1062" s="63"/>
      <c r="B1062" s="64"/>
      <c r="C1062" s="65"/>
      <c r="D1062" s="66"/>
      <c r="E1062" s="67"/>
      <c r="F1062" s="68"/>
      <c r="G1062" s="68"/>
      <c r="H1062" s="66"/>
      <c r="I1062" s="69"/>
      <c r="J1062" s="66"/>
      <c r="K1062" s="66"/>
      <c r="L1062" s="66"/>
      <c r="M1062" s="70"/>
      <c r="N1062" s="71"/>
      <c r="W1062" s="22"/>
    </row>
    <row r="1063" spans="1:23" ht="14.5">
      <c r="A1063" s="63"/>
      <c r="B1063" s="64"/>
      <c r="C1063" s="65"/>
      <c r="D1063" s="66"/>
      <c r="E1063" s="67"/>
      <c r="F1063" s="68"/>
      <c r="G1063" s="68"/>
      <c r="H1063" s="66"/>
      <c r="I1063" s="69"/>
      <c r="J1063" s="66"/>
      <c r="K1063" s="66"/>
      <c r="L1063" s="66"/>
      <c r="M1063" s="70"/>
      <c r="N1063" s="71"/>
      <c r="W1063" s="22"/>
    </row>
    <row r="1064" spans="1:23" ht="14.5">
      <c r="A1064" s="63"/>
      <c r="B1064" s="64"/>
      <c r="C1064" s="65"/>
      <c r="D1064" s="66"/>
      <c r="E1064" s="67"/>
      <c r="F1064" s="68"/>
      <c r="G1064" s="68"/>
      <c r="H1064" s="66"/>
      <c r="I1064" s="69"/>
      <c r="J1064" s="66"/>
      <c r="K1064" s="66"/>
      <c r="L1064" s="66"/>
      <c r="M1064" s="70"/>
      <c r="N1064" s="71"/>
      <c r="W1064" s="22"/>
    </row>
    <row r="1065" spans="1:23" ht="14.5">
      <c r="A1065" s="63"/>
      <c r="B1065" s="64"/>
      <c r="C1065" s="65"/>
      <c r="D1065" s="66"/>
      <c r="E1065" s="67"/>
      <c r="F1065" s="68"/>
      <c r="G1065" s="68"/>
      <c r="H1065" s="66"/>
      <c r="I1065" s="69"/>
      <c r="J1065" s="66"/>
      <c r="K1065" s="66"/>
      <c r="L1065" s="66"/>
      <c r="M1065" s="70"/>
      <c r="N1065" s="71"/>
      <c r="W1065" s="22"/>
    </row>
    <row r="1066" spans="1:23" ht="14.5">
      <c r="A1066" s="63"/>
      <c r="B1066" s="64"/>
      <c r="C1066" s="65"/>
      <c r="D1066" s="66"/>
      <c r="E1066" s="67"/>
      <c r="F1066" s="68"/>
      <c r="G1066" s="68"/>
      <c r="H1066" s="66"/>
      <c r="I1066" s="69"/>
      <c r="J1066" s="66"/>
      <c r="K1066" s="66"/>
      <c r="L1066" s="66"/>
      <c r="M1066" s="70"/>
      <c r="N1066" s="71"/>
      <c r="W1066" s="22"/>
    </row>
    <row r="1067" spans="1:23" ht="14.5">
      <c r="A1067" s="63"/>
      <c r="B1067" s="64"/>
      <c r="C1067" s="65"/>
      <c r="D1067" s="66"/>
      <c r="E1067" s="67"/>
      <c r="F1067" s="68"/>
      <c r="G1067" s="68"/>
      <c r="H1067" s="66"/>
      <c r="I1067" s="69"/>
      <c r="J1067" s="66"/>
      <c r="K1067" s="66"/>
      <c r="L1067" s="66"/>
      <c r="M1067" s="70"/>
      <c r="N1067" s="71"/>
      <c r="W1067" s="22"/>
    </row>
    <row r="1068" spans="1:23" ht="14.5">
      <c r="A1068" s="63"/>
      <c r="B1068" s="64"/>
      <c r="C1068" s="65"/>
      <c r="D1068" s="66"/>
      <c r="E1068" s="67"/>
      <c r="F1068" s="68"/>
      <c r="G1068" s="68"/>
      <c r="H1068" s="66"/>
      <c r="I1068" s="69"/>
      <c r="J1068" s="66"/>
      <c r="K1068" s="66"/>
      <c r="L1068" s="66"/>
      <c r="M1068" s="70"/>
      <c r="N1068" s="71"/>
      <c r="W1068" s="22"/>
    </row>
    <row r="1069" spans="1:23" ht="14.5">
      <c r="A1069" s="63"/>
      <c r="B1069" s="64"/>
      <c r="C1069" s="65"/>
      <c r="D1069" s="66"/>
      <c r="E1069" s="67"/>
      <c r="F1069" s="68"/>
      <c r="G1069" s="68"/>
      <c r="H1069" s="66"/>
      <c r="I1069" s="69"/>
      <c r="J1069" s="66"/>
      <c r="K1069" s="66"/>
      <c r="L1069" s="66"/>
      <c r="M1069" s="70"/>
      <c r="N1069" s="71"/>
      <c r="W1069" s="22"/>
    </row>
    <row r="1070" spans="1:23" ht="14.5">
      <c r="A1070" s="63"/>
      <c r="B1070" s="64"/>
      <c r="C1070" s="65"/>
      <c r="D1070" s="66"/>
      <c r="E1070" s="67"/>
      <c r="F1070" s="68"/>
      <c r="G1070" s="68"/>
      <c r="H1070" s="66"/>
      <c r="I1070" s="69"/>
      <c r="J1070" s="66"/>
      <c r="K1070" s="66"/>
      <c r="L1070" s="66"/>
      <c r="M1070" s="70"/>
      <c r="N1070" s="71"/>
      <c r="W1070" s="22"/>
    </row>
    <row r="1071" spans="1:23" ht="14.5">
      <c r="A1071" s="63"/>
      <c r="B1071" s="64"/>
      <c r="C1071" s="65"/>
      <c r="D1071" s="66"/>
      <c r="E1071" s="67"/>
      <c r="F1071" s="68"/>
      <c r="G1071" s="68"/>
      <c r="H1071" s="66"/>
      <c r="I1071" s="69"/>
      <c r="J1071" s="66"/>
      <c r="K1071" s="66"/>
      <c r="L1071" s="66"/>
      <c r="M1071" s="70"/>
      <c r="N1071" s="71"/>
      <c r="W1071" s="22"/>
    </row>
    <row r="1072" spans="1:23" ht="14.5">
      <c r="A1072" s="63"/>
      <c r="B1072" s="64"/>
      <c r="C1072" s="65"/>
      <c r="D1072" s="66"/>
      <c r="E1072" s="67"/>
      <c r="F1072" s="68"/>
      <c r="G1072" s="68"/>
      <c r="H1072" s="66"/>
      <c r="I1072" s="69"/>
      <c r="J1072" s="66"/>
      <c r="K1072" s="66"/>
      <c r="L1072" s="66"/>
      <c r="M1072" s="70"/>
      <c r="N1072" s="71"/>
      <c r="W1072" s="22"/>
    </row>
    <row r="1073" spans="1:23" ht="14.5">
      <c r="A1073" s="63"/>
      <c r="B1073" s="64"/>
      <c r="C1073" s="65"/>
      <c r="D1073" s="66"/>
      <c r="E1073" s="67"/>
      <c r="F1073" s="68"/>
      <c r="G1073" s="68"/>
      <c r="H1073" s="66"/>
      <c r="I1073" s="69"/>
      <c r="J1073" s="66"/>
      <c r="K1073" s="66"/>
      <c r="L1073" s="66"/>
      <c r="M1073" s="70"/>
      <c r="N1073" s="71"/>
      <c r="W1073" s="22"/>
    </row>
    <row r="1074" spans="1:23" ht="14.5">
      <c r="A1074" s="63"/>
      <c r="B1074" s="64"/>
      <c r="C1074" s="65"/>
      <c r="D1074" s="66"/>
      <c r="E1074" s="67"/>
      <c r="F1074" s="68"/>
      <c r="G1074" s="68"/>
      <c r="H1074" s="66"/>
      <c r="I1074" s="69"/>
      <c r="J1074" s="66"/>
      <c r="K1074" s="66"/>
      <c r="L1074" s="66"/>
      <c r="M1074" s="70"/>
      <c r="N1074" s="71"/>
      <c r="W1074" s="22"/>
    </row>
    <row r="1075" spans="1:23" ht="14.5">
      <c r="A1075" s="63"/>
      <c r="B1075" s="64"/>
      <c r="C1075" s="65"/>
      <c r="D1075" s="66"/>
      <c r="E1075" s="67"/>
      <c r="F1075" s="68"/>
      <c r="G1075" s="68"/>
      <c r="H1075" s="66"/>
      <c r="I1075" s="69"/>
      <c r="J1075" s="66"/>
      <c r="K1075" s="66"/>
      <c r="L1075" s="66"/>
      <c r="M1075" s="70"/>
      <c r="N1075" s="71"/>
      <c r="W1075" s="22"/>
    </row>
    <row r="1076" spans="1:23" ht="14.5">
      <c r="A1076" s="63"/>
      <c r="B1076" s="64"/>
      <c r="C1076" s="65"/>
      <c r="D1076" s="66"/>
      <c r="E1076" s="67"/>
      <c r="F1076" s="68"/>
      <c r="G1076" s="68"/>
      <c r="H1076" s="66"/>
      <c r="I1076" s="69"/>
      <c r="J1076" s="66"/>
      <c r="K1076" s="66"/>
      <c r="L1076" s="66"/>
      <c r="M1076" s="70"/>
      <c r="N1076" s="71"/>
      <c r="W1076" s="22"/>
    </row>
    <row r="1077" spans="1:23" ht="14.5">
      <c r="A1077" s="63"/>
      <c r="B1077" s="64"/>
      <c r="C1077" s="65"/>
      <c r="D1077" s="66"/>
      <c r="E1077" s="67"/>
      <c r="F1077" s="68"/>
      <c r="G1077" s="68"/>
      <c r="H1077" s="66"/>
      <c r="I1077" s="69"/>
      <c r="J1077" s="66"/>
      <c r="K1077" s="66"/>
      <c r="L1077" s="66"/>
      <c r="M1077" s="70"/>
      <c r="N1077" s="71"/>
      <c r="W1077" s="22"/>
    </row>
    <row r="1078" spans="1:23" ht="14.5">
      <c r="A1078" s="63"/>
      <c r="B1078" s="64"/>
      <c r="C1078" s="65"/>
      <c r="D1078" s="66"/>
      <c r="E1078" s="67"/>
      <c r="F1078" s="68"/>
      <c r="G1078" s="68"/>
      <c r="H1078" s="66"/>
      <c r="I1078" s="69"/>
      <c r="J1078" s="66"/>
      <c r="K1078" s="66"/>
      <c r="L1078" s="66"/>
      <c r="M1078" s="70"/>
      <c r="N1078" s="71"/>
      <c r="W1078" s="22"/>
    </row>
    <row r="1079" spans="1:23" ht="14.5">
      <c r="A1079" s="63"/>
      <c r="B1079" s="64"/>
      <c r="C1079" s="65"/>
      <c r="D1079" s="66"/>
      <c r="E1079" s="67"/>
      <c r="F1079" s="68"/>
      <c r="G1079" s="68"/>
      <c r="H1079" s="66"/>
      <c r="I1079" s="69"/>
      <c r="J1079" s="66"/>
      <c r="K1079" s="66"/>
      <c r="L1079" s="66"/>
      <c r="M1079" s="70"/>
      <c r="N1079" s="71"/>
      <c r="W1079" s="22"/>
    </row>
    <row r="1080" spans="1:23" ht="14.5">
      <c r="A1080" s="63"/>
      <c r="B1080" s="64"/>
      <c r="C1080" s="65"/>
      <c r="D1080" s="66"/>
      <c r="E1080" s="67"/>
      <c r="F1080" s="68"/>
      <c r="G1080" s="68"/>
      <c r="H1080" s="66"/>
      <c r="I1080" s="69"/>
      <c r="J1080" s="66"/>
      <c r="K1080" s="66"/>
      <c r="L1080" s="66"/>
      <c r="M1080" s="70"/>
      <c r="N1080" s="71"/>
      <c r="W1080" s="22"/>
    </row>
    <row r="1081" spans="1:23" ht="14.5">
      <c r="A1081" s="63"/>
      <c r="B1081" s="64"/>
      <c r="C1081" s="65"/>
      <c r="D1081" s="66"/>
      <c r="E1081" s="67"/>
      <c r="F1081" s="68"/>
      <c r="G1081" s="68"/>
      <c r="H1081" s="66"/>
      <c r="I1081" s="69"/>
      <c r="J1081" s="66"/>
      <c r="K1081" s="66"/>
      <c r="L1081" s="66"/>
      <c r="M1081" s="70"/>
      <c r="N1081" s="71"/>
      <c r="W1081" s="22"/>
    </row>
    <row r="1082" spans="1:23" ht="14.5">
      <c r="A1082" s="63"/>
      <c r="B1082" s="64"/>
      <c r="C1082" s="65"/>
      <c r="D1082" s="66"/>
      <c r="E1082" s="67"/>
      <c r="F1082" s="68"/>
      <c r="G1082" s="68"/>
      <c r="H1082" s="66"/>
      <c r="I1082" s="69"/>
      <c r="J1082" s="66"/>
      <c r="K1082" s="66"/>
      <c r="L1082" s="66"/>
      <c r="M1082" s="70"/>
      <c r="N1082" s="71"/>
      <c r="W1082" s="22"/>
    </row>
    <row r="1083" spans="1:23" ht="14.5">
      <c r="A1083" s="63"/>
      <c r="B1083" s="64"/>
      <c r="C1083" s="65"/>
      <c r="D1083" s="66"/>
      <c r="E1083" s="67"/>
      <c r="F1083" s="68"/>
      <c r="G1083" s="68"/>
      <c r="H1083" s="66"/>
      <c r="I1083" s="69"/>
      <c r="J1083" s="66"/>
      <c r="K1083" s="66"/>
      <c r="L1083" s="66"/>
      <c r="M1083" s="70"/>
      <c r="N1083" s="71"/>
      <c r="W1083" s="22"/>
    </row>
    <row r="1084" spans="1:23" ht="14.5">
      <c r="A1084" s="63"/>
      <c r="B1084" s="64"/>
      <c r="C1084" s="65"/>
      <c r="D1084" s="66"/>
      <c r="E1084" s="67"/>
      <c r="F1084" s="68"/>
      <c r="G1084" s="68"/>
      <c r="H1084" s="66"/>
      <c r="I1084" s="69"/>
      <c r="J1084" s="66"/>
      <c r="K1084" s="66"/>
      <c r="L1084" s="66"/>
      <c r="M1084" s="70"/>
      <c r="N1084" s="71"/>
      <c r="W1084" s="22"/>
    </row>
    <row r="1085" spans="1:23" ht="14.5">
      <c r="A1085" s="63"/>
      <c r="B1085" s="64"/>
      <c r="C1085" s="65"/>
      <c r="D1085" s="66"/>
      <c r="E1085" s="67"/>
      <c r="F1085" s="68"/>
      <c r="G1085" s="68"/>
      <c r="H1085" s="66"/>
      <c r="I1085" s="69"/>
      <c r="J1085" s="66"/>
      <c r="K1085" s="66"/>
      <c r="L1085" s="66"/>
      <c r="M1085" s="70"/>
      <c r="N1085" s="71"/>
      <c r="W1085" s="22"/>
    </row>
    <row r="1086" spans="1:23" ht="14.5">
      <c r="A1086" s="63"/>
      <c r="B1086" s="64"/>
      <c r="C1086" s="65"/>
      <c r="D1086" s="66"/>
      <c r="E1086" s="67"/>
      <c r="F1086" s="68"/>
      <c r="G1086" s="68"/>
      <c r="H1086" s="66"/>
      <c r="I1086" s="69"/>
      <c r="J1086" s="66"/>
      <c r="K1086" s="66"/>
      <c r="L1086" s="66"/>
      <c r="M1086" s="70"/>
      <c r="N1086" s="71"/>
      <c r="W1086" s="22"/>
    </row>
    <row r="1087" spans="1:23" ht="14.5">
      <c r="A1087" s="63"/>
      <c r="B1087" s="64"/>
      <c r="C1087" s="65"/>
      <c r="D1087" s="66"/>
      <c r="E1087" s="67"/>
      <c r="F1087" s="68"/>
      <c r="G1087" s="68"/>
      <c r="H1087" s="66"/>
      <c r="I1087" s="69"/>
      <c r="J1087" s="66"/>
      <c r="K1087" s="66"/>
      <c r="L1087" s="66"/>
      <c r="M1087" s="70"/>
      <c r="N1087" s="71"/>
      <c r="W1087" s="22"/>
    </row>
    <row r="1088" spans="1:23" ht="14.5">
      <c r="A1088" s="63"/>
      <c r="B1088" s="64"/>
      <c r="C1088" s="65"/>
      <c r="D1088" s="66"/>
      <c r="E1088" s="67"/>
      <c r="F1088" s="68"/>
      <c r="G1088" s="68"/>
      <c r="H1088" s="66"/>
      <c r="I1088" s="69"/>
      <c r="J1088" s="66"/>
      <c r="K1088" s="66"/>
      <c r="L1088" s="66"/>
      <c r="M1088" s="70"/>
      <c r="N1088" s="71"/>
      <c r="W1088" s="22"/>
    </row>
    <row r="1089" spans="1:23" ht="14.5">
      <c r="A1089" s="63"/>
      <c r="B1089" s="64"/>
      <c r="C1089" s="65"/>
      <c r="D1089" s="66"/>
      <c r="E1089" s="67"/>
      <c r="F1089" s="68"/>
      <c r="G1089" s="68"/>
      <c r="H1089" s="66"/>
      <c r="I1089" s="69"/>
      <c r="J1089" s="66"/>
      <c r="K1089" s="66"/>
      <c r="L1089" s="66"/>
      <c r="M1089" s="70"/>
      <c r="N1089" s="71"/>
      <c r="W1089" s="22"/>
    </row>
    <row r="1090" spans="1:23" ht="14.5">
      <c r="A1090" s="63"/>
      <c r="B1090" s="64"/>
      <c r="C1090" s="65"/>
      <c r="D1090" s="66"/>
      <c r="E1090" s="67"/>
      <c r="F1090" s="68"/>
      <c r="G1090" s="68"/>
      <c r="H1090" s="66"/>
      <c r="I1090" s="69"/>
      <c r="J1090" s="66"/>
      <c r="K1090" s="66"/>
      <c r="L1090" s="66"/>
      <c r="M1090" s="70"/>
      <c r="N1090" s="71"/>
      <c r="W1090" s="22"/>
    </row>
    <row r="1091" spans="1:23" ht="14.5">
      <c r="A1091" s="63"/>
      <c r="B1091" s="64"/>
      <c r="C1091" s="65"/>
      <c r="D1091" s="66"/>
      <c r="E1091" s="67"/>
      <c r="F1091" s="68"/>
      <c r="G1091" s="68"/>
      <c r="H1091" s="66"/>
      <c r="I1091" s="69"/>
      <c r="J1091" s="66"/>
      <c r="K1091" s="66"/>
      <c r="L1091" s="66"/>
      <c r="M1091" s="70"/>
      <c r="N1091" s="71"/>
      <c r="W1091" s="22"/>
    </row>
    <row r="1092" spans="1:23" ht="14.5">
      <c r="A1092" s="63"/>
      <c r="B1092" s="64"/>
      <c r="C1092" s="65"/>
      <c r="D1092" s="66"/>
      <c r="E1092" s="67"/>
      <c r="F1092" s="68"/>
      <c r="G1092" s="68"/>
      <c r="H1092" s="66"/>
      <c r="I1092" s="69"/>
      <c r="J1092" s="66"/>
      <c r="K1092" s="66"/>
      <c r="L1092" s="66"/>
      <c r="M1092" s="70"/>
      <c r="N1092" s="71"/>
      <c r="W1092" s="22"/>
    </row>
    <row r="1093" spans="1:23" ht="14.5">
      <c r="A1093" s="63"/>
      <c r="B1093" s="64"/>
      <c r="C1093" s="65"/>
      <c r="D1093" s="66"/>
      <c r="E1093" s="67"/>
      <c r="F1093" s="68"/>
      <c r="G1093" s="68"/>
      <c r="H1093" s="66"/>
      <c r="I1093" s="69"/>
      <c r="J1093" s="66"/>
      <c r="K1093" s="66"/>
      <c r="L1093" s="66"/>
      <c r="M1093" s="70"/>
      <c r="N1093" s="71"/>
      <c r="W1093" s="22"/>
    </row>
    <row r="1094" spans="1:23" ht="14.5">
      <c r="A1094" s="63"/>
      <c r="B1094" s="64"/>
      <c r="C1094" s="65"/>
      <c r="D1094" s="66"/>
      <c r="E1094" s="67"/>
      <c r="F1094" s="68"/>
      <c r="G1094" s="68"/>
      <c r="H1094" s="66"/>
      <c r="I1094" s="69"/>
      <c r="J1094" s="66"/>
      <c r="K1094" s="66"/>
      <c r="L1094" s="66"/>
      <c r="M1094" s="70"/>
      <c r="N1094" s="71"/>
      <c r="W1094" s="22"/>
    </row>
    <row r="1095" spans="1:23" ht="14.5">
      <c r="A1095" s="63"/>
      <c r="B1095" s="64"/>
      <c r="C1095" s="65"/>
      <c r="D1095" s="66"/>
      <c r="E1095" s="67"/>
      <c r="F1095" s="68"/>
      <c r="G1095" s="68"/>
      <c r="H1095" s="66"/>
      <c r="I1095" s="69"/>
      <c r="J1095" s="66"/>
      <c r="K1095" s="66"/>
      <c r="L1095" s="66"/>
      <c r="M1095" s="70"/>
      <c r="N1095" s="71"/>
      <c r="W1095" s="22"/>
    </row>
    <row r="1096" spans="1:23" ht="14.5">
      <c r="A1096" s="63"/>
      <c r="B1096" s="64"/>
      <c r="C1096" s="65"/>
      <c r="D1096" s="66"/>
      <c r="E1096" s="67"/>
      <c r="F1096" s="68"/>
      <c r="G1096" s="68"/>
      <c r="H1096" s="66"/>
      <c r="I1096" s="69"/>
      <c r="J1096" s="66"/>
      <c r="K1096" s="66"/>
      <c r="L1096" s="66"/>
      <c r="M1096" s="70"/>
      <c r="N1096" s="71"/>
      <c r="W1096" s="22"/>
    </row>
    <row r="1097" spans="1:23" ht="14.5">
      <c r="A1097" s="63"/>
      <c r="B1097" s="64"/>
      <c r="C1097" s="65"/>
      <c r="D1097" s="66"/>
      <c r="E1097" s="67"/>
      <c r="F1097" s="68"/>
      <c r="G1097" s="68"/>
      <c r="H1097" s="66"/>
      <c r="I1097" s="69"/>
      <c r="J1097" s="66"/>
      <c r="K1097" s="66"/>
      <c r="L1097" s="66"/>
      <c r="M1097" s="70"/>
      <c r="N1097" s="71"/>
      <c r="W1097" s="22"/>
    </row>
    <row r="1098" spans="1:23" ht="14.5">
      <c r="A1098" s="63"/>
      <c r="B1098" s="64"/>
      <c r="C1098" s="65"/>
      <c r="D1098" s="66"/>
      <c r="E1098" s="67"/>
      <c r="F1098" s="68"/>
      <c r="G1098" s="68"/>
      <c r="H1098" s="66"/>
      <c r="I1098" s="69"/>
      <c r="J1098" s="66"/>
      <c r="K1098" s="66"/>
      <c r="L1098" s="66"/>
      <c r="M1098" s="70"/>
      <c r="N1098" s="71"/>
      <c r="W1098" s="22"/>
    </row>
    <row r="1099" spans="1:23" ht="14.5">
      <c r="A1099" s="63"/>
      <c r="B1099" s="64"/>
      <c r="C1099" s="65"/>
      <c r="D1099" s="66"/>
      <c r="E1099" s="67"/>
      <c r="F1099" s="68"/>
      <c r="G1099" s="68"/>
      <c r="H1099" s="66"/>
      <c r="I1099" s="69"/>
      <c r="J1099" s="66"/>
      <c r="K1099" s="66"/>
      <c r="L1099" s="66"/>
      <c r="M1099" s="70"/>
      <c r="N1099" s="71"/>
      <c r="W1099" s="22"/>
    </row>
    <row r="1100" spans="1:23" ht="14.5">
      <c r="A1100" s="63"/>
      <c r="B1100" s="64"/>
      <c r="C1100" s="65"/>
      <c r="D1100" s="66"/>
      <c r="E1100" s="67"/>
      <c r="F1100" s="68"/>
      <c r="G1100" s="68"/>
      <c r="H1100" s="66"/>
      <c r="I1100" s="69"/>
      <c r="J1100" s="66"/>
      <c r="K1100" s="66"/>
      <c r="L1100" s="66"/>
      <c r="M1100" s="70"/>
      <c r="N1100" s="71"/>
      <c r="W1100" s="22"/>
    </row>
    <row r="1101" spans="1:23" ht="14.5">
      <c r="A1101" s="63"/>
      <c r="B1101" s="64"/>
      <c r="C1101" s="65"/>
      <c r="D1101" s="66"/>
      <c r="E1101" s="67"/>
      <c r="F1101" s="68"/>
      <c r="G1101" s="68"/>
      <c r="H1101" s="66"/>
      <c r="I1101" s="69"/>
      <c r="J1101" s="66"/>
      <c r="K1101" s="66"/>
      <c r="L1101" s="66"/>
      <c r="M1101" s="70"/>
      <c r="N1101" s="71"/>
      <c r="W1101" s="22"/>
    </row>
    <row r="1102" spans="1:23" ht="14.5">
      <c r="A1102" s="63"/>
      <c r="B1102" s="64"/>
      <c r="C1102" s="65"/>
      <c r="D1102" s="66"/>
      <c r="E1102" s="67"/>
      <c r="F1102" s="68"/>
      <c r="G1102" s="68"/>
      <c r="H1102" s="66"/>
      <c r="I1102" s="69"/>
      <c r="J1102" s="66"/>
      <c r="K1102" s="66"/>
      <c r="L1102" s="66"/>
      <c r="M1102" s="70"/>
      <c r="N1102" s="71"/>
      <c r="W1102" s="22"/>
    </row>
    <row r="1103" spans="1:23" ht="14.5">
      <c r="A1103" s="63"/>
      <c r="B1103" s="64"/>
      <c r="C1103" s="65"/>
      <c r="D1103" s="66"/>
      <c r="E1103" s="67"/>
      <c r="F1103" s="68"/>
      <c r="G1103" s="68"/>
      <c r="H1103" s="66"/>
      <c r="I1103" s="69"/>
      <c r="J1103" s="66"/>
      <c r="K1103" s="66"/>
      <c r="L1103" s="66"/>
      <c r="M1103" s="70"/>
      <c r="N1103" s="71"/>
      <c r="W1103" s="22"/>
    </row>
    <row r="1104" spans="1:23" ht="14.5">
      <c r="A1104" s="63"/>
      <c r="B1104" s="64"/>
      <c r="C1104" s="65"/>
      <c r="D1104" s="66"/>
      <c r="E1104" s="67"/>
      <c r="F1104" s="68"/>
      <c r="G1104" s="68"/>
      <c r="H1104" s="66"/>
      <c r="I1104" s="69"/>
      <c r="J1104" s="66"/>
      <c r="K1104" s="66"/>
      <c r="L1104" s="66"/>
      <c r="M1104" s="70"/>
      <c r="N1104" s="71"/>
      <c r="W1104" s="22"/>
    </row>
    <row r="1105" spans="1:23" ht="14.5">
      <c r="A1105" s="63"/>
      <c r="B1105" s="64"/>
      <c r="C1105" s="65"/>
      <c r="D1105" s="66"/>
      <c r="E1105" s="67"/>
      <c r="F1105" s="68"/>
      <c r="G1105" s="68"/>
      <c r="H1105" s="66"/>
      <c r="I1105" s="69"/>
      <c r="J1105" s="66"/>
      <c r="K1105" s="66"/>
      <c r="L1105" s="66"/>
      <c r="M1105" s="70"/>
      <c r="N1105" s="71"/>
      <c r="W1105" s="22"/>
    </row>
    <row r="1106" spans="1:23" ht="14.5">
      <c r="A1106" s="63"/>
      <c r="B1106" s="64"/>
      <c r="C1106" s="65"/>
      <c r="D1106" s="66"/>
      <c r="E1106" s="67"/>
      <c r="F1106" s="68"/>
      <c r="G1106" s="68"/>
      <c r="H1106" s="66"/>
      <c r="I1106" s="69"/>
      <c r="J1106" s="66"/>
      <c r="K1106" s="66"/>
      <c r="L1106" s="66"/>
      <c r="M1106" s="70"/>
      <c r="N1106" s="71"/>
      <c r="W1106" s="22"/>
    </row>
    <row r="1107" spans="1:23" ht="14.5">
      <c r="A1107" s="63"/>
      <c r="B1107" s="64"/>
      <c r="C1107" s="65"/>
      <c r="D1107" s="66"/>
      <c r="E1107" s="67"/>
      <c r="F1107" s="68"/>
      <c r="G1107" s="68"/>
      <c r="H1107" s="66"/>
      <c r="I1107" s="69"/>
      <c r="J1107" s="66"/>
      <c r="K1107" s="66"/>
      <c r="L1107" s="66"/>
      <c r="M1107" s="70"/>
      <c r="N1107" s="71"/>
      <c r="W1107" s="22"/>
    </row>
    <row r="1108" spans="1:23" ht="14.5">
      <c r="A1108" s="63"/>
      <c r="B1108" s="64"/>
      <c r="C1108" s="65"/>
      <c r="D1108" s="66"/>
      <c r="E1108" s="67"/>
      <c r="F1108" s="68"/>
      <c r="G1108" s="68"/>
      <c r="H1108" s="66"/>
      <c r="I1108" s="69"/>
      <c r="J1108" s="66"/>
      <c r="K1108" s="66"/>
      <c r="L1108" s="66"/>
      <c r="M1108" s="70"/>
      <c r="N1108" s="71"/>
      <c r="W1108" s="22"/>
    </row>
    <row r="1109" spans="1:23" ht="14.5">
      <c r="A1109" s="63"/>
      <c r="B1109" s="64"/>
      <c r="C1109" s="65"/>
      <c r="D1109" s="66"/>
      <c r="E1109" s="67"/>
      <c r="F1109" s="68"/>
      <c r="G1109" s="68"/>
      <c r="H1109" s="66"/>
      <c r="I1109" s="69"/>
      <c r="J1109" s="66"/>
      <c r="K1109" s="66"/>
      <c r="L1109" s="66"/>
      <c r="M1109" s="70"/>
      <c r="N1109" s="71"/>
      <c r="W1109" s="22"/>
    </row>
    <row r="1110" spans="1:23" ht="14.5">
      <c r="A1110" s="63"/>
      <c r="B1110" s="64"/>
      <c r="C1110" s="65"/>
      <c r="D1110" s="66"/>
      <c r="E1110" s="67"/>
      <c r="F1110" s="68"/>
      <c r="G1110" s="68"/>
      <c r="H1110" s="66"/>
      <c r="I1110" s="69"/>
      <c r="J1110" s="66"/>
      <c r="K1110" s="66"/>
      <c r="L1110" s="66"/>
      <c r="M1110" s="70"/>
      <c r="N1110" s="71"/>
      <c r="W1110" s="22"/>
    </row>
    <row r="1111" spans="1:23" ht="14.5">
      <c r="A1111" s="63"/>
      <c r="B1111" s="64"/>
      <c r="C1111" s="65"/>
      <c r="D1111" s="66"/>
      <c r="E1111" s="67"/>
      <c r="F1111" s="68"/>
      <c r="G1111" s="68"/>
      <c r="H1111" s="66"/>
      <c r="I1111" s="69"/>
      <c r="J1111" s="66"/>
      <c r="K1111" s="66"/>
      <c r="L1111" s="66"/>
      <c r="M1111" s="70"/>
      <c r="N1111" s="71"/>
      <c r="W1111" s="22"/>
    </row>
    <row r="1112" spans="1:23" ht="14.5">
      <c r="A1112" s="63"/>
      <c r="B1112" s="64"/>
      <c r="C1112" s="65"/>
      <c r="D1112" s="66"/>
      <c r="E1112" s="67"/>
      <c r="F1112" s="68"/>
      <c r="G1112" s="68"/>
      <c r="H1112" s="66"/>
      <c r="I1112" s="69"/>
      <c r="J1112" s="66"/>
      <c r="K1112" s="66"/>
      <c r="L1112" s="66"/>
      <c r="M1112" s="70"/>
      <c r="N1112" s="71"/>
      <c r="W1112" s="22"/>
    </row>
    <row r="1113" spans="1:23" ht="14.5">
      <c r="A1113" s="63"/>
      <c r="B1113" s="64"/>
      <c r="C1113" s="65"/>
      <c r="D1113" s="66"/>
      <c r="E1113" s="67"/>
      <c r="F1113" s="68"/>
      <c r="G1113" s="68"/>
      <c r="H1113" s="66"/>
      <c r="I1113" s="69"/>
      <c r="J1113" s="66"/>
      <c r="K1113" s="66"/>
      <c r="L1113" s="66"/>
      <c r="M1113" s="70"/>
      <c r="N1113" s="71"/>
      <c r="W1113" s="22"/>
    </row>
    <row r="1114" spans="1:23" ht="14.5">
      <c r="A1114" s="63"/>
      <c r="B1114" s="64"/>
      <c r="C1114" s="65"/>
      <c r="D1114" s="66"/>
      <c r="E1114" s="67"/>
      <c r="F1114" s="68"/>
      <c r="G1114" s="68"/>
      <c r="H1114" s="66"/>
      <c r="I1114" s="69"/>
      <c r="J1114" s="66"/>
      <c r="K1114" s="66"/>
      <c r="L1114" s="66"/>
      <c r="M1114" s="70"/>
      <c r="N1114" s="71"/>
      <c r="W1114" s="22"/>
    </row>
    <row r="1115" spans="1:23" ht="14.5">
      <c r="A1115" s="63"/>
      <c r="B1115" s="64"/>
      <c r="C1115" s="65"/>
      <c r="D1115" s="66"/>
      <c r="E1115" s="67"/>
      <c r="F1115" s="68"/>
      <c r="G1115" s="68"/>
      <c r="H1115" s="66"/>
      <c r="I1115" s="69"/>
      <c r="J1115" s="66"/>
      <c r="K1115" s="66"/>
      <c r="L1115" s="66"/>
      <c r="M1115" s="70"/>
      <c r="N1115" s="71"/>
      <c r="W1115" s="22"/>
    </row>
    <row r="1116" spans="1:23" ht="14.5">
      <c r="A1116" s="63"/>
      <c r="B1116" s="64"/>
      <c r="C1116" s="65"/>
      <c r="D1116" s="66"/>
      <c r="E1116" s="67"/>
      <c r="F1116" s="68"/>
      <c r="G1116" s="68"/>
      <c r="H1116" s="66"/>
      <c r="I1116" s="69"/>
      <c r="J1116" s="66"/>
      <c r="K1116" s="66"/>
      <c r="L1116" s="66"/>
      <c r="M1116" s="70"/>
      <c r="N1116" s="71"/>
      <c r="W1116" s="22"/>
    </row>
    <row r="1117" spans="1:23" ht="14.5">
      <c r="A1117" s="63"/>
      <c r="B1117" s="64"/>
      <c r="C1117" s="65"/>
      <c r="D1117" s="66"/>
      <c r="E1117" s="67"/>
      <c r="F1117" s="68"/>
      <c r="G1117" s="68"/>
      <c r="H1117" s="66"/>
      <c r="I1117" s="69"/>
      <c r="J1117" s="66"/>
      <c r="K1117" s="66"/>
      <c r="L1117" s="66"/>
      <c r="M1117" s="70"/>
      <c r="N1117" s="71"/>
      <c r="W1117" s="22"/>
    </row>
    <row r="1118" spans="1:23" ht="14.5">
      <c r="A1118" s="63"/>
      <c r="B1118" s="64"/>
      <c r="C1118" s="65"/>
      <c r="D1118" s="66"/>
      <c r="E1118" s="67"/>
      <c r="F1118" s="68"/>
      <c r="G1118" s="68"/>
      <c r="H1118" s="66"/>
      <c r="I1118" s="69"/>
      <c r="J1118" s="66"/>
      <c r="K1118" s="66"/>
      <c r="L1118" s="66"/>
      <c r="M1118" s="70"/>
      <c r="N1118" s="71"/>
      <c r="W1118" s="22"/>
    </row>
    <row r="1119" spans="1:23" ht="14.5">
      <c r="A1119" s="63"/>
      <c r="B1119" s="64"/>
      <c r="C1119" s="65"/>
      <c r="D1119" s="66"/>
      <c r="E1119" s="67"/>
      <c r="F1119" s="68"/>
      <c r="G1119" s="68"/>
      <c r="H1119" s="66"/>
      <c r="I1119" s="69"/>
      <c r="J1119" s="66"/>
      <c r="K1119" s="66"/>
      <c r="L1119" s="66"/>
      <c r="M1119" s="70"/>
      <c r="N1119" s="71"/>
      <c r="W1119" s="22"/>
    </row>
    <row r="1120" spans="1:23" ht="14.5">
      <c r="A1120" s="63"/>
      <c r="B1120" s="64"/>
      <c r="C1120" s="65"/>
      <c r="D1120" s="66"/>
      <c r="E1120" s="67"/>
      <c r="F1120" s="68"/>
      <c r="G1120" s="68"/>
      <c r="H1120" s="66"/>
      <c r="I1120" s="69"/>
      <c r="J1120" s="66"/>
      <c r="K1120" s="66"/>
      <c r="L1120" s="66"/>
      <c r="M1120" s="70"/>
      <c r="N1120" s="71"/>
      <c r="W1120" s="22"/>
    </row>
    <row r="1121" spans="1:23" ht="14.5">
      <c r="A1121" s="63"/>
      <c r="B1121" s="64"/>
      <c r="C1121" s="65"/>
      <c r="D1121" s="66"/>
      <c r="E1121" s="67"/>
      <c r="F1121" s="68"/>
      <c r="G1121" s="68"/>
      <c r="H1121" s="66"/>
      <c r="I1121" s="69"/>
      <c r="J1121" s="66"/>
      <c r="K1121" s="66"/>
      <c r="L1121" s="66"/>
      <c r="M1121" s="70"/>
      <c r="N1121" s="71"/>
      <c r="W1121" s="22"/>
    </row>
    <row r="1122" spans="1:23" ht="14.5">
      <c r="A1122" s="63"/>
      <c r="B1122" s="64"/>
      <c r="C1122" s="65"/>
      <c r="D1122" s="66"/>
      <c r="E1122" s="67"/>
      <c r="F1122" s="68"/>
      <c r="G1122" s="68"/>
      <c r="H1122" s="66"/>
      <c r="I1122" s="69"/>
      <c r="J1122" s="66"/>
      <c r="K1122" s="66"/>
      <c r="L1122" s="66"/>
      <c r="M1122" s="70"/>
      <c r="N1122" s="71"/>
      <c r="W1122" s="22"/>
    </row>
    <row r="1123" spans="1:23" ht="14.5">
      <c r="A1123" s="63"/>
      <c r="B1123" s="64"/>
      <c r="C1123" s="65"/>
      <c r="D1123" s="66"/>
      <c r="E1123" s="67"/>
      <c r="F1123" s="68"/>
      <c r="G1123" s="68"/>
      <c r="H1123" s="66"/>
      <c r="I1123" s="69"/>
      <c r="J1123" s="66"/>
      <c r="K1123" s="66"/>
      <c r="L1123" s="66"/>
      <c r="M1123" s="70"/>
      <c r="N1123" s="71"/>
      <c r="W1123" s="22"/>
    </row>
    <row r="1124" spans="1:23" ht="14.5">
      <c r="A1124" s="63"/>
      <c r="B1124" s="64"/>
      <c r="C1124" s="65"/>
      <c r="D1124" s="66"/>
      <c r="E1124" s="67"/>
      <c r="F1124" s="68"/>
      <c r="G1124" s="68"/>
      <c r="H1124" s="66"/>
      <c r="I1124" s="69"/>
      <c r="J1124" s="66"/>
      <c r="K1124" s="66"/>
      <c r="L1124" s="66"/>
      <c r="M1124" s="70"/>
      <c r="N1124" s="71"/>
      <c r="W1124" s="22"/>
    </row>
    <row r="1125" spans="1:23" ht="14.5">
      <c r="A1125" s="63"/>
      <c r="B1125" s="64"/>
      <c r="C1125" s="65"/>
      <c r="D1125" s="66"/>
      <c r="E1125" s="67"/>
      <c r="F1125" s="68"/>
      <c r="G1125" s="68"/>
      <c r="H1125" s="66"/>
      <c r="I1125" s="69"/>
      <c r="J1125" s="66"/>
      <c r="K1125" s="66"/>
      <c r="L1125" s="66"/>
      <c r="M1125" s="70"/>
      <c r="N1125" s="71"/>
      <c r="W1125" s="22"/>
    </row>
    <row r="1126" spans="1:23" ht="14.5">
      <c r="A1126" s="63"/>
      <c r="B1126" s="64"/>
      <c r="C1126" s="65"/>
      <c r="D1126" s="66"/>
      <c r="E1126" s="67"/>
      <c r="F1126" s="68"/>
      <c r="G1126" s="68"/>
      <c r="H1126" s="66"/>
      <c r="I1126" s="69"/>
      <c r="J1126" s="66"/>
      <c r="K1126" s="66"/>
      <c r="L1126" s="66"/>
      <c r="M1126" s="70"/>
      <c r="N1126" s="71"/>
      <c r="W1126" s="22"/>
    </row>
    <row r="1127" spans="1:23" ht="14.5">
      <c r="A1127" s="63"/>
      <c r="B1127" s="64"/>
      <c r="C1127" s="65"/>
      <c r="D1127" s="66"/>
      <c r="E1127" s="67"/>
      <c r="F1127" s="68"/>
      <c r="G1127" s="68"/>
      <c r="H1127" s="66"/>
      <c r="I1127" s="69"/>
      <c r="J1127" s="66"/>
      <c r="K1127" s="66"/>
      <c r="L1127" s="66"/>
      <c r="M1127" s="70"/>
      <c r="N1127" s="71"/>
      <c r="W1127" s="22"/>
    </row>
    <row r="1128" spans="1:23" ht="14.5">
      <c r="A1128" s="63"/>
      <c r="B1128" s="64"/>
      <c r="C1128" s="65"/>
      <c r="D1128" s="66"/>
      <c r="E1128" s="67"/>
      <c r="F1128" s="68"/>
      <c r="G1128" s="68"/>
      <c r="H1128" s="66"/>
      <c r="I1128" s="69"/>
      <c r="J1128" s="66"/>
      <c r="K1128" s="66"/>
      <c r="L1128" s="66"/>
      <c r="M1128" s="70"/>
      <c r="N1128" s="71"/>
      <c r="W1128" s="22"/>
    </row>
    <row r="1129" spans="1:23" ht="14.5">
      <c r="A1129" s="63"/>
      <c r="B1129" s="64"/>
      <c r="C1129" s="65"/>
      <c r="D1129" s="66"/>
      <c r="E1129" s="67"/>
      <c r="F1129" s="68"/>
      <c r="G1129" s="68"/>
      <c r="H1129" s="66"/>
      <c r="I1129" s="69"/>
      <c r="J1129" s="66"/>
      <c r="K1129" s="66"/>
      <c r="L1129" s="66"/>
      <c r="M1129" s="70"/>
      <c r="N1129" s="71"/>
      <c r="W1129" s="22"/>
    </row>
    <row r="1130" spans="1:23" ht="14.5">
      <c r="A1130" s="63"/>
      <c r="B1130" s="64"/>
      <c r="C1130" s="65"/>
      <c r="D1130" s="66"/>
      <c r="E1130" s="67"/>
      <c r="F1130" s="68"/>
      <c r="G1130" s="68"/>
      <c r="H1130" s="66"/>
      <c r="I1130" s="69"/>
      <c r="J1130" s="66"/>
      <c r="K1130" s="66"/>
      <c r="L1130" s="66"/>
      <c r="M1130" s="70"/>
      <c r="N1130" s="71"/>
      <c r="W1130" s="22"/>
    </row>
    <row r="1131" spans="1:23" ht="14.5">
      <c r="A1131" s="63"/>
      <c r="B1131" s="64"/>
      <c r="C1131" s="65"/>
      <c r="D1131" s="66"/>
      <c r="E1131" s="67"/>
      <c r="F1131" s="68"/>
      <c r="G1131" s="68"/>
      <c r="H1131" s="66"/>
      <c r="I1131" s="69"/>
      <c r="J1131" s="66"/>
      <c r="K1131" s="66"/>
      <c r="L1131" s="66"/>
      <c r="M1131" s="70"/>
      <c r="N1131" s="71"/>
      <c r="W1131" s="22"/>
    </row>
    <row r="1132" spans="1:23" ht="14.5">
      <c r="A1132" s="63"/>
      <c r="B1132" s="64"/>
      <c r="C1132" s="65"/>
      <c r="D1132" s="66"/>
      <c r="E1132" s="67"/>
      <c r="F1132" s="68"/>
      <c r="G1132" s="68"/>
      <c r="H1132" s="66"/>
      <c r="I1132" s="69"/>
      <c r="J1132" s="66"/>
      <c r="K1132" s="66"/>
      <c r="L1132" s="66"/>
      <c r="M1132" s="70"/>
      <c r="N1132" s="71"/>
      <c r="W1132" s="22"/>
    </row>
    <row r="1133" spans="1:23" ht="14.5">
      <c r="A1133" s="63"/>
      <c r="B1133" s="64"/>
      <c r="C1133" s="65"/>
      <c r="D1133" s="66"/>
      <c r="E1133" s="67"/>
      <c r="F1133" s="68"/>
      <c r="G1133" s="68"/>
      <c r="H1133" s="66"/>
      <c r="I1133" s="69"/>
      <c r="J1133" s="66"/>
      <c r="K1133" s="66"/>
      <c r="L1133" s="66"/>
      <c r="M1133" s="70"/>
      <c r="N1133" s="71"/>
      <c r="W1133" s="22"/>
    </row>
    <row r="1134" spans="1:23" ht="14.5">
      <c r="A1134" s="63"/>
      <c r="B1134" s="64"/>
      <c r="C1134" s="65"/>
      <c r="D1134" s="66"/>
      <c r="E1134" s="67"/>
      <c r="F1134" s="68"/>
      <c r="G1134" s="68"/>
      <c r="H1134" s="66"/>
      <c r="I1134" s="69"/>
      <c r="J1134" s="66"/>
      <c r="K1134" s="66"/>
      <c r="L1134" s="66"/>
      <c r="M1134" s="70"/>
      <c r="N1134" s="71"/>
      <c r="W1134" s="22"/>
    </row>
    <row r="1135" spans="1:23" ht="14.5">
      <c r="A1135" s="63"/>
      <c r="B1135" s="64"/>
      <c r="C1135" s="65"/>
      <c r="D1135" s="66"/>
      <c r="E1135" s="67"/>
      <c r="F1135" s="68"/>
      <c r="G1135" s="68"/>
      <c r="H1135" s="66"/>
      <c r="I1135" s="69"/>
      <c r="J1135" s="66"/>
      <c r="K1135" s="66"/>
      <c r="L1135" s="66"/>
      <c r="M1135" s="70"/>
      <c r="N1135" s="71"/>
      <c r="W1135" s="22"/>
    </row>
    <row r="1136" spans="1:23" ht="14.5">
      <c r="A1136" s="63"/>
      <c r="B1136" s="64"/>
      <c r="C1136" s="65"/>
      <c r="D1136" s="66"/>
      <c r="E1136" s="67"/>
      <c r="F1136" s="68"/>
      <c r="G1136" s="68"/>
      <c r="H1136" s="66"/>
      <c r="I1136" s="69"/>
      <c r="J1136" s="66"/>
      <c r="K1136" s="66"/>
      <c r="L1136" s="66"/>
      <c r="M1136" s="70"/>
      <c r="N1136" s="71"/>
      <c r="W1136" s="22"/>
    </row>
    <row r="1137" spans="1:23" ht="14.5">
      <c r="A1137" s="63"/>
      <c r="B1137" s="64"/>
      <c r="C1137" s="65"/>
      <c r="D1137" s="66"/>
      <c r="E1137" s="67"/>
      <c r="F1137" s="68"/>
      <c r="G1137" s="68"/>
      <c r="H1137" s="66"/>
      <c r="I1137" s="69"/>
      <c r="J1137" s="66"/>
      <c r="K1137" s="66"/>
      <c r="L1137" s="66"/>
      <c r="M1137" s="70"/>
      <c r="N1137" s="71"/>
      <c r="W1137" s="22"/>
    </row>
    <row r="1138" spans="1:23" ht="14.5">
      <c r="A1138" s="63"/>
      <c r="B1138" s="64"/>
      <c r="C1138" s="65"/>
      <c r="D1138" s="66"/>
      <c r="E1138" s="67"/>
      <c r="F1138" s="68"/>
      <c r="G1138" s="68"/>
      <c r="H1138" s="66"/>
      <c r="I1138" s="69"/>
      <c r="J1138" s="66"/>
      <c r="K1138" s="66"/>
      <c r="L1138" s="66"/>
      <c r="M1138" s="70"/>
      <c r="N1138" s="71"/>
      <c r="W1138" s="22"/>
    </row>
    <row r="1139" spans="1:23" ht="14.5">
      <c r="A1139" s="63"/>
      <c r="B1139" s="64"/>
      <c r="C1139" s="65"/>
      <c r="D1139" s="66"/>
      <c r="E1139" s="67"/>
      <c r="F1139" s="68"/>
      <c r="G1139" s="68"/>
      <c r="H1139" s="66"/>
      <c r="I1139" s="69"/>
      <c r="J1139" s="66"/>
      <c r="K1139" s="66"/>
      <c r="L1139" s="66"/>
      <c r="M1139" s="70"/>
      <c r="N1139" s="71"/>
      <c r="W1139" s="22"/>
    </row>
    <row r="1140" spans="1:23" ht="14.5">
      <c r="A1140" s="63"/>
      <c r="B1140" s="64"/>
      <c r="C1140" s="65"/>
      <c r="D1140" s="66"/>
      <c r="E1140" s="67"/>
      <c r="F1140" s="68"/>
      <c r="G1140" s="68"/>
      <c r="H1140" s="66"/>
      <c r="I1140" s="69"/>
      <c r="J1140" s="66"/>
      <c r="K1140" s="66"/>
      <c r="L1140" s="66"/>
      <c r="M1140" s="70"/>
      <c r="N1140" s="71"/>
      <c r="W1140" s="22"/>
    </row>
    <row r="1141" spans="1:23" ht="14.5">
      <c r="A1141" s="63"/>
      <c r="B1141" s="64"/>
      <c r="C1141" s="65"/>
      <c r="D1141" s="66"/>
      <c r="E1141" s="67"/>
      <c r="F1141" s="68"/>
      <c r="G1141" s="68"/>
      <c r="H1141" s="66"/>
      <c r="I1141" s="69"/>
      <c r="J1141" s="66"/>
      <c r="K1141" s="66"/>
      <c r="L1141" s="66"/>
      <c r="M1141" s="70"/>
      <c r="N1141" s="71"/>
      <c r="W1141" s="22"/>
    </row>
    <row r="1142" spans="1:23" ht="14.5">
      <c r="A1142" s="63"/>
      <c r="B1142" s="64"/>
      <c r="C1142" s="65"/>
      <c r="D1142" s="66"/>
      <c r="E1142" s="67"/>
      <c r="F1142" s="68"/>
      <c r="G1142" s="68"/>
      <c r="H1142" s="66"/>
      <c r="I1142" s="69"/>
      <c r="J1142" s="66"/>
      <c r="K1142" s="66"/>
      <c r="L1142" s="66"/>
      <c r="M1142" s="70"/>
      <c r="N1142" s="71"/>
      <c r="W1142" s="22"/>
    </row>
    <row r="1143" spans="1:23" ht="14.5">
      <c r="A1143" s="63"/>
      <c r="B1143" s="64"/>
      <c r="C1143" s="65"/>
      <c r="D1143" s="66"/>
      <c r="E1143" s="67"/>
      <c r="F1143" s="68"/>
      <c r="G1143" s="68"/>
      <c r="H1143" s="66"/>
      <c r="I1143" s="69"/>
      <c r="J1143" s="66"/>
      <c r="K1143" s="66"/>
      <c r="L1143" s="66"/>
      <c r="M1143" s="70"/>
      <c r="N1143" s="71"/>
      <c r="W1143" s="22"/>
    </row>
    <row r="1144" spans="1:23" ht="14.5">
      <c r="A1144" s="63"/>
      <c r="B1144" s="64"/>
      <c r="C1144" s="65"/>
      <c r="D1144" s="66"/>
      <c r="E1144" s="67"/>
      <c r="F1144" s="68"/>
      <c r="G1144" s="68"/>
      <c r="H1144" s="66"/>
      <c r="I1144" s="69"/>
      <c r="J1144" s="66"/>
      <c r="K1144" s="66"/>
      <c r="L1144" s="66"/>
      <c r="M1144" s="70"/>
      <c r="N1144" s="71"/>
      <c r="W1144" s="22"/>
    </row>
    <row r="1145" spans="1:23" ht="14.5">
      <c r="A1145" s="63"/>
      <c r="B1145" s="64"/>
      <c r="C1145" s="65"/>
      <c r="D1145" s="66"/>
      <c r="E1145" s="67"/>
      <c r="F1145" s="68"/>
      <c r="G1145" s="68"/>
      <c r="H1145" s="66"/>
      <c r="I1145" s="69"/>
      <c r="J1145" s="66"/>
      <c r="K1145" s="66"/>
      <c r="L1145" s="66"/>
      <c r="M1145" s="70"/>
      <c r="N1145" s="71"/>
      <c r="W1145" s="22"/>
    </row>
    <row r="1146" spans="1:23" ht="14.5">
      <c r="A1146" s="63"/>
      <c r="B1146" s="64"/>
      <c r="C1146" s="65"/>
      <c r="D1146" s="66"/>
      <c r="E1146" s="67"/>
      <c r="F1146" s="68"/>
      <c r="G1146" s="68"/>
      <c r="H1146" s="66"/>
      <c r="I1146" s="69"/>
      <c r="J1146" s="66"/>
      <c r="K1146" s="66"/>
      <c r="L1146" s="66"/>
      <c r="M1146" s="70"/>
      <c r="N1146" s="71"/>
      <c r="W1146" s="22"/>
    </row>
    <row r="1147" spans="1:23" ht="14.5">
      <c r="A1147" s="63"/>
      <c r="B1147" s="64"/>
      <c r="C1147" s="65"/>
      <c r="D1147" s="66"/>
      <c r="E1147" s="67"/>
      <c r="F1147" s="68"/>
      <c r="G1147" s="68"/>
      <c r="H1147" s="66"/>
      <c r="I1147" s="69"/>
      <c r="J1147" s="66"/>
      <c r="K1147" s="66"/>
      <c r="L1147" s="66"/>
      <c r="M1147" s="70"/>
      <c r="N1147" s="71"/>
      <c r="W1147" s="22"/>
    </row>
    <row r="1148" spans="1:23" ht="14.5">
      <c r="A1148" s="63"/>
      <c r="B1148" s="64"/>
      <c r="C1148" s="65"/>
      <c r="D1148" s="66"/>
      <c r="E1148" s="67"/>
      <c r="F1148" s="68"/>
      <c r="G1148" s="68"/>
      <c r="H1148" s="66"/>
      <c r="I1148" s="69"/>
      <c r="J1148" s="66"/>
      <c r="K1148" s="66"/>
      <c r="L1148" s="66"/>
      <c r="M1148" s="70"/>
      <c r="N1148" s="71"/>
      <c r="W1148" s="22"/>
    </row>
    <row r="1149" spans="1:23" ht="14.5">
      <c r="A1149" s="63"/>
      <c r="B1149" s="64"/>
      <c r="C1149" s="65"/>
      <c r="D1149" s="66"/>
      <c r="E1149" s="67"/>
      <c r="F1149" s="68"/>
      <c r="G1149" s="68"/>
      <c r="H1149" s="66"/>
      <c r="I1149" s="69"/>
      <c r="J1149" s="66"/>
      <c r="K1149" s="66"/>
      <c r="L1149" s="66"/>
      <c r="M1149" s="70"/>
      <c r="N1149" s="71"/>
      <c r="W1149" s="22"/>
    </row>
    <row r="1150" spans="1:23" ht="14.5">
      <c r="A1150" s="63"/>
      <c r="B1150" s="64"/>
      <c r="C1150" s="65"/>
      <c r="D1150" s="66"/>
      <c r="E1150" s="67"/>
      <c r="F1150" s="68"/>
      <c r="G1150" s="68"/>
      <c r="H1150" s="66"/>
      <c r="I1150" s="69"/>
      <c r="J1150" s="66"/>
      <c r="K1150" s="66"/>
      <c r="L1150" s="66"/>
      <c r="M1150" s="70"/>
      <c r="N1150" s="71"/>
      <c r="W1150" s="22"/>
    </row>
    <row r="1151" spans="1:23" ht="14.5">
      <c r="A1151" s="63"/>
      <c r="B1151" s="64"/>
      <c r="C1151" s="65"/>
      <c r="D1151" s="66"/>
      <c r="E1151" s="67"/>
      <c r="F1151" s="68"/>
      <c r="G1151" s="68"/>
      <c r="H1151" s="66"/>
      <c r="I1151" s="69"/>
      <c r="J1151" s="66"/>
      <c r="K1151" s="66"/>
      <c r="L1151" s="66"/>
      <c r="M1151" s="70"/>
      <c r="N1151" s="71"/>
      <c r="W1151" s="22"/>
    </row>
    <row r="1152" spans="1:23" ht="14.5">
      <c r="A1152" s="63"/>
      <c r="B1152" s="64"/>
      <c r="C1152" s="65"/>
      <c r="D1152" s="66"/>
      <c r="E1152" s="67"/>
      <c r="F1152" s="68"/>
      <c r="G1152" s="68"/>
      <c r="H1152" s="66"/>
      <c r="I1152" s="69"/>
      <c r="J1152" s="66"/>
      <c r="K1152" s="66"/>
      <c r="L1152" s="66"/>
      <c r="M1152" s="70"/>
      <c r="N1152" s="71"/>
      <c r="W1152" s="22"/>
    </row>
    <row r="1153" spans="1:23" ht="14.5">
      <c r="A1153" s="63"/>
      <c r="B1153" s="64"/>
      <c r="C1153" s="65"/>
      <c r="D1153" s="66"/>
      <c r="E1153" s="67"/>
      <c r="F1153" s="68"/>
      <c r="G1153" s="68"/>
      <c r="H1153" s="66"/>
      <c r="I1153" s="69"/>
      <c r="J1153" s="66"/>
      <c r="K1153" s="66"/>
      <c r="L1153" s="66"/>
      <c r="M1153" s="70"/>
      <c r="N1153" s="71"/>
      <c r="W1153" s="22"/>
    </row>
    <row r="1154" spans="1:23" ht="14.5">
      <c r="A1154" s="63"/>
      <c r="B1154" s="64"/>
      <c r="C1154" s="65"/>
      <c r="D1154" s="66"/>
      <c r="E1154" s="67"/>
      <c r="F1154" s="68"/>
      <c r="G1154" s="68"/>
      <c r="H1154" s="66"/>
      <c r="I1154" s="69"/>
      <c r="J1154" s="66"/>
      <c r="K1154" s="66"/>
      <c r="L1154" s="66"/>
      <c r="M1154" s="70"/>
      <c r="N1154" s="71"/>
      <c r="W1154" s="22"/>
    </row>
    <row r="1155" spans="1:23" ht="14.5">
      <c r="A1155" s="63"/>
      <c r="B1155" s="64"/>
      <c r="C1155" s="65"/>
      <c r="D1155" s="66"/>
      <c r="E1155" s="67"/>
      <c r="F1155" s="68"/>
      <c r="G1155" s="68"/>
      <c r="H1155" s="66"/>
      <c r="I1155" s="69"/>
      <c r="J1155" s="66"/>
      <c r="K1155" s="66"/>
      <c r="L1155" s="66"/>
      <c r="M1155" s="70"/>
      <c r="N1155" s="71"/>
      <c r="W1155" s="22"/>
    </row>
    <row r="1156" spans="1:23" ht="14.5">
      <c r="A1156" s="63"/>
      <c r="B1156" s="64"/>
      <c r="C1156" s="65"/>
      <c r="D1156" s="66"/>
      <c r="E1156" s="67"/>
      <c r="F1156" s="68"/>
      <c r="G1156" s="68"/>
      <c r="H1156" s="66"/>
      <c r="I1156" s="69"/>
      <c r="J1156" s="66"/>
      <c r="K1156" s="66"/>
      <c r="L1156" s="66"/>
      <c r="M1156" s="70"/>
      <c r="N1156" s="71"/>
      <c r="W1156" s="22"/>
    </row>
    <row r="1157" spans="1:23" ht="14.5">
      <c r="A1157" s="63"/>
      <c r="B1157" s="64"/>
      <c r="C1157" s="65"/>
      <c r="D1157" s="66"/>
      <c r="E1157" s="67"/>
      <c r="F1157" s="68"/>
      <c r="G1157" s="68"/>
      <c r="H1157" s="66"/>
      <c r="I1157" s="69"/>
      <c r="J1157" s="66"/>
      <c r="K1157" s="66"/>
      <c r="L1157" s="66"/>
      <c r="M1157" s="70"/>
      <c r="N1157" s="71"/>
      <c r="W1157" s="22"/>
    </row>
    <row r="1158" spans="1:23" ht="14.5">
      <c r="A1158" s="63"/>
      <c r="B1158" s="64"/>
      <c r="C1158" s="65"/>
      <c r="D1158" s="66"/>
      <c r="E1158" s="67"/>
      <c r="F1158" s="68"/>
      <c r="G1158" s="68"/>
      <c r="H1158" s="66"/>
      <c r="I1158" s="69"/>
      <c r="J1158" s="66"/>
      <c r="K1158" s="66"/>
      <c r="L1158" s="66"/>
      <c r="M1158" s="70"/>
      <c r="N1158" s="71"/>
      <c r="W1158" s="22"/>
    </row>
    <row r="1159" spans="1:23" ht="14.5">
      <c r="A1159" s="63"/>
      <c r="B1159" s="64"/>
      <c r="C1159" s="65"/>
      <c r="D1159" s="66"/>
      <c r="E1159" s="67"/>
      <c r="F1159" s="68"/>
      <c r="G1159" s="68"/>
      <c r="H1159" s="66"/>
      <c r="I1159" s="69"/>
      <c r="J1159" s="66"/>
      <c r="K1159" s="66"/>
      <c r="L1159" s="66"/>
      <c r="M1159" s="70"/>
      <c r="N1159" s="71"/>
      <c r="W1159" s="22"/>
    </row>
    <row r="1160" spans="1:23" ht="14.5">
      <c r="A1160" s="63"/>
      <c r="B1160" s="64"/>
      <c r="C1160" s="65"/>
      <c r="D1160" s="66"/>
      <c r="E1160" s="67"/>
      <c r="F1160" s="68"/>
      <c r="G1160" s="68"/>
      <c r="H1160" s="66"/>
      <c r="I1160" s="69"/>
      <c r="J1160" s="66"/>
      <c r="K1160" s="66"/>
      <c r="L1160" s="66"/>
      <c r="M1160" s="70"/>
      <c r="N1160" s="71"/>
      <c r="W1160" s="22"/>
    </row>
    <row r="1161" spans="1:23" ht="14.5">
      <c r="A1161" s="63"/>
      <c r="B1161" s="64"/>
      <c r="C1161" s="65"/>
      <c r="D1161" s="66"/>
      <c r="E1161" s="67"/>
      <c r="F1161" s="68"/>
      <c r="G1161" s="68"/>
      <c r="H1161" s="66"/>
      <c r="I1161" s="69"/>
      <c r="J1161" s="66"/>
      <c r="K1161" s="66"/>
      <c r="L1161" s="66"/>
      <c r="M1161" s="70"/>
      <c r="N1161" s="71"/>
      <c r="W1161" s="22"/>
    </row>
    <row r="1162" spans="1:23" ht="14.5">
      <c r="A1162" s="63"/>
      <c r="B1162" s="64"/>
      <c r="C1162" s="65"/>
      <c r="D1162" s="66"/>
      <c r="E1162" s="67"/>
      <c r="F1162" s="68"/>
      <c r="G1162" s="68"/>
      <c r="H1162" s="66"/>
      <c r="I1162" s="69"/>
      <c r="J1162" s="66"/>
      <c r="K1162" s="66"/>
      <c r="L1162" s="66"/>
      <c r="M1162" s="70"/>
      <c r="N1162" s="71"/>
      <c r="W1162" s="22"/>
    </row>
    <row r="1163" spans="1:23" ht="14.5">
      <c r="A1163" s="63"/>
      <c r="B1163" s="64"/>
      <c r="C1163" s="65"/>
      <c r="D1163" s="66"/>
      <c r="E1163" s="67"/>
      <c r="F1163" s="68"/>
      <c r="G1163" s="68"/>
      <c r="H1163" s="66"/>
      <c r="I1163" s="69"/>
      <c r="J1163" s="66"/>
      <c r="K1163" s="66"/>
      <c r="L1163" s="66"/>
      <c r="M1163" s="70"/>
      <c r="N1163" s="71"/>
      <c r="W1163" s="22"/>
    </row>
    <row r="1164" spans="1:23" ht="14.5">
      <c r="A1164" s="63"/>
      <c r="B1164" s="64"/>
      <c r="C1164" s="65"/>
      <c r="D1164" s="66"/>
      <c r="E1164" s="67"/>
      <c r="F1164" s="68"/>
      <c r="G1164" s="68"/>
      <c r="H1164" s="66"/>
      <c r="I1164" s="69"/>
      <c r="J1164" s="66"/>
      <c r="K1164" s="66"/>
      <c r="L1164" s="66"/>
      <c r="M1164" s="70"/>
      <c r="N1164" s="71"/>
      <c r="W1164" s="22"/>
    </row>
    <row r="1165" spans="1:23" ht="14.5">
      <c r="A1165" s="63"/>
      <c r="B1165" s="64"/>
      <c r="C1165" s="65"/>
      <c r="D1165" s="66"/>
      <c r="E1165" s="67"/>
      <c r="F1165" s="68"/>
      <c r="G1165" s="68"/>
      <c r="H1165" s="66"/>
      <c r="I1165" s="69"/>
      <c r="J1165" s="66"/>
      <c r="K1165" s="66"/>
      <c r="L1165" s="66"/>
      <c r="M1165" s="70"/>
      <c r="N1165" s="71"/>
      <c r="W1165" s="22"/>
    </row>
    <row r="1166" spans="1:23" ht="14.5">
      <c r="A1166" s="63"/>
      <c r="B1166" s="64"/>
      <c r="C1166" s="65"/>
      <c r="D1166" s="66"/>
      <c r="E1166" s="67"/>
      <c r="F1166" s="68"/>
      <c r="G1166" s="68"/>
      <c r="H1166" s="66"/>
      <c r="I1166" s="69"/>
      <c r="J1166" s="66"/>
      <c r="K1166" s="66"/>
      <c r="L1166" s="66"/>
      <c r="M1166" s="70"/>
      <c r="N1166" s="71"/>
      <c r="W1166" s="22"/>
    </row>
    <row r="1167" spans="1:23" ht="14.5">
      <c r="A1167" s="63"/>
      <c r="B1167" s="64"/>
      <c r="C1167" s="65"/>
      <c r="D1167" s="66"/>
      <c r="E1167" s="67"/>
      <c r="F1167" s="68"/>
      <c r="G1167" s="68"/>
      <c r="H1167" s="66"/>
      <c r="I1167" s="69"/>
      <c r="J1167" s="66"/>
      <c r="K1167" s="66"/>
      <c r="L1167" s="66"/>
      <c r="M1167" s="70"/>
      <c r="N1167" s="71"/>
      <c r="W1167" s="22"/>
    </row>
    <row r="1168" spans="1:23" ht="14.5">
      <c r="A1168" s="63"/>
      <c r="B1168" s="64"/>
      <c r="C1168" s="65"/>
      <c r="D1168" s="66"/>
      <c r="E1168" s="67"/>
      <c r="F1168" s="68"/>
      <c r="G1168" s="68"/>
      <c r="H1168" s="66"/>
      <c r="I1168" s="69"/>
      <c r="J1168" s="66"/>
      <c r="K1168" s="66"/>
      <c r="L1168" s="66"/>
      <c r="M1168" s="70"/>
      <c r="N1168" s="71"/>
      <c r="W1168" s="22"/>
    </row>
    <row r="1169" spans="1:23" ht="14.5">
      <c r="A1169" s="63"/>
      <c r="B1169" s="64"/>
      <c r="C1169" s="65"/>
      <c r="D1169" s="66"/>
      <c r="E1169" s="67"/>
      <c r="F1169" s="68"/>
      <c r="G1169" s="68"/>
      <c r="H1169" s="66"/>
      <c r="I1169" s="69"/>
      <c r="J1169" s="66"/>
      <c r="K1169" s="66"/>
      <c r="L1169" s="66"/>
      <c r="M1169" s="70"/>
      <c r="N1169" s="71"/>
      <c r="W1169" s="22"/>
    </row>
    <row r="1170" spans="1:23" ht="14.5">
      <c r="A1170" s="63"/>
      <c r="B1170" s="64"/>
      <c r="C1170" s="65"/>
      <c r="D1170" s="66"/>
      <c r="E1170" s="67"/>
      <c r="F1170" s="68"/>
      <c r="G1170" s="68"/>
      <c r="H1170" s="66"/>
      <c r="I1170" s="69"/>
      <c r="J1170" s="66"/>
      <c r="K1170" s="66"/>
      <c r="L1170" s="66"/>
      <c r="M1170" s="70"/>
      <c r="N1170" s="71"/>
      <c r="W1170" s="22"/>
    </row>
    <row r="1171" spans="1:23" ht="14.5">
      <c r="A1171" s="63"/>
      <c r="B1171" s="64"/>
      <c r="C1171" s="65"/>
      <c r="D1171" s="66"/>
      <c r="E1171" s="67"/>
      <c r="F1171" s="68"/>
      <c r="G1171" s="68"/>
      <c r="H1171" s="66"/>
      <c r="I1171" s="69"/>
      <c r="J1171" s="66"/>
      <c r="K1171" s="66"/>
      <c r="L1171" s="66"/>
      <c r="M1171" s="70"/>
      <c r="N1171" s="71"/>
      <c r="W1171" s="22"/>
    </row>
    <row r="1172" spans="1:23" ht="14.5">
      <c r="A1172" s="63"/>
      <c r="B1172" s="64"/>
      <c r="C1172" s="65"/>
      <c r="D1172" s="66"/>
      <c r="E1172" s="67"/>
      <c r="F1172" s="68"/>
      <c r="G1172" s="68"/>
      <c r="H1172" s="66"/>
      <c r="I1172" s="69"/>
      <c r="J1172" s="66"/>
      <c r="K1172" s="66"/>
      <c r="L1172" s="66"/>
      <c r="M1172" s="70"/>
      <c r="N1172" s="71"/>
      <c r="W1172" s="22"/>
    </row>
    <row r="1173" spans="1:23" ht="14.5">
      <c r="A1173" s="63"/>
      <c r="B1173" s="64"/>
      <c r="C1173" s="65"/>
      <c r="D1173" s="66"/>
      <c r="E1173" s="67"/>
      <c r="F1173" s="68"/>
      <c r="G1173" s="68"/>
      <c r="H1173" s="66"/>
      <c r="I1173" s="69"/>
      <c r="J1173" s="66"/>
      <c r="K1173" s="66"/>
      <c r="L1173" s="66"/>
      <c r="M1173" s="70"/>
      <c r="N1173" s="71"/>
      <c r="W1173" s="22"/>
    </row>
    <row r="1174" spans="1:23" ht="14.5">
      <c r="A1174" s="63"/>
      <c r="B1174" s="64"/>
      <c r="C1174" s="65"/>
      <c r="D1174" s="66"/>
      <c r="E1174" s="67"/>
      <c r="F1174" s="68"/>
      <c r="G1174" s="68"/>
      <c r="H1174" s="66"/>
      <c r="I1174" s="69"/>
      <c r="J1174" s="66"/>
      <c r="K1174" s="66"/>
      <c r="L1174" s="66"/>
      <c r="M1174" s="70"/>
      <c r="N1174" s="71"/>
      <c r="W1174" s="22"/>
    </row>
    <row r="1175" spans="1:23" ht="14.5">
      <c r="A1175" s="63"/>
      <c r="B1175" s="64"/>
      <c r="C1175" s="65"/>
      <c r="D1175" s="66"/>
      <c r="E1175" s="67"/>
      <c r="F1175" s="68"/>
      <c r="G1175" s="68"/>
      <c r="H1175" s="66"/>
      <c r="I1175" s="69"/>
      <c r="J1175" s="66"/>
      <c r="K1175" s="66"/>
      <c r="L1175" s="66"/>
      <c r="M1175" s="70"/>
      <c r="N1175" s="71"/>
      <c r="W1175" s="22"/>
    </row>
    <row r="1176" spans="1:23" ht="14.5">
      <c r="A1176" s="63"/>
      <c r="B1176" s="64"/>
      <c r="C1176" s="65"/>
      <c r="D1176" s="66"/>
      <c r="E1176" s="67"/>
      <c r="F1176" s="68"/>
      <c r="G1176" s="68"/>
      <c r="H1176" s="66"/>
      <c r="I1176" s="69"/>
      <c r="J1176" s="66"/>
      <c r="K1176" s="66"/>
      <c r="L1176" s="66"/>
      <c r="M1176" s="70"/>
      <c r="N1176" s="71"/>
      <c r="W1176" s="22"/>
    </row>
    <row r="1177" spans="1:23" ht="14.5">
      <c r="A1177" s="63"/>
      <c r="B1177" s="64"/>
      <c r="C1177" s="65"/>
      <c r="D1177" s="66"/>
      <c r="E1177" s="67"/>
      <c r="F1177" s="68"/>
      <c r="G1177" s="68"/>
      <c r="H1177" s="66"/>
      <c r="I1177" s="69"/>
      <c r="J1177" s="66"/>
      <c r="K1177" s="66"/>
      <c r="L1177" s="66"/>
      <c r="M1177" s="70"/>
      <c r="N1177" s="71"/>
      <c r="W1177" s="22"/>
    </row>
    <row r="1178" spans="1:23" ht="14.5">
      <c r="A1178" s="63"/>
      <c r="B1178" s="64"/>
      <c r="C1178" s="65"/>
      <c r="D1178" s="66"/>
      <c r="E1178" s="67"/>
      <c r="F1178" s="68"/>
      <c r="G1178" s="68"/>
      <c r="H1178" s="66"/>
      <c r="I1178" s="69"/>
      <c r="J1178" s="66"/>
      <c r="K1178" s="66"/>
      <c r="L1178" s="66"/>
      <c r="M1178" s="70"/>
      <c r="N1178" s="71"/>
      <c r="W1178" s="22"/>
    </row>
    <row r="1179" spans="1:23" ht="14.5">
      <c r="A1179" s="63"/>
      <c r="B1179" s="64"/>
      <c r="C1179" s="65"/>
      <c r="D1179" s="66"/>
      <c r="E1179" s="67"/>
      <c r="F1179" s="68"/>
      <c r="G1179" s="68"/>
      <c r="H1179" s="66"/>
      <c r="I1179" s="69"/>
      <c r="J1179" s="66"/>
      <c r="K1179" s="66"/>
      <c r="L1179" s="66"/>
      <c r="M1179" s="70"/>
      <c r="N1179" s="71"/>
      <c r="W1179" s="22"/>
    </row>
    <row r="1180" spans="1:23" ht="14.5">
      <c r="A1180" s="63"/>
      <c r="B1180" s="64"/>
      <c r="C1180" s="65"/>
      <c r="D1180" s="66"/>
      <c r="E1180" s="67"/>
      <c r="F1180" s="68"/>
      <c r="G1180" s="68"/>
      <c r="H1180" s="66"/>
      <c r="I1180" s="69"/>
      <c r="J1180" s="66"/>
      <c r="K1180" s="66"/>
      <c r="L1180" s="66"/>
      <c r="M1180" s="70"/>
      <c r="N1180" s="71"/>
      <c r="W1180" s="22"/>
    </row>
    <row r="1181" spans="1:23" ht="14.5">
      <c r="A1181" s="63"/>
      <c r="B1181" s="64"/>
      <c r="C1181" s="65"/>
      <c r="D1181" s="66"/>
      <c r="E1181" s="67"/>
      <c r="F1181" s="68"/>
      <c r="G1181" s="68"/>
      <c r="H1181" s="66"/>
      <c r="I1181" s="69"/>
      <c r="J1181" s="66"/>
      <c r="K1181" s="66"/>
      <c r="L1181" s="66"/>
      <c r="M1181" s="70"/>
      <c r="N1181" s="71"/>
      <c r="W1181" s="22"/>
    </row>
    <row r="1182" spans="1:23" ht="14.5">
      <c r="A1182" s="63"/>
      <c r="B1182" s="64"/>
      <c r="C1182" s="65"/>
      <c r="D1182" s="66"/>
      <c r="E1182" s="67"/>
      <c r="F1182" s="68"/>
      <c r="G1182" s="68"/>
      <c r="H1182" s="66"/>
      <c r="I1182" s="69"/>
      <c r="J1182" s="66"/>
      <c r="K1182" s="66"/>
      <c r="L1182" s="66"/>
      <c r="M1182" s="70"/>
      <c r="N1182" s="71"/>
      <c r="W1182" s="22"/>
    </row>
    <row r="1183" spans="1:23" ht="14.5">
      <c r="A1183" s="63"/>
      <c r="B1183" s="64"/>
      <c r="C1183" s="65"/>
      <c r="D1183" s="66"/>
      <c r="E1183" s="67"/>
      <c r="F1183" s="68"/>
      <c r="G1183" s="68"/>
      <c r="H1183" s="66"/>
      <c r="I1183" s="69"/>
      <c r="J1183" s="66"/>
      <c r="K1183" s="66"/>
      <c r="L1183" s="66"/>
      <c r="M1183" s="70"/>
      <c r="N1183" s="71"/>
      <c r="W1183" s="22"/>
    </row>
    <row r="1184" spans="1:23" ht="14.5">
      <c r="A1184" s="63"/>
      <c r="B1184" s="64"/>
      <c r="C1184" s="65"/>
      <c r="D1184" s="66"/>
      <c r="E1184" s="67"/>
      <c r="F1184" s="68"/>
      <c r="G1184" s="68"/>
      <c r="H1184" s="66"/>
      <c r="I1184" s="69"/>
      <c r="J1184" s="66"/>
      <c r="K1184" s="66"/>
      <c r="L1184" s="66"/>
      <c r="M1184" s="70"/>
      <c r="N1184" s="71"/>
      <c r="W1184" s="22"/>
    </row>
    <row r="1185" spans="1:23" ht="14.5">
      <c r="A1185" s="63"/>
      <c r="B1185" s="64"/>
      <c r="C1185" s="65"/>
      <c r="D1185" s="66"/>
      <c r="E1185" s="67"/>
      <c r="F1185" s="68"/>
      <c r="G1185" s="68"/>
      <c r="H1185" s="66"/>
      <c r="I1185" s="69"/>
      <c r="J1185" s="66"/>
      <c r="K1185" s="66"/>
      <c r="L1185" s="66"/>
      <c r="M1185" s="70"/>
      <c r="N1185" s="71"/>
      <c r="W1185" s="22"/>
    </row>
    <row r="1186" spans="1:23" ht="14.5">
      <c r="A1186" s="63"/>
      <c r="B1186" s="64"/>
      <c r="C1186" s="65"/>
      <c r="D1186" s="66"/>
      <c r="E1186" s="67"/>
      <c r="F1186" s="68"/>
      <c r="G1186" s="68"/>
      <c r="H1186" s="66"/>
      <c r="I1186" s="69"/>
      <c r="J1186" s="66"/>
      <c r="K1186" s="66"/>
      <c r="L1186" s="66"/>
      <c r="M1186" s="70"/>
      <c r="N1186" s="71"/>
      <c r="W1186" s="22"/>
    </row>
    <row r="1187" spans="1:23" ht="14.5">
      <c r="A1187" s="63"/>
      <c r="B1187" s="64"/>
      <c r="C1187" s="65"/>
      <c r="D1187" s="66"/>
      <c r="E1187" s="67"/>
      <c r="F1187" s="68"/>
      <c r="G1187" s="68"/>
      <c r="H1187" s="66"/>
      <c r="I1187" s="69"/>
      <c r="J1187" s="66"/>
      <c r="K1187" s="66"/>
      <c r="L1187" s="66"/>
      <c r="M1187" s="70"/>
      <c r="N1187" s="71"/>
      <c r="W1187" s="22"/>
    </row>
    <row r="1188" spans="1:23" ht="14.5">
      <c r="A1188" s="63"/>
      <c r="B1188" s="64"/>
      <c r="C1188" s="65"/>
      <c r="D1188" s="66"/>
      <c r="E1188" s="67"/>
      <c r="F1188" s="68"/>
      <c r="G1188" s="68"/>
      <c r="H1188" s="66"/>
      <c r="I1188" s="69"/>
      <c r="J1188" s="66"/>
      <c r="K1188" s="66"/>
      <c r="L1188" s="66"/>
      <c r="M1188" s="70"/>
      <c r="N1188" s="71"/>
      <c r="W1188" s="22"/>
    </row>
    <row r="1189" spans="1:23" ht="14.5">
      <c r="A1189" s="63"/>
      <c r="B1189" s="64"/>
      <c r="C1189" s="65"/>
      <c r="D1189" s="66"/>
      <c r="E1189" s="67"/>
      <c r="F1189" s="68"/>
      <c r="G1189" s="68"/>
      <c r="H1189" s="66"/>
      <c r="I1189" s="69"/>
      <c r="J1189" s="66"/>
      <c r="K1189" s="66"/>
      <c r="L1189" s="66"/>
      <c r="M1189" s="70"/>
      <c r="N1189" s="71"/>
      <c r="W1189" s="22"/>
    </row>
    <row r="1190" spans="1:23" ht="14.5">
      <c r="A1190" s="63"/>
      <c r="B1190" s="64"/>
      <c r="C1190" s="65"/>
      <c r="D1190" s="66"/>
      <c r="E1190" s="67"/>
      <c r="F1190" s="68"/>
      <c r="G1190" s="68"/>
      <c r="H1190" s="66"/>
      <c r="I1190" s="69"/>
      <c r="J1190" s="66"/>
      <c r="K1190" s="66"/>
      <c r="L1190" s="66"/>
      <c r="M1190" s="70"/>
      <c r="N1190" s="71"/>
      <c r="W1190" s="22"/>
    </row>
    <row r="1191" spans="1:23" ht="14.5">
      <c r="A1191" s="63"/>
      <c r="B1191" s="64"/>
      <c r="C1191" s="65"/>
      <c r="D1191" s="66"/>
      <c r="E1191" s="67"/>
      <c r="F1191" s="68"/>
      <c r="G1191" s="68"/>
      <c r="H1191" s="66"/>
      <c r="I1191" s="69"/>
      <c r="J1191" s="66"/>
      <c r="K1191" s="66"/>
      <c r="L1191" s="66"/>
      <c r="M1191" s="70"/>
      <c r="N1191" s="71"/>
      <c r="W1191" s="22"/>
    </row>
    <row r="1192" spans="1:23" ht="14.5">
      <c r="A1192" s="63"/>
      <c r="B1192" s="64"/>
      <c r="C1192" s="65"/>
      <c r="D1192" s="66"/>
      <c r="E1192" s="67"/>
      <c r="F1192" s="68"/>
      <c r="G1192" s="68"/>
      <c r="H1192" s="66"/>
      <c r="I1192" s="69"/>
      <c r="J1192" s="66"/>
      <c r="K1192" s="66"/>
      <c r="L1192" s="66"/>
      <c r="M1192" s="70"/>
      <c r="N1192" s="71"/>
      <c r="W1192" s="22"/>
    </row>
    <row r="1193" spans="1:23" ht="14.5">
      <c r="A1193" s="63"/>
      <c r="B1193" s="64"/>
      <c r="C1193" s="65"/>
      <c r="D1193" s="66"/>
      <c r="E1193" s="67"/>
      <c r="F1193" s="68"/>
      <c r="G1193" s="68"/>
      <c r="H1193" s="66"/>
      <c r="I1193" s="69"/>
      <c r="J1193" s="66"/>
      <c r="K1193" s="66"/>
      <c r="L1193" s="66"/>
      <c r="M1193" s="70"/>
      <c r="N1193" s="71"/>
      <c r="W1193" s="22"/>
    </row>
    <row r="1194" spans="1:23" ht="14.5">
      <c r="A1194" s="63"/>
      <c r="B1194" s="64"/>
      <c r="C1194" s="65"/>
      <c r="D1194" s="66"/>
      <c r="E1194" s="67"/>
      <c r="F1194" s="68"/>
      <c r="G1194" s="68"/>
      <c r="H1194" s="66"/>
      <c r="I1194" s="69"/>
      <c r="J1194" s="66"/>
      <c r="K1194" s="66"/>
      <c r="L1194" s="66"/>
      <c r="M1194" s="70"/>
      <c r="N1194" s="71"/>
      <c r="W1194" s="22"/>
    </row>
    <row r="1195" spans="1:23" ht="14.5">
      <c r="A1195" s="63"/>
      <c r="B1195" s="64"/>
      <c r="C1195" s="65"/>
      <c r="D1195" s="66"/>
      <c r="E1195" s="67"/>
      <c r="F1195" s="68"/>
      <c r="G1195" s="68"/>
      <c r="H1195" s="66"/>
      <c r="I1195" s="69"/>
      <c r="J1195" s="66"/>
      <c r="K1195" s="66"/>
      <c r="L1195" s="66"/>
      <c r="M1195" s="70"/>
      <c r="N1195" s="71"/>
      <c r="W1195" s="22"/>
    </row>
    <row r="1196" spans="1:23" ht="14.5">
      <c r="A1196" s="63"/>
      <c r="B1196" s="64"/>
      <c r="C1196" s="65"/>
      <c r="D1196" s="66"/>
      <c r="E1196" s="67"/>
      <c r="F1196" s="68"/>
      <c r="G1196" s="68"/>
      <c r="H1196" s="66"/>
      <c r="I1196" s="69"/>
      <c r="J1196" s="66"/>
      <c r="K1196" s="66"/>
      <c r="L1196" s="66"/>
      <c r="M1196" s="70"/>
      <c r="N1196" s="71"/>
      <c r="W1196" s="22"/>
    </row>
    <row r="1197" spans="1:23" ht="14.5">
      <c r="A1197" s="63"/>
      <c r="B1197" s="64"/>
      <c r="C1197" s="65"/>
      <c r="D1197" s="66"/>
      <c r="E1197" s="67"/>
      <c r="F1197" s="68"/>
      <c r="G1197" s="68"/>
      <c r="H1197" s="66"/>
      <c r="I1197" s="69"/>
      <c r="J1197" s="66"/>
      <c r="K1197" s="66"/>
      <c r="L1197" s="66"/>
      <c r="M1197" s="70"/>
      <c r="N1197" s="71"/>
      <c r="W1197" s="22"/>
    </row>
    <row r="1198" spans="1:23" ht="14.5">
      <c r="A1198" s="63"/>
      <c r="B1198" s="64"/>
      <c r="C1198" s="65"/>
      <c r="D1198" s="66"/>
      <c r="E1198" s="67"/>
      <c r="F1198" s="68"/>
      <c r="G1198" s="68"/>
      <c r="H1198" s="66"/>
      <c r="I1198" s="69"/>
      <c r="J1198" s="66"/>
      <c r="K1198" s="66"/>
      <c r="L1198" s="66"/>
      <c r="M1198" s="70"/>
      <c r="N1198" s="71"/>
      <c r="W1198" s="22"/>
    </row>
    <row r="1199" spans="1:23" ht="14.5">
      <c r="A1199" s="63"/>
      <c r="B1199" s="64"/>
      <c r="C1199" s="65"/>
      <c r="D1199" s="66"/>
      <c r="E1199" s="67"/>
      <c r="F1199" s="68"/>
      <c r="G1199" s="68"/>
      <c r="H1199" s="66"/>
      <c r="I1199" s="69"/>
      <c r="J1199" s="66"/>
      <c r="K1199" s="66"/>
      <c r="L1199" s="66"/>
      <c r="M1199" s="70"/>
      <c r="N1199" s="71"/>
      <c r="W1199" s="22"/>
    </row>
    <row r="1200" spans="1:23" ht="14.5">
      <c r="A1200" s="63"/>
      <c r="B1200" s="64"/>
      <c r="C1200" s="65"/>
      <c r="D1200" s="66"/>
      <c r="E1200" s="67"/>
      <c r="F1200" s="68"/>
      <c r="G1200" s="68"/>
      <c r="H1200" s="66"/>
      <c r="I1200" s="69"/>
      <c r="J1200" s="66"/>
      <c r="K1200" s="66"/>
      <c r="L1200" s="66"/>
      <c r="M1200" s="70"/>
      <c r="N1200" s="71"/>
      <c r="W1200" s="22"/>
    </row>
    <row r="1201" spans="1:23" ht="14.5">
      <c r="A1201" s="63"/>
      <c r="B1201" s="64"/>
      <c r="C1201" s="65"/>
      <c r="D1201" s="66"/>
      <c r="E1201" s="67"/>
      <c r="F1201" s="68"/>
      <c r="G1201" s="68"/>
      <c r="H1201" s="66"/>
      <c r="I1201" s="69"/>
      <c r="J1201" s="66"/>
      <c r="K1201" s="66"/>
      <c r="L1201" s="66"/>
      <c r="M1201" s="70"/>
      <c r="N1201" s="71"/>
      <c r="W1201" s="22"/>
    </row>
    <row r="1202" spans="1:23" ht="14.5">
      <c r="A1202" s="63"/>
      <c r="B1202" s="64"/>
      <c r="C1202" s="65"/>
      <c r="D1202" s="66"/>
      <c r="E1202" s="67"/>
      <c r="F1202" s="68"/>
      <c r="G1202" s="68"/>
      <c r="H1202" s="66"/>
      <c r="I1202" s="69"/>
      <c r="J1202" s="66"/>
      <c r="K1202" s="66"/>
      <c r="L1202" s="66"/>
      <c r="M1202" s="70"/>
      <c r="N1202" s="71"/>
      <c r="W1202" s="22"/>
    </row>
    <row r="1203" spans="1:23" ht="14.5">
      <c r="A1203" s="63"/>
      <c r="B1203" s="64"/>
      <c r="C1203" s="65"/>
      <c r="D1203" s="66"/>
      <c r="E1203" s="67"/>
      <c r="F1203" s="68"/>
      <c r="G1203" s="68"/>
      <c r="H1203" s="66"/>
      <c r="I1203" s="69"/>
      <c r="J1203" s="66"/>
      <c r="K1203" s="66"/>
      <c r="L1203" s="66"/>
      <c r="M1203" s="70"/>
      <c r="N1203" s="71"/>
      <c r="W1203" s="22"/>
    </row>
    <row r="1204" spans="1:23" ht="14.5">
      <c r="A1204" s="63"/>
      <c r="B1204" s="64"/>
      <c r="C1204" s="65"/>
      <c r="D1204" s="66"/>
      <c r="E1204" s="67"/>
      <c r="F1204" s="68"/>
      <c r="G1204" s="68"/>
      <c r="H1204" s="66"/>
      <c r="I1204" s="69"/>
      <c r="J1204" s="66"/>
      <c r="K1204" s="66"/>
      <c r="L1204" s="66"/>
      <c r="M1204" s="70"/>
      <c r="N1204" s="71"/>
      <c r="W1204" s="22"/>
    </row>
    <row r="1205" spans="1:23" ht="14.5">
      <c r="A1205" s="63"/>
      <c r="B1205" s="64"/>
      <c r="C1205" s="65"/>
      <c r="D1205" s="66"/>
      <c r="E1205" s="67"/>
      <c r="F1205" s="68"/>
      <c r="G1205" s="68"/>
      <c r="H1205" s="66"/>
      <c r="I1205" s="69"/>
      <c r="J1205" s="66"/>
      <c r="K1205" s="66"/>
      <c r="L1205" s="66"/>
      <c r="M1205" s="70"/>
      <c r="N1205" s="71"/>
      <c r="W1205" s="22"/>
    </row>
    <row r="1206" spans="1:23" ht="14.5">
      <c r="A1206" s="63"/>
      <c r="B1206" s="64"/>
      <c r="C1206" s="65"/>
      <c r="D1206" s="66"/>
      <c r="E1206" s="67"/>
      <c r="F1206" s="68"/>
      <c r="G1206" s="68"/>
      <c r="H1206" s="66"/>
      <c r="I1206" s="69"/>
      <c r="J1206" s="66"/>
      <c r="K1206" s="66"/>
      <c r="L1206" s="66"/>
      <c r="M1206" s="70"/>
      <c r="N1206" s="71"/>
      <c r="W1206" s="22"/>
    </row>
    <row r="1207" spans="1:23" ht="14.5">
      <c r="A1207" s="63"/>
      <c r="B1207" s="64"/>
      <c r="C1207" s="65"/>
      <c r="D1207" s="66"/>
      <c r="E1207" s="67"/>
      <c r="F1207" s="68"/>
      <c r="G1207" s="68"/>
      <c r="H1207" s="66"/>
      <c r="I1207" s="69"/>
      <c r="J1207" s="66"/>
      <c r="K1207" s="66"/>
      <c r="L1207" s="66"/>
      <c r="M1207" s="70"/>
      <c r="N1207" s="71"/>
      <c r="W1207" s="22"/>
    </row>
    <row r="1208" spans="1:23" ht="14.5">
      <c r="A1208" s="63"/>
      <c r="B1208" s="64"/>
      <c r="C1208" s="65"/>
      <c r="D1208" s="66"/>
      <c r="E1208" s="67"/>
      <c r="F1208" s="68"/>
      <c r="G1208" s="68"/>
      <c r="H1208" s="66"/>
      <c r="I1208" s="69"/>
      <c r="J1208" s="66"/>
      <c r="K1208" s="66"/>
      <c r="L1208" s="66"/>
      <c r="M1208" s="70"/>
      <c r="N1208" s="71"/>
      <c r="W1208" s="22"/>
    </row>
    <row r="1209" spans="1:23" ht="14.5">
      <c r="A1209" s="63"/>
      <c r="B1209" s="64"/>
      <c r="C1209" s="65"/>
      <c r="D1209" s="66"/>
      <c r="E1209" s="67"/>
      <c r="F1209" s="68"/>
      <c r="G1209" s="68"/>
      <c r="H1209" s="66"/>
      <c r="I1209" s="69"/>
      <c r="J1209" s="66"/>
      <c r="K1209" s="66"/>
      <c r="L1209" s="66"/>
      <c r="M1209" s="70"/>
      <c r="N1209" s="71"/>
      <c r="W1209" s="22"/>
    </row>
    <row r="1210" spans="1:23" ht="14.5">
      <c r="A1210" s="63"/>
      <c r="B1210" s="64"/>
      <c r="C1210" s="65"/>
      <c r="D1210" s="66"/>
      <c r="E1210" s="67"/>
      <c r="F1210" s="68"/>
      <c r="G1210" s="68"/>
      <c r="H1210" s="66"/>
      <c r="I1210" s="69"/>
      <c r="J1210" s="66"/>
      <c r="K1210" s="66"/>
      <c r="L1210" s="66"/>
      <c r="M1210" s="70"/>
      <c r="N1210" s="71"/>
      <c r="W1210" s="22"/>
    </row>
    <row r="1211" spans="1:23" ht="14.5">
      <c r="A1211" s="63"/>
      <c r="B1211" s="64"/>
      <c r="C1211" s="65"/>
      <c r="D1211" s="66"/>
      <c r="E1211" s="67"/>
      <c r="F1211" s="68"/>
      <c r="G1211" s="68"/>
      <c r="H1211" s="66"/>
      <c r="I1211" s="69"/>
      <c r="J1211" s="66"/>
      <c r="K1211" s="66"/>
      <c r="L1211" s="66"/>
      <c r="M1211" s="70"/>
      <c r="N1211" s="71"/>
      <c r="W1211" s="22"/>
    </row>
    <row r="1212" spans="1:23" ht="14.5">
      <c r="A1212" s="63"/>
      <c r="B1212" s="64"/>
      <c r="C1212" s="65"/>
      <c r="D1212" s="66"/>
      <c r="E1212" s="67"/>
      <c r="F1212" s="68"/>
      <c r="G1212" s="68"/>
      <c r="H1212" s="66"/>
      <c r="I1212" s="69"/>
      <c r="J1212" s="66"/>
      <c r="K1212" s="66"/>
      <c r="L1212" s="66"/>
      <c r="M1212" s="70"/>
      <c r="N1212" s="71"/>
      <c r="W1212" s="22"/>
    </row>
    <row r="1213" spans="1:23" ht="14.5">
      <c r="A1213" s="63"/>
      <c r="B1213" s="64"/>
      <c r="C1213" s="65"/>
      <c r="D1213" s="66"/>
      <c r="E1213" s="67"/>
      <c r="F1213" s="68"/>
      <c r="G1213" s="68"/>
      <c r="H1213" s="66"/>
      <c r="I1213" s="69"/>
      <c r="J1213" s="66"/>
      <c r="K1213" s="66"/>
      <c r="L1213" s="66"/>
      <c r="M1213" s="70"/>
      <c r="N1213" s="71"/>
      <c r="W1213" s="22"/>
    </row>
    <row r="1214" spans="1:23" ht="14.5">
      <c r="A1214" s="63"/>
      <c r="B1214" s="64"/>
      <c r="C1214" s="65"/>
      <c r="D1214" s="66"/>
      <c r="E1214" s="67"/>
      <c r="F1214" s="68"/>
      <c r="G1214" s="68"/>
      <c r="H1214" s="66"/>
      <c r="I1214" s="69"/>
      <c r="J1214" s="66"/>
      <c r="K1214" s="66"/>
      <c r="L1214" s="66"/>
      <c r="M1214" s="70"/>
      <c r="N1214" s="71"/>
      <c r="W1214" s="22"/>
    </row>
    <row r="1215" spans="1:23" ht="14.5">
      <c r="A1215" s="63"/>
      <c r="B1215" s="64"/>
      <c r="C1215" s="65"/>
      <c r="D1215" s="66"/>
      <c r="E1215" s="67"/>
      <c r="F1215" s="68"/>
      <c r="G1215" s="68"/>
      <c r="H1215" s="66"/>
      <c r="I1215" s="69"/>
      <c r="J1215" s="66"/>
      <c r="K1215" s="66"/>
      <c r="L1215" s="66"/>
      <c r="M1215" s="70"/>
      <c r="N1215" s="71"/>
      <c r="W1215" s="22"/>
    </row>
    <row r="1216" spans="1:23" ht="14.5">
      <c r="A1216" s="63"/>
      <c r="B1216" s="64"/>
      <c r="C1216" s="65"/>
      <c r="D1216" s="66"/>
      <c r="E1216" s="67"/>
      <c r="F1216" s="68"/>
      <c r="G1216" s="68"/>
      <c r="H1216" s="66"/>
      <c r="I1216" s="69"/>
      <c r="J1216" s="66"/>
      <c r="K1216" s="66"/>
      <c r="L1216" s="66"/>
      <c r="M1216" s="70"/>
      <c r="N1216" s="71"/>
      <c r="W1216" s="22"/>
    </row>
    <row r="1217" spans="1:23" ht="14.5">
      <c r="A1217" s="63"/>
      <c r="B1217" s="64"/>
      <c r="C1217" s="65"/>
      <c r="D1217" s="66"/>
      <c r="E1217" s="67"/>
      <c r="F1217" s="68"/>
      <c r="G1217" s="68"/>
      <c r="H1217" s="66"/>
      <c r="I1217" s="69"/>
      <c r="J1217" s="66"/>
      <c r="K1217" s="66"/>
      <c r="L1217" s="66"/>
      <c r="M1217" s="70"/>
      <c r="N1217" s="71"/>
      <c r="W1217" s="22"/>
    </row>
    <row r="1218" spans="1:23" ht="14.5">
      <c r="A1218" s="63"/>
      <c r="B1218" s="64"/>
      <c r="C1218" s="65"/>
      <c r="D1218" s="66"/>
      <c r="E1218" s="67"/>
      <c r="F1218" s="68"/>
      <c r="G1218" s="68"/>
      <c r="H1218" s="66"/>
      <c r="I1218" s="69"/>
      <c r="J1218" s="66"/>
      <c r="K1218" s="66"/>
      <c r="L1218" s="66"/>
      <c r="M1218" s="70"/>
      <c r="N1218" s="71"/>
      <c r="W1218" s="22"/>
    </row>
    <row r="1219" spans="1:23" ht="14.5">
      <c r="A1219" s="63"/>
      <c r="B1219" s="64"/>
      <c r="C1219" s="65"/>
      <c r="D1219" s="66"/>
      <c r="E1219" s="67"/>
      <c r="F1219" s="68"/>
      <c r="G1219" s="68"/>
      <c r="H1219" s="66"/>
      <c r="I1219" s="69"/>
      <c r="J1219" s="66"/>
      <c r="K1219" s="66"/>
      <c r="L1219" s="66"/>
      <c r="M1219" s="70"/>
      <c r="N1219" s="71"/>
      <c r="W1219" s="22"/>
    </row>
    <row r="1220" spans="1:23" ht="14.5">
      <c r="A1220" s="63"/>
      <c r="B1220" s="64"/>
      <c r="C1220" s="65"/>
      <c r="D1220" s="66"/>
      <c r="E1220" s="67"/>
      <c r="F1220" s="68"/>
      <c r="G1220" s="68"/>
      <c r="H1220" s="66"/>
      <c r="I1220" s="69"/>
      <c r="J1220" s="66"/>
      <c r="K1220" s="66"/>
      <c r="L1220" s="66"/>
      <c r="M1220" s="70"/>
      <c r="N1220" s="71"/>
      <c r="W1220" s="22"/>
    </row>
    <row r="1221" spans="1:23" ht="14.5">
      <c r="A1221" s="63"/>
      <c r="B1221" s="64"/>
      <c r="C1221" s="65"/>
      <c r="D1221" s="66"/>
      <c r="E1221" s="67"/>
      <c r="F1221" s="68"/>
      <c r="G1221" s="68"/>
      <c r="H1221" s="66"/>
      <c r="I1221" s="69"/>
      <c r="J1221" s="66"/>
      <c r="K1221" s="66"/>
      <c r="L1221" s="66"/>
      <c r="M1221" s="70"/>
      <c r="N1221" s="71"/>
      <c r="W1221" s="22"/>
    </row>
    <row r="1222" spans="1:23" ht="14.5">
      <c r="A1222" s="63"/>
      <c r="B1222" s="64"/>
      <c r="C1222" s="65"/>
      <c r="D1222" s="66"/>
      <c r="E1222" s="67"/>
      <c r="F1222" s="68"/>
      <c r="G1222" s="68"/>
      <c r="H1222" s="66"/>
      <c r="I1222" s="69"/>
      <c r="J1222" s="66"/>
      <c r="K1222" s="66"/>
      <c r="L1222" s="66"/>
      <c r="M1222" s="70"/>
      <c r="N1222" s="71"/>
      <c r="W1222" s="22"/>
    </row>
    <row r="1223" spans="1:23" ht="14.5">
      <c r="A1223" s="63"/>
      <c r="B1223" s="64"/>
      <c r="C1223" s="65"/>
      <c r="D1223" s="66"/>
      <c r="E1223" s="67"/>
      <c r="F1223" s="68"/>
      <c r="G1223" s="68"/>
      <c r="H1223" s="66"/>
      <c r="I1223" s="69"/>
      <c r="J1223" s="66"/>
      <c r="K1223" s="66"/>
      <c r="L1223" s="66"/>
      <c r="M1223" s="70"/>
      <c r="N1223" s="71"/>
      <c r="W1223" s="22"/>
    </row>
    <row r="1224" spans="1:23" ht="14.5">
      <c r="A1224" s="63"/>
      <c r="B1224" s="64"/>
      <c r="C1224" s="65"/>
      <c r="D1224" s="66"/>
      <c r="E1224" s="67"/>
      <c r="F1224" s="68"/>
      <c r="G1224" s="68"/>
      <c r="H1224" s="66"/>
      <c r="I1224" s="69"/>
      <c r="J1224" s="66"/>
      <c r="K1224" s="66"/>
      <c r="L1224" s="66"/>
      <c r="M1224" s="70"/>
      <c r="N1224" s="71"/>
      <c r="W1224" s="22"/>
    </row>
    <row r="1225" spans="1:23" ht="14.5">
      <c r="A1225" s="63"/>
      <c r="B1225" s="64"/>
      <c r="C1225" s="65"/>
      <c r="D1225" s="66"/>
      <c r="E1225" s="67"/>
      <c r="F1225" s="68"/>
      <c r="G1225" s="68"/>
      <c r="H1225" s="66"/>
      <c r="I1225" s="69"/>
      <c r="J1225" s="66"/>
      <c r="K1225" s="66"/>
      <c r="L1225" s="66"/>
      <c r="M1225" s="70"/>
      <c r="N1225" s="71"/>
      <c r="W1225" s="22"/>
    </row>
    <row r="1226" spans="1:23" ht="14.5">
      <c r="A1226" s="63"/>
      <c r="B1226" s="64"/>
      <c r="C1226" s="65"/>
      <c r="D1226" s="66"/>
      <c r="E1226" s="67"/>
      <c r="F1226" s="68"/>
      <c r="G1226" s="68"/>
      <c r="H1226" s="66"/>
      <c r="I1226" s="69"/>
      <c r="J1226" s="66"/>
      <c r="K1226" s="66"/>
      <c r="L1226" s="66"/>
      <c r="M1226" s="70"/>
      <c r="N1226" s="71"/>
      <c r="W1226" s="22"/>
    </row>
    <row r="1227" spans="1:23" ht="14.5">
      <c r="A1227" s="63"/>
      <c r="B1227" s="64"/>
      <c r="C1227" s="65"/>
      <c r="D1227" s="66"/>
      <c r="E1227" s="67"/>
      <c r="F1227" s="68"/>
      <c r="G1227" s="68"/>
      <c r="H1227" s="66"/>
      <c r="I1227" s="69"/>
      <c r="J1227" s="66"/>
      <c r="K1227" s="66"/>
      <c r="L1227" s="66"/>
      <c r="M1227" s="70"/>
      <c r="N1227" s="71"/>
      <c r="W1227" s="22"/>
    </row>
    <row r="1228" spans="1:23" ht="14.5">
      <c r="A1228" s="63"/>
      <c r="B1228" s="64"/>
      <c r="C1228" s="65"/>
      <c r="D1228" s="66"/>
      <c r="E1228" s="67"/>
      <c r="F1228" s="68"/>
      <c r="G1228" s="68"/>
      <c r="H1228" s="66"/>
      <c r="I1228" s="69"/>
      <c r="J1228" s="66"/>
      <c r="K1228" s="66"/>
      <c r="L1228" s="66"/>
      <c r="M1228" s="70"/>
      <c r="N1228" s="71"/>
      <c r="W1228" s="22"/>
    </row>
    <row r="1229" spans="1:23" ht="14.5">
      <c r="A1229" s="63"/>
      <c r="B1229" s="64"/>
      <c r="C1229" s="65"/>
      <c r="D1229" s="66"/>
      <c r="E1229" s="67"/>
      <c r="F1229" s="68"/>
      <c r="G1229" s="68"/>
      <c r="H1229" s="66"/>
      <c r="I1229" s="69"/>
      <c r="J1229" s="66"/>
      <c r="K1229" s="66"/>
      <c r="L1229" s="66"/>
      <c r="M1229" s="70"/>
      <c r="N1229" s="71"/>
      <c r="W1229" s="22"/>
    </row>
    <row r="1230" spans="1:23" ht="14.5">
      <c r="A1230" s="63"/>
      <c r="B1230" s="64"/>
      <c r="C1230" s="65"/>
      <c r="D1230" s="66"/>
      <c r="E1230" s="67"/>
      <c r="F1230" s="68"/>
      <c r="G1230" s="68"/>
      <c r="H1230" s="66"/>
      <c r="I1230" s="69"/>
      <c r="J1230" s="66"/>
      <c r="K1230" s="66"/>
      <c r="L1230" s="66"/>
      <c r="M1230" s="70"/>
      <c r="N1230" s="71"/>
      <c r="W1230" s="22"/>
    </row>
    <row r="1231" spans="1:23" ht="14.5">
      <c r="A1231" s="63"/>
      <c r="B1231" s="64"/>
      <c r="C1231" s="65"/>
      <c r="D1231" s="66"/>
      <c r="E1231" s="67"/>
      <c r="F1231" s="68"/>
      <c r="G1231" s="68"/>
      <c r="H1231" s="66"/>
      <c r="I1231" s="69"/>
      <c r="J1231" s="66"/>
      <c r="K1231" s="66"/>
      <c r="L1231" s="66"/>
      <c r="M1231" s="70"/>
      <c r="N1231" s="71"/>
      <c r="W1231" s="22"/>
    </row>
    <row r="1232" spans="1:23" ht="14.5">
      <c r="A1232" s="63"/>
      <c r="B1232" s="64"/>
      <c r="C1232" s="65"/>
      <c r="D1232" s="66"/>
      <c r="E1232" s="67"/>
      <c r="F1232" s="68"/>
      <c r="G1232" s="68"/>
      <c r="H1232" s="66"/>
      <c r="I1232" s="69"/>
      <c r="J1232" s="66"/>
      <c r="K1232" s="66"/>
      <c r="L1232" s="66"/>
      <c r="M1232" s="70"/>
      <c r="N1232" s="71"/>
      <c r="W1232" s="22"/>
    </row>
    <row r="1233" spans="1:23" ht="14.5">
      <c r="A1233" s="63"/>
      <c r="B1233" s="64"/>
      <c r="C1233" s="65"/>
      <c r="D1233" s="66"/>
      <c r="E1233" s="67"/>
      <c r="F1233" s="68"/>
      <c r="G1233" s="68"/>
      <c r="H1233" s="66"/>
      <c r="I1233" s="69"/>
      <c r="J1233" s="66"/>
      <c r="K1233" s="66"/>
      <c r="L1233" s="66"/>
      <c r="M1233" s="70"/>
      <c r="N1233" s="71"/>
      <c r="W1233" s="22"/>
    </row>
    <row r="1234" spans="1:23" ht="14.5">
      <c r="A1234" s="63"/>
      <c r="B1234" s="64"/>
      <c r="C1234" s="65"/>
      <c r="D1234" s="66"/>
      <c r="E1234" s="67"/>
      <c r="F1234" s="68"/>
      <c r="G1234" s="68"/>
      <c r="H1234" s="66"/>
      <c r="I1234" s="69"/>
      <c r="J1234" s="66"/>
      <c r="K1234" s="66"/>
      <c r="L1234" s="66"/>
      <c r="M1234" s="70"/>
      <c r="N1234" s="71"/>
      <c r="W1234" s="22"/>
    </row>
    <row r="1235" spans="1:23" ht="14.5">
      <c r="A1235" s="63"/>
      <c r="B1235" s="64"/>
      <c r="C1235" s="65"/>
      <c r="D1235" s="66"/>
      <c r="E1235" s="67"/>
      <c r="F1235" s="68"/>
      <c r="G1235" s="68"/>
      <c r="H1235" s="66"/>
      <c r="I1235" s="69"/>
      <c r="J1235" s="66"/>
      <c r="K1235" s="66"/>
      <c r="L1235" s="66"/>
      <c r="M1235" s="70"/>
      <c r="N1235" s="71"/>
      <c r="W1235" s="22"/>
    </row>
    <row r="1236" spans="1:23" ht="14.5">
      <c r="A1236" s="63"/>
      <c r="B1236" s="64"/>
      <c r="C1236" s="65"/>
      <c r="D1236" s="66"/>
      <c r="E1236" s="67"/>
      <c r="F1236" s="68"/>
      <c r="G1236" s="68"/>
      <c r="H1236" s="66"/>
      <c r="I1236" s="69"/>
      <c r="J1236" s="66"/>
      <c r="K1236" s="66"/>
      <c r="L1236" s="66"/>
      <c r="M1236" s="70"/>
      <c r="N1236" s="71"/>
      <c r="W1236" s="22"/>
    </row>
    <row r="1237" spans="1:23" ht="14.5">
      <c r="A1237" s="63"/>
      <c r="B1237" s="64"/>
      <c r="C1237" s="65"/>
      <c r="D1237" s="66"/>
      <c r="E1237" s="67"/>
      <c r="F1237" s="68"/>
      <c r="G1237" s="68"/>
      <c r="H1237" s="66"/>
      <c r="I1237" s="69"/>
      <c r="J1237" s="66"/>
      <c r="K1237" s="66"/>
      <c r="L1237" s="66"/>
      <c r="M1237" s="70"/>
      <c r="N1237" s="71"/>
      <c r="W1237" s="22"/>
    </row>
    <row r="1238" spans="1:23" ht="14.5">
      <c r="A1238" s="63"/>
      <c r="B1238" s="64"/>
      <c r="C1238" s="65"/>
      <c r="D1238" s="66"/>
      <c r="E1238" s="67"/>
      <c r="F1238" s="68"/>
      <c r="G1238" s="68"/>
      <c r="H1238" s="66"/>
      <c r="I1238" s="69"/>
      <c r="J1238" s="66"/>
      <c r="K1238" s="66"/>
      <c r="L1238" s="66"/>
      <c r="M1238" s="70"/>
      <c r="N1238" s="71"/>
      <c r="W1238" s="22"/>
    </row>
    <row r="1239" spans="1:23" ht="14.5">
      <c r="A1239" s="63"/>
      <c r="B1239" s="64"/>
      <c r="C1239" s="65"/>
      <c r="D1239" s="66"/>
      <c r="E1239" s="67"/>
      <c r="F1239" s="68"/>
      <c r="G1239" s="68"/>
      <c r="H1239" s="66"/>
      <c r="I1239" s="69"/>
      <c r="J1239" s="66"/>
      <c r="K1239" s="66"/>
      <c r="L1239" s="66"/>
      <c r="M1239" s="70"/>
      <c r="N1239" s="71"/>
      <c r="W1239" s="22"/>
    </row>
    <row r="1240" spans="1:23" ht="14.5">
      <c r="A1240" s="63"/>
      <c r="B1240" s="64"/>
      <c r="C1240" s="65"/>
      <c r="D1240" s="66"/>
      <c r="E1240" s="67"/>
      <c r="F1240" s="68"/>
      <c r="G1240" s="68"/>
      <c r="H1240" s="66"/>
      <c r="I1240" s="69"/>
      <c r="J1240" s="66"/>
      <c r="K1240" s="66"/>
      <c r="L1240" s="66"/>
      <c r="M1240" s="70"/>
      <c r="N1240" s="71"/>
      <c r="W1240" s="22"/>
    </row>
    <row r="1241" spans="1:23" ht="14.5">
      <c r="A1241" s="63"/>
      <c r="B1241" s="64"/>
      <c r="C1241" s="65"/>
      <c r="D1241" s="66"/>
      <c r="E1241" s="67"/>
      <c r="F1241" s="68"/>
      <c r="G1241" s="68"/>
      <c r="H1241" s="66"/>
      <c r="I1241" s="69"/>
      <c r="J1241" s="66"/>
      <c r="K1241" s="66"/>
      <c r="L1241" s="66"/>
      <c r="M1241" s="70"/>
      <c r="N1241" s="71"/>
      <c r="W1241" s="22"/>
    </row>
    <row r="1242" spans="1:23" ht="14.5">
      <c r="A1242" s="63"/>
      <c r="B1242" s="64"/>
      <c r="C1242" s="65"/>
      <c r="D1242" s="66"/>
      <c r="E1242" s="67"/>
      <c r="F1242" s="68"/>
      <c r="G1242" s="68"/>
      <c r="H1242" s="66"/>
      <c r="I1242" s="69"/>
      <c r="J1242" s="66"/>
      <c r="K1242" s="66"/>
      <c r="L1242" s="66"/>
      <c r="M1242" s="70"/>
      <c r="N1242" s="71"/>
      <c r="W1242" s="22"/>
    </row>
    <row r="1243" spans="1:23" ht="14.5">
      <c r="A1243" s="63"/>
      <c r="B1243" s="64"/>
      <c r="C1243" s="65"/>
      <c r="D1243" s="66"/>
      <c r="E1243" s="67"/>
      <c r="F1243" s="68"/>
      <c r="G1243" s="68"/>
      <c r="H1243" s="66"/>
      <c r="I1243" s="69"/>
      <c r="J1243" s="66"/>
      <c r="K1243" s="66"/>
      <c r="L1243" s="66"/>
      <c r="M1243" s="70"/>
      <c r="N1243" s="71"/>
      <c r="W1243" s="22"/>
    </row>
    <row r="1244" spans="1:23" ht="14.5">
      <c r="A1244" s="63"/>
      <c r="B1244" s="64"/>
      <c r="C1244" s="65"/>
      <c r="D1244" s="66"/>
      <c r="E1244" s="67"/>
      <c r="F1244" s="68"/>
      <c r="G1244" s="68"/>
      <c r="H1244" s="66"/>
      <c r="I1244" s="69"/>
      <c r="J1244" s="66"/>
      <c r="K1244" s="66"/>
      <c r="L1244" s="66"/>
      <c r="M1244" s="70"/>
      <c r="N1244" s="71"/>
      <c r="W1244" s="22"/>
    </row>
    <row r="1245" spans="1:23" ht="14.5">
      <c r="A1245" s="63"/>
      <c r="B1245" s="64"/>
      <c r="C1245" s="65"/>
      <c r="D1245" s="66"/>
      <c r="E1245" s="67"/>
      <c r="F1245" s="68"/>
      <c r="G1245" s="68"/>
      <c r="H1245" s="66"/>
      <c r="I1245" s="69"/>
      <c r="J1245" s="66"/>
      <c r="K1245" s="66"/>
      <c r="L1245" s="66"/>
      <c r="M1245" s="70"/>
      <c r="N1245" s="71"/>
      <c r="W1245" s="22"/>
    </row>
    <row r="1246" spans="1:23" ht="14.5">
      <c r="A1246" s="63"/>
      <c r="B1246" s="64"/>
      <c r="C1246" s="65"/>
      <c r="D1246" s="66"/>
      <c r="E1246" s="67"/>
      <c r="F1246" s="68"/>
      <c r="G1246" s="68"/>
      <c r="H1246" s="66"/>
      <c r="I1246" s="69"/>
      <c r="J1246" s="66"/>
      <c r="K1246" s="66"/>
      <c r="L1246" s="66"/>
      <c r="M1246" s="70"/>
      <c r="N1246" s="71"/>
      <c r="W1246" s="22"/>
    </row>
    <row r="1247" spans="1:23" ht="14.5">
      <c r="A1247" s="63"/>
      <c r="B1247" s="64"/>
      <c r="C1247" s="65"/>
      <c r="D1247" s="66"/>
      <c r="E1247" s="67"/>
      <c r="F1247" s="68"/>
      <c r="G1247" s="68"/>
      <c r="H1247" s="66"/>
      <c r="I1247" s="69"/>
      <c r="J1247" s="66"/>
      <c r="K1247" s="66"/>
      <c r="L1247" s="66"/>
      <c r="M1247" s="70"/>
      <c r="N1247" s="71"/>
      <c r="W1247" s="22"/>
    </row>
    <row r="1248" spans="1:23" ht="14.5">
      <c r="A1248" s="63"/>
      <c r="B1248" s="64"/>
      <c r="C1248" s="65"/>
      <c r="D1248" s="66"/>
      <c r="E1248" s="67"/>
      <c r="F1248" s="68"/>
      <c r="G1248" s="68"/>
      <c r="H1248" s="66"/>
      <c r="I1248" s="69"/>
      <c r="J1248" s="66"/>
      <c r="K1248" s="66"/>
      <c r="L1248" s="66"/>
      <c r="M1248" s="70"/>
      <c r="N1248" s="71"/>
      <c r="W1248" s="22"/>
    </row>
    <row r="1249" spans="1:23" ht="14.5">
      <c r="A1249" s="63"/>
      <c r="B1249" s="64"/>
      <c r="C1249" s="65"/>
      <c r="D1249" s="66"/>
      <c r="E1249" s="67"/>
      <c r="F1249" s="68"/>
      <c r="G1249" s="68"/>
      <c r="H1249" s="66"/>
      <c r="I1249" s="69"/>
      <c r="J1249" s="66"/>
      <c r="K1249" s="66"/>
      <c r="L1249" s="66"/>
      <c r="M1249" s="70"/>
      <c r="N1249" s="71"/>
      <c r="W1249" s="22"/>
    </row>
    <row r="1250" spans="1:23" ht="14.5">
      <c r="A1250" s="63"/>
      <c r="B1250" s="64"/>
      <c r="C1250" s="65"/>
      <c r="D1250" s="66"/>
      <c r="E1250" s="67"/>
      <c r="F1250" s="68"/>
      <c r="G1250" s="68"/>
      <c r="H1250" s="66"/>
      <c r="I1250" s="69"/>
      <c r="J1250" s="66"/>
      <c r="K1250" s="66"/>
      <c r="L1250" s="66"/>
      <c r="M1250" s="70"/>
      <c r="N1250" s="71"/>
      <c r="W1250" s="22"/>
    </row>
    <row r="1251" spans="1:23" ht="14.5">
      <c r="A1251" s="63"/>
      <c r="B1251" s="64"/>
      <c r="C1251" s="65"/>
      <c r="D1251" s="66"/>
      <c r="E1251" s="67"/>
      <c r="F1251" s="68"/>
      <c r="G1251" s="68"/>
      <c r="H1251" s="66"/>
      <c r="I1251" s="69"/>
      <c r="J1251" s="66"/>
      <c r="K1251" s="66"/>
      <c r="L1251" s="66"/>
      <c r="M1251" s="70"/>
      <c r="N1251" s="71"/>
      <c r="W1251" s="22"/>
    </row>
    <row r="1252" spans="1:23" ht="14.5">
      <c r="A1252" s="63"/>
      <c r="B1252" s="64"/>
      <c r="C1252" s="65"/>
      <c r="D1252" s="66"/>
      <c r="E1252" s="67"/>
      <c r="F1252" s="68"/>
      <c r="G1252" s="68"/>
      <c r="H1252" s="66"/>
      <c r="I1252" s="69"/>
      <c r="J1252" s="66"/>
      <c r="K1252" s="66"/>
      <c r="L1252" s="66"/>
      <c r="M1252" s="70"/>
      <c r="N1252" s="71"/>
      <c r="W1252" s="22"/>
    </row>
    <row r="1253" spans="1:23" ht="14.5">
      <c r="A1253" s="63"/>
      <c r="B1253" s="64"/>
      <c r="C1253" s="65"/>
      <c r="D1253" s="66"/>
      <c r="E1253" s="67"/>
      <c r="F1253" s="68"/>
      <c r="G1253" s="68"/>
      <c r="H1253" s="66"/>
      <c r="I1253" s="69"/>
      <c r="J1253" s="66"/>
      <c r="K1253" s="66"/>
      <c r="L1253" s="66"/>
      <c r="M1253" s="70"/>
      <c r="N1253" s="71"/>
      <c r="W1253" s="22"/>
    </row>
    <row r="1254" spans="1:23" ht="14.5">
      <c r="A1254" s="63"/>
      <c r="B1254" s="64"/>
      <c r="C1254" s="65"/>
      <c r="D1254" s="66"/>
      <c r="E1254" s="67"/>
      <c r="F1254" s="68"/>
      <c r="G1254" s="68"/>
      <c r="H1254" s="66"/>
      <c r="I1254" s="69"/>
      <c r="J1254" s="66"/>
      <c r="K1254" s="66"/>
      <c r="L1254" s="66"/>
      <c r="M1254" s="70"/>
      <c r="N1254" s="71"/>
      <c r="W1254" s="22"/>
    </row>
    <row r="1255" spans="1:23" ht="14.5">
      <c r="A1255" s="63"/>
      <c r="B1255" s="64"/>
      <c r="C1255" s="65"/>
      <c r="D1255" s="66"/>
      <c r="E1255" s="67"/>
      <c r="F1255" s="68"/>
      <c r="G1255" s="68"/>
      <c r="H1255" s="66"/>
      <c r="I1255" s="69"/>
      <c r="J1255" s="66"/>
      <c r="K1255" s="66"/>
      <c r="L1255" s="66"/>
      <c r="M1255" s="70"/>
      <c r="N1255" s="71"/>
      <c r="W1255" s="22"/>
    </row>
    <row r="1256" spans="1:23" ht="14.5">
      <c r="A1256" s="63"/>
      <c r="B1256" s="64"/>
      <c r="C1256" s="65"/>
      <c r="D1256" s="66"/>
      <c r="E1256" s="67"/>
      <c r="F1256" s="68"/>
      <c r="G1256" s="68"/>
      <c r="H1256" s="66"/>
      <c r="I1256" s="69"/>
      <c r="J1256" s="66"/>
      <c r="K1256" s="66"/>
      <c r="L1256" s="66"/>
      <c r="M1256" s="70"/>
      <c r="N1256" s="71"/>
      <c r="W1256" s="22"/>
    </row>
    <row r="1257" spans="1:23" ht="14.5">
      <c r="A1257" s="63"/>
      <c r="B1257" s="64"/>
      <c r="C1257" s="65"/>
      <c r="D1257" s="66"/>
      <c r="E1257" s="67"/>
      <c r="F1257" s="68"/>
      <c r="G1257" s="68"/>
      <c r="H1257" s="66"/>
      <c r="I1257" s="69"/>
      <c r="J1257" s="66"/>
      <c r="K1257" s="66"/>
      <c r="L1257" s="66"/>
      <c r="M1257" s="70"/>
      <c r="N1257" s="71"/>
      <c r="W1257" s="22"/>
    </row>
    <row r="1258" spans="1:23" ht="14.5">
      <c r="A1258" s="63"/>
      <c r="B1258" s="64"/>
      <c r="C1258" s="65"/>
      <c r="D1258" s="66"/>
      <c r="E1258" s="67"/>
      <c r="F1258" s="68"/>
      <c r="G1258" s="68"/>
      <c r="H1258" s="66"/>
      <c r="I1258" s="69"/>
      <c r="J1258" s="66"/>
      <c r="K1258" s="66"/>
      <c r="L1258" s="66"/>
      <c r="M1258" s="70"/>
      <c r="N1258" s="71"/>
      <c r="W1258" s="22"/>
    </row>
    <row r="1259" spans="1:23" ht="14.5">
      <c r="A1259" s="63"/>
      <c r="B1259" s="64"/>
      <c r="C1259" s="65"/>
      <c r="D1259" s="66"/>
      <c r="E1259" s="67"/>
      <c r="F1259" s="68"/>
      <c r="G1259" s="68"/>
      <c r="H1259" s="66"/>
      <c r="I1259" s="69"/>
      <c r="J1259" s="66"/>
      <c r="K1259" s="66"/>
      <c r="L1259" s="66"/>
      <c r="M1259" s="70"/>
      <c r="N1259" s="71"/>
      <c r="W1259" s="22"/>
    </row>
    <row r="1260" spans="1:23" ht="14.5">
      <c r="A1260" s="63"/>
      <c r="B1260" s="64"/>
      <c r="C1260" s="65"/>
      <c r="D1260" s="66"/>
      <c r="E1260" s="67"/>
      <c r="F1260" s="68"/>
      <c r="G1260" s="68"/>
      <c r="H1260" s="66"/>
      <c r="I1260" s="69"/>
      <c r="J1260" s="66"/>
      <c r="K1260" s="66"/>
      <c r="L1260" s="66"/>
      <c r="M1260" s="70"/>
      <c r="N1260" s="71"/>
      <c r="W1260" s="22"/>
    </row>
    <row r="1261" spans="1:23" ht="14.5">
      <c r="A1261" s="63"/>
      <c r="B1261" s="64"/>
      <c r="C1261" s="65"/>
      <c r="D1261" s="66"/>
      <c r="E1261" s="67"/>
      <c r="F1261" s="68"/>
      <c r="G1261" s="68"/>
      <c r="H1261" s="66"/>
      <c r="I1261" s="69"/>
      <c r="J1261" s="66"/>
      <c r="K1261" s="66"/>
      <c r="L1261" s="66"/>
      <c r="M1261" s="70"/>
      <c r="N1261" s="71"/>
      <c r="W1261" s="22"/>
    </row>
    <row r="1262" spans="1:23" ht="14.5">
      <c r="A1262" s="63"/>
      <c r="B1262" s="64"/>
      <c r="C1262" s="65"/>
      <c r="D1262" s="66"/>
      <c r="E1262" s="67"/>
      <c r="F1262" s="68"/>
      <c r="G1262" s="68"/>
      <c r="H1262" s="66"/>
      <c r="I1262" s="69"/>
      <c r="J1262" s="66"/>
      <c r="K1262" s="66"/>
      <c r="L1262" s="66"/>
      <c r="M1262" s="70"/>
      <c r="N1262" s="71"/>
      <c r="W1262" s="22"/>
    </row>
    <row r="1263" spans="1:23" ht="14.5">
      <c r="A1263" s="63"/>
      <c r="B1263" s="64"/>
      <c r="C1263" s="65"/>
      <c r="D1263" s="66"/>
      <c r="E1263" s="67"/>
      <c r="F1263" s="68"/>
      <c r="G1263" s="68"/>
      <c r="H1263" s="66"/>
      <c r="I1263" s="69"/>
      <c r="J1263" s="66"/>
      <c r="K1263" s="66"/>
      <c r="L1263" s="66"/>
      <c r="M1263" s="70"/>
      <c r="N1263" s="71"/>
      <c r="W1263" s="22"/>
    </row>
    <row r="1264" spans="1:23" ht="14.5">
      <c r="A1264" s="63"/>
      <c r="B1264" s="64"/>
      <c r="C1264" s="65"/>
      <c r="D1264" s="66"/>
      <c r="E1264" s="67"/>
      <c r="F1264" s="68"/>
      <c r="G1264" s="68"/>
      <c r="H1264" s="66"/>
      <c r="I1264" s="69"/>
      <c r="J1264" s="66"/>
      <c r="K1264" s="66"/>
      <c r="L1264" s="66"/>
      <c r="M1264" s="70"/>
      <c r="N1264" s="71"/>
      <c r="W1264" s="22"/>
    </row>
    <row r="1265" spans="1:23" ht="14.5">
      <c r="A1265" s="63"/>
      <c r="B1265" s="64"/>
      <c r="C1265" s="65"/>
      <c r="D1265" s="66"/>
      <c r="E1265" s="67"/>
      <c r="F1265" s="68"/>
      <c r="G1265" s="68"/>
      <c r="H1265" s="66"/>
      <c r="I1265" s="69"/>
      <c r="J1265" s="66"/>
      <c r="K1265" s="66"/>
      <c r="L1265" s="66"/>
      <c r="M1265" s="70"/>
      <c r="N1265" s="71"/>
      <c r="W1265" s="22"/>
    </row>
    <row r="1266" spans="1:23" ht="14.5">
      <c r="A1266" s="63"/>
      <c r="B1266" s="64"/>
      <c r="C1266" s="65"/>
      <c r="D1266" s="66"/>
      <c r="E1266" s="67"/>
      <c r="F1266" s="68"/>
      <c r="G1266" s="68"/>
      <c r="H1266" s="66"/>
      <c r="I1266" s="69"/>
      <c r="J1266" s="66"/>
      <c r="K1266" s="66"/>
      <c r="L1266" s="66"/>
      <c r="M1266" s="70"/>
      <c r="N1266" s="71"/>
      <c r="W1266" s="22"/>
    </row>
    <row r="1267" spans="1:23" ht="14.5">
      <c r="A1267" s="63"/>
      <c r="B1267" s="64"/>
      <c r="C1267" s="65"/>
      <c r="D1267" s="66"/>
      <c r="E1267" s="67"/>
      <c r="F1267" s="68"/>
      <c r="G1267" s="68"/>
      <c r="H1267" s="66"/>
      <c r="I1267" s="69"/>
      <c r="J1267" s="66"/>
      <c r="K1267" s="66"/>
      <c r="L1267" s="66"/>
      <c r="M1267" s="70"/>
      <c r="N1267" s="71"/>
      <c r="W1267" s="22"/>
    </row>
    <row r="1268" spans="1:23" ht="14.5">
      <c r="A1268" s="63"/>
      <c r="B1268" s="64"/>
      <c r="C1268" s="65"/>
      <c r="D1268" s="66"/>
      <c r="E1268" s="67"/>
      <c r="F1268" s="68"/>
      <c r="G1268" s="68"/>
      <c r="H1268" s="66"/>
      <c r="I1268" s="69"/>
      <c r="J1268" s="66"/>
      <c r="K1268" s="66"/>
      <c r="L1268" s="66"/>
      <c r="M1268" s="70"/>
      <c r="N1268" s="71"/>
      <c r="W1268" s="22"/>
    </row>
    <row r="1269" spans="1:23" ht="14.5">
      <c r="A1269" s="63"/>
      <c r="B1269" s="64"/>
      <c r="C1269" s="65"/>
      <c r="D1269" s="66"/>
      <c r="E1269" s="67"/>
      <c r="F1269" s="68"/>
      <c r="G1269" s="68"/>
      <c r="H1269" s="66"/>
      <c r="I1269" s="69"/>
      <c r="J1269" s="66"/>
      <c r="K1269" s="66"/>
      <c r="L1269" s="66"/>
      <c r="M1269" s="70"/>
      <c r="N1269" s="71"/>
      <c r="W1269" s="22"/>
    </row>
    <row r="1270" spans="1:23" ht="14.5">
      <c r="A1270" s="63"/>
      <c r="B1270" s="64"/>
      <c r="C1270" s="65"/>
      <c r="D1270" s="66"/>
      <c r="E1270" s="67"/>
      <c r="F1270" s="68"/>
      <c r="G1270" s="68"/>
      <c r="H1270" s="66"/>
      <c r="I1270" s="69"/>
      <c r="J1270" s="66"/>
      <c r="K1270" s="66"/>
      <c r="L1270" s="66"/>
      <c r="M1270" s="70"/>
      <c r="N1270" s="71"/>
      <c r="W1270" s="22"/>
    </row>
    <row r="1271" spans="1:23" ht="14.5">
      <c r="A1271" s="63"/>
      <c r="B1271" s="64"/>
      <c r="C1271" s="65"/>
      <c r="D1271" s="66"/>
      <c r="E1271" s="67"/>
      <c r="F1271" s="68"/>
      <c r="G1271" s="68"/>
      <c r="H1271" s="66"/>
      <c r="I1271" s="69"/>
      <c r="J1271" s="66"/>
      <c r="K1271" s="66"/>
      <c r="L1271" s="66"/>
      <c r="M1271" s="70"/>
      <c r="N1271" s="71"/>
      <c r="W1271" s="22"/>
    </row>
    <row r="1272" spans="1:23" ht="14.5">
      <c r="A1272" s="63"/>
      <c r="B1272" s="64"/>
      <c r="C1272" s="65"/>
      <c r="D1272" s="66"/>
      <c r="E1272" s="67"/>
      <c r="F1272" s="68"/>
      <c r="G1272" s="68"/>
      <c r="H1272" s="66"/>
      <c r="I1272" s="69"/>
      <c r="J1272" s="66"/>
      <c r="K1272" s="66"/>
      <c r="L1272" s="66"/>
      <c r="M1272" s="70"/>
      <c r="N1272" s="71"/>
      <c r="W1272" s="22"/>
    </row>
    <row r="1273" spans="1:23" ht="14.5">
      <c r="A1273" s="63"/>
      <c r="B1273" s="64"/>
      <c r="C1273" s="65"/>
      <c r="D1273" s="66"/>
      <c r="E1273" s="67"/>
      <c r="F1273" s="68"/>
      <c r="G1273" s="68"/>
      <c r="H1273" s="66"/>
      <c r="I1273" s="69"/>
      <c r="J1273" s="66"/>
      <c r="K1273" s="66"/>
      <c r="L1273" s="66"/>
      <c r="M1273" s="70"/>
      <c r="N1273" s="71"/>
      <c r="W1273" s="22"/>
    </row>
    <row r="1274" spans="1:23" ht="14.5">
      <c r="A1274" s="63"/>
      <c r="B1274" s="64"/>
      <c r="C1274" s="65"/>
      <c r="D1274" s="66"/>
      <c r="E1274" s="67"/>
      <c r="F1274" s="68"/>
      <c r="G1274" s="68"/>
      <c r="H1274" s="66"/>
      <c r="I1274" s="69"/>
      <c r="J1274" s="66"/>
      <c r="K1274" s="66"/>
      <c r="L1274" s="66"/>
      <c r="M1274" s="70"/>
      <c r="N1274" s="71"/>
      <c r="W1274" s="22"/>
    </row>
    <row r="1275" spans="1:23" ht="14.5">
      <c r="A1275" s="63"/>
      <c r="B1275" s="64"/>
      <c r="C1275" s="65"/>
      <c r="D1275" s="66"/>
      <c r="E1275" s="67"/>
      <c r="F1275" s="68"/>
      <c r="G1275" s="68"/>
      <c r="H1275" s="66"/>
      <c r="I1275" s="69"/>
      <c r="J1275" s="66"/>
      <c r="K1275" s="66"/>
      <c r="L1275" s="66"/>
      <c r="M1275" s="70"/>
      <c r="N1275" s="71"/>
      <c r="W1275" s="22"/>
    </row>
    <row r="1276" spans="1:23" ht="14.5">
      <c r="A1276" s="63"/>
      <c r="B1276" s="64"/>
      <c r="C1276" s="65"/>
      <c r="D1276" s="66"/>
      <c r="E1276" s="67"/>
      <c r="F1276" s="68"/>
      <c r="G1276" s="68"/>
      <c r="H1276" s="66"/>
      <c r="I1276" s="69"/>
      <c r="J1276" s="66"/>
      <c r="K1276" s="66"/>
      <c r="L1276" s="66"/>
      <c r="M1276" s="70"/>
      <c r="N1276" s="71"/>
      <c r="W1276" s="22"/>
    </row>
    <row r="1277" spans="1:23" ht="14.5">
      <c r="A1277" s="63"/>
      <c r="B1277" s="64"/>
      <c r="C1277" s="65"/>
      <c r="D1277" s="66"/>
      <c r="E1277" s="67"/>
      <c r="F1277" s="68"/>
      <c r="G1277" s="68"/>
      <c r="H1277" s="66"/>
      <c r="I1277" s="69"/>
      <c r="J1277" s="66"/>
      <c r="K1277" s="66"/>
      <c r="L1277" s="66"/>
      <c r="M1277" s="70"/>
      <c r="N1277" s="71"/>
      <c r="W1277" s="22"/>
    </row>
    <row r="1278" spans="1:23" ht="14.5">
      <c r="A1278" s="63"/>
      <c r="B1278" s="64"/>
      <c r="C1278" s="65"/>
      <c r="D1278" s="66"/>
      <c r="E1278" s="67"/>
      <c r="F1278" s="68"/>
      <c r="G1278" s="68"/>
      <c r="H1278" s="66"/>
      <c r="I1278" s="69"/>
      <c r="J1278" s="66"/>
      <c r="K1278" s="66"/>
      <c r="L1278" s="66"/>
      <c r="M1278" s="70"/>
      <c r="N1278" s="71"/>
      <c r="W1278" s="22"/>
    </row>
    <row r="1279" spans="1:23" ht="14.5">
      <c r="A1279" s="63"/>
      <c r="B1279" s="64"/>
      <c r="C1279" s="65"/>
      <c r="D1279" s="66"/>
      <c r="E1279" s="67"/>
      <c r="F1279" s="68"/>
      <c r="G1279" s="68"/>
      <c r="H1279" s="66"/>
      <c r="I1279" s="69"/>
      <c r="J1279" s="66"/>
      <c r="K1279" s="66"/>
      <c r="L1279" s="66"/>
      <c r="M1279" s="70"/>
      <c r="N1279" s="71"/>
      <c r="W1279" s="22"/>
    </row>
    <row r="1280" spans="1:23" ht="14.5">
      <c r="A1280" s="63"/>
      <c r="B1280" s="64"/>
      <c r="C1280" s="65"/>
      <c r="D1280" s="66"/>
      <c r="E1280" s="67"/>
      <c r="F1280" s="68"/>
      <c r="G1280" s="68"/>
      <c r="H1280" s="66"/>
      <c r="I1280" s="69"/>
      <c r="J1280" s="66"/>
      <c r="K1280" s="66"/>
      <c r="L1280" s="66"/>
      <c r="M1280" s="70"/>
      <c r="N1280" s="71"/>
      <c r="W1280" s="22"/>
    </row>
    <row r="1281" spans="1:23" ht="14.5">
      <c r="A1281" s="63"/>
      <c r="B1281" s="64"/>
      <c r="C1281" s="65"/>
      <c r="D1281" s="66"/>
      <c r="E1281" s="67"/>
      <c r="F1281" s="68"/>
      <c r="G1281" s="68"/>
      <c r="H1281" s="66"/>
      <c r="I1281" s="69"/>
      <c r="J1281" s="66"/>
      <c r="K1281" s="66"/>
      <c r="L1281" s="66"/>
      <c r="M1281" s="70"/>
      <c r="N1281" s="71"/>
      <c r="W1281" s="22"/>
    </row>
    <row r="1282" spans="1:23" ht="14.5">
      <c r="A1282" s="63"/>
      <c r="B1282" s="64"/>
      <c r="C1282" s="65"/>
      <c r="D1282" s="66"/>
      <c r="E1282" s="67"/>
      <c r="F1282" s="68"/>
      <c r="G1282" s="68"/>
      <c r="H1282" s="66"/>
      <c r="I1282" s="69"/>
      <c r="J1282" s="66"/>
      <c r="K1282" s="66"/>
      <c r="L1282" s="66"/>
      <c r="M1282" s="70"/>
      <c r="N1282" s="71"/>
      <c r="W1282" s="22"/>
    </row>
    <row r="1283" spans="1:23" ht="14.5">
      <c r="A1283" s="63"/>
      <c r="B1283" s="64"/>
      <c r="C1283" s="65"/>
      <c r="D1283" s="66"/>
      <c r="E1283" s="67"/>
      <c r="F1283" s="68"/>
      <c r="G1283" s="68"/>
      <c r="H1283" s="66"/>
      <c r="I1283" s="69"/>
      <c r="J1283" s="66"/>
      <c r="K1283" s="66"/>
      <c r="L1283" s="66"/>
      <c r="M1283" s="70"/>
      <c r="N1283" s="71"/>
      <c r="W1283" s="22"/>
    </row>
    <row r="1284" spans="1:23" ht="14.5">
      <c r="A1284" s="63"/>
      <c r="B1284" s="64"/>
      <c r="C1284" s="65"/>
      <c r="D1284" s="66"/>
      <c r="E1284" s="67"/>
      <c r="F1284" s="68"/>
      <c r="G1284" s="68"/>
      <c r="H1284" s="66"/>
      <c r="I1284" s="69"/>
      <c r="J1284" s="66"/>
      <c r="K1284" s="66"/>
      <c r="L1284" s="66"/>
      <c r="M1284" s="70"/>
      <c r="N1284" s="71"/>
      <c r="W1284" s="22"/>
    </row>
    <row r="1285" spans="1:23" ht="14.5">
      <c r="A1285" s="63"/>
      <c r="B1285" s="64"/>
      <c r="C1285" s="65"/>
      <c r="D1285" s="66"/>
      <c r="E1285" s="67"/>
      <c r="F1285" s="68"/>
      <c r="G1285" s="68"/>
      <c r="H1285" s="66"/>
      <c r="I1285" s="69"/>
      <c r="J1285" s="66"/>
      <c r="K1285" s="66"/>
      <c r="L1285" s="66"/>
      <c r="M1285" s="70"/>
      <c r="N1285" s="71"/>
      <c r="W1285" s="22"/>
    </row>
    <row r="1286" spans="1:23" ht="14.5">
      <c r="A1286" s="63"/>
      <c r="B1286" s="64"/>
      <c r="C1286" s="65"/>
      <c r="D1286" s="66"/>
      <c r="E1286" s="67"/>
      <c r="F1286" s="68"/>
      <c r="G1286" s="68"/>
      <c r="H1286" s="66"/>
      <c r="I1286" s="69"/>
      <c r="J1286" s="66"/>
      <c r="K1286" s="66"/>
      <c r="L1286" s="66"/>
      <c r="M1286" s="70"/>
      <c r="N1286" s="71"/>
      <c r="W1286" s="22"/>
    </row>
    <row r="1287" spans="1:23" ht="14.5">
      <c r="A1287" s="63"/>
      <c r="B1287" s="64"/>
      <c r="C1287" s="65"/>
      <c r="D1287" s="66"/>
      <c r="E1287" s="67"/>
      <c r="F1287" s="68"/>
      <c r="G1287" s="68"/>
      <c r="H1287" s="66"/>
      <c r="I1287" s="69"/>
      <c r="J1287" s="66"/>
      <c r="K1287" s="66"/>
      <c r="L1287" s="66"/>
      <c r="M1287" s="70"/>
      <c r="N1287" s="71"/>
      <c r="W1287" s="22"/>
    </row>
    <row r="1288" spans="1:23" ht="14.5">
      <c r="A1288" s="63"/>
      <c r="B1288" s="64"/>
      <c r="C1288" s="65"/>
      <c r="D1288" s="66"/>
      <c r="E1288" s="67"/>
      <c r="F1288" s="68"/>
      <c r="G1288" s="68"/>
      <c r="H1288" s="66"/>
      <c r="I1288" s="69"/>
      <c r="J1288" s="66"/>
      <c r="K1288" s="66"/>
      <c r="L1288" s="66"/>
      <c r="M1288" s="70"/>
      <c r="N1288" s="71"/>
      <c r="W1288" s="22"/>
    </row>
    <row r="1289" spans="1:23" ht="14.5">
      <c r="A1289" s="63"/>
      <c r="B1289" s="64"/>
      <c r="C1289" s="65"/>
      <c r="D1289" s="66"/>
      <c r="E1289" s="67"/>
      <c r="F1289" s="68"/>
      <c r="G1289" s="68"/>
      <c r="H1289" s="66"/>
      <c r="I1289" s="69"/>
      <c r="J1289" s="66"/>
      <c r="K1289" s="66"/>
      <c r="L1289" s="66"/>
      <c r="M1289" s="70"/>
      <c r="N1289" s="71"/>
      <c r="W1289" s="22"/>
    </row>
    <row r="1290" spans="1:23" ht="14.5">
      <c r="A1290" s="63"/>
      <c r="B1290" s="64"/>
      <c r="C1290" s="65"/>
      <c r="D1290" s="66"/>
      <c r="E1290" s="67"/>
      <c r="F1290" s="68"/>
      <c r="G1290" s="68"/>
      <c r="H1290" s="66"/>
      <c r="I1290" s="69"/>
      <c r="J1290" s="66"/>
      <c r="K1290" s="66"/>
      <c r="L1290" s="66"/>
      <c r="M1290" s="70"/>
      <c r="N1290" s="71"/>
      <c r="W1290" s="22"/>
    </row>
    <row r="1291" spans="1:23" ht="14.5">
      <c r="A1291" s="63"/>
      <c r="B1291" s="64"/>
      <c r="C1291" s="65"/>
      <c r="D1291" s="66"/>
      <c r="E1291" s="67"/>
      <c r="F1291" s="68"/>
      <c r="G1291" s="68"/>
      <c r="H1291" s="66"/>
      <c r="I1291" s="69"/>
      <c r="J1291" s="66"/>
      <c r="K1291" s="66"/>
      <c r="L1291" s="66"/>
      <c r="M1291" s="70"/>
      <c r="N1291" s="71"/>
      <c r="W1291" s="22"/>
    </row>
    <row r="1292" spans="1:23" ht="14.5">
      <c r="A1292" s="63"/>
      <c r="B1292" s="64"/>
      <c r="C1292" s="65"/>
      <c r="D1292" s="66"/>
      <c r="E1292" s="67"/>
      <c r="F1292" s="68"/>
      <c r="G1292" s="68"/>
      <c r="H1292" s="66"/>
      <c r="I1292" s="69"/>
      <c r="J1292" s="66"/>
      <c r="K1292" s="66"/>
      <c r="L1292" s="66"/>
      <c r="M1292" s="70"/>
      <c r="N1292" s="71"/>
      <c r="W1292" s="22"/>
    </row>
    <row r="1293" spans="1:23" ht="14.5">
      <c r="A1293" s="63"/>
      <c r="B1293" s="64"/>
      <c r="C1293" s="65"/>
      <c r="D1293" s="66"/>
      <c r="E1293" s="67"/>
      <c r="F1293" s="68"/>
      <c r="G1293" s="68"/>
      <c r="H1293" s="66"/>
      <c r="I1293" s="69"/>
      <c r="J1293" s="66"/>
      <c r="K1293" s="66"/>
      <c r="L1293" s="66"/>
      <c r="M1293" s="70"/>
      <c r="N1293" s="71"/>
      <c r="W1293" s="22"/>
    </row>
    <row r="1294" spans="1:23" ht="14.5">
      <c r="A1294" s="63"/>
      <c r="B1294" s="64"/>
      <c r="C1294" s="65"/>
      <c r="D1294" s="66"/>
      <c r="E1294" s="67"/>
      <c r="F1294" s="68"/>
      <c r="G1294" s="68"/>
      <c r="H1294" s="66"/>
      <c r="I1294" s="69"/>
      <c r="J1294" s="66"/>
      <c r="K1294" s="66"/>
      <c r="L1294" s="66"/>
      <c r="M1294" s="70"/>
      <c r="N1294" s="71"/>
      <c r="W1294" s="22"/>
    </row>
    <row r="1295" spans="1:23" ht="14.5">
      <c r="A1295" s="63"/>
      <c r="B1295" s="64"/>
      <c r="C1295" s="65"/>
      <c r="D1295" s="66"/>
      <c r="E1295" s="67"/>
      <c r="F1295" s="68"/>
      <c r="G1295" s="68"/>
      <c r="H1295" s="66"/>
      <c r="I1295" s="69"/>
      <c r="J1295" s="66"/>
      <c r="K1295" s="66"/>
      <c r="L1295" s="66"/>
      <c r="M1295" s="70"/>
      <c r="N1295" s="71"/>
      <c r="W1295" s="22"/>
    </row>
    <row r="1296" spans="1:23" ht="14.5">
      <c r="A1296" s="63"/>
      <c r="B1296" s="64"/>
      <c r="C1296" s="65"/>
      <c r="D1296" s="66"/>
      <c r="E1296" s="67"/>
      <c r="F1296" s="68"/>
      <c r="G1296" s="68"/>
      <c r="H1296" s="66"/>
      <c r="I1296" s="69"/>
      <c r="J1296" s="66"/>
      <c r="K1296" s="66"/>
      <c r="L1296" s="66"/>
      <c r="M1296" s="70"/>
      <c r="N1296" s="71"/>
      <c r="W1296" s="22"/>
    </row>
    <row r="1297" spans="1:23" ht="14.5">
      <c r="A1297" s="63"/>
      <c r="B1297" s="64"/>
      <c r="C1297" s="65"/>
      <c r="D1297" s="66"/>
      <c r="E1297" s="67"/>
      <c r="F1297" s="68"/>
      <c r="G1297" s="68"/>
      <c r="H1297" s="66"/>
      <c r="I1297" s="69"/>
      <c r="J1297" s="66"/>
      <c r="K1297" s="66"/>
      <c r="L1297" s="66"/>
      <c r="M1297" s="70"/>
      <c r="N1297" s="71"/>
      <c r="W1297" s="22"/>
    </row>
    <row r="1298" spans="1:23" ht="14.5">
      <c r="A1298" s="63"/>
      <c r="B1298" s="64"/>
      <c r="C1298" s="65"/>
      <c r="D1298" s="66"/>
      <c r="E1298" s="67"/>
      <c r="F1298" s="68"/>
      <c r="G1298" s="68"/>
      <c r="H1298" s="66"/>
      <c r="I1298" s="69"/>
      <c r="J1298" s="66"/>
      <c r="K1298" s="66"/>
      <c r="L1298" s="66"/>
      <c r="M1298" s="70"/>
      <c r="N1298" s="71"/>
      <c r="W1298" s="22"/>
    </row>
    <row r="1299" spans="1:23" ht="14.5">
      <c r="A1299" s="63"/>
      <c r="B1299" s="64"/>
      <c r="C1299" s="65"/>
      <c r="D1299" s="66"/>
      <c r="E1299" s="67"/>
      <c r="F1299" s="68"/>
      <c r="G1299" s="68"/>
      <c r="H1299" s="66"/>
      <c r="I1299" s="69"/>
      <c r="J1299" s="66"/>
      <c r="K1299" s="66"/>
      <c r="L1299" s="66"/>
      <c r="M1299" s="70"/>
      <c r="N1299" s="71"/>
      <c r="W1299" s="22"/>
    </row>
    <row r="1300" spans="1:23" ht="14.5">
      <c r="A1300" s="63"/>
      <c r="B1300" s="64"/>
      <c r="C1300" s="65"/>
      <c r="D1300" s="66"/>
      <c r="E1300" s="67"/>
      <c r="F1300" s="68"/>
      <c r="G1300" s="68"/>
      <c r="H1300" s="66"/>
      <c r="I1300" s="69"/>
      <c r="J1300" s="66"/>
      <c r="K1300" s="66"/>
      <c r="L1300" s="66"/>
      <c r="M1300" s="70"/>
      <c r="N1300" s="71"/>
      <c r="W1300" s="22"/>
    </row>
    <row r="1301" spans="1:23" ht="14.5">
      <c r="A1301" s="63"/>
      <c r="B1301" s="64"/>
      <c r="C1301" s="65"/>
      <c r="D1301" s="66"/>
      <c r="E1301" s="67"/>
      <c r="F1301" s="68"/>
      <c r="G1301" s="68"/>
      <c r="H1301" s="66"/>
      <c r="I1301" s="69"/>
      <c r="J1301" s="66"/>
      <c r="K1301" s="66"/>
      <c r="L1301" s="66"/>
      <c r="M1301" s="70"/>
      <c r="N1301" s="71"/>
      <c r="W1301" s="22"/>
    </row>
    <row r="1302" spans="1:23" ht="14.5">
      <c r="A1302" s="63"/>
      <c r="B1302" s="64"/>
      <c r="C1302" s="65"/>
      <c r="D1302" s="66"/>
      <c r="E1302" s="67"/>
      <c r="F1302" s="68"/>
      <c r="G1302" s="68"/>
      <c r="H1302" s="66"/>
      <c r="I1302" s="69"/>
      <c r="J1302" s="66"/>
      <c r="K1302" s="66"/>
      <c r="L1302" s="66"/>
      <c r="M1302" s="70"/>
      <c r="N1302" s="71"/>
      <c r="W1302" s="22"/>
    </row>
    <row r="1303" spans="1:23" ht="14.5">
      <c r="A1303" s="63"/>
      <c r="B1303" s="64"/>
      <c r="C1303" s="65"/>
      <c r="D1303" s="66"/>
      <c r="E1303" s="67"/>
      <c r="F1303" s="68"/>
      <c r="G1303" s="68"/>
      <c r="H1303" s="66"/>
      <c r="I1303" s="69"/>
      <c r="J1303" s="66"/>
      <c r="K1303" s="66"/>
      <c r="L1303" s="66"/>
      <c r="M1303" s="70"/>
      <c r="N1303" s="71"/>
      <c r="W1303" s="22"/>
    </row>
    <row r="1304" spans="1:23" ht="14.5">
      <c r="A1304" s="63"/>
      <c r="B1304" s="64"/>
      <c r="C1304" s="65"/>
      <c r="D1304" s="66"/>
      <c r="E1304" s="67"/>
      <c r="F1304" s="68"/>
      <c r="G1304" s="68"/>
      <c r="H1304" s="66"/>
      <c r="I1304" s="69"/>
      <c r="J1304" s="66"/>
      <c r="K1304" s="66"/>
      <c r="L1304" s="66"/>
      <c r="M1304" s="70"/>
      <c r="N1304" s="71"/>
      <c r="W1304" s="22"/>
    </row>
    <row r="1305" spans="1:23" ht="14.5">
      <c r="A1305" s="63"/>
      <c r="B1305" s="64"/>
      <c r="C1305" s="65"/>
      <c r="D1305" s="66"/>
      <c r="E1305" s="67"/>
      <c r="F1305" s="68"/>
      <c r="G1305" s="68"/>
      <c r="H1305" s="66"/>
      <c r="I1305" s="69"/>
      <c r="J1305" s="66"/>
      <c r="K1305" s="66"/>
      <c r="L1305" s="66"/>
      <c r="M1305" s="70"/>
      <c r="N1305" s="71"/>
      <c r="W1305" s="22"/>
    </row>
    <row r="1306" spans="1:23" ht="14.5">
      <c r="A1306" s="63"/>
      <c r="B1306" s="64"/>
      <c r="C1306" s="65"/>
      <c r="D1306" s="66"/>
      <c r="E1306" s="67"/>
      <c r="F1306" s="68"/>
      <c r="G1306" s="68"/>
      <c r="H1306" s="66"/>
      <c r="I1306" s="69"/>
      <c r="J1306" s="66"/>
      <c r="K1306" s="66"/>
      <c r="L1306" s="66"/>
      <c r="M1306" s="70"/>
      <c r="N1306" s="71"/>
      <c r="W1306" s="22"/>
    </row>
    <row r="1307" spans="1:23" ht="14.5">
      <c r="A1307" s="63"/>
      <c r="B1307" s="64"/>
      <c r="C1307" s="65"/>
      <c r="D1307" s="66"/>
      <c r="E1307" s="67"/>
      <c r="F1307" s="68"/>
      <c r="G1307" s="68"/>
      <c r="H1307" s="66"/>
      <c r="I1307" s="69"/>
      <c r="J1307" s="66"/>
      <c r="K1307" s="66"/>
      <c r="L1307" s="66"/>
      <c r="M1307" s="70"/>
      <c r="N1307" s="71"/>
      <c r="W1307" s="22"/>
    </row>
    <row r="1308" spans="1:23" ht="14.5">
      <c r="A1308" s="63"/>
      <c r="B1308" s="64"/>
      <c r="C1308" s="65"/>
      <c r="D1308" s="66"/>
      <c r="E1308" s="67"/>
      <c r="F1308" s="68"/>
      <c r="G1308" s="68"/>
      <c r="H1308" s="66"/>
      <c r="I1308" s="69"/>
      <c r="J1308" s="66"/>
      <c r="K1308" s="66"/>
      <c r="L1308" s="66"/>
      <c r="M1308" s="70"/>
      <c r="N1308" s="71"/>
      <c r="W1308" s="22"/>
    </row>
    <row r="1309" spans="1:23" ht="14.5">
      <c r="A1309" s="63"/>
      <c r="B1309" s="64"/>
      <c r="C1309" s="65"/>
      <c r="D1309" s="66"/>
      <c r="E1309" s="67"/>
      <c r="F1309" s="68"/>
      <c r="G1309" s="68"/>
      <c r="H1309" s="66"/>
      <c r="I1309" s="69"/>
      <c r="J1309" s="66"/>
      <c r="K1309" s="66"/>
      <c r="L1309" s="66"/>
      <c r="M1309" s="70"/>
      <c r="N1309" s="71"/>
      <c r="W1309" s="22"/>
    </row>
    <row r="1310" spans="1:23" ht="14.5">
      <c r="A1310" s="63"/>
      <c r="B1310" s="64"/>
      <c r="C1310" s="65"/>
      <c r="D1310" s="66"/>
      <c r="E1310" s="67"/>
      <c r="F1310" s="68"/>
      <c r="G1310" s="68"/>
      <c r="H1310" s="66"/>
      <c r="I1310" s="69"/>
      <c r="J1310" s="66"/>
      <c r="K1310" s="66"/>
      <c r="L1310" s="66"/>
      <c r="M1310" s="70"/>
      <c r="N1310" s="71"/>
      <c r="W1310" s="22"/>
    </row>
    <row r="1311" spans="1:23" ht="14.5">
      <c r="A1311" s="63"/>
      <c r="B1311" s="64"/>
      <c r="C1311" s="65"/>
      <c r="D1311" s="66"/>
      <c r="E1311" s="67"/>
      <c r="F1311" s="68"/>
      <c r="G1311" s="68"/>
      <c r="H1311" s="66"/>
      <c r="I1311" s="69"/>
      <c r="J1311" s="66"/>
      <c r="K1311" s="66"/>
      <c r="L1311" s="66"/>
      <c r="M1311" s="70"/>
      <c r="N1311" s="71"/>
      <c r="W1311" s="22"/>
    </row>
    <row r="1312" spans="1:23" ht="14.5">
      <c r="A1312" s="63"/>
      <c r="B1312" s="64"/>
      <c r="C1312" s="65"/>
      <c r="D1312" s="66"/>
      <c r="E1312" s="67"/>
      <c r="F1312" s="68"/>
      <c r="G1312" s="68"/>
      <c r="H1312" s="66"/>
      <c r="I1312" s="69"/>
      <c r="J1312" s="66"/>
      <c r="K1312" s="66"/>
      <c r="L1312" s="66"/>
      <c r="M1312" s="70"/>
      <c r="N1312" s="71"/>
      <c r="W1312" s="22"/>
    </row>
    <row r="1313" spans="1:23" ht="14.5">
      <c r="A1313" s="63"/>
      <c r="B1313" s="64"/>
      <c r="C1313" s="65"/>
      <c r="D1313" s="66"/>
      <c r="E1313" s="67"/>
      <c r="F1313" s="68"/>
      <c r="G1313" s="68"/>
      <c r="H1313" s="66"/>
      <c r="I1313" s="69"/>
      <c r="J1313" s="66"/>
      <c r="K1313" s="66"/>
      <c r="L1313" s="66"/>
      <c r="M1313" s="70"/>
      <c r="N1313" s="71"/>
      <c r="W1313" s="22"/>
    </row>
    <row r="1314" spans="1:23" ht="14.5">
      <c r="A1314" s="63"/>
      <c r="B1314" s="64"/>
      <c r="C1314" s="65"/>
      <c r="D1314" s="66"/>
      <c r="E1314" s="67"/>
      <c r="F1314" s="68"/>
      <c r="G1314" s="68"/>
      <c r="H1314" s="66"/>
      <c r="I1314" s="69"/>
      <c r="J1314" s="66"/>
      <c r="K1314" s="66"/>
      <c r="L1314" s="66"/>
      <c r="M1314" s="70"/>
      <c r="N1314" s="71"/>
      <c r="W1314" s="22"/>
    </row>
    <row r="1315" spans="1:23" ht="14.5">
      <c r="A1315" s="63"/>
      <c r="B1315" s="64"/>
      <c r="C1315" s="65"/>
      <c r="D1315" s="66"/>
      <c r="E1315" s="67"/>
      <c r="F1315" s="68"/>
      <c r="G1315" s="68"/>
      <c r="H1315" s="66"/>
      <c r="I1315" s="69"/>
      <c r="J1315" s="66"/>
      <c r="K1315" s="66"/>
      <c r="L1315" s="66"/>
      <c r="M1315" s="70"/>
      <c r="N1315" s="71"/>
      <c r="W1315" s="22"/>
    </row>
    <row r="1316" spans="1:23" ht="14.5">
      <c r="A1316" s="63"/>
      <c r="B1316" s="64"/>
      <c r="C1316" s="65"/>
      <c r="D1316" s="66"/>
      <c r="E1316" s="67"/>
      <c r="F1316" s="68"/>
      <c r="G1316" s="68"/>
      <c r="H1316" s="66"/>
      <c r="I1316" s="69"/>
      <c r="J1316" s="66"/>
      <c r="K1316" s="66"/>
      <c r="L1316" s="66"/>
      <c r="M1316" s="70"/>
      <c r="N1316" s="71"/>
      <c r="W1316" s="22"/>
    </row>
    <row r="1317" spans="1:23" ht="14.5">
      <c r="A1317" s="63"/>
      <c r="B1317" s="64"/>
      <c r="C1317" s="65"/>
      <c r="D1317" s="66"/>
      <c r="E1317" s="67"/>
      <c r="F1317" s="68"/>
      <c r="G1317" s="68"/>
      <c r="H1317" s="66"/>
      <c r="I1317" s="69"/>
      <c r="J1317" s="66"/>
      <c r="K1317" s="66"/>
      <c r="L1317" s="66"/>
      <c r="M1317" s="70"/>
      <c r="N1317" s="71"/>
      <c r="W1317" s="22"/>
    </row>
    <row r="1318" spans="1:23" ht="14.5">
      <c r="A1318" s="63"/>
      <c r="B1318" s="64"/>
      <c r="C1318" s="65"/>
      <c r="D1318" s="66"/>
      <c r="E1318" s="67"/>
      <c r="F1318" s="68"/>
      <c r="G1318" s="68"/>
      <c r="H1318" s="66"/>
      <c r="I1318" s="69"/>
      <c r="J1318" s="66"/>
      <c r="K1318" s="66"/>
      <c r="L1318" s="66"/>
      <c r="M1318" s="70"/>
      <c r="N1318" s="71"/>
      <c r="W1318" s="22"/>
    </row>
    <row r="1319" spans="1:23" ht="14.5">
      <c r="A1319" s="63"/>
      <c r="B1319" s="64"/>
      <c r="C1319" s="65"/>
      <c r="D1319" s="66"/>
      <c r="E1319" s="67"/>
      <c r="F1319" s="68"/>
      <c r="G1319" s="68"/>
      <c r="H1319" s="66"/>
      <c r="I1319" s="69"/>
      <c r="J1319" s="66"/>
      <c r="K1319" s="66"/>
      <c r="L1319" s="66"/>
      <c r="M1319" s="70"/>
      <c r="N1319" s="71"/>
      <c r="W1319" s="22"/>
    </row>
    <row r="1320" spans="1:23" ht="14.5">
      <c r="A1320" s="63"/>
      <c r="B1320" s="64"/>
      <c r="C1320" s="65"/>
      <c r="D1320" s="66"/>
      <c r="E1320" s="67"/>
      <c r="F1320" s="68"/>
      <c r="G1320" s="68"/>
      <c r="H1320" s="66"/>
      <c r="I1320" s="69"/>
      <c r="J1320" s="66"/>
      <c r="K1320" s="66"/>
      <c r="L1320" s="66"/>
      <c r="M1320" s="70"/>
      <c r="N1320" s="71"/>
      <c r="W1320" s="22"/>
    </row>
    <row r="1321" spans="1:23" ht="14.5">
      <c r="A1321" s="63"/>
      <c r="B1321" s="64"/>
      <c r="C1321" s="65"/>
      <c r="D1321" s="66"/>
      <c r="E1321" s="67"/>
      <c r="F1321" s="68"/>
      <c r="G1321" s="68"/>
      <c r="H1321" s="66"/>
      <c r="I1321" s="69"/>
      <c r="J1321" s="66"/>
      <c r="K1321" s="66"/>
      <c r="L1321" s="66"/>
      <c r="M1321" s="70"/>
      <c r="N1321" s="71"/>
      <c r="W1321" s="22"/>
    </row>
    <row r="1322" spans="1:23" ht="14.5">
      <c r="A1322" s="63"/>
      <c r="B1322" s="64"/>
      <c r="C1322" s="65"/>
      <c r="D1322" s="66"/>
      <c r="E1322" s="67"/>
      <c r="F1322" s="68"/>
      <c r="G1322" s="68"/>
      <c r="H1322" s="66"/>
      <c r="I1322" s="69"/>
      <c r="J1322" s="66"/>
      <c r="K1322" s="66"/>
      <c r="L1322" s="66"/>
      <c r="M1322" s="70"/>
      <c r="N1322" s="71"/>
      <c r="W1322" s="22"/>
    </row>
    <row r="1323" spans="1:23" ht="14.5">
      <c r="A1323" s="63"/>
      <c r="B1323" s="64"/>
      <c r="C1323" s="65"/>
      <c r="D1323" s="66"/>
      <c r="E1323" s="67"/>
      <c r="F1323" s="68"/>
      <c r="G1323" s="68"/>
      <c r="H1323" s="66"/>
      <c r="I1323" s="69"/>
      <c r="J1323" s="66"/>
      <c r="K1323" s="66"/>
      <c r="L1323" s="66"/>
      <c r="M1323" s="70"/>
      <c r="N1323" s="71"/>
      <c r="W1323" s="22"/>
    </row>
    <row r="1324" spans="1:23" ht="14.5">
      <c r="A1324" s="63"/>
      <c r="B1324" s="64"/>
      <c r="C1324" s="65"/>
      <c r="D1324" s="66"/>
      <c r="E1324" s="67"/>
      <c r="F1324" s="68"/>
      <c r="G1324" s="68"/>
      <c r="H1324" s="66"/>
      <c r="I1324" s="69"/>
      <c r="J1324" s="66"/>
      <c r="K1324" s="66"/>
      <c r="L1324" s="66"/>
      <c r="M1324" s="70"/>
      <c r="N1324" s="71"/>
      <c r="W1324" s="22"/>
    </row>
    <row r="1325" spans="1:23" ht="14.5">
      <c r="A1325" s="63"/>
      <c r="B1325" s="64"/>
      <c r="C1325" s="65"/>
      <c r="D1325" s="66"/>
      <c r="E1325" s="67"/>
      <c r="F1325" s="68"/>
      <c r="G1325" s="68"/>
      <c r="H1325" s="66"/>
      <c r="I1325" s="69"/>
      <c r="J1325" s="66"/>
      <c r="K1325" s="66"/>
      <c r="L1325" s="66"/>
      <c r="M1325" s="70"/>
      <c r="N1325" s="71"/>
      <c r="W1325" s="22"/>
    </row>
    <row r="1326" spans="1:23" ht="14.5">
      <c r="A1326" s="63"/>
      <c r="B1326" s="64"/>
      <c r="C1326" s="65"/>
      <c r="D1326" s="66"/>
      <c r="E1326" s="67"/>
      <c r="F1326" s="68"/>
      <c r="G1326" s="68"/>
      <c r="H1326" s="66"/>
      <c r="I1326" s="69"/>
      <c r="J1326" s="66"/>
      <c r="K1326" s="66"/>
      <c r="L1326" s="66"/>
      <c r="M1326" s="70"/>
      <c r="N1326" s="71"/>
      <c r="W1326" s="22"/>
    </row>
    <row r="1327" spans="1:23" ht="14.5">
      <c r="A1327" s="63"/>
      <c r="B1327" s="64"/>
      <c r="C1327" s="65"/>
      <c r="D1327" s="66"/>
      <c r="E1327" s="67"/>
      <c r="F1327" s="68"/>
      <c r="G1327" s="68"/>
      <c r="H1327" s="66"/>
      <c r="I1327" s="69"/>
      <c r="J1327" s="66"/>
      <c r="K1327" s="66"/>
      <c r="L1327" s="66"/>
      <c r="M1327" s="70"/>
      <c r="N1327" s="71"/>
      <c r="W1327" s="22"/>
    </row>
    <row r="1328" spans="1:23" ht="14.5">
      <c r="A1328" s="63"/>
      <c r="B1328" s="64"/>
      <c r="C1328" s="65"/>
      <c r="D1328" s="66"/>
      <c r="E1328" s="67"/>
      <c r="F1328" s="68"/>
      <c r="G1328" s="68"/>
      <c r="H1328" s="66"/>
      <c r="I1328" s="69"/>
      <c r="J1328" s="66"/>
      <c r="K1328" s="66"/>
      <c r="L1328" s="66"/>
      <c r="M1328" s="70"/>
      <c r="N1328" s="71"/>
      <c r="W1328" s="22"/>
    </row>
    <row r="1329" spans="1:23" ht="14.5">
      <c r="A1329" s="63"/>
      <c r="B1329" s="64"/>
      <c r="C1329" s="65"/>
      <c r="D1329" s="66"/>
      <c r="E1329" s="67"/>
      <c r="F1329" s="68"/>
      <c r="G1329" s="68"/>
      <c r="H1329" s="66"/>
      <c r="I1329" s="69"/>
      <c r="J1329" s="66"/>
      <c r="K1329" s="66"/>
      <c r="L1329" s="66"/>
      <c r="M1329" s="70"/>
      <c r="N1329" s="71"/>
      <c r="W1329" s="22"/>
    </row>
    <row r="1330" spans="1:23" ht="14.5">
      <c r="A1330" s="63"/>
      <c r="B1330" s="64"/>
      <c r="C1330" s="65"/>
      <c r="D1330" s="66"/>
      <c r="E1330" s="67"/>
      <c r="F1330" s="68"/>
      <c r="G1330" s="68"/>
      <c r="H1330" s="66"/>
      <c r="I1330" s="69"/>
      <c r="J1330" s="66"/>
      <c r="K1330" s="66"/>
      <c r="L1330" s="66"/>
      <c r="M1330" s="70"/>
      <c r="N1330" s="71"/>
      <c r="W1330" s="22"/>
    </row>
    <row r="1331" spans="1:23" ht="14.5">
      <c r="A1331" s="63"/>
      <c r="B1331" s="64"/>
      <c r="C1331" s="65"/>
      <c r="D1331" s="66"/>
      <c r="E1331" s="67"/>
      <c r="F1331" s="68"/>
      <c r="G1331" s="68"/>
      <c r="H1331" s="66"/>
      <c r="I1331" s="69"/>
      <c r="J1331" s="66"/>
      <c r="K1331" s="66"/>
      <c r="L1331" s="66"/>
      <c r="M1331" s="70"/>
      <c r="N1331" s="71"/>
      <c r="W1331" s="22"/>
    </row>
    <row r="1332" spans="1:23" ht="14.5">
      <c r="A1332" s="63"/>
      <c r="B1332" s="64"/>
      <c r="C1332" s="65"/>
      <c r="D1332" s="66"/>
      <c r="E1332" s="67"/>
      <c r="F1332" s="68"/>
      <c r="G1332" s="68"/>
      <c r="H1332" s="66"/>
      <c r="I1332" s="69"/>
      <c r="J1332" s="66"/>
      <c r="K1332" s="66"/>
      <c r="L1332" s="66"/>
      <c r="M1332" s="70"/>
      <c r="N1332" s="71"/>
      <c r="W1332" s="22"/>
    </row>
    <row r="1333" spans="1:23" ht="14.5">
      <c r="A1333" s="63"/>
      <c r="B1333" s="64"/>
      <c r="C1333" s="65"/>
      <c r="D1333" s="66"/>
      <c r="E1333" s="67"/>
      <c r="F1333" s="68"/>
      <c r="G1333" s="68"/>
      <c r="H1333" s="66"/>
      <c r="I1333" s="69"/>
      <c r="J1333" s="66"/>
      <c r="K1333" s="66"/>
      <c r="L1333" s="66"/>
      <c r="M1333" s="70"/>
      <c r="N1333" s="71"/>
      <c r="W1333" s="22"/>
    </row>
    <row r="1334" spans="1:23" ht="14.5">
      <c r="A1334" s="63"/>
      <c r="B1334" s="64"/>
      <c r="C1334" s="65"/>
      <c r="D1334" s="66"/>
      <c r="E1334" s="67"/>
      <c r="F1334" s="68"/>
      <c r="G1334" s="68"/>
      <c r="H1334" s="66"/>
      <c r="I1334" s="69"/>
      <c r="J1334" s="66"/>
      <c r="K1334" s="66"/>
      <c r="L1334" s="66"/>
      <c r="M1334" s="70"/>
      <c r="N1334" s="71"/>
      <c r="W1334" s="22"/>
    </row>
    <row r="1335" spans="1:23" ht="14.5">
      <c r="A1335" s="63"/>
      <c r="B1335" s="64"/>
      <c r="C1335" s="65"/>
      <c r="D1335" s="66"/>
      <c r="E1335" s="67"/>
      <c r="F1335" s="68"/>
      <c r="G1335" s="68"/>
      <c r="H1335" s="66"/>
      <c r="I1335" s="69"/>
      <c r="J1335" s="66"/>
      <c r="K1335" s="66"/>
      <c r="L1335" s="66"/>
      <c r="M1335" s="70"/>
      <c r="N1335" s="71"/>
      <c r="W1335" s="22"/>
    </row>
    <row r="1336" spans="1:23" ht="14.5">
      <c r="A1336" s="63"/>
      <c r="B1336" s="64"/>
      <c r="C1336" s="65"/>
      <c r="D1336" s="66"/>
      <c r="E1336" s="67"/>
      <c r="F1336" s="68"/>
      <c r="G1336" s="68"/>
      <c r="H1336" s="66"/>
      <c r="I1336" s="69"/>
      <c r="J1336" s="66"/>
      <c r="K1336" s="66"/>
      <c r="L1336" s="66"/>
      <c r="M1336" s="70"/>
      <c r="N1336" s="71"/>
      <c r="W1336" s="22"/>
    </row>
    <row r="1337" spans="1:23" ht="14.5">
      <c r="A1337" s="63"/>
      <c r="B1337" s="64"/>
      <c r="C1337" s="65"/>
      <c r="D1337" s="66"/>
      <c r="E1337" s="67"/>
      <c r="F1337" s="68"/>
      <c r="G1337" s="68"/>
      <c r="H1337" s="66"/>
      <c r="I1337" s="69"/>
      <c r="J1337" s="66"/>
      <c r="K1337" s="66"/>
      <c r="L1337" s="66"/>
      <c r="M1337" s="70"/>
      <c r="N1337" s="71"/>
      <c r="W1337" s="22"/>
    </row>
    <row r="1338" spans="1:23" ht="14.5">
      <c r="A1338" s="63"/>
      <c r="B1338" s="64"/>
      <c r="C1338" s="65"/>
      <c r="D1338" s="66"/>
      <c r="E1338" s="67"/>
      <c r="F1338" s="68"/>
      <c r="G1338" s="68"/>
      <c r="H1338" s="66"/>
      <c r="I1338" s="69"/>
      <c r="J1338" s="66"/>
      <c r="K1338" s="66"/>
      <c r="L1338" s="66"/>
      <c r="M1338" s="70"/>
      <c r="N1338" s="71"/>
      <c r="W1338" s="22"/>
    </row>
    <row r="1339" spans="1:23" ht="14.5">
      <c r="A1339" s="63"/>
      <c r="B1339" s="64"/>
      <c r="C1339" s="65"/>
      <c r="D1339" s="66"/>
      <c r="E1339" s="67"/>
      <c r="F1339" s="68"/>
      <c r="G1339" s="68"/>
      <c r="H1339" s="66"/>
      <c r="I1339" s="69"/>
      <c r="J1339" s="66"/>
      <c r="K1339" s="66"/>
      <c r="L1339" s="66"/>
      <c r="M1339" s="70"/>
      <c r="N1339" s="71"/>
      <c r="W1339" s="22"/>
    </row>
    <row r="1340" spans="1:23" ht="14.5">
      <c r="A1340" s="63"/>
      <c r="B1340" s="64"/>
      <c r="C1340" s="65"/>
      <c r="D1340" s="66"/>
      <c r="E1340" s="67"/>
      <c r="F1340" s="68"/>
      <c r="G1340" s="68"/>
      <c r="H1340" s="66"/>
      <c r="I1340" s="69"/>
      <c r="J1340" s="66"/>
      <c r="K1340" s="66"/>
      <c r="L1340" s="66"/>
      <c r="M1340" s="70"/>
      <c r="N1340" s="71"/>
      <c r="W1340" s="22"/>
    </row>
    <row r="1341" spans="1:23" ht="14.5">
      <c r="A1341" s="63"/>
      <c r="B1341" s="64"/>
      <c r="C1341" s="65"/>
      <c r="D1341" s="66"/>
      <c r="E1341" s="67"/>
      <c r="F1341" s="68"/>
      <c r="G1341" s="68"/>
      <c r="H1341" s="66"/>
      <c r="I1341" s="69"/>
      <c r="J1341" s="66"/>
      <c r="K1341" s="66"/>
      <c r="L1341" s="66"/>
      <c r="M1341" s="70"/>
      <c r="N1341" s="71"/>
      <c r="W1341" s="22"/>
    </row>
    <row r="1342" spans="1:23" ht="14.5">
      <c r="A1342" s="63"/>
      <c r="B1342" s="64"/>
      <c r="C1342" s="65"/>
      <c r="D1342" s="66"/>
      <c r="E1342" s="67"/>
      <c r="F1342" s="68"/>
      <c r="G1342" s="68"/>
      <c r="H1342" s="66"/>
      <c r="I1342" s="69"/>
      <c r="J1342" s="66"/>
      <c r="K1342" s="66"/>
      <c r="L1342" s="66"/>
      <c r="M1342" s="70"/>
      <c r="N1342" s="71"/>
      <c r="W1342" s="22"/>
    </row>
    <row r="1343" spans="1:23" ht="14.5">
      <c r="A1343" s="63"/>
      <c r="B1343" s="64"/>
      <c r="C1343" s="65"/>
      <c r="D1343" s="66"/>
      <c r="E1343" s="67"/>
      <c r="F1343" s="68"/>
      <c r="G1343" s="68"/>
      <c r="H1343" s="66"/>
      <c r="I1343" s="69"/>
      <c r="J1343" s="66"/>
      <c r="K1343" s="66"/>
      <c r="L1343" s="66"/>
      <c r="M1343" s="70"/>
      <c r="N1343" s="71"/>
      <c r="W1343" s="22"/>
    </row>
    <row r="1344" spans="1:23" ht="14.5">
      <c r="A1344" s="63"/>
      <c r="B1344" s="64"/>
      <c r="C1344" s="65"/>
      <c r="D1344" s="66"/>
      <c r="E1344" s="67"/>
      <c r="F1344" s="68"/>
      <c r="G1344" s="68"/>
      <c r="H1344" s="66"/>
      <c r="I1344" s="69"/>
      <c r="J1344" s="66"/>
      <c r="K1344" s="66"/>
      <c r="L1344" s="66"/>
      <c r="M1344" s="70"/>
      <c r="N1344" s="71"/>
      <c r="W1344" s="22"/>
    </row>
    <row r="1345" spans="1:23" ht="14.5">
      <c r="A1345" s="63"/>
      <c r="B1345" s="64"/>
      <c r="C1345" s="65"/>
      <c r="D1345" s="66"/>
      <c r="E1345" s="67"/>
      <c r="F1345" s="68"/>
      <c r="G1345" s="68"/>
      <c r="H1345" s="66"/>
      <c r="I1345" s="69"/>
      <c r="J1345" s="66"/>
      <c r="K1345" s="66"/>
      <c r="L1345" s="66"/>
      <c r="M1345" s="70"/>
      <c r="N1345" s="71"/>
      <c r="W1345" s="22"/>
    </row>
    <row r="1346" spans="1:23" ht="14.5">
      <c r="A1346" s="63"/>
      <c r="B1346" s="64"/>
      <c r="C1346" s="65"/>
      <c r="D1346" s="66"/>
      <c r="E1346" s="67"/>
      <c r="F1346" s="68"/>
      <c r="G1346" s="68"/>
      <c r="H1346" s="66"/>
      <c r="I1346" s="69"/>
      <c r="J1346" s="66"/>
      <c r="K1346" s="66"/>
      <c r="L1346" s="66"/>
      <c r="M1346" s="70"/>
      <c r="N1346" s="71"/>
      <c r="W1346" s="22"/>
    </row>
    <row r="1347" spans="1:23" ht="14.5">
      <c r="A1347" s="63"/>
      <c r="B1347" s="64"/>
      <c r="C1347" s="65"/>
      <c r="D1347" s="66"/>
      <c r="E1347" s="67"/>
      <c r="F1347" s="68"/>
      <c r="G1347" s="68"/>
      <c r="H1347" s="66"/>
      <c r="I1347" s="69"/>
      <c r="J1347" s="66"/>
      <c r="K1347" s="66"/>
      <c r="L1347" s="66"/>
      <c r="M1347" s="70"/>
      <c r="N1347" s="71"/>
      <c r="W1347" s="22"/>
    </row>
    <row r="1348" spans="1:23" ht="14.5">
      <c r="A1348" s="63"/>
      <c r="B1348" s="64"/>
      <c r="C1348" s="65"/>
      <c r="D1348" s="66"/>
      <c r="E1348" s="67"/>
      <c r="F1348" s="68"/>
      <c r="G1348" s="68"/>
      <c r="H1348" s="66"/>
      <c r="I1348" s="69"/>
      <c r="J1348" s="66"/>
      <c r="K1348" s="66"/>
      <c r="L1348" s="66"/>
      <c r="M1348" s="70"/>
      <c r="N1348" s="71"/>
      <c r="W1348" s="22"/>
    </row>
    <row r="1349" spans="1:23" ht="14.5">
      <c r="A1349" s="63"/>
      <c r="B1349" s="64"/>
      <c r="C1349" s="65"/>
      <c r="D1349" s="66"/>
      <c r="E1349" s="67"/>
      <c r="F1349" s="68"/>
      <c r="G1349" s="68"/>
      <c r="H1349" s="66"/>
      <c r="I1349" s="69"/>
      <c r="J1349" s="66"/>
      <c r="K1349" s="66"/>
      <c r="L1349" s="66"/>
      <c r="M1349" s="70"/>
      <c r="N1349" s="71"/>
      <c r="W1349" s="22"/>
    </row>
    <row r="1350" spans="1:23" ht="14.5">
      <c r="A1350" s="63"/>
      <c r="B1350" s="64"/>
      <c r="C1350" s="65"/>
      <c r="D1350" s="66"/>
      <c r="E1350" s="67"/>
      <c r="F1350" s="68"/>
      <c r="G1350" s="68"/>
      <c r="H1350" s="66"/>
      <c r="I1350" s="69"/>
      <c r="J1350" s="66"/>
      <c r="K1350" s="66"/>
      <c r="L1350" s="66"/>
      <c r="M1350" s="70"/>
      <c r="N1350" s="71"/>
      <c r="W1350" s="22"/>
    </row>
    <row r="1351" spans="1:23" ht="14.5">
      <c r="A1351" s="63"/>
      <c r="B1351" s="64"/>
      <c r="C1351" s="65"/>
      <c r="D1351" s="66"/>
      <c r="E1351" s="67"/>
      <c r="F1351" s="68"/>
      <c r="G1351" s="68"/>
      <c r="H1351" s="66"/>
      <c r="I1351" s="69"/>
      <c r="J1351" s="66"/>
      <c r="K1351" s="66"/>
      <c r="L1351" s="66"/>
      <c r="M1351" s="70"/>
      <c r="N1351" s="71"/>
      <c r="W1351" s="22"/>
    </row>
    <row r="1352" spans="1:23" ht="14.5">
      <c r="A1352" s="63"/>
      <c r="B1352" s="64"/>
      <c r="C1352" s="65"/>
      <c r="D1352" s="66"/>
      <c r="E1352" s="67"/>
      <c r="F1352" s="68"/>
      <c r="G1352" s="68"/>
      <c r="H1352" s="66"/>
      <c r="I1352" s="69"/>
      <c r="J1352" s="66"/>
      <c r="K1352" s="66"/>
      <c r="L1352" s="66"/>
      <c r="M1352" s="70"/>
      <c r="N1352" s="71"/>
      <c r="W1352" s="22"/>
    </row>
    <row r="1353" spans="1:23" ht="14.5">
      <c r="A1353" s="63"/>
      <c r="B1353" s="64"/>
      <c r="C1353" s="65"/>
      <c r="D1353" s="66"/>
      <c r="E1353" s="67"/>
      <c r="F1353" s="68"/>
      <c r="G1353" s="68"/>
      <c r="H1353" s="66"/>
      <c r="I1353" s="69"/>
      <c r="J1353" s="66"/>
      <c r="K1353" s="66"/>
      <c r="L1353" s="66"/>
      <c r="M1353" s="70"/>
      <c r="N1353" s="71"/>
      <c r="W1353" s="22"/>
    </row>
    <row r="1354" spans="1:23" ht="14.5">
      <c r="A1354" s="63"/>
      <c r="B1354" s="64"/>
      <c r="C1354" s="65"/>
      <c r="D1354" s="66"/>
      <c r="E1354" s="67"/>
      <c r="F1354" s="68"/>
      <c r="G1354" s="68"/>
      <c r="H1354" s="66"/>
      <c r="I1354" s="69"/>
      <c r="J1354" s="66"/>
      <c r="K1354" s="66"/>
      <c r="L1354" s="66"/>
      <c r="M1354" s="70"/>
      <c r="N1354" s="71"/>
      <c r="W1354" s="22"/>
    </row>
    <row r="1355" spans="1:23" ht="14.5">
      <c r="A1355" s="63"/>
      <c r="B1355" s="64"/>
      <c r="C1355" s="65"/>
      <c r="D1355" s="66"/>
      <c r="E1355" s="67"/>
      <c r="F1355" s="68"/>
      <c r="G1355" s="68"/>
      <c r="H1355" s="66"/>
      <c r="I1355" s="69"/>
      <c r="J1355" s="66"/>
      <c r="K1355" s="66"/>
      <c r="L1355" s="66"/>
      <c r="M1355" s="70"/>
      <c r="N1355" s="71"/>
      <c r="W1355" s="22"/>
    </row>
    <row r="1356" spans="1:23" ht="14.5">
      <c r="A1356" s="63"/>
      <c r="B1356" s="64"/>
      <c r="C1356" s="65"/>
      <c r="D1356" s="66"/>
      <c r="E1356" s="67"/>
      <c r="F1356" s="68"/>
      <c r="G1356" s="68"/>
      <c r="H1356" s="66"/>
      <c r="I1356" s="69"/>
      <c r="J1356" s="66"/>
      <c r="K1356" s="66"/>
      <c r="L1356" s="66"/>
      <c r="M1356" s="70"/>
      <c r="N1356" s="71"/>
      <c r="W1356" s="22"/>
    </row>
    <row r="1357" spans="1:23" ht="14.5">
      <c r="A1357" s="63"/>
      <c r="B1357" s="64"/>
      <c r="C1357" s="65"/>
      <c r="D1357" s="66"/>
      <c r="E1357" s="67"/>
      <c r="F1357" s="68"/>
      <c r="G1357" s="68"/>
      <c r="H1357" s="66"/>
      <c r="I1357" s="69"/>
      <c r="J1357" s="66"/>
      <c r="K1357" s="66"/>
      <c r="L1357" s="66"/>
      <c r="M1357" s="70"/>
      <c r="N1357" s="71"/>
      <c r="W1357" s="22"/>
    </row>
    <row r="1358" spans="1:23" ht="14.5">
      <c r="A1358" s="63"/>
      <c r="B1358" s="64"/>
      <c r="C1358" s="65"/>
      <c r="D1358" s="66"/>
      <c r="E1358" s="67"/>
      <c r="F1358" s="68"/>
      <c r="G1358" s="68"/>
      <c r="H1358" s="66"/>
      <c r="I1358" s="69"/>
      <c r="J1358" s="66"/>
      <c r="K1358" s="66"/>
      <c r="L1358" s="66"/>
      <c r="M1358" s="70"/>
      <c r="N1358" s="71"/>
      <c r="W1358" s="22"/>
    </row>
    <row r="1359" spans="1:23" ht="14.5">
      <c r="A1359" s="63"/>
      <c r="B1359" s="64"/>
      <c r="C1359" s="65"/>
      <c r="D1359" s="66"/>
      <c r="E1359" s="67"/>
      <c r="F1359" s="68"/>
      <c r="G1359" s="68"/>
      <c r="H1359" s="66"/>
      <c r="I1359" s="69"/>
      <c r="J1359" s="66"/>
      <c r="K1359" s="66"/>
      <c r="L1359" s="66"/>
      <c r="M1359" s="70"/>
      <c r="N1359" s="71"/>
      <c r="W1359" s="22"/>
    </row>
    <row r="1360" spans="1:23" ht="14.5">
      <c r="A1360" s="63"/>
      <c r="B1360" s="64"/>
      <c r="C1360" s="65"/>
      <c r="D1360" s="66"/>
      <c r="E1360" s="67"/>
      <c r="F1360" s="68"/>
      <c r="G1360" s="68"/>
      <c r="H1360" s="66"/>
      <c r="I1360" s="69"/>
      <c r="J1360" s="66"/>
      <c r="K1360" s="66"/>
      <c r="L1360" s="66"/>
      <c r="M1360" s="70"/>
      <c r="N1360" s="71"/>
      <c r="W1360" s="22"/>
    </row>
    <row r="1361" spans="1:23" ht="14.5">
      <c r="A1361" s="63"/>
      <c r="B1361" s="64"/>
      <c r="C1361" s="65"/>
      <c r="D1361" s="66"/>
      <c r="E1361" s="67"/>
      <c r="F1361" s="68"/>
      <c r="G1361" s="68"/>
      <c r="H1361" s="66"/>
      <c r="I1361" s="69"/>
      <c r="J1361" s="66"/>
      <c r="K1361" s="66"/>
      <c r="L1361" s="66"/>
      <c r="M1361" s="70"/>
      <c r="N1361" s="71"/>
      <c r="W1361" s="22"/>
    </row>
    <row r="1362" spans="1:23" ht="14.5">
      <c r="A1362" s="63"/>
      <c r="B1362" s="64"/>
      <c r="C1362" s="65"/>
      <c r="D1362" s="66"/>
      <c r="E1362" s="67"/>
      <c r="F1362" s="68"/>
      <c r="G1362" s="68"/>
      <c r="H1362" s="66"/>
      <c r="I1362" s="69"/>
      <c r="J1362" s="66"/>
      <c r="K1362" s="66"/>
      <c r="L1362" s="66"/>
      <c r="M1362" s="70"/>
      <c r="N1362" s="71"/>
      <c r="W1362" s="22"/>
    </row>
    <row r="1363" spans="1:23" ht="14.5">
      <c r="A1363" s="63"/>
      <c r="B1363" s="64"/>
      <c r="C1363" s="65"/>
      <c r="D1363" s="66"/>
      <c r="E1363" s="67"/>
      <c r="F1363" s="68"/>
      <c r="G1363" s="68"/>
      <c r="H1363" s="66"/>
      <c r="I1363" s="69"/>
      <c r="J1363" s="66"/>
      <c r="K1363" s="66"/>
      <c r="L1363" s="66"/>
      <c r="M1363" s="70"/>
      <c r="N1363" s="71"/>
      <c r="W1363" s="22"/>
    </row>
    <row r="1364" spans="1:23" ht="14.5">
      <c r="A1364" s="63"/>
      <c r="B1364" s="64"/>
      <c r="C1364" s="65"/>
      <c r="D1364" s="66"/>
      <c r="E1364" s="67"/>
      <c r="F1364" s="68"/>
      <c r="G1364" s="68"/>
      <c r="H1364" s="66"/>
      <c r="I1364" s="69"/>
      <c r="J1364" s="66"/>
      <c r="K1364" s="66"/>
      <c r="L1364" s="66"/>
      <c r="M1364" s="70"/>
      <c r="N1364" s="71"/>
      <c r="W1364" s="22"/>
    </row>
    <row r="1365" spans="1:23" ht="14.5">
      <c r="A1365" s="63"/>
      <c r="B1365" s="64"/>
      <c r="C1365" s="65"/>
      <c r="D1365" s="66"/>
      <c r="E1365" s="67"/>
      <c r="F1365" s="68"/>
      <c r="G1365" s="68"/>
      <c r="H1365" s="66"/>
      <c r="I1365" s="69"/>
      <c r="J1365" s="66"/>
      <c r="K1365" s="66"/>
      <c r="L1365" s="66"/>
      <c r="M1365" s="70"/>
      <c r="N1365" s="71"/>
      <c r="W1365" s="22"/>
    </row>
    <row r="1366" spans="1:23" ht="14.5">
      <c r="A1366" s="63"/>
      <c r="B1366" s="64"/>
      <c r="C1366" s="65"/>
      <c r="D1366" s="66"/>
      <c r="E1366" s="67"/>
      <c r="F1366" s="68"/>
      <c r="G1366" s="68"/>
      <c r="H1366" s="66"/>
      <c r="I1366" s="69"/>
      <c r="J1366" s="66"/>
      <c r="K1366" s="66"/>
      <c r="L1366" s="66"/>
      <c r="M1366" s="70"/>
      <c r="N1366" s="71"/>
      <c r="W1366" s="22"/>
    </row>
    <row r="1367" spans="1:23" ht="14.5">
      <c r="A1367" s="63"/>
      <c r="B1367" s="64"/>
      <c r="C1367" s="65"/>
      <c r="D1367" s="66"/>
      <c r="E1367" s="67"/>
      <c r="F1367" s="68"/>
      <c r="G1367" s="68"/>
      <c r="H1367" s="66"/>
      <c r="I1367" s="69"/>
      <c r="J1367" s="66"/>
      <c r="K1367" s="66"/>
      <c r="L1367" s="66"/>
      <c r="M1367" s="70"/>
      <c r="N1367" s="71"/>
      <c r="W1367" s="22"/>
    </row>
    <row r="1368" spans="1:23" ht="14.5">
      <c r="A1368" s="63"/>
      <c r="B1368" s="64"/>
      <c r="C1368" s="65"/>
      <c r="D1368" s="66"/>
      <c r="E1368" s="67"/>
      <c r="F1368" s="68"/>
      <c r="G1368" s="68"/>
      <c r="H1368" s="66"/>
      <c r="I1368" s="69"/>
      <c r="J1368" s="66"/>
      <c r="K1368" s="66"/>
      <c r="L1368" s="66"/>
      <c r="M1368" s="70"/>
      <c r="N1368" s="71"/>
      <c r="W1368" s="22"/>
    </row>
    <row r="1369" spans="1:23" ht="14.5">
      <c r="A1369" s="63"/>
      <c r="B1369" s="64"/>
      <c r="C1369" s="65"/>
      <c r="D1369" s="66"/>
      <c r="E1369" s="67"/>
      <c r="F1369" s="68"/>
      <c r="G1369" s="68"/>
      <c r="H1369" s="66"/>
      <c r="I1369" s="69"/>
      <c r="J1369" s="66"/>
      <c r="K1369" s="66"/>
      <c r="L1369" s="66"/>
      <c r="M1369" s="70"/>
      <c r="N1369" s="71"/>
      <c r="W1369" s="22"/>
    </row>
    <row r="1370" spans="1:23" ht="14.5">
      <c r="A1370" s="63"/>
      <c r="B1370" s="64"/>
      <c r="C1370" s="65"/>
      <c r="D1370" s="66"/>
      <c r="E1370" s="67"/>
      <c r="F1370" s="68"/>
      <c r="G1370" s="68"/>
      <c r="H1370" s="66"/>
      <c r="I1370" s="69"/>
      <c r="J1370" s="66"/>
      <c r="K1370" s="66"/>
      <c r="L1370" s="66"/>
      <c r="M1370" s="70"/>
      <c r="N1370" s="71"/>
      <c r="W1370" s="22"/>
    </row>
    <row r="1371" spans="1:23" ht="14.5">
      <c r="A1371" s="63"/>
      <c r="B1371" s="64"/>
      <c r="C1371" s="65"/>
      <c r="D1371" s="66"/>
      <c r="E1371" s="67"/>
      <c r="F1371" s="68"/>
      <c r="G1371" s="68"/>
      <c r="H1371" s="66"/>
      <c r="I1371" s="69"/>
      <c r="J1371" s="66"/>
      <c r="K1371" s="66"/>
      <c r="L1371" s="66"/>
      <c r="M1371" s="70"/>
      <c r="N1371" s="71"/>
      <c r="W1371" s="22"/>
    </row>
    <row r="1372" spans="1:23" ht="14.5">
      <c r="A1372" s="63"/>
      <c r="B1372" s="64"/>
      <c r="C1372" s="65"/>
      <c r="D1372" s="66"/>
      <c r="E1372" s="67"/>
      <c r="F1372" s="68"/>
      <c r="G1372" s="68"/>
      <c r="H1372" s="66"/>
      <c r="I1372" s="69"/>
      <c r="J1372" s="66"/>
      <c r="K1372" s="66"/>
      <c r="L1372" s="66"/>
      <c r="M1372" s="70"/>
      <c r="N1372" s="71"/>
      <c r="W1372" s="22"/>
    </row>
    <row r="1373" spans="1:23" ht="14.5">
      <c r="A1373" s="63"/>
      <c r="B1373" s="64"/>
      <c r="C1373" s="65"/>
      <c r="D1373" s="66"/>
      <c r="E1373" s="67"/>
      <c r="F1373" s="68"/>
      <c r="G1373" s="68"/>
      <c r="H1373" s="66"/>
      <c r="I1373" s="69"/>
      <c r="J1373" s="66"/>
      <c r="K1373" s="66"/>
      <c r="L1373" s="66"/>
      <c r="M1373" s="70"/>
      <c r="N1373" s="71"/>
      <c r="W1373" s="22"/>
    </row>
    <row r="1374" spans="1:23" ht="14.5">
      <c r="A1374" s="63"/>
      <c r="B1374" s="64"/>
      <c r="C1374" s="65"/>
      <c r="D1374" s="66"/>
      <c r="E1374" s="67"/>
      <c r="F1374" s="68"/>
      <c r="G1374" s="68"/>
      <c r="H1374" s="66"/>
      <c r="I1374" s="69"/>
      <c r="J1374" s="66"/>
      <c r="K1374" s="66"/>
      <c r="L1374" s="66"/>
      <c r="M1374" s="70"/>
      <c r="N1374" s="71"/>
      <c r="W1374" s="22"/>
    </row>
    <row r="1375" spans="1:23" ht="14.5">
      <c r="A1375" s="63"/>
      <c r="B1375" s="64"/>
      <c r="C1375" s="65"/>
      <c r="D1375" s="66"/>
      <c r="E1375" s="67"/>
      <c r="F1375" s="68"/>
      <c r="G1375" s="68"/>
      <c r="H1375" s="66"/>
      <c r="I1375" s="69"/>
      <c r="J1375" s="66"/>
      <c r="K1375" s="66"/>
      <c r="L1375" s="66"/>
      <c r="M1375" s="70"/>
      <c r="N1375" s="71"/>
      <c r="W1375" s="22"/>
    </row>
    <row r="1376" spans="1:23" ht="14.5">
      <c r="A1376" s="63"/>
      <c r="B1376" s="64"/>
      <c r="C1376" s="65"/>
      <c r="D1376" s="66"/>
      <c r="E1376" s="67"/>
      <c r="F1376" s="68"/>
      <c r="G1376" s="68"/>
      <c r="H1376" s="66"/>
      <c r="I1376" s="69"/>
      <c r="J1376" s="66"/>
      <c r="K1376" s="66"/>
      <c r="L1376" s="66"/>
      <c r="M1376" s="70"/>
      <c r="N1376" s="71"/>
      <c r="W1376" s="22"/>
    </row>
    <row r="1377" spans="1:23" ht="14.5">
      <c r="A1377" s="63"/>
      <c r="B1377" s="64"/>
      <c r="C1377" s="65"/>
      <c r="D1377" s="66"/>
      <c r="E1377" s="67"/>
      <c r="F1377" s="68"/>
      <c r="G1377" s="68"/>
      <c r="H1377" s="66"/>
      <c r="I1377" s="69"/>
      <c r="J1377" s="66"/>
      <c r="K1377" s="66"/>
      <c r="L1377" s="66"/>
      <c r="M1377" s="70"/>
      <c r="N1377" s="71"/>
      <c r="W1377" s="22"/>
    </row>
    <row r="1378" spans="1:23" ht="14.5">
      <c r="A1378" s="63"/>
      <c r="B1378" s="64"/>
      <c r="C1378" s="65"/>
      <c r="D1378" s="66"/>
      <c r="E1378" s="67"/>
      <c r="F1378" s="68"/>
      <c r="G1378" s="68"/>
      <c r="H1378" s="66"/>
      <c r="I1378" s="69"/>
      <c r="J1378" s="66"/>
      <c r="K1378" s="66"/>
      <c r="L1378" s="66"/>
      <c r="M1378" s="70"/>
      <c r="N1378" s="71"/>
      <c r="W1378" s="22"/>
    </row>
    <row r="1379" spans="1:23" ht="14.5">
      <c r="A1379" s="63"/>
      <c r="B1379" s="64"/>
      <c r="C1379" s="65"/>
      <c r="D1379" s="66"/>
      <c r="E1379" s="67"/>
      <c r="F1379" s="68"/>
      <c r="G1379" s="68"/>
      <c r="H1379" s="66"/>
      <c r="I1379" s="69"/>
      <c r="J1379" s="66"/>
      <c r="K1379" s="66"/>
      <c r="L1379" s="66"/>
      <c r="M1379" s="70"/>
      <c r="N1379" s="71"/>
      <c r="W1379" s="22"/>
    </row>
    <row r="1380" spans="1:23" ht="14.5">
      <c r="A1380" s="63"/>
      <c r="B1380" s="64"/>
      <c r="C1380" s="65"/>
      <c r="D1380" s="66"/>
      <c r="E1380" s="67"/>
      <c r="F1380" s="68"/>
      <c r="G1380" s="68"/>
      <c r="H1380" s="66"/>
      <c r="I1380" s="69"/>
      <c r="J1380" s="66"/>
      <c r="K1380" s="66"/>
      <c r="L1380" s="66"/>
      <c r="M1380" s="70"/>
      <c r="N1380" s="71"/>
      <c r="W1380" s="22"/>
    </row>
    <row r="1381" spans="1:23" ht="14.5">
      <c r="A1381" s="63"/>
      <c r="B1381" s="64"/>
      <c r="C1381" s="65"/>
      <c r="D1381" s="66"/>
      <c r="E1381" s="67"/>
      <c r="F1381" s="68"/>
      <c r="G1381" s="68"/>
      <c r="H1381" s="66"/>
      <c r="I1381" s="69"/>
      <c r="J1381" s="66"/>
      <c r="K1381" s="66"/>
      <c r="L1381" s="66"/>
      <c r="M1381" s="70"/>
      <c r="N1381" s="71"/>
      <c r="W1381" s="22"/>
    </row>
    <row r="1382" spans="1:23" ht="14.5">
      <c r="A1382" s="63"/>
      <c r="B1382" s="64"/>
      <c r="C1382" s="65"/>
      <c r="D1382" s="66"/>
      <c r="E1382" s="67"/>
      <c r="F1382" s="68"/>
      <c r="G1382" s="68"/>
      <c r="H1382" s="66"/>
      <c r="I1382" s="69"/>
      <c r="J1382" s="66"/>
      <c r="K1382" s="66"/>
      <c r="L1382" s="66"/>
      <c r="M1382" s="70"/>
      <c r="N1382" s="71"/>
      <c r="W1382" s="22"/>
    </row>
    <row r="1383" spans="1:23" ht="14.5">
      <c r="A1383" s="63"/>
      <c r="B1383" s="64"/>
      <c r="C1383" s="65"/>
      <c r="D1383" s="66"/>
      <c r="E1383" s="67"/>
      <c r="F1383" s="68"/>
      <c r="G1383" s="68"/>
      <c r="H1383" s="66"/>
      <c r="I1383" s="69"/>
      <c r="J1383" s="66"/>
      <c r="K1383" s="66"/>
      <c r="L1383" s="66"/>
      <c r="M1383" s="70"/>
      <c r="N1383" s="71"/>
      <c r="W1383" s="22"/>
    </row>
    <row r="1384" spans="1:23" ht="14.5">
      <c r="A1384" s="63"/>
      <c r="B1384" s="64"/>
      <c r="C1384" s="65"/>
      <c r="D1384" s="66"/>
      <c r="E1384" s="67"/>
      <c r="F1384" s="68"/>
      <c r="G1384" s="68"/>
      <c r="H1384" s="66"/>
      <c r="I1384" s="69"/>
      <c r="J1384" s="66"/>
      <c r="K1384" s="66"/>
      <c r="L1384" s="66"/>
      <c r="M1384" s="70"/>
      <c r="N1384" s="71"/>
      <c r="W1384" s="22"/>
    </row>
    <row r="1385" spans="1:23" ht="14.5">
      <c r="A1385" s="63"/>
      <c r="B1385" s="64"/>
      <c r="C1385" s="65"/>
      <c r="D1385" s="66"/>
      <c r="E1385" s="67"/>
      <c r="F1385" s="68"/>
      <c r="G1385" s="68"/>
      <c r="H1385" s="66"/>
      <c r="I1385" s="69"/>
      <c r="J1385" s="66"/>
      <c r="K1385" s="66"/>
      <c r="L1385" s="66"/>
      <c r="M1385" s="70"/>
      <c r="N1385" s="71"/>
      <c r="W1385" s="22"/>
    </row>
    <row r="1386" spans="1:23" ht="14.5">
      <c r="A1386" s="63"/>
      <c r="B1386" s="64"/>
      <c r="C1386" s="65"/>
      <c r="D1386" s="66"/>
      <c r="E1386" s="67"/>
      <c r="F1386" s="68"/>
      <c r="G1386" s="68"/>
      <c r="H1386" s="66"/>
      <c r="I1386" s="69"/>
      <c r="J1386" s="66"/>
      <c r="K1386" s="66"/>
      <c r="L1386" s="66"/>
      <c r="M1386" s="70"/>
      <c r="N1386" s="71"/>
      <c r="W1386" s="22"/>
    </row>
    <row r="1387" spans="1:23" ht="14.5">
      <c r="A1387" s="63"/>
      <c r="B1387" s="64"/>
      <c r="C1387" s="65"/>
      <c r="D1387" s="66"/>
      <c r="E1387" s="67"/>
      <c r="F1387" s="68"/>
      <c r="G1387" s="68"/>
      <c r="H1387" s="66"/>
      <c r="I1387" s="69"/>
      <c r="J1387" s="66"/>
      <c r="K1387" s="66"/>
      <c r="L1387" s="66"/>
      <c r="M1387" s="70"/>
      <c r="N1387" s="71"/>
      <c r="W1387" s="22"/>
    </row>
    <row r="1388" spans="1:23" ht="14.5">
      <c r="A1388" s="63"/>
      <c r="B1388" s="64"/>
      <c r="C1388" s="65"/>
      <c r="D1388" s="66"/>
      <c r="E1388" s="67"/>
      <c r="F1388" s="68"/>
      <c r="G1388" s="68"/>
      <c r="H1388" s="66"/>
      <c r="I1388" s="69"/>
      <c r="J1388" s="66"/>
      <c r="K1388" s="66"/>
      <c r="L1388" s="66"/>
      <c r="M1388" s="70"/>
      <c r="N1388" s="71"/>
      <c r="W1388" s="22"/>
    </row>
    <row r="1389" spans="1:23" ht="14.5">
      <c r="A1389" s="63"/>
      <c r="B1389" s="64"/>
      <c r="C1389" s="65"/>
      <c r="D1389" s="66"/>
      <c r="E1389" s="67"/>
      <c r="F1389" s="68"/>
      <c r="G1389" s="68"/>
      <c r="H1389" s="66"/>
      <c r="I1389" s="69"/>
      <c r="J1389" s="66"/>
      <c r="K1389" s="66"/>
      <c r="L1389" s="66"/>
      <c r="M1389" s="70"/>
      <c r="N1389" s="71"/>
      <c r="W1389" s="22"/>
    </row>
    <row r="1390" spans="1:23" ht="14.5">
      <c r="A1390" s="63"/>
      <c r="B1390" s="64"/>
      <c r="C1390" s="65"/>
      <c r="D1390" s="66"/>
      <c r="E1390" s="67"/>
      <c r="F1390" s="68"/>
      <c r="G1390" s="68"/>
      <c r="H1390" s="66"/>
      <c r="I1390" s="69"/>
      <c r="J1390" s="66"/>
      <c r="K1390" s="66"/>
      <c r="L1390" s="66"/>
      <c r="M1390" s="70"/>
      <c r="N1390" s="71"/>
      <c r="W1390" s="22"/>
    </row>
    <row r="1391" spans="1:23" ht="14.5">
      <c r="A1391" s="63"/>
      <c r="B1391" s="64"/>
      <c r="C1391" s="65"/>
      <c r="D1391" s="66"/>
      <c r="E1391" s="67"/>
      <c r="F1391" s="68"/>
      <c r="G1391" s="68"/>
      <c r="H1391" s="66"/>
      <c r="I1391" s="69"/>
      <c r="J1391" s="66"/>
      <c r="K1391" s="66"/>
      <c r="L1391" s="66"/>
      <c r="M1391" s="70"/>
      <c r="N1391" s="71"/>
      <c r="W1391" s="22"/>
    </row>
    <row r="1392" spans="1:23" ht="14.5">
      <c r="A1392" s="63"/>
      <c r="B1392" s="64"/>
      <c r="C1392" s="65"/>
      <c r="D1392" s="66"/>
      <c r="E1392" s="67"/>
      <c r="F1392" s="68"/>
      <c r="G1392" s="68"/>
      <c r="H1392" s="66"/>
      <c r="I1392" s="69"/>
      <c r="J1392" s="66"/>
      <c r="K1392" s="66"/>
      <c r="L1392" s="66"/>
      <c r="M1392" s="70"/>
      <c r="N1392" s="71"/>
      <c r="W1392" s="22"/>
    </row>
    <row r="1393" spans="1:23" ht="14.5">
      <c r="A1393" s="63"/>
      <c r="B1393" s="64"/>
      <c r="C1393" s="65"/>
      <c r="D1393" s="66"/>
      <c r="E1393" s="67"/>
      <c r="F1393" s="68"/>
      <c r="G1393" s="68"/>
      <c r="H1393" s="66"/>
      <c r="I1393" s="69"/>
      <c r="J1393" s="66"/>
      <c r="K1393" s="66"/>
      <c r="L1393" s="66"/>
      <c r="M1393" s="70"/>
      <c r="N1393" s="71"/>
      <c r="W1393" s="22"/>
    </row>
    <row r="1394" spans="1:23" ht="14.5">
      <c r="A1394" s="63"/>
      <c r="B1394" s="64"/>
      <c r="C1394" s="65"/>
      <c r="D1394" s="66"/>
      <c r="E1394" s="67"/>
      <c r="F1394" s="68"/>
      <c r="G1394" s="68"/>
      <c r="H1394" s="66"/>
      <c r="I1394" s="69"/>
      <c r="J1394" s="66"/>
      <c r="K1394" s="66"/>
      <c r="L1394" s="66"/>
      <c r="M1394" s="70"/>
      <c r="N1394" s="71"/>
      <c r="W1394" s="22"/>
    </row>
    <row r="1395" spans="1:23" ht="14.5">
      <c r="A1395" s="63"/>
      <c r="B1395" s="64"/>
      <c r="C1395" s="65"/>
      <c r="D1395" s="66"/>
      <c r="E1395" s="67"/>
      <c r="F1395" s="68"/>
      <c r="G1395" s="68"/>
      <c r="H1395" s="66"/>
      <c r="I1395" s="69"/>
      <c r="J1395" s="66"/>
      <c r="K1395" s="66"/>
      <c r="L1395" s="66"/>
      <c r="M1395" s="70"/>
      <c r="N1395" s="71"/>
      <c r="W1395" s="22"/>
    </row>
    <row r="1396" spans="1:23" ht="14.5">
      <c r="A1396" s="63"/>
      <c r="B1396" s="64"/>
      <c r="C1396" s="65"/>
      <c r="D1396" s="66"/>
      <c r="E1396" s="67"/>
      <c r="F1396" s="68"/>
      <c r="G1396" s="68"/>
      <c r="H1396" s="66"/>
      <c r="I1396" s="69"/>
      <c r="J1396" s="66"/>
      <c r="K1396" s="66"/>
      <c r="L1396" s="66"/>
      <c r="M1396" s="70"/>
      <c r="N1396" s="71"/>
      <c r="W1396" s="22"/>
    </row>
    <row r="1397" spans="1:23" ht="14.5">
      <c r="A1397" s="63"/>
      <c r="B1397" s="64"/>
      <c r="C1397" s="65"/>
      <c r="D1397" s="66"/>
      <c r="E1397" s="67"/>
      <c r="F1397" s="68"/>
      <c r="G1397" s="68"/>
      <c r="H1397" s="66"/>
      <c r="I1397" s="69"/>
      <c r="J1397" s="66"/>
      <c r="K1397" s="66"/>
      <c r="L1397" s="66"/>
      <c r="M1397" s="70"/>
      <c r="N1397" s="71"/>
      <c r="W1397" s="22"/>
    </row>
    <row r="1398" spans="1:23" ht="14.5">
      <c r="A1398" s="63"/>
      <c r="B1398" s="64"/>
      <c r="C1398" s="65"/>
      <c r="D1398" s="66"/>
      <c r="E1398" s="67"/>
      <c r="F1398" s="68"/>
      <c r="G1398" s="68"/>
      <c r="H1398" s="66"/>
      <c r="I1398" s="69"/>
      <c r="J1398" s="66"/>
      <c r="K1398" s="66"/>
      <c r="L1398" s="66"/>
      <c r="M1398" s="70"/>
      <c r="N1398" s="71"/>
      <c r="W1398" s="22"/>
    </row>
    <row r="1399" spans="1:23" ht="14.5">
      <c r="A1399" s="63"/>
      <c r="B1399" s="64"/>
      <c r="C1399" s="65"/>
      <c r="D1399" s="66"/>
      <c r="E1399" s="67"/>
      <c r="F1399" s="68"/>
      <c r="G1399" s="68"/>
      <c r="H1399" s="66"/>
      <c r="I1399" s="69"/>
      <c r="J1399" s="66"/>
      <c r="K1399" s="66"/>
      <c r="L1399" s="66"/>
      <c r="M1399" s="70"/>
      <c r="N1399" s="71"/>
      <c r="W1399" s="22"/>
    </row>
    <row r="1400" spans="1:23" ht="14.5">
      <c r="A1400" s="63"/>
      <c r="B1400" s="64"/>
      <c r="C1400" s="65"/>
      <c r="D1400" s="66"/>
      <c r="E1400" s="67"/>
      <c r="F1400" s="68"/>
      <c r="G1400" s="68"/>
      <c r="H1400" s="66"/>
      <c r="I1400" s="69"/>
      <c r="J1400" s="66"/>
      <c r="K1400" s="66"/>
      <c r="L1400" s="66"/>
      <c r="M1400" s="70"/>
      <c r="N1400" s="71"/>
      <c r="W1400" s="22"/>
    </row>
    <row r="1401" spans="1:23" ht="14.5">
      <c r="A1401" s="63"/>
      <c r="B1401" s="64"/>
      <c r="C1401" s="65"/>
      <c r="D1401" s="66"/>
      <c r="E1401" s="67"/>
      <c r="F1401" s="68"/>
      <c r="G1401" s="68"/>
      <c r="H1401" s="66"/>
      <c r="I1401" s="69"/>
      <c r="J1401" s="66"/>
      <c r="K1401" s="66"/>
      <c r="L1401" s="66"/>
      <c r="M1401" s="70"/>
      <c r="N1401" s="71"/>
      <c r="W1401" s="22"/>
    </row>
    <row r="1402" spans="1:23" ht="14.5">
      <c r="A1402" s="63"/>
      <c r="B1402" s="64"/>
      <c r="C1402" s="65"/>
      <c r="D1402" s="66"/>
      <c r="E1402" s="67"/>
      <c r="F1402" s="68"/>
      <c r="G1402" s="68"/>
      <c r="H1402" s="66"/>
      <c r="I1402" s="69"/>
      <c r="J1402" s="66"/>
      <c r="K1402" s="66"/>
      <c r="L1402" s="66"/>
      <c r="M1402" s="70"/>
      <c r="N1402" s="71"/>
      <c r="W1402" s="22"/>
    </row>
    <row r="1403" spans="1:23" ht="14.5">
      <c r="A1403" s="63"/>
      <c r="B1403" s="64"/>
      <c r="C1403" s="65"/>
      <c r="D1403" s="66"/>
      <c r="E1403" s="67"/>
      <c r="F1403" s="68"/>
      <c r="G1403" s="68"/>
      <c r="H1403" s="66"/>
      <c r="I1403" s="69"/>
      <c r="J1403" s="66"/>
      <c r="K1403" s="66"/>
      <c r="L1403" s="66"/>
      <c r="M1403" s="70"/>
      <c r="N1403" s="71"/>
      <c r="W1403" s="22"/>
    </row>
    <row r="1404" spans="1:23" ht="14.5">
      <c r="A1404" s="63"/>
      <c r="B1404" s="64"/>
      <c r="C1404" s="65"/>
      <c r="D1404" s="66"/>
      <c r="E1404" s="67"/>
      <c r="F1404" s="68"/>
      <c r="G1404" s="68"/>
      <c r="H1404" s="66"/>
      <c r="I1404" s="69"/>
      <c r="J1404" s="66"/>
      <c r="K1404" s="66"/>
      <c r="L1404" s="66"/>
      <c r="M1404" s="70"/>
      <c r="N1404" s="71"/>
      <c r="W1404" s="22"/>
    </row>
    <row r="1405" spans="1:23" ht="14.5">
      <c r="A1405" s="63"/>
      <c r="B1405" s="64"/>
      <c r="C1405" s="65"/>
      <c r="D1405" s="66"/>
      <c r="E1405" s="67"/>
      <c r="F1405" s="68"/>
      <c r="G1405" s="68"/>
      <c r="H1405" s="66"/>
      <c r="I1405" s="69"/>
      <c r="J1405" s="66"/>
      <c r="K1405" s="66"/>
      <c r="L1405" s="66"/>
      <c r="M1405" s="70"/>
      <c r="N1405" s="71"/>
      <c r="W1405" s="22"/>
    </row>
    <row r="1406" spans="1:23" ht="14.5">
      <c r="A1406" s="63"/>
      <c r="B1406" s="64"/>
      <c r="C1406" s="65"/>
      <c r="D1406" s="66"/>
      <c r="E1406" s="67"/>
      <c r="F1406" s="68"/>
      <c r="G1406" s="68"/>
      <c r="H1406" s="66"/>
      <c r="I1406" s="69"/>
      <c r="J1406" s="66"/>
      <c r="K1406" s="66"/>
      <c r="L1406" s="66"/>
      <c r="M1406" s="70"/>
      <c r="N1406" s="71"/>
      <c r="W1406" s="22"/>
    </row>
    <row r="1407" spans="1:23" ht="14.5">
      <c r="A1407" s="63"/>
      <c r="B1407" s="64"/>
      <c r="C1407" s="65"/>
      <c r="D1407" s="66"/>
      <c r="E1407" s="67"/>
      <c r="F1407" s="68"/>
      <c r="G1407" s="68"/>
      <c r="H1407" s="66"/>
      <c r="I1407" s="69"/>
      <c r="J1407" s="66"/>
      <c r="K1407" s="66"/>
      <c r="L1407" s="66"/>
      <c r="M1407" s="70"/>
      <c r="N1407" s="71"/>
      <c r="W1407" s="22"/>
    </row>
    <row r="1408" spans="1:23" ht="14.5">
      <c r="A1408" s="63"/>
      <c r="B1408" s="64"/>
      <c r="C1408" s="65"/>
      <c r="D1408" s="66"/>
      <c r="E1408" s="67"/>
      <c r="F1408" s="68"/>
      <c r="G1408" s="68"/>
      <c r="H1408" s="66"/>
      <c r="I1408" s="69"/>
      <c r="J1408" s="66"/>
      <c r="K1408" s="66"/>
      <c r="L1408" s="66"/>
      <c r="M1408" s="70"/>
      <c r="N1408" s="71"/>
      <c r="W1408" s="22"/>
    </row>
    <row r="1409" spans="1:23" ht="14.5">
      <c r="A1409" s="63"/>
      <c r="B1409" s="64"/>
      <c r="C1409" s="65"/>
      <c r="D1409" s="66"/>
      <c r="E1409" s="67"/>
      <c r="F1409" s="68"/>
      <c r="G1409" s="68"/>
      <c r="H1409" s="66"/>
      <c r="I1409" s="69"/>
      <c r="J1409" s="66"/>
      <c r="K1409" s="66"/>
      <c r="L1409" s="66"/>
      <c r="M1409" s="70"/>
      <c r="N1409" s="71"/>
      <c r="W1409" s="22"/>
    </row>
    <row r="1410" spans="1:23" ht="14.5">
      <c r="A1410" s="63"/>
      <c r="B1410" s="64"/>
      <c r="C1410" s="65"/>
      <c r="D1410" s="66"/>
      <c r="E1410" s="67"/>
      <c r="F1410" s="68"/>
      <c r="G1410" s="68"/>
      <c r="H1410" s="66"/>
      <c r="I1410" s="69"/>
      <c r="J1410" s="66"/>
      <c r="K1410" s="66"/>
      <c r="L1410" s="66"/>
      <c r="M1410" s="70"/>
      <c r="N1410" s="71"/>
      <c r="W1410" s="22"/>
    </row>
    <row r="1411" spans="1:23" ht="14.5">
      <c r="A1411" s="63"/>
      <c r="B1411" s="64"/>
      <c r="C1411" s="65"/>
      <c r="D1411" s="66"/>
      <c r="E1411" s="67"/>
      <c r="F1411" s="68"/>
      <c r="G1411" s="68"/>
      <c r="H1411" s="66"/>
      <c r="I1411" s="69"/>
      <c r="J1411" s="66"/>
      <c r="K1411" s="66"/>
      <c r="L1411" s="66"/>
      <c r="M1411" s="70"/>
      <c r="N1411" s="71"/>
      <c r="W1411" s="22"/>
    </row>
    <row r="1412" spans="1:23" ht="14.5">
      <c r="A1412" s="63"/>
      <c r="B1412" s="64"/>
      <c r="C1412" s="65"/>
      <c r="D1412" s="66"/>
      <c r="E1412" s="67"/>
      <c r="F1412" s="68"/>
      <c r="G1412" s="68"/>
      <c r="H1412" s="66"/>
      <c r="I1412" s="69"/>
      <c r="J1412" s="66"/>
      <c r="K1412" s="66"/>
      <c r="L1412" s="66"/>
      <c r="M1412" s="70"/>
      <c r="N1412" s="71"/>
      <c r="W1412" s="22"/>
    </row>
    <row r="1413" spans="1:23" ht="14.5">
      <c r="A1413" s="63"/>
      <c r="B1413" s="64"/>
      <c r="C1413" s="65"/>
      <c r="D1413" s="66"/>
      <c r="E1413" s="67"/>
      <c r="F1413" s="68"/>
      <c r="G1413" s="68"/>
      <c r="H1413" s="66"/>
      <c r="I1413" s="69"/>
      <c r="J1413" s="66"/>
      <c r="K1413" s="66"/>
      <c r="L1413" s="66"/>
      <c r="M1413" s="70"/>
      <c r="N1413" s="71"/>
      <c r="W1413" s="22"/>
    </row>
    <row r="1414" spans="1:23" ht="14.5">
      <c r="A1414" s="63"/>
      <c r="B1414" s="64"/>
      <c r="C1414" s="65"/>
      <c r="D1414" s="66"/>
      <c r="E1414" s="67"/>
      <c r="F1414" s="68"/>
      <c r="G1414" s="68"/>
      <c r="H1414" s="66"/>
      <c r="I1414" s="69"/>
      <c r="J1414" s="66"/>
      <c r="K1414" s="66"/>
      <c r="L1414" s="66"/>
      <c r="M1414" s="70"/>
      <c r="N1414" s="71"/>
      <c r="W1414" s="22"/>
    </row>
    <row r="1415" spans="1:23" ht="14.5">
      <c r="A1415" s="63"/>
      <c r="B1415" s="64"/>
      <c r="C1415" s="65"/>
      <c r="D1415" s="66"/>
      <c r="E1415" s="67"/>
      <c r="F1415" s="68"/>
      <c r="G1415" s="68"/>
      <c r="H1415" s="66"/>
      <c r="I1415" s="69"/>
      <c r="J1415" s="66"/>
      <c r="K1415" s="66"/>
      <c r="L1415" s="66"/>
      <c r="M1415" s="70"/>
      <c r="N1415" s="71"/>
      <c r="W1415" s="22"/>
    </row>
    <row r="1416" spans="1:23" ht="14.5">
      <c r="A1416" s="63"/>
      <c r="B1416" s="64"/>
      <c r="C1416" s="65"/>
      <c r="D1416" s="66"/>
      <c r="E1416" s="67"/>
      <c r="F1416" s="68"/>
      <c r="G1416" s="68"/>
      <c r="H1416" s="66"/>
      <c r="I1416" s="69"/>
      <c r="J1416" s="66"/>
      <c r="K1416" s="66"/>
      <c r="L1416" s="66"/>
      <c r="M1416" s="70"/>
      <c r="N1416" s="71"/>
      <c r="W1416" s="22"/>
    </row>
    <row r="1417" spans="1:23" ht="14.5">
      <c r="A1417" s="63"/>
      <c r="B1417" s="64"/>
      <c r="C1417" s="65"/>
      <c r="D1417" s="66"/>
      <c r="E1417" s="67"/>
      <c r="F1417" s="68"/>
      <c r="G1417" s="68"/>
      <c r="H1417" s="66"/>
      <c r="I1417" s="69"/>
      <c r="J1417" s="66"/>
      <c r="K1417" s="66"/>
      <c r="L1417" s="66"/>
      <c r="M1417" s="70"/>
      <c r="N1417" s="71"/>
      <c r="W1417" s="22"/>
    </row>
    <row r="1418" spans="1:23" ht="14.5">
      <c r="A1418" s="63"/>
      <c r="B1418" s="64"/>
      <c r="C1418" s="65"/>
      <c r="D1418" s="66"/>
      <c r="E1418" s="67"/>
      <c r="F1418" s="68"/>
      <c r="G1418" s="68"/>
      <c r="H1418" s="66"/>
      <c r="I1418" s="69"/>
      <c r="J1418" s="66"/>
      <c r="K1418" s="66"/>
      <c r="L1418" s="66"/>
      <c r="M1418" s="70"/>
      <c r="N1418" s="71"/>
      <c r="W1418" s="22"/>
    </row>
    <row r="1419" spans="1:23" ht="14.5">
      <c r="A1419" s="63"/>
      <c r="B1419" s="64"/>
      <c r="C1419" s="65"/>
      <c r="D1419" s="66"/>
      <c r="E1419" s="67"/>
      <c r="F1419" s="68"/>
      <c r="G1419" s="68"/>
      <c r="H1419" s="66"/>
      <c r="I1419" s="69"/>
      <c r="J1419" s="66"/>
      <c r="K1419" s="66"/>
      <c r="L1419" s="66"/>
      <c r="M1419" s="70"/>
      <c r="N1419" s="71"/>
      <c r="W1419" s="22"/>
    </row>
    <row r="1420" spans="1:23" ht="14.5">
      <c r="A1420" s="63"/>
      <c r="B1420" s="64"/>
      <c r="C1420" s="65"/>
      <c r="D1420" s="66"/>
      <c r="E1420" s="67"/>
      <c r="F1420" s="68"/>
      <c r="G1420" s="68"/>
      <c r="H1420" s="66"/>
      <c r="I1420" s="69"/>
      <c r="J1420" s="66"/>
      <c r="K1420" s="66"/>
      <c r="L1420" s="66"/>
      <c r="M1420" s="70"/>
      <c r="N1420" s="71"/>
      <c r="W1420" s="22"/>
    </row>
    <row r="1421" spans="1:23" ht="14.5">
      <c r="A1421" s="63"/>
      <c r="B1421" s="64"/>
      <c r="C1421" s="65"/>
      <c r="D1421" s="66"/>
      <c r="E1421" s="67"/>
      <c r="F1421" s="68"/>
      <c r="G1421" s="68"/>
      <c r="H1421" s="66"/>
      <c r="I1421" s="69"/>
      <c r="J1421" s="66"/>
      <c r="K1421" s="66"/>
      <c r="L1421" s="66"/>
      <c r="M1421" s="70"/>
      <c r="N1421" s="71"/>
      <c r="W1421" s="22"/>
    </row>
    <row r="1422" spans="1:23" ht="14.5">
      <c r="A1422" s="63"/>
      <c r="B1422" s="64"/>
      <c r="C1422" s="65"/>
      <c r="D1422" s="66"/>
      <c r="E1422" s="67"/>
      <c r="F1422" s="68"/>
      <c r="G1422" s="68"/>
      <c r="H1422" s="66"/>
      <c r="I1422" s="69"/>
      <c r="J1422" s="66"/>
      <c r="K1422" s="66"/>
      <c r="L1422" s="66"/>
      <c r="M1422" s="70"/>
      <c r="N1422" s="71"/>
      <c r="W1422" s="22"/>
    </row>
    <row r="1423" spans="1:23" ht="14.5">
      <c r="A1423" s="63"/>
      <c r="B1423" s="64"/>
      <c r="C1423" s="65"/>
      <c r="D1423" s="66"/>
      <c r="E1423" s="67"/>
      <c r="F1423" s="68"/>
      <c r="G1423" s="68"/>
      <c r="H1423" s="66"/>
      <c r="I1423" s="69"/>
      <c r="J1423" s="66"/>
      <c r="K1423" s="66"/>
      <c r="L1423" s="66"/>
      <c r="M1423" s="70"/>
      <c r="N1423" s="71"/>
      <c r="W1423" s="22"/>
    </row>
    <row r="1424" spans="1:23" ht="14.5">
      <c r="A1424" s="63"/>
      <c r="B1424" s="64"/>
      <c r="C1424" s="65"/>
      <c r="D1424" s="66"/>
      <c r="E1424" s="67"/>
      <c r="F1424" s="68"/>
      <c r="G1424" s="68"/>
      <c r="H1424" s="66"/>
      <c r="I1424" s="69"/>
      <c r="J1424" s="66"/>
      <c r="K1424" s="66"/>
      <c r="L1424" s="66"/>
      <c r="M1424" s="70"/>
      <c r="N1424" s="71"/>
      <c r="W1424" s="22"/>
    </row>
    <row r="1425" spans="1:23" ht="14.5">
      <c r="A1425" s="63"/>
      <c r="B1425" s="64"/>
      <c r="C1425" s="65"/>
      <c r="D1425" s="66"/>
      <c r="E1425" s="67"/>
      <c r="F1425" s="68"/>
      <c r="G1425" s="68"/>
      <c r="H1425" s="66"/>
      <c r="I1425" s="69"/>
      <c r="J1425" s="66"/>
      <c r="K1425" s="66"/>
      <c r="L1425" s="66"/>
      <c r="M1425" s="70"/>
      <c r="N1425" s="71"/>
      <c r="W1425" s="22"/>
    </row>
    <row r="1426" spans="1:23" ht="14.5">
      <c r="A1426" s="63"/>
      <c r="B1426" s="64"/>
      <c r="C1426" s="65"/>
      <c r="D1426" s="66"/>
      <c r="E1426" s="67"/>
      <c r="F1426" s="68"/>
      <c r="G1426" s="68"/>
      <c r="H1426" s="66"/>
      <c r="I1426" s="69"/>
      <c r="J1426" s="66"/>
      <c r="K1426" s="66"/>
      <c r="L1426" s="66"/>
      <c r="M1426" s="70"/>
      <c r="N1426" s="71"/>
      <c r="W1426" s="22"/>
    </row>
    <row r="1427" spans="1:23" ht="14.5">
      <c r="A1427" s="63"/>
      <c r="B1427" s="64"/>
      <c r="C1427" s="65"/>
      <c r="D1427" s="66"/>
      <c r="E1427" s="67"/>
      <c r="F1427" s="68"/>
      <c r="G1427" s="68"/>
      <c r="H1427" s="66"/>
      <c r="I1427" s="69"/>
      <c r="J1427" s="66"/>
      <c r="K1427" s="66"/>
      <c r="L1427" s="66"/>
      <c r="M1427" s="70"/>
      <c r="N1427" s="71"/>
      <c r="W1427" s="22"/>
    </row>
    <row r="1428" spans="1:23" ht="14.5">
      <c r="A1428" s="63"/>
      <c r="B1428" s="64"/>
      <c r="C1428" s="65"/>
      <c r="D1428" s="66"/>
      <c r="E1428" s="67"/>
      <c r="F1428" s="68"/>
      <c r="G1428" s="68"/>
      <c r="H1428" s="66"/>
      <c r="I1428" s="69"/>
      <c r="J1428" s="66"/>
      <c r="K1428" s="66"/>
      <c r="L1428" s="66"/>
      <c r="M1428" s="70"/>
      <c r="N1428" s="71"/>
      <c r="W1428" s="22"/>
    </row>
    <row r="1429" spans="1:23" ht="14.5">
      <c r="A1429" s="63"/>
      <c r="B1429" s="64"/>
      <c r="C1429" s="65"/>
      <c r="D1429" s="66"/>
      <c r="E1429" s="67"/>
      <c r="F1429" s="68"/>
      <c r="G1429" s="68"/>
      <c r="H1429" s="66"/>
      <c r="I1429" s="69"/>
      <c r="J1429" s="66"/>
      <c r="K1429" s="66"/>
      <c r="L1429" s="66"/>
      <c r="M1429" s="70"/>
      <c r="N1429" s="71"/>
      <c r="W1429" s="22"/>
    </row>
    <row r="1430" spans="1:23" ht="14.5">
      <c r="A1430" s="63"/>
      <c r="B1430" s="64"/>
      <c r="C1430" s="65"/>
      <c r="D1430" s="66"/>
      <c r="E1430" s="67"/>
      <c r="F1430" s="68"/>
      <c r="G1430" s="68"/>
      <c r="H1430" s="66"/>
      <c r="I1430" s="69"/>
      <c r="J1430" s="66"/>
      <c r="K1430" s="66"/>
      <c r="L1430" s="66"/>
      <c r="M1430" s="70"/>
      <c r="N1430" s="71"/>
      <c r="W1430" s="22"/>
    </row>
    <row r="1431" spans="1:23" ht="14.5">
      <c r="A1431" s="63"/>
      <c r="B1431" s="64"/>
      <c r="C1431" s="65"/>
      <c r="D1431" s="66"/>
      <c r="E1431" s="67"/>
      <c r="F1431" s="68"/>
      <c r="G1431" s="68"/>
      <c r="H1431" s="66"/>
      <c r="I1431" s="69"/>
      <c r="J1431" s="66"/>
      <c r="K1431" s="66"/>
      <c r="L1431" s="66"/>
      <c r="M1431" s="70"/>
      <c r="N1431" s="71"/>
      <c r="W1431" s="22"/>
    </row>
    <row r="1432" spans="1:23" ht="14.5">
      <c r="A1432" s="63"/>
      <c r="B1432" s="64"/>
      <c r="C1432" s="65"/>
      <c r="D1432" s="66"/>
      <c r="E1432" s="67"/>
      <c r="F1432" s="68"/>
      <c r="G1432" s="68"/>
      <c r="H1432" s="66"/>
      <c r="I1432" s="69"/>
      <c r="J1432" s="66"/>
      <c r="K1432" s="66"/>
      <c r="L1432" s="66"/>
      <c r="M1432" s="70"/>
      <c r="N1432" s="71"/>
      <c r="W1432" s="22"/>
    </row>
    <row r="1433" spans="1:23" ht="14.5">
      <c r="A1433" s="63"/>
      <c r="B1433" s="64"/>
      <c r="C1433" s="65"/>
      <c r="D1433" s="66"/>
      <c r="E1433" s="67"/>
      <c r="F1433" s="68"/>
      <c r="G1433" s="68"/>
      <c r="H1433" s="66"/>
      <c r="I1433" s="69"/>
      <c r="J1433" s="66"/>
      <c r="K1433" s="66"/>
      <c r="L1433" s="66"/>
      <c r="M1433" s="70"/>
      <c r="N1433" s="71"/>
      <c r="W1433" s="22"/>
    </row>
    <row r="1434" spans="1:23" ht="14.5">
      <c r="A1434" s="63"/>
      <c r="B1434" s="64"/>
      <c r="C1434" s="65"/>
      <c r="D1434" s="66"/>
      <c r="E1434" s="67"/>
      <c r="F1434" s="68"/>
      <c r="G1434" s="68"/>
      <c r="H1434" s="66"/>
      <c r="I1434" s="69"/>
      <c r="J1434" s="66"/>
      <c r="K1434" s="66"/>
      <c r="L1434" s="66"/>
      <c r="M1434" s="70"/>
      <c r="N1434" s="71"/>
      <c r="W1434" s="22"/>
    </row>
    <row r="1435" spans="1:23" ht="14.5">
      <c r="A1435" s="63"/>
      <c r="B1435" s="64"/>
      <c r="C1435" s="65"/>
      <c r="D1435" s="66"/>
      <c r="E1435" s="67"/>
      <c r="F1435" s="68"/>
      <c r="G1435" s="68"/>
      <c r="H1435" s="66"/>
      <c r="I1435" s="69"/>
      <c r="J1435" s="66"/>
      <c r="K1435" s="66"/>
      <c r="L1435" s="66"/>
      <c r="M1435" s="70"/>
      <c r="N1435" s="71"/>
      <c r="W1435" s="22"/>
    </row>
    <row r="1436" spans="1:23" ht="14.5">
      <c r="A1436" s="63"/>
      <c r="B1436" s="64"/>
      <c r="C1436" s="65"/>
      <c r="D1436" s="66"/>
      <c r="E1436" s="67"/>
      <c r="F1436" s="68"/>
      <c r="G1436" s="68"/>
      <c r="H1436" s="66"/>
      <c r="I1436" s="69"/>
      <c r="J1436" s="66"/>
      <c r="K1436" s="66"/>
      <c r="L1436" s="66"/>
      <c r="M1436" s="70"/>
      <c r="N1436" s="71"/>
      <c r="W1436" s="22"/>
    </row>
    <row r="1437" spans="1:23" ht="14.5">
      <c r="A1437" s="63"/>
      <c r="B1437" s="64"/>
      <c r="C1437" s="65"/>
      <c r="D1437" s="66"/>
      <c r="E1437" s="67"/>
      <c r="F1437" s="68"/>
      <c r="G1437" s="68"/>
      <c r="H1437" s="66"/>
      <c r="I1437" s="69"/>
      <c r="J1437" s="66"/>
      <c r="K1437" s="66"/>
      <c r="L1437" s="66"/>
      <c r="M1437" s="70"/>
      <c r="N1437" s="71"/>
      <c r="W1437" s="22"/>
    </row>
    <row r="1438" spans="1:23" ht="14.5">
      <c r="A1438" s="63"/>
      <c r="B1438" s="64"/>
      <c r="C1438" s="65"/>
      <c r="D1438" s="66"/>
      <c r="E1438" s="67"/>
      <c r="F1438" s="68"/>
      <c r="G1438" s="68"/>
      <c r="H1438" s="66"/>
      <c r="I1438" s="69"/>
      <c r="J1438" s="66"/>
      <c r="K1438" s="66"/>
      <c r="L1438" s="66"/>
      <c r="M1438" s="70"/>
      <c r="N1438" s="71"/>
      <c r="W1438" s="22"/>
    </row>
    <row r="1439" spans="1:23" ht="14.5">
      <c r="A1439" s="63"/>
      <c r="B1439" s="64"/>
      <c r="C1439" s="65"/>
      <c r="D1439" s="66"/>
      <c r="E1439" s="67"/>
      <c r="F1439" s="68"/>
      <c r="G1439" s="68"/>
      <c r="H1439" s="66"/>
      <c r="I1439" s="69"/>
      <c r="J1439" s="66"/>
      <c r="K1439" s="66"/>
      <c r="L1439" s="66"/>
      <c r="M1439" s="70"/>
      <c r="N1439" s="71"/>
      <c r="W1439" s="22"/>
    </row>
    <row r="1440" spans="1:23" ht="14.5">
      <c r="A1440" s="63"/>
      <c r="B1440" s="64"/>
      <c r="C1440" s="65"/>
      <c r="D1440" s="66"/>
      <c r="E1440" s="67"/>
      <c r="F1440" s="68"/>
      <c r="G1440" s="68"/>
      <c r="H1440" s="66"/>
      <c r="I1440" s="69"/>
      <c r="J1440" s="66"/>
      <c r="K1440" s="66"/>
      <c r="L1440" s="66"/>
      <c r="M1440" s="70"/>
      <c r="N1440" s="71"/>
      <c r="W1440" s="22"/>
    </row>
    <row r="1441" spans="1:23" ht="14.5">
      <c r="A1441" s="63"/>
      <c r="B1441" s="64"/>
      <c r="C1441" s="65"/>
      <c r="D1441" s="66"/>
      <c r="E1441" s="67"/>
      <c r="F1441" s="68"/>
      <c r="G1441" s="68"/>
      <c r="H1441" s="66"/>
      <c r="I1441" s="69"/>
      <c r="J1441" s="66"/>
      <c r="K1441" s="66"/>
      <c r="L1441" s="66"/>
      <c r="M1441" s="70"/>
      <c r="N1441" s="71"/>
      <c r="W1441" s="22"/>
    </row>
    <row r="1442" spans="1:23" ht="14.5">
      <c r="A1442" s="63"/>
      <c r="B1442" s="64"/>
      <c r="C1442" s="65"/>
      <c r="D1442" s="66"/>
      <c r="E1442" s="67"/>
      <c r="F1442" s="68"/>
      <c r="G1442" s="68"/>
      <c r="H1442" s="66"/>
      <c r="I1442" s="69"/>
      <c r="J1442" s="66"/>
      <c r="K1442" s="66"/>
      <c r="L1442" s="66"/>
      <c r="M1442" s="70"/>
      <c r="N1442" s="71"/>
      <c r="W1442" s="22"/>
    </row>
    <row r="1443" spans="1:23" ht="14.5">
      <c r="A1443" s="63"/>
      <c r="B1443" s="64"/>
      <c r="C1443" s="65"/>
      <c r="D1443" s="66"/>
      <c r="E1443" s="67"/>
      <c r="F1443" s="68"/>
      <c r="G1443" s="68"/>
      <c r="H1443" s="66"/>
      <c r="I1443" s="69"/>
      <c r="J1443" s="66"/>
      <c r="K1443" s="66"/>
      <c r="L1443" s="66"/>
      <c r="M1443" s="70"/>
      <c r="N1443" s="71"/>
      <c r="W1443" s="22"/>
    </row>
    <row r="1444" spans="1:23" ht="14.5">
      <c r="A1444" s="63"/>
      <c r="B1444" s="64"/>
      <c r="C1444" s="65"/>
      <c r="D1444" s="66"/>
      <c r="E1444" s="67"/>
      <c r="F1444" s="68"/>
      <c r="G1444" s="68"/>
      <c r="H1444" s="66"/>
      <c r="I1444" s="69"/>
      <c r="J1444" s="66"/>
      <c r="K1444" s="66"/>
      <c r="L1444" s="66"/>
      <c r="M1444" s="70"/>
      <c r="N1444" s="71"/>
      <c r="W1444" s="22"/>
    </row>
    <row r="1445" spans="1:23" ht="14.5">
      <c r="A1445" s="63"/>
      <c r="B1445" s="64"/>
      <c r="C1445" s="65"/>
      <c r="D1445" s="66"/>
      <c r="E1445" s="67"/>
      <c r="F1445" s="68"/>
      <c r="G1445" s="68"/>
      <c r="H1445" s="66"/>
      <c r="I1445" s="69"/>
      <c r="J1445" s="66"/>
      <c r="K1445" s="66"/>
      <c r="L1445" s="66"/>
      <c r="M1445" s="70"/>
      <c r="N1445" s="71"/>
      <c r="W1445" s="22"/>
    </row>
    <row r="1446" spans="1:23" ht="14.5">
      <c r="A1446" s="63"/>
      <c r="B1446" s="64"/>
      <c r="C1446" s="65"/>
      <c r="D1446" s="66"/>
      <c r="E1446" s="67"/>
      <c r="F1446" s="68"/>
      <c r="G1446" s="68"/>
      <c r="H1446" s="66"/>
      <c r="I1446" s="69"/>
      <c r="J1446" s="66"/>
      <c r="K1446" s="66"/>
      <c r="L1446" s="66"/>
      <c r="M1446" s="70"/>
      <c r="N1446" s="71"/>
      <c r="W1446" s="22"/>
    </row>
    <row r="1447" spans="1:23" ht="14.5">
      <c r="A1447" s="63"/>
      <c r="B1447" s="64"/>
      <c r="C1447" s="65"/>
      <c r="D1447" s="66"/>
      <c r="E1447" s="67"/>
      <c r="F1447" s="68"/>
      <c r="G1447" s="68"/>
      <c r="H1447" s="66"/>
      <c r="I1447" s="69"/>
      <c r="J1447" s="66"/>
      <c r="K1447" s="66"/>
      <c r="L1447" s="66"/>
      <c r="M1447" s="70"/>
      <c r="N1447" s="71"/>
      <c r="W1447" s="22"/>
    </row>
    <row r="1448" spans="1:23" ht="14.5">
      <c r="A1448" s="63"/>
      <c r="B1448" s="64"/>
      <c r="C1448" s="65"/>
      <c r="D1448" s="66"/>
      <c r="E1448" s="67"/>
      <c r="F1448" s="68"/>
      <c r="G1448" s="68"/>
      <c r="H1448" s="66"/>
      <c r="I1448" s="69"/>
      <c r="J1448" s="66"/>
      <c r="K1448" s="66"/>
      <c r="L1448" s="66"/>
      <c r="M1448" s="70"/>
      <c r="N1448" s="71"/>
      <c r="W1448" s="22"/>
    </row>
    <row r="1449" spans="1:23" ht="14.5">
      <c r="A1449" s="63"/>
      <c r="B1449" s="64"/>
      <c r="C1449" s="65"/>
      <c r="D1449" s="66"/>
      <c r="E1449" s="67"/>
      <c r="F1449" s="68"/>
      <c r="G1449" s="68"/>
      <c r="H1449" s="66"/>
      <c r="I1449" s="69"/>
      <c r="J1449" s="66"/>
      <c r="K1449" s="66"/>
      <c r="L1449" s="66"/>
      <c r="M1449" s="70"/>
      <c r="N1449" s="71"/>
      <c r="W1449" s="22"/>
    </row>
    <row r="1450" spans="1:23" ht="14.5">
      <c r="A1450" s="63"/>
      <c r="B1450" s="64"/>
      <c r="C1450" s="65"/>
      <c r="D1450" s="66"/>
      <c r="E1450" s="67"/>
      <c r="F1450" s="68"/>
      <c r="G1450" s="68"/>
      <c r="H1450" s="66"/>
      <c r="I1450" s="69"/>
      <c r="J1450" s="66"/>
      <c r="K1450" s="66"/>
      <c r="L1450" s="66"/>
      <c r="M1450" s="70"/>
      <c r="N1450" s="71"/>
      <c r="W1450" s="22"/>
    </row>
    <row r="1451" spans="1:23" ht="14.5">
      <c r="A1451" s="63"/>
      <c r="B1451" s="64"/>
      <c r="C1451" s="65"/>
      <c r="D1451" s="66"/>
      <c r="E1451" s="67"/>
      <c r="F1451" s="68"/>
      <c r="G1451" s="68"/>
      <c r="H1451" s="66"/>
      <c r="I1451" s="69"/>
      <c r="J1451" s="66"/>
      <c r="K1451" s="66"/>
      <c r="L1451" s="66"/>
      <c r="M1451" s="70"/>
      <c r="N1451" s="71"/>
      <c r="W1451" s="22"/>
    </row>
    <row r="1452" spans="1:23" ht="14.5">
      <c r="A1452" s="63"/>
      <c r="B1452" s="64"/>
      <c r="C1452" s="65"/>
      <c r="D1452" s="66"/>
      <c r="E1452" s="67"/>
      <c r="F1452" s="68"/>
      <c r="G1452" s="68"/>
      <c r="H1452" s="66"/>
      <c r="I1452" s="69"/>
      <c r="J1452" s="66"/>
      <c r="K1452" s="66"/>
      <c r="L1452" s="66"/>
      <c r="M1452" s="70"/>
      <c r="N1452" s="71"/>
      <c r="W1452" s="22"/>
    </row>
    <row r="1453" spans="1:23" ht="14.5">
      <c r="A1453" s="63"/>
      <c r="B1453" s="64"/>
      <c r="C1453" s="65"/>
      <c r="D1453" s="66"/>
      <c r="E1453" s="67"/>
      <c r="F1453" s="68"/>
      <c r="G1453" s="68"/>
      <c r="H1453" s="66"/>
      <c r="I1453" s="69"/>
      <c r="J1453" s="66"/>
      <c r="K1453" s="66"/>
      <c r="L1453" s="66"/>
      <c r="M1453" s="70"/>
      <c r="N1453" s="71"/>
      <c r="W1453" s="22"/>
    </row>
    <row r="1454" spans="1:23" ht="14.5">
      <c r="A1454" s="63"/>
      <c r="B1454" s="64"/>
      <c r="C1454" s="65"/>
      <c r="D1454" s="66"/>
      <c r="E1454" s="67"/>
      <c r="F1454" s="68"/>
      <c r="G1454" s="68"/>
      <c r="H1454" s="66"/>
      <c r="I1454" s="69"/>
      <c r="J1454" s="66"/>
      <c r="K1454" s="66"/>
      <c r="L1454" s="66"/>
      <c r="M1454" s="70"/>
      <c r="N1454" s="71"/>
      <c r="W1454" s="22"/>
    </row>
    <row r="1455" spans="1:23" ht="14.5">
      <c r="A1455" s="63"/>
      <c r="B1455" s="64"/>
      <c r="C1455" s="65"/>
      <c r="D1455" s="66"/>
      <c r="E1455" s="67"/>
      <c r="F1455" s="68"/>
      <c r="G1455" s="68"/>
      <c r="H1455" s="66"/>
      <c r="I1455" s="69"/>
      <c r="J1455" s="66"/>
      <c r="K1455" s="66"/>
      <c r="L1455" s="66"/>
      <c r="M1455" s="70"/>
      <c r="N1455" s="71"/>
      <c r="W1455" s="22"/>
    </row>
    <row r="1456" spans="1:23" ht="14.5">
      <c r="A1456" s="63"/>
      <c r="B1456" s="64"/>
      <c r="C1456" s="65"/>
      <c r="D1456" s="66"/>
      <c r="E1456" s="67"/>
      <c r="F1456" s="68"/>
      <c r="G1456" s="68"/>
      <c r="H1456" s="66"/>
      <c r="I1456" s="69"/>
      <c r="J1456" s="66"/>
      <c r="K1456" s="66"/>
      <c r="L1456" s="66"/>
      <c r="M1456" s="70"/>
      <c r="N1456" s="71"/>
      <c r="W1456" s="22"/>
    </row>
    <row r="1457" spans="1:23" ht="14.5">
      <c r="A1457" s="63"/>
      <c r="B1457" s="64"/>
      <c r="C1457" s="65"/>
      <c r="D1457" s="66"/>
      <c r="E1457" s="67"/>
      <c r="F1457" s="68"/>
      <c r="G1457" s="68"/>
      <c r="H1457" s="66"/>
      <c r="I1457" s="69"/>
      <c r="J1457" s="66"/>
      <c r="K1457" s="66"/>
      <c r="L1457" s="66"/>
      <c r="M1457" s="70"/>
      <c r="N1457" s="71"/>
      <c r="W1457" s="22"/>
    </row>
    <row r="1458" spans="1:23" ht="14.5">
      <c r="A1458" s="63"/>
      <c r="B1458" s="64"/>
      <c r="C1458" s="65"/>
      <c r="D1458" s="66"/>
      <c r="E1458" s="67"/>
      <c r="F1458" s="68"/>
      <c r="G1458" s="68"/>
      <c r="H1458" s="66"/>
      <c r="I1458" s="69"/>
      <c r="J1458" s="66"/>
      <c r="K1458" s="66"/>
      <c r="L1458" s="66"/>
      <c r="M1458" s="70"/>
      <c r="N1458" s="71"/>
      <c r="W1458" s="22"/>
    </row>
    <row r="1459" spans="1:23" ht="14.5">
      <c r="A1459" s="63"/>
      <c r="B1459" s="64"/>
      <c r="C1459" s="65"/>
      <c r="D1459" s="66"/>
      <c r="E1459" s="67"/>
      <c r="F1459" s="68"/>
      <c r="G1459" s="68"/>
      <c r="H1459" s="66"/>
      <c r="I1459" s="69"/>
      <c r="J1459" s="66"/>
      <c r="K1459" s="66"/>
      <c r="L1459" s="66"/>
      <c r="M1459" s="70"/>
      <c r="N1459" s="71"/>
      <c r="W1459" s="22"/>
    </row>
    <row r="1460" spans="1:23" ht="14.5">
      <c r="A1460" s="63"/>
      <c r="B1460" s="64"/>
      <c r="C1460" s="65"/>
      <c r="D1460" s="66"/>
      <c r="E1460" s="67"/>
      <c r="F1460" s="68"/>
      <c r="G1460" s="68"/>
      <c r="H1460" s="66"/>
      <c r="I1460" s="69"/>
      <c r="J1460" s="66"/>
      <c r="K1460" s="66"/>
      <c r="L1460" s="66"/>
      <c r="M1460" s="70"/>
      <c r="N1460" s="71"/>
      <c r="W1460" s="22"/>
    </row>
    <row r="1461" spans="1:23" ht="14.5">
      <c r="A1461" s="63"/>
      <c r="B1461" s="64"/>
      <c r="C1461" s="65"/>
      <c r="D1461" s="66"/>
      <c r="E1461" s="67"/>
      <c r="F1461" s="68"/>
      <c r="G1461" s="68"/>
      <c r="H1461" s="66"/>
      <c r="I1461" s="69"/>
      <c r="J1461" s="66"/>
      <c r="K1461" s="66"/>
      <c r="L1461" s="66"/>
      <c r="M1461" s="70"/>
      <c r="N1461" s="71"/>
      <c r="W1461" s="22"/>
    </row>
    <row r="1462" spans="1:23" ht="14.5">
      <c r="A1462" s="63"/>
      <c r="B1462" s="64"/>
      <c r="C1462" s="65"/>
      <c r="D1462" s="66"/>
      <c r="E1462" s="67"/>
      <c r="F1462" s="68"/>
      <c r="G1462" s="68"/>
      <c r="H1462" s="66"/>
      <c r="I1462" s="69"/>
      <c r="J1462" s="66"/>
      <c r="K1462" s="66"/>
      <c r="L1462" s="66"/>
      <c r="M1462" s="70"/>
      <c r="N1462" s="71"/>
      <c r="W1462" s="22"/>
    </row>
    <row r="1463" spans="1:23" ht="14.5">
      <c r="A1463" s="63"/>
      <c r="B1463" s="64"/>
      <c r="C1463" s="65"/>
      <c r="D1463" s="66"/>
      <c r="E1463" s="67"/>
      <c r="F1463" s="68"/>
      <c r="G1463" s="68"/>
      <c r="H1463" s="66"/>
      <c r="I1463" s="69"/>
      <c r="J1463" s="66"/>
      <c r="K1463" s="66"/>
      <c r="L1463" s="66"/>
      <c r="M1463" s="70"/>
      <c r="N1463" s="71"/>
      <c r="W1463" s="22"/>
    </row>
    <row r="1464" spans="1:23" ht="14.5">
      <c r="A1464" s="63"/>
      <c r="B1464" s="64"/>
      <c r="C1464" s="65"/>
      <c r="D1464" s="66"/>
      <c r="E1464" s="67"/>
      <c r="F1464" s="68"/>
      <c r="G1464" s="68"/>
      <c r="H1464" s="66"/>
      <c r="I1464" s="69"/>
      <c r="J1464" s="66"/>
      <c r="K1464" s="66"/>
      <c r="L1464" s="66"/>
      <c r="M1464" s="70"/>
      <c r="N1464" s="71"/>
      <c r="W1464" s="22"/>
    </row>
    <row r="1465" spans="1:23" ht="14.5">
      <c r="A1465" s="63"/>
      <c r="B1465" s="64"/>
      <c r="C1465" s="65"/>
      <c r="D1465" s="66"/>
      <c r="E1465" s="67"/>
      <c r="F1465" s="68"/>
      <c r="G1465" s="68"/>
      <c r="H1465" s="66"/>
      <c r="I1465" s="69"/>
      <c r="J1465" s="66"/>
      <c r="K1465" s="66"/>
      <c r="L1465" s="66"/>
      <c r="M1465" s="70"/>
      <c r="N1465" s="71"/>
      <c r="W1465" s="22"/>
    </row>
    <row r="1466" spans="1:23" ht="14.5">
      <c r="A1466" s="63"/>
      <c r="B1466" s="64"/>
      <c r="C1466" s="65"/>
      <c r="D1466" s="66"/>
      <c r="E1466" s="67"/>
      <c r="F1466" s="68"/>
      <c r="G1466" s="68"/>
      <c r="H1466" s="66"/>
      <c r="I1466" s="69"/>
      <c r="J1466" s="66"/>
      <c r="K1466" s="66"/>
      <c r="L1466" s="66"/>
      <c r="M1466" s="70"/>
      <c r="N1466" s="71"/>
      <c r="W1466" s="22"/>
    </row>
    <row r="1467" spans="1:23" ht="14.5">
      <c r="A1467" s="63"/>
      <c r="B1467" s="64"/>
      <c r="C1467" s="65"/>
      <c r="D1467" s="66"/>
      <c r="E1467" s="67"/>
      <c r="F1467" s="68"/>
      <c r="G1467" s="68"/>
      <c r="H1467" s="66"/>
      <c r="I1467" s="69"/>
      <c r="J1467" s="66"/>
      <c r="K1467" s="66"/>
      <c r="L1467" s="66"/>
      <c r="M1467" s="70"/>
      <c r="N1467" s="71"/>
      <c r="W1467" s="22"/>
    </row>
    <row r="1468" spans="1:23" ht="14.5">
      <c r="A1468" s="63"/>
      <c r="B1468" s="64"/>
      <c r="C1468" s="65"/>
      <c r="D1468" s="66"/>
      <c r="E1468" s="67"/>
      <c r="F1468" s="68"/>
      <c r="G1468" s="68"/>
      <c r="H1468" s="66"/>
      <c r="I1468" s="69"/>
      <c r="J1468" s="66"/>
      <c r="K1468" s="66"/>
      <c r="L1468" s="66"/>
      <c r="M1468" s="70"/>
      <c r="N1468" s="71"/>
      <c r="W1468" s="22"/>
    </row>
    <row r="1469" spans="1:23" ht="14.5">
      <c r="A1469" s="63"/>
      <c r="B1469" s="64"/>
      <c r="C1469" s="65"/>
      <c r="D1469" s="66"/>
      <c r="E1469" s="67"/>
      <c r="F1469" s="68"/>
      <c r="G1469" s="68"/>
      <c r="H1469" s="66"/>
      <c r="I1469" s="69"/>
      <c r="J1469" s="66"/>
      <c r="K1469" s="66"/>
      <c r="L1469" s="66"/>
      <c r="M1469" s="70"/>
      <c r="N1469" s="71"/>
      <c r="W1469" s="22"/>
    </row>
    <row r="1470" spans="1:23" ht="14.5">
      <c r="A1470" s="63"/>
      <c r="B1470" s="64"/>
      <c r="C1470" s="65"/>
      <c r="D1470" s="66"/>
      <c r="E1470" s="67"/>
      <c r="F1470" s="68"/>
      <c r="G1470" s="68"/>
      <c r="H1470" s="66"/>
      <c r="I1470" s="69"/>
      <c r="J1470" s="66"/>
      <c r="K1470" s="66"/>
      <c r="L1470" s="66"/>
      <c r="M1470" s="70"/>
      <c r="N1470" s="71"/>
      <c r="W1470" s="22"/>
    </row>
    <row r="1471" spans="1:23" ht="14.5">
      <c r="A1471" s="63"/>
      <c r="B1471" s="64"/>
      <c r="C1471" s="65"/>
      <c r="D1471" s="66"/>
      <c r="E1471" s="67"/>
      <c r="F1471" s="68"/>
      <c r="G1471" s="68"/>
      <c r="H1471" s="66"/>
      <c r="I1471" s="69"/>
      <c r="J1471" s="66"/>
      <c r="K1471" s="66"/>
      <c r="L1471" s="66"/>
      <c r="M1471" s="70"/>
      <c r="N1471" s="71"/>
      <c r="W1471" s="22"/>
    </row>
    <row r="1472" spans="1:23" ht="14.5">
      <c r="A1472" s="63"/>
      <c r="B1472" s="64"/>
      <c r="C1472" s="65"/>
      <c r="D1472" s="66"/>
      <c r="E1472" s="67"/>
      <c r="F1472" s="68"/>
      <c r="G1472" s="68"/>
      <c r="H1472" s="66"/>
      <c r="I1472" s="69"/>
      <c r="J1472" s="66"/>
      <c r="K1472" s="66"/>
      <c r="L1472" s="66"/>
      <c r="M1472" s="70"/>
      <c r="N1472" s="71"/>
      <c r="W1472" s="22"/>
    </row>
    <row r="1473" spans="1:23" ht="14.5">
      <c r="A1473" s="63"/>
      <c r="B1473" s="64"/>
      <c r="C1473" s="65"/>
      <c r="D1473" s="66"/>
      <c r="E1473" s="67"/>
      <c r="F1473" s="68"/>
      <c r="G1473" s="68"/>
      <c r="H1473" s="66"/>
      <c r="I1473" s="69"/>
      <c r="J1473" s="66"/>
      <c r="K1473" s="66"/>
      <c r="L1473" s="66"/>
      <c r="M1473" s="70"/>
      <c r="N1473" s="71"/>
      <c r="W1473" s="22"/>
    </row>
    <row r="1474" spans="1:23" ht="14.5">
      <c r="A1474" s="63"/>
      <c r="B1474" s="64"/>
      <c r="C1474" s="65"/>
      <c r="D1474" s="66"/>
      <c r="E1474" s="67"/>
      <c r="F1474" s="68"/>
      <c r="G1474" s="68"/>
      <c r="H1474" s="66"/>
      <c r="I1474" s="69"/>
      <c r="J1474" s="66"/>
      <c r="K1474" s="66"/>
      <c r="L1474" s="66"/>
      <c r="M1474" s="70"/>
      <c r="N1474" s="71"/>
      <c r="W1474" s="22"/>
    </row>
    <row r="1475" spans="1:23" ht="14.5">
      <c r="A1475" s="63"/>
      <c r="B1475" s="64"/>
      <c r="C1475" s="65"/>
      <c r="D1475" s="66"/>
      <c r="E1475" s="67"/>
      <c r="F1475" s="68"/>
      <c r="G1475" s="68"/>
      <c r="H1475" s="66"/>
      <c r="I1475" s="69"/>
      <c r="J1475" s="66"/>
      <c r="K1475" s="66"/>
      <c r="L1475" s="66"/>
      <c r="M1475" s="70"/>
      <c r="N1475" s="71"/>
      <c r="W1475" s="22"/>
    </row>
    <row r="1476" spans="1:23" ht="14.5">
      <c r="A1476" s="63"/>
      <c r="B1476" s="64"/>
      <c r="C1476" s="65"/>
      <c r="D1476" s="66"/>
      <c r="E1476" s="67"/>
      <c r="F1476" s="68"/>
      <c r="G1476" s="68"/>
      <c r="H1476" s="66"/>
      <c r="I1476" s="69"/>
      <c r="J1476" s="66"/>
      <c r="K1476" s="66"/>
      <c r="L1476" s="66"/>
      <c r="M1476" s="70"/>
      <c r="N1476" s="71"/>
      <c r="W1476" s="22"/>
    </row>
    <row r="1477" spans="1:23" ht="14.5">
      <c r="A1477" s="63"/>
      <c r="B1477" s="64"/>
      <c r="C1477" s="65"/>
      <c r="D1477" s="66"/>
      <c r="E1477" s="67"/>
      <c r="F1477" s="68"/>
      <c r="G1477" s="68"/>
      <c r="H1477" s="66"/>
      <c r="I1477" s="69"/>
      <c r="J1477" s="66"/>
      <c r="K1477" s="66"/>
      <c r="L1477" s="66"/>
      <c r="M1477" s="70"/>
      <c r="N1477" s="71"/>
      <c r="W1477" s="22"/>
    </row>
    <row r="1478" spans="1:23" ht="14.5">
      <c r="A1478" s="63"/>
      <c r="B1478" s="64"/>
      <c r="C1478" s="65"/>
      <c r="D1478" s="66"/>
      <c r="E1478" s="67"/>
      <c r="F1478" s="68"/>
      <c r="G1478" s="68"/>
      <c r="H1478" s="66"/>
      <c r="I1478" s="69"/>
      <c r="J1478" s="66"/>
      <c r="K1478" s="66"/>
      <c r="L1478" s="66"/>
      <c r="M1478" s="70"/>
      <c r="N1478" s="71"/>
      <c r="W1478" s="22"/>
    </row>
    <row r="1479" spans="1:23" ht="14.5">
      <c r="A1479" s="63"/>
      <c r="B1479" s="64"/>
      <c r="C1479" s="65"/>
      <c r="D1479" s="66"/>
      <c r="E1479" s="67"/>
      <c r="F1479" s="68"/>
      <c r="G1479" s="68"/>
      <c r="H1479" s="66"/>
      <c r="I1479" s="69"/>
      <c r="J1479" s="66"/>
      <c r="K1479" s="66"/>
      <c r="L1479" s="66"/>
      <c r="M1479" s="70"/>
      <c r="N1479" s="71"/>
      <c r="W1479" s="22"/>
    </row>
    <row r="1480" spans="1:23" ht="14.5">
      <c r="A1480" s="63"/>
      <c r="B1480" s="64"/>
      <c r="C1480" s="65"/>
      <c r="D1480" s="66"/>
      <c r="E1480" s="67"/>
      <c r="F1480" s="68"/>
      <c r="G1480" s="68"/>
      <c r="H1480" s="66"/>
      <c r="I1480" s="69"/>
      <c r="J1480" s="66"/>
      <c r="K1480" s="66"/>
      <c r="L1480" s="66"/>
      <c r="M1480" s="70"/>
      <c r="N1480" s="71"/>
      <c r="W1480" s="22"/>
    </row>
    <row r="1481" spans="1:23" ht="14.5">
      <c r="A1481" s="63"/>
      <c r="B1481" s="64"/>
      <c r="C1481" s="65"/>
      <c r="D1481" s="66"/>
      <c r="E1481" s="67"/>
      <c r="F1481" s="68"/>
      <c r="G1481" s="68"/>
      <c r="H1481" s="66"/>
      <c r="I1481" s="69"/>
      <c r="J1481" s="66"/>
      <c r="K1481" s="66"/>
      <c r="L1481" s="66"/>
      <c r="M1481" s="70"/>
      <c r="N1481" s="71"/>
      <c r="W1481" s="22"/>
    </row>
    <row r="1482" spans="1:23" ht="14.5">
      <c r="A1482" s="63"/>
      <c r="B1482" s="64"/>
      <c r="C1482" s="65"/>
      <c r="D1482" s="66"/>
      <c r="E1482" s="67"/>
      <c r="F1482" s="68"/>
      <c r="G1482" s="68"/>
      <c r="H1482" s="66"/>
      <c r="I1482" s="69"/>
      <c r="J1482" s="66"/>
      <c r="K1482" s="66"/>
      <c r="L1482" s="66"/>
      <c r="M1482" s="70"/>
      <c r="N1482" s="71"/>
      <c r="W1482" s="22"/>
    </row>
    <row r="1483" spans="1:23" ht="14.5">
      <c r="A1483" s="63"/>
      <c r="B1483" s="64"/>
      <c r="C1483" s="65"/>
      <c r="D1483" s="66"/>
      <c r="E1483" s="67"/>
      <c r="F1483" s="68"/>
      <c r="G1483" s="68"/>
      <c r="H1483" s="66"/>
      <c r="I1483" s="69"/>
      <c r="J1483" s="66"/>
      <c r="K1483" s="66"/>
      <c r="L1483" s="66"/>
      <c r="M1483" s="70"/>
      <c r="N1483" s="71"/>
      <c r="W1483" s="22"/>
    </row>
    <row r="1484" spans="1:23" ht="14.5">
      <c r="A1484" s="63"/>
      <c r="B1484" s="64"/>
      <c r="C1484" s="65"/>
      <c r="D1484" s="66"/>
      <c r="E1484" s="67"/>
      <c r="F1484" s="68"/>
      <c r="G1484" s="68"/>
      <c r="H1484" s="66"/>
      <c r="I1484" s="69"/>
      <c r="J1484" s="66"/>
      <c r="K1484" s="66"/>
      <c r="L1484" s="66"/>
      <c r="M1484" s="70"/>
      <c r="N1484" s="71"/>
      <c r="W1484" s="22"/>
    </row>
    <row r="1485" spans="1:23" ht="14.5">
      <c r="A1485" s="63"/>
      <c r="B1485" s="64"/>
      <c r="C1485" s="65"/>
      <c r="D1485" s="66"/>
      <c r="E1485" s="67"/>
      <c r="F1485" s="68"/>
      <c r="G1485" s="68"/>
      <c r="H1485" s="66"/>
      <c r="I1485" s="69"/>
      <c r="J1485" s="66"/>
      <c r="K1485" s="66"/>
      <c r="L1485" s="66"/>
      <c r="M1485" s="70"/>
      <c r="N1485" s="71"/>
      <c r="W1485" s="22"/>
    </row>
    <row r="1486" spans="1:23" ht="14.5">
      <c r="A1486" s="63"/>
      <c r="B1486" s="64"/>
      <c r="C1486" s="65"/>
      <c r="D1486" s="66"/>
      <c r="E1486" s="67"/>
      <c r="F1486" s="68"/>
      <c r="G1486" s="68"/>
      <c r="H1486" s="66"/>
      <c r="I1486" s="69"/>
      <c r="J1486" s="66"/>
      <c r="K1486" s="66"/>
      <c r="L1486" s="66"/>
      <c r="M1486" s="70"/>
      <c r="N1486" s="71"/>
      <c r="W1486" s="22"/>
    </row>
    <row r="1487" spans="1:23" ht="14.5">
      <c r="A1487" s="63"/>
      <c r="B1487" s="64"/>
      <c r="C1487" s="65"/>
      <c r="D1487" s="66"/>
      <c r="E1487" s="67"/>
      <c r="F1487" s="68"/>
      <c r="G1487" s="68"/>
      <c r="H1487" s="66"/>
      <c r="I1487" s="69"/>
      <c r="J1487" s="66"/>
      <c r="K1487" s="66"/>
      <c r="L1487" s="66"/>
      <c r="M1487" s="70"/>
      <c r="N1487" s="71"/>
      <c r="W1487" s="22"/>
    </row>
    <row r="1488" spans="1:23" ht="14.5">
      <c r="A1488" s="63"/>
      <c r="B1488" s="64"/>
      <c r="C1488" s="65"/>
      <c r="D1488" s="66"/>
      <c r="E1488" s="67"/>
      <c r="F1488" s="68"/>
      <c r="G1488" s="68"/>
      <c r="H1488" s="66"/>
      <c r="I1488" s="69"/>
      <c r="J1488" s="66"/>
      <c r="K1488" s="66"/>
      <c r="L1488" s="66"/>
      <c r="M1488" s="70"/>
      <c r="N1488" s="71"/>
      <c r="W1488" s="22"/>
    </row>
    <row r="1489" spans="1:23" ht="14.5">
      <c r="A1489" s="63"/>
      <c r="B1489" s="64"/>
      <c r="C1489" s="65"/>
      <c r="D1489" s="66"/>
      <c r="E1489" s="67"/>
      <c r="F1489" s="68"/>
      <c r="G1489" s="68"/>
      <c r="H1489" s="66"/>
      <c r="I1489" s="69"/>
      <c r="J1489" s="66"/>
      <c r="K1489" s="66"/>
      <c r="L1489" s="66"/>
      <c r="M1489" s="70"/>
      <c r="N1489" s="71"/>
      <c r="W1489" s="22"/>
    </row>
    <row r="1490" spans="1:23" ht="14.5">
      <c r="A1490" s="63"/>
      <c r="B1490" s="64"/>
      <c r="C1490" s="65"/>
      <c r="D1490" s="66"/>
      <c r="E1490" s="67"/>
      <c r="F1490" s="68"/>
      <c r="G1490" s="68"/>
      <c r="H1490" s="66"/>
      <c r="I1490" s="69"/>
      <c r="J1490" s="66"/>
      <c r="K1490" s="66"/>
      <c r="L1490" s="66"/>
      <c r="M1490" s="70"/>
      <c r="N1490" s="71"/>
      <c r="W1490" s="22"/>
    </row>
    <row r="1491" spans="1:23" ht="14.5">
      <c r="A1491" s="63"/>
      <c r="B1491" s="64"/>
      <c r="C1491" s="65"/>
      <c r="D1491" s="66"/>
      <c r="E1491" s="67"/>
      <c r="F1491" s="68"/>
      <c r="G1491" s="68"/>
      <c r="H1491" s="66"/>
      <c r="I1491" s="69"/>
      <c r="J1491" s="66"/>
      <c r="K1491" s="66"/>
      <c r="L1491" s="66"/>
      <c r="M1491" s="70"/>
      <c r="N1491" s="71"/>
      <c r="W1491" s="22"/>
    </row>
    <row r="1492" spans="1:23" ht="14.5">
      <c r="A1492" s="63"/>
      <c r="B1492" s="64"/>
      <c r="C1492" s="65"/>
      <c r="D1492" s="66"/>
      <c r="E1492" s="67"/>
      <c r="F1492" s="68"/>
      <c r="G1492" s="68"/>
      <c r="H1492" s="66"/>
      <c r="I1492" s="69"/>
      <c r="J1492" s="66"/>
      <c r="K1492" s="66"/>
      <c r="L1492" s="66"/>
      <c r="M1492" s="70"/>
      <c r="N1492" s="71"/>
      <c r="W1492" s="22"/>
    </row>
    <row r="1493" spans="1:23" ht="14.5">
      <c r="A1493" s="63"/>
      <c r="B1493" s="64"/>
      <c r="C1493" s="65"/>
      <c r="D1493" s="66"/>
      <c r="E1493" s="67"/>
      <c r="F1493" s="68"/>
      <c r="G1493" s="68"/>
      <c r="H1493" s="66"/>
      <c r="I1493" s="69"/>
      <c r="J1493" s="66"/>
      <c r="K1493" s="66"/>
      <c r="L1493" s="66"/>
      <c r="M1493" s="70"/>
      <c r="N1493" s="71"/>
      <c r="W1493" s="22"/>
    </row>
    <row r="1494" spans="1:23" ht="14.5">
      <c r="A1494" s="63"/>
      <c r="B1494" s="64"/>
      <c r="C1494" s="65"/>
      <c r="D1494" s="66"/>
      <c r="E1494" s="67"/>
      <c r="F1494" s="68"/>
      <c r="G1494" s="68"/>
      <c r="H1494" s="66"/>
      <c r="I1494" s="69"/>
      <c r="J1494" s="66"/>
      <c r="K1494" s="66"/>
      <c r="L1494" s="66"/>
      <c r="M1494" s="70"/>
      <c r="N1494" s="71"/>
      <c r="W1494" s="22"/>
    </row>
    <row r="1495" spans="1:23" ht="14.5">
      <c r="A1495" s="63"/>
      <c r="B1495" s="64"/>
      <c r="C1495" s="65"/>
      <c r="D1495" s="66"/>
      <c r="E1495" s="67"/>
      <c r="F1495" s="68"/>
      <c r="G1495" s="68"/>
      <c r="H1495" s="66"/>
      <c r="I1495" s="69"/>
      <c r="J1495" s="66"/>
      <c r="K1495" s="66"/>
      <c r="L1495" s="66"/>
      <c r="M1495" s="70"/>
      <c r="N1495" s="71"/>
      <c r="W1495" s="22"/>
    </row>
    <row r="1496" spans="1:23" ht="14.5">
      <c r="A1496" s="63"/>
      <c r="B1496" s="64"/>
      <c r="C1496" s="65"/>
      <c r="D1496" s="66"/>
      <c r="E1496" s="67"/>
      <c r="F1496" s="68"/>
      <c r="G1496" s="68"/>
      <c r="H1496" s="66"/>
      <c r="I1496" s="69"/>
      <c r="J1496" s="66"/>
      <c r="K1496" s="66"/>
      <c r="L1496" s="66"/>
      <c r="M1496" s="70"/>
      <c r="N1496" s="71"/>
      <c r="W1496" s="22"/>
    </row>
    <row r="1497" spans="1:23" ht="14.5">
      <c r="A1497" s="63"/>
      <c r="B1497" s="64"/>
      <c r="C1497" s="65"/>
      <c r="D1497" s="66"/>
      <c r="E1497" s="67"/>
      <c r="F1497" s="68"/>
      <c r="G1497" s="68"/>
      <c r="H1497" s="66"/>
      <c r="I1497" s="69"/>
      <c r="J1497" s="66"/>
      <c r="K1497" s="66"/>
      <c r="L1497" s="66"/>
      <c r="M1497" s="70"/>
      <c r="N1497" s="71"/>
      <c r="W1497" s="22"/>
    </row>
    <row r="1498" spans="1:23" ht="14.5">
      <c r="A1498" s="63"/>
      <c r="B1498" s="64"/>
      <c r="C1498" s="65"/>
      <c r="D1498" s="66"/>
      <c r="E1498" s="67"/>
      <c r="F1498" s="68"/>
      <c r="G1498" s="68"/>
      <c r="H1498" s="66"/>
      <c r="I1498" s="69"/>
      <c r="J1498" s="66"/>
      <c r="K1498" s="66"/>
      <c r="L1498" s="66"/>
      <c r="M1498" s="70"/>
      <c r="N1498" s="71"/>
      <c r="W1498" s="22"/>
    </row>
    <row r="1499" spans="1:23" ht="14.5">
      <c r="A1499" s="63"/>
      <c r="B1499" s="64"/>
      <c r="C1499" s="65"/>
      <c r="D1499" s="66"/>
      <c r="E1499" s="67"/>
      <c r="F1499" s="68"/>
      <c r="G1499" s="68"/>
      <c r="H1499" s="66"/>
      <c r="I1499" s="69"/>
      <c r="J1499" s="66"/>
      <c r="K1499" s="66"/>
      <c r="L1499" s="66"/>
      <c r="M1499" s="70"/>
      <c r="N1499" s="71"/>
      <c r="W1499" s="22"/>
    </row>
    <row r="1500" spans="1:23" ht="14.5">
      <c r="A1500" s="63"/>
      <c r="B1500" s="64"/>
      <c r="C1500" s="65"/>
      <c r="D1500" s="66"/>
      <c r="E1500" s="67"/>
      <c r="F1500" s="68"/>
      <c r="G1500" s="68"/>
      <c r="H1500" s="66"/>
      <c r="I1500" s="69"/>
      <c r="J1500" s="66"/>
      <c r="K1500" s="66"/>
      <c r="L1500" s="66"/>
      <c r="M1500" s="70"/>
      <c r="N1500" s="71"/>
      <c r="W1500" s="22"/>
    </row>
    <row r="1501" spans="1:23" ht="14.5">
      <c r="A1501" s="63"/>
      <c r="B1501" s="64"/>
      <c r="C1501" s="65"/>
      <c r="D1501" s="66"/>
      <c r="E1501" s="67"/>
      <c r="F1501" s="68"/>
      <c r="G1501" s="68"/>
      <c r="H1501" s="66"/>
      <c r="I1501" s="69"/>
      <c r="J1501" s="66"/>
      <c r="K1501" s="66"/>
      <c r="L1501" s="66"/>
      <c r="M1501" s="70"/>
      <c r="N1501" s="71"/>
      <c r="W1501" s="22"/>
    </row>
    <row r="1502" spans="1:23" ht="14.5">
      <c r="A1502" s="63"/>
      <c r="B1502" s="64"/>
      <c r="C1502" s="65"/>
      <c r="D1502" s="66"/>
      <c r="E1502" s="67"/>
      <c r="F1502" s="68"/>
      <c r="G1502" s="68"/>
      <c r="H1502" s="66"/>
      <c r="I1502" s="69"/>
      <c r="J1502" s="66"/>
      <c r="K1502" s="66"/>
      <c r="L1502" s="66"/>
      <c r="M1502" s="70"/>
      <c r="N1502" s="71"/>
      <c r="W1502" s="22"/>
    </row>
    <row r="1503" spans="1:23" ht="14.5">
      <c r="A1503" s="63"/>
      <c r="B1503" s="64"/>
      <c r="C1503" s="65"/>
      <c r="D1503" s="66"/>
      <c r="E1503" s="67"/>
      <c r="F1503" s="68"/>
      <c r="G1503" s="68"/>
      <c r="H1503" s="66"/>
      <c r="I1503" s="69"/>
      <c r="J1503" s="66"/>
      <c r="K1503" s="66"/>
      <c r="L1503" s="66"/>
      <c r="M1503" s="70"/>
      <c r="N1503" s="71"/>
      <c r="W1503" s="22"/>
    </row>
    <row r="1504" spans="1:23" ht="14.5">
      <c r="A1504" s="63"/>
      <c r="B1504" s="64"/>
      <c r="C1504" s="65"/>
      <c r="D1504" s="66"/>
      <c r="E1504" s="67"/>
      <c r="F1504" s="68"/>
      <c r="G1504" s="68"/>
      <c r="H1504" s="66"/>
      <c r="I1504" s="69"/>
      <c r="J1504" s="66"/>
      <c r="K1504" s="66"/>
      <c r="L1504" s="66"/>
      <c r="M1504" s="70"/>
      <c r="N1504" s="71"/>
      <c r="W1504" s="22"/>
    </row>
    <row r="1505" spans="1:23" ht="14.5">
      <c r="A1505" s="63"/>
      <c r="B1505" s="64"/>
      <c r="C1505" s="65"/>
      <c r="D1505" s="66"/>
      <c r="E1505" s="67"/>
      <c r="F1505" s="68"/>
      <c r="G1505" s="68"/>
      <c r="H1505" s="66"/>
      <c r="I1505" s="69"/>
      <c r="J1505" s="66"/>
      <c r="K1505" s="66"/>
      <c r="L1505" s="66"/>
      <c r="M1505" s="70"/>
      <c r="N1505" s="71"/>
      <c r="W1505" s="22"/>
    </row>
    <row r="1506" spans="1:23" ht="14.5">
      <c r="A1506" s="63"/>
      <c r="B1506" s="64"/>
      <c r="C1506" s="65"/>
      <c r="D1506" s="66"/>
      <c r="E1506" s="67"/>
      <c r="F1506" s="68"/>
      <c r="G1506" s="68"/>
      <c r="H1506" s="66"/>
      <c r="I1506" s="69"/>
      <c r="J1506" s="66"/>
      <c r="K1506" s="66"/>
      <c r="L1506" s="66"/>
      <c r="M1506" s="70"/>
      <c r="N1506" s="71"/>
      <c r="W1506" s="22"/>
    </row>
    <row r="1507" spans="1:23" ht="14.5">
      <c r="A1507" s="63"/>
      <c r="B1507" s="64"/>
      <c r="C1507" s="65"/>
      <c r="D1507" s="66"/>
      <c r="E1507" s="67"/>
      <c r="F1507" s="68"/>
      <c r="G1507" s="68"/>
      <c r="H1507" s="66"/>
      <c r="I1507" s="69"/>
      <c r="J1507" s="66"/>
      <c r="K1507" s="66"/>
      <c r="L1507" s="66"/>
      <c r="M1507" s="70"/>
      <c r="N1507" s="71"/>
      <c r="W1507" s="22"/>
    </row>
    <row r="1508" spans="1:23" ht="14.5">
      <c r="A1508" s="63"/>
      <c r="B1508" s="64"/>
      <c r="C1508" s="65"/>
      <c r="D1508" s="66"/>
      <c r="E1508" s="67"/>
      <c r="F1508" s="68"/>
      <c r="G1508" s="68"/>
      <c r="H1508" s="66"/>
      <c r="I1508" s="69"/>
      <c r="J1508" s="66"/>
      <c r="K1508" s="66"/>
      <c r="L1508" s="66"/>
      <c r="M1508" s="70"/>
      <c r="N1508" s="71"/>
      <c r="W1508" s="22"/>
    </row>
    <row r="1509" spans="1:23" ht="14.5">
      <c r="A1509" s="63"/>
      <c r="B1509" s="64"/>
      <c r="C1509" s="65"/>
      <c r="D1509" s="66"/>
      <c r="E1509" s="67"/>
      <c r="F1509" s="68"/>
      <c r="G1509" s="68"/>
      <c r="H1509" s="66"/>
      <c r="I1509" s="69"/>
      <c r="J1509" s="66"/>
      <c r="K1509" s="66"/>
      <c r="L1509" s="66"/>
      <c r="M1509" s="70"/>
      <c r="N1509" s="71"/>
      <c r="W1509" s="22"/>
    </row>
    <row r="1510" spans="1:23" ht="14.5">
      <c r="A1510" s="63"/>
      <c r="B1510" s="64"/>
      <c r="C1510" s="65"/>
      <c r="D1510" s="66"/>
      <c r="E1510" s="67"/>
      <c r="F1510" s="68"/>
      <c r="G1510" s="68"/>
      <c r="H1510" s="66"/>
      <c r="I1510" s="69"/>
      <c r="J1510" s="66"/>
      <c r="K1510" s="66"/>
      <c r="L1510" s="66"/>
      <c r="M1510" s="70"/>
      <c r="N1510" s="71"/>
      <c r="W1510" s="22"/>
    </row>
    <row r="1511" spans="1:23" ht="14.5">
      <c r="A1511" s="63"/>
      <c r="B1511" s="64"/>
      <c r="C1511" s="65"/>
      <c r="D1511" s="66"/>
      <c r="E1511" s="67"/>
      <c r="F1511" s="68"/>
      <c r="G1511" s="68"/>
      <c r="H1511" s="66"/>
      <c r="I1511" s="69"/>
      <c r="J1511" s="66"/>
      <c r="K1511" s="66"/>
      <c r="L1511" s="66"/>
      <c r="M1511" s="70"/>
      <c r="N1511" s="71"/>
      <c r="W1511" s="22"/>
    </row>
    <row r="1512" spans="1:23" ht="14.5">
      <c r="A1512" s="63"/>
      <c r="B1512" s="64"/>
      <c r="C1512" s="65"/>
      <c r="D1512" s="66"/>
      <c r="E1512" s="67"/>
      <c r="F1512" s="68"/>
      <c r="G1512" s="68"/>
      <c r="H1512" s="66"/>
      <c r="I1512" s="69"/>
      <c r="J1512" s="66"/>
      <c r="K1512" s="66"/>
      <c r="L1512" s="66"/>
      <c r="M1512" s="70"/>
      <c r="N1512" s="71"/>
      <c r="W1512" s="22"/>
    </row>
    <row r="1513" spans="1:23" ht="14.5">
      <c r="A1513" s="63"/>
      <c r="B1513" s="64"/>
      <c r="C1513" s="65"/>
      <c r="D1513" s="66"/>
      <c r="E1513" s="67"/>
      <c r="F1513" s="68"/>
      <c r="G1513" s="68"/>
      <c r="H1513" s="66"/>
      <c r="I1513" s="69"/>
      <c r="J1513" s="66"/>
      <c r="K1513" s="66"/>
      <c r="L1513" s="66"/>
      <c r="M1513" s="70"/>
      <c r="N1513" s="71"/>
      <c r="W1513" s="22"/>
    </row>
    <row r="1514" spans="1:23" ht="14.5">
      <c r="A1514" s="63"/>
      <c r="B1514" s="64"/>
      <c r="C1514" s="65"/>
      <c r="D1514" s="66"/>
      <c r="E1514" s="67"/>
      <c r="F1514" s="68"/>
      <c r="G1514" s="68"/>
      <c r="H1514" s="66"/>
      <c r="I1514" s="69"/>
      <c r="J1514" s="66"/>
      <c r="K1514" s="66"/>
      <c r="L1514" s="66"/>
      <c r="M1514" s="70"/>
      <c r="N1514" s="71"/>
      <c r="W1514" s="22"/>
    </row>
    <row r="1515" spans="1:23" ht="14.5">
      <c r="A1515" s="63"/>
      <c r="B1515" s="64"/>
      <c r="C1515" s="65"/>
      <c r="D1515" s="66"/>
      <c r="E1515" s="67"/>
      <c r="F1515" s="68"/>
      <c r="G1515" s="68"/>
      <c r="H1515" s="66"/>
      <c r="I1515" s="69"/>
      <c r="J1515" s="66"/>
      <c r="K1515" s="66"/>
      <c r="L1515" s="66"/>
      <c r="M1515" s="70"/>
      <c r="N1515" s="71"/>
      <c r="W1515" s="22"/>
    </row>
    <row r="1516" spans="1:23" ht="14.5">
      <c r="A1516" s="63"/>
      <c r="B1516" s="64"/>
      <c r="C1516" s="65"/>
      <c r="D1516" s="66"/>
      <c r="E1516" s="67"/>
      <c r="F1516" s="68"/>
      <c r="G1516" s="68"/>
      <c r="H1516" s="66"/>
      <c r="I1516" s="69"/>
      <c r="J1516" s="66"/>
      <c r="K1516" s="66"/>
      <c r="L1516" s="66"/>
      <c r="M1516" s="70"/>
      <c r="N1516" s="71"/>
      <c r="W1516" s="22"/>
    </row>
    <row r="1517" spans="1:23" ht="14.5">
      <c r="A1517" s="63"/>
      <c r="B1517" s="64"/>
      <c r="C1517" s="65"/>
      <c r="D1517" s="66"/>
      <c r="E1517" s="67"/>
      <c r="F1517" s="68"/>
      <c r="G1517" s="68"/>
      <c r="H1517" s="66"/>
      <c r="I1517" s="69"/>
      <c r="J1517" s="66"/>
      <c r="K1517" s="66"/>
      <c r="L1517" s="66"/>
      <c r="M1517" s="70"/>
      <c r="N1517" s="71"/>
      <c r="W1517" s="22"/>
    </row>
    <row r="1518" spans="1:23" ht="14.5">
      <c r="A1518" s="63"/>
      <c r="B1518" s="64"/>
      <c r="C1518" s="65"/>
      <c r="D1518" s="66"/>
      <c r="E1518" s="67"/>
      <c r="F1518" s="68"/>
      <c r="G1518" s="68"/>
      <c r="H1518" s="66"/>
      <c r="I1518" s="69"/>
      <c r="J1518" s="66"/>
      <c r="K1518" s="66"/>
      <c r="L1518" s="66"/>
      <c r="M1518" s="70"/>
      <c r="N1518" s="71"/>
      <c r="W1518" s="22"/>
    </row>
    <row r="1519" spans="1:23" ht="14.5">
      <c r="A1519" s="63"/>
      <c r="B1519" s="64"/>
      <c r="C1519" s="65"/>
      <c r="D1519" s="66"/>
      <c r="E1519" s="67"/>
      <c r="F1519" s="68"/>
      <c r="G1519" s="68"/>
      <c r="H1519" s="66"/>
      <c r="I1519" s="69"/>
      <c r="J1519" s="66"/>
      <c r="K1519" s="66"/>
      <c r="L1519" s="66"/>
      <c r="M1519" s="70"/>
      <c r="N1519" s="71"/>
      <c r="W1519" s="22"/>
    </row>
    <row r="1520" spans="1:23" ht="14.5">
      <c r="A1520" s="63"/>
      <c r="B1520" s="64"/>
      <c r="C1520" s="65"/>
      <c r="D1520" s="66"/>
      <c r="E1520" s="67"/>
      <c r="F1520" s="68"/>
      <c r="G1520" s="68"/>
      <c r="H1520" s="66"/>
      <c r="I1520" s="69"/>
      <c r="J1520" s="66"/>
      <c r="K1520" s="66"/>
      <c r="L1520" s="66"/>
      <c r="M1520" s="70"/>
      <c r="N1520" s="71"/>
      <c r="W1520" s="22"/>
    </row>
    <row r="1521" spans="1:23" ht="14.5">
      <c r="A1521" s="63"/>
      <c r="B1521" s="64"/>
      <c r="C1521" s="65"/>
      <c r="D1521" s="66"/>
      <c r="E1521" s="67"/>
      <c r="F1521" s="68"/>
      <c r="G1521" s="68"/>
      <c r="H1521" s="66"/>
      <c r="I1521" s="69"/>
      <c r="J1521" s="66"/>
      <c r="K1521" s="66"/>
      <c r="L1521" s="66"/>
      <c r="M1521" s="70"/>
      <c r="N1521" s="71"/>
      <c r="W1521" s="22"/>
    </row>
    <row r="1522" spans="1:23" ht="14.5">
      <c r="A1522" s="63"/>
      <c r="B1522" s="64"/>
      <c r="C1522" s="65"/>
      <c r="D1522" s="66"/>
      <c r="E1522" s="67"/>
      <c r="F1522" s="68"/>
      <c r="G1522" s="68"/>
      <c r="H1522" s="66"/>
      <c r="I1522" s="69"/>
      <c r="J1522" s="66"/>
      <c r="K1522" s="66"/>
      <c r="L1522" s="66"/>
      <c r="M1522" s="70"/>
      <c r="N1522" s="71"/>
      <c r="W1522" s="22"/>
    </row>
    <row r="1523" spans="1:23" ht="14.5">
      <c r="A1523" s="63"/>
      <c r="B1523" s="64"/>
      <c r="C1523" s="65"/>
      <c r="D1523" s="66"/>
      <c r="E1523" s="67"/>
      <c r="F1523" s="68"/>
      <c r="G1523" s="68"/>
      <c r="H1523" s="66"/>
      <c r="I1523" s="69"/>
      <c r="J1523" s="66"/>
      <c r="K1523" s="66"/>
      <c r="L1523" s="66"/>
      <c r="M1523" s="70"/>
      <c r="N1523" s="71"/>
      <c r="W1523" s="22"/>
    </row>
    <row r="1524" spans="1:23" ht="14.5">
      <c r="A1524" s="63"/>
      <c r="B1524" s="64"/>
      <c r="C1524" s="65"/>
      <c r="D1524" s="66"/>
      <c r="E1524" s="67"/>
      <c r="F1524" s="68"/>
      <c r="G1524" s="68"/>
      <c r="H1524" s="66"/>
      <c r="I1524" s="69"/>
      <c r="J1524" s="66"/>
      <c r="K1524" s="66"/>
      <c r="L1524" s="66"/>
      <c r="M1524" s="70"/>
      <c r="N1524" s="71"/>
      <c r="W1524" s="22"/>
    </row>
    <row r="1525" spans="1:23" ht="14.5">
      <c r="A1525" s="63"/>
      <c r="B1525" s="64"/>
      <c r="C1525" s="65"/>
      <c r="D1525" s="66"/>
      <c r="E1525" s="67"/>
      <c r="F1525" s="68"/>
      <c r="G1525" s="68"/>
      <c r="H1525" s="66"/>
      <c r="I1525" s="69"/>
      <c r="J1525" s="66"/>
      <c r="K1525" s="66"/>
      <c r="L1525" s="66"/>
      <c r="M1525" s="70"/>
      <c r="N1525" s="71"/>
      <c r="W1525" s="22"/>
    </row>
    <row r="1526" spans="1:23" ht="14.5">
      <c r="A1526" s="63"/>
      <c r="B1526" s="64"/>
      <c r="C1526" s="65"/>
      <c r="D1526" s="66"/>
      <c r="E1526" s="67"/>
      <c r="F1526" s="68"/>
      <c r="G1526" s="68"/>
      <c r="H1526" s="66"/>
      <c r="I1526" s="69"/>
      <c r="J1526" s="66"/>
      <c r="K1526" s="66"/>
      <c r="L1526" s="66"/>
      <c r="M1526" s="70"/>
      <c r="N1526" s="71"/>
      <c r="W1526" s="22"/>
    </row>
    <row r="1527" spans="1:23" ht="14.5">
      <c r="A1527" s="63"/>
      <c r="B1527" s="64"/>
      <c r="C1527" s="65"/>
      <c r="D1527" s="66"/>
      <c r="E1527" s="67"/>
      <c r="F1527" s="68"/>
      <c r="G1527" s="68"/>
      <c r="H1527" s="66"/>
      <c r="I1527" s="69"/>
      <c r="J1527" s="66"/>
      <c r="K1527" s="66"/>
      <c r="L1527" s="66"/>
      <c r="M1527" s="70"/>
      <c r="N1527" s="71"/>
      <c r="W1527" s="22"/>
    </row>
    <row r="1528" spans="1:23" ht="14.5">
      <c r="A1528" s="63"/>
      <c r="B1528" s="64"/>
      <c r="C1528" s="65"/>
      <c r="D1528" s="66"/>
      <c r="E1528" s="67"/>
      <c r="F1528" s="68"/>
      <c r="G1528" s="68"/>
      <c r="H1528" s="66"/>
      <c r="I1528" s="69"/>
      <c r="J1528" s="66"/>
      <c r="K1528" s="66"/>
      <c r="L1528" s="66"/>
      <c r="M1528" s="70"/>
      <c r="N1528" s="71"/>
      <c r="W1528" s="22"/>
    </row>
    <row r="1529" spans="1:23" ht="14.5">
      <c r="A1529" s="63"/>
      <c r="B1529" s="64"/>
      <c r="C1529" s="65"/>
      <c r="D1529" s="66"/>
      <c r="E1529" s="67"/>
      <c r="F1529" s="68"/>
      <c r="G1529" s="68"/>
      <c r="H1529" s="66"/>
      <c r="I1529" s="69"/>
      <c r="J1529" s="66"/>
      <c r="K1529" s="66"/>
      <c r="L1529" s="66"/>
      <c r="M1529" s="70"/>
      <c r="N1529" s="71"/>
      <c r="W1529" s="22"/>
    </row>
    <row r="1530" spans="1:23" ht="14.5">
      <c r="A1530" s="63"/>
      <c r="B1530" s="64"/>
      <c r="C1530" s="65"/>
      <c r="D1530" s="66"/>
      <c r="E1530" s="67"/>
      <c r="F1530" s="68"/>
      <c r="G1530" s="68"/>
      <c r="H1530" s="66"/>
      <c r="I1530" s="69"/>
      <c r="J1530" s="66"/>
      <c r="K1530" s="66"/>
      <c r="L1530" s="66"/>
      <c r="M1530" s="70"/>
      <c r="N1530" s="71"/>
      <c r="W1530" s="22"/>
    </row>
    <row r="1531" spans="1:23" ht="14.5">
      <c r="A1531" s="63"/>
      <c r="B1531" s="64"/>
      <c r="C1531" s="65"/>
      <c r="D1531" s="66"/>
      <c r="E1531" s="67"/>
      <c r="F1531" s="68"/>
      <c r="G1531" s="68"/>
      <c r="H1531" s="66"/>
      <c r="I1531" s="69"/>
      <c r="J1531" s="66"/>
      <c r="K1531" s="66"/>
      <c r="L1531" s="66"/>
      <c r="M1531" s="70"/>
      <c r="N1531" s="71"/>
      <c r="W1531" s="22"/>
    </row>
    <row r="1532" spans="1:23" ht="14.5">
      <c r="A1532" s="63"/>
      <c r="B1532" s="64"/>
      <c r="C1532" s="65"/>
      <c r="D1532" s="66"/>
      <c r="E1532" s="67"/>
      <c r="F1532" s="68"/>
      <c r="G1532" s="68"/>
      <c r="H1532" s="66"/>
      <c r="I1532" s="69"/>
      <c r="J1532" s="66"/>
      <c r="K1532" s="66"/>
      <c r="L1532" s="66"/>
      <c r="M1532" s="70"/>
      <c r="N1532" s="71"/>
      <c r="W1532" s="22"/>
    </row>
    <row r="1533" spans="1:23" ht="14.5">
      <c r="A1533" s="63"/>
      <c r="B1533" s="64"/>
      <c r="C1533" s="65"/>
      <c r="D1533" s="66"/>
      <c r="E1533" s="67"/>
      <c r="F1533" s="68"/>
      <c r="G1533" s="68"/>
      <c r="H1533" s="66"/>
      <c r="I1533" s="69"/>
      <c r="J1533" s="66"/>
      <c r="K1533" s="66"/>
      <c r="L1533" s="66"/>
      <c r="M1533" s="70"/>
      <c r="N1533" s="71"/>
      <c r="W1533" s="22"/>
    </row>
    <row r="1534" spans="1:23" ht="14.5">
      <c r="A1534" s="63"/>
      <c r="B1534" s="64"/>
      <c r="C1534" s="65"/>
      <c r="D1534" s="66"/>
      <c r="E1534" s="67"/>
      <c r="F1534" s="68"/>
      <c r="G1534" s="68"/>
      <c r="H1534" s="66"/>
      <c r="I1534" s="69"/>
      <c r="J1534" s="66"/>
      <c r="K1534" s="66"/>
      <c r="L1534" s="66"/>
      <c r="M1534" s="70"/>
      <c r="N1534" s="71"/>
      <c r="W1534" s="22"/>
    </row>
    <row r="1535" spans="1:23" ht="14.5">
      <c r="A1535" s="63"/>
      <c r="B1535" s="64"/>
      <c r="C1535" s="65"/>
      <c r="D1535" s="66"/>
      <c r="E1535" s="67"/>
      <c r="F1535" s="68"/>
      <c r="G1535" s="68"/>
      <c r="H1535" s="66"/>
      <c r="I1535" s="69"/>
      <c r="J1535" s="66"/>
      <c r="K1535" s="66"/>
      <c r="L1535" s="66"/>
      <c r="M1535" s="70"/>
      <c r="N1535" s="71"/>
      <c r="W1535" s="22"/>
    </row>
    <row r="1536" spans="1:23" ht="14.5">
      <c r="A1536" s="63"/>
      <c r="B1536" s="64"/>
      <c r="C1536" s="65"/>
      <c r="D1536" s="66"/>
      <c r="E1536" s="67"/>
      <c r="F1536" s="68"/>
      <c r="G1536" s="68"/>
      <c r="H1536" s="66"/>
      <c r="I1536" s="69"/>
      <c r="J1536" s="66"/>
      <c r="K1536" s="66"/>
      <c r="L1536" s="66"/>
      <c r="M1536" s="70"/>
      <c r="N1536" s="71"/>
      <c r="W1536" s="22"/>
    </row>
    <row r="1537" spans="1:23" ht="14.5">
      <c r="A1537" s="63"/>
      <c r="B1537" s="64"/>
      <c r="C1537" s="65"/>
      <c r="D1537" s="66"/>
      <c r="E1537" s="67"/>
      <c r="F1537" s="68"/>
      <c r="G1537" s="68"/>
      <c r="H1537" s="66"/>
      <c r="I1537" s="69"/>
      <c r="J1537" s="66"/>
      <c r="K1537" s="66"/>
      <c r="L1537" s="66"/>
      <c r="M1537" s="70"/>
      <c r="N1537" s="71"/>
      <c r="W1537" s="22"/>
    </row>
    <row r="1538" spans="1:23" ht="14.5">
      <c r="A1538" s="63"/>
      <c r="B1538" s="64"/>
      <c r="C1538" s="65"/>
      <c r="D1538" s="66"/>
      <c r="E1538" s="67"/>
      <c r="F1538" s="68"/>
      <c r="G1538" s="68"/>
      <c r="H1538" s="66"/>
      <c r="I1538" s="69"/>
      <c r="J1538" s="66"/>
      <c r="K1538" s="66"/>
      <c r="L1538" s="66"/>
      <c r="M1538" s="70"/>
      <c r="N1538" s="71"/>
      <c r="W1538" s="22"/>
    </row>
    <row r="1539" spans="1:23" ht="14.5">
      <c r="A1539" s="63"/>
      <c r="B1539" s="64"/>
      <c r="C1539" s="65"/>
      <c r="D1539" s="66"/>
      <c r="E1539" s="67"/>
      <c r="F1539" s="68"/>
      <c r="G1539" s="68"/>
      <c r="H1539" s="66"/>
      <c r="I1539" s="69"/>
      <c r="J1539" s="66"/>
      <c r="K1539" s="66"/>
      <c r="L1539" s="66"/>
      <c r="M1539" s="70"/>
      <c r="N1539" s="71"/>
      <c r="W1539" s="22"/>
    </row>
    <row r="1540" spans="1:23" ht="14.5">
      <c r="A1540" s="63"/>
      <c r="B1540" s="64"/>
      <c r="C1540" s="65"/>
      <c r="D1540" s="66"/>
      <c r="E1540" s="67"/>
      <c r="F1540" s="68"/>
      <c r="G1540" s="68"/>
      <c r="H1540" s="66"/>
      <c r="I1540" s="69"/>
      <c r="J1540" s="66"/>
      <c r="K1540" s="66"/>
      <c r="L1540" s="66"/>
      <c r="M1540" s="70"/>
      <c r="N1540" s="71"/>
      <c r="W1540" s="22"/>
    </row>
    <row r="1541" spans="1:23" ht="14.5">
      <c r="A1541" s="63"/>
      <c r="B1541" s="64"/>
      <c r="C1541" s="65"/>
      <c r="D1541" s="66"/>
      <c r="E1541" s="67"/>
      <c r="F1541" s="68"/>
      <c r="G1541" s="68"/>
      <c r="H1541" s="66"/>
      <c r="I1541" s="69"/>
      <c r="J1541" s="66"/>
      <c r="K1541" s="66"/>
      <c r="L1541" s="66"/>
      <c r="M1541" s="70"/>
      <c r="N1541" s="71"/>
      <c r="W1541" s="22"/>
    </row>
    <row r="1542" spans="1:23" ht="14.5">
      <c r="A1542" s="63"/>
      <c r="B1542" s="64"/>
      <c r="C1542" s="65"/>
      <c r="D1542" s="66"/>
      <c r="E1542" s="67"/>
      <c r="F1542" s="68"/>
      <c r="G1542" s="68"/>
      <c r="H1542" s="66"/>
      <c r="I1542" s="69"/>
      <c r="J1542" s="66"/>
      <c r="K1542" s="66"/>
      <c r="L1542" s="66"/>
      <c r="M1542" s="70"/>
      <c r="N1542" s="71"/>
      <c r="W1542" s="22"/>
    </row>
    <row r="1543" spans="1:23" ht="14.5">
      <c r="A1543" s="63"/>
      <c r="B1543" s="64"/>
      <c r="C1543" s="65"/>
      <c r="D1543" s="66"/>
      <c r="E1543" s="67"/>
      <c r="F1543" s="68"/>
      <c r="G1543" s="68"/>
      <c r="H1543" s="66"/>
      <c r="I1543" s="69"/>
      <c r="J1543" s="66"/>
      <c r="K1543" s="66"/>
      <c r="L1543" s="66"/>
      <c r="M1543" s="70"/>
      <c r="N1543" s="71"/>
      <c r="W1543" s="22"/>
    </row>
    <row r="1544" spans="1:23" ht="14.5">
      <c r="A1544" s="63"/>
      <c r="B1544" s="64"/>
      <c r="C1544" s="65"/>
      <c r="D1544" s="66"/>
      <c r="E1544" s="67"/>
      <c r="F1544" s="68"/>
      <c r="G1544" s="68"/>
      <c r="H1544" s="66"/>
      <c r="I1544" s="69"/>
      <c r="J1544" s="66"/>
      <c r="K1544" s="66"/>
      <c r="L1544" s="66"/>
      <c r="M1544" s="70"/>
      <c r="N1544" s="71"/>
      <c r="W1544" s="22"/>
    </row>
    <row r="1545" spans="1:23" ht="14.5">
      <c r="A1545" s="63"/>
      <c r="B1545" s="64"/>
      <c r="C1545" s="65"/>
      <c r="D1545" s="66"/>
      <c r="E1545" s="67"/>
      <c r="F1545" s="68"/>
      <c r="G1545" s="68"/>
      <c r="H1545" s="66"/>
      <c r="I1545" s="69"/>
      <c r="J1545" s="66"/>
      <c r="K1545" s="66"/>
      <c r="L1545" s="66"/>
      <c r="M1545" s="70"/>
      <c r="N1545" s="71"/>
      <c r="W1545" s="22"/>
    </row>
    <row r="1546" spans="1:23" ht="14.5">
      <c r="A1546" s="63"/>
      <c r="B1546" s="64"/>
      <c r="C1546" s="65"/>
      <c r="D1546" s="66"/>
      <c r="E1546" s="67"/>
      <c r="F1546" s="68"/>
      <c r="G1546" s="68"/>
      <c r="H1546" s="66"/>
      <c r="I1546" s="69"/>
      <c r="J1546" s="66"/>
      <c r="K1546" s="66"/>
      <c r="L1546" s="66"/>
      <c r="M1546" s="70"/>
      <c r="N1546" s="71"/>
      <c r="W1546" s="22"/>
    </row>
    <row r="1547" spans="1:23" ht="14.5">
      <c r="A1547" s="63"/>
      <c r="B1547" s="64"/>
      <c r="C1547" s="65"/>
      <c r="D1547" s="66"/>
      <c r="E1547" s="67"/>
      <c r="F1547" s="68"/>
      <c r="G1547" s="68"/>
      <c r="H1547" s="66"/>
      <c r="I1547" s="69"/>
      <c r="J1547" s="66"/>
      <c r="K1547" s="66"/>
      <c r="L1547" s="66"/>
      <c r="M1547" s="70"/>
      <c r="N1547" s="71"/>
      <c r="W1547" s="22"/>
    </row>
    <row r="1548" spans="1:23" ht="14.5">
      <c r="A1548" s="63"/>
      <c r="B1548" s="64"/>
      <c r="C1548" s="65"/>
      <c r="D1548" s="66"/>
      <c r="E1548" s="67"/>
      <c r="F1548" s="68"/>
      <c r="G1548" s="68"/>
      <c r="H1548" s="66"/>
      <c r="I1548" s="69"/>
      <c r="J1548" s="66"/>
      <c r="K1548" s="66"/>
      <c r="L1548" s="66"/>
      <c r="M1548" s="70"/>
      <c r="N1548" s="71"/>
      <c r="W1548" s="22"/>
    </row>
    <row r="1549" spans="1:23" ht="14.5">
      <c r="A1549" s="63"/>
      <c r="B1549" s="64"/>
      <c r="C1549" s="65"/>
      <c r="D1549" s="66"/>
      <c r="E1549" s="67"/>
      <c r="F1549" s="68"/>
      <c r="G1549" s="68"/>
      <c r="H1549" s="66"/>
      <c r="I1549" s="69"/>
      <c r="J1549" s="66"/>
      <c r="K1549" s="66"/>
      <c r="L1549" s="66"/>
      <c r="M1549" s="70"/>
      <c r="N1549" s="71"/>
      <c r="W1549" s="22"/>
    </row>
    <row r="1550" spans="1:23" ht="14.5">
      <c r="A1550" s="63"/>
      <c r="B1550" s="64"/>
      <c r="C1550" s="65"/>
      <c r="D1550" s="66"/>
      <c r="E1550" s="67"/>
      <c r="F1550" s="68"/>
      <c r="G1550" s="68"/>
      <c r="H1550" s="66"/>
      <c r="I1550" s="69"/>
      <c r="J1550" s="66"/>
      <c r="K1550" s="66"/>
      <c r="L1550" s="66"/>
      <c r="M1550" s="70"/>
      <c r="N1550" s="71"/>
      <c r="W1550" s="22"/>
    </row>
    <row r="1551" spans="1:23" ht="14.5">
      <c r="A1551" s="63"/>
      <c r="B1551" s="64"/>
      <c r="C1551" s="65"/>
      <c r="D1551" s="66"/>
      <c r="E1551" s="67"/>
      <c r="F1551" s="68"/>
      <c r="G1551" s="68"/>
      <c r="H1551" s="66"/>
      <c r="I1551" s="69"/>
      <c r="J1551" s="66"/>
      <c r="K1551" s="66"/>
      <c r="L1551" s="66"/>
      <c r="M1551" s="70"/>
      <c r="N1551" s="71"/>
      <c r="W1551" s="22"/>
    </row>
    <row r="1552" spans="1:23" ht="14.5">
      <c r="A1552" s="63"/>
      <c r="B1552" s="64"/>
      <c r="C1552" s="65"/>
      <c r="D1552" s="66"/>
      <c r="E1552" s="67"/>
      <c r="F1552" s="68"/>
      <c r="G1552" s="68"/>
      <c r="H1552" s="66"/>
      <c r="I1552" s="69"/>
      <c r="J1552" s="66"/>
      <c r="K1552" s="66"/>
      <c r="L1552" s="66"/>
      <c r="M1552" s="70"/>
      <c r="N1552" s="71"/>
      <c r="W1552" s="22"/>
    </row>
    <row r="1553" spans="1:23" ht="14.5">
      <c r="A1553" s="63"/>
      <c r="B1553" s="64"/>
      <c r="C1553" s="65"/>
      <c r="D1553" s="66"/>
      <c r="E1553" s="67"/>
      <c r="F1553" s="68"/>
      <c r="G1553" s="68"/>
      <c r="H1553" s="66"/>
      <c r="I1553" s="69"/>
      <c r="J1553" s="66"/>
      <c r="K1553" s="66"/>
      <c r="L1553" s="66"/>
      <c r="M1553" s="70"/>
      <c r="N1553" s="71"/>
      <c r="W1553" s="22"/>
    </row>
    <row r="1554" spans="1:23" ht="14.5">
      <c r="A1554" s="63"/>
      <c r="B1554" s="64"/>
      <c r="C1554" s="65"/>
      <c r="D1554" s="66"/>
      <c r="E1554" s="67"/>
      <c r="F1554" s="68"/>
      <c r="G1554" s="68"/>
      <c r="H1554" s="66"/>
      <c r="I1554" s="69"/>
      <c r="J1554" s="66"/>
      <c r="K1554" s="66"/>
      <c r="L1554" s="66"/>
      <c r="M1554" s="70"/>
      <c r="N1554" s="71"/>
      <c r="W1554" s="22"/>
    </row>
    <row r="1555" spans="1:23" ht="14.5">
      <c r="A1555" s="63"/>
      <c r="B1555" s="64"/>
      <c r="C1555" s="65"/>
      <c r="D1555" s="66"/>
      <c r="E1555" s="67"/>
      <c r="F1555" s="68"/>
      <c r="G1555" s="68"/>
      <c r="H1555" s="66"/>
      <c r="I1555" s="69"/>
      <c r="J1555" s="66"/>
      <c r="K1555" s="66"/>
      <c r="L1555" s="66"/>
      <c r="M1555" s="70"/>
      <c r="N1555" s="71"/>
      <c r="W1555" s="22"/>
    </row>
    <row r="1556" spans="1:23" ht="14.5">
      <c r="A1556" s="63"/>
      <c r="B1556" s="64"/>
      <c r="C1556" s="65"/>
      <c r="D1556" s="66"/>
      <c r="E1556" s="67"/>
      <c r="F1556" s="68"/>
      <c r="G1556" s="68"/>
      <c r="H1556" s="66"/>
      <c r="I1556" s="69"/>
      <c r="J1556" s="66"/>
      <c r="K1556" s="66"/>
      <c r="L1556" s="66"/>
      <c r="M1556" s="70"/>
      <c r="N1556" s="71"/>
      <c r="W1556" s="22"/>
    </row>
    <row r="1557" spans="1:23" ht="14.5">
      <c r="A1557" s="63"/>
      <c r="B1557" s="64"/>
      <c r="C1557" s="65"/>
      <c r="D1557" s="66"/>
      <c r="E1557" s="67"/>
      <c r="F1557" s="68"/>
      <c r="G1557" s="68"/>
      <c r="H1557" s="66"/>
      <c r="I1557" s="69"/>
      <c r="J1557" s="66"/>
      <c r="K1557" s="66"/>
      <c r="L1557" s="66"/>
      <c r="M1557" s="70"/>
      <c r="N1557" s="71"/>
      <c r="W1557" s="22"/>
    </row>
    <row r="1558" spans="1:23" ht="14.5">
      <c r="A1558" s="63"/>
      <c r="B1558" s="64"/>
      <c r="C1558" s="65"/>
      <c r="D1558" s="66"/>
      <c r="E1558" s="67"/>
      <c r="F1558" s="68"/>
      <c r="G1558" s="68"/>
      <c r="H1558" s="66"/>
      <c r="I1558" s="69"/>
      <c r="J1558" s="66"/>
      <c r="K1558" s="66"/>
      <c r="L1558" s="66"/>
      <c r="M1558" s="70"/>
      <c r="N1558" s="71"/>
      <c r="W1558" s="22"/>
    </row>
    <row r="1559" spans="1:23" ht="14.5">
      <c r="A1559" s="63"/>
      <c r="B1559" s="64"/>
      <c r="C1559" s="65"/>
      <c r="D1559" s="66"/>
      <c r="E1559" s="67"/>
      <c r="F1559" s="68"/>
      <c r="G1559" s="68"/>
      <c r="H1559" s="66"/>
      <c r="I1559" s="69"/>
      <c r="J1559" s="66"/>
      <c r="K1559" s="66"/>
      <c r="L1559" s="66"/>
      <c r="M1559" s="70"/>
      <c r="N1559" s="71"/>
      <c r="W1559" s="22"/>
    </row>
    <row r="1560" spans="1:23" ht="14.5">
      <c r="A1560" s="63"/>
      <c r="B1560" s="64"/>
      <c r="C1560" s="65"/>
      <c r="D1560" s="66"/>
      <c r="E1560" s="67"/>
      <c r="F1560" s="68"/>
      <c r="G1560" s="68"/>
      <c r="H1560" s="66"/>
      <c r="I1560" s="69"/>
      <c r="J1560" s="66"/>
      <c r="K1560" s="66"/>
      <c r="L1560" s="66"/>
      <c r="M1560" s="70"/>
      <c r="N1560" s="71"/>
      <c r="W1560" s="22"/>
    </row>
    <row r="1561" spans="1:23" ht="14.5">
      <c r="A1561" s="63"/>
      <c r="B1561" s="64"/>
      <c r="C1561" s="65"/>
      <c r="D1561" s="66"/>
      <c r="E1561" s="67"/>
      <c r="F1561" s="68"/>
      <c r="G1561" s="68"/>
      <c r="H1561" s="66"/>
      <c r="I1561" s="69"/>
      <c r="J1561" s="66"/>
      <c r="K1561" s="66"/>
      <c r="L1561" s="66"/>
      <c r="M1561" s="70"/>
      <c r="N1561" s="71"/>
      <c r="W1561" s="22"/>
    </row>
    <row r="1562" spans="1:23" ht="14.5">
      <c r="A1562" s="63"/>
      <c r="B1562" s="64"/>
      <c r="C1562" s="65"/>
      <c r="D1562" s="66"/>
      <c r="E1562" s="67"/>
      <c r="F1562" s="68"/>
      <c r="G1562" s="68"/>
      <c r="H1562" s="66"/>
      <c r="I1562" s="69"/>
      <c r="J1562" s="66"/>
      <c r="K1562" s="66"/>
      <c r="L1562" s="66"/>
      <c r="M1562" s="70"/>
      <c r="N1562" s="71"/>
      <c r="W1562" s="22"/>
    </row>
    <row r="1563" spans="1:23" ht="14.5">
      <c r="A1563" s="63"/>
      <c r="B1563" s="64"/>
      <c r="C1563" s="65"/>
      <c r="D1563" s="66"/>
      <c r="E1563" s="67"/>
      <c r="F1563" s="68"/>
      <c r="G1563" s="68"/>
      <c r="H1563" s="66"/>
      <c r="I1563" s="69"/>
      <c r="J1563" s="66"/>
      <c r="K1563" s="66"/>
      <c r="L1563" s="66"/>
      <c r="M1563" s="70"/>
      <c r="N1563" s="71"/>
      <c r="W1563" s="22"/>
    </row>
    <row r="1564" spans="1:23" ht="14.5">
      <c r="A1564" s="63"/>
      <c r="B1564" s="64"/>
      <c r="C1564" s="65"/>
      <c r="D1564" s="66"/>
      <c r="E1564" s="67"/>
      <c r="F1564" s="68"/>
      <c r="G1564" s="68"/>
      <c r="H1564" s="66"/>
      <c r="I1564" s="69"/>
      <c r="J1564" s="66"/>
      <c r="K1564" s="66"/>
      <c r="L1564" s="66"/>
      <c r="M1564" s="70"/>
      <c r="N1564" s="71"/>
      <c r="W1564" s="22"/>
    </row>
    <row r="1565" spans="1:23" ht="14.5">
      <c r="A1565" s="63"/>
      <c r="B1565" s="64"/>
      <c r="C1565" s="65"/>
      <c r="D1565" s="66"/>
      <c r="E1565" s="67"/>
      <c r="F1565" s="68"/>
      <c r="G1565" s="68"/>
      <c r="H1565" s="66"/>
      <c r="I1565" s="69"/>
      <c r="J1565" s="66"/>
      <c r="K1565" s="66"/>
      <c r="L1565" s="66"/>
      <c r="M1565" s="70"/>
      <c r="N1565" s="71"/>
      <c r="W1565" s="22"/>
    </row>
    <row r="1566" spans="1:23" ht="14.5">
      <c r="A1566" s="63"/>
      <c r="B1566" s="64"/>
      <c r="C1566" s="65"/>
      <c r="D1566" s="66"/>
      <c r="E1566" s="67"/>
      <c r="F1566" s="68"/>
      <c r="G1566" s="68"/>
      <c r="H1566" s="66"/>
      <c r="I1566" s="69"/>
      <c r="J1566" s="66"/>
      <c r="K1566" s="66"/>
      <c r="L1566" s="66"/>
      <c r="M1566" s="70"/>
      <c r="N1566" s="71"/>
      <c r="W1566" s="22"/>
    </row>
    <row r="1567" spans="1:23" ht="14.5">
      <c r="A1567" s="63"/>
      <c r="B1567" s="64"/>
      <c r="C1567" s="65"/>
      <c r="D1567" s="66"/>
      <c r="E1567" s="67"/>
      <c r="F1567" s="68"/>
      <c r="G1567" s="68"/>
      <c r="H1567" s="66"/>
      <c r="I1567" s="69"/>
      <c r="J1567" s="66"/>
      <c r="K1567" s="66"/>
      <c r="L1567" s="66"/>
      <c r="M1567" s="70"/>
      <c r="N1567" s="71"/>
      <c r="W1567" s="22"/>
    </row>
    <row r="1568" spans="1:23" ht="14.5">
      <c r="A1568" s="63"/>
      <c r="B1568" s="64"/>
      <c r="C1568" s="65"/>
      <c r="D1568" s="66"/>
      <c r="E1568" s="67"/>
      <c r="F1568" s="68"/>
      <c r="G1568" s="68"/>
      <c r="H1568" s="66"/>
      <c r="I1568" s="69"/>
      <c r="J1568" s="66"/>
      <c r="K1568" s="66"/>
      <c r="L1568" s="66"/>
      <c r="M1568" s="70"/>
      <c r="N1568" s="71"/>
      <c r="W1568" s="22"/>
    </row>
    <row r="1569" spans="1:23" ht="14.5">
      <c r="A1569" s="63"/>
      <c r="B1569" s="64"/>
      <c r="C1569" s="65"/>
      <c r="D1569" s="66"/>
      <c r="E1569" s="67"/>
      <c r="F1569" s="68"/>
      <c r="G1569" s="68"/>
      <c r="H1569" s="66"/>
      <c r="I1569" s="69"/>
      <c r="J1569" s="66"/>
      <c r="K1569" s="66"/>
      <c r="L1569" s="66"/>
      <c r="M1569" s="70"/>
      <c r="N1569" s="71"/>
      <c r="W1569" s="22"/>
    </row>
    <row r="1570" spans="1:23" ht="14.5">
      <c r="A1570" s="63"/>
      <c r="B1570" s="64"/>
      <c r="C1570" s="65"/>
      <c r="D1570" s="66"/>
      <c r="E1570" s="67"/>
      <c r="F1570" s="68"/>
      <c r="G1570" s="68"/>
      <c r="H1570" s="66"/>
      <c r="I1570" s="69"/>
      <c r="J1570" s="66"/>
      <c r="K1570" s="66"/>
      <c r="L1570" s="66"/>
      <c r="M1570" s="70"/>
      <c r="N1570" s="71"/>
      <c r="W1570" s="22"/>
    </row>
    <row r="1571" spans="1:23" ht="14.5">
      <c r="A1571" s="63"/>
      <c r="B1571" s="64"/>
      <c r="C1571" s="65"/>
      <c r="D1571" s="66"/>
      <c r="E1571" s="67"/>
      <c r="F1571" s="68"/>
      <c r="G1571" s="68"/>
      <c r="H1571" s="66"/>
      <c r="I1571" s="69"/>
      <c r="J1571" s="66"/>
      <c r="K1571" s="66"/>
      <c r="L1571" s="66"/>
      <c r="M1571" s="70"/>
      <c r="N1571" s="71"/>
      <c r="W1571" s="22"/>
    </row>
    <row r="1572" spans="1:23" ht="14.5">
      <c r="A1572" s="63"/>
      <c r="B1572" s="64"/>
      <c r="C1572" s="65"/>
      <c r="D1572" s="66"/>
      <c r="E1572" s="67"/>
      <c r="F1572" s="68"/>
      <c r="G1572" s="68"/>
      <c r="H1572" s="66"/>
      <c r="I1572" s="69"/>
      <c r="J1572" s="66"/>
      <c r="K1572" s="66"/>
      <c r="L1572" s="66"/>
      <c r="M1572" s="70"/>
      <c r="N1572" s="71"/>
      <c r="W1572" s="22"/>
    </row>
    <row r="1573" spans="1:23" ht="14.5">
      <c r="A1573" s="63"/>
      <c r="B1573" s="64"/>
      <c r="C1573" s="65"/>
      <c r="D1573" s="66"/>
      <c r="E1573" s="67"/>
      <c r="F1573" s="68"/>
      <c r="G1573" s="68"/>
      <c r="H1573" s="66"/>
      <c r="I1573" s="69"/>
      <c r="J1573" s="66"/>
      <c r="K1573" s="66"/>
      <c r="L1573" s="66"/>
      <c r="M1573" s="70"/>
      <c r="N1573" s="71"/>
      <c r="W1573" s="22"/>
    </row>
    <row r="1574" spans="1:23" ht="14.5">
      <c r="A1574" s="63"/>
      <c r="B1574" s="64"/>
      <c r="C1574" s="65"/>
      <c r="D1574" s="66"/>
      <c r="E1574" s="67"/>
      <c r="F1574" s="68"/>
      <c r="G1574" s="68"/>
      <c r="H1574" s="66"/>
      <c r="I1574" s="69"/>
      <c r="J1574" s="66"/>
      <c r="K1574" s="66"/>
      <c r="L1574" s="66"/>
      <c r="M1574" s="70"/>
      <c r="N1574" s="71"/>
      <c r="W1574" s="22"/>
    </row>
    <row r="1575" spans="1:23" ht="14.5">
      <c r="A1575" s="63"/>
      <c r="B1575" s="64"/>
      <c r="C1575" s="65"/>
      <c r="D1575" s="66"/>
      <c r="E1575" s="67"/>
      <c r="F1575" s="68"/>
      <c r="G1575" s="68"/>
      <c r="H1575" s="66"/>
      <c r="I1575" s="69"/>
      <c r="J1575" s="66"/>
      <c r="K1575" s="66"/>
      <c r="L1575" s="66"/>
      <c r="M1575" s="70"/>
      <c r="N1575" s="71"/>
      <c r="W1575" s="22"/>
    </row>
    <row r="1576" spans="1:23" ht="14.5">
      <c r="A1576" s="63"/>
      <c r="B1576" s="64"/>
      <c r="C1576" s="65"/>
      <c r="D1576" s="66"/>
      <c r="E1576" s="67"/>
      <c r="F1576" s="68"/>
      <c r="G1576" s="68"/>
      <c r="H1576" s="66"/>
      <c r="I1576" s="69"/>
      <c r="J1576" s="66"/>
      <c r="K1576" s="66"/>
      <c r="L1576" s="66"/>
      <c r="M1576" s="70"/>
      <c r="N1576" s="71"/>
      <c r="W1576" s="22"/>
    </row>
    <row r="1577" spans="1:23" ht="14.5">
      <c r="A1577" s="63"/>
      <c r="B1577" s="64"/>
      <c r="C1577" s="65"/>
      <c r="D1577" s="66"/>
      <c r="E1577" s="67"/>
      <c r="F1577" s="68"/>
      <c r="G1577" s="68"/>
      <c r="H1577" s="66"/>
      <c r="I1577" s="69"/>
      <c r="J1577" s="66"/>
      <c r="K1577" s="66"/>
      <c r="L1577" s="66"/>
      <c r="M1577" s="70"/>
      <c r="N1577" s="71"/>
      <c r="W1577" s="22"/>
    </row>
    <row r="1578" spans="1:23" ht="14.5">
      <c r="A1578" s="63"/>
      <c r="B1578" s="64"/>
      <c r="C1578" s="65"/>
      <c r="D1578" s="66"/>
      <c r="E1578" s="67"/>
      <c r="F1578" s="68"/>
      <c r="G1578" s="68"/>
      <c r="H1578" s="66"/>
      <c r="I1578" s="69"/>
      <c r="J1578" s="66"/>
      <c r="K1578" s="66"/>
      <c r="L1578" s="66"/>
      <c r="M1578" s="70"/>
      <c r="N1578" s="71"/>
      <c r="W1578" s="22"/>
    </row>
    <row r="1579" spans="1:23" ht="14.5">
      <c r="A1579" s="63"/>
      <c r="B1579" s="64"/>
      <c r="C1579" s="65"/>
      <c r="D1579" s="66"/>
      <c r="E1579" s="67"/>
      <c r="F1579" s="68"/>
      <c r="G1579" s="68"/>
      <c r="H1579" s="66"/>
      <c r="I1579" s="69"/>
      <c r="J1579" s="66"/>
      <c r="K1579" s="66"/>
      <c r="L1579" s="66"/>
      <c r="M1579" s="70"/>
      <c r="N1579" s="71"/>
      <c r="W1579" s="22"/>
    </row>
    <row r="1580" spans="1:23" ht="14.5">
      <c r="A1580" s="63"/>
      <c r="B1580" s="64"/>
      <c r="C1580" s="65"/>
      <c r="D1580" s="66"/>
      <c r="E1580" s="67"/>
      <c r="F1580" s="68"/>
      <c r="G1580" s="68"/>
      <c r="H1580" s="66"/>
      <c r="I1580" s="69"/>
      <c r="J1580" s="66"/>
      <c r="K1580" s="66"/>
      <c r="L1580" s="66"/>
      <c r="M1580" s="70"/>
      <c r="N1580" s="71"/>
      <c r="W1580" s="22"/>
    </row>
    <row r="1581" spans="1:23" ht="14.5">
      <c r="A1581" s="63"/>
      <c r="B1581" s="64"/>
      <c r="C1581" s="65"/>
      <c r="D1581" s="66"/>
      <c r="E1581" s="67"/>
      <c r="F1581" s="68"/>
      <c r="G1581" s="68"/>
      <c r="H1581" s="66"/>
      <c r="I1581" s="69"/>
      <c r="J1581" s="66"/>
      <c r="K1581" s="66"/>
      <c r="L1581" s="66"/>
      <c r="M1581" s="70"/>
      <c r="N1581" s="71"/>
      <c r="W1581" s="22"/>
    </row>
    <row r="1582" spans="1:23" ht="14.5">
      <c r="A1582" s="63"/>
      <c r="B1582" s="64"/>
      <c r="C1582" s="65"/>
      <c r="D1582" s="66"/>
      <c r="E1582" s="67"/>
      <c r="F1582" s="68"/>
      <c r="G1582" s="68"/>
      <c r="H1582" s="66"/>
      <c r="I1582" s="69"/>
      <c r="J1582" s="66"/>
      <c r="K1582" s="66"/>
      <c r="L1582" s="66"/>
      <c r="M1582" s="70"/>
      <c r="N1582" s="71"/>
      <c r="W1582" s="22"/>
    </row>
    <row r="1583" spans="1:23" ht="14.5">
      <c r="A1583" s="63"/>
      <c r="B1583" s="64"/>
      <c r="C1583" s="65"/>
      <c r="D1583" s="66"/>
      <c r="E1583" s="67"/>
      <c r="F1583" s="68"/>
      <c r="G1583" s="68"/>
      <c r="H1583" s="66"/>
      <c r="I1583" s="69"/>
      <c r="J1583" s="66"/>
      <c r="K1583" s="66"/>
      <c r="L1583" s="66"/>
      <c r="M1583" s="70"/>
      <c r="N1583" s="71"/>
      <c r="W1583" s="22"/>
    </row>
    <row r="1584" spans="1:23" ht="14.5">
      <c r="A1584" s="63"/>
      <c r="B1584" s="64"/>
      <c r="C1584" s="65"/>
      <c r="D1584" s="66"/>
      <c r="E1584" s="67"/>
      <c r="F1584" s="68"/>
      <c r="G1584" s="68"/>
      <c r="H1584" s="66"/>
      <c r="I1584" s="69"/>
      <c r="J1584" s="66"/>
      <c r="K1584" s="66"/>
      <c r="L1584" s="66"/>
      <c r="M1584" s="70"/>
      <c r="N1584" s="71"/>
      <c r="W1584" s="22"/>
    </row>
    <row r="1585" spans="1:23" ht="14.5">
      <c r="A1585" s="63"/>
      <c r="B1585" s="64"/>
      <c r="C1585" s="65"/>
      <c r="D1585" s="66"/>
      <c r="E1585" s="67"/>
      <c r="F1585" s="68"/>
      <c r="G1585" s="68"/>
      <c r="H1585" s="66"/>
      <c r="I1585" s="69"/>
      <c r="J1585" s="66"/>
      <c r="K1585" s="66"/>
      <c r="L1585" s="66"/>
      <c r="M1585" s="70"/>
      <c r="N1585" s="71"/>
      <c r="W1585" s="22"/>
    </row>
    <row r="1586" spans="1:23" ht="14.5">
      <c r="A1586" s="63"/>
      <c r="B1586" s="64"/>
      <c r="C1586" s="65"/>
      <c r="D1586" s="66"/>
      <c r="E1586" s="67"/>
      <c r="F1586" s="68"/>
      <c r="G1586" s="68"/>
      <c r="H1586" s="66"/>
      <c r="I1586" s="69"/>
      <c r="J1586" s="66"/>
      <c r="K1586" s="66"/>
      <c r="L1586" s="66"/>
      <c r="M1586" s="70"/>
      <c r="N1586" s="71"/>
      <c r="W1586" s="22"/>
    </row>
    <row r="1587" spans="1:23" ht="14.5">
      <c r="A1587" s="63"/>
      <c r="B1587" s="64"/>
      <c r="C1587" s="65"/>
      <c r="D1587" s="66"/>
      <c r="E1587" s="67"/>
      <c r="F1587" s="68"/>
      <c r="G1587" s="68"/>
      <c r="H1587" s="66"/>
      <c r="I1587" s="69"/>
      <c r="J1587" s="66"/>
      <c r="K1587" s="66"/>
      <c r="L1587" s="66"/>
      <c r="M1587" s="70"/>
      <c r="N1587" s="71"/>
      <c r="W1587" s="22"/>
    </row>
    <row r="1588" spans="1:23" ht="14.5">
      <c r="A1588" s="63"/>
      <c r="B1588" s="64"/>
      <c r="C1588" s="65"/>
      <c r="D1588" s="66"/>
      <c r="E1588" s="67"/>
      <c r="F1588" s="68"/>
      <c r="G1588" s="68"/>
      <c r="H1588" s="66"/>
      <c r="I1588" s="69"/>
      <c r="J1588" s="66"/>
      <c r="K1588" s="66"/>
      <c r="L1588" s="66"/>
      <c r="M1588" s="70"/>
      <c r="N1588" s="71"/>
      <c r="W1588" s="22"/>
    </row>
    <row r="1589" spans="1:23" ht="14.5">
      <c r="A1589" s="63"/>
      <c r="B1589" s="64"/>
      <c r="C1589" s="65"/>
      <c r="D1589" s="66"/>
      <c r="E1589" s="67"/>
      <c r="F1589" s="68"/>
      <c r="G1589" s="68"/>
      <c r="H1589" s="66"/>
      <c r="I1589" s="69"/>
      <c r="J1589" s="66"/>
      <c r="K1589" s="66"/>
      <c r="L1589" s="66"/>
      <c r="M1589" s="70"/>
      <c r="N1589" s="71"/>
      <c r="W1589" s="22"/>
    </row>
    <row r="1590" spans="1:23" ht="14.5">
      <c r="A1590" s="63"/>
      <c r="B1590" s="64"/>
      <c r="C1590" s="65"/>
      <c r="D1590" s="66"/>
      <c r="E1590" s="67"/>
      <c r="F1590" s="68"/>
      <c r="G1590" s="68"/>
      <c r="H1590" s="66"/>
      <c r="I1590" s="69"/>
      <c r="J1590" s="66"/>
      <c r="K1590" s="66"/>
      <c r="L1590" s="66"/>
      <c r="M1590" s="70"/>
      <c r="N1590" s="71"/>
      <c r="W1590" s="22"/>
    </row>
    <row r="1591" spans="1:23" ht="14.5">
      <c r="A1591" s="63"/>
      <c r="B1591" s="64"/>
      <c r="C1591" s="65"/>
      <c r="D1591" s="66"/>
      <c r="E1591" s="67"/>
      <c r="F1591" s="68"/>
      <c r="G1591" s="68"/>
      <c r="H1591" s="66"/>
      <c r="I1591" s="69"/>
      <c r="J1591" s="66"/>
      <c r="K1591" s="66"/>
      <c r="L1591" s="66"/>
      <c r="M1591" s="70"/>
      <c r="N1591" s="71"/>
      <c r="W1591" s="22"/>
    </row>
    <row r="1592" spans="1:23" ht="14.5">
      <c r="A1592" s="63"/>
      <c r="B1592" s="64"/>
      <c r="C1592" s="65"/>
      <c r="D1592" s="66"/>
      <c r="E1592" s="67"/>
      <c r="F1592" s="68"/>
      <c r="G1592" s="68"/>
      <c r="H1592" s="66"/>
      <c r="I1592" s="69"/>
      <c r="J1592" s="66"/>
      <c r="K1592" s="66"/>
      <c r="L1592" s="66"/>
      <c r="M1592" s="70"/>
      <c r="N1592" s="71"/>
      <c r="W1592" s="22"/>
    </row>
    <row r="1593" spans="1:23" ht="14.5">
      <c r="A1593" s="63"/>
      <c r="B1593" s="64"/>
      <c r="C1593" s="65"/>
      <c r="D1593" s="66"/>
      <c r="E1593" s="67"/>
      <c r="F1593" s="68"/>
      <c r="G1593" s="68"/>
      <c r="H1593" s="66"/>
      <c r="I1593" s="69"/>
      <c r="J1593" s="66"/>
      <c r="K1593" s="66"/>
      <c r="L1593" s="66"/>
      <c r="M1593" s="70"/>
      <c r="N1593" s="71"/>
      <c r="W1593" s="22"/>
    </row>
    <row r="1594" spans="1:23" ht="14.5">
      <c r="A1594" s="63"/>
      <c r="B1594" s="64"/>
      <c r="C1594" s="65"/>
      <c r="D1594" s="66"/>
      <c r="E1594" s="67"/>
      <c r="F1594" s="68"/>
      <c r="G1594" s="68"/>
      <c r="H1594" s="66"/>
      <c r="I1594" s="69"/>
      <c r="J1594" s="66"/>
      <c r="K1594" s="66"/>
      <c r="L1594" s="66"/>
      <c r="M1594" s="70"/>
      <c r="N1594" s="71"/>
      <c r="W1594" s="22"/>
    </row>
    <row r="1595" spans="1:23" ht="14.5">
      <c r="A1595" s="63"/>
      <c r="B1595" s="64"/>
      <c r="C1595" s="65"/>
      <c r="D1595" s="66"/>
      <c r="E1595" s="67"/>
      <c r="F1595" s="68"/>
      <c r="G1595" s="68"/>
      <c r="H1595" s="66"/>
      <c r="I1595" s="69"/>
      <c r="J1595" s="66"/>
      <c r="K1595" s="66"/>
      <c r="L1595" s="66"/>
      <c r="M1595" s="70"/>
      <c r="N1595" s="71"/>
      <c r="W1595" s="22"/>
    </row>
    <row r="1596" spans="1:23" ht="14.5">
      <c r="A1596" s="63"/>
      <c r="B1596" s="64"/>
      <c r="C1596" s="65"/>
      <c r="D1596" s="66"/>
      <c r="E1596" s="67"/>
      <c r="F1596" s="68"/>
      <c r="G1596" s="68"/>
      <c r="H1596" s="66"/>
      <c r="I1596" s="69"/>
      <c r="J1596" s="66"/>
      <c r="K1596" s="66"/>
      <c r="L1596" s="66"/>
      <c r="M1596" s="70"/>
      <c r="N1596" s="71"/>
      <c r="W1596" s="22"/>
    </row>
    <row r="1597" spans="1:23" ht="14.5">
      <c r="A1597" s="63"/>
      <c r="B1597" s="64"/>
      <c r="C1597" s="65"/>
      <c r="D1597" s="66"/>
      <c r="E1597" s="67"/>
      <c r="F1597" s="68"/>
      <c r="G1597" s="68"/>
      <c r="H1597" s="66"/>
      <c r="I1597" s="69"/>
      <c r="J1597" s="66"/>
      <c r="K1597" s="66"/>
      <c r="L1597" s="66"/>
      <c r="M1597" s="70"/>
      <c r="N1597" s="71"/>
      <c r="W1597" s="22"/>
    </row>
    <row r="1598" spans="1:23" ht="14.5">
      <c r="A1598" s="63"/>
      <c r="B1598" s="64"/>
      <c r="C1598" s="65"/>
      <c r="D1598" s="66"/>
      <c r="E1598" s="67"/>
      <c r="F1598" s="68"/>
      <c r="G1598" s="68"/>
      <c r="H1598" s="66"/>
      <c r="I1598" s="69"/>
      <c r="J1598" s="66"/>
      <c r="K1598" s="66"/>
      <c r="L1598" s="66"/>
      <c r="M1598" s="70"/>
      <c r="N1598" s="71"/>
      <c r="W1598" s="22"/>
    </row>
    <row r="1599" spans="1:23" ht="14.5">
      <c r="A1599" s="63"/>
      <c r="B1599" s="64"/>
      <c r="C1599" s="65"/>
      <c r="D1599" s="66"/>
      <c r="E1599" s="67"/>
      <c r="F1599" s="68"/>
      <c r="G1599" s="68"/>
      <c r="H1599" s="66"/>
      <c r="I1599" s="69"/>
      <c r="J1599" s="66"/>
      <c r="K1599" s="66"/>
      <c r="L1599" s="66"/>
      <c r="M1599" s="70"/>
      <c r="N1599" s="71"/>
      <c r="W1599" s="22"/>
    </row>
    <row r="1600" spans="1:23" ht="14.5">
      <c r="A1600" s="63"/>
      <c r="B1600" s="64"/>
      <c r="C1600" s="65"/>
      <c r="D1600" s="66"/>
      <c r="E1600" s="67"/>
      <c r="F1600" s="68"/>
      <c r="G1600" s="68"/>
      <c r="H1600" s="66"/>
      <c r="I1600" s="69"/>
      <c r="J1600" s="66"/>
      <c r="K1600" s="66"/>
      <c r="L1600" s="66"/>
      <c r="M1600" s="70"/>
      <c r="N1600" s="71"/>
      <c r="W1600" s="22"/>
    </row>
    <row r="1601" spans="1:23" ht="14.5">
      <c r="A1601" s="63"/>
      <c r="B1601" s="64"/>
      <c r="C1601" s="65"/>
      <c r="D1601" s="66"/>
      <c r="E1601" s="67"/>
      <c r="F1601" s="68"/>
      <c r="G1601" s="68"/>
      <c r="H1601" s="66"/>
      <c r="I1601" s="69"/>
      <c r="J1601" s="66"/>
      <c r="K1601" s="66"/>
      <c r="L1601" s="66"/>
      <c r="M1601" s="70"/>
      <c r="N1601" s="71"/>
      <c r="W1601" s="22"/>
    </row>
    <row r="1602" spans="1:23" ht="14.5">
      <c r="A1602" s="63"/>
      <c r="B1602" s="64"/>
      <c r="C1602" s="65"/>
      <c r="D1602" s="66"/>
      <c r="E1602" s="67"/>
      <c r="F1602" s="68"/>
      <c r="G1602" s="68"/>
      <c r="H1602" s="66"/>
      <c r="I1602" s="69"/>
      <c r="J1602" s="66"/>
      <c r="K1602" s="66"/>
      <c r="L1602" s="66"/>
      <c r="M1602" s="70"/>
      <c r="N1602" s="71"/>
      <c r="W1602" s="22"/>
    </row>
    <row r="1603" spans="1:23" ht="14.5">
      <c r="A1603" s="63"/>
      <c r="B1603" s="64"/>
      <c r="C1603" s="65"/>
      <c r="D1603" s="66"/>
      <c r="E1603" s="67"/>
      <c r="F1603" s="68"/>
      <c r="G1603" s="68"/>
      <c r="H1603" s="66"/>
      <c r="I1603" s="69"/>
      <c r="J1603" s="66"/>
      <c r="K1603" s="66"/>
      <c r="L1603" s="66"/>
      <c r="M1603" s="70"/>
      <c r="N1603" s="71"/>
      <c r="W1603" s="22"/>
    </row>
    <row r="1604" spans="1:23" ht="14.5">
      <c r="A1604" s="63"/>
      <c r="B1604" s="64"/>
      <c r="C1604" s="65"/>
      <c r="D1604" s="66"/>
      <c r="E1604" s="67"/>
      <c r="F1604" s="68"/>
      <c r="G1604" s="68"/>
      <c r="H1604" s="66"/>
      <c r="I1604" s="69"/>
      <c r="J1604" s="66"/>
      <c r="K1604" s="66"/>
      <c r="L1604" s="66"/>
      <c r="M1604" s="70"/>
      <c r="N1604" s="71"/>
      <c r="W1604" s="22"/>
    </row>
    <row r="1605" spans="1:23" ht="14.5">
      <c r="A1605" s="63"/>
      <c r="B1605" s="64"/>
      <c r="C1605" s="65"/>
      <c r="D1605" s="66"/>
      <c r="E1605" s="67"/>
      <c r="F1605" s="68"/>
      <c r="G1605" s="68"/>
      <c r="H1605" s="66"/>
      <c r="I1605" s="69"/>
      <c r="J1605" s="66"/>
      <c r="K1605" s="66"/>
      <c r="L1605" s="66"/>
      <c r="M1605" s="70"/>
      <c r="N1605" s="71"/>
      <c r="W1605" s="22"/>
    </row>
    <row r="1606" spans="1:23" ht="14.5">
      <c r="A1606" s="63"/>
      <c r="B1606" s="64"/>
      <c r="C1606" s="65"/>
      <c r="D1606" s="66"/>
      <c r="E1606" s="67"/>
      <c r="F1606" s="68"/>
      <c r="G1606" s="68"/>
      <c r="H1606" s="66"/>
      <c r="I1606" s="69"/>
      <c r="J1606" s="66"/>
      <c r="K1606" s="66"/>
      <c r="L1606" s="66"/>
      <c r="M1606" s="70"/>
      <c r="N1606" s="71"/>
      <c r="W1606" s="22"/>
    </row>
    <row r="1607" spans="1:23" ht="14.5">
      <c r="A1607" s="63"/>
      <c r="B1607" s="64"/>
      <c r="C1607" s="65"/>
      <c r="D1607" s="66"/>
      <c r="E1607" s="67"/>
      <c r="F1607" s="68"/>
      <c r="G1607" s="68"/>
      <c r="H1607" s="66"/>
      <c r="I1607" s="69"/>
      <c r="J1607" s="66"/>
      <c r="K1607" s="66"/>
      <c r="L1607" s="66"/>
      <c r="M1607" s="70"/>
      <c r="N1607" s="71"/>
      <c r="W1607" s="22"/>
    </row>
    <row r="1608" spans="1:23" ht="14.5">
      <c r="A1608" s="63"/>
      <c r="B1608" s="64"/>
      <c r="C1608" s="65"/>
      <c r="D1608" s="66"/>
      <c r="E1608" s="67"/>
      <c r="F1608" s="68"/>
      <c r="G1608" s="68"/>
      <c r="H1608" s="66"/>
      <c r="I1608" s="69"/>
      <c r="J1608" s="66"/>
      <c r="K1608" s="66"/>
      <c r="L1608" s="66"/>
      <c r="M1608" s="70"/>
      <c r="N1608" s="71"/>
      <c r="W1608" s="22"/>
    </row>
    <row r="1609" spans="1:23" ht="14.5">
      <c r="A1609" s="63"/>
      <c r="B1609" s="64"/>
      <c r="C1609" s="65"/>
      <c r="D1609" s="66"/>
      <c r="E1609" s="67"/>
      <c r="F1609" s="68"/>
      <c r="G1609" s="68"/>
      <c r="H1609" s="66"/>
      <c r="I1609" s="69"/>
      <c r="J1609" s="66"/>
      <c r="K1609" s="66"/>
      <c r="L1609" s="66"/>
      <c r="M1609" s="70"/>
      <c r="N1609" s="71"/>
      <c r="W1609" s="22"/>
    </row>
    <row r="1610" spans="1:23" ht="14.5">
      <c r="A1610" s="63"/>
      <c r="B1610" s="64"/>
      <c r="C1610" s="65"/>
      <c r="D1610" s="66"/>
      <c r="E1610" s="67"/>
      <c r="F1610" s="68"/>
      <c r="G1610" s="68"/>
      <c r="H1610" s="66"/>
      <c r="I1610" s="69"/>
      <c r="J1610" s="66"/>
      <c r="K1610" s="66"/>
      <c r="L1610" s="66"/>
      <c r="M1610" s="70"/>
      <c r="N1610" s="71"/>
      <c r="W1610" s="22"/>
    </row>
    <row r="1611" spans="1:23" ht="14.5">
      <c r="A1611" s="63"/>
      <c r="B1611" s="64"/>
      <c r="C1611" s="65"/>
      <c r="D1611" s="66"/>
      <c r="E1611" s="67"/>
      <c r="F1611" s="68"/>
      <c r="G1611" s="68"/>
      <c r="H1611" s="66"/>
      <c r="I1611" s="69"/>
      <c r="J1611" s="66"/>
      <c r="K1611" s="66"/>
      <c r="L1611" s="66"/>
      <c r="M1611" s="70"/>
      <c r="N1611" s="71"/>
      <c r="W1611" s="22"/>
    </row>
    <row r="1612" spans="1:23" ht="14.5">
      <c r="A1612" s="63"/>
      <c r="B1612" s="64"/>
      <c r="C1612" s="65"/>
      <c r="D1612" s="66"/>
      <c r="E1612" s="67"/>
      <c r="F1612" s="68"/>
      <c r="G1612" s="68"/>
      <c r="H1612" s="66"/>
      <c r="I1612" s="69"/>
      <c r="J1612" s="66"/>
      <c r="K1612" s="66"/>
      <c r="L1612" s="66"/>
      <c r="M1612" s="70"/>
      <c r="N1612" s="71"/>
      <c r="W1612" s="22"/>
    </row>
    <row r="1613" spans="1:23" ht="14.5">
      <c r="A1613" s="63"/>
      <c r="B1613" s="64"/>
      <c r="C1613" s="65"/>
      <c r="D1613" s="66"/>
      <c r="E1613" s="67"/>
      <c r="F1613" s="68"/>
      <c r="G1613" s="68"/>
      <c r="H1613" s="66"/>
      <c r="I1613" s="69"/>
      <c r="J1613" s="66"/>
      <c r="K1613" s="66"/>
      <c r="L1613" s="66"/>
      <c r="M1613" s="70"/>
      <c r="N1613" s="71"/>
      <c r="W1613" s="22"/>
    </row>
    <row r="1614" spans="1:23" ht="14.5">
      <c r="A1614" s="63"/>
      <c r="B1614" s="64"/>
      <c r="C1614" s="65"/>
      <c r="D1614" s="66"/>
      <c r="E1614" s="67"/>
      <c r="F1614" s="68"/>
      <c r="G1614" s="68"/>
      <c r="H1614" s="66"/>
      <c r="I1614" s="69"/>
      <c r="J1614" s="66"/>
      <c r="K1614" s="66"/>
      <c r="L1614" s="66"/>
      <c r="M1614" s="70"/>
      <c r="N1614" s="71"/>
      <c r="W1614" s="22"/>
    </row>
    <row r="1615" spans="1:23" ht="14.5">
      <c r="A1615" s="63"/>
      <c r="B1615" s="64"/>
      <c r="C1615" s="65"/>
      <c r="D1615" s="66"/>
      <c r="E1615" s="67"/>
      <c r="F1615" s="68"/>
      <c r="G1615" s="68"/>
      <c r="H1615" s="66"/>
      <c r="I1615" s="69"/>
      <c r="J1615" s="66"/>
      <c r="K1615" s="66"/>
      <c r="L1615" s="66"/>
      <c r="M1615" s="70"/>
      <c r="N1615" s="71"/>
      <c r="W1615" s="22"/>
    </row>
    <row r="1616" spans="1:23" ht="14.5">
      <c r="A1616" s="63"/>
      <c r="B1616" s="64"/>
      <c r="C1616" s="65"/>
      <c r="D1616" s="66"/>
      <c r="E1616" s="67"/>
      <c r="F1616" s="68"/>
      <c r="G1616" s="68"/>
      <c r="H1616" s="66"/>
      <c r="I1616" s="69"/>
      <c r="J1616" s="66"/>
      <c r="K1616" s="66"/>
      <c r="L1616" s="66"/>
      <c r="M1616" s="70"/>
      <c r="N1616" s="71"/>
      <c r="W1616" s="22"/>
    </row>
    <row r="1617" spans="1:23" ht="14.5">
      <c r="A1617" s="63"/>
      <c r="B1617" s="64"/>
      <c r="C1617" s="65"/>
      <c r="D1617" s="66"/>
      <c r="E1617" s="67"/>
      <c r="F1617" s="68"/>
      <c r="G1617" s="68"/>
      <c r="H1617" s="66"/>
      <c r="I1617" s="69"/>
      <c r="J1617" s="66"/>
      <c r="K1617" s="66"/>
      <c r="L1617" s="66"/>
      <c r="M1617" s="70"/>
      <c r="N1617" s="71"/>
      <c r="W1617" s="22"/>
    </row>
    <row r="1618" spans="1:23" ht="14.5">
      <c r="A1618" s="63"/>
      <c r="B1618" s="64"/>
      <c r="C1618" s="65"/>
      <c r="D1618" s="66"/>
      <c r="E1618" s="67"/>
      <c r="F1618" s="68"/>
      <c r="G1618" s="68"/>
      <c r="H1618" s="66"/>
      <c r="I1618" s="69"/>
      <c r="J1618" s="66"/>
      <c r="K1618" s="66"/>
      <c r="L1618" s="66"/>
      <c r="M1618" s="70"/>
      <c r="N1618" s="71"/>
      <c r="W1618" s="22"/>
    </row>
    <row r="1619" spans="1:23" ht="14.5">
      <c r="A1619" s="63"/>
      <c r="B1619" s="64"/>
      <c r="C1619" s="65"/>
      <c r="D1619" s="66"/>
      <c r="E1619" s="67"/>
      <c r="F1619" s="68"/>
      <c r="G1619" s="68"/>
      <c r="H1619" s="66"/>
      <c r="I1619" s="69"/>
      <c r="J1619" s="66"/>
      <c r="K1619" s="66"/>
      <c r="L1619" s="66"/>
      <c r="M1619" s="70"/>
      <c r="N1619" s="71"/>
      <c r="W1619" s="22"/>
    </row>
    <row r="1620" spans="1:23" ht="14.5">
      <c r="A1620" s="63"/>
      <c r="B1620" s="64"/>
      <c r="C1620" s="65"/>
      <c r="D1620" s="66"/>
      <c r="E1620" s="67"/>
      <c r="F1620" s="68"/>
      <c r="G1620" s="68"/>
      <c r="H1620" s="66"/>
      <c r="I1620" s="69"/>
      <c r="J1620" s="66"/>
      <c r="K1620" s="66"/>
      <c r="L1620" s="66"/>
      <c r="M1620" s="70"/>
      <c r="N1620" s="71"/>
      <c r="W1620" s="22"/>
    </row>
    <row r="1621" spans="1:23" ht="14.5">
      <c r="A1621" s="63"/>
      <c r="B1621" s="64"/>
      <c r="C1621" s="65"/>
      <c r="D1621" s="66"/>
      <c r="E1621" s="67"/>
      <c r="F1621" s="68"/>
      <c r="G1621" s="68"/>
      <c r="H1621" s="66"/>
      <c r="I1621" s="69"/>
      <c r="J1621" s="66"/>
      <c r="K1621" s="66"/>
      <c r="L1621" s="66"/>
      <c r="M1621" s="70"/>
      <c r="N1621" s="71"/>
      <c r="W1621" s="22"/>
    </row>
    <row r="1622" spans="1:23" ht="14.5">
      <c r="A1622" s="63"/>
      <c r="B1622" s="64"/>
      <c r="C1622" s="65"/>
      <c r="D1622" s="66"/>
      <c r="E1622" s="67"/>
      <c r="F1622" s="68"/>
      <c r="G1622" s="68"/>
      <c r="H1622" s="66"/>
      <c r="I1622" s="69"/>
      <c r="J1622" s="66"/>
      <c r="K1622" s="66"/>
      <c r="L1622" s="66"/>
      <c r="M1622" s="70"/>
      <c r="N1622" s="71"/>
      <c r="W1622" s="22"/>
    </row>
    <row r="1623" spans="1:23" ht="14.5">
      <c r="A1623" s="63"/>
      <c r="B1623" s="64"/>
      <c r="C1623" s="65"/>
      <c r="D1623" s="66"/>
      <c r="E1623" s="67"/>
      <c r="F1623" s="68"/>
      <c r="G1623" s="68"/>
      <c r="H1623" s="66"/>
      <c r="I1623" s="69"/>
      <c r="J1623" s="66"/>
      <c r="K1623" s="66"/>
      <c r="L1623" s="66"/>
      <c r="M1623" s="70"/>
      <c r="N1623" s="71"/>
      <c r="W1623" s="22"/>
    </row>
    <row r="1624" spans="1:23" ht="14.5">
      <c r="A1624" s="63"/>
      <c r="B1624" s="64"/>
      <c r="C1624" s="65"/>
      <c r="D1624" s="66"/>
      <c r="E1624" s="67"/>
      <c r="F1624" s="68"/>
      <c r="G1624" s="68"/>
      <c r="H1624" s="66"/>
      <c r="I1624" s="69"/>
      <c r="J1624" s="66"/>
      <c r="K1624" s="66"/>
      <c r="L1624" s="66"/>
      <c r="M1624" s="70"/>
      <c r="N1624" s="71"/>
      <c r="W1624" s="22"/>
    </row>
    <row r="1625" spans="1:23" ht="14.5">
      <c r="A1625" s="63"/>
      <c r="B1625" s="64"/>
      <c r="C1625" s="65"/>
      <c r="D1625" s="66"/>
      <c r="E1625" s="67"/>
      <c r="F1625" s="68"/>
      <c r="G1625" s="68"/>
      <c r="H1625" s="66"/>
      <c r="I1625" s="69"/>
      <c r="J1625" s="66"/>
      <c r="K1625" s="66"/>
      <c r="L1625" s="66"/>
      <c r="M1625" s="70"/>
      <c r="N1625" s="71"/>
      <c r="W1625" s="22"/>
    </row>
    <row r="1626" spans="1:23" ht="14.5">
      <c r="A1626" s="63"/>
      <c r="B1626" s="64"/>
      <c r="C1626" s="65"/>
      <c r="D1626" s="66"/>
      <c r="E1626" s="67"/>
      <c r="F1626" s="68"/>
      <c r="G1626" s="68"/>
      <c r="H1626" s="66"/>
      <c r="I1626" s="69"/>
      <c r="J1626" s="66"/>
      <c r="K1626" s="66"/>
      <c r="L1626" s="66"/>
      <c r="M1626" s="70"/>
      <c r="N1626" s="71"/>
      <c r="W1626" s="22"/>
    </row>
    <row r="1627" spans="1:23" ht="14.5">
      <c r="A1627" s="63"/>
      <c r="B1627" s="64"/>
      <c r="C1627" s="65"/>
      <c r="D1627" s="66"/>
      <c r="E1627" s="67"/>
      <c r="F1627" s="68"/>
      <c r="G1627" s="68"/>
      <c r="H1627" s="66"/>
      <c r="I1627" s="69"/>
      <c r="J1627" s="66"/>
      <c r="K1627" s="66"/>
      <c r="L1627" s="66"/>
      <c r="M1627" s="70"/>
      <c r="N1627" s="71"/>
      <c r="W1627" s="22"/>
    </row>
    <row r="1628" spans="1:23" ht="14.5">
      <c r="A1628" s="63"/>
      <c r="B1628" s="64"/>
      <c r="C1628" s="65"/>
      <c r="D1628" s="66"/>
      <c r="E1628" s="67"/>
      <c r="F1628" s="68"/>
      <c r="G1628" s="68"/>
      <c r="H1628" s="66"/>
      <c r="I1628" s="69"/>
      <c r="J1628" s="66"/>
      <c r="K1628" s="66"/>
      <c r="L1628" s="66"/>
      <c r="M1628" s="70"/>
      <c r="N1628" s="71"/>
      <c r="W1628" s="22"/>
    </row>
    <row r="1629" spans="1:23" ht="14.5">
      <c r="A1629" s="63"/>
      <c r="B1629" s="64"/>
      <c r="C1629" s="65"/>
      <c r="D1629" s="66"/>
      <c r="E1629" s="67"/>
      <c r="F1629" s="68"/>
      <c r="G1629" s="68"/>
      <c r="H1629" s="66"/>
      <c r="I1629" s="69"/>
      <c r="J1629" s="66"/>
      <c r="K1629" s="66"/>
      <c r="L1629" s="66"/>
      <c r="M1629" s="70"/>
      <c r="N1629" s="71"/>
      <c r="W1629" s="22"/>
    </row>
    <row r="1630" spans="1:23" ht="14.5">
      <c r="A1630" s="63"/>
      <c r="B1630" s="64"/>
      <c r="C1630" s="65"/>
      <c r="D1630" s="66"/>
      <c r="E1630" s="67"/>
      <c r="F1630" s="68"/>
      <c r="G1630" s="68"/>
      <c r="H1630" s="66"/>
      <c r="I1630" s="69"/>
      <c r="J1630" s="66"/>
      <c r="K1630" s="66"/>
      <c r="L1630" s="66"/>
      <c r="M1630" s="70"/>
      <c r="N1630" s="71"/>
      <c r="W1630" s="22"/>
    </row>
    <row r="1631" spans="1:23" ht="14.5">
      <c r="A1631" s="63"/>
      <c r="B1631" s="64"/>
      <c r="C1631" s="65"/>
      <c r="D1631" s="66"/>
      <c r="E1631" s="67"/>
      <c r="F1631" s="68"/>
      <c r="G1631" s="68"/>
      <c r="H1631" s="66"/>
      <c r="I1631" s="69"/>
      <c r="J1631" s="66"/>
      <c r="K1631" s="66"/>
      <c r="L1631" s="66"/>
      <c r="M1631" s="70"/>
      <c r="N1631" s="71"/>
      <c r="W1631" s="22"/>
    </row>
    <row r="1632" spans="1:23" ht="14.5">
      <c r="A1632" s="63"/>
      <c r="B1632" s="64"/>
      <c r="C1632" s="65"/>
      <c r="D1632" s="66"/>
      <c r="E1632" s="67"/>
      <c r="F1632" s="68"/>
      <c r="G1632" s="68"/>
      <c r="H1632" s="66"/>
      <c r="I1632" s="69"/>
      <c r="J1632" s="66"/>
      <c r="K1632" s="66"/>
      <c r="L1632" s="66"/>
      <c r="M1632" s="70"/>
      <c r="N1632" s="71"/>
      <c r="W1632" s="22"/>
    </row>
    <row r="1633" spans="1:23" ht="14.5">
      <c r="A1633" s="63"/>
      <c r="B1633" s="64"/>
      <c r="C1633" s="65"/>
      <c r="D1633" s="66"/>
      <c r="E1633" s="67"/>
      <c r="F1633" s="68"/>
      <c r="G1633" s="68"/>
      <c r="H1633" s="66"/>
      <c r="I1633" s="69"/>
      <c r="J1633" s="66"/>
      <c r="K1633" s="66"/>
      <c r="L1633" s="66"/>
      <c r="M1633" s="70"/>
      <c r="N1633" s="71"/>
      <c r="W1633" s="22"/>
    </row>
    <row r="1634" spans="1:23" ht="14.5">
      <c r="A1634" s="63"/>
      <c r="B1634" s="64"/>
      <c r="C1634" s="65"/>
      <c r="D1634" s="66"/>
      <c r="E1634" s="67"/>
      <c r="F1634" s="68"/>
      <c r="G1634" s="68"/>
      <c r="H1634" s="66"/>
      <c r="I1634" s="69"/>
      <c r="J1634" s="66"/>
      <c r="K1634" s="66"/>
      <c r="L1634" s="66"/>
      <c r="M1634" s="70"/>
      <c r="N1634" s="71"/>
      <c r="W1634" s="22"/>
    </row>
    <row r="1635" spans="1:23" ht="14.5">
      <c r="A1635" s="63"/>
      <c r="B1635" s="64"/>
      <c r="C1635" s="65"/>
      <c r="D1635" s="66"/>
      <c r="E1635" s="67"/>
      <c r="F1635" s="68"/>
      <c r="G1635" s="68"/>
      <c r="H1635" s="66"/>
      <c r="I1635" s="69"/>
      <c r="J1635" s="66"/>
      <c r="K1635" s="66"/>
      <c r="L1635" s="66"/>
      <c r="M1635" s="70"/>
      <c r="N1635" s="71"/>
      <c r="W1635" s="22"/>
    </row>
    <row r="1636" spans="1:23" ht="14.5">
      <c r="A1636" s="63"/>
      <c r="B1636" s="64"/>
      <c r="C1636" s="65"/>
      <c r="D1636" s="66"/>
      <c r="E1636" s="67"/>
      <c r="F1636" s="68"/>
      <c r="G1636" s="68"/>
      <c r="H1636" s="66"/>
      <c r="I1636" s="69"/>
      <c r="J1636" s="66"/>
      <c r="K1636" s="66"/>
      <c r="L1636" s="66"/>
      <c r="M1636" s="70"/>
      <c r="N1636" s="71"/>
      <c r="W1636" s="22"/>
    </row>
    <row r="1637" spans="1:23" ht="14.5">
      <c r="A1637" s="63"/>
      <c r="B1637" s="64"/>
      <c r="C1637" s="65"/>
      <c r="D1637" s="66"/>
      <c r="E1637" s="67"/>
      <c r="F1637" s="68"/>
      <c r="G1637" s="68"/>
      <c r="H1637" s="66"/>
      <c r="I1637" s="69"/>
      <c r="J1637" s="66"/>
      <c r="K1637" s="66"/>
      <c r="L1637" s="66"/>
      <c r="M1637" s="70"/>
      <c r="N1637" s="71"/>
      <c r="W1637" s="22"/>
    </row>
    <row r="1638" spans="1:23" ht="14.5">
      <c r="A1638" s="63"/>
      <c r="B1638" s="64"/>
      <c r="C1638" s="65"/>
      <c r="D1638" s="66"/>
      <c r="E1638" s="67"/>
      <c r="F1638" s="68"/>
      <c r="G1638" s="68"/>
      <c r="H1638" s="66"/>
      <c r="I1638" s="69"/>
      <c r="J1638" s="66"/>
      <c r="K1638" s="66"/>
      <c r="L1638" s="66"/>
      <c r="M1638" s="70"/>
      <c r="N1638" s="71"/>
      <c r="W1638" s="22"/>
    </row>
    <row r="1639" spans="1:23" ht="14.5">
      <c r="A1639" s="63"/>
      <c r="B1639" s="64"/>
      <c r="C1639" s="65"/>
      <c r="D1639" s="66"/>
      <c r="E1639" s="67"/>
      <c r="F1639" s="68"/>
      <c r="G1639" s="68"/>
      <c r="H1639" s="66"/>
      <c r="I1639" s="69"/>
      <c r="J1639" s="66"/>
      <c r="K1639" s="66"/>
      <c r="L1639" s="66"/>
      <c r="M1639" s="70"/>
      <c r="N1639" s="71"/>
      <c r="W1639" s="22"/>
    </row>
    <row r="1640" spans="1:23" ht="14.5">
      <c r="A1640" s="63"/>
      <c r="B1640" s="64"/>
      <c r="C1640" s="65"/>
      <c r="D1640" s="66"/>
      <c r="E1640" s="67"/>
      <c r="F1640" s="68"/>
      <c r="G1640" s="68"/>
      <c r="H1640" s="66"/>
      <c r="I1640" s="69"/>
      <c r="J1640" s="66"/>
      <c r="K1640" s="66"/>
      <c r="L1640" s="66"/>
      <c r="M1640" s="70"/>
      <c r="N1640" s="71"/>
      <c r="W1640" s="22"/>
    </row>
    <row r="1641" spans="1:23" ht="14.5">
      <c r="A1641" s="63"/>
      <c r="B1641" s="64"/>
      <c r="C1641" s="65"/>
      <c r="D1641" s="66"/>
      <c r="E1641" s="67"/>
      <c r="F1641" s="68"/>
      <c r="G1641" s="68"/>
      <c r="H1641" s="66"/>
      <c r="I1641" s="69"/>
      <c r="J1641" s="66"/>
      <c r="K1641" s="66"/>
      <c r="L1641" s="66"/>
      <c r="M1641" s="70"/>
      <c r="N1641" s="71"/>
      <c r="W1641" s="22"/>
    </row>
    <row r="1642" spans="1:23" ht="14.5">
      <c r="A1642" s="63"/>
      <c r="B1642" s="64"/>
      <c r="C1642" s="65"/>
      <c r="D1642" s="66"/>
      <c r="E1642" s="67"/>
      <c r="F1642" s="68"/>
      <c r="G1642" s="68"/>
      <c r="H1642" s="66"/>
      <c r="I1642" s="69"/>
      <c r="J1642" s="66"/>
      <c r="K1642" s="66"/>
      <c r="L1642" s="66"/>
      <c r="M1642" s="70"/>
      <c r="N1642" s="71"/>
      <c r="W1642" s="22"/>
    </row>
    <row r="1643" spans="1:23" ht="14.5">
      <c r="A1643" s="63"/>
      <c r="B1643" s="64"/>
      <c r="C1643" s="65"/>
      <c r="D1643" s="66"/>
      <c r="E1643" s="67"/>
      <c r="F1643" s="68"/>
      <c r="G1643" s="68"/>
      <c r="H1643" s="66"/>
      <c r="I1643" s="69"/>
      <c r="J1643" s="66"/>
      <c r="K1643" s="66"/>
      <c r="L1643" s="66"/>
      <c r="M1643" s="70"/>
      <c r="N1643" s="71"/>
      <c r="W1643" s="22"/>
    </row>
    <row r="1644" spans="1:23" ht="14.5">
      <c r="A1644" s="63"/>
      <c r="B1644" s="64"/>
      <c r="C1644" s="65"/>
      <c r="D1644" s="66"/>
      <c r="E1644" s="67"/>
      <c r="F1644" s="68"/>
      <c r="G1644" s="68"/>
      <c r="H1644" s="66"/>
      <c r="I1644" s="69"/>
      <c r="J1644" s="66"/>
      <c r="K1644" s="66"/>
      <c r="L1644" s="66"/>
      <c r="M1644" s="70"/>
      <c r="N1644" s="71"/>
      <c r="W1644" s="22"/>
    </row>
    <row r="1645" spans="1:23" ht="14.5">
      <c r="A1645" s="63"/>
      <c r="B1645" s="64"/>
      <c r="C1645" s="65"/>
      <c r="D1645" s="66"/>
      <c r="E1645" s="67"/>
      <c r="F1645" s="68"/>
      <c r="G1645" s="68"/>
      <c r="H1645" s="66"/>
      <c r="I1645" s="69"/>
      <c r="J1645" s="66"/>
      <c r="K1645" s="66"/>
      <c r="L1645" s="66"/>
      <c r="M1645" s="70"/>
      <c r="N1645" s="71"/>
      <c r="W1645" s="22"/>
    </row>
    <row r="1646" spans="1:23" ht="14.5">
      <c r="A1646" s="63"/>
      <c r="B1646" s="64"/>
      <c r="C1646" s="65"/>
      <c r="D1646" s="66"/>
      <c r="E1646" s="67"/>
      <c r="F1646" s="68"/>
      <c r="G1646" s="68"/>
      <c r="H1646" s="66"/>
      <c r="I1646" s="69"/>
      <c r="J1646" s="66"/>
      <c r="K1646" s="66"/>
      <c r="L1646" s="66"/>
      <c r="M1646" s="70"/>
      <c r="N1646" s="71"/>
      <c r="W1646" s="22"/>
    </row>
    <row r="1647" spans="1:23" ht="14.5">
      <c r="A1647" s="63"/>
      <c r="B1647" s="64"/>
      <c r="C1647" s="65"/>
      <c r="D1647" s="66"/>
      <c r="E1647" s="67"/>
      <c r="F1647" s="68"/>
      <c r="G1647" s="68"/>
      <c r="H1647" s="66"/>
      <c r="I1647" s="69"/>
      <c r="J1647" s="66"/>
      <c r="K1647" s="66"/>
      <c r="L1647" s="66"/>
      <c r="M1647" s="70"/>
      <c r="N1647" s="71"/>
      <c r="W1647" s="22"/>
    </row>
    <row r="1648" spans="1:23" ht="14.5">
      <c r="A1648" s="63"/>
      <c r="B1648" s="64"/>
      <c r="C1648" s="65"/>
      <c r="D1648" s="66"/>
      <c r="E1648" s="67"/>
      <c r="F1648" s="68"/>
      <c r="G1648" s="68"/>
      <c r="H1648" s="66"/>
      <c r="I1648" s="69"/>
      <c r="J1648" s="66"/>
      <c r="K1648" s="66"/>
      <c r="L1648" s="66"/>
      <c r="M1648" s="70"/>
      <c r="N1648" s="71"/>
      <c r="W1648" s="22"/>
    </row>
    <row r="1649" spans="1:23" ht="14.5">
      <c r="A1649" s="63"/>
      <c r="B1649" s="64"/>
      <c r="C1649" s="65"/>
      <c r="D1649" s="66"/>
      <c r="E1649" s="67"/>
      <c r="F1649" s="68"/>
      <c r="G1649" s="68"/>
      <c r="H1649" s="66"/>
      <c r="I1649" s="69"/>
      <c r="J1649" s="66"/>
      <c r="K1649" s="66"/>
      <c r="L1649" s="66"/>
      <c r="M1649" s="70"/>
      <c r="N1649" s="71"/>
      <c r="W1649" s="22"/>
    </row>
    <row r="1650" spans="1:23" ht="14.5">
      <c r="A1650" s="63"/>
      <c r="B1650" s="64"/>
      <c r="C1650" s="65"/>
      <c r="D1650" s="66"/>
      <c r="E1650" s="67"/>
      <c r="F1650" s="68"/>
      <c r="G1650" s="68"/>
      <c r="H1650" s="66"/>
      <c r="I1650" s="69"/>
      <c r="J1650" s="66"/>
      <c r="K1650" s="66"/>
      <c r="L1650" s="66"/>
      <c r="M1650" s="70"/>
      <c r="N1650" s="71"/>
      <c r="W1650" s="22"/>
    </row>
    <row r="1651" spans="1:23" ht="14.5">
      <c r="A1651" s="63"/>
      <c r="B1651" s="64"/>
      <c r="C1651" s="65"/>
      <c r="D1651" s="66"/>
      <c r="E1651" s="67"/>
      <c r="F1651" s="68"/>
      <c r="G1651" s="68"/>
      <c r="H1651" s="66"/>
      <c r="I1651" s="69"/>
      <c r="J1651" s="66"/>
      <c r="K1651" s="66"/>
      <c r="L1651" s="66"/>
      <c r="M1651" s="70"/>
      <c r="N1651" s="71"/>
      <c r="W1651" s="22"/>
    </row>
    <row r="1652" spans="1:23" ht="14.5">
      <c r="A1652" s="63"/>
      <c r="B1652" s="64"/>
      <c r="C1652" s="65"/>
      <c r="D1652" s="66"/>
      <c r="E1652" s="67"/>
      <c r="F1652" s="68"/>
      <c r="G1652" s="68"/>
      <c r="H1652" s="66"/>
      <c r="I1652" s="69"/>
      <c r="J1652" s="66"/>
      <c r="K1652" s="66"/>
      <c r="L1652" s="66"/>
      <c r="M1652" s="70"/>
      <c r="N1652" s="71"/>
      <c r="W1652" s="22"/>
    </row>
    <row r="1653" spans="1:23" ht="14.5">
      <c r="A1653" s="63"/>
      <c r="B1653" s="64"/>
      <c r="C1653" s="65"/>
      <c r="D1653" s="66"/>
      <c r="E1653" s="67"/>
      <c r="F1653" s="68"/>
      <c r="G1653" s="68"/>
      <c r="H1653" s="66"/>
      <c r="I1653" s="69"/>
      <c r="J1653" s="66"/>
      <c r="K1653" s="66"/>
      <c r="L1653" s="66"/>
      <c r="M1653" s="70"/>
      <c r="N1653" s="71"/>
      <c r="W1653" s="22"/>
    </row>
    <row r="1654" spans="1:23" ht="14.5">
      <c r="A1654" s="63"/>
      <c r="B1654" s="64"/>
      <c r="C1654" s="65"/>
      <c r="D1654" s="66"/>
      <c r="E1654" s="67"/>
      <c r="F1654" s="68"/>
      <c r="G1654" s="68"/>
      <c r="H1654" s="66"/>
      <c r="I1654" s="69"/>
      <c r="J1654" s="66"/>
      <c r="K1654" s="66"/>
      <c r="L1654" s="66"/>
      <c r="M1654" s="70"/>
      <c r="N1654" s="71"/>
      <c r="W1654" s="22"/>
    </row>
    <row r="1655" spans="1:23" ht="14.5">
      <c r="A1655" s="63"/>
      <c r="B1655" s="64"/>
      <c r="C1655" s="65"/>
      <c r="D1655" s="66"/>
      <c r="E1655" s="67"/>
      <c r="F1655" s="68"/>
      <c r="G1655" s="68"/>
      <c r="H1655" s="66"/>
      <c r="I1655" s="69"/>
      <c r="J1655" s="66"/>
      <c r="K1655" s="66"/>
      <c r="L1655" s="66"/>
      <c r="M1655" s="70"/>
      <c r="N1655" s="71"/>
      <c r="W1655" s="22"/>
    </row>
    <row r="1656" spans="1:23" ht="14.5">
      <c r="A1656" s="63"/>
      <c r="B1656" s="64"/>
      <c r="C1656" s="65"/>
      <c r="D1656" s="66"/>
      <c r="E1656" s="67"/>
      <c r="F1656" s="68"/>
      <c r="G1656" s="68"/>
      <c r="H1656" s="66"/>
      <c r="I1656" s="69"/>
      <c r="J1656" s="66"/>
      <c r="K1656" s="66"/>
      <c r="L1656" s="66"/>
      <c r="M1656" s="70"/>
      <c r="N1656" s="71"/>
      <c r="W1656" s="22"/>
    </row>
    <row r="1657" spans="1:23" ht="14.5">
      <c r="A1657" s="63"/>
      <c r="B1657" s="64"/>
      <c r="C1657" s="65"/>
      <c r="D1657" s="66"/>
      <c r="E1657" s="67"/>
      <c r="F1657" s="68"/>
      <c r="G1657" s="68"/>
      <c r="H1657" s="66"/>
      <c r="I1657" s="69"/>
      <c r="J1657" s="66"/>
      <c r="K1657" s="66"/>
      <c r="L1657" s="66"/>
      <c r="M1657" s="70"/>
      <c r="N1657" s="71"/>
      <c r="W1657" s="22"/>
    </row>
    <row r="1658" spans="1:23" ht="14.5">
      <c r="A1658" s="63"/>
      <c r="B1658" s="64"/>
      <c r="C1658" s="65"/>
      <c r="D1658" s="66"/>
      <c r="E1658" s="67"/>
      <c r="F1658" s="68"/>
      <c r="G1658" s="68"/>
      <c r="H1658" s="66"/>
      <c r="I1658" s="69"/>
      <c r="J1658" s="66"/>
      <c r="K1658" s="66"/>
      <c r="L1658" s="66"/>
      <c r="M1658" s="70"/>
      <c r="N1658" s="71"/>
      <c r="W1658" s="22"/>
    </row>
    <row r="1659" spans="1:23" ht="14.5">
      <c r="A1659" s="63"/>
      <c r="B1659" s="64"/>
      <c r="C1659" s="65"/>
      <c r="D1659" s="66"/>
      <c r="E1659" s="67"/>
      <c r="F1659" s="68"/>
      <c r="G1659" s="68"/>
      <c r="H1659" s="66"/>
      <c r="I1659" s="69"/>
      <c r="J1659" s="66"/>
      <c r="K1659" s="66"/>
      <c r="L1659" s="66"/>
      <c r="M1659" s="70"/>
      <c r="N1659" s="71"/>
      <c r="W1659" s="22"/>
    </row>
    <row r="1660" spans="1:23" ht="14.5">
      <c r="A1660" s="63"/>
      <c r="B1660" s="64"/>
      <c r="C1660" s="65"/>
      <c r="D1660" s="66"/>
      <c r="E1660" s="67"/>
      <c r="F1660" s="68"/>
      <c r="G1660" s="68"/>
      <c r="H1660" s="66"/>
      <c r="I1660" s="69"/>
      <c r="J1660" s="66"/>
      <c r="K1660" s="66"/>
      <c r="L1660" s="66"/>
      <c r="M1660" s="70"/>
      <c r="N1660" s="71"/>
      <c r="W1660" s="22"/>
    </row>
    <row r="1661" spans="1:23" ht="14.5">
      <c r="A1661" s="63"/>
      <c r="B1661" s="64"/>
      <c r="C1661" s="65"/>
      <c r="D1661" s="66"/>
      <c r="E1661" s="67"/>
      <c r="F1661" s="68"/>
      <c r="G1661" s="68"/>
      <c r="H1661" s="66"/>
      <c r="I1661" s="69"/>
      <c r="J1661" s="66"/>
      <c r="K1661" s="66"/>
      <c r="L1661" s="66"/>
      <c r="M1661" s="70"/>
      <c r="N1661" s="71"/>
      <c r="W1661" s="22"/>
    </row>
    <row r="1662" spans="1:23" ht="14.5">
      <c r="A1662" s="63"/>
      <c r="B1662" s="64"/>
      <c r="C1662" s="65"/>
      <c r="D1662" s="66"/>
      <c r="E1662" s="67"/>
      <c r="F1662" s="68"/>
      <c r="G1662" s="68"/>
      <c r="H1662" s="66"/>
      <c r="I1662" s="69"/>
      <c r="J1662" s="66"/>
      <c r="K1662" s="66"/>
      <c r="L1662" s="66"/>
      <c r="M1662" s="70"/>
      <c r="N1662" s="71"/>
      <c r="W1662" s="22"/>
    </row>
    <row r="1663" spans="1:23" ht="14.5">
      <c r="A1663" s="63"/>
      <c r="B1663" s="64"/>
      <c r="C1663" s="65"/>
      <c r="D1663" s="66"/>
      <c r="E1663" s="67"/>
      <c r="F1663" s="68"/>
      <c r="G1663" s="68"/>
      <c r="H1663" s="66"/>
      <c r="I1663" s="69"/>
      <c r="J1663" s="66"/>
      <c r="K1663" s="66"/>
      <c r="L1663" s="66"/>
      <c r="M1663" s="70"/>
      <c r="N1663" s="71"/>
      <c r="W1663" s="22"/>
    </row>
    <row r="1664" spans="1:23" ht="14.5">
      <c r="A1664" s="63"/>
      <c r="B1664" s="64"/>
      <c r="C1664" s="65"/>
      <c r="D1664" s="66"/>
      <c r="E1664" s="67"/>
      <c r="F1664" s="68"/>
      <c r="G1664" s="68"/>
      <c r="H1664" s="66"/>
      <c r="I1664" s="69"/>
      <c r="J1664" s="66"/>
      <c r="K1664" s="66"/>
      <c r="L1664" s="66"/>
      <c r="M1664" s="70"/>
      <c r="N1664" s="71"/>
      <c r="W1664" s="22"/>
    </row>
    <row r="1665" spans="1:23" ht="14.5">
      <c r="A1665" s="63"/>
      <c r="B1665" s="64"/>
      <c r="C1665" s="65"/>
      <c r="D1665" s="66"/>
      <c r="E1665" s="67"/>
      <c r="F1665" s="68"/>
      <c r="G1665" s="68"/>
      <c r="H1665" s="66"/>
      <c r="I1665" s="69"/>
      <c r="J1665" s="66"/>
      <c r="K1665" s="66"/>
      <c r="L1665" s="66"/>
      <c r="M1665" s="70"/>
      <c r="N1665" s="71"/>
      <c r="W1665" s="22"/>
    </row>
    <row r="1666" spans="1:23" ht="14.5">
      <c r="A1666" s="63"/>
      <c r="B1666" s="64"/>
      <c r="C1666" s="65"/>
      <c r="D1666" s="66"/>
      <c r="E1666" s="67"/>
      <c r="F1666" s="68"/>
      <c r="G1666" s="68"/>
      <c r="H1666" s="66"/>
      <c r="I1666" s="69"/>
      <c r="J1666" s="66"/>
      <c r="K1666" s="66"/>
      <c r="L1666" s="66"/>
      <c r="M1666" s="70"/>
      <c r="N1666" s="71"/>
      <c r="W1666" s="22"/>
    </row>
    <row r="1667" spans="1:23" ht="14.5">
      <c r="A1667" s="63"/>
      <c r="B1667" s="64"/>
      <c r="C1667" s="65"/>
      <c r="D1667" s="66"/>
      <c r="E1667" s="67"/>
      <c r="F1667" s="68"/>
      <c r="G1667" s="68"/>
      <c r="H1667" s="66"/>
      <c r="I1667" s="69"/>
      <c r="J1667" s="66"/>
      <c r="K1667" s="66"/>
      <c r="L1667" s="66"/>
      <c r="M1667" s="70"/>
      <c r="N1667" s="71"/>
      <c r="W1667" s="22"/>
    </row>
    <row r="1668" spans="1:23" ht="14.5">
      <c r="A1668" s="63"/>
      <c r="B1668" s="64"/>
      <c r="C1668" s="65"/>
      <c r="D1668" s="66"/>
      <c r="E1668" s="67"/>
      <c r="F1668" s="68"/>
      <c r="G1668" s="68"/>
      <c r="H1668" s="66"/>
      <c r="I1668" s="69"/>
      <c r="J1668" s="66"/>
      <c r="K1668" s="66"/>
      <c r="L1668" s="66"/>
      <c r="M1668" s="70"/>
      <c r="N1668" s="71"/>
      <c r="W1668" s="22"/>
    </row>
    <row r="1669" spans="1:23" ht="14.5">
      <c r="A1669" s="63"/>
      <c r="B1669" s="64"/>
      <c r="C1669" s="65"/>
      <c r="D1669" s="66"/>
      <c r="E1669" s="67"/>
      <c r="F1669" s="68"/>
      <c r="G1669" s="68"/>
      <c r="H1669" s="66"/>
      <c r="I1669" s="69"/>
      <c r="J1669" s="66"/>
      <c r="K1669" s="66"/>
      <c r="L1669" s="66"/>
      <c r="M1669" s="70"/>
      <c r="N1669" s="71"/>
      <c r="W1669" s="22"/>
    </row>
    <row r="1670" spans="1:23" ht="14.5">
      <c r="A1670" s="63"/>
      <c r="B1670" s="64"/>
      <c r="C1670" s="65"/>
      <c r="D1670" s="66"/>
      <c r="E1670" s="67"/>
      <c r="F1670" s="68"/>
      <c r="G1670" s="68"/>
      <c r="H1670" s="66"/>
      <c r="I1670" s="69"/>
      <c r="J1670" s="66"/>
      <c r="K1670" s="66"/>
      <c r="L1670" s="66"/>
      <c r="M1670" s="70"/>
      <c r="N1670" s="71"/>
      <c r="W1670" s="22"/>
    </row>
    <row r="1671" spans="1:23" ht="14.5">
      <c r="A1671" s="63"/>
      <c r="B1671" s="64"/>
      <c r="C1671" s="65"/>
      <c r="D1671" s="66"/>
      <c r="E1671" s="67"/>
      <c r="F1671" s="68"/>
      <c r="G1671" s="68"/>
      <c r="H1671" s="66"/>
      <c r="I1671" s="69"/>
      <c r="J1671" s="66"/>
      <c r="K1671" s="66"/>
      <c r="L1671" s="66"/>
      <c r="M1671" s="70"/>
      <c r="N1671" s="71"/>
      <c r="W1671" s="22"/>
    </row>
    <row r="1672" spans="1:23" ht="14.5">
      <c r="A1672" s="63"/>
      <c r="B1672" s="64"/>
      <c r="C1672" s="65"/>
      <c r="D1672" s="66"/>
      <c r="E1672" s="67"/>
      <c r="F1672" s="68"/>
      <c r="G1672" s="68"/>
      <c r="H1672" s="66"/>
      <c r="I1672" s="69"/>
      <c r="J1672" s="66"/>
      <c r="K1672" s="66"/>
      <c r="L1672" s="66"/>
      <c r="M1672" s="70"/>
      <c r="N1672" s="71"/>
      <c r="W1672" s="22"/>
    </row>
    <row r="1673" spans="1:23" ht="14.5">
      <c r="A1673" s="63"/>
      <c r="B1673" s="64"/>
      <c r="C1673" s="65"/>
      <c r="D1673" s="66"/>
      <c r="E1673" s="67"/>
      <c r="F1673" s="68"/>
      <c r="G1673" s="68"/>
      <c r="H1673" s="66"/>
      <c r="I1673" s="69"/>
      <c r="J1673" s="66"/>
      <c r="K1673" s="66"/>
      <c r="L1673" s="66"/>
      <c r="M1673" s="70"/>
      <c r="N1673" s="71"/>
      <c r="W1673" s="22"/>
    </row>
    <row r="1674" spans="1:23" ht="14.5">
      <c r="A1674" s="63"/>
      <c r="B1674" s="64"/>
      <c r="C1674" s="65"/>
      <c r="D1674" s="66"/>
      <c r="E1674" s="67"/>
      <c r="F1674" s="68"/>
      <c r="G1674" s="68"/>
      <c r="H1674" s="66"/>
      <c r="I1674" s="69"/>
      <c r="J1674" s="66"/>
      <c r="K1674" s="66"/>
      <c r="L1674" s="66"/>
      <c r="M1674" s="70"/>
      <c r="N1674" s="71"/>
      <c r="W1674" s="22"/>
    </row>
    <row r="1675" spans="1:23" ht="14.5">
      <c r="A1675" s="63"/>
      <c r="B1675" s="64"/>
      <c r="C1675" s="65"/>
      <c r="D1675" s="66"/>
      <c r="E1675" s="67"/>
      <c r="F1675" s="68"/>
      <c r="G1675" s="68"/>
      <c r="H1675" s="66"/>
      <c r="I1675" s="69"/>
      <c r="J1675" s="66"/>
      <c r="K1675" s="66"/>
      <c r="L1675" s="66"/>
      <c r="M1675" s="70"/>
      <c r="N1675" s="71"/>
      <c r="W1675" s="22"/>
    </row>
    <row r="1676" spans="1:23" ht="14.5">
      <c r="A1676" s="63"/>
      <c r="B1676" s="64"/>
      <c r="C1676" s="65"/>
      <c r="D1676" s="66"/>
      <c r="E1676" s="67"/>
      <c r="F1676" s="68"/>
      <c r="G1676" s="68"/>
      <c r="H1676" s="66"/>
      <c r="I1676" s="69"/>
      <c r="J1676" s="66"/>
      <c r="K1676" s="66"/>
      <c r="L1676" s="66"/>
      <c r="M1676" s="70"/>
      <c r="N1676" s="71"/>
      <c r="W1676" s="22"/>
    </row>
    <row r="1677" spans="1:23" ht="14.5">
      <c r="A1677" s="63"/>
      <c r="B1677" s="64"/>
      <c r="C1677" s="65"/>
      <c r="D1677" s="66"/>
      <c r="E1677" s="67"/>
      <c r="F1677" s="68"/>
      <c r="G1677" s="68"/>
      <c r="H1677" s="66"/>
      <c r="I1677" s="69"/>
      <c r="J1677" s="66"/>
      <c r="K1677" s="66"/>
      <c r="L1677" s="66"/>
      <c r="M1677" s="70"/>
      <c r="N1677" s="71"/>
      <c r="W1677" s="22"/>
    </row>
    <row r="1678" spans="1:23" ht="14.5">
      <c r="A1678" s="63"/>
      <c r="B1678" s="64"/>
      <c r="C1678" s="65"/>
      <c r="D1678" s="66"/>
      <c r="E1678" s="67"/>
      <c r="F1678" s="68"/>
      <c r="G1678" s="68"/>
      <c r="H1678" s="66"/>
      <c r="I1678" s="69"/>
      <c r="J1678" s="66"/>
      <c r="K1678" s="66"/>
      <c r="L1678" s="66"/>
      <c r="M1678" s="70"/>
      <c r="N1678" s="71"/>
      <c r="W1678" s="22"/>
    </row>
    <row r="1679" spans="1:23" ht="14.5">
      <c r="A1679" s="63"/>
      <c r="B1679" s="64"/>
      <c r="C1679" s="65"/>
      <c r="D1679" s="66"/>
      <c r="E1679" s="67"/>
      <c r="F1679" s="68"/>
      <c r="G1679" s="68"/>
      <c r="H1679" s="66"/>
      <c r="I1679" s="69"/>
      <c r="J1679" s="66"/>
      <c r="K1679" s="66"/>
      <c r="L1679" s="66"/>
      <c r="M1679" s="70"/>
      <c r="N1679" s="71"/>
      <c r="W1679" s="22"/>
    </row>
    <row r="1680" spans="1:23" ht="14.5">
      <c r="A1680" s="63"/>
      <c r="B1680" s="64"/>
      <c r="C1680" s="65"/>
      <c r="D1680" s="66"/>
      <c r="E1680" s="67"/>
      <c r="F1680" s="68"/>
      <c r="G1680" s="68"/>
      <c r="H1680" s="66"/>
      <c r="I1680" s="69"/>
      <c r="J1680" s="66"/>
      <c r="K1680" s="66"/>
      <c r="L1680" s="66"/>
      <c r="M1680" s="70"/>
      <c r="N1680" s="71"/>
      <c r="W1680" s="22"/>
    </row>
    <row r="1681" spans="1:23" ht="14.5">
      <c r="A1681" s="63"/>
      <c r="B1681" s="64"/>
      <c r="C1681" s="65"/>
      <c r="D1681" s="66"/>
      <c r="E1681" s="67"/>
      <c r="F1681" s="68"/>
      <c r="G1681" s="68"/>
      <c r="H1681" s="66"/>
      <c r="I1681" s="69"/>
      <c r="J1681" s="66"/>
      <c r="K1681" s="66"/>
      <c r="L1681" s="66"/>
      <c r="M1681" s="70"/>
      <c r="N1681" s="71"/>
      <c r="W1681" s="22"/>
    </row>
    <row r="1682" spans="1:23" ht="14.5">
      <c r="A1682" s="63"/>
      <c r="B1682" s="64"/>
      <c r="C1682" s="65"/>
      <c r="D1682" s="66"/>
      <c r="E1682" s="67"/>
      <c r="F1682" s="68"/>
      <c r="G1682" s="68"/>
      <c r="H1682" s="66"/>
      <c r="I1682" s="69"/>
      <c r="J1682" s="66"/>
      <c r="K1682" s="66"/>
      <c r="L1682" s="66"/>
      <c r="M1682" s="70"/>
      <c r="N1682" s="71"/>
      <c r="W1682" s="22"/>
    </row>
    <row r="1683" spans="1:23" ht="14.5">
      <c r="A1683" s="63"/>
      <c r="B1683" s="64"/>
      <c r="C1683" s="65"/>
      <c r="D1683" s="66"/>
      <c r="E1683" s="67"/>
      <c r="F1683" s="68"/>
      <c r="G1683" s="68"/>
      <c r="H1683" s="66"/>
      <c r="I1683" s="69"/>
      <c r="J1683" s="66"/>
      <c r="K1683" s="66"/>
      <c r="L1683" s="66"/>
      <c r="M1683" s="70"/>
      <c r="N1683" s="71"/>
      <c r="W1683" s="22"/>
    </row>
    <row r="1684" spans="1:23" ht="14.5">
      <c r="A1684" s="63"/>
      <c r="B1684" s="64"/>
      <c r="C1684" s="65"/>
      <c r="D1684" s="66"/>
      <c r="E1684" s="67"/>
      <c r="F1684" s="68"/>
      <c r="G1684" s="68"/>
      <c r="H1684" s="66"/>
      <c r="I1684" s="69"/>
      <c r="J1684" s="66"/>
      <c r="K1684" s="66"/>
      <c r="L1684" s="66"/>
      <c r="M1684" s="70"/>
      <c r="N1684" s="71"/>
      <c r="W1684" s="22"/>
    </row>
    <row r="1685" spans="1:23" ht="14.5">
      <c r="A1685" s="63"/>
      <c r="B1685" s="64"/>
      <c r="C1685" s="65"/>
      <c r="D1685" s="66"/>
      <c r="E1685" s="67"/>
      <c r="F1685" s="68"/>
      <c r="G1685" s="68"/>
      <c r="H1685" s="66"/>
      <c r="I1685" s="69"/>
      <c r="J1685" s="66"/>
      <c r="K1685" s="66"/>
      <c r="L1685" s="66"/>
      <c r="M1685" s="70"/>
      <c r="N1685" s="71"/>
      <c r="W1685" s="22"/>
    </row>
    <row r="1686" spans="1:23" ht="14.5">
      <c r="A1686" s="63"/>
      <c r="B1686" s="64"/>
      <c r="C1686" s="65"/>
      <c r="D1686" s="66"/>
      <c r="E1686" s="67"/>
      <c r="F1686" s="68"/>
      <c r="G1686" s="68"/>
      <c r="H1686" s="66"/>
      <c r="I1686" s="69"/>
      <c r="J1686" s="66"/>
      <c r="K1686" s="66"/>
      <c r="L1686" s="66"/>
      <c r="M1686" s="70"/>
      <c r="N1686" s="71"/>
      <c r="W1686" s="22"/>
    </row>
    <row r="1687" spans="1:23" ht="14.5">
      <c r="A1687" s="63"/>
      <c r="B1687" s="64"/>
      <c r="C1687" s="65"/>
      <c r="D1687" s="66"/>
      <c r="E1687" s="67"/>
      <c r="F1687" s="68"/>
      <c r="G1687" s="68"/>
      <c r="H1687" s="66"/>
      <c r="I1687" s="69"/>
      <c r="J1687" s="66"/>
      <c r="K1687" s="66"/>
      <c r="L1687" s="66"/>
      <c r="M1687" s="70"/>
      <c r="N1687" s="71"/>
      <c r="W1687" s="22"/>
    </row>
    <row r="1688" spans="1:23" ht="14.5">
      <c r="A1688" s="63"/>
      <c r="B1688" s="64"/>
      <c r="C1688" s="65"/>
      <c r="D1688" s="66"/>
      <c r="E1688" s="67"/>
      <c r="F1688" s="68"/>
      <c r="G1688" s="68"/>
      <c r="H1688" s="66"/>
      <c r="I1688" s="69"/>
      <c r="J1688" s="66"/>
      <c r="K1688" s="66"/>
      <c r="L1688" s="66"/>
      <c r="M1688" s="70"/>
      <c r="N1688" s="71"/>
      <c r="W1688" s="22"/>
    </row>
    <row r="1689" spans="1:23" ht="14.5">
      <c r="A1689" s="63"/>
      <c r="B1689" s="64"/>
      <c r="C1689" s="65"/>
      <c r="D1689" s="66"/>
      <c r="E1689" s="67"/>
      <c r="F1689" s="68"/>
      <c r="G1689" s="68"/>
      <c r="H1689" s="66"/>
      <c r="I1689" s="69"/>
      <c r="J1689" s="66"/>
      <c r="K1689" s="66"/>
      <c r="L1689" s="66"/>
      <c r="M1689" s="70"/>
      <c r="N1689" s="71"/>
      <c r="W1689" s="22"/>
    </row>
    <row r="1690" spans="1:23" ht="14.5">
      <c r="A1690" s="63"/>
      <c r="B1690" s="64"/>
      <c r="C1690" s="65"/>
      <c r="D1690" s="66"/>
      <c r="E1690" s="67"/>
      <c r="F1690" s="68"/>
      <c r="G1690" s="68"/>
      <c r="H1690" s="66"/>
      <c r="I1690" s="69"/>
      <c r="J1690" s="66"/>
      <c r="K1690" s="66"/>
      <c r="L1690" s="66"/>
      <c r="M1690" s="70"/>
      <c r="N1690" s="71"/>
      <c r="W1690" s="22"/>
    </row>
    <row r="1691" spans="1:23" ht="14.5">
      <c r="A1691" s="63"/>
      <c r="B1691" s="64"/>
      <c r="C1691" s="65"/>
      <c r="D1691" s="66"/>
      <c r="E1691" s="67"/>
      <c r="F1691" s="68"/>
      <c r="G1691" s="68"/>
      <c r="H1691" s="66"/>
      <c r="I1691" s="69"/>
      <c r="J1691" s="66"/>
      <c r="K1691" s="66"/>
      <c r="L1691" s="66"/>
      <c r="M1691" s="70"/>
      <c r="N1691" s="71"/>
      <c r="W1691" s="22"/>
    </row>
    <row r="1692" spans="1:23" ht="14.5">
      <c r="A1692" s="63"/>
      <c r="B1692" s="64"/>
      <c r="C1692" s="65"/>
      <c r="D1692" s="66"/>
      <c r="E1692" s="67"/>
      <c r="F1692" s="68"/>
      <c r="G1692" s="68"/>
      <c r="H1692" s="66"/>
      <c r="I1692" s="69"/>
      <c r="J1692" s="66"/>
      <c r="K1692" s="66"/>
      <c r="L1692" s="66"/>
      <c r="M1692" s="70"/>
      <c r="N1692" s="71"/>
      <c r="W1692" s="22"/>
    </row>
    <row r="1693" spans="1:23" ht="14.5">
      <c r="A1693" s="63"/>
      <c r="B1693" s="64"/>
      <c r="C1693" s="65"/>
      <c r="D1693" s="66"/>
      <c r="E1693" s="67"/>
      <c r="F1693" s="68"/>
      <c r="G1693" s="68"/>
      <c r="H1693" s="66"/>
      <c r="I1693" s="69"/>
      <c r="J1693" s="66"/>
      <c r="K1693" s="66"/>
      <c r="L1693" s="66"/>
      <c r="M1693" s="70"/>
      <c r="N1693" s="71"/>
      <c r="W1693" s="22"/>
    </row>
    <row r="1694" spans="1:23" ht="14.5">
      <c r="A1694" s="63"/>
      <c r="B1694" s="64"/>
      <c r="C1694" s="65"/>
      <c r="D1694" s="66"/>
      <c r="E1694" s="67"/>
      <c r="F1694" s="68"/>
      <c r="G1694" s="68"/>
      <c r="H1694" s="66"/>
      <c r="I1694" s="69"/>
      <c r="J1694" s="66"/>
      <c r="K1694" s="66"/>
      <c r="L1694" s="66"/>
      <c r="M1694" s="70"/>
      <c r="N1694" s="71"/>
      <c r="W1694" s="22"/>
    </row>
    <row r="1695" spans="1:23" ht="14.5">
      <c r="A1695" s="63"/>
      <c r="B1695" s="64"/>
      <c r="C1695" s="65"/>
      <c r="D1695" s="66"/>
      <c r="E1695" s="67"/>
      <c r="F1695" s="68"/>
      <c r="G1695" s="68"/>
      <c r="H1695" s="66"/>
      <c r="I1695" s="69"/>
      <c r="J1695" s="66"/>
      <c r="K1695" s="66"/>
      <c r="L1695" s="66"/>
      <c r="M1695" s="70"/>
      <c r="N1695" s="71"/>
      <c r="W1695" s="22"/>
    </row>
    <row r="1696" spans="1:23" ht="14.5">
      <c r="A1696" s="63"/>
      <c r="B1696" s="64"/>
      <c r="C1696" s="65"/>
      <c r="D1696" s="66"/>
      <c r="E1696" s="67"/>
      <c r="F1696" s="68"/>
      <c r="G1696" s="68"/>
      <c r="H1696" s="66"/>
      <c r="I1696" s="69"/>
      <c r="J1696" s="66"/>
      <c r="K1696" s="66"/>
      <c r="L1696" s="66"/>
      <c r="M1696" s="70"/>
      <c r="N1696" s="71"/>
      <c r="W1696" s="22"/>
    </row>
    <row r="1697" spans="1:23" ht="14.5">
      <c r="A1697" s="63"/>
      <c r="B1697" s="64"/>
      <c r="C1697" s="65"/>
      <c r="D1697" s="66"/>
      <c r="E1697" s="67"/>
      <c r="F1697" s="68"/>
      <c r="G1697" s="68"/>
      <c r="H1697" s="66"/>
      <c r="I1697" s="69"/>
      <c r="J1697" s="66"/>
      <c r="K1697" s="66"/>
      <c r="L1697" s="66"/>
      <c r="M1697" s="70"/>
      <c r="N1697" s="71"/>
      <c r="W1697" s="22"/>
    </row>
    <row r="1698" spans="1:23" ht="14.5">
      <c r="A1698" s="63"/>
      <c r="B1698" s="64"/>
      <c r="C1698" s="65"/>
      <c r="D1698" s="66"/>
      <c r="E1698" s="67"/>
      <c r="F1698" s="68"/>
      <c r="G1698" s="68"/>
      <c r="H1698" s="66"/>
      <c r="I1698" s="69"/>
      <c r="J1698" s="66"/>
      <c r="K1698" s="66"/>
      <c r="L1698" s="66"/>
      <c r="M1698" s="70"/>
      <c r="N1698" s="71"/>
      <c r="W1698" s="22"/>
    </row>
    <row r="1699" spans="1:23" ht="14.5">
      <c r="A1699" s="63"/>
      <c r="B1699" s="64"/>
      <c r="C1699" s="65"/>
      <c r="D1699" s="66"/>
      <c r="E1699" s="67"/>
      <c r="F1699" s="68"/>
      <c r="G1699" s="68"/>
      <c r="H1699" s="66"/>
      <c r="I1699" s="69"/>
      <c r="J1699" s="66"/>
      <c r="K1699" s="66"/>
      <c r="L1699" s="66"/>
      <c r="M1699" s="70"/>
      <c r="N1699" s="71"/>
      <c r="W1699" s="22"/>
    </row>
    <row r="1700" spans="1:23" ht="14.5">
      <c r="A1700" s="63"/>
      <c r="B1700" s="64"/>
      <c r="C1700" s="65"/>
      <c r="D1700" s="66"/>
      <c r="E1700" s="67"/>
      <c r="F1700" s="68"/>
      <c r="G1700" s="68"/>
      <c r="H1700" s="66"/>
      <c r="I1700" s="69"/>
      <c r="J1700" s="66"/>
      <c r="K1700" s="66"/>
      <c r="L1700" s="66"/>
      <c r="M1700" s="70"/>
      <c r="N1700" s="71"/>
      <c r="W1700" s="22"/>
    </row>
    <row r="1701" spans="1:23" ht="14.5">
      <c r="A1701" s="63"/>
      <c r="B1701" s="64"/>
      <c r="C1701" s="65"/>
      <c r="D1701" s="66"/>
      <c r="E1701" s="67"/>
      <c r="F1701" s="68"/>
      <c r="G1701" s="68"/>
      <c r="H1701" s="66"/>
      <c r="I1701" s="69"/>
      <c r="J1701" s="66"/>
      <c r="K1701" s="66"/>
      <c r="L1701" s="66"/>
      <c r="M1701" s="70"/>
      <c r="N1701" s="71"/>
      <c r="W1701" s="22"/>
    </row>
    <row r="1702" spans="1:23" ht="14.5">
      <c r="A1702" s="63"/>
      <c r="B1702" s="64"/>
      <c r="C1702" s="65"/>
      <c r="D1702" s="66"/>
      <c r="E1702" s="67"/>
      <c r="F1702" s="68"/>
      <c r="G1702" s="68"/>
      <c r="H1702" s="66"/>
      <c r="I1702" s="69"/>
      <c r="J1702" s="66"/>
      <c r="K1702" s="66"/>
      <c r="L1702" s="66"/>
      <c r="M1702" s="70"/>
      <c r="N1702" s="71"/>
      <c r="W1702" s="22"/>
    </row>
    <row r="1703" spans="1:23" ht="14.5">
      <c r="A1703" s="63"/>
      <c r="B1703" s="64"/>
      <c r="C1703" s="65"/>
      <c r="D1703" s="66"/>
      <c r="E1703" s="67"/>
      <c r="F1703" s="68"/>
      <c r="G1703" s="68"/>
      <c r="H1703" s="66"/>
      <c r="I1703" s="69"/>
      <c r="J1703" s="66"/>
      <c r="K1703" s="66"/>
      <c r="L1703" s="66"/>
      <c r="M1703" s="70"/>
      <c r="N1703" s="71"/>
      <c r="W1703" s="22"/>
    </row>
    <row r="1704" spans="1:23" ht="14.5">
      <c r="A1704" s="63"/>
      <c r="B1704" s="64"/>
      <c r="C1704" s="65"/>
      <c r="D1704" s="66"/>
      <c r="E1704" s="67"/>
      <c r="F1704" s="68"/>
      <c r="G1704" s="68"/>
      <c r="H1704" s="66"/>
      <c r="I1704" s="69"/>
      <c r="J1704" s="66"/>
      <c r="K1704" s="66"/>
      <c r="L1704" s="66"/>
      <c r="M1704" s="70"/>
      <c r="N1704" s="71"/>
      <c r="W1704" s="22"/>
    </row>
    <row r="1705" spans="1:23" ht="14.5">
      <c r="A1705" s="63"/>
      <c r="B1705" s="64"/>
      <c r="C1705" s="65"/>
      <c r="D1705" s="66"/>
      <c r="E1705" s="67"/>
      <c r="F1705" s="68"/>
      <c r="G1705" s="68"/>
      <c r="H1705" s="66"/>
      <c r="I1705" s="69"/>
      <c r="J1705" s="66"/>
      <c r="K1705" s="66"/>
      <c r="L1705" s="66"/>
      <c r="M1705" s="70"/>
      <c r="N1705" s="71"/>
      <c r="W1705" s="22"/>
    </row>
    <row r="1706" spans="1:23" ht="14.5">
      <c r="A1706" s="63"/>
      <c r="B1706" s="64"/>
      <c r="C1706" s="65"/>
      <c r="D1706" s="66"/>
      <c r="E1706" s="67"/>
      <c r="F1706" s="68"/>
      <c r="G1706" s="68"/>
      <c r="H1706" s="66"/>
      <c r="I1706" s="69"/>
      <c r="J1706" s="66"/>
      <c r="K1706" s="66"/>
      <c r="L1706" s="66"/>
      <c r="M1706" s="70"/>
      <c r="N1706" s="71"/>
      <c r="W1706" s="22"/>
    </row>
    <row r="1707" spans="1:23" ht="14.5">
      <c r="A1707" s="63"/>
      <c r="B1707" s="64"/>
      <c r="C1707" s="65"/>
      <c r="D1707" s="66"/>
      <c r="E1707" s="67"/>
      <c r="F1707" s="68"/>
      <c r="G1707" s="68"/>
      <c r="H1707" s="66"/>
      <c r="I1707" s="69"/>
      <c r="J1707" s="66"/>
      <c r="K1707" s="66"/>
      <c r="L1707" s="66"/>
      <c r="M1707" s="70"/>
      <c r="N1707" s="71"/>
      <c r="W1707" s="22"/>
    </row>
    <row r="1708" spans="1:23" ht="14.5">
      <c r="A1708" s="63"/>
      <c r="B1708" s="64"/>
      <c r="C1708" s="65"/>
      <c r="D1708" s="66"/>
      <c r="E1708" s="67"/>
      <c r="F1708" s="68"/>
      <c r="G1708" s="68"/>
      <c r="H1708" s="66"/>
      <c r="I1708" s="69"/>
      <c r="J1708" s="66"/>
      <c r="K1708" s="66"/>
      <c r="L1708" s="66"/>
      <c r="M1708" s="70"/>
      <c r="N1708" s="71"/>
      <c r="W1708" s="22"/>
    </row>
    <row r="1709" spans="1:23" ht="14.5">
      <c r="A1709" s="63"/>
      <c r="B1709" s="64"/>
      <c r="C1709" s="65"/>
      <c r="D1709" s="66"/>
      <c r="E1709" s="67"/>
      <c r="F1709" s="68"/>
      <c r="G1709" s="68"/>
      <c r="H1709" s="66"/>
      <c r="I1709" s="69"/>
      <c r="J1709" s="66"/>
      <c r="K1709" s="66"/>
      <c r="L1709" s="66"/>
      <c r="M1709" s="70"/>
      <c r="N1709" s="71"/>
      <c r="W1709" s="22"/>
    </row>
    <row r="1710" spans="1:23" ht="14.5">
      <c r="A1710" s="63"/>
      <c r="B1710" s="64"/>
      <c r="C1710" s="65"/>
      <c r="D1710" s="66"/>
      <c r="E1710" s="67"/>
      <c r="F1710" s="68"/>
      <c r="G1710" s="68"/>
      <c r="H1710" s="66"/>
      <c r="I1710" s="69"/>
      <c r="J1710" s="66"/>
      <c r="K1710" s="66"/>
      <c r="L1710" s="66"/>
      <c r="M1710" s="70"/>
      <c r="N1710" s="71"/>
      <c r="W1710" s="22"/>
    </row>
    <row r="1711" spans="1:23" ht="14.5">
      <c r="A1711" s="63"/>
      <c r="B1711" s="64"/>
      <c r="C1711" s="65"/>
      <c r="D1711" s="66"/>
      <c r="E1711" s="67"/>
      <c r="F1711" s="68"/>
      <c r="G1711" s="68"/>
      <c r="H1711" s="66"/>
      <c r="I1711" s="69"/>
      <c r="J1711" s="66"/>
      <c r="K1711" s="66"/>
      <c r="L1711" s="66"/>
      <c r="M1711" s="70"/>
      <c r="N1711" s="71"/>
      <c r="W1711" s="22"/>
    </row>
    <row r="1712" spans="1:23" ht="14.5">
      <c r="A1712" s="63"/>
      <c r="B1712" s="64"/>
      <c r="C1712" s="65"/>
      <c r="D1712" s="66"/>
      <c r="E1712" s="67"/>
      <c r="F1712" s="68"/>
      <c r="G1712" s="68"/>
      <c r="H1712" s="66"/>
      <c r="I1712" s="69"/>
      <c r="J1712" s="66"/>
      <c r="K1712" s="66"/>
      <c r="L1712" s="66"/>
      <c r="M1712" s="70"/>
      <c r="N1712" s="71"/>
      <c r="W1712" s="22"/>
    </row>
    <row r="1713" spans="1:23" ht="14.5">
      <c r="A1713" s="63"/>
      <c r="B1713" s="64"/>
      <c r="C1713" s="65"/>
      <c r="D1713" s="66"/>
      <c r="E1713" s="67"/>
      <c r="F1713" s="68"/>
      <c r="G1713" s="68"/>
      <c r="H1713" s="66"/>
      <c r="I1713" s="69"/>
      <c r="J1713" s="66"/>
      <c r="K1713" s="66"/>
      <c r="L1713" s="66"/>
      <c r="M1713" s="70"/>
      <c r="N1713" s="71"/>
      <c r="W1713" s="22"/>
    </row>
    <row r="1714" spans="1:23" ht="14.5">
      <c r="A1714" s="63"/>
      <c r="B1714" s="64"/>
      <c r="C1714" s="65"/>
      <c r="D1714" s="66"/>
      <c r="E1714" s="67"/>
      <c r="F1714" s="68"/>
      <c r="G1714" s="68"/>
      <c r="H1714" s="66"/>
      <c r="I1714" s="69"/>
      <c r="J1714" s="66"/>
      <c r="K1714" s="66"/>
      <c r="L1714" s="66"/>
      <c r="M1714" s="70"/>
      <c r="N1714" s="71"/>
      <c r="W1714" s="22"/>
    </row>
    <row r="1715" spans="1:23" ht="14.5">
      <c r="A1715" s="63"/>
      <c r="B1715" s="64"/>
      <c r="C1715" s="65"/>
      <c r="D1715" s="66"/>
      <c r="E1715" s="67"/>
      <c r="F1715" s="68"/>
      <c r="G1715" s="68"/>
      <c r="H1715" s="66"/>
      <c r="I1715" s="69"/>
      <c r="J1715" s="66"/>
      <c r="K1715" s="66"/>
      <c r="L1715" s="66"/>
      <c r="M1715" s="70"/>
      <c r="N1715" s="71"/>
      <c r="W1715" s="22"/>
    </row>
    <row r="1716" spans="1:23" ht="14.5">
      <c r="A1716" s="63"/>
      <c r="B1716" s="64"/>
      <c r="C1716" s="65"/>
      <c r="D1716" s="66"/>
      <c r="E1716" s="67"/>
      <c r="F1716" s="68"/>
      <c r="G1716" s="68"/>
      <c r="H1716" s="66"/>
      <c r="I1716" s="69"/>
      <c r="J1716" s="66"/>
      <c r="K1716" s="66"/>
      <c r="L1716" s="66"/>
      <c r="M1716" s="70"/>
      <c r="N1716" s="71"/>
      <c r="W1716" s="22"/>
    </row>
    <row r="1717" spans="1:23" ht="14.5">
      <c r="A1717" s="63"/>
      <c r="B1717" s="64"/>
      <c r="C1717" s="65"/>
      <c r="D1717" s="66"/>
      <c r="E1717" s="67"/>
      <c r="F1717" s="68"/>
      <c r="G1717" s="68"/>
      <c r="H1717" s="66"/>
      <c r="I1717" s="69"/>
      <c r="J1717" s="66"/>
      <c r="K1717" s="66"/>
      <c r="L1717" s="66"/>
      <c r="M1717" s="70"/>
      <c r="N1717" s="71"/>
      <c r="W1717" s="22"/>
    </row>
    <row r="1718" spans="1:23" ht="14.5">
      <c r="A1718" s="63"/>
      <c r="B1718" s="64"/>
      <c r="C1718" s="65"/>
      <c r="D1718" s="66"/>
      <c r="E1718" s="67"/>
      <c r="F1718" s="68"/>
      <c r="G1718" s="68"/>
      <c r="H1718" s="66"/>
      <c r="I1718" s="69"/>
      <c r="J1718" s="66"/>
      <c r="K1718" s="66"/>
      <c r="L1718" s="66"/>
      <c r="M1718" s="70"/>
      <c r="N1718" s="71"/>
      <c r="W1718" s="22"/>
    </row>
    <row r="1719" spans="1:23" ht="14.5">
      <c r="A1719" s="63"/>
      <c r="B1719" s="64"/>
      <c r="C1719" s="65"/>
      <c r="D1719" s="66"/>
      <c r="E1719" s="67"/>
      <c r="F1719" s="68"/>
      <c r="G1719" s="68"/>
      <c r="H1719" s="66"/>
      <c r="I1719" s="69"/>
      <c r="J1719" s="66"/>
      <c r="K1719" s="66"/>
      <c r="L1719" s="66"/>
      <c r="M1719" s="70"/>
      <c r="N1719" s="71"/>
      <c r="W1719" s="22"/>
    </row>
    <row r="1720" spans="1:23" ht="14.5">
      <c r="A1720" s="63"/>
      <c r="B1720" s="64"/>
      <c r="C1720" s="65"/>
      <c r="D1720" s="66"/>
      <c r="E1720" s="67"/>
      <c r="F1720" s="68"/>
      <c r="G1720" s="68"/>
      <c r="H1720" s="66"/>
      <c r="I1720" s="69"/>
      <c r="J1720" s="66"/>
      <c r="K1720" s="66"/>
      <c r="L1720" s="66"/>
      <c r="M1720" s="70"/>
      <c r="N1720" s="71"/>
      <c r="W1720" s="22"/>
    </row>
    <row r="1721" spans="1:23" ht="14.5">
      <c r="A1721" s="63"/>
      <c r="B1721" s="64"/>
      <c r="C1721" s="65"/>
      <c r="D1721" s="66"/>
      <c r="E1721" s="67"/>
      <c r="F1721" s="68"/>
      <c r="G1721" s="68"/>
      <c r="H1721" s="66"/>
      <c r="I1721" s="69"/>
      <c r="J1721" s="66"/>
      <c r="K1721" s="66"/>
      <c r="L1721" s="66"/>
      <c r="M1721" s="70"/>
      <c r="N1721" s="71"/>
      <c r="W1721" s="22"/>
    </row>
    <row r="1722" spans="1:23" ht="14.5">
      <c r="A1722" s="63"/>
      <c r="B1722" s="64"/>
      <c r="C1722" s="65"/>
      <c r="D1722" s="66"/>
      <c r="E1722" s="67"/>
      <c r="F1722" s="68"/>
      <c r="G1722" s="68"/>
      <c r="H1722" s="66"/>
      <c r="I1722" s="69"/>
      <c r="J1722" s="66"/>
      <c r="K1722" s="66"/>
      <c r="L1722" s="66"/>
      <c r="M1722" s="70"/>
      <c r="N1722" s="71"/>
      <c r="W1722" s="22"/>
    </row>
    <row r="1723" spans="1:23" ht="14.5">
      <c r="A1723" s="63"/>
      <c r="B1723" s="64"/>
      <c r="C1723" s="65"/>
      <c r="D1723" s="66"/>
      <c r="E1723" s="67"/>
      <c r="F1723" s="68"/>
      <c r="G1723" s="68"/>
      <c r="H1723" s="66"/>
      <c r="I1723" s="69"/>
      <c r="J1723" s="66"/>
      <c r="K1723" s="66"/>
      <c r="L1723" s="66"/>
      <c r="M1723" s="70"/>
      <c r="N1723" s="71"/>
      <c r="W1723" s="22"/>
    </row>
    <row r="1724" spans="1:23" ht="14.5">
      <c r="A1724" s="63"/>
      <c r="B1724" s="64"/>
      <c r="C1724" s="65"/>
      <c r="D1724" s="66"/>
      <c r="E1724" s="67"/>
      <c r="F1724" s="68"/>
      <c r="G1724" s="68"/>
      <c r="H1724" s="66"/>
      <c r="I1724" s="69"/>
      <c r="J1724" s="66"/>
      <c r="K1724" s="66"/>
      <c r="L1724" s="66"/>
      <c r="M1724" s="70"/>
      <c r="N1724" s="71"/>
      <c r="W1724" s="22"/>
    </row>
    <row r="1725" spans="1:23" ht="14.5">
      <c r="A1725" s="63"/>
      <c r="B1725" s="64"/>
      <c r="C1725" s="65"/>
      <c r="D1725" s="66"/>
      <c r="E1725" s="67"/>
      <c r="F1725" s="68"/>
      <c r="G1725" s="68"/>
      <c r="H1725" s="66"/>
      <c r="I1725" s="69"/>
      <c r="J1725" s="66"/>
      <c r="K1725" s="66"/>
      <c r="L1725" s="66"/>
      <c r="M1725" s="70"/>
      <c r="N1725" s="71"/>
      <c r="W1725" s="22"/>
    </row>
    <row r="1726" spans="1:23" ht="14.5">
      <c r="A1726" s="63"/>
      <c r="B1726" s="64"/>
      <c r="C1726" s="65"/>
      <c r="D1726" s="66"/>
      <c r="E1726" s="67"/>
      <c r="F1726" s="68"/>
      <c r="G1726" s="68"/>
      <c r="H1726" s="66"/>
      <c r="I1726" s="69"/>
      <c r="J1726" s="66"/>
      <c r="K1726" s="66"/>
      <c r="L1726" s="66"/>
      <c r="M1726" s="70"/>
      <c r="N1726" s="71"/>
      <c r="W1726" s="22"/>
    </row>
    <row r="1727" spans="1:23" ht="14.5">
      <c r="A1727" s="63"/>
      <c r="B1727" s="64"/>
      <c r="C1727" s="65"/>
      <c r="D1727" s="66"/>
      <c r="E1727" s="67"/>
      <c r="F1727" s="68"/>
      <c r="G1727" s="68"/>
      <c r="H1727" s="66"/>
      <c r="I1727" s="69"/>
      <c r="J1727" s="66"/>
      <c r="K1727" s="66"/>
      <c r="L1727" s="66"/>
      <c r="M1727" s="70"/>
      <c r="N1727" s="71"/>
      <c r="W1727" s="22"/>
    </row>
    <row r="1728" spans="1:23" ht="14.5">
      <c r="A1728" s="63"/>
      <c r="B1728" s="64"/>
      <c r="C1728" s="65"/>
      <c r="D1728" s="66"/>
      <c r="E1728" s="67"/>
      <c r="F1728" s="68"/>
      <c r="G1728" s="68"/>
      <c r="H1728" s="66"/>
      <c r="I1728" s="69"/>
      <c r="J1728" s="66"/>
      <c r="K1728" s="66"/>
      <c r="L1728" s="66"/>
      <c r="M1728" s="70"/>
      <c r="N1728" s="71"/>
      <c r="W1728" s="22"/>
    </row>
    <row r="1729" spans="1:23" ht="14.5">
      <c r="A1729" s="63"/>
      <c r="B1729" s="64"/>
      <c r="C1729" s="65"/>
      <c r="D1729" s="66"/>
      <c r="E1729" s="67"/>
      <c r="F1729" s="68"/>
      <c r="G1729" s="68"/>
      <c r="H1729" s="66"/>
      <c r="I1729" s="69"/>
      <c r="J1729" s="66"/>
      <c r="K1729" s="66"/>
      <c r="L1729" s="66"/>
      <c r="M1729" s="70"/>
      <c r="N1729" s="71"/>
      <c r="W1729" s="22"/>
    </row>
    <row r="1730" spans="1:23" ht="14.5">
      <c r="A1730" s="63"/>
      <c r="B1730" s="64"/>
      <c r="C1730" s="65"/>
      <c r="D1730" s="66"/>
      <c r="E1730" s="67"/>
      <c r="F1730" s="68"/>
      <c r="G1730" s="68"/>
      <c r="H1730" s="66"/>
      <c r="I1730" s="69"/>
      <c r="J1730" s="66"/>
      <c r="K1730" s="66"/>
      <c r="L1730" s="66"/>
      <c r="M1730" s="70"/>
      <c r="N1730" s="71"/>
      <c r="W1730" s="22"/>
    </row>
    <row r="1731" spans="1:23" ht="14.5">
      <c r="A1731" s="63"/>
      <c r="B1731" s="64"/>
      <c r="C1731" s="65"/>
      <c r="D1731" s="66"/>
      <c r="E1731" s="67"/>
      <c r="F1731" s="68"/>
      <c r="G1731" s="68"/>
      <c r="H1731" s="66"/>
      <c r="I1731" s="69"/>
      <c r="J1731" s="66"/>
      <c r="K1731" s="66"/>
      <c r="L1731" s="66"/>
      <c r="M1731" s="70"/>
      <c r="N1731" s="71"/>
      <c r="W1731" s="22"/>
    </row>
    <row r="1732" spans="1:23" ht="14.5">
      <c r="A1732" s="63"/>
      <c r="B1732" s="64"/>
      <c r="C1732" s="65"/>
      <c r="D1732" s="66"/>
      <c r="E1732" s="67"/>
      <c r="F1732" s="68"/>
      <c r="G1732" s="68"/>
      <c r="H1732" s="66"/>
      <c r="I1732" s="69"/>
      <c r="J1732" s="66"/>
      <c r="K1732" s="66"/>
      <c r="L1732" s="66"/>
      <c r="M1732" s="70"/>
      <c r="N1732" s="71"/>
      <c r="W1732" s="22"/>
    </row>
    <row r="1733" spans="1:23" ht="14.5">
      <c r="A1733" s="63"/>
      <c r="B1733" s="64"/>
      <c r="C1733" s="65"/>
      <c r="D1733" s="66"/>
      <c r="E1733" s="67"/>
      <c r="F1733" s="68"/>
      <c r="G1733" s="68"/>
      <c r="H1733" s="66"/>
      <c r="I1733" s="69"/>
      <c r="J1733" s="66"/>
      <c r="K1733" s="66"/>
      <c r="L1733" s="66"/>
      <c r="M1733" s="70"/>
      <c r="N1733" s="71"/>
      <c r="W1733" s="22"/>
    </row>
    <row r="1734" spans="1:23" ht="14.5">
      <c r="A1734" s="63"/>
      <c r="B1734" s="64"/>
      <c r="C1734" s="65"/>
      <c r="D1734" s="66"/>
      <c r="E1734" s="67"/>
      <c r="F1734" s="68"/>
      <c r="G1734" s="68"/>
      <c r="H1734" s="66"/>
      <c r="I1734" s="69"/>
      <c r="J1734" s="66"/>
      <c r="K1734" s="66"/>
      <c r="L1734" s="66"/>
      <c r="M1734" s="70"/>
      <c r="N1734" s="71"/>
      <c r="W1734" s="22"/>
    </row>
    <row r="1735" spans="1:23" ht="14.5">
      <c r="A1735" s="63"/>
      <c r="B1735" s="64"/>
      <c r="C1735" s="65"/>
      <c r="D1735" s="66"/>
      <c r="E1735" s="67"/>
      <c r="F1735" s="68"/>
      <c r="G1735" s="68"/>
      <c r="H1735" s="66"/>
      <c r="I1735" s="69"/>
      <c r="J1735" s="66"/>
      <c r="K1735" s="66"/>
      <c r="L1735" s="66"/>
      <c r="M1735" s="70"/>
      <c r="N1735" s="71"/>
      <c r="W1735" s="22"/>
    </row>
    <row r="1736" spans="1:23" ht="14.5">
      <c r="A1736" s="63"/>
      <c r="B1736" s="64"/>
      <c r="C1736" s="65"/>
      <c r="D1736" s="66"/>
      <c r="E1736" s="67"/>
      <c r="F1736" s="68"/>
      <c r="G1736" s="68"/>
      <c r="H1736" s="66"/>
      <c r="I1736" s="69"/>
      <c r="J1736" s="66"/>
      <c r="K1736" s="66"/>
      <c r="L1736" s="66"/>
      <c r="M1736" s="70"/>
      <c r="N1736" s="71"/>
      <c r="W1736" s="22"/>
    </row>
    <row r="1737" spans="1:23" ht="14.5">
      <c r="A1737" s="63"/>
      <c r="B1737" s="64"/>
      <c r="C1737" s="65"/>
      <c r="D1737" s="66"/>
      <c r="E1737" s="67"/>
      <c r="F1737" s="68"/>
      <c r="G1737" s="68"/>
      <c r="H1737" s="66"/>
      <c r="I1737" s="69"/>
      <c r="J1737" s="66"/>
      <c r="K1737" s="66"/>
      <c r="L1737" s="66"/>
      <c r="M1737" s="70"/>
      <c r="N1737" s="71"/>
      <c r="W1737" s="22"/>
    </row>
    <row r="1738" spans="1:23" ht="14.5">
      <c r="A1738" s="63"/>
      <c r="B1738" s="64"/>
      <c r="C1738" s="65"/>
      <c r="D1738" s="66"/>
      <c r="E1738" s="67"/>
      <c r="F1738" s="68"/>
      <c r="G1738" s="68"/>
      <c r="H1738" s="66"/>
      <c r="I1738" s="69"/>
      <c r="J1738" s="66"/>
      <c r="K1738" s="66"/>
      <c r="L1738" s="66"/>
      <c r="M1738" s="70"/>
      <c r="N1738" s="71"/>
      <c r="W1738" s="22"/>
    </row>
    <row r="1739" spans="1:23" ht="14.5">
      <c r="A1739" s="63"/>
      <c r="B1739" s="64"/>
      <c r="C1739" s="65"/>
      <c r="D1739" s="66"/>
      <c r="E1739" s="67"/>
      <c r="F1739" s="68"/>
      <c r="G1739" s="68"/>
      <c r="H1739" s="66"/>
      <c r="I1739" s="69"/>
      <c r="J1739" s="66"/>
      <c r="K1739" s="66"/>
      <c r="L1739" s="66"/>
      <c r="M1739" s="70"/>
      <c r="N1739" s="71"/>
      <c r="W1739" s="22"/>
    </row>
    <row r="1740" spans="1:23" ht="14.5">
      <c r="A1740" s="63"/>
      <c r="B1740" s="64"/>
      <c r="C1740" s="65"/>
      <c r="D1740" s="66"/>
      <c r="E1740" s="67"/>
      <c r="F1740" s="68"/>
      <c r="G1740" s="68"/>
      <c r="H1740" s="66"/>
      <c r="I1740" s="69"/>
      <c r="J1740" s="66"/>
      <c r="K1740" s="66"/>
      <c r="L1740" s="66"/>
      <c r="M1740" s="70"/>
      <c r="N1740" s="71"/>
      <c r="W1740" s="22"/>
    </row>
    <row r="1741" spans="1:23" ht="14.5">
      <c r="A1741" s="63"/>
      <c r="B1741" s="64"/>
      <c r="C1741" s="65"/>
      <c r="D1741" s="66"/>
      <c r="E1741" s="67"/>
      <c r="F1741" s="68"/>
      <c r="G1741" s="68"/>
      <c r="H1741" s="66"/>
      <c r="I1741" s="69"/>
      <c r="J1741" s="66"/>
      <c r="K1741" s="66"/>
      <c r="L1741" s="66"/>
      <c r="M1741" s="70"/>
      <c r="N1741" s="71"/>
      <c r="W1741" s="22"/>
    </row>
    <row r="1742" spans="1:23" ht="14.5">
      <c r="A1742" s="63"/>
      <c r="B1742" s="64"/>
      <c r="C1742" s="65"/>
      <c r="D1742" s="66"/>
      <c r="E1742" s="67"/>
      <c r="F1742" s="68"/>
      <c r="G1742" s="68"/>
      <c r="H1742" s="66"/>
      <c r="I1742" s="69"/>
      <c r="J1742" s="66"/>
      <c r="K1742" s="66"/>
      <c r="L1742" s="66"/>
      <c r="M1742" s="70"/>
      <c r="N1742" s="71"/>
      <c r="W1742" s="22"/>
    </row>
    <row r="1743" spans="1:23" ht="14.5">
      <c r="A1743" s="63"/>
      <c r="B1743" s="64"/>
      <c r="C1743" s="65"/>
      <c r="D1743" s="66"/>
      <c r="E1743" s="67"/>
      <c r="F1743" s="68"/>
      <c r="G1743" s="68"/>
      <c r="H1743" s="66"/>
      <c r="I1743" s="69"/>
      <c r="J1743" s="66"/>
      <c r="K1743" s="66"/>
      <c r="L1743" s="66"/>
      <c r="M1743" s="70"/>
      <c r="N1743" s="71"/>
      <c r="W1743" s="22"/>
    </row>
    <row r="1744" spans="1:23" ht="14.5">
      <c r="A1744" s="63"/>
      <c r="B1744" s="64"/>
      <c r="C1744" s="65"/>
      <c r="D1744" s="66"/>
      <c r="E1744" s="67"/>
      <c r="F1744" s="68"/>
      <c r="G1744" s="68"/>
      <c r="H1744" s="66"/>
      <c r="I1744" s="69"/>
      <c r="J1744" s="66"/>
      <c r="K1744" s="66"/>
      <c r="L1744" s="66"/>
      <c r="M1744" s="70"/>
      <c r="N1744" s="71"/>
      <c r="W1744" s="22"/>
    </row>
    <row r="1745" spans="1:23" ht="14.5">
      <c r="A1745" s="63"/>
      <c r="B1745" s="64"/>
      <c r="C1745" s="65"/>
      <c r="D1745" s="66"/>
      <c r="E1745" s="67"/>
      <c r="F1745" s="68"/>
      <c r="G1745" s="68"/>
      <c r="H1745" s="66"/>
      <c r="I1745" s="69"/>
      <c r="J1745" s="66"/>
      <c r="K1745" s="66"/>
      <c r="L1745" s="66"/>
      <c r="M1745" s="70"/>
      <c r="N1745" s="71"/>
      <c r="W1745" s="22"/>
    </row>
    <row r="1746" spans="1:23" ht="14.5">
      <c r="A1746" s="63"/>
      <c r="B1746" s="64"/>
      <c r="C1746" s="65"/>
      <c r="D1746" s="66"/>
      <c r="E1746" s="67"/>
      <c r="F1746" s="68"/>
      <c r="G1746" s="68"/>
      <c r="H1746" s="66"/>
      <c r="I1746" s="69"/>
      <c r="J1746" s="66"/>
      <c r="K1746" s="66"/>
      <c r="L1746" s="66"/>
      <c r="M1746" s="70"/>
      <c r="N1746" s="71"/>
      <c r="W1746" s="22"/>
    </row>
    <row r="1747" spans="1:23" ht="14.5">
      <c r="A1747" s="63"/>
      <c r="B1747" s="64"/>
      <c r="C1747" s="65"/>
      <c r="D1747" s="66"/>
      <c r="E1747" s="67"/>
      <c r="F1747" s="68"/>
      <c r="G1747" s="68"/>
      <c r="H1747" s="66"/>
      <c r="I1747" s="69"/>
      <c r="J1747" s="66"/>
      <c r="K1747" s="66"/>
      <c r="L1747" s="66"/>
      <c r="M1747" s="70"/>
      <c r="N1747" s="71"/>
      <c r="W1747" s="22"/>
    </row>
    <row r="1748" spans="1:23" ht="14.5">
      <c r="A1748" s="63"/>
      <c r="B1748" s="64"/>
      <c r="C1748" s="65"/>
      <c r="D1748" s="66"/>
      <c r="E1748" s="67"/>
      <c r="F1748" s="68"/>
      <c r="G1748" s="68"/>
      <c r="H1748" s="66"/>
      <c r="I1748" s="69"/>
      <c r="J1748" s="66"/>
      <c r="K1748" s="66"/>
      <c r="L1748" s="66"/>
      <c r="M1748" s="70"/>
      <c r="N1748" s="71"/>
      <c r="W1748" s="22"/>
    </row>
    <row r="1749" spans="1:23" ht="14.5">
      <c r="A1749" s="63"/>
      <c r="B1749" s="64"/>
      <c r="C1749" s="65"/>
      <c r="D1749" s="66"/>
      <c r="E1749" s="67"/>
      <c r="F1749" s="68"/>
      <c r="G1749" s="68"/>
      <c r="H1749" s="66"/>
      <c r="I1749" s="69"/>
      <c r="J1749" s="66"/>
      <c r="K1749" s="66"/>
      <c r="L1749" s="66"/>
      <c r="M1749" s="70"/>
      <c r="N1749" s="71"/>
      <c r="W1749" s="22"/>
    </row>
    <row r="1750" spans="1:23" ht="14.5">
      <c r="A1750" s="63"/>
      <c r="B1750" s="64"/>
      <c r="C1750" s="65"/>
      <c r="D1750" s="66"/>
      <c r="E1750" s="67"/>
      <c r="F1750" s="68"/>
      <c r="G1750" s="68"/>
      <c r="H1750" s="66"/>
      <c r="I1750" s="69"/>
      <c r="J1750" s="66"/>
      <c r="K1750" s="66"/>
      <c r="L1750" s="66"/>
      <c r="M1750" s="70"/>
      <c r="N1750" s="71"/>
      <c r="W1750" s="22"/>
    </row>
    <row r="1751" spans="1:23" ht="14.5">
      <c r="A1751" s="63"/>
      <c r="B1751" s="64"/>
      <c r="C1751" s="65"/>
      <c r="D1751" s="66"/>
      <c r="E1751" s="67"/>
      <c r="F1751" s="68"/>
      <c r="G1751" s="68"/>
      <c r="H1751" s="66"/>
      <c r="I1751" s="69"/>
      <c r="J1751" s="66"/>
      <c r="K1751" s="66"/>
      <c r="L1751" s="66"/>
      <c r="M1751" s="70"/>
      <c r="N1751" s="71"/>
      <c r="W1751" s="22"/>
    </row>
    <row r="1752" spans="1:23" ht="14.5">
      <c r="A1752" s="63"/>
      <c r="B1752" s="64"/>
      <c r="C1752" s="65"/>
      <c r="D1752" s="66"/>
      <c r="E1752" s="67"/>
      <c r="F1752" s="68"/>
      <c r="G1752" s="68"/>
      <c r="H1752" s="66"/>
      <c r="I1752" s="69"/>
      <c r="J1752" s="66"/>
      <c r="K1752" s="66"/>
      <c r="L1752" s="66"/>
      <c r="M1752" s="70"/>
      <c r="N1752" s="71"/>
      <c r="W1752" s="22"/>
    </row>
    <row r="1753" spans="1:23" ht="14.5">
      <c r="A1753" s="63"/>
      <c r="B1753" s="64"/>
      <c r="C1753" s="65"/>
      <c r="D1753" s="66"/>
      <c r="E1753" s="67"/>
      <c r="F1753" s="68"/>
      <c r="G1753" s="68"/>
      <c r="H1753" s="66"/>
      <c r="I1753" s="69"/>
      <c r="J1753" s="66"/>
      <c r="K1753" s="66"/>
      <c r="L1753" s="66"/>
      <c r="M1753" s="70"/>
      <c r="N1753" s="71"/>
      <c r="W1753" s="22"/>
    </row>
    <row r="1754" spans="1:23" ht="14.5">
      <c r="A1754" s="63"/>
      <c r="B1754" s="64"/>
      <c r="C1754" s="65"/>
      <c r="D1754" s="66"/>
      <c r="E1754" s="67"/>
      <c r="F1754" s="68"/>
      <c r="G1754" s="68"/>
      <c r="H1754" s="66"/>
      <c r="I1754" s="69"/>
      <c r="J1754" s="66"/>
      <c r="K1754" s="66"/>
      <c r="L1754" s="66"/>
      <c r="M1754" s="70"/>
      <c r="N1754" s="71"/>
      <c r="W1754" s="22"/>
    </row>
    <row r="1755" spans="1:23" ht="14.5">
      <c r="A1755" s="63"/>
      <c r="B1755" s="64"/>
      <c r="C1755" s="65"/>
      <c r="D1755" s="66"/>
      <c r="E1755" s="67"/>
      <c r="F1755" s="68"/>
      <c r="G1755" s="68"/>
      <c r="H1755" s="66"/>
      <c r="I1755" s="69"/>
      <c r="J1755" s="66"/>
      <c r="K1755" s="66"/>
      <c r="L1755" s="66"/>
      <c r="M1755" s="70"/>
      <c r="N1755" s="71"/>
      <c r="W1755" s="22"/>
    </row>
    <row r="1756" spans="1:23" ht="14.5">
      <c r="A1756" s="63"/>
      <c r="B1756" s="64"/>
      <c r="C1756" s="65"/>
      <c r="D1756" s="66"/>
      <c r="E1756" s="67"/>
      <c r="F1756" s="68"/>
      <c r="G1756" s="68"/>
      <c r="H1756" s="66"/>
      <c r="I1756" s="69"/>
      <c r="J1756" s="66"/>
      <c r="K1756" s="66"/>
      <c r="L1756" s="66"/>
      <c r="M1756" s="70"/>
      <c r="N1756" s="71"/>
      <c r="W1756" s="22"/>
    </row>
    <row r="1757" spans="1:23" ht="14.5">
      <c r="A1757" s="63"/>
      <c r="B1757" s="64"/>
      <c r="C1757" s="65"/>
      <c r="D1757" s="66"/>
      <c r="E1757" s="67"/>
      <c r="F1757" s="68"/>
      <c r="G1757" s="68"/>
      <c r="H1757" s="66"/>
      <c r="I1757" s="69"/>
      <c r="J1757" s="66"/>
      <c r="K1757" s="66"/>
      <c r="L1757" s="66"/>
      <c r="M1757" s="70"/>
      <c r="N1757" s="71"/>
      <c r="W1757" s="22"/>
    </row>
    <row r="1758" spans="1:23" ht="14.5">
      <c r="A1758" s="63"/>
      <c r="B1758" s="64"/>
      <c r="C1758" s="65"/>
      <c r="D1758" s="66"/>
      <c r="E1758" s="67"/>
      <c r="F1758" s="68"/>
      <c r="G1758" s="68"/>
      <c r="H1758" s="66"/>
      <c r="I1758" s="69"/>
      <c r="J1758" s="66"/>
      <c r="K1758" s="66"/>
      <c r="L1758" s="66"/>
      <c r="M1758" s="70"/>
      <c r="N1758" s="71"/>
      <c r="W1758" s="22"/>
    </row>
    <row r="1759" spans="1:23" ht="14.5">
      <c r="A1759" s="63"/>
      <c r="B1759" s="64"/>
      <c r="C1759" s="65"/>
      <c r="D1759" s="66"/>
      <c r="E1759" s="67"/>
      <c r="F1759" s="68"/>
      <c r="G1759" s="68"/>
      <c r="H1759" s="66"/>
      <c r="I1759" s="69"/>
      <c r="J1759" s="66"/>
      <c r="K1759" s="66"/>
      <c r="L1759" s="66"/>
      <c r="M1759" s="70"/>
      <c r="N1759" s="71"/>
      <c r="W1759" s="22"/>
    </row>
    <row r="1760" spans="1:23" ht="14.5">
      <c r="A1760" s="63"/>
      <c r="B1760" s="64"/>
      <c r="C1760" s="65"/>
      <c r="D1760" s="66"/>
      <c r="E1760" s="67"/>
      <c r="F1760" s="68"/>
      <c r="G1760" s="68"/>
      <c r="H1760" s="66"/>
      <c r="I1760" s="69"/>
      <c r="J1760" s="66"/>
      <c r="K1760" s="66"/>
      <c r="L1760" s="66"/>
      <c r="M1760" s="70"/>
      <c r="N1760" s="71"/>
      <c r="W1760" s="22"/>
    </row>
    <row r="1761" spans="1:23" ht="14.5">
      <c r="A1761" s="63"/>
      <c r="B1761" s="64"/>
      <c r="C1761" s="65"/>
      <c r="D1761" s="66"/>
      <c r="E1761" s="67"/>
      <c r="F1761" s="68"/>
      <c r="G1761" s="68"/>
      <c r="H1761" s="66"/>
      <c r="I1761" s="69"/>
      <c r="J1761" s="66"/>
      <c r="K1761" s="66"/>
      <c r="L1761" s="66"/>
      <c r="M1761" s="70"/>
      <c r="N1761" s="71"/>
      <c r="W1761" s="22"/>
    </row>
    <row r="1762" spans="1:23" ht="14.5">
      <c r="A1762" s="63"/>
      <c r="B1762" s="64"/>
      <c r="C1762" s="65"/>
      <c r="D1762" s="66"/>
      <c r="E1762" s="67"/>
      <c r="F1762" s="68"/>
      <c r="G1762" s="68"/>
      <c r="H1762" s="66"/>
      <c r="I1762" s="69"/>
      <c r="J1762" s="66"/>
      <c r="K1762" s="66"/>
      <c r="L1762" s="66"/>
      <c r="M1762" s="70"/>
      <c r="N1762" s="71"/>
      <c r="W1762" s="22"/>
    </row>
    <row r="1763" spans="1:23" ht="14.5">
      <c r="A1763" s="63"/>
      <c r="B1763" s="64"/>
      <c r="C1763" s="65"/>
      <c r="D1763" s="66"/>
      <c r="E1763" s="67"/>
      <c r="F1763" s="68"/>
      <c r="G1763" s="68"/>
      <c r="H1763" s="66"/>
      <c r="I1763" s="69"/>
      <c r="J1763" s="66"/>
      <c r="K1763" s="66"/>
      <c r="L1763" s="66"/>
      <c r="M1763" s="70"/>
      <c r="N1763" s="71"/>
      <c r="W1763" s="22"/>
    </row>
    <row r="1764" spans="1:23" ht="14.5">
      <c r="A1764" s="63"/>
      <c r="B1764" s="64"/>
      <c r="C1764" s="65"/>
      <c r="D1764" s="66"/>
      <c r="E1764" s="67"/>
      <c r="F1764" s="68"/>
      <c r="G1764" s="68"/>
      <c r="H1764" s="66"/>
      <c r="I1764" s="69"/>
      <c r="J1764" s="66"/>
      <c r="K1764" s="66"/>
      <c r="L1764" s="66"/>
      <c r="M1764" s="70"/>
      <c r="N1764" s="71"/>
      <c r="W1764" s="22"/>
    </row>
    <row r="1765" spans="1:23" ht="14.5">
      <c r="A1765" s="63"/>
      <c r="B1765" s="64"/>
      <c r="C1765" s="65"/>
      <c r="D1765" s="66"/>
      <c r="E1765" s="67"/>
      <c r="F1765" s="68"/>
      <c r="G1765" s="68"/>
      <c r="H1765" s="66"/>
      <c r="I1765" s="69"/>
      <c r="J1765" s="66"/>
      <c r="K1765" s="66"/>
      <c r="L1765" s="66"/>
      <c r="M1765" s="70"/>
      <c r="N1765" s="71"/>
      <c r="W1765" s="22"/>
    </row>
    <row r="1766" spans="1:23" ht="14.5">
      <c r="A1766" s="63"/>
      <c r="B1766" s="64"/>
      <c r="C1766" s="65"/>
      <c r="D1766" s="66"/>
      <c r="E1766" s="67"/>
      <c r="F1766" s="68"/>
      <c r="G1766" s="68"/>
      <c r="H1766" s="66"/>
      <c r="I1766" s="69"/>
      <c r="J1766" s="66"/>
      <c r="K1766" s="66"/>
      <c r="L1766" s="66"/>
      <c r="M1766" s="70"/>
      <c r="N1766" s="71"/>
      <c r="W1766" s="22"/>
    </row>
    <row r="1767" spans="1:23" ht="14.5">
      <c r="A1767" s="63"/>
      <c r="B1767" s="64"/>
      <c r="C1767" s="65"/>
      <c r="D1767" s="66"/>
      <c r="E1767" s="67"/>
      <c r="F1767" s="68"/>
      <c r="G1767" s="68"/>
      <c r="H1767" s="66"/>
      <c r="I1767" s="69"/>
      <c r="J1767" s="66"/>
      <c r="K1767" s="66"/>
      <c r="L1767" s="66"/>
      <c r="M1767" s="70"/>
      <c r="N1767" s="71"/>
      <c r="W1767" s="22"/>
    </row>
    <row r="1768" spans="1:23" ht="14.5">
      <c r="A1768" s="63"/>
      <c r="B1768" s="64"/>
      <c r="C1768" s="65"/>
      <c r="D1768" s="66"/>
      <c r="E1768" s="67"/>
      <c r="F1768" s="68"/>
      <c r="G1768" s="68"/>
      <c r="H1768" s="66"/>
      <c r="I1768" s="69"/>
      <c r="J1768" s="66"/>
      <c r="K1768" s="66"/>
      <c r="L1768" s="66"/>
      <c r="M1768" s="70"/>
      <c r="N1768" s="71"/>
      <c r="W1768" s="22"/>
    </row>
    <row r="1769" spans="1:23" ht="14.5">
      <c r="A1769" s="63"/>
      <c r="B1769" s="64"/>
      <c r="C1769" s="65"/>
      <c r="D1769" s="66"/>
      <c r="E1769" s="67"/>
      <c r="F1769" s="68"/>
      <c r="G1769" s="68"/>
      <c r="H1769" s="66"/>
      <c r="I1769" s="69"/>
      <c r="J1769" s="66"/>
      <c r="K1769" s="66"/>
      <c r="L1769" s="66"/>
      <c r="M1769" s="70"/>
      <c r="N1769" s="71"/>
      <c r="W1769" s="22"/>
    </row>
    <row r="1770" spans="1:23" ht="14.5">
      <c r="A1770" s="63"/>
      <c r="B1770" s="64"/>
      <c r="C1770" s="65"/>
      <c r="D1770" s="66"/>
      <c r="E1770" s="67"/>
      <c r="F1770" s="68"/>
      <c r="G1770" s="68"/>
      <c r="H1770" s="66"/>
      <c r="I1770" s="69"/>
      <c r="J1770" s="66"/>
      <c r="K1770" s="66"/>
      <c r="L1770" s="66"/>
      <c r="M1770" s="70"/>
      <c r="N1770" s="71"/>
      <c r="W1770" s="22"/>
    </row>
    <row r="1771" spans="1:23" ht="14.5">
      <c r="A1771" s="63"/>
      <c r="B1771" s="64"/>
      <c r="C1771" s="65"/>
      <c r="D1771" s="66"/>
      <c r="E1771" s="67"/>
      <c r="F1771" s="68"/>
      <c r="G1771" s="68"/>
      <c r="H1771" s="66"/>
      <c r="I1771" s="69"/>
      <c r="J1771" s="66"/>
      <c r="K1771" s="66"/>
      <c r="L1771" s="66"/>
      <c r="M1771" s="70"/>
      <c r="N1771" s="71"/>
      <c r="W1771" s="22"/>
    </row>
    <row r="1772" spans="1:23" ht="14.5">
      <c r="A1772" s="63"/>
      <c r="B1772" s="64"/>
      <c r="C1772" s="65"/>
      <c r="D1772" s="66"/>
      <c r="E1772" s="67"/>
      <c r="F1772" s="68"/>
      <c r="G1772" s="68"/>
      <c r="H1772" s="66"/>
      <c r="I1772" s="69"/>
      <c r="J1772" s="66"/>
      <c r="K1772" s="66"/>
      <c r="L1772" s="66"/>
      <c r="M1772" s="70"/>
      <c r="N1772" s="71"/>
      <c r="W1772" s="22"/>
    </row>
    <row r="1773" spans="1:23" ht="14.5">
      <c r="A1773" s="63"/>
      <c r="B1773" s="64"/>
      <c r="C1773" s="65"/>
      <c r="D1773" s="66"/>
      <c r="E1773" s="67"/>
      <c r="F1773" s="68"/>
      <c r="G1773" s="68"/>
      <c r="H1773" s="66"/>
      <c r="I1773" s="69"/>
      <c r="J1773" s="66"/>
      <c r="K1773" s="66"/>
      <c r="L1773" s="66"/>
      <c r="M1773" s="70"/>
      <c r="N1773" s="71"/>
      <c r="W1773" s="22"/>
    </row>
    <row r="1774" spans="1:23" ht="14.5">
      <c r="A1774" s="63"/>
      <c r="B1774" s="64"/>
      <c r="C1774" s="65"/>
      <c r="D1774" s="66"/>
      <c r="E1774" s="67"/>
      <c r="F1774" s="68"/>
      <c r="G1774" s="68"/>
      <c r="H1774" s="66"/>
      <c r="I1774" s="69"/>
      <c r="J1774" s="66"/>
      <c r="K1774" s="66"/>
      <c r="L1774" s="66"/>
      <c r="M1774" s="70"/>
      <c r="N1774" s="71"/>
      <c r="W1774" s="22"/>
    </row>
    <row r="1775" spans="1:23" ht="14.5">
      <c r="A1775" s="63"/>
      <c r="B1775" s="64"/>
      <c r="C1775" s="65"/>
      <c r="D1775" s="66"/>
      <c r="E1775" s="67"/>
      <c r="F1775" s="68"/>
      <c r="G1775" s="68"/>
      <c r="H1775" s="66"/>
      <c r="I1775" s="69"/>
      <c r="J1775" s="66"/>
      <c r="K1775" s="66"/>
      <c r="L1775" s="66"/>
      <c r="M1775" s="70"/>
      <c r="N1775" s="71"/>
      <c r="W1775" s="22"/>
    </row>
    <row r="1776" spans="1:23" ht="14.5">
      <c r="A1776" s="63"/>
      <c r="B1776" s="64"/>
      <c r="C1776" s="65"/>
      <c r="D1776" s="66"/>
      <c r="E1776" s="67"/>
      <c r="F1776" s="68"/>
      <c r="G1776" s="68"/>
      <c r="H1776" s="66"/>
      <c r="I1776" s="69"/>
      <c r="J1776" s="66"/>
      <c r="K1776" s="66"/>
      <c r="L1776" s="66"/>
      <c r="M1776" s="70"/>
      <c r="N1776" s="71"/>
      <c r="W1776" s="22"/>
    </row>
    <row r="1777" spans="1:23" ht="14.5">
      <c r="A1777" s="63"/>
      <c r="B1777" s="64"/>
      <c r="C1777" s="65"/>
      <c r="D1777" s="66"/>
      <c r="E1777" s="67"/>
      <c r="F1777" s="68"/>
      <c r="G1777" s="68"/>
      <c r="H1777" s="66"/>
      <c r="I1777" s="69"/>
      <c r="J1777" s="66"/>
      <c r="K1777" s="66"/>
      <c r="L1777" s="66"/>
      <c r="M1777" s="70"/>
      <c r="N1777" s="71"/>
      <c r="W1777" s="22"/>
    </row>
    <row r="1778" spans="1:23" ht="14.5">
      <c r="A1778" s="63"/>
      <c r="B1778" s="64"/>
      <c r="C1778" s="65"/>
      <c r="D1778" s="66"/>
      <c r="E1778" s="67"/>
      <c r="F1778" s="68"/>
      <c r="G1778" s="68"/>
      <c r="H1778" s="66"/>
      <c r="I1778" s="69"/>
      <c r="J1778" s="66"/>
      <c r="K1778" s="66"/>
      <c r="L1778" s="66"/>
      <c r="M1778" s="70"/>
      <c r="N1778" s="71"/>
      <c r="W1778" s="22"/>
    </row>
    <row r="1779" spans="1:23" ht="14.5">
      <c r="A1779" s="63"/>
      <c r="B1779" s="64"/>
      <c r="C1779" s="65"/>
      <c r="D1779" s="66"/>
      <c r="E1779" s="67"/>
      <c r="F1779" s="68"/>
      <c r="G1779" s="68"/>
      <c r="H1779" s="66"/>
      <c r="I1779" s="69"/>
      <c r="J1779" s="66"/>
      <c r="K1779" s="66"/>
      <c r="L1779" s="66"/>
      <c r="M1779" s="70"/>
      <c r="N1779" s="71"/>
      <c r="W1779" s="22"/>
    </row>
    <row r="1780" spans="1:23" ht="14.5">
      <c r="A1780" s="63"/>
      <c r="B1780" s="64"/>
      <c r="C1780" s="65"/>
      <c r="D1780" s="66"/>
      <c r="E1780" s="67"/>
      <c r="F1780" s="68"/>
      <c r="G1780" s="68"/>
      <c r="H1780" s="66"/>
      <c r="I1780" s="69"/>
      <c r="J1780" s="66"/>
      <c r="K1780" s="66"/>
      <c r="L1780" s="66"/>
      <c r="M1780" s="70"/>
      <c r="N1780" s="71"/>
      <c r="W1780" s="22"/>
    </row>
    <row r="1781" spans="1:23" ht="14.5">
      <c r="A1781" s="63"/>
      <c r="B1781" s="64"/>
      <c r="C1781" s="65"/>
      <c r="D1781" s="66"/>
      <c r="E1781" s="67"/>
      <c r="F1781" s="68"/>
      <c r="G1781" s="68"/>
      <c r="H1781" s="66"/>
      <c r="I1781" s="69"/>
      <c r="J1781" s="66"/>
      <c r="K1781" s="66"/>
      <c r="L1781" s="66"/>
      <c r="M1781" s="70"/>
      <c r="N1781" s="71"/>
      <c r="W1781" s="22"/>
    </row>
    <row r="1782" spans="1:23" ht="14.5">
      <c r="A1782" s="63"/>
      <c r="B1782" s="64"/>
      <c r="C1782" s="65"/>
      <c r="D1782" s="66"/>
      <c r="E1782" s="67"/>
      <c r="F1782" s="68"/>
      <c r="G1782" s="68"/>
      <c r="H1782" s="66"/>
      <c r="I1782" s="69"/>
      <c r="J1782" s="66"/>
      <c r="K1782" s="66"/>
      <c r="L1782" s="66"/>
      <c r="M1782" s="70"/>
      <c r="N1782" s="71"/>
      <c r="W1782" s="22"/>
    </row>
    <row r="1783" spans="1:23" ht="14.5">
      <c r="A1783" s="63"/>
      <c r="B1783" s="64"/>
      <c r="C1783" s="65"/>
      <c r="D1783" s="66"/>
      <c r="E1783" s="67"/>
      <c r="F1783" s="68"/>
      <c r="G1783" s="68"/>
      <c r="H1783" s="66"/>
      <c r="I1783" s="69"/>
      <c r="J1783" s="66"/>
      <c r="K1783" s="66"/>
      <c r="L1783" s="66"/>
      <c r="M1783" s="70"/>
      <c r="N1783" s="71"/>
      <c r="W1783" s="22"/>
    </row>
    <row r="1784" spans="1:23" ht="14.5">
      <c r="A1784" s="63"/>
      <c r="B1784" s="64"/>
      <c r="C1784" s="65"/>
      <c r="D1784" s="66"/>
      <c r="E1784" s="67"/>
      <c r="F1784" s="68"/>
      <c r="G1784" s="68"/>
      <c r="H1784" s="66"/>
      <c r="I1784" s="69"/>
      <c r="J1784" s="66"/>
      <c r="K1784" s="66"/>
      <c r="L1784" s="66"/>
      <c r="M1784" s="70"/>
      <c r="N1784" s="71"/>
      <c r="W1784" s="22"/>
    </row>
    <row r="1785" spans="1:23" ht="14.5">
      <c r="A1785" s="63"/>
      <c r="B1785" s="64"/>
      <c r="C1785" s="65"/>
      <c r="D1785" s="66"/>
      <c r="E1785" s="67"/>
      <c r="F1785" s="68"/>
      <c r="G1785" s="68"/>
      <c r="H1785" s="66"/>
      <c r="I1785" s="69"/>
      <c r="J1785" s="66"/>
      <c r="K1785" s="66"/>
      <c r="L1785" s="66"/>
      <c r="M1785" s="70"/>
      <c r="N1785" s="71"/>
      <c r="W1785" s="22"/>
    </row>
    <row r="1786" spans="1:23" ht="14.5">
      <c r="A1786" s="63"/>
      <c r="B1786" s="64"/>
      <c r="C1786" s="65"/>
      <c r="D1786" s="66"/>
      <c r="E1786" s="67"/>
      <c r="F1786" s="68"/>
      <c r="G1786" s="68"/>
      <c r="H1786" s="66"/>
      <c r="I1786" s="69"/>
      <c r="J1786" s="66"/>
      <c r="K1786" s="66"/>
      <c r="L1786" s="66"/>
      <c r="M1786" s="70"/>
      <c r="N1786" s="71"/>
      <c r="W1786" s="22"/>
    </row>
    <row r="1787" spans="1:23" ht="14.5">
      <c r="A1787" s="63"/>
      <c r="B1787" s="64"/>
      <c r="C1787" s="65"/>
      <c r="D1787" s="66"/>
      <c r="E1787" s="67"/>
      <c r="F1787" s="68"/>
      <c r="G1787" s="68"/>
      <c r="H1787" s="66"/>
      <c r="I1787" s="69"/>
      <c r="J1787" s="66"/>
      <c r="K1787" s="66"/>
      <c r="L1787" s="66"/>
      <c r="M1787" s="70"/>
      <c r="N1787" s="71"/>
      <c r="W1787" s="22"/>
    </row>
    <row r="1788" spans="1:23" ht="14.5">
      <c r="A1788" s="63"/>
      <c r="B1788" s="64"/>
      <c r="C1788" s="65"/>
      <c r="D1788" s="66"/>
      <c r="E1788" s="67"/>
      <c r="F1788" s="68"/>
      <c r="G1788" s="68"/>
      <c r="H1788" s="66"/>
      <c r="I1788" s="69"/>
      <c r="J1788" s="66"/>
      <c r="K1788" s="66"/>
      <c r="L1788" s="66"/>
      <c r="M1788" s="70"/>
      <c r="N1788" s="71"/>
      <c r="W1788" s="22"/>
    </row>
    <row r="1789" spans="1:23" ht="14.5">
      <c r="A1789" s="63"/>
      <c r="B1789" s="64"/>
      <c r="C1789" s="65"/>
      <c r="D1789" s="66"/>
      <c r="E1789" s="67"/>
      <c r="F1789" s="68"/>
      <c r="G1789" s="68"/>
      <c r="H1789" s="66"/>
      <c r="I1789" s="69"/>
      <c r="J1789" s="66"/>
      <c r="K1789" s="66"/>
      <c r="L1789" s="66"/>
      <c r="M1789" s="70"/>
      <c r="N1789" s="71"/>
      <c r="W1789" s="22"/>
    </row>
    <row r="1790" spans="1:23" ht="14.5">
      <c r="A1790" s="63"/>
      <c r="B1790" s="64"/>
      <c r="C1790" s="65"/>
      <c r="D1790" s="66"/>
      <c r="E1790" s="67"/>
      <c r="F1790" s="68"/>
      <c r="G1790" s="68"/>
      <c r="H1790" s="66"/>
      <c r="I1790" s="69"/>
      <c r="J1790" s="66"/>
      <c r="K1790" s="66"/>
      <c r="L1790" s="66"/>
      <c r="M1790" s="70"/>
      <c r="N1790" s="71"/>
      <c r="W1790" s="22"/>
    </row>
    <row r="1791" spans="1:23" ht="14.5">
      <c r="A1791" s="63"/>
      <c r="B1791" s="64"/>
      <c r="C1791" s="65"/>
      <c r="D1791" s="66"/>
      <c r="E1791" s="67"/>
      <c r="F1791" s="68"/>
      <c r="G1791" s="68"/>
      <c r="H1791" s="66"/>
      <c r="I1791" s="69"/>
      <c r="J1791" s="66"/>
      <c r="K1791" s="66"/>
      <c r="L1791" s="66"/>
      <c r="M1791" s="70"/>
      <c r="N1791" s="71"/>
      <c r="W1791" s="22"/>
    </row>
    <row r="1792" spans="1:23" ht="14.5">
      <c r="A1792" s="63"/>
      <c r="B1792" s="64"/>
      <c r="C1792" s="65"/>
      <c r="D1792" s="66"/>
      <c r="E1792" s="67"/>
      <c r="F1792" s="68"/>
      <c r="G1792" s="68"/>
      <c r="H1792" s="66"/>
      <c r="I1792" s="69"/>
      <c r="J1792" s="66"/>
      <c r="K1792" s="66"/>
      <c r="L1792" s="66"/>
      <c r="M1792" s="70"/>
      <c r="N1792" s="71"/>
      <c r="W1792" s="22"/>
    </row>
    <row r="1793" spans="1:23" ht="14.5">
      <c r="A1793" s="63"/>
      <c r="B1793" s="64"/>
      <c r="C1793" s="65"/>
      <c r="D1793" s="66"/>
      <c r="E1793" s="67"/>
      <c r="F1793" s="68"/>
      <c r="G1793" s="68"/>
      <c r="H1793" s="66"/>
      <c r="I1793" s="69"/>
      <c r="J1793" s="66"/>
      <c r="K1793" s="66"/>
      <c r="L1793" s="66"/>
      <c r="M1793" s="70"/>
      <c r="N1793" s="71"/>
      <c r="W1793" s="22"/>
    </row>
    <row r="1794" spans="1:23" ht="14.5">
      <c r="A1794" s="63"/>
      <c r="B1794" s="64"/>
      <c r="C1794" s="65"/>
      <c r="D1794" s="66"/>
      <c r="E1794" s="67"/>
      <c r="F1794" s="68"/>
      <c r="G1794" s="68"/>
      <c r="H1794" s="66"/>
      <c r="I1794" s="69"/>
      <c r="J1794" s="66"/>
      <c r="K1794" s="66"/>
      <c r="L1794" s="66"/>
      <c r="M1794" s="70"/>
      <c r="N1794" s="71"/>
      <c r="W1794" s="22"/>
    </row>
    <row r="1795" spans="1:23" ht="14.5">
      <c r="A1795" s="63"/>
      <c r="B1795" s="64"/>
      <c r="C1795" s="65"/>
      <c r="D1795" s="66"/>
      <c r="E1795" s="67"/>
      <c r="F1795" s="68"/>
      <c r="G1795" s="68"/>
      <c r="H1795" s="66"/>
      <c r="I1795" s="69"/>
      <c r="J1795" s="66"/>
      <c r="K1795" s="66"/>
      <c r="L1795" s="66"/>
      <c r="M1795" s="70"/>
      <c r="N1795" s="71"/>
      <c r="W1795" s="22"/>
    </row>
    <row r="1796" spans="1:23" ht="14.5">
      <c r="A1796" s="63"/>
      <c r="B1796" s="64"/>
      <c r="C1796" s="65"/>
      <c r="D1796" s="66"/>
      <c r="E1796" s="67"/>
      <c r="F1796" s="68"/>
      <c r="G1796" s="68"/>
      <c r="H1796" s="66"/>
      <c r="I1796" s="69"/>
      <c r="J1796" s="66"/>
      <c r="K1796" s="66"/>
      <c r="L1796" s="66"/>
      <c r="M1796" s="70"/>
      <c r="N1796" s="71"/>
      <c r="W1796" s="22"/>
    </row>
    <row r="1797" spans="1:23" ht="14.5">
      <c r="A1797" s="63"/>
      <c r="B1797" s="64"/>
      <c r="C1797" s="65"/>
      <c r="D1797" s="66"/>
      <c r="E1797" s="67"/>
      <c r="F1797" s="68"/>
      <c r="G1797" s="68"/>
      <c r="H1797" s="66"/>
      <c r="I1797" s="69"/>
      <c r="J1797" s="66"/>
      <c r="K1797" s="66"/>
      <c r="L1797" s="66"/>
      <c r="M1797" s="70"/>
      <c r="N1797" s="71"/>
      <c r="W1797" s="22"/>
    </row>
    <row r="1798" spans="1:23" ht="14.5">
      <c r="A1798" s="63"/>
      <c r="B1798" s="64"/>
      <c r="C1798" s="65"/>
      <c r="D1798" s="66"/>
      <c r="E1798" s="67"/>
      <c r="F1798" s="68"/>
      <c r="G1798" s="68"/>
      <c r="H1798" s="66"/>
      <c r="I1798" s="69"/>
      <c r="J1798" s="66"/>
      <c r="K1798" s="66"/>
      <c r="L1798" s="66"/>
      <c r="M1798" s="70"/>
      <c r="N1798" s="71"/>
      <c r="W1798" s="22"/>
    </row>
    <row r="1799" spans="1:23" ht="14.5">
      <c r="A1799" s="63"/>
      <c r="B1799" s="64"/>
      <c r="C1799" s="65"/>
      <c r="D1799" s="66"/>
      <c r="E1799" s="67"/>
      <c r="F1799" s="68"/>
      <c r="G1799" s="68"/>
      <c r="H1799" s="66"/>
      <c r="I1799" s="69"/>
      <c r="J1799" s="66"/>
      <c r="K1799" s="66"/>
      <c r="L1799" s="66"/>
      <c r="M1799" s="70"/>
      <c r="N1799" s="71"/>
      <c r="W1799" s="22"/>
    </row>
    <row r="1800" spans="1:23" ht="14.5">
      <c r="A1800" s="63"/>
      <c r="B1800" s="64"/>
      <c r="C1800" s="65"/>
      <c r="D1800" s="66"/>
      <c r="E1800" s="67"/>
      <c r="F1800" s="68"/>
      <c r="G1800" s="68"/>
      <c r="H1800" s="66"/>
      <c r="I1800" s="69"/>
      <c r="J1800" s="66"/>
      <c r="K1800" s="66"/>
      <c r="L1800" s="66"/>
      <c r="M1800" s="70"/>
      <c r="N1800" s="71"/>
      <c r="W1800" s="22"/>
    </row>
    <row r="1801" spans="1:23" ht="14.5">
      <c r="A1801" s="63"/>
      <c r="B1801" s="64"/>
      <c r="C1801" s="65"/>
      <c r="D1801" s="66"/>
      <c r="E1801" s="67"/>
      <c r="F1801" s="68"/>
      <c r="G1801" s="68"/>
      <c r="H1801" s="66"/>
      <c r="I1801" s="69"/>
      <c r="J1801" s="66"/>
      <c r="K1801" s="66"/>
      <c r="L1801" s="66"/>
      <c r="M1801" s="70"/>
      <c r="N1801" s="71"/>
      <c r="W1801" s="22"/>
    </row>
    <row r="1802" spans="1:23" ht="14.5">
      <c r="A1802" s="63"/>
      <c r="B1802" s="64"/>
      <c r="C1802" s="65"/>
      <c r="D1802" s="66"/>
      <c r="E1802" s="67"/>
      <c r="F1802" s="68"/>
      <c r="G1802" s="68"/>
      <c r="H1802" s="66"/>
      <c r="I1802" s="69"/>
      <c r="J1802" s="66"/>
      <c r="K1802" s="66"/>
      <c r="L1802" s="66"/>
      <c r="M1802" s="70"/>
      <c r="N1802" s="71"/>
      <c r="W1802" s="22"/>
    </row>
    <row r="1803" spans="1:23" ht="14.5">
      <c r="A1803" s="63"/>
      <c r="B1803" s="64"/>
      <c r="C1803" s="65"/>
      <c r="D1803" s="66"/>
      <c r="E1803" s="67"/>
      <c r="F1803" s="68"/>
      <c r="G1803" s="68"/>
      <c r="H1803" s="66"/>
      <c r="I1803" s="69"/>
      <c r="J1803" s="66"/>
      <c r="K1803" s="66"/>
      <c r="L1803" s="66"/>
      <c r="M1803" s="70"/>
      <c r="N1803" s="71"/>
      <c r="W1803" s="22"/>
    </row>
    <row r="1804" spans="1:23" ht="14.5">
      <c r="A1804" s="63"/>
      <c r="B1804" s="64"/>
      <c r="C1804" s="65"/>
      <c r="D1804" s="66"/>
      <c r="E1804" s="67"/>
      <c r="F1804" s="68"/>
      <c r="G1804" s="68"/>
      <c r="H1804" s="66"/>
      <c r="I1804" s="69"/>
      <c r="J1804" s="66"/>
      <c r="K1804" s="66"/>
      <c r="L1804" s="66"/>
      <c r="M1804" s="70"/>
      <c r="N1804" s="71"/>
      <c r="W1804" s="22"/>
    </row>
    <row r="1805" spans="1:23" ht="14.5">
      <c r="A1805" s="63"/>
      <c r="B1805" s="64"/>
      <c r="C1805" s="65"/>
      <c r="D1805" s="66"/>
      <c r="E1805" s="67"/>
      <c r="F1805" s="68"/>
      <c r="G1805" s="68"/>
      <c r="H1805" s="66"/>
      <c r="I1805" s="69"/>
      <c r="J1805" s="66"/>
      <c r="K1805" s="66"/>
      <c r="L1805" s="66"/>
      <c r="M1805" s="70"/>
      <c r="N1805" s="71"/>
      <c r="W1805" s="22"/>
    </row>
    <row r="1806" spans="1:23" ht="14.5">
      <c r="A1806" s="63"/>
      <c r="B1806" s="64"/>
      <c r="C1806" s="65"/>
      <c r="D1806" s="66"/>
      <c r="E1806" s="67"/>
      <c r="F1806" s="68"/>
      <c r="G1806" s="68"/>
      <c r="H1806" s="66"/>
      <c r="I1806" s="69"/>
      <c r="J1806" s="66"/>
      <c r="K1806" s="66"/>
      <c r="L1806" s="66"/>
      <c r="M1806" s="70"/>
      <c r="N1806" s="71"/>
      <c r="W1806" s="22"/>
    </row>
    <row r="1807" spans="1:23" ht="14.5">
      <c r="A1807" s="63"/>
      <c r="B1807" s="64"/>
      <c r="C1807" s="65"/>
      <c r="D1807" s="66"/>
      <c r="E1807" s="67"/>
      <c r="F1807" s="68"/>
      <c r="G1807" s="68"/>
      <c r="H1807" s="66"/>
      <c r="I1807" s="69"/>
      <c r="J1807" s="66"/>
      <c r="K1807" s="66"/>
      <c r="L1807" s="66"/>
      <c r="M1807" s="70"/>
      <c r="N1807" s="71"/>
      <c r="W1807" s="22"/>
    </row>
    <row r="1808" spans="1:23" ht="14.5">
      <c r="A1808" s="63"/>
      <c r="B1808" s="64"/>
      <c r="C1808" s="65"/>
      <c r="D1808" s="66"/>
      <c r="E1808" s="67"/>
      <c r="F1808" s="68"/>
      <c r="G1808" s="68"/>
      <c r="H1808" s="66"/>
      <c r="I1808" s="69"/>
      <c r="J1808" s="66"/>
      <c r="K1808" s="66"/>
      <c r="L1808" s="66"/>
      <c r="M1808" s="70"/>
      <c r="N1808" s="71"/>
      <c r="W1808" s="22"/>
    </row>
    <row r="1809" spans="1:23" ht="14.5">
      <c r="A1809" s="63"/>
      <c r="B1809" s="64"/>
      <c r="C1809" s="65"/>
      <c r="D1809" s="66"/>
      <c r="E1809" s="67"/>
      <c r="F1809" s="68"/>
      <c r="G1809" s="68"/>
      <c r="H1809" s="66"/>
      <c r="I1809" s="69"/>
      <c r="J1809" s="66"/>
      <c r="K1809" s="66"/>
      <c r="L1809" s="66"/>
      <c r="M1809" s="70"/>
      <c r="N1809" s="71"/>
      <c r="W1809" s="22"/>
    </row>
    <row r="1810" spans="1:23" ht="14.5">
      <c r="A1810" s="63"/>
      <c r="B1810" s="64"/>
      <c r="C1810" s="65"/>
      <c r="D1810" s="66"/>
      <c r="E1810" s="67"/>
      <c r="F1810" s="68"/>
      <c r="G1810" s="68"/>
      <c r="H1810" s="66"/>
      <c r="I1810" s="69"/>
      <c r="J1810" s="66"/>
      <c r="K1810" s="66"/>
      <c r="L1810" s="66"/>
      <c r="M1810" s="70"/>
      <c r="N1810" s="71"/>
      <c r="W1810" s="22"/>
    </row>
    <row r="1811" spans="1:23" ht="14.5">
      <c r="A1811" s="63"/>
      <c r="B1811" s="64"/>
      <c r="C1811" s="65"/>
      <c r="D1811" s="66"/>
      <c r="E1811" s="67"/>
      <c r="F1811" s="68"/>
      <c r="G1811" s="68"/>
      <c r="H1811" s="66"/>
      <c r="I1811" s="69"/>
      <c r="J1811" s="66"/>
      <c r="K1811" s="66"/>
      <c r="L1811" s="66"/>
      <c r="M1811" s="70"/>
      <c r="N1811" s="71"/>
      <c r="W1811" s="22"/>
    </row>
    <row r="1812" spans="1:23" ht="14.5">
      <c r="A1812" s="63"/>
      <c r="B1812" s="64"/>
      <c r="C1812" s="65"/>
      <c r="D1812" s="66"/>
      <c r="E1812" s="67"/>
      <c r="F1812" s="68"/>
      <c r="G1812" s="68"/>
      <c r="H1812" s="66"/>
      <c r="I1812" s="69"/>
      <c r="J1812" s="66"/>
      <c r="K1812" s="66"/>
      <c r="L1812" s="66"/>
      <c r="M1812" s="70"/>
      <c r="N1812" s="71"/>
      <c r="W1812" s="22"/>
    </row>
    <row r="1813" spans="1:23" ht="14.5">
      <c r="A1813" s="63"/>
      <c r="B1813" s="64"/>
      <c r="C1813" s="65"/>
      <c r="D1813" s="66"/>
      <c r="E1813" s="67"/>
      <c r="F1813" s="68"/>
      <c r="G1813" s="68"/>
      <c r="H1813" s="66"/>
      <c r="I1813" s="69"/>
      <c r="J1813" s="66"/>
      <c r="K1813" s="66"/>
      <c r="L1813" s="66"/>
      <c r="M1813" s="70"/>
      <c r="N1813" s="71"/>
      <c r="W1813" s="22"/>
    </row>
    <row r="1814" spans="1:23" ht="14.5">
      <c r="A1814" s="63"/>
      <c r="B1814" s="64"/>
      <c r="C1814" s="65"/>
      <c r="D1814" s="66"/>
      <c r="E1814" s="67"/>
      <c r="F1814" s="68"/>
      <c r="G1814" s="68"/>
      <c r="H1814" s="66"/>
      <c r="I1814" s="69"/>
      <c r="J1814" s="66"/>
      <c r="K1814" s="66"/>
      <c r="L1814" s="66"/>
      <c r="M1814" s="70"/>
      <c r="N1814" s="71"/>
      <c r="W1814" s="22"/>
    </row>
    <row r="1815" spans="1:23" ht="14.5">
      <c r="A1815" s="63"/>
      <c r="B1815" s="64"/>
      <c r="C1815" s="65"/>
      <c r="D1815" s="66"/>
      <c r="E1815" s="67"/>
      <c r="F1815" s="68"/>
      <c r="G1815" s="68"/>
      <c r="H1815" s="66"/>
      <c r="I1815" s="69"/>
      <c r="J1815" s="66"/>
      <c r="K1815" s="66"/>
      <c r="L1815" s="66"/>
      <c r="M1815" s="70"/>
      <c r="N1815" s="71"/>
      <c r="W1815" s="22"/>
    </row>
    <row r="1816" spans="1:23" ht="14.5">
      <c r="A1816" s="63"/>
      <c r="B1816" s="64"/>
      <c r="C1816" s="65"/>
      <c r="D1816" s="66"/>
      <c r="E1816" s="67"/>
      <c r="F1816" s="68"/>
      <c r="G1816" s="68"/>
      <c r="H1816" s="66"/>
      <c r="I1816" s="69"/>
      <c r="J1816" s="66"/>
      <c r="K1816" s="66"/>
      <c r="L1816" s="66"/>
      <c r="M1816" s="70"/>
      <c r="N1816" s="71"/>
      <c r="W1816" s="22"/>
    </row>
    <row r="1817" spans="1:23" ht="14.5">
      <c r="A1817" s="63"/>
      <c r="B1817" s="64"/>
      <c r="C1817" s="65"/>
      <c r="D1817" s="66"/>
      <c r="E1817" s="67"/>
      <c r="F1817" s="68"/>
      <c r="G1817" s="68"/>
      <c r="H1817" s="66"/>
      <c r="I1817" s="69"/>
      <c r="J1817" s="66"/>
      <c r="K1817" s="66"/>
      <c r="L1817" s="66"/>
      <c r="M1817" s="70"/>
      <c r="N1817" s="71"/>
      <c r="W1817" s="22"/>
    </row>
    <row r="1818" spans="1:23" ht="14.5">
      <c r="A1818" s="63"/>
      <c r="B1818" s="64"/>
      <c r="C1818" s="65"/>
      <c r="D1818" s="66"/>
      <c r="E1818" s="67"/>
      <c r="F1818" s="68"/>
      <c r="G1818" s="68"/>
      <c r="H1818" s="66"/>
      <c r="I1818" s="69"/>
      <c r="J1818" s="66"/>
      <c r="K1818" s="66"/>
      <c r="L1818" s="66"/>
      <c r="M1818" s="70"/>
      <c r="N1818" s="71"/>
      <c r="W1818" s="22"/>
    </row>
    <row r="1819" spans="1:23" ht="14.5">
      <c r="A1819" s="63"/>
      <c r="B1819" s="64"/>
      <c r="C1819" s="65"/>
      <c r="D1819" s="66"/>
      <c r="E1819" s="67"/>
      <c r="F1819" s="68"/>
      <c r="G1819" s="68"/>
      <c r="H1819" s="66"/>
      <c r="I1819" s="69"/>
      <c r="J1819" s="66"/>
      <c r="K1819" s="66"/>
      <c r="L1819" s="66"/>
      <c r="M1819" s="70"/>
      <c r="N1819" s="71"/>
      <c r="W1819" s="22"/>
    </row>
    <row r="1820" spans="1:23" ht="14.5">
      <c r="A1820" s="63"/>
      <c r="B1820" s="64"/>
      <c r="C1820" s="65"/>
      <c r="D1820" s="66"/>
      <c r="E1820" s="67"/>
      <c r="F1820" s="68"/>
      <c r="G1820" s="68"/>
      <c r="H1820" s="66"/>
      <c r="I1820" s="69"/>
      <c r="J1820" s="66"/>
      <c r="K1820" s="66"/>
      <c r="L1820" s="66"/>
      <c r="M1820" s="70"/>
      <c r="N1820" s="71"/>
      <c r="W1820" s="22"/>
    </row>
    <row r="1821" spans="1:23" ht="14.5">
      <c r="A1821" s="63"/>
      <c r="B1821" s="64"/>
      <c r="C1821" s="65"/>
      <c r="D1821" s="66"/>
      <c r="E1821" s="67"/>
      <c r="F1821" s="68"/>
      <c r="G1821" s="68"/>
      <c r="H1821" s="66"/>
      <c r="I1821" s="69"/>
      <c r="J1821" s="66"/>
      <c r="K1821" s="66"/>
      <c r="L1821" s="66"/>
      <c r="M1821" s="70"/>
      <c r="N1821" s="71"/>
      <c r="W1821" s="22"/>
    </row>
    <row r="1822" spans="1:23" ht="14.5">
      <c r="A1822" s="63"/>
      <c r="B1822" s="64"/>
      <c r="C1822" s="65"/>
      <c r="D1822" s="66"/>
      <c r="E1822" s="67"/>
      <c r="F1822" s="68"/>
      <c r="G1822" s="68"/>
      <c r="H1822" s="66"/>
      <c r="I1822" s="69"/>
      <c r="J1822" s="66"/>
      <c r="K1822" s="66"/>
      <c r="L1822" s="66"/>
      <c r="M1822" s="70"/>
      <c r="N1822" s="71"/>
      <c r="W1822" s="22"/>
    </row>
    <row r="1823" spans="1:23" ht="14.5">
      <c r="A1823" s="63"/>
      <c r="B1823" s="64"/>
      <c r="C1823" s="65"/>
      <c r="D1823" s="66"/>
      <c r="E1823" s="67"/>
      <c r="F1823" s="68"/>
      <c r="G1823" s="68"/>
      <c r="H1823" s="66"/>
      <c r="I1823" s="69"/>
      <c r="J1823" s="66"/>
      <c r="K1823" s="66"/>
      <c r="L1823" s="66"/>
      <c r="M1823" s="70"/>
      <c r="N1823" s="71"/>
      <c r="W1823" s="22"/>
    </row>
    <row r="1824" spans="1:23" ht="14.5">
      <c r="A1824" s="63"/>
      <c r="B1824" s="64"/>
      <c r="C1824" s="65"/>
      <c r="D1824" s="66"/>
      <c r="E1824" s="67"/>
      <c r="F1824" s="68"/>
      <c r="G1824" s="68"/>
      <c r="H1824" s="66"/>
      <c r="I1824" s="69"/>
      <c r="J1824" s="66"/>
      <c r="K1824" s="66"/>
      <c r="L1824" s="66"/>
      <c r="M1824" s="70"/>
      <c r="N1824" s="71"/>
      <c r="W1824" s="22"/>
    </row>
    <row r="1825" spans="1:23" ht="14.5">
      <c r="A1825" s="63"/>
      <c r="B1825" s="64"/>
      <c r="C1825" s="65"/>
      <c r="D1825" s="66"/>
      <c r="E1825" s="67"/>
      <c r="F1825" s="68"/>
      <c r="G1825" s="68"/>
      <c r="H1825" s="66"/>
      <c r="I1825" s="69"/>
      <c r="J1825" s="66"/>
      <c r="K1825" s="66"/>
      <c r="L1825" s="66"/>
      <c r="M1825" s="70"/>
      <c r="N1825" s="71"/>
      <c r="W1825" s="22"/>
    </row>
    <row r="1826" spans="1:23" ht="14.5">
      <c r="A1826" s="63"/>
      <c r="B1826" s="64"/>
      <c r="C1826" s="65"/>
      <c r="D1826" s="66"/>
      <c r="E1826" s="67"/>
      <c r="F1826" s="68"/>
      <c r="G1826" s="68"/>
      <c r="H1826" s="66"/>
      <c r="I1826" s="69"/>
      <c r="J1826" s="66"/>
      <c r="K1826" s="66"/>
      <c r="L1826" s="66"/>
      <c r="M1826" s="70"/>
      <c r="N1826" s="71"/>
      <c r="W1826" s="22"/>
    </row>
    <row r="1827" spans="1:23" ht="14.5">
      <c r="A1827" s="63"/>
      <c r="B1827" s="64"/>
      <c r="C1827" s="65"/>
      <c r="D1827" s="66"/>
      <c r="E1827" s="67"/>
      <c r="F1827" s="68"/>
      <c r="G1827" s="68"/>
      <c r="H1827" s="66"/>
      <c r="I1827" s="69"/>
      <c r="J1827" s="66"/>
      <c r="K1827" s="66"/>
      <c r="L1827" s="66"/>
      <c r="M1827" s="70"/>
      <c r="N1827" s="71"/>
      <c r="W1827" s="22"/>
    </row>
    <row r="1828" spans="1:23" ht="14.5">
      <c r="A1828" s="63"/>
      <c r="B1828" s="64"/>
      <c r="C1828" s="65"/>
      <c r="D1828" s="66"/>
      <c r="E1828" s="67"/>
      <c r="F1828" s="68"/>
      <c r="G1828" s="68"/>
      <c r="H1828" s="66"/>
      <c r="I1828" s="69"/>
      <c r="J1828" s="66"/>
      <c r="K1828" s="66"/>
      <c r="L1828" s="66"/>
      <c r="M1828" s="70"/>
      <c r="N1828" s="71"/>
      <c r="W1828" s="22"/>
    </row>
    <row r="1829" spans="1:23" ht="14.5">
      <c r="A1829" s="63"/>
      <c r="B1829" s="64"/>
      <c r="C1829" s="65"/>
      <c r="D1829" s="66"/>
      <c r="E1829" s="67"/>
      <c r="F1829" s="68"/>
      <c r="G1829" s="68"/>
      <c r="H1829" s="66"/>
      <c r="I1829" s="69"/>
      <c r="J1829" s="66"/>
      <c r="K1829" s="66"/>
      <c r="L1829" s="66"/>
      <c r="M1829" s="70"/>
      <c r="N1829" s="71"/>
      <c r="W1829" s="22"/>
    </row>
    <row r="1830" spans="1:23" ht="14.5">
      <c r="A1830" s="63"/>
      <c r="B1830" s="64"/>
      <c r="C1830" s="65"/>
      <c r="D1830" s="66"/>
      <c r="E1830" s="67"/>
      <c r="F1830" s="68"/>
      <c r="G1830" s="68"/>
      <c r="H1830" s="66"/>
      <c r="I1830" s="69"/>
      <c r="J1830" s="66"/>
      <c r="K1830" s="66"/>
      <c r="L1830" s="66"/>
      <c r="M1830" s="70"/>
      <c r="N1830" s="71"/>
      <c r="W1830" s="22"/>
    </row>
    <row r="1831" spans="1:23" ht="14.5">
      <c r="A1831" s="63"/>
      <c r="B1831" s="64"/>
      <c r="C1831" s="65"/>
      <c r="D1831" s="66"/>
      <c r="E1831" s="67"/>
      <c r="F1831" s="68"/>
      <c r="G1831" s="68"/>
      <c r="H1831" s="66"/>
      <c r="I1831" s="69"/>
      <c r="J1831" s="66"/>
      <c r="K1831" s="66"/>
      <c r="L1831" s="66"/>
      <c r="M1831" s="70"/>
      <c r="N1831" s="71"/>
      <c r="W1831" s="22"/>
    </row>
    <row r="1832" spans="1:23" ht="14.5">
      <c r="A1832" s="63"/>
      <c r="B1832" s="64"/>
      <c r="C1832" s="65"/>
      <c r="D1832" s="66"/>
      <c r="E1832" s="67"/>
      <c r="F1832" s="68"/>
      <c r="G1832" s="68"/>
      <c r="H1832" s="66"/>
      <c r="I1832" s="69"/>
      <c r="J1832" s="66"/>
      <c r="K1832" s="66"/>
      <c r="L1832" s="66"/>
      <c r="M1832" s="70"/>
      <c r="N1832" s="71"/>
      <c r="W1832" s="22"/>
    </row>
    <row r="1833" spans="1:23" ht="14.5">
      <c r="A1833" s="63"/>
      <c r="B1833" s="64"/>
      <c r="C1833" s="65"/>
      <c r="D1833" s="66"/>
      <c r="E1833" s="67"/>
      <c r="F1833" s="68"/>
      <c r="G1833" s="68"/>
      <c r="H1833" s="66"/>
      <c r="I1833" s="69"/>
      <c r="J1833" s="66"/>
      <c r="K1833" s="66"/>
      <c r="L1833" s="66"/>
      <c r="M1833" s="70"/>
      <c r="N1833" s="71"/>
      <c r="W1833" s="22"/>
    </row>
    <row r="1834" spans="1:23" ht="14.5">
      <c r="A1834" s="63"/>
      <c r="B1834" s="64"/>
      <c r="C1834" s="65"/>
      <c r="D1834" s="66"/>
      <c r="E1834" s="67"/>
      <c r="F1834" s="68"/>
      <c r="G1834" s="68"/>
      <c r="H1834" s="66"/>
      <c r="I1834" s="69"/>
      <c r="J1834" s="66"/>
      <c r="K1834" s="66"/>
      <c r="L1834" s="66"/>
      <c r="M1834" s="70"/>
      <c r="N1834" s="71"/>
      <c r="W1834" s="22"/>
    </row>
    <row r="1835" spans="1:23" ht="14.5">
      <c r="A1835" s="63"/>
      <c r="B1835" s="64"/>
      <c r="C1835" s="65"/>
      <c r="D1835" s="66"/>
      <c r="E1835" s="67"/>
      <c r="F1835" s="68"/>
      <c r="G1835" s="68"/>
      <c r="H1835" s="66"/>
      <c r="I1835" s="69"/>
      <c r="J1835" s="66"/>
      <c r="K1835" s="66"/>
      <c r="L1835" s="66"/>
      <c r="M1835" s="70"/>
      <c r="N1835" s="71"/>
      <c r="W1835" s="22"/>
    </row>
    <row r="1836" spans="1:23" ht="14.5">
      <c r="A1836" s="63"/>
      <c r="B1836" s="64"/>
      <c r="C1836" s="65"/>
      <c r="D1836" s="66"/>
      <c r="E1836" s="67"/>
      <c r="F1836" s="68"/>
      <c r="G1836" s="68"/>
      <c r="H1836" s="66"/>
      <c r="I1836" s="69"/>
      <c r="J1836" s="66"/>
      <c r="K1836" s="66"/>
      <c r="L1836" s="66"/>
      <c r="M1836" s="70"/>
      <c r="N1836" s="71"/>
      <c r="W1836" s="22"/>
    </row>
    <row r="1837" spans="1:23" ht="14.5">
      <c r="A1837" s="63"/>
      <c r="B1837" s="64"/>
      <c r="C1837" s="65"/>
      <c r="D1837" s="66"/>
      <c r="E1837" s="67"/>
      <c r="F1837" s="68"/>
      <c r="G1837" s="68"/>
      <c r="H1837" s="66"/>
      <c r="I1837" s="69"/>
      <c r="J1837" s="66"/>
      <c r="K1837" s="66"/>
      <c r="L1837" s="66"/>
      <c r="M1837" s="70"/>
      <c r="N1837" s="71"/>
      <c r="W1837" s="22"/>
    </row>
    <row r="1838" spans="1:23" ht="14.5">
      <c r="A1838" s="63"/>
      <c r="B1838" s="64"/>
      <c r="C1838" s="65"/>
      <c r="D1838" s="66"/>
      <c r="E1838" s="67"/>
      <c r="F1838" s="68"/>
      <c r="G1838" s="68"/>
      <c r="H1838" s="66"/>
      <c r="I1838" s="69"/>
      <c r="J1838" s="66"/>
      <c r="K1838" s="66"/>
      <c r="L1838" s="66"/>
      <c r="M1838" s="70"/>
      <c r="N1838" s="71"/>
      <c r="W1838" s="22"/>
    </row>
    <row r="1839" spans="1:23" ht="14.5">
      <c r="A1839" s="63"/>
      <c r="B1839" s="64"/>
      <c r="C1839" s="65"/>
      <c r="D1839" s="66"/>
      <c r="E1839" s="67"/>
      <c r="F1839" s="68"/>
      <c r="G1839" s="68"/>
      <c r="H1839" s="66"/>
      <c r="I1839" s="69"/>
      <c r="J1839" s="66"/>
      <c r="K1839" s="66"/>
      <c r="L1839" s="66"/>
      <c r="M1839" s="70"/>
      <c r="N1839" s="71"/>
      <c r="W1839" s="22"/>
    </row>
    <row r="1840" spans="1:23" ht="14.5">
      <c r="A1840" s="63"/>
      <c r="B1840" s="64"/>
      <c r="C1840" s="65"/>
      <c r="D1840" s="66"/>
      <c r="E1840" s="67"/>
      <c r="F1840" s="68"/>
      <c r="G1840" s="68"/>
      <c r="H1840" s="66"/>
      <c r="I1840" s="69"/>
      <c r="J1840" s="66"/>
      <c r="K1840" s="66"/>
      <c r="L1840" s="66"/>
      <c r="M1840" s="70"/>
      <c r="N1840" s="71"/>
      <c r="W1840" s="22"/>
    </row>
    <row r="1841" spans="1:23" ht="14.5">
      <c r="A1841" s="63"/>
      <c r="B1841" s="64"/>
      <c r="C1841" s="65"/>
      <c r="D1841" s="66"/>
      <c r="E1841" s="67"/>
      <c r="F1841" s="68"/>
      <c r="G1841" s="68"/>
      <c r="H1841" s="66"/>
      <c r="I1841" s="69"/>
      <c r="J1841" s="66"/>
      <c r="K1841" s="66"/>
      <c r="L1841" s="66"/>
      <c r="M1841" s="70"/>
      <c r="N1841" s="71"/>
      <c r="W1841" s="22"/>
    </row>
    <row r="1842" spans="1:23" ht="14.5">
      <c r="A1842" s="63"/>
      <c r="B1842" s="64"/>
      <c r="C1842" s="65"/>
      <c r="D1842" s="66"/>
      <c r="E1842" s="67"/>
      <c r="F1842" s="68"/>
      <c r="G1842" s="68"/>
      <c r="H1842" s="66"/>
      <c r="I1842" s="69"/>
      <c r="J1842" s="66"/>
      <c r="K1842" s="66"/>
      <c r="L1842" s="66"/>
      <c r="M1842" s="70"/>
      <c r="N1842" s="71"/>
      <c r="W1842" s="22"/>
    </row>
    <row r="1843" spans="1:23" ht="14.5">
      <c r="A1843" s="63"/>
      <c r="B1843" s="64"/>
      <c r="C1843" s="65"/>
      <c r="D1843" s="66"/>
      <c r="E1843" s="67"/>
      <c r="F1843" s="68"/>
      <c r="G1843" s="68"/>
      <c r="H1843" s="66"/>
      <c r="I1843" s="69"/>
      <c r="J1843" s="66"/>
      <c r="K1843" s="66"/>
      <c r="L1843" s="66"/>
      <c r="M1843" s="70"/>
      <c r="N1843" s="71"/>
      <c r="W1843" s="22"/>
    </row>
    <row r="1844" spans="1:23" ht="14.5">
      <c r="A1844" s="63"/>
      <c r="B1844" s="64"/>
      <c r="C1844" s="65"/>
      <c r="D1844" s="66"/>
      <c r="E1844" s="67"/>
      <c r="F1844" s="68"/>
      <c r="G1844" s="68"/>
      <c r="H1844" s="66"/>
      <c r="I1844" s="69"/>
      <c r="J1844" s="66"/>
      <c r="K1844" s="66"/>
      <c r="L1844" s="66"/>
      <c r="M1844" s="70"/>
      <c r="N1844" s="71"/>
      <c r="W1844" s="22"/>
    </row>
    <row r="1845" spans="1:23" ht="14.5">
      <c r="A1845" s="63"/>
      <c r="B1845" s="64"/>
      <c r="C1845" s="65"/>
      <c r="D1845" s="66"/>
      <c r="E1845" s="67"/>
      <c r="F1845" s="68"/>
      <c r="G1845" s="68"/>
      <c r="H1845" s="66"/>
      <c r="I1845" s="69"/>
      <c r="J1845" s="66"/>
      <c r="K1845" s="66"/>
      <c r="L1845" s="66"/>
      <c r="M1845" s="70"/>
      <c r="N1845" s="71"/>
      <c r="W1845" s="22"/>
    </row>
    <row r="1846" spans="1:23" ht="14.5">
      <c r="A1846" s="63"/>
      <c r="B1846" s="64"/>
      <c r="C1846" s="65"/>
      <c r="D1846" s="66"/>
      <c r="E1846" s="67"/>
      <c r="F1846" s="68"/>
      <c r="G1846" s="68"/>
      <c r="H1846" s="66"/>
      <c r="I1846" s="69"/>
      <c r="J1846" s="66"/>
      <c r="K1846" s="66"/>
      <c r="L1846" s="66"/>
      <c r="M1846" s="70"/>
      <c r="N1846" s="71"/>
      <c r="W1846" s="22"/>
    </row>
    <row r="1847" spans="1:23" ht="14.5">
      <c r="A1847" s="63"/>
      <c r="B1847" s="64"/>
      <c r="C1847" s="65"/>
      <c r="D1847" s="66"/>
      <c r="E1847" s="67"/>
      <c r="F1847" s="68"/>
      <c r="G1847" s="68"/>
      <c r="H1847" s="66"/>
      <c r="I1847" s="69"/>
      <c r="J1847" s="66"/>
      <c r="K1847" s="66"/>
      <c r="L1847" s="66"/>
      <c r="M1847" s="70"/>
      <c r="N1847" s="71"/>
      <c r="W1847" s="22"/>
    </row>
    <row r="1848" spans="1:23" ht="14.5">
      <c r="A1848" s="63"/>
      <c r="B1848" s="64"/>
      <c r="C1848" s="65"/>
      <c r="D1848" s="66"/>
      <c r="E1848" s="67"/>
      <c r="F1848" s="68"/>
      <c r="G1848" s="68"/>
      <c r="H1848" s="66"/>
      <c r="I1848" s="69"/>
      <c r="J1848" s="66"/>
      <c r="K1848" s="66"/>
      <c r="L1848" s="66"/>
      <c r="M1848" s="70"/>
      <c r="N1848" s="71"/>
      <c r="W1848" s="22"/>
    </row>
    <row r="1849" spans="1:23" ht="14.5">
      <c r="A1849" s="63"/>
      <c r="B1849" s="64"/>
      <c r="C1849" s="65"/>
      <c r="D1849" s="66"/>
      <c r="E1849" s="67"/>
      <c r="F1849" s="68"/>
      <c r="G1849" s="68"/>
      <c r="H1849" s="66"/>
      <c r="I1849" s="69"/>
      <c r="J1849" s="66"/>
      <c r="K1849" s="66"/>
      <c r="L1849" s="66"/>
      <c r="M1849" s="70"/>
      <c r="N1849" s="71"/>
      <c r="W1849" s="22"/>
    </row>
    <row r="1850" spans="1:23" ht="14.5">
      <c r="A1850" s="63"/>
      <c r="B1850" s="64"/>
      <c r="C1850" s="65"/>
      <c r="D1850" s="66"/>
      <c r="E1850" s="67"/>
      <c r="F1850" s="68"/>
      <c r="G1850" s="68"/>
      <c r="H1850" s="66"/>
      <c r="I1850" s="69"/>
      <c r="J1850" s="66"/>
      <c r="K1850" s="66"/>
      <c r="L1850" s="66"/>
      <c r="M1850" s="70"/>
      <c r="N1850" s="71"/>
      <c r="W1850" s="22"/>
    </row>
    <row r="1851" spans="1:23" ht="14.5">
      <c r="A1851" s="63"/>
      <c r="B1851" s="64"/>
      <c r="C1851" s="65"/>
      <c r="D1851" s="66"/>
      <c r="E1851" s="67"/>
      <c r="F1851" s="68"/>
      <c r="G1851" s="68"/>
      <c r="H1851" s="66"/>
      <c r="I1851" s="69"/>
      <c r="J1851" s="66"/>
      <c r="K1851" s="66"/>
      <c r="L1851" s="66"/>
      <c r="M1851" s="70"/>
      <c r="N1851" s="71"/>
      <c r="W1851" s="22"/>
    </row>
    <row r="1852" spans="1:23" ht="14.5">
      <c r="A1852" s="63"/>
      <c r="B1852" s="64"/>
      <c r="C1852" s="65"/>
      <c r="D1852" s="66"/>
      <c r="E1852" s="67"/>
      <c r="F1852" s="68"/>
      <c r="G1852" s="68"/>
      <c r="H1852" s="66"/>
      <c r="I1852" s="69"/>
      <c r="J1852" s="66"/>
      <c r="K1852" s="66"/>
      <c r="L1852" s="66"/>
      <c r="M1852" s="70"/>
      <c r="N1852" s="71"/>
      <c r="W1852" s="22"/>
    </row>
    <row r="1853" spans="1:23" ht="14.5">
      <c r="A1853" s="63"/>
      <c r="B1853" s="64"/>
      <c r="C1853" s="65"/>
      <c r="D1853" s="66"/>
      <c r="E1853" s="67"/>
      <c r="F1853" s="68"/>
      <c r="G1853" s="68"/>
      <c r="H1853" s="66"/>
      <c r="I1853" s="69"/>
      <c r="J1853" s="66"/>
      <c r="K1853" s="66"/>
      <c r="L1853" s="66"/>
      <c r="M1853" s="70"/>
      <c r="N1853" s="71"/>
      <c r="W1853" s="22"/>
    </row>
    <row r="1854" spans="1:23" ht="14.5">
      <c r="A1854" s="63"/>
      <c r="B1854" s="64"/>
      <c r="C1854" s="65"/>
      <c r="D1854" s="66"/>
      <c r="E1854" s="67"/>
      <c r="F1854" s="68"/>
      <c r="G1854" s="68"/>
      <c r="H1854" s="66"/>
      <c r="I1854" s="69"/>
      <c r="J1854" s="66"/>
      <c r="K1854" s="66"/>
      <c r="L1854" s="66"/>
      <c r="M1854" s="70"/>
      <c r="N1854" s="71"/>
      <c r="W1854" s="22"/>
    </row>
    <row r="1855" spans="1:23" ht="14.5">
      <c r="A1855" s="63"/>
      <c r="B1855" s="64"/>
      <c r="C1855" s="65"/>
      <c r="D1855" s="66"/>
      <c r="E1855" s="67"/>
      <c r="F1855" s="68"/>
      <c r="G1855" s="68"/>
      <c r="H1855" s="66"/>
      <c r="I1855" s="69"/>
      <c r="J1855" s="66"/>
      <c r="K1855" s="66"/>
      <c r="L1855" s="66"/>
      <c r="M1855" s="70"/>
      <c r="N1855" s="71"/>
      <c r="W1855" s="22"/>
    </row>
    <row r="1856" spans="1:23" ht="14.5">
      <c r="A1856" s="63"/>
      <c r="B1856" s="64"/>
      <c r="C1856" s="65"/>
      <c r="D1856" s="66"/>
      <c r="E1856" s="67"/>
      <c r="F1856" s="68"/>
      <c r="G1856" s="68"/>
      <c r="H1856" s="66"/>
      <c r="I1856" s="69"/>
      <c r="J1856" s="66"/>
      <c r="K1856" s="66"/>
      <c r="L1856" s="66"/>
      <c r="M1856" s="70"/>
      <c r="N1856" s="71"/>
      <c r="W1856" s="22"/>
    </row>
    <row r="1857" spans="1:23" ht="14.5">
      <c r="A1857" s="63"/>
      <c r="B1857" s="64"/>
      <c r="C1857" s="65"/>
      <c r="D1857" s="66"/>
      <c r="E1857" s="67"/>
      <c r="F1857" s="68"/>
      <c r="G1857" s="68"/>
      <c r="H1857" s="66"/>
      <c r="I1857" s="69"/>
      <c r="J1857" s="66"/>
      <c r="K1857" s="66"/>
      <c r="L1857" s="66"/>
      <c r="M1857" s="70"/>
      <c r="N1857" s="71"/>
      <c r="W1857" s="22"/>
    </row>
    <row r="1858" spans="1:23" ht="14.5">
      <c r="A1858" s="63"/>
      <c r="B1858" s="64"/>
      <c r="C1858" s="65"/>
      <c r="D1858" s="66"/>
      <c r="E1858" s="67"/>
      <c r="F1858" s="68"/>
      <c r="G1858" s="68"/>
      <c r="H1858" s="66"/>
      <c r="I1858" s="69"/>
      <c r="J1858" s="66"/>
      <c r="K1858" s="66"/>
      <c r="L1858" s="66"/>
      <c r="M1858" s="70"/>
      <c r="N1858" s="71"/>
      <c r="W1858" s="22"/>
    </row>
    <row r="1859" spans="1:23" ht="14.5">
      <c r="A1859" s="63"/>
      <c r="B1859" s="64"/>
      <c r="C1859" s="65"/>
      <c r="D1859" s="66"/>
      <c r="E1859" s="67"/>
      <c r="F1859" s="68"/>
      <c r="G1859" s="68"/>
      <c r="H1859" s="66"/>
      <c r="I1859" s="69"/>
      <c r="J1859" s="66"/>
      <c r="K1859" s="66"/>
      <c r="L1859" s="66"/>
      <c r="M1859" s="70"/>
      <c r="N1859" s="71"/>
      <c r="W1859" s="22"/>
    </row>
    <row r="1860" spans="1:23" ht="14.5">
      <c r="A1860" s="63"/>
      <c r="B1860" s="64"/>
      <c r="C1860" s="65"/>
      <c r="D1860" s="66"/>
      <c r="E1860" s="67"/>
      <c r="F1860" s="68"/>
      <c r="G1860" s="68"/>
      <c r="H1860" s="66"/>
      <c r="I1860" s="69"/>
      <c r="J1860" s="66"/>
      <c r="K1860" s="66"/>
      <c r="L1860" s="66"/>
      <c r="M1860" s="70"/>
      <c r="N1860" s="71"/>
      <c r="W1860" s="22"/>
    </row>
    <row r="1861" spans="1:23" ht="14.5">
      <c r="A1861" s="63"/>
      <c r="B1861" s="64"/>
      <c r="C1861" s="65"/>
      <c r="D1861" s="66"/>
      <c r="E1861" s="67"/>
      <c r="F1861" s="68"/>
      <c r="G1861" s="68"/>
      <c r="H1861" s="66"/>
      <c r="I1861" s="69"/>
      <c r="J1861" s="66"/>
      <c r="K1861" s="66"/>
      <c r="L1861" s="66"/>
      <c r="M1861" s="70"/>
      <c r="N1861" s="71"/>
      <c r="W1861" s="22"/>
    </row>
    <row r="1862" spans="1:23" ht="14.5">
      <c r="A1862" s="63"/>
      <c r="B1862" s="64"/>
      <c r="C1862" s="65"/>
      <c r="D1862" s="66"/>
      <c r="E1862" s="67"/>
      <c r="F1862" s="68"/>
      <c r="G1862" s="68"/>
      <c r="H1862" s="66"/>
      <c r="I1862" s="69"/>
      <c r="J1862" s="66"/>
      <c r="K1862" s="66"/>
      <c r="L1862" s="66"/>
      <c r="M1862" s="70"/>
      <c r="N1862" s="71"/>
      <c r="W1862" s="22"/>
    </row>
    <row r="1863" spans="1:23" ht="14.5">
      <c r="A1863" s="63"/>
      <c r="B1863" s="64"/>
      <c r="C1863" s="65"/>
      <c r="D1863" s="66"/>
      <c r="E1863" s="67"/>
      <c r="F1863" s="68"/>
      <c r="G1863" s="68"/>
      <c r="H1863" s="66"/>
      <c r="I1863" s="69"/>
      <c r="J1863" s="66"/>
      <c r="K1863" s="66"/>
      <c r="L1863" s="66"/>
      <c r="M1863" s="70"/>
      <c r="N1863" s="71"/>
      <c r="W1863" s="22"/>
    </row>
    <row r="1864" spans="1:23" ht="14.5">
      <c r="A1864" s="63"/>
      <c r="B1864" s="64"/>
      <c r="C1864" s="65"/>
      <c r="D1864" s="66"/>
      <c r="E1864" s="67"/>
      <c r="F1864" s="68"/>
      <c r="G1864" s="68"/>
      <c r="H1864" s="66"/>
      <c r="I1864" s="69"/>
      <c r="J1864" s="66"/>
      <c r="K1864" s="66"/>
      <c r="L1864" s="66"/>
      <c r="M1864" s="70"/>
      <c r="N1864" s="71"/>
      <c r="W1864" s="22"/>
    </row>
    <row r="1865" spans="1:23" ht="14.5">
      <c r="A1865" s="63"/>
      <c r="B1865" s="64"/>
      <c r="C1865" s="65"/>
      <c r="D1865" s="66"/>
      <c r="E1865" s="67"/>
      <c r="F1865" s="68"/>
      <c r="G1865" s="68"/>
      <c r="H1865" s="66"/>
      <c r="I1865" s="69"/>
      <c r="J1865" s="66"/>
      <c r="K1865" s="66"/>
      <c r="L1865" s="66"/>
      <c r="M1865" s="70"/>
      <c r="N1865" s="71"/>
      <c r="W1865" s="22"/>
    </row>
    <row r="1866" spans="1:23" ht="14.5">
      <c r="A1866" s="63"/>
      <c r="B1866" s="64"/>
      <c r="C1866" s="65"/>
      <c r="D1866" s="66"/>
      <c r="E1866" s="67"/>
      <c r="F1866" s="68"/>
      <c r="G1866" s="68"/>
      <c r="H1866" s="66"/>
      <c r="I1866" s="69"/>
      <c r="J1866" s="66"/>
      <c r="K1866" s="66"/>
      <c r="L1866" s="66"/>
      <c r="M1866" s="70"/>
      <c r="N1866" s="71"/>
      <c r="W1866" s="22"/>
    </row>
    <row r="1867" spans="1:23" ht="14.5">
      <c r="A1867" s="63"/>
      <c r="B1867" s="64"/>
      <c r="C1867" s="65"/>
      <c r="D1867" s="66"/>
      <c r="E1867" s="67"/>
      <c r="F1867" s="68"/>
      <c r="G1867" s="68"/>
      <c r="H1867" s="66"/>
      <c r="I1867" s="69"/>
      <c r="J1867" s="66"/>
      <c r="K1867" s="66"/>
      <c r="L1867" s="66"/>
      <c r="M1867" s="70"/>
      <c r="N1867" s="71"/>
      <c r="W1867" s="22"/>
    </row>
    <row r="1868" spans="1:23" ht="14.5">
      <c r="A1868" s="63"/>
      <c r="B1868" s="64"/>
      <c r="C1868" s="65"/>
      <c r="D1868" s="66"/>
      <c r="E1868" s="67"/>
      <c r="F1868" s="68"/>
      <c r="G1868" s="68"/>
      <c r="H1868" s="66"/>
      <c r="I1868" s="69"/>
      <c r="J1868" s="66"/>
      <c r="K1868" s="66"/>
      <c r="L1868" s="66"/>
      <c r="M1868" s="70"/>
      <c r="N1868" s="71"/>
      <c r="W1868" s="22"/>
    </row>
    <row r="1869" spans="1:23" ht="14.5">
      <c r="A1869" s="63"/>
      <c r="B1869" s="64"/>
      <c r="C1869" s="65"/>
      <c r="D1869" s="66"/>
      <c r="E1869" s="67"/>
      <c r="F1869" s="68"/>
      <c r="G1869" s="68"/>
      <c r="H1869" s="66"/>
      <c r="I1869" s="69"/>
      <c r="J1869" s="66"/>
      <c r="K1869" s="66"/>
      <c r="L1869" s="66"/>
      <c r="M1869" s="70"/>
      <c r="N1869" s="71"/>
      <c r="W1869" s="22"/>
    </row>
    <row r="1870" spans="1:23" ht="14.5">
      <c r="A1870" s="63"/>
      <c r="B1870" s="64"/>
      <c r="C1870" s="65"/>
      <c r="D1870" s="66"/>
      <c r="E1870" s="67"/>
      <c r="F1870" s="68"/>
      <c r="G1870" s="68"/>
      <c r="H1870" s="66"/>
      <c r="I1870" s="69"/>
      <c r="J1870" s="66"/>
      <c r="K1870" s="66"/>
      <c r="L1870" s="66"/>
      <c r="M1870" s="70"/>
      <c r="N1870" s="71"/>
      <c r="W1870" s="22"/>
    </row>
    <row r="1871" spans="1:23" ht="14.5">
      <c r="A1871" s="63"/>
      <c r="B1871" s="64"/>
      <c r="C1871" s="65"/>
      <c r="D1871" s="66"/>
      <c r="E1871" s="67"/>
      <c r="F1871" s="68"/>
      <c r="G1871" s="68"/>
      <c r="H1871" s="66"/>
      <c r="I1871" s="69"/>
      <c r="J1871" s="66"/>
      <c r="K1871" s="66"/>
      <c r="L1871" s="66"/>
      <c r="M1871" s="70"/>
      <c r="N1871" s="71"/>
      <c r="W1871" s="22"/>
    </row>
    <row r="1872" spans="1:23" ht="14.5">
      <c r="A1872" s="63"/>
      <c r="B1872" s="64"/>
      <c r="C1872" s="65"/>
      <c r="D1872" s="66"/>
      <c r="E1872" s="67"/>
      <c r="F1872" s="68"/>
      <c r="G1872" s="68"/>
      <c r="H1872" s="66"/>
      <c r="I1872" s="69"/>
      <c r="J1872" s="66"/>
      <c r="K1872" s="66"/>
      <c r="L1872" s="66"/>
      <c r="M1872" s="70"/>
      <c r="N1872" s="71"/>
      <c r="W1872" s="22"/>
    </row>
    <row r="1873" spans="1:23" ht="14.5">
      <c r="A1873" s="63"/>
      <c r="B1873" s="64"/>
      <c r="C1873" s="65"/>
      <c r="D1873" s="66"/>
      <c r="E1873" s="67"/>
      <c r="F1873" s="68"/>
      <c r="G1873" s="68"/>
      <c r="H1873" s="66"/>
      <c r="I1873" s="69"/>
      <c r="J1873" s="66"/>
      <c r="K1873" s="66"/>
      <c r="L1873" s="66"/>
      <c r="M1873" s="70"/>
      <c r="N1873" s="71"/>
      <c r="W1873" s="22"/>
    </row>
    <row r="1874" spans="1:23" ht="14.5">
      <c r="A1874" s="63"/>
      <c r="B1874" s="64"/>
      <c r="C1874" s="65"/>
      <c r="D1874" s="66"/>
      <c r="E1874" s="67"/>
      <c r="F1874" s="68"/>
      <c r="G1874" s="68"/>
      <c r="H1874" s="66"/>
      <c r="I1874" s="69"/>
      <c r="J1874" s="66"/>
      <c r="K1874" s="66"/>
      <c r="L1874" s="66"/>
      <c r="M1874" s="70"/>
      <c r="N1874" s="71"/>
      <c r="W1874" s="22"/>
    </row>
    <row r="1875" spans="1:23" ht="14.5">
      <c r="A1875" s="63"/>
      <c r="B1875" s="64"/>
      <c r="C1875" s="65"/>
      <c r="D1875" s="66"/>
      <c r="E1875" s="67"/>
      <c r="F1875" s="68"/>
      <c r="G1875" s="68"/>
      <c r="H1875" s="66"/>
      <c r="I1875" s="69"/>
      <c r="J1875" s="66"/>
      <c r="K1875" s="66"/>
      <c r="L1875" s="66"/>
      <c r="M1875" s="70"/>
      <c r="N1875" s="71"/>
      <c r="W1875" s="22"/>
    </row>
    <row r="1876" spans="1:23" ht="14.5">
      <c r="A1876" s="63"/>
      <c r="B1876" s="64"/>
      <c r="C1876" s="65"/>
      <c r="D1876" s="66"/>
      <c r="E1876" s="67"/>
      <c r="F1876" s="68"/>
      <c r="G1876" s="68"/>
      <c r="H1876" s="66"/>
      <c r="I1876" s="69"/>
      <c r="J1876" s="66"/>
      <c r="K1876" s="66"/>
      <c r="L1876" s="66"/>
      <c r="M1876" s="70"/>
      <c r="N1876" s="71"/>
      <c r="W1876" s="22"/>
    </row>
    <row r="1877" spans="1:23" ht="14.5">
      <c r="A1877" s="63"/>
      <c r="B1877" s="64"/>
      <c r="C1877" s="65"/>
      <c r="D1877" s="66"/>
      <c r="E1877" s="67"/>
      <c r="F1877" s="68"/>
      <c r="G1877" s="68"/>
      <c r="H1877" s="66"/>
      <c r="I1877" s="69"/>
      <c r="J1877" s="66"/>
      <c r="K1877" s="66"/>
      <c r="L1877" s="66"/>
      <c r="M1877" s="70"/>
      <c r="N1877" s="71"/>
      <c r="W1877" s="22"/>
    </row>
    <row r="1878" spans="1:23" ht="14.5">
      <c r="A1878" s="63"/>
      <c r="B1878" s="64"/>
      <c r="C1878" s="65"/>
      <c r="D1878" s="66"/>
      <c r="E1878" s="67"/>
      <c r="F1878" s="68"/>
      <c r="G1878" s="68"/>
      <c r="H1878" s="66"/>
      <c r="I1878" s="69"/>
      <c r="J1878" s="66"/>
      <c r="K1878" s="66"/>
      <c r="L1878" s="66"/>
      <c r="M1878" s="70"/>
      <c r="N1878" s="71"/>
      <c r="W1878" s="22"/>
    </row>
    <row r="1879" spans="1:23" ht="14.5">
      <c r="A1879" s="63"/>
      <c r="B1879" s="64"/>
      <c r="C1879" s="65"/>
      <c r="D1879" s="66"/>
      <c r="E1879" s="67"/>
      <c r="F1879" s="68"/>
      <c r="G1879" s="68"/>
      <c r="H1879" s="66"/>
      <c r="I1879" s="69"/>
      <c r="J1879" s="66"/>
      <c r="K1879" s="66"/>
      <c r="L1879" s="66"/>
      <c r="M1879" s="70"/>
      <c r="N1879" s="71"/>
      <c r="W1879" s="22"/>
    </row>
    <row r="1880" spans="1:23" ht="14.5">
      <c r="A1880" s="63"/>
      <c r="B1880" s="64"/>
      <c r="C1880" s="65"/>
      <c r="D1880" s="66"/>
      <c r="E1880" s="67"/>
      <c r="F1880" s="68"/>
      <c r="G1880" s="68"/>
      <c r="H1880" s="66"/>
      <c r="I1880" s="69"/>
      <c r="J1880" s="66"/>
      <c r="K1880" s="66"/>
      <c r="L1880" s="66"/>
      <c r="M1880" s="70"/>
      <c r="N1880" s="71"/>
      <c r="W1880" s="22"/>
    </row>
    <row r="1881" spans="1:23" ht="14.5">
      <c r="A1881" s="63"/>
      <c r="B1881" s="64"/>
      <c r="C1881" s="65"/>
      <c r="D1881" s="66"/>
      <c r="E1881" s="67"/>
      <c r="F1881" s="68"/>
      <c r="G1881" s="68"/>
      <c r="H1881" s="66"/>
      <c r="I1881" s="69"/>
      <c r="J1881" s="66"/>
      <c r="K1881" s="66"/>
      <c r="L1881" s="66"/>
      <c r="M1881" s="70"/>
      <c r="N1881" s="71"/>
      <c r="W1881" s="22"/>
    </row>
    <row r="1882" spans="1:23" ht="14.5">
      <c r="A1882" s="63"/>
      <c r="B1882" s="64"/>
      <c r="C1882" s="65"/>
      <c r="D1882" s="66"/>
      <c r="E1882" s="67"/>
      <c r="F1882" s="68"/>
      <c r="G1882" s="68"/>
      <c r="H1882" s="66"/>
      <c r="I1882" s="69"/>
      <c r="J1882" s="66"/>
      <c r="K1882" s="66"/>
      <c r="L1882" s="66"/>
      <c r="M1882" s="70"/>
      <c r="N1882" s="71"/>
      <c r="W1882" s="22"/>
    </row>
    <row r="1883" spans="1:23" ht="14.5">
      <c r="A1883" s="63"/>
      <c r="B1883" s="64"/>
      <c r="C1883" s="65"/>
      <c r="D1883" s="66"/>
      <c r="E1883" s="67"/>
      <c r="F1883" s="68"/>
      <c r="G1883" s="68"/>
      <c r="H1883" s="66"/>
      <c r="I1883" s="69"/>
      <c r="J1883" s="66"/>
      <c r="K1883" s="66"/>
      <c r="L1883" s="66"/>
      <c r="M1883" s="70"/>
      <c r="N1883" s="71"/>
      <c r="W1883" s="22"/>
    </row>
    <row r="1884" spans="1:23" ht="14.5">
      <c r="A1884" s="63"/>
      <c r="B1884" s="64"/>
      <c r="C1884" s="65"/>
      <c r="D1884" s="66"/>
      <c r="E1884" s="67"/>
      <c r="F1884" s="68"/>
      <c r="G1884" s="68"/>
      <c r="H1884" s="66"/>
      <c r="I1884" s="69"/>
      <c r="J1884" s="66"/>
      <c r="K1884" s="66"/>
      <c r="L1884" s="66"/>
      <c r="M1884" s="70"/>
      <c r="N1884" s="71"/>
      <c r="W1884" s="22"/>
    </row>
    <row r="1885" spans="1:23" ht="14.5">
      <c r="A1885" s="63"/>
      <c r="B1885" s="64"/>
      <c r="C1885" s="65"/>
      <c r="D1885" s="66"/>
      <c r="E1885" s="67"/>
      <c r="F1885" s="68"/>
      <c r="G1885" s="68"/>
      <c r="H1885" s="66"/>
      <c r="I1885" s="69"/>
      <c r="J1885" s="66"/>
      <c r="K1885" s="66"/>
      <c r="L1885" s="66"/>
      <c r="M1885" s="70"/>
      <c r="N1885" s="71"/>
      <c r="W1885" s="22"/>
    </row>
    <row r="1886" spans="1:23" ht="14.5">
      <c r="A1886" s="63"/>
      <c r="B1886" s="64"/>
      <c r="C1886" s="65"/>
      <c r="D1886" s="66"/>
      <c r="E1886" s="67"/>
      <c r="F1886" s="68"/>
      <c r="G1886" s="68"/>
      <c r="H1886" s="66"/>
      <c r="I1886" s="69"/>
      <c r="J1886" s="66"/>
      <c r="K1886" s="66"/>
      <c r="L1886" s="66"/>
      <c r="M1886" s="70"/>
      <c r="N1886" s="71"/>
      <c r="W1886" s="22"/>
    </row>
    <row r="1887" spans="1:23" ht="14.5">
      <c r="A1887" s="63"/>
      <c r="B1887" s="64"/>
      <c r="C1887" s="65"/>
      <c r="D1887" s="66"/>
      <c r="E1887" s="67"/>
      <c r="F1887" s="68"/>
      <c r="G1887" s="68"/>
      <c r="H1887" s="66"/>
      <c r="I1887" s="69"/>
      <c r="J1887" s="66"/>
      <c r="K1887" s="66"/>
      <c r="L1887" s="66"/>
      <c r="M1887" s="70"/>
      <c r="N1887" s="71"/>
      <c r="W1887" s="22"/>
    </row>
    <row r="1888" spans="1:23" ht="14.5">
      <c r="A1888" s="63"/>
      <c r="B1888" s="64"/>
      <c r="C1888" s="65"/>
      <c r="D1888" s="66"/>
      <c r="E1888" s="67"/>
      <c r="F1888" s="68"/>
      <c r="G1888" s="68"/>
      <c r="H1888" s="66"/>
      <c r="I1888" s="69"/>
      <c r="J1888" s="66"/>
      <c r="K1888" s="66"/>
      <c r="L1888" s="66"/>
      <c r="M1888" s="70"/>
      <c r="N1888" s="71"/>
      <c r="W1888" s="22"/>
    </row>
    <row r="1889" spans="1:23" ht="14.5">
      <c r="A1889" s="63"/>
      <c r="B1889" s="64"/>
      <c r="C1889" s="65"/>
      <c r="D1889" s="66"/>
      <c r="E1889" s="67"/>
      <c r="F1889" s="68"/>
      <c r="G1889" s="68"/>
      <c r="H1889" s="66"/>
      <c r="I1889" s="69"/>
      <c r="J1889" s="66"/>
      <c r="K1889" s="66"/>
      <c r="L1889" s="66"/>
      <c r="M1889" s="70"/>
      <c r="N1889" s="71"/>
      <c r="W1889" s="22"/>
    </row>
    <row r="1890" spans="1:23" ht="14.5">
      <c r="A1890" s="63"/>
      <c r="B1890" s="64"/>
      <c r="C1890" s="65"/>
      <c r="D1890" s="66"/>
      <c r="E1890" s="67"/>
      <c r="F1890" s="68"/>
      <c r="G1890" s="68"/>
      <c r="H1890" s="66"/>
      <c r="I1890" s="69"/>
      <c r="J1890" s="66"/>
      <c r="K1890" s="66"/>
      <c r="L1890" s="66"/>
      <c r="M1890" s="70"/>
      <c r="N1890" s="71"/>
      <c r="W1890" s="22"/>
    </row>
    <row r="1891" spans="1:23" ht="14.5">
      <c r="A1891" s="63"/>
      <c r="B1891" s="64"/>
      <c r="C1891" s="65"/>
      <c r="D1891" s="66"/>
      <c r="E1891" s="67"/>
      <c r="F1891" s="68"/>
      <c r="G1891" s="68"/>
      <c r="H1891" s="66"/>
      <c r="I1891" s="69"/>
      <c r="J1891" s="66"/>
      <c r="K1891" s="66"/>
      <c r="L1891" s="66"/>
      <c r="M1891" s="70"/>
      <c r="N1891" s="71"/>
      <c r="W1891" s="22"/>
    </row>
    <row r="1892" spans="1:23" ht="14.5">
      <c r="A1892" s="63"/>
      <c r="B1892" s="64"/>
      <c r="C1892" s="65"/>
      <c r="D1892" s="66"/>
      <c r="E1892" s="67"/>
      <c r="F1892" s="68"/>
      <c r="G1892" s="68"/>
      <c r="H1892" s="66"/>
      <c r="I1892" s="69"/>
      <c r="J1892" s="66"/>
      <c r="K1892" s="66"/>
      <c r="L1892" s="66"/>
      <c r="M1892" s="70"/>
      <c r="N1892" s="71"/>
      <c r="W1892" s="22"/>
    </row>
    <row r="1893" spans="1:23" ht="14.5">
      <c r="A1893" s="63"/>
      <c r="B1893" s="64"/>
      <c r="C1893" s="65"/>
      <c r="D1893" s="66"/>
      <c r="E1893" s="67"/>
      <c r="F1893" s="68"/>
      <c r="G1893" s="68"/>
      <c r="H1893" s="66"/>
      <c r="I1893" s="69"/>
      <c r="J1893" s="66"/>
      <c r="K1893" s="66"/>
      <c r="L1893" s="66"/>
      <c r="M1893" s="70"/>
      <c r="N1893" s="71"/>
      <c r="W1893" s="22"/>
    </row>
    <row r="1894" spans="1:23" ht="14.5">
      <c r="A1894" s="63"/>
      <c r="B1894" s="64"/>
      <c r="C1894" s="65"/>
      <c r="D1894" s="66"/>
      <c r="E1894" s="67"/>
      <c r="F1894" s="68"/>
      <c r="G1894" s="68"/>
      <c r="H1894" s="66"/>
      <c r="I1894" s="69"/>
      <c r="J1894" s="66"/>
      <c r="K1894" s="66"/>
      <c r="L1894" s="66"/>
      <c r="M1894" s="70"/>
      <c r="N1894" s="71"/>
      <c r="W1894" s="22"/>
    </row>
    <row r="1895" spans="1:23" ht="14.5">
      <c r="A1895" s="63"/>
      <c r="B1895" s="64"/>
      <c r="C1895" s="65"/>
      <c r="D1895" s="66"/>
      <c r="E1895" s="67"/>
      <c r="F1895" s="68"/>
      <c r="G1895" s="68"/>
      <c r="H1895" s="66"/>
      <c r="I1895" s="69"/>
      <c r="J1895" s="66"/>
      <c r="K1895" s="66"/>
      <c r="L1895" s="66"/>
      <c r="M1895" s="70"/>
      <c r="N1895" s="71"/>
      <c r="W1895" s="22"/>
    </row>
    <row r="1896" spans="1:23" ht="14.5">
      <c r="A1896" s="63"/>
      <c r="B1896" s="64"/>
      <c r="C1896" s="65"/>
      <c r="D1896" s="66"/>
      <c r="E1896" s="67"/>
      <c r="F1896" s="68"/>
      <c r="G1896" s="68"/>
      <c r="H1896" s="66"/>
      <c r="I1896" s="69"/>
      <c r="J1896" s="66"/>
      <c r="K1896" s="66"/>
      <c r="L1896" s="66"/>
      <c r="M1896" s="70"/>
      <c r="N1896" s="71"/>
      <c r="W1896" s="22"/>
    </row>
    <row r="1897" spans="1:23" ht="14.5">
      <c r="A1897" s="63"/>
      <c r="B1897" s="64"/>
      <c r="C1897" s="65"/>
      <c r="D1897" s="66"/>
      <c r="E1897" s="67"/>
      <c r="F1897" s="68"/>
      <c r="G1897" s="68"/>
      <c r="H1897" s="66"/>
      <c r="I1897" s="69"/>
      <c r="J1897" s="66"/>
      <c r="K1897" s="66"/>
      <c r="L1897" s="66"/>
      <c r="M1897" s="70"/>
      <c r="N1897" s="71"/>
      <c r="W1897" s="22"/>
    </row>
    <row r="1898" spans="1:23" ht="14.5">
      <c r="A1898" s="63"/>
      <c r="B1898" s="64"/>
      <c r="C1898" s="65"/>
      <c r="D1898" s="66"/>
      <c r="E1898" s="67"/>
      <c r="F1898" s="68"/>
      <c r="G1898" s="68"/>
      <c r="H1898" s="66"/>
      <c r="I1898" s="69"/>
      <c r="J1898" s="66"/>
      <c r="K1898" s="66"/>
      <c r="L1898" s="66"/>
      <c r="M1898" s="70"/>
      <c r="N1898" s="71"/>
      <c r="W1898" s="22"/>
    </row>
    <row r="1899" spans="1:23" ht="14.5">
      <c r="A1899" s="63"/>
      <c r="B1899" s="64"/>
      <c r="C1899" s="65"/>
      <c r="D1899" s="66"/>
      <c r="E1899" s="67"/>
      <c r="F1899" s="68"/>
      <c r="G1899" s="68"/>
      <c r="H1899" s="66"/>
      <c r="I1899" s="69"/>
      <c r="J1899" s="66"/>
      <c r="K1899" s="66"/>
      <c r="L1899" s="66"/>
      <c r="M1899" s="70"/>
      <c r="N1899" s="71"/>
      <c r="W1899" s="22"/>
    </row>
    <row r="1900" spans="1:23" ht="14.5">
      <c r="A1900" s="63"/>
      <c r="B1900" s="64"/>
      <c r="C1900" s="65"/>
      <c r="D1900" s="66"/>
      <c r="E1900" s="67"/>
      <c r="F1900" s="68"/>
      <c r="G1900" s="68"/>
      <c r="H1900" s="66"/>
      <c r="I1900" s="69"/>
      <c r="J1900" s="66"/>
      <c r="K1900" s="66"/>
      <c r="L1900" s="66"/>
      <c r="M1900" s="70"/>
      <c r="N1900" s="71"/>
      <c r="W1900" s="22"/>
    </row>
    <row r="1901" spans="1:23" ht="14.5">
      <c r="A1901" s="63"/>
      <c r="B1901" s="64"/>
      <c r="C1901" s="65"/>
      <c r="D1901" s="66"/>
      <c r="E1901" s="67"/>
      <c r="F1901" s="68"/>
      <c r="G1901" s="68"/>
      <c r="H1901" s="66"/>
      <c r="I1901" s="69"/>
      <c r="J1901" s="66"/>
      <c r="K1901" s="66"/>
      <c r="L1901" s="66"/>
      <c r="M1901" s="70"/>
      <c r="N1901" s="71"/>
      <c r="W1901" s="22"/>
    </row>
    <row r="1902" spans="1:23" ht="14.5">
      <c r="A1902" s="63"/>
      <c r="B1902" s="64"/>
      <c r="C1902" s="65"/>
      <c r="D1902" s="66"/>
      <c r="E1902" s="67"/>
      <c r="F1902" s="68"/>
      <c r="G1902" s="68"/>
      <c r="H1902" s="66"/>
      <c r="I1902" s="69"/>
      <c r="J1902" s="66"/>
      <c r="K1902" s="66"/>
      <c r="L1902" s="66"/>
      <c r="M1902" s="70"/>
      <c r="N1902" s="71"/>
      <c r="W1902" s="22"/>
    </row>
    <row r="1903" spans="1:23" ht="14.5">
      <c r="A1903" s="63"/>
      <c r="B1903" s="64"/>
      <c r="C1903" s="65"/>
      <c r="D1903" s="66"/>
      <c r="E1903" s="67"/>
      <c r="F1903" s="68"/>
      <c r="G1903" s="68"/>
      <c r="H1903" s="66"/>
      <c r="I1903" s="69"/>
      <c r="J1903" s="66"/>
      <c r="K1903" s="66"/>
      <c r="L1903" s="66"/>
      <c r="M1903" s="70"/>
      <c r="N1903" s="71"/>
      <c r="W1903" s="22"/>
    </row>
    <row r="1904" spans="1:23" ht="14.5">
      <c r="A1904" s="63"/>
      <c r="B1904" s="64"/>
      <c r="C1904" s="65"/>
      <c r="D1904" s="66"/>
      <c r="E1904" s="67"/>
      <c r="F1904" s="68"/>
      <c r="G1904" s="68"/>
      <c r="H1904" s="66"/>
      <c r="I1904" s="69"/>
      <c r="J1904" s="66"/>
      <c r="K1904" s="66"/>
      <c r="L1904" s="66"/>
      <c r="M1904" s="70"/>
      <c r="N1904" s="71"/>
      <c r="W1904" s="22"/>
    </row>
    <row r="1905" spans="1:23" ht="14.5">
      <c r="A1905" s="63"/>
      <c r="B1905" s="64"/>
      <c r="C1905" s="65"/>
      <c r="D1905" s="66"/>
      <c r="E1905" s="67"/>
      <c r="F1905" s="68"/>
      <c r="G1905" s="68"/>
      <c r="H1905" s="66"/>
      <c r="I1905" s="69"/>
      <c r="J1905" s="66"/>
      <c r="K1905" s="66"/>
      <c r="L1905" s="66"/>
      <c r="M1905" s="70"/>
      <c r="N1905" s="71"/>
      <c r="W1905" s="22"/>
    </row>
    <row r="1906" spans="1:23" ht="14.5">
      <c r="A1906" s="63"/>
      <c r="B1906" s="64"/>
      <c r="C1906" s="65"/>
      <c r="D1906" s="66"/>
      <c r="E1906" s="67"/>
      <c r="F1906" s="68"/>
      <c r="G1906" s="68"/>
      <c r="H1906" s="66"/>
      <c r="I1906" s="69"/>
      <c r="J1906" s="66"/>
      <c r="K1906" s="66"/>
      <c r="L1906" s="66"/>
      <c r="M1906" s="70"/>
      <c r="N1906" s="71"/>
      <c r="W1906" s="22"/>
    </row>
    <row r="1907" spans="1:23" ht="14.5">
      <c r="A1907" s="63"/>
      <c r="B1907" s="64"/>
      <c r="C1907" s="65"/>
      <c r="D1907" s="66"/>
      <c r="E1907" s="67"/>
      <c r="F1907" s="68"/>
      <c r="G1907" s="68"/>
      <c r="H1907" s="66"/>
      <c r="I1907" s="69"/>
      <c r="J1907" s="66"/>
      <c r="K1907" s="66"/>
      <c r="L1907" s="66"/>
      <c r="M1907" s="70"/>
      <c r="N1907" s="71"/>
      <c r="W1907" s="22"/>
    </row>
    <row r="1908" spans="1:23" ht="14.5">
      <c r="A1908" s="63"/>
      <c r="B1908" s="64"/>
      <c r="C1908" s="65"/>
      <c r="D1908" s="66"/>
      <c r="E1908" s="67"/>
      <c r="F1908" s="68"/>
      <c r="G1908" s="68"/>
      <c r="H1908" s="66"/>
      <c r="I1908" s="69"/>
      <c r="J1908" s="66"/>
      <c r="K1908" s="66"/>
      <c r="L1908" s="66"/>
      <c r="M1908" s="70"/>
      <c r="N1908" s="71"/>
      <c r="W1908" s="22"/>
    </row>
    <row r="1909" spans="1:23" ht="14.5">
      <c r="A1909" s="63"/>
      <c r="B1909" s="64"/>
      <c r="C1909" s="65"/>
      <c r="D1909" s="66"/>
      <c r="E1909" s="67"/>
      <c r="F1909" s="68"/>
      <c r="G1909" s="68"/>
      <c r="H1909" s="66"/>
      <c r="I1909" s="69"/>
      <c r="J1909" s="66"/>
      <c r="K1909" s="66"/>
      <c r="L1909" s="66"/>
      <c r="M1909" s="70"/>
      <c r="N1909" s="71"/>
      <c r="W1909" s="22"/>
    </row>
    <row r="1910" spans="1:23" ht="14.5">
      <c r="A1910" s="63"/>
      <c r="B1910" s="64"/>
      <c r="C1910" s="65"/>
      <c r="D1910" s="66"/>
      <c r="E1910" s="67"/>
      <c r="F1910" s="68"/>
      <c r="G1910" s="68"/>
      <c r="H1910" s="66"/>
      <c r="I1910" s="69"/>
      <c r="J1910" s="66"/>
      <c r="K1910" s="66"/>
      <c r="L1910" s="66"/>
      <c r="M1910" s="70"/>
      <c r="N1910" s="71"/>
      <c r="W1910" s="22"/>
    </row>
    <row r="1911" spans="1:23" ht="14.5">
      <c r="A1911" s="63"/>
      <c r="B1911" s="64"/>
      <c r="C1911" s="65"/>
      <c r="D1911" s="66"/>
      <c r="E1911" s="67"/>
      <c r="F1911" s="68"/>
      <c r="G1911" s="68"/>
      <c r="H1911" s="66"/>
      <c r="I1911" s="69"/>
      <c r="J1911" s="66"/>
      <c r="K1911" s="66"/>
      <c r="L1911" s="66"/>
      <c r="M1911" s="70"/>
      <c r="N1911" s="71"/>
      <c r="W1911" s="22"/>
    </row>
    <row r="1912" spans="1:23" ht="14.5">
      <c r="A1912" s="63"/>
      <c r="B1912" s="64"/>
      <c r="C1912" s="65"/>
      <c r="D1912" s="66"/>
      <c r="E1912" s="67"/>
      <c r="F1912" s="68"/>
      <c r="G1912" s="68"/>
      <c r="H1912" s="66"/>
      <c r="I1912" s="69"/>
      <c r="J1912" s="66"/>
      <c r="K1912" s="66"/>
      <c r="L1912" s="66"/>
      <c r="M1912" s="70"/>
      <c r="N1912" s="71"/>
      <c r="W1912" s="22"/>
    </row>
    <row r="1913" spans="1:23" ht="14.5">
      <c r="A1913" s="63"/>
      <c r="B1913" s="64"/>
      <c r="C1913" s="65"/>
      <c r="D1913" s="66"/>
      <c r="E1913" s="67"/>
      <c r="F1913" s="68"/>
      <c r="G1913" s="68"/>
      <c r="H1913" s="66"/>
      <c r="I1913" s="69"/>
      <c r="J1913" s="66"/>
      <c r="K1913" s="66"/>
      <c r="L1913" s="66"/>
      <c r="M1913" s="70"/>
      <c r="N1913" s="71"/>
      <c r="W1913" s="22"/>
    </row>
    <row r="1914" spans="1:23" ht="14.5">
      <c r="A1914" s="63"/>
      <c r="B1914" s="64"/>
      <c r="C1914" s="65"/>
      <c r="D1914" s="66"/>
      <c r="E1914" s="67"/>
      <c r="F1914" s="68"/>
      <c r="G1914" s="68"/>
      <c r="H1914" s="66"/>
      <c r="I1914" s="69"/>
      <c r="J1914" s="66"/>
      <c r="K1914" s="66"/>
      <c r="L1914" s="66"/>
      <c r="M1914" s="70"/>
      <c r="N1914" s="71"/>
      <c r="W1914" s="22"/>
    </row>
    <row r="1915" spans="1:23" ht="14.5">
      <c r="A1915" s="63"/>
      <c r="B1915" s="64"/>
      <c r="C1915" s="65"/>
      <c r="D1915" s="66"/>
      <c r="E1915" s="67"/>
      <c r="F1915" s="68"/>
      <c r="G1915" s="68"/>
      <c r="H1915" s="66"/>
      <c r="I1915" s="69"/>
      <c r="J1915" s="66"/>
      <c r="K1915" s="66"/>
      <c r="L1915" s="66"/>
      <c r="M1915" s="70"/>
      <c r="N1915" s="71"/>
      <c r="W1915" s="22"/>
    </row>
    <row r="1916" spans="1:23" ht="14.5">
      <c r="A1916" s="63"/>
      <c r="B1916" s="64"/>
      <c r="C1916" s="65"/>
      <c r="D1916" s="66"/>
      <c r="E1916" s="67"/>
      <c r="F1916" s="68"/>
      <c r="G1916" s="68"/>
      <c r="H1916" s="66"/>
      <c r="I1916" s="69"/>
      <c r="J1916" s="66"/>
      <c r="K1916" s="66"/>
      <c r="L1916" s="66"/>
      <c r="M1916" s="70"/>
      <c r="N1916" s="71"/>
      <c r="W1916" s="22"/>
    </row>
    <row r="1917" spans="1:23" ht="14.5">
      <c r="A1917" s="63"/>
      <c r="B1917" s="64"/>
      <c r="C1917" s="65"/>
      <c r="D1917" s="66"/>
      <c r="E1917" s="67"/>
      <c r="F1917" s="68"/>
      <c r="G1917" s="68"/>
      <c r="H1917" s="66"/>
      <c r="I1917" s="69"/>
      <c r="J1917" s="66"/>
      <c r="K1917" s="66"/>
      <c r="L1917" s="66"/>
      <c r="M1917" s="70"/>
      <c r="N1917" s="71"/>
      <c r="W1917" s="22"/>
    </row>
    <row r="1918" spans="1:23" ht="14.5">
      <c r="A1918" s="63"/>
      <c r="B1918" s="64"/>
      <c r="C1918" s="65"/>
      <c r="D1918" s="66"/>
      <c r="E1918" s="67"/>
      <c r="F1918" s="68"/>
      <c r="G1918" s="68"/>
      <c r="H1918" s="66"/>
      <c r="I1918" s="69"/>
      <c r="J1918" s="66"/>
      <c r="K1918" s="66"/>
      <c r="L1918" s="66"/>
      <c r="M1918" s="70"/>
      <c r="N1918" s="71"/>
      <c r="W1918" s="22"/>
    </row>
    <row r="1919" spans="1:23" ht="14.5">
      <c r="A1919" s="63"/>
      <c r="B1919" s="64"/>
      <c r="C1919" s="65"/>
      <c r="D1919" s="66"/>
      <c r="E1919" s="67"/>
      <c r="F1919" s="68"/>
      <c r="G1919" s="68"/>
      <c r="H1919" s="66"/>
      <c r="I1919" s="69"/>
      <c r="J1919" s="66"/>
      <c r="K1919" s="66"/>
      <c r="L1919" s="66"/>
      <c r="M1919" s="70"/>
      <c r="N1919" s="71"/>
      <c r="W1919" s="22"/>
    </row>
    <row r="1920" spans="1:23" ht="14.5">
      <c r="A1920" s="63"/>
      <c r="B1920" s="64"/>
      <c r="C1920" s="65"/>
      <c r="D1920" s="66"/>
      <c r="E1920" s="67"/>
      <c r="F1920" s="68"/>
      <c r="G1920" s="68"/>
      <c r="H1920" s="66"/>
      <c r="I1920" s="69"/>
      <c r="J1920" s="66"/>
      <c r="K1920" s="66"/>
      <c r="L1920" s="66"/>
      <c r="M1920" s="70"/>
      <c r="N1920" s="71"/>
      <c r="W1920" s="22"/>
    </row>
    <row r="1921" spans="1:23" ht="14.5">
      <c r="A1921" s="63"/>
      <c r="B1921" s="64"/>
      <c r="C1921" s="65"/>
      <c r="D1921" s="66"/>
      <c r="E1921" s="67"/>
      <c r="F1921" s="68"/>
      <c r="G1921" s="68"/>
      <c r="H1921" s="66"/>
      <c r="I1921" s="69"/>
      <c r="J1921" s="66"/>
      <c r="K1921" s="66"/>
      <c r="L1921" s="66"/>
      <c r="M1921" s="70"/>
      <c r="N1921" s="71"/>
      <c r="W1921" s="22"/>
    </row>
    <row r="1922" spans="1:23" ht="14.5">
      <c r="A1922" s="63"/>
      <c r="B1922" s="64"/>
      <c r="C1922" s="65"/>
      <c r="D1922" s="66"/>
      <c r="E1922" s="67"/>
      <c r="F1922" s="68"/>
      <c r="G1922" s="68"/>
      <c r="H1922" s="66"/>
      <c r="I1922" s="69"/>
      <c r="J1922" s="66"/>
      <c r="K1922" s="66"/>
      <c r="L1922" s="66"/>
      <c r="M1922" s="70"/>
      <c r="N1922" s="71"/>
      <c r="W1922" s="22"/>
    </row>
    <row r="1923" spans="1:23" ht="14.5">
      <c r="A1923" s="63"/>
      <c r="B1923" s="64"/>
      <c r="C1923" s="65"/>
      <c r="D1923" s="66"/>
      <c r="E1923" s="67"/>
      <c r="F1923" s="68"/>
      <c r="G1923" s="68"/>
      <c r="H1923" s="66"/>
      <c r="I1923" s="69"/>
      <c r="J1923" s="66"/>
      <c r="K1923" s="66"/>
      <c r="L1923" s="66"/>
      <c r="M1923" s="70"/>
      <c r="N1923" s="71"/>
      <c r="W1923" s="22"/>
    </row>
    <row r="1924" spans="1:23" ht="14.5">
      <c r="A1924" s="63"/>
      <c r="B1924" s="64"/>
      <c r="C1924" s="65"/>
      <c r="D1924" s="66"/>
      <c r="E1924" s="67"/>
      <c r="F1924" s="68"/>
      <c r="G1924" s="68"/>
      <c r="H1924" s="66"/>
      <c r="I1924" s="69"/>
      <c r="J1924" s="66"/>
      <c r="K1924" s="66"/>
      <c r="L1924" s="66"/>
      <c r="M1924" s="70"/>
      <c r="N1924" s="71"/>
      <c r="W1924" s="22"/>
    </row>
    <row r="1925" spans="1:23" ht="14.5">
      <c r="A1925" s="63"/>
      <c r="B1925" s="64"/>
      <c r="C1925" s="65"/>
      <c r="D1925" s="66"/>
      <c r="E1925" s="67"/>
      <c r="F1925" s="68"/>
      <c r="G1925" s="68"/>
      <c r="H1925" s="66"/>
      <c r="I1925" s="69"/>
      <c r="J1925" s="66"/>
      <c r="K1925" s="66"/>
      <c r="L1925" s="66"/>
      <c r="M1925" s="70"/>
      <c r="N1925" s="71"/>
      <c r="W1925" s="22"/>
    </row>
    <row r="1926" spans="1:23" ht="14.5">
      <c r="A1926" s="63"/>
      <c r="B1926" s="64"/>
      <c r="C1926" s="65"/>
      <c r="D1926" s="66"/>
      <c r="E1926" s="67"/>
      <c r="F1926" s="68"/>
      <c r="G1926" s="68"/>
      <c r="H1926" s="66"/>
      <c r="I1926" s="69"/>
      <c r="J1926" s="66"/>
      <c r="K1926" s="66"/>
      <c r="L1926" s="66"/>
      <c r="M1926" s="70"/>
      <c r="N1926" s="71"/>
      <c r="W1926" s="22"/>
    </row>
    <row r="1927" spans="1:23" ht="14.5">
      <c r="A1927" s="63"/>
      <c r="B1927" s="64"/>
      <c r="C1927" s="65"/>
      <c r="D1927" s="66"/>
      <c r="E1927" s="67"/>
      <c r="F1927" s="68"/>
      <c r="G1927" s="68"/>
      <c r="H1927" s="66"/>
      <c r="I1927" s="69"/>
      <c r="J1927" s="66"/>
      <c r="K1927" s="66"/>
      <c r="L1927" s="66"/>
      <c r="M1927" s="70"/>
      <c r="N1927" s="71"/>
      <c r="W1927" s="22"/>
    </row>
    <row r="1928" spans="1:23" ht="14.5">
      <c r="A1928" s="63"/>
      <c r="B1928" s="64"/>
      <c r="C1928" s="65"/>
      <c r="D1928" s="66"/>
      <c r="E1928" s="67"/>
      <c r="F1928" s="68"/>
      <c r="G1928" s="68"/>
      <c r="H1928" s="66"/>
      <c r="I1928" s="69"/>
      <c r="J1928" s="66"/>
      <c r="K1928" s="66"/>
      <c r="L1928" s="66"/>
      <c r="M1928" s="70"/>
      <c r="N1928" s="71"/>
      <c r="W1928" s="22"/>
    </row>
    <row r="1929" spans="1:23" ht="14.5">
      <c r="A1929" s="63"/>
      <c r="B1929" s="64"/>
      <c r="C1929" s="65"/>
      <c r="D1929" s="66"/>
      <c r="E1929" s="67"/>
      <c r="F1929" s="68"/>
      <c r="G1929" s="68"/>
      <c r="H1929" s="66"/>
      <c r="I1929" s="69"/>
      <c r="J1929" s="66"/>
      <c r="K1929" s="66"/>
      <c r="L1929" s="66"/>
      <c r="M1929" s="70"/>
      <c r="N1929" s="71"/>
      <c r="W1929" s="22"/>
    </row>
    <row r="1930" spans="1:23" ht="14.5">
      <c r="A1930" s="63"/>
      <c r="B1930" s="64"/>
      <c r="C1930" s="65"/>
      <c r="D1930" s="66"/>
      <c r="E1930" s="67"/>
      <c r="F1930" s="68"/>
      <c r="G1930" s="68"/>
      <c r="H1930" s="66"/>
      <c r="I1930" s="69"/>
      <c r="J1930" s="66"/>
      <c r="K1930" s="66"/>
      <c r="L1930" s="66"/>
      <c r="M1930" s="70"/>
      <c r="N1930" s="71"/>
      <c r="W1930" s="22"/>
    </row>
    <row r="1931" spans="1:23" ht="14.5">
      <c r="A1931" s="63"/>
      <c r="B1931" s="64"/>
      <c r="C1931" s="65"/>
      <c r="D1931" s="66"/>
      <c r="E1931" s="67"/>
      <c r="F1931" s="68"/>
      <c r="G1931" s="68"/>
      <c r="H1931" s="66"/>
      <c r="I1931" s="69"/>
      <c r="J1931" s="66"/>
      <c r="K1931" s="66"/>
      <c r="L1931" s="66"/>
      <c r="M1931" s="70"/>
      <c r="N1931" s="71"/>
      <c r="W1931" s="22"/>
    </row>
    <row r="1932" spans="1:23" ht="14.5">
      <c r="A1932" s="63"/>
      <c r="B1932" s="64"/>
      <c r="C1932" s="65"/>
      <c r="D1932" s="66"/>
      <c r="E1932" s="67"/>
      <c r="F1932" s="68"/>
      <c r="G1932" s="68"/>
      <c r="H1932" s="66"/>
      <c r="I1932" s="69"/>
      <c r="J1932" s="66"/>
      <c r="K1932" s="66"/>
      <c r="L1932" s="66"/>
      <c r="M1932" s="70"/>
      <c r="N1932" s="71"/>
      <c r="W1932" s="22"/>
    </row>
    <row r="1933" spans="1:23" ht="14.5">
      <c r="A1933" s="63"/>
      <c r="B1933" s="64"/>
      <c r="C1933" s="65"/>
      <c r="D1933" s="66"/>
      <c r="E1933" s="67"/>
      <c r="F1933" s="68"/>
      <c r="G1933" s="68"/>
      <c r="H1933" s="66"/>
      <c r="I1933" s="69"/>
      <c r="J1933" s="66"/>
      <c r="K1933" s="66"/>
      <c r="L1933" s="66"/>
      <c r="M1933" s="70"/>
      <c r="N1933" s="71"/>
      <c r="W1933" s="22"/>
    </row>
    <row r="1934" spans="1:23" ht="14.5">
      <c r="A1934" s="63"/>
      <c r="B1934" s="64"/>
      <c r="C1934" s="65"/>
      <c r="D1934" s="66"/>
      <c r="E1934" s="67"/>
      <c r="F1934" s="68"/>
      <c r="G1934" s="68"/>
      <c r="H1934" s="66"/>
      <c r="I1934" s="69"/>
      <c r="J1934" s="66"/>
      <c r="K1934" s="66"/>
      <c r="L1934" s="66"/>
      <c r="M1934" s="70"/>
      <c r="N1934" s="71"/>
      <c r="W1934" s="22"/>
    </row>
    <row r="1935" spans="1:23" ht="14.5">
      <c r="A1935" s="63"/>
      <c r="B1935" s="64"/>
      <c r="C1935" s="65"/>
      <c r="D1935" s="66"/>
      <c r="E1935" s="67"/>
      <c r="F1935" s="68"/>
      <c r="G1935" s="68"/>
      <c r="H1935" s="66"/>
      <c r="I1935" s="69"/>
      <c r="J1935" s="66"/>
      <c r="K1935" s="66"/>
      <c r="L1935" s="66"/>
      <c r="M1935" s="70"/>
      <c r="N1935" s="71"/>
      <c r="W1935" s="22"/>
    </row>
    <row r="1936" spans="1:23" ht="14.5">
      <c r="A1936" s="63"/>
      <c r="B1936" s="64"/>
      <c r="C1936" s="65"/>
      <c r="D1936" s="66"/>
      <c r="E1936" s="67"/>
      <c r="F1936" s="68"/>
      <c r="G1936" s="68"/>
      <c r="H1936" s="66"/>
      <c r="I1936" s="69"/>
      <c r="J1936" s="66"/>
      <c r="K1936" s="66"/>
      <c r="L1936" s="66"/>
      <c r="M1936" s="70"/>
      <c r="N1936" s="71"/>
      <c r="W1936" s="22"/>
    </row>
    <row r="1937" spans="1:23" ht="14.5">
      <c r="A1937" s="63"/>
      <c r="B1937" s="64"/>
      <c r="C1937" s="65"/>
      <c r="D1937" s="66"/>
      <c r="E1937" s="67"/>
      <c r="F1937" s="68"/>
      <c r="G1937" s="68"/>
      <c r="H1937" s="66"/>
      <c r="I1937" s="69"/>
      <c r="J1937" s="66"/>
      <c r="K1937" s="66"/>
      <c r="L1937" s="66"/>
      <c r="M1937" s="70"/>
      <c r="N1937" s="71"/>
      <c r="W1937" s="22"/>
    </row>
    <row r="1938" spans="1:23" ht="14.5">
      <c r="A1938" s="63"/>
      <c r="B1938" s="64"/>
      <c r="C1938" s="65"/>
      <c r="D1938" s="66"/>
      <c r="E1938" s="67"/>
      <c r="F1938" s="68"/>
      <c r="G1938" s="68"/>
      <c r="H1938" s="66"/>
      <c r="I1938" s="69"/>
      <c r="J1938" s="66"/>
      <c r="K1938" s="66"/>
      <c r="L1938" s="66"/>
      <c r="M1938" s="70"/>
      <c r="N1938" s="71"/>
      <c r="W1938" s="22"/>
    </row>
    <row r="1939" spans="1:23" ht="14.5">
      <c r="A1939" s="63"/>
      <c r="B1939" s="64"/>
      <c r="C1939" s="65"/>
      <c r="D1939" s="66"/>
      <c r="E1939" s="67"/>
      <c r="F1939" s="68"/>
      <c r="G1939" s="68"/>
      <c r="H1939" s="66"/>
      <c r="I1939" s="69"/>
      <c r="J1939" s="66"/>
      <c r="K1939" s="66"/>
      <c r="L1939" s="66"/>
      <c r="M1939" s="70"/>
      <c r="N1939" s="71"/>
      <c r="W1939" s="22"/>
    </row>
    <row r="1940" spans="1:23" ht="14.5">
      <c r="A1940" s="63"/>
      <c r="B1940" s="64"/>
      <c r="C1940" s="65"/>
      <c r="D1940" s="66"/>
      <c r="E1940" s="67"/>
      <c r="F1940" s="68"/>
      <c r="G1940" s="68"/>
      <c r="H1940" s="66"/>
      <c r="I1940" s="69"/>
      <c r="J1940" s="66"/>
      <c r="K1940" s="66"/>
      <c r="L1940" s="66"/>
      <c r="M1940" s="70"/>
      <c r="N1940" s="71"/>
      <c r="W1940" s="22"/>
    </row>
    <row r="1941" spans="1:23" ht="14.5">
      <c r="A1941" s="63"/>
      <c r="B1941" s="64"/>
      <c r="C1941" s="65"/>
      <c r="D1941" s="66"/>
      <c r="E1941" s="67"/>
      <c r="F1941" s="68"/>
      <c r="G1941" s="68"/>
      <c r="H1941" s="66"/>
      <c r="I1941" s="69"/>
      <c r="J1941" s="66"/>
      <c r="K1941" s="66"/>
      <c r="L1941" s="66"/>
      <c r="M1941" s="70"/>
      <c r="N1941" s="71"/>
      <c r="W1941" s="22"/>
    </row>
    <row r="1942" spans="1:23" ht="14.5">
      <c r="A1942" s="63"/>
      <c r="B1942" s="64"/>
      <c r="C1942" s="65"/>
      <c r="D1942" s="66"/>
      <c r="E1942" s="67"/>
      <c r="F1942" s="68"/>
      <c r="G1942" s="68"/>
      <c r="H1942" s="66"/>
      <c r="I1942" s="69"/>
      <c r="J1942" s="66"/>
      <c r="K1942" s="66"/>
      <c r="L1942" s="66"/>
      <c r="M1942" s="70"/>
      <c r="N1942" s="71"/>
      <c r="W1942" s="22"/>
    </row>
    <row r="1943" spans="1:23" ht="14.5">
      <c r="A1943" s="63"/>
      <c r="B1943" s="64"/>
      <c r="C1943" s="65"/>
      <c r="D1943" s="66"/>
      <c r="E1943" s="67"/>
      <c r="F1943" s="68"/>
      <c r="G1943" s="68"/>
      <c r="H1943" s="66"/>
      <c r="I1943" s="69"/>
      <c r="J1943" s="66"/>
      <c r="K1943" s="66"/>
      <c r="L1943" s="66"/>
      <c r="M1943" s="70"/>
      <c r="N1943" s="71"/>
      <c r="W1943" s="22"/>
    </row>
    <row r="1944" spans="1:23" ht="14.5">
      <c r="A1944" s="63"/>
      <c r="B1944" s="64"/>
      <c r="C1944" s="65"/>
      <c r="D1944" s="66"/>
      <c r="E1944" s="67"/>
      <c r="F1944" s="68"/>
      <c r="G1944" s="68"/>
      <c r="H1944" s="66"/>
      <c r="I1944" s="69"/>
      <c r="J1944" s="66"/>
      <c r="K1944" s="66"/>
      <c r="L1944" s="66"/>
      <c r="M1944" s="70"/>
      <c r="N1944" s="71"/>
      <c r="W1944" s="22"/>
    </row>
    <row r="1945" spans="1:23" ht="14.5">
      <c r="A1945" s="63"/>
      <c r="B1945" s="64"/>
      <c r="C1945" s="65"/>
      <c r="D1945" s="66"/>
      <c r="E1945" s="67"/>
      <c r="F1945" s="68"/>
      <c r="G1945" s="68"/>
      <c r="H1945" s="66"/>
      <c r="I1945" s="69"/>
      <c r="J1945" s="66"/>
      <c r="K1945" s="66"/>
      <c r="L1945" s="66"/>
      <c r="M1945" s="70"/>
      <c r="N1945" s="71"/>
      <c r="W1945" s="22"/>
    </row>
    <row r="1946" spans="1:23" ht="14.5">
      <c r="A1946" s="63"/>
      <c r="B1946" s="64"/>
      <c r="C1946" s="65"/>
      <c r="D1946" s="66"/>
      <c r="E1946" s="67"/>
      <c r="F1946" s="68"/>
      <c r="G1946" s="68"/>
      <c r="H1946" s="66"/>
      <c r="I1946" s="69"/>
      <c r="J1946" s="66"/>
      <c r="K1946" s="66"/>
      <c r="L1946" s="66"/>
      <c r="M1946" s="70"/>
      <c r="N1946" s="71"/>
      <c r="W1946" s="22"/>
    </row>
    <row r="1947" spans="1:23" ht="14.5">
      <c r="A1947" s="63"/>
      <c r="B1947" s="64"/>
      <c r="C1947" s="65"/>
      <c r="D1947" s="66"/>
      <c r="E1947" s="67"/>
      <c r="F1947" s="68"/>
      <c r="G1947" s="68"/>
      <c r="H1947" s="66"/>
      <c r="I1947" s="69"/>
      <c r="J1947" s="66"/>
      <c r="K1947" s="66"/>
      <c r="L1947" s="66"/>
      <c r="M1947" s="70"/>
      <c r="N1947" s="71"/>
      <c r="W1947" s="22"/>
    </row>
    <row r="1948" spans="1:23" ht="14.5">
      <c r="A1948" s="63"/>
      <c r="B1948" s="64"/>
      <c r="C1948" s="65"/>
      <c r="D1948" s="66"/>
      <c r="E1948" s="67"/>
      <c r="F1948" s="68"/>
      <c r="G1948" s="68"/>
      <c r="H1948" s="66"/>
      <c r="I1948" s="69"/>
      <c r="J1948" s="66"/>
      <c r="K1948" s="66"/>
      <c r="L1948" s="66"/>
      <c r="M1948" s="70"/>
      <c r="N1948" s="71"/>
      <c r="W1948" s="22"/>
    </row>
    <row r="1949" spans="1:23" ht="14.5">
      <c r="A1949" s="63"/>
      <c r="B1949" s="64"/>
      <c r="C1949" s="65"/>
      <c r="D1949" s="66"/>
      <c r="E1949" s="67"/>
      <c r="F1949" s="68"/>
      <c r="G1949" s="68"/>
      <c r="H1949" s="66"/>
      <c r="I1949" s="69"/>
      <c r="J1949" s="66"/>
      <c r="K1949" s="66"/>
      <c r="L1949" s="66"/>
      <c r="M1949" s="70"/>
      <c r="N1949" s="71"/>
      <c r="W1949" s="22"/>
    </row>
    <row r="1950" spans="1:23" ht="14.5">
      <c r="A1950" s="63"/>
      <c r="B1950" s="64"/>
      <c r="C1950" s="65"/>
      <c r="D1950" s="66"/>
      <c r="E1950" s="67"/>
      <c r="F1950" s="68"/>
      <c r="G1950" s="68"/>
      <c r="H1950" s="66"/>
      <c r="I1950" s="69"/>
      <c r="J1950" s="66"/>
      <c r="K1950" s="66"/>
      <c r="L1950" s="66"/>
      <c r="M1950" s="70"/>
      <c r="N1950" s="71"/>
      <c r="W1950" s="22"/>
    </row>
    <row r="1951" spans="1:23" ht="14.5">
      <c r="A1951" s="63"/>
      <c r="B1951" s="64"/>
      <c r="C1951" s="65"/>
      <c r="D1951" s="66"/>
      <c r="E1951" s="67"/>
      <c r="F1951" s="68"/>
      <c r="G1951" s="68"/>
      <c r="H1951" s="66"/>
      <c r="I1951" s="69"/>
      <c r="J1951" s="66"/>
      <c r="K1951" s="66"/>
      <c r="L1951" s="66"/>
      <c r="M1951" s="70"/>
      <c r="N1951" s="71"/>
      <c r="W1951" s="22"/>
    </row>
    <row r="1952" spans="1:23" ht="14.5">
      <c r="A1952" s="63"/>
      <c r="B1952" s="64"/>
      <c r="C1952" s="65"/>
      <c r="D1952" s="66"/>
      <c r="E1952" s="67"/>
      <c r="F1952" s="68"/>
      <c r="G1952" s="68"/>
      <c r="H1952" s="66"/>
      <c r="I1952" s="69"/>
      <c r="J1952" s="66"/>
      <c r="K1952" s="66"/>
      <c r="L1952" s="66"/>
      <c r="M1952" s="70"/>
      <c r="N1952" s="71"/>
      <c r="W1952" s="22"/>
    </row>
    <row r="1953" spans="1:23" ht="14.5">
      <c r="A1953" s="63"/>
      <c r="B1953" s="64"/>
      <c r="C1953" s="65"/>
      <c r="D1953" s="66"/>
      <c r="E1953" s="67"/>
      <c r="F1953" s="68"/>
      <c r="G1953" s="68"/>
      <c r="H1953" s="66"/>
      <c r="I1953" s="69"/>
      <c r="J1953" s="66"/>
      <c r="K1953" s="66"/>
      <c r="L1953" s="66"/>
      <c r="M1953" s="70"/>
      <c r="N1953" s="71"/>
      <c r="W1953" s="22"/>
    </row>
    <row r="1954" spans="1:23" ht="14.5">
      <c r="A1954" s="63"/>
      <c r="B1954" s="64"/>
      <c r="C1954" s="65"/>
      <c r="D1954" s="66"/>
      <c r="E1954" s="67"/>
      <c r="F1954" s="68"/>
      <c r="G1954" s="68"/>
      <c r="H1954" s="66"/>
      <c r="I1954" s="69"/>
      <c r="J1954" s="66"/>
      <c r="K1954" s="66"/>
      <c r="L1954" s="66"/>
      <c r="M1954" s="70"/>
      <c r="N1954" s="71"/>
      <c r="W1954" s="22"/>
    </row>
    <row r="1955" spans="1:23" ht="14.5">
      <c r="A1955" s="63"/>
      <c r="B1955" s="64"/>
      <c r="C1955" s="65"/>
      <c r="D1955" s="66"/>
      <c r="E1955" s="67"/>
      <c r="F1955" s="68"/>
      <c r="G1955" s="68"/>
      <c r="H1955" s="66"/>
      <c r="I1955" s="69"/>
      <c r="J1955" s="66"/>
      <c r="K1955" s="66"/>
      <c r="L1955" s="66"/>
      <c r="M1955" s="70"/>
      <c r="N1955" s="71"/>
      <c r="W1955" s="22"/>
    </row>
    <row r="1956" spans="1:23" ht="14.5">
      <c r="A1956" s="63"/>
      <c r="B1956" s="64"/>
      <c r="C1956" s="65"/>
      <c r="D1956" s="66"/>
      <c r="E1956" s="67"/>
      <c r="F1956" s="68"/>
      <c r="G1956" s="68"/>
      <c r="H1956" s="66"/>
      <c r="I1956" s="69"/>
      <c r="J1956" s="66"/>
      <c r="K1956" s="66"/>
      <c r="L1956" s="66"/>
      <c r="M1956" s="70"/>
      <c r="N1956" s="71"/>
      <c r="W1956" s="22"/>
    </row>
    <row r="1957" spans="1:23" ht="14.5">
      <c r="A1957" s="63"/>
      <c r="B1957" s="64"/>
      <c r="C1957" s="65"/>
      <c r="D1957" s="66"/>
      <c r="E1957" s="67"/>
      <c r="F1957" s="68"/>
      <c r="G1957" s="68"/>
      <c r="H1957" s="66"/>
      <c r="I1957" s="69"/>
      <c r="J1957" s="66"/>
      <c r="K1957" s="66"/>
      <c r="L1957" s="66"/>
      <c r="M1957" s="70"/>
      <c r="N1957" s="71"/>
      <c r="W1957" s="22"/>
    </row>
    <row r="1958" spans="1:23" ht="14.5">
      <c r="A1958" s="63"/>
      <c r="B1958" s="64"/>
      <c r="C1958" s="65"/>
      <c r="D1958" s="66"/>
      <c r="E1958" s="67"/>
      <c r="F1958" s="68"/>
      <c r="G1958" s="68"/>
      <c r="H1958" s="66"/>
      <c r="I1958" s="69"/>
      <c r="J1958" s="66"/>
      <c r="K1958" s="66"/>
      <c r="L1958" s="66"/>
      <c r="M1958" s="70"/>
      <c r="N1958" s="71"/>
      <c r="W1958" s="22"/>
    </row>
    <row r="1959" spans="1:23" ht="14.5">
      <c r="A1959" s="63"/>
      <c r="B1959" s="64"/>
      <c r="C1959" s="65"/>
      <c r="D1959" s="66"/>
      <c r="E1959" s="67"/>
      <c r="F1959" s="68"/>
      <c r="G1959" s="68"/>
      <c r="H1959" s="66"/>
      <c r="I1959" s="69"/>
      <c r="J1959" s="66"/>
      <c r="K1959" s="66"/>
      <c r="L1959" s="66"/>
      <c r="M1959" s="70"/>
      <c r="N1959" s="71"/>
      <c r="W1959" s="22"/>
    </row>
    <row r="1960" spans="1:23" ht="14.5">
      <c r="A1960" s="63"/>
      <c r="B1960" s="64"/>
      <c r="C1960" s="65"/>
      <c r="D1960" s="66"/>
      <c r="E1960" s="67"/>
      <c r="F1960" s="68"/>
      <c r="G1960" s="68"/>
      <c r="H1960" s="66"/>
      <c r="I1960" s="69"/>
      <c r="J1960" s="66"/>
      <c r="K1960" s="66"/>
      <c r="L1960" s="66"/>
      <c r="M1960" s="70"/>
      <c r="N1960" s="71"/>
      <c r="W1960" s="22"/>
    </row>
    <row r="1961" spans="1:23" ht="14.5">
      <c r="A1961" s="63"/>
      <c r="B1961" s="64"/>
      <c r="C1961" s="65"/>
      <c r="D1961" s="66"/>
      <c r="E1961" s="67"/>
      <c r="F1961" s="68"/>
      <c r="G1961" s="68"/>
      <c r="H1961" s="66"/>
      <c r="I1961" s="69"/>
      <c r="J1961" s="66"/>
      <c r="K1961" s="66"/>
      <c r="L1961" s="66"/>
      <c r="M1961" s="70"/>
      <c r="N1961" s="71"/>
      <c r="W1961" s="22"/>
    </row>
    <row r="1962" spans="1:23" ht="14.5">
      <c r="A1962" s="63"/>
      <c r="B1962" s="64"/>
      <c r="C1962" s="65"/>
      <c r="D1962" s="66"/>
      <c r="E1962" s="67"/>
      <c r="F1962" s="68"/>
      <c r="G1962" s="68"/>
      <c r="H1962" s="66"/>
      <c r="I1962" s="69"/>
      <c r="J1962" s="66"/>
      <c r="K1962" s="66"/>
      <c r="L1962" s="66"/>
      <c r="M1962" s="70"/>
      <c r="N1962" s="71"/>
      <c r="W1962" s="22"/>
    </row>
    <row r="1963" spans="1:23" ht="14.5">
      <c r="A1963" s="63"/>
      <c r="B1963" s="64"/>
      <c r="C1963" s="65"/>
      <c r="D1963" s="66"/>
      <c r="E1963" s="67"/>
      <c r="F1963" s="68"/>
      <c r="G1963" s="68"/>
      <c r="H1963" s="66"/>
      <c r="I1963" s="69"/>
      <c r="J1963" s="66"/>
      <c r="K1963" s="66"/>
      <c r="L1963" s="66"/>
      <c r="M1963" s="70"/>
      <c r="N1963" s="71"/>
      <c r="W1963" s="22"/>
    </row>
    <row r="1964" spans="1:23" ht="14.5">
      <c r="A1964" s="63"/>
      <c r="B1964" s="64"/>
      <c r="C1964" s="65"/>
      <c r="D1964" s="66"/>
      <c r="E1964" s="67"/>
      <c r="F1964" s="68"/>
      <c r="G1964" s="68"/>
      <c r="H1964" s="66"/>
      <c r="I1964" s="69"/>
      <c r="J1964" s="66"/>
      <c r="K1964" s="66"/>
      <c r="L1964" s="66"/>
      <c r="M1964" s="70"/>
      <c r="N1964" s="71"/>
      <c r="W1964" s="22"/>
    </row>
    <row r="1965" spans="1:23" ht="14.5">
      <c r="A1965" s="63"/>
      <c r="B1965" s="64"/>
      <c r="C1965" s="65"/>
      <c r="D1965" s="66"/>
      <c r="E1965" s="67"/>
      <c r="F1965" s="68"/>
      <c r="G1965" s="68"/>
      <c r="H1965" s="66"/>
      <c r="I1965" s="69"/>
      <c r="J1965" s="66"/>
      <c r="K1965" s="66"/>
      <c r="L1965" s="66"/>
      <c r="M1965" s="70"/>
      <c r="N1965" s="71"/>
      <c r="W1965" s="22"/>
    </row>
    <row r="1966" spans="1:23" ht="14.5">
      <c r="A1966" s="63"/>
      <c r="B1966" s="64"/>
      <c r="C1966" s="65"/>
      <c r="D1966" s="66"/>
      <c r="E1966" s="67"/>
      <c r="F1966" s="68"/>
      <c r="G1966" s="68"/>
      <c r="H1966" s="66"/>
      <c r="I1966" s="69"/>
      <c r="J1966" s="66"/>
      <c r="K1966" s="66"/>
      <c r="L1966" s="66"/>
      <c r="M1966" s="70"/>
      <c r="N1966" s="71"/>
      <c r="W1966" s="22"/>
    </row>
    <row r="1967" spans="1:23" ht="14.5">
      <c r="A1967" s="63"/>
      <c r="B1967" s="64"/>
      <c r="C1967" s="65"/>
      <c r="D1967" s="66"/>
      <c r="E1967" s="67"/>
      <c r="F1967" s="68"/>
      <c r="G1967" s="68"/>
      <c r="H1967" s="66"/>
      <c r="I1967" s="69"/>
      <c r="J1967" s="66"/>
      <c r="K1967" s="66"/>
      <c r="L1967" s="66"/>
      <c r="M1967" s="70"/>
      <c r="N1967" s="71"/>
      <c r="W1967" s="22"/>
    </row>
    <row r="1968" spans="1:23" ht="14.5">
      <c r="A1968" s="63"/>
      <c r="B1968" s="64"/>
      <c r="C1968" s="65"/>
      <c r="D1968" s="66"/>
      <c r="E1968" s="67"/>
      <c r="F1968" s="68"/>
      <c r="G1968" s="68"/>
      <c r="H1968" s="66"/>
      <c r="I1968" s="69"/>
      <c r="J1968" s="66"/>
      <c r="K1968" s="66"/>
      <c r="L1968" s="66"/>
      <c r="M1968" s="70"/>
      <c r="N1968" s="71"/>
      <c r="W1968" s="22"/>
    </row>
    <row r="1969" spans="1:23" ht="14.5">
      <c r="A1969" s="63"/>
      <c r="B1969" s="64"/>
      <c r="C1969" s="65"/>
      <c r="D1969" s="66"/>
      <c r="E1969" s="67"/>
      <c r="F1969" s="68"/>
      <c r="G1969" s="68"/>
      <c r="H1969" s="66"/>
      <c r="I1969" s="69"/>
      <c r="J1969" s="66"/>
      <c r="K1969" s="66"/>
      <c r="L1969" s="66"/>
      <c r="M1969" s="70"/>
      <c r="N1969" s="71"/>
      <c r="W1969" s="22"/>
    </row>
    <row r="1970" spans="1:23" ht="14.5">
      <c r="A1970" s="63"/>
      <c r="B1970" s="64"/>
      <c r="C1970" s="65"/>
      <c r="D1970" s="66"/>
      <c r="E1970" s="67"/>
      <c r="F1970" s="68"/>
      <c r="G1970" s="68"/>
      <c r="H1970" s="66"/>
      <c r="I1970" s="69"/>
      <c r="J1970" s="66"/>
      <c r="K1970" s="66"/>
      <c r="L1970" s="66"/>
      <c r="M1970" s="70"/>
      <c r="N1970" s="71"/>
      <c r="W1970" s="22"/>
    </row>
    <row r="1971" spans="1:23" ht="14.5">
      <c r="A1971" s="63"/>
      <c r="B1971" s="64"/>
      <c r="C1971" s="65"/>
      <c r="D1971" s="66"/>
      <c r="E1971" s="67"/>
      <c r="F1971" s="68"/>
      <c r="G1971" s="68"/>
      <c r="H1971" s="66"/>
      <c r="I1971" s="69"/>
      <c r="J1971" s="66"/>
      <c r="K1971" s="66"/>
      <c r="L1971" s="66"/>
      <c r="M1971" s="70"/>
      <c r="N1971" s="71"/>
      <c r="W1971" s="22"/>
    </row>
    <row r="1972" spans="1:23" ht="14.5">
      <c r="A1972" s="63"/>
      <c r="B1972" s="64"/>
      <c r="C1972" s="65"/>
      <c r="D1972" s="66"/>
      <c r="E1972" s="67"/>
      <c r="F1972" s="68"/>
      <c r="G1972" s="68"/>
      <c r="H1972" s="66"/>
      <c r="I1972" s="69"/>
      <c r="J1972" s="66"/>
      <c r="K1972" s="66"/>
      <c r="L1972" s="66"/>
      <c r="M1972" s="70"/>
      <c r="N1972" s="71"/>
      <c r="W1972" s="22"/>
    </row>
    <row r="1973" spans="1:23" ht="14.5">
      <c r="A1973" s="63"/>
      <c r="B1973" s="64"/>
      <c r="C1973" s="65"/>
      <c r="D1973" s="66"/>
      <c r="E1973" s="67"/>
      <c r="F1973" s="68"/>
      <c r="G1973" s="68"/>
      <c r="H1973" s="66"/>
      <c r="I1973" s="69"/>
      <c r="J1973" s="66"/>
      <c r="K1973" s="66"/>
      <c r="L1973" s="66"/>
      <c r="M1973" s="70"/>
      <c r="N1973" s="71"/>
      <c r="W1973" s="22"/>
    </row>
    <row r="1974" spans="1:23" ht="14.5">
      <c r="A1974" s="63"/>
      <c r="B1974" s="64"/>
      <c r="C1974" s="65"/>
      <c r="D1974" s="66"/>
      <c r="E1974" s="67"/>
      <c r="F1974" s="68"/>
      <c r="G1974" s="68"/>
      <c r="H1974" s="66"/>
      <c r="I1974" s="69"/>
      <c r="J1974" s="66"/>
      <c r="K1974" s="66"/>
      <c r="L1974" s="66"/>
      <c r="M1974" s="70"/>
      <c r="N1974" s="71"/>
      <c r="W1974" s="22"/>
    </row>
    <row r="1975" spans="1:23" ht="14.5">
      <c r="A1975" s="63"/>
      <c r="B1975" s="64"/>
      <c r="C1975" s="65"/>
      <c r="D1975" s="66"/>
      <c r="E1975" s="67"/>
      <c r="F1975" s="68"/>
      <c r="G1975" s="68"/>
      <c r="H1975" s="66"/>
      <c r="I1975" s="69"/>
      <c r="J1975" s="66"/>
      <c r="K1975" s="66"/>
      <c r="L1975" s="66"/>
      <c r="M1975" s="70"/>
      <c r="N1975" s="71"/>
      <c r="W1975" s="22"/>
    </row>
    <row r="1976" spans="1:23" ht="14.5">
      <c r="A1976" s="63"/>
      <c r="B1976" s="64"/>
      <c r="C1976" s="65"/>
      <c r="D1976" s="66"/>
      <c r="E1976" s="67"/>
      <c r="F1976" s="68"/>
      <c r="G1976" s="68"/>
      <c r="H1976" s="66"/>
      <c r="I1976" s="69"/>
      <c r="J1976" s="66"/>
      <c r="K1976" s="66"/>
      <c r="L1976" s="66"/>
      <c r="M1976" s="70"/>
      <c r="N1976" s="71"/>
      <c r="W1976" s="22"/>
    </row>
    <row r="1977" spans="1:23" ht="14.5">
      <c r="A1977" s="63"/>
      <c r="B1977" s="64"/>
      <c r="C1977" s="65"/>
      <c r="D1977" s="66"/>
      <c r="E1977" s="67"/>
      <c r="F1977" s="68"/>
      <c r="G1977" s="68"/>
      <c r="H1977" s="66"/>
      <c r="I1977" s="69"/>
      <c r="J1977" s="66"/>
      <c r="K1977" s="66"/>
      <c r="L1977" s="66"/>
      <c r="M1977" s="70"/>
      <c r="N1977" s="71"/>
      <c r="W1977" s="22"/>
    </row>
    <row r="1978" spans="1:23" ht="14.5">
      <c r="A1978" s="63"/>
      <c r="B1978" s="64"/>
      <c r="C1978" s="65"/>
      <c r="D1978" s="66"/>
      <c r="E1978" s="67"/>
      <c r="F1978" s="68"/>
      <c r="G1978" s="68"/>
      <c r="H1978" s="66"/>
      <c r="I1978" s="69"/>
      <c r="J1978" s="66"/>
      <c r="K1978" s="66"/>
      <c r="L1978" s="66"/>
      <c r="M1978" s="70"/>
      <c r="N1978" s="71"/>
      <c r="W1978" s="22"/>
    </row>
    <row r="1979" spans="1:23" ht="14.5">
      <c r="A1979" s="63"/>
      <c r="B1979" s="64"/>
      <c r="C1979" s="65"/>
      <c r="D1979" s="66"/>
      <c r="E1979" s="67"/>
      <c r="F1979" s="68"/>
      <c r="G1979" s="68"/>
      <c r="H1979" s="66"/>
      <c r="I1979" s="69"/>
      <c r="J1979" s="66"/>
      <c r="K1979" s="66"/>
      <c r="L1979" s="66"/>
      <c r="M1979" s="70"/>
      <c r="N1979" s="71"/>
      <c r="W1979" s="22"/>
    </row>
    <row r="1980" spans="1:23" ht="14.5">
      <c r="A1980" s="63"/>
      <c r="B1980" s="64"/>
      <c r="C1980" s="65"/>
      <c r="D1980" s="66"/>
      <c r="E1980" s="67"/>
      <c r="F1980" s="68"/>
      <c r="G1980" s="68"/>
      <c r="H1980" s="66"/>
      <c r="I1980" s="69"/>
      <c r="J1980" s="66"/>
      <c r="K1980" s="66"/>
      <c r="L1980" s="66"/>
      <c r="M1980" s="70"/>
      <c r="N1980" s="71"/>
      <c r="W1980" s="22"/>
    </row>
    <row r="1981" spans="1:23" ht="14.5">
      <c r="A1981" s="63"/>
      <c r="B1981" s="64"/>
      <c r="C1981" s="65"/>
      <c r="D1981" s="66"/>
      <c r="E1981" s="67"/>
      <c r="F1981" s="68"/>
      <c r="G1981" s="68"/>
      <c r="H1981" s="66"/>
      <c r="I1981" s="69"/>
      <c r="J1981" s="66"/>
      <c r="K1981" s="66"/>
      <c r="L1981" s="66"/>
      <c r="M1981" s="70"/>
      <c r="N1981" s="71"/>
      <c r="W1981" s="22"/>
    </row>
    <row r="1982" spans="1:23" ht="14.5">
      <c r="A1982" s="63"/>
      <c r="B1982" s="64"/>
      <c r="C1982" s="65"/>
      <c r="D1982" s="66"/>
      <c r="E1982" s="67"/>
      <c r="F1982" s="68"/>
      <c r="G1982" s="68"/>
      <c r="H1982" s="66"/>
      <c r="I1982" s="69"/>
      <c r="J1982" s="66"/>
      <c r="K1982" s="66"/>
      <c r="L1982" s="66"/>
      <c r="M1982" s="70"/>
      <c r="N1982" s="71"/>
      <c r="W1982" s="22"/>
    </row>
    <row r="1983" spans="1:23" ht="14.5">
      <c r="A1983" s="63"/>
      <c r="B1983" s="64"/>
      <c r="C1983" s="65"/>
      <c r="D1983" s="66"/>
      <c r="E1983" s="67"/>
      <c r="F1983" s="68"/>
      <c r="G1983" s="68"/>
      <c r="H1983" s="66"/>
      <c r="I1983" s="69"/>
      <c r="J1983" s="66"/>
      <c r="K1983" s="66"/>
      <c r="L1983" s="66"/>
      <c r="M1983" s="70"/>
      <c r="N1983" s="71"/>
      <c r="W1983" s="22"/>
    </row>
    <row r="1984" spans="1:23" ht="14.5">
      <c r="A1984" s="63"/>
      <c r="B1984" s="64"/>
      <c r="C1984" s="65"/>
      <c r="D1984" s="66"/>
      <c r="E1984" s="67"/>
      <c r="F1984" s="68"/>
      <c r="G1984" s="68"/>
      <c r="H1984" s="66"/>
      <c r="I1984" s="69"/>
      <c r="J1984" s="66"/>
      <c r="K1984" s="66"/>
      <c r="L1984" s="66"/>
      <c r="M1984" s="70"/>
      <c r="N1984" s="71"/>
      <c r="W1984" s="22"/>
    </row>
    <row r="1985" spans="1:23" ht="14.5">
      <c r="A1985" s="63"/>
      <c r="B1985" s="64"/>
      <c r="C1985" s="65"/>
      <c r="D1985" s="66"/>
      <c r="E1985" s="67"/>
      <c r="F1985" s="68"/>
      <c r="G1985" s="68"/>
      <c r="H1985" s="66"/>
      <c r="I1985" s="69"/>
      <c r="J1985" s="66"/>
      <c r="K1985" s="66"/>
      <c r="L1985" s="66"/>
      <c r="M1985" s="70"/>
      <c r="N1985" s="71"/>
      <c r="W1985" s="22"/>
    </row>
    <row r="1986" spans="1:23" ht="14.5">
      <c r="A1986" s="63"/>
      <c r="B1986" s="64"/>
      <c r="C1986" s="65"/>
      <c r="D1986" s="66"/>
      <c r="E1986" s="67"/>
      <c r="F1986" s="68"/>
      <c r="G1986" s="68"/>
      <c r="H1986" s="66"/>
      <c r="I1986" s="69"/>
      <c r="J1986" s="66"/>
      <c r="K1986" s="66"/>
      <c r="L1986" s="66"/>
      <c r="M1986" s="70"/>
      <c r="N1986" s="71"/>
      <c r="W1986" s="22"/>
    </row>
    <row r="1987" spans="1:23" ht="14.5">
      <c r="A1987" s="63"/>
      <c r="B1987" s="64"/>
      <c r="C1987" s="65"/>
      <c r="D1987" s="66"/>
      <c r="E1987" s="67"/>
      <c r="F1987" s="68"/>
      <c r="G1987" s="68"/>
      <c r="H1987" s="66"/>
      <c r="I1987" s="69"/>
      <c r="J1987" s="66"/>
      <c r="K1987" s="66"/>
      <c r="L1987" s="66"/>
      <c r="M1987" s="70"/>
      <c r="N1987" s="71"/>
      <c r="W1987" s="22"/>
    </row>
    <row r="1988" spans="1:23" ht="14.5">
      <c r="A1988" s="63"/>
      <c r="B1988" s="64"/>
      <c r="C1988" s="65"/>
      <c r="D1988" s="66"/>
      <c r="E1988" s="67"/>
      <c r="F1988" s="68"/>
      <c r="G1988" s="68"/>
      <c r="H1988" s="66"/>
      <c r="I1988" s="69"/>
      <c r="J1988" s="66"/>
      <c r="K1988" s="66"/>
      <c r="L1988" s="66"/>
      <c r="M1988" s="70"/>
      <c r="N1988" s="71"/>
      <c r="W1988" s="22"/>
    </row>
    <row r="1989" spans="1:23" ht="14.5">
      <c r="A1989" s="63"/>
      <c r="B1989" s="64"/>
      <c r="C1989" s="65"/>
      <c r="D1989" s="66"/>
      <c r="E1989" s="67"/>
      <c r="F1989" s="68"/>
      <c r="G1989" s="68"/>
      <c r="H1989" s="66"/>
      <c r="I1989" s="69"/>
      <c r="J1989" s="66"/>
      <c r="K1989" s="66"/>
      <c r="L1989" s="66"/>
      <c r="M1989" s="70"/>
      <c r="N1989" s="71"/>
      <c r="W1989" s="22"/>
    </row>
    <row r="1990" spans="1:23" ht="14.5">
      <c r="A1990" s="63"/>
      <c r="B1990" s="64"/>
      <c r="C1990" s="65"/>
      <c r="D1990" s="66"/>
      <c r="E1990" s="67"/>
      <c r="F1990" s="68"/>
      <c r="G1990" s="68"/>
      <c r="H1990" s="66"/>
      <c r="I1990" s="69"/>
      <c r="J1990" s="66"/>
      <c r="K1990" s="66"/>
      <c r="L1990" s="66"/>
      <c r="M1990" s="70"/>
      <c r="N1990" s="71"/>
      <c r="W1990" s="22"/>
    </row>
    <row r="1991" spans="1:23" ht="14.5">
      <c r="A1991" s="63"/>
      <c r="B1991" s="64"/>
      <c r="C1991" s="65"/>
      <c r="D1991" s="66"/>
      <c r="E1991" s="67"/>
      <c r="F1991" s="68"/>
      <c r="G1991" s="68"/>
      <c r="H1991" s="66"/>
      <c r="I1991" s="69"/>
      <c r="J1991" s="66"/>
      <c r="K1991" s="66"/>
      <c r="L1991" s="66"/>
      <c r="M1991" s="70"/>
      <c r="N1991" s="71"/>
      <c r="W1991" s="22"/>
    </row>
    <row r="1992" spans="1:23" ht="14.5">
      <c r="A1992" s="63"/>
      <c r="B1992" s="64"/>
      <c r="C1992" s="65"/>
      <c r="D1992" s="66"/>
      <c r="E1992" s="67"/>
      <c r="F1992" s="68"/>
      <c r="G1992" s="68"/>
      <c r="H1992" s="66"/>
      <c r="I1992" s="69"/>
      <c r="J1992" s="66"/>
      <c r="K1992" s="66"/>
      <c r="L1992" s="66"/>
      <c r="M1992" s="70"/>
      <c r="N1992" s="71"/>
      <c r="W1992" s="22"/>
    </row>
    <row r="1993" spans="1:23" ht="14.5">
      <c r="A1993" s="63"/>
      <c r="B1993" s="64"/>
      <c r="C1993" s="65"/>
      <c r="D1993" s="66"/>
      <c r="E1993" s="67"/>
      <c r="F1993" s="68"/>
      <c r="G1993" s="68"/>
      <c r="H1993" s="66"/>
      <c r="I1993" s="69"/>
      <c r="J1993" s="66"/>
      <c r="K1993" s="66"/>
      <c r="L1993" s="66"/>
      <c r="M1993" s="70"/>
      <c r="N1993" s="71"/>
      <c r="W1993" s="22"/>
    </row>
    <row r="1994" spans="1:23" ht="14.5">
      <c r="A1994" s="63"/>
      <c r="B1994" s="64"/>
      <c r="C1994" s="65"/>
      <c r="D1994" s="66"/>
      <c r="E1994" s="67"/>
      <c r="F1994" s="68"/>
      <c r="G1994" s="68"/>
      <c r="H1994" s="66"/>
      <c r="I1994" s="69"/>
      <c r="J1994" s="66"/>
      <c r="K1994" s="66"/>
      <c r="L1994" s="66"/>
      <c r="M1994" s="70"/>
      <c r="N1994" s="71"/>
      <c r="W1994" s="22"/>
    </row>
    <row r="1995" spans="1:23" ht="14.5">
      <c r="A1995" s="63"/>
      <c r="B1995" s="64"/>
      <c r="C1995" s="65"/>
      <c r="D1995" s="66"/>
      <c r="E1995" s="67"/>
      <c r="F1995" s="68"/>
      <c r="G1995" s="68"/>
      <c r="H1995" s="66"/>
      <c r="I1995" s="69"/>
      <c r="J1995" s="66"/>
      <c r="K1995" s="66"/>
      <c r="L1995" s="66"/>
      <c r="M1995" s="70"/>
      <c r="N1995" s="71"/>
      <c r="W1995" s="22"/>
    </row>
    <row r="1996" spans="1:23" ht="14.5">
      <c r="A1996" s="63"/>
      <c r="B1996" s="64"/>
      <c r="C1996" s="65"/>
      <c r="D1996" s="66"/>
      <c r="E1996" s="67"/>
      <c r="F1996" s="68"/>
      <c r="G1996" s="68"/>
      <c r="H1996" s="66"/>
      <c r="I1996" s="69"/>
      <c r="J1996" s="66"/>
      <c r="K1996" s="66"/>
      <c r="L1996" s="66"/>
      <c r="M1996" s="70"/>
      <c r="N1996" s="71"/>
      <c r="W1996" s="22"/>
    </row>
    <row r="1997" spans="1:23" ht="14.5">
      <c r="A1997" s="63"/>
      <c r="B1997" s="64"/>
      <c r="C1997" s="65"/>
      <c r="D1997" s="66"/>
      <c r="E1997" s="67"/>
      <c r="F1997" s="68"/>
      <c r="G1997" s="68"/>
      <c r="H1997" s="66"/>
      <c r="I1997" s="69"/>
      <c r="J1997" s="66"/>
      <c r="K1997" s="66"/>
      <c r="L1997" s="66"/>
      <c r="M1997" s="70"/>
      <c r="N1997" s="71"/>
      <c r="W1997" s="22"/>
    </row>
    <row r="1998" spans="1:23" ht="14.5">
      <c r="A1998" s="63"/>
      <c r="B1998" s="64"/>
      <c r="C1998" s="65"/>
      <c r="D1998" s="66"/>
      <c r="E1998" s="67"/>
      <c r="F1998" s="68"/>
      <c r="G1998" s="68"/>
      <c r="H1998" s="66"/>
      <c r="I1998" s="69"/>
      <c r="J1998" s="66"/>
      <c r="K1998" s="66"/>
      <c r="L1998" s="66"/>
      <c r="M1998" s="70"/>
      <c r="N1998" s="71"/>
      <c r="W1998" s="22"/>
    </row>
    <row r="1999" spans="1:23" ht="14.5">
      <c r="A1999" s="63"/>
      <c r="B1999" s="64"/>
      <c r="C1999" s="65"/>
      <c r="D1999" s="66"/>
      <c r="E1999" s="67"/>
      <c r="F1999" s="68"/>
      <c r="G1999" s="68"/>
      <c r="H1999" s="66"/>
      <c r="I1999" s="69"/>
      <c r="J1999" s="66"/>
      <c r="K1999" s="66"/>
      <c r="L1999" s="66"/>
      <c r="M1999" s="70"/>
      <c r="N1999" s="71"/>
      <c r="W1999" s="22"/>
    </row>
    <row r="2000" spans="1:23" ht="14.5">
      <c r="A2000" s="63"/>
      <c r="B2000" s="64"/>
      <c r="C2000" s="65"/>
      <c r="D2000" s="66"/>
      <c r="E2000" s="67"/>
      <c r="F2000" s="68"/>
      <c r="G2000" s="68"/>
      <c r="H2000" s="66"/>
      <c r="I2000" s="69"/>
      <c r="J2000" s="66"/>
      <c r="K2000" s="66"/>
      <c r="L2000" s="66"/>
      <c r="M2000" s="70"/>
      <c r="N2000" s="71"/>
      <c r="W2000" s="22"/>
    </row>
    <row r="2001" spans="1:23" ht="14.5">
      <c r="A2001" s="63"/>
      <c r="B2001" s="64"/>
      <c r="C2001" s="65"/>
      <c r="D2001" s="66"/>
      <c r="E2001" s="67"/>
      <c r="F2001" s="68"/>
      <c r="G2001" s="68"/>
      <c r="H2001" s="66"/>
      <c r="I2001" s="69"/>
      <c r="J2001" s="66"/>
      <c r="K2001" s="66"/>
      <c r="L2001" s="66"/>
      <c r="M2001" s="70"/>
      <c r="N2001" s="71"/>
      <c r="W2001" s="22"/>
    </row>
    <row r="2002" spans="1:23" ht="14.5">
      <c r="A2002" s="63"/>
      <c r="B2002" s="64"/>
      <c r="C2002" s="65"/>
      <c r="D2002" s="66"/>
      <c r="E2002" s="67"/>
      <c r="F2002" s="68"/>
      <c r="G2002" s="68"/>
      <c r="H2002" s="66"/>
      <c r="I2002" s="69"/>
      <c r="J2002" s="66"/>
      <c r="K2002" s="66"/>
      <c r="L2002" s="66"/>
      <c r="M2002" s="70"/>
      <c r="N2002" s="71"/>
      <c r="W2002" s="22"/>
    </row>
    <row r="2003" spans="1:23" ht="14.5">
      <c r="A2003" s="63"/>
      <c r="B2003" s="64"/>
      <c r="C2003" s="65"/>
      <c r="D2003" s="66"/>
      <c r="E2003" s="67"/>
      <c r="F2003" s="68"/>
      <c r="G2003" s="68"/>
      <c r="H2003" s="66"/>
      <c r="I2003" s="69"/>
      <c r="J2003" s="66"/>
      <c r="K2003" s="66"/>
      <c r="L2003" s="66"/>
      <c r="M2003" s="70"/>
      <c r="N2003" s="71"/>
      <c r="W2003" s="22"/>
    </row>
    <row r="2004" spans="1:23" ht="14.5">
      <c r="A2004" s="63"/>
      <c r="B2004" s="64"/>
      <c r="C2004" s="65"/>
      <c r="D2004" s="66"/>
      <c r="E2004" s="67"/>
      <c r="F2004" s="68"/>
      <c r="G2004" s="68"/>
      <c r="H2004" s="66"/>
      <c r="I2004" s="69"/>
      <c r="J2004" s="66"/>
      <c r="K2004" s="66"/>
      <c r="L2004" s="66"/>
      <c r="M2004" s="70"/>
      <c r="N2004" s="71"/>
      <c r="W2004" s="22"/>
    </row>
    <row r="2005" spans="1:23" ht="14.5">
      <c r="A2005" s="63"/>
      <c r="B2005" s="64"/>
      <c r="C2005" s="65"/>
      <c r="D2005" s="66"/>
      <c r="E2005" s="67"/>
      <c r="F2005" s="68"/>
      <c r="G2005" s="68"/>
      <c r="H2005" s="66"/>
      <c r="I2005" s="69"/>
      <c r="J2005" s="66"/>
      <c r="K2005" s="66"/>
      <c r="L2005" s="66"/>
      <c r="M2005" s="70"/>
      <c r="N2005" s="71"/>
      <c r="W2005" s="22"/>
    </row>
    <row r="2006" spans="1:23" ht="14.5">
      <c r="A2006" s="63"/>
      <c r="B2006" s="64"/>
      <c r="C2006" s="65"/>
      <c r="D2006" s="66"/>
      <c r="E2006" s="67"/>
      <c r="F2006" s="68"/>
      <c r="G2006" s="68"/>
      <c r="H2006" s="66"/>
      <c r="I2006" s="69"/>
      <c r="J2006" s="66"/>
      <c r="K2006" s="66"/>
      <c r="L2006" s="66"/>
      <c r="M2006" s="70"/>
      <c r="N2006" s="71"/>
      <c r="W2006" s="22"/>
    </row>
    <row r="2007" spans="1:23" ht="14.5">
      <c r="A2007" s="63"/>
      <c r="B2007" s="64"/>
      <c r="C2007" s="65"/>
      <c r="D2007" s="66"/>
      <c r="E2007" s="67"/>
      <c r="F2007" s="68"/>
      <c r="G2007" s="68"/>
      <c r="H2007" s="66"/>
      <c r="I2007" s="69"/>
      <c r="J2007" s="66"/>
      <c r="K2007" s="66"/>
      <c r="L2007" s="66"/>
      <c r="M2007" s="70"/>
      <c r="N2007" s="71"/>
      <c r="W2007" s="22"/>
    </row>
    <row r="2008" spans="1:23" ht="14.5">
      <c r="A2008" s="63"/>
      <c r="B2008" s="64"/>
      <c r="C2008" s="65"/>
      <c r="D2008" s="66"/>
      <c r="E2008" s="67"/>
      <c r="F2008" s="68"/>
      <c r="G2008" s="68"/>
      <c r="H2008" s="66"/>
      <c r="I2008" s="69"/>
      <c r="J2008" s="66"/>
      <c r="K2008" s="66"/>
      <c r="L2008" s="66"/>
      <c r="M2008" s="70"/>
      <c r="N2008" s="71"/>
      <c r="W2008" s="22"/>
    </row>
    <row r="2009" spans="1:23" ht="14.5">
      <c r="A2009" s="63"/>
      <c r="B2009" s="64"/>
      <c r="C2009" s="65"/>
      <c r="D2009" s="66"/>
      <c r="E2009" s="67"/>
      <c r="F2009" s="68"/>
      <c r="G2009" s="68"/>
      <c r="H2009" s="66"/>
      <c r="I2009" s="69"/>
      <c r="J2009" s="66"/>
      <c r="K2009" s="66"/>
      <c r="L2009" s="66"/>
      <c r="M2009" s="70"/>
      <c r="N2009" s="71"/>
      <c r="W2009" s="22"/>
    </row>
    <row r="2010" spans="1:23" ht="14.5">
      <c r="A2010" s="63"/>
      <c r="B2010" s="64"/>
      <c r="C2010" s="65"/>
      <c r="D2010" s="66"/>
      <c r="E2010" s="67"/>
      <c r="F2010" s="68"/>
      <c r="G2010" s="68"/>
      <c r="H2010" s="66"/>
      <c r="I2010" s="69"/>
      <c r="J2010" s="66"/>
      <c r="K2010" s="66"/>
      <c r="L2010" s="66"/>
      <c r="M2010" s="70"/>
      <c r="N2010" s="71"/>
      <c r="W2010" s="22"/>
    </row>
    <row r="2011" spans="1:23" ht="14.5">
      <c r="A2011" s="63"/>
      <c r="B2011" s="64"/>
      <c r="C2011" s="65"/>
      <c r="D2011" s="66"/>
      <c r="E2011" s="67"/>
      <c r="F2011" s="68"/>
      <c r="G2011" s="68"/>
      <c r="H2011" s="66"/>
      <c r="I2011" s="69"/>
      <c r="J2011" s="66"/>
      <c r="K2011" s="66"/>
      <c r="L2011" s="66"/>
      <c r="M2011" s="70"/>
      <c r="N2011" s="71"/>
      <c r="W2011" s="22"/>
    </row>
    <row r="2012" spans="1:23" ht="14.5">
      <c r="A2012" s="63"/>
      <c r="B2012" s="64"/>
      <c r="C2012" s="65"/>
      <c r="D2012" s="66"/>
      <c r="E2012" s="67"/>
      <c r="F2012" s="68"/>
      <c r="G2012" s="68"/>
      <c r="H2012" s="66"/>
      <c r="I2012" s="69"/>
      <c r="J2012" s="66"/>
      <c r="K2012" s="66"/>
      <c r="L2012" s="66"/>
      <c r="M2012" s="70"/>
      <c r="N2012" s="71"/>
      <c r="W2012" s="22"/>
    </row>
    <row r="2013" spans="1:23" ht="14.5">
      <c r="A2013" s="63"/>
      <c r="B2013" s="64"/>
      <c r="C2013" s="65"/>
      <c r="D2013" s="66"/>
      <c r="E2013" s="67"/>
      <c r="F2013" s="68"/>
      <c r="G2013" s="68"/>
      <c r="H2013" s="66"/>
      <c r="I2013" s="69"/>
      <c r="J2013" s="66"/>
      <c r="K2013" s="66"/>
      <c r="L2013" s="66"/>
      <c r="M2013" s="70"/>
      <c r="N2013" s="71"/>
      <c r="W2013" s="22"/>
    </row>
    <row r="2014" spans="1:23" ht="14.5">
      <c r="A2014" s="63"/>
      <c r="B2014" s="64"/>
      <c r="C2014" s="65"/>
      <c r="D2014" s="66"/>
      <c r="E2014" s="67"/>
      <c r="F2014" s="68"/>
      <c r="G2014" s="68"/>
      <c r="H2014" s="66"/>
      <c r="I2014" s="69"/>
      <c r="J2014" s="66"/>
      <c r="K2014" s="66"/>
      <c r="L2014" s="66"/>
      <c r="M2014" s="70"/>
      <c r="N2014" s="71"/>
      <c r="W2014" s="22"/>
    </row>
    <row r="2015" spans="1:23" ht="14.5">
      <c r="A2015" s="63"/>
      <c r="B2015" s="64"/>
      <c r="C2015" s="65"/>
      <c r="D2015" s="66"/>
      <c r="E2015" s="67"/>
      <c r="F2015" s="68"/>
      <c r="G2015" s="68"/>
      <c r="H2015" s="66"/>
      <c r="I2015" s="69"/>
      <c r="J2015" s="66"/>
      <c r="K2015" s="66"/>
      <c r="L2015" s="66"/>
      <c r="M2015" s="70"/>
      <c r="N2015" s="71"/>
      <c r="W2015" s="22"/>
    </row>
    <row r="2016" spans="1:23" ht="14.5">
      <c r="A2016" s="63"/>
      <c r="B2016" s="64"/>
      <c r="C2016" s="65"/>
      <c r="D2016" s="66"/>
      <c r="E2016" s="67"/>
      <c r="F2016" s="68"/>
      <c r="G2016" s="68"/>
      <c r="H2016" s="66"/>
      <c r="I2016" s="69"/>
      <c r="J2016" s="66"/>
      <c r="K2016" s="66"/>
      <c r="L2016" s="66"/>
      <c r="M2016" s="70"/>
      <c r="N2016" s="71"/>
      <c r="W2016" s="22"/>
    </row>
    <row r="2017" spans="1:23" ht="14.5">
      <c r="A2017" s="63"/>
      <c r="B2017" s="64"/>
      <c r="C2017" s="65"/>
      <c r="D2017" s="66"/>
      <c r="E2017" s="67"/>
      <c r="F2017" s="68"/>
      <c r="G2017" s="68"/>
      <c r="H2017" s="66"/>
      <c r="I2017" s="69"/>
      <c r="J2017" s="66"/>
      <c r="K2017" s="66"/>
      <c r="L2017" s="66"/>
      <c r="M2017" s="70"/>
      <c r="N2017" s="71"/>
      <c r="W2017" s="22"/>
    </row>
    <row r="2018" spans="1:23" ht="14.5">
      <c r="A2018" s="63"/>
      <c r="B2018" s="64"/>
      <c r="C2018" s="65"/>
      <c r="D2018" s="66"/>
      <c r="E2018" s="67"/>
      <c r="F2018" s="68"/>
      <c r="G2018" s="68"/>
      <c r="H2018" s="66"/>
      <c r="I2018" s="69"/>
      <c r="J2018" s="66"/>
      <c r="K2018" s="66"/>
      <c r="L2018" s="66"/>
      <c r="M2018" s="70"/>
      <c r="N2018" s="71"/>
      <c r="W2018" s="22"/>
    </row>
    <row r="2019" spans="1:23" ht="14.5">
      <c r="A2019" s="63"/>
      <c r="B2019" s="64"/>
      <c r="C2019" s="65"/>
      <c r="D2019" s="66"/>
      <c r="E2019" s="67"/>
      <c r="F2019" s="68"/>
      <c r="G2019" s="68"/>
      <c r="H2019" s="66"/>
      <c r="I2019" s="69"/>
      <c r="J2019" s="66"/>
      <c r="K2019" s="66"/>
      <c r="L2019" s="66"/>
      <c r="M2019" s="70"/>
      <c r="N2019" s="71"/>
      <c r="W2019" s="22"/>
    </row>
    <row r="2020" spans="1:23" ht="14.5">
      <c r="A2020" s="63"/>
      <c r="B2020" s="64"/>
      <c r="C2020" s="65"/>
      <c r="D2020" s="66"/>
      <c r="E2020" s="67"/>
      <c r="F2020" s="68"/>
      <c r="G2020" s="68"/>
      <c r="H2020" s="66"/>
      <c r="I2020" s="69"/>
      <c r="J2020" s="66"/>
      <c r="K2020" s="66"/>
      <c r="L2020" s="66"/>
      <c r="M2020" s="70"/>
      <c r="N2020" s="71"/>
      <c r="W2020" s="22"/>
    </row>
    <row r="2021" spans="1:23" ht="14.5">
      <c r="A2021" s="63"/>
      <c r="B2021" s="64"/>
      <c r="C2021" s="65"/>
      <c r="D2021" s="66"/>
      <c r="E2021" s="67"/>
      <c r="F2021" s="68"/>
      <c r="G2021" s="68"/>
      <c r="H2021" s="66"/>
      <c r="I2021" s="69"/>
      <c r="J2021" s="66"/>
      <c r="K2021" s="66"/>
      <c r="L2021" s="66"/>
      <c r="M2021" s="70"/>
      <c r="N2021" s="71"/>
      <c r="W2021" s="22"/>
    </row>
    <row r="2022" spans="1:23" ht="14.5">
      <c r="A2022" s="63"/>
      <c r="B2022" s="64"/>
      <c r="C2022" s="65"/>
      <c r="D2022" s="66"/>
      <c r="E2022" s="67"/>
      <c r="F2022" s="68"/>
      <c r="G2022" s="68"/>
      <c r="H2022" s="66"/>
      <c r="I2022" s="69"/>
      <c r="J2022" s="66"/>
      <c r="K2022" s="66"/>
      <c r="L2022" s="66"/>
      <c r="M2022" s="70"/>
      <c r="N2022" s="71"/>
      <c r="W2022" s="22"/>
    </row>
    <row r="2023" spans="1:23" ht="14.5">
      <c r="A2023" s="63"/>
      <c r="B2023" s="64"/>
      <c r="C2023" s="65"/>
      <c r="D2023" s="66"/>
      <c r="E2023" s="67"/>
      <c r="F2023" s="68"/>
      <c r="G2023" s="68"/>
      <c r="H2023" s="66"/>
      <c r="I2023" s="69"/>
      <c r="J2023" s="66"/>
      <c r="K2023" s="66"/>
      <c r="L2023" s="66"/>
      <c r="M2023" s="70"/>
      <c r="N2023" s="71"/>
      <c r="W2023" s="22"/>
    </row>
    <row r="2024" spans="1:23" ht="14.5">
      <c r="A2024" s="63"/>
      <c r="B2024" s="64"/>
      <c r="C2024" s="65"/>
      <c r="D2024" s="66"/>
      <c r="E2024" s="67"/>
      <c r="F2024" s="68"/>
      <c r="G2024" s="68"/>
      <c r="H2024" s="66"/>
      <c r="I2024" s="69"/>
      <c r="J2024" s="66"/>
      <c r="K2024" s="66"/>
      <c r="L2024" s="66"/>
      <c r="M2024" s="70"/>
      <c r="N2024" s="71"/>
      <c r="W2024" s="22"/>
    </row>
    <row r="2025" spans="1:23" ht="14.5">
      <c r="A2025" s="63"/>
      <c r="B2025" s="64"/>
      <c r="C2025" s="65"/>
      <c r="D2025" s="66"/>
      <c r="E2025" s="67"/>
      <c r="F2025" s="68"/>
      <c r="G2025" s="68"/>
      <c r="H2025" s="66"/>
      <c r="I2025" s="69"/>
      <c r="J2025" s="66"/>
      <c r="K2025" s="66"/>
      <c r="L2025" s="66"/>
      <c r="M2025" s="70"/>
      <c r="N2025" s="71"/>
      <c r="W2025" s="22"/>
    </row>
    <row r="2026" spans="1:23" ht="14.5">
      <c r="A2026" s="63"/>
      <c r="B2026" s="64"/>
      <c r="C2026" s="65"/>
      <c r="D2026" s="66"/>
      <c r="E2026" s="67"/>
      <c r="F2026" s="68"/>
      <c r="G2026" s="68"/>
      <c r="H2026" s="66"/>
      <c r="I2026" s="69"/>
      <c r="J2026" s="66"/>
      <c r="K2026" s="66"/>
      <c r="L2026" s="66"/>
      <c r="M2026" s="70"/>
      <c r="N2026" s="71"/>
      <c r="W2026" s="22"/>
    </row>
    <row r="2027" spans="1:23" ht="14.5">
      <c r="A2027" s="63"/>
      <c r="B2027" s="64"/>
      <c r="C2027" s="65"/>
      <c r="D2027" s="66"/>
      <c r="E2027" s="67"/>
      <c r="F2027" s="68"/>
      <c r="G2027" s="68"/>
      <c r="H2027" s="66"/>
      <c r="I2027" s="69"/>
      <c r="J2027" s="66"/>
      <c r="K2027" s="66"/>
      <c r="L2027" s="66"/>
      <c r="M2027" s="70"/>
      <c r="N2027" s="71"/>
      <c r="W2027" s="22"/>
    </row>
    <row r="2028" spans="1:23" ht="14.5">
      <c r="A2028" s="63"/>
      <c r="B2028" s="64"/>
      <c r="C2028" s="65"/>
      <c r="D2028" s="66"/>
      <c r="E2028" s="67"/>
      <c r="F2028" s="68"/>
      <c r="G2028" s="68"/>
      <c r="H2028" s="66"/>
      <c r="I2028" s="69"/>
      <c r="J2028" s="66"/>
      <c r="K2028" s="66"/>
      <c r="L2028" s="66"/>
      <c r="M2028" s="70"/>
      <c r="N2028" s="71"/>
      <c r="W2028" s="22"/>
    </row>
    <row r="2029" spans="1:23" ht="14.5">
      <c r="A2029" s="63"/>
      <c r="B2029" s="64"/>
      <c r="C2029" s="65"/>
      <c r="D2029" s="66"/>
      <c r="E2029" s="67"/>
      <c r="F2029" s="68"/>
      <c r="G2029" s="68"/>
      <c r="H2029" s="66"/>
      <c r="I2029" s="69"/>
      <c r="J2029" s="66"/>
      <c r="K2029" s="66"/>
      <c r="L2029" s="66"/>
      <c r="M2029" s="70"/>
      <c r="N2029" s="71"/>
      <c r="W2029" s="22"/>
    </row>
    <row r="2030" spans="1:23" ht="14.5">
      <c r="A2030" s="63"/>
      <c r="B2030" s="64"/>
      <c r="C2030" s="65"/>
      <c r="D2030" s="66"/>
      <c r="E2030" s="67"/>
      <c r="F2030" s="68"/>
      <c r="G2030" s="68"/>
      <c r="H2030" s="66"/>
      <c r="I2030" s="69"/>
      <c r="J2030" s="66"/>
      <c r="K2030" s="66"/>
      <c r="L2030" s="66"/>
      <c r="M2030" s="70"/>
      <c r="N2030" s="71"/>
      <c r="W2030" s="22"/>
    </row>
    <row r="2031" spans="1:23" ht="14.5">
      <c r="A2031" s="63"/>
      <c r="B2031" s="64"/>
      <c r="C2031" s="65"/>
      <c r="D2031" s="66"/>
      <c r="E2031" s="67"/>
      <c r="F2031" s="68"/>
      <c r="G2031" s="68"/>
      <c r="H2031" s="66"/>
      <c r="I2031" s="69"/>
      <c r="J2031" s="66"/>
      <c r="K2031" s="66"/>
      <c r="L2031" s="66"/>
      <c r="M2031" s="70"/>
      <c r="N2031" s="71"/>
      <c r="W2031" s="22"/>
    </row>
    <row r="2032" spans="1:23" ht="14.5">
      <c r="A2032" s="63"/>
      <c r="B2032" s="64"/>
      <c r="C2032" s="65"/>
      <c r="D2032" s="66"/>
      <c r="E2032" s="67"/>
      <c r="F2032" s="68"/>
      <c r="G2032" s="68"/>
      <c r="H2032" s="66"/>
      <c r="I2032" s="69"/>
      <c r="J2032" s="66"/>
      <c r="K2032" s="66"/>
      <c r="L2032" s="66"/>
      <c r="M2032" s="70"/>
      <c r="N2032" s="71"/>
      <c r="W2032" s="22"/>
    </row>
    <row r="2033" spans="1:23" ht="14.5">
      <c r="A2033" s="63"/>
      <c r="B2033" s="64"/>
      <c r="C2033" s="65"/>
      <c r="D2033" s="66"/>
      <c r="E2033" s="67"/>
      <c r="F2033" s="68"/>
      <c r="G2033" s="68"/>
      <c r="H2033" s="66"/>
      <c r="I2033" s="69"/>
      <c r="J2033" s="66"/>
      <c r="K2033" s="66"/>
      <c r="L2033" s="66"/>
      <c r="M2033" s="70"/>
      <c r="N2033" s="71"/>
      <c r="W2033" s="22"/>
    </row>
    <row r="2034" spans="1:23" ht="14.5">
      <c r="A2034" s="63"/>
      <c r="B2034" s="64"/>
      <c r="C2034" s="65"/>
      <c r="D2034" s="66"/>
      <c r="E2034" s="67"/>
      <c r="F2034" s="68"/>
      <c r="G2034" s="68"/>
      <c r="H2034" s="66"/>
      <c r="I2034" s="69"/>
      <c r="J2034" s="66"/>
      <c r="K2034" s="66"/>
      <c r="L2034" s="66"/>
      <c r="M2034" s="70"/>
      <c r="N2034" s="71"/>
      <c r="W2034" s="22"/>
    </row>
    <row r="2035" spans="1:23" ht="14.5">
      <c r="A2035" s="63"/>
      <c r="B2035" s="64"/>
      <c r="C2035" s="65"/>
      <c r="D2035" s="66"/>
      <c r="E2035" s="67"/>
      <c r="F2035" s="68"/>
      <c r="G2035" s="68"/>
      <c r="H2035" s="66"/>
      <c r="I2035" s="69"/>
      <c r="J2035" s="66"/>
      <c r="K2035" s="66"/>
      <c r="L2035" s="66"/>
      <c r="M2035" s="70"/>
      <c r="N2035" s="71"/>
      <c r="W2035" s="22"/>
    </row>
  </sheetData>
  <autoFilter ref="A1:U1036" xr:uid="{00000000-0009-0000-0000-00000A000000}"/>
  <conditionalFormatting sqref="N1028:N2035">
    <cfRule type="expression" dxfId="7" priority="1">
      <formula>A1028=TODAY()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6000"/>
  <sheetViews>
    <sheetView workbookViewId="0"/>
  </sheetViews>
  <sheetFormatPr defaultColWidth="12.6328125" defaultRowHeight="15.75" customHeight="1"/>
  <cols>
    <col min="6" max="6" width="20" customWidth="1"/>
    <col min="10" max="10" width="18.7265625" customWidth="1"/>
  </cols>
  <sheetData>
    <row r="1" spans="1:12">
      <c r="A1" s="74" t="s">
        <v>167</v>
      </c>
      <c r="B1" s="19">
        <v>0</v>
      </c>
      <c r="C1" s="33">
        <f>B1/12</f>
        <v>0</v>
      </c>
      <c r="F1" s="22" t="s">
        <v>168</v>
      </c>
      <c r="G1" s="22">
        <v>4000</v>
      </c>
      <c r="I1" s="75" t="s">
        <v>169</v>
      </c>
      <c r="J1" s="76" t="s">
        <v>170</v>
      </c>
      <c r="K1" s="76" t="s">
        <v>171</v>
      </c>
      <c r="L1" s="77" t="s">
        <v>172</v>
      </c>
    </row>
    <row r="2" spans="1:12">
      <c r="A2" s="78" t="s">
        <v>173</v>
      </c>
      <c r="B2" s="22">
        <v>2800000</v>
      </c>
      <c r="C2" s="79">
        <f>B5-B6</f>
        <v>1000000</v>
      </c>
      <c r="F2" s="22" t="s">
        <v>174</v>
      </c>
      <c r="G2" s="22">
        <v>3200</v>
      </c>
      <c r="I2" s="135" t="s">
        <v>175</v>
      </c>
      <c r="J2" s="135" t="s">
        <v>176</v>
      </c>
      <c r="K2" s="136" t="s">
        <v>177</v>
      </c>
      <c r="L2" s="80" t="s">
        <v>113</v>
      </c>
    </row>
    <row r="3" spans="1:12">
      <c r="A3" s="78" t="s">
        <v>178</v>
      </c>
      <c r="B3" s="22">
        <v>2</v>
      </c>
      <c r="C3" s="81">
        <f>B3*12</f>
        <v>24</v>
      </c>
      <c r="F3" s="22" t="s">
        <v>179</v>
      </c>
      <c r="G3" s="22">
        <v>2400</v>
      </c>
      <c r="I3" s="134"/>
      <c r="J3" s="134"/>
      <c r="K3" s="134"/>
      <c r="L3" s="80" t="s">
        <v>180</v>
      </c>
    </row>
    <row r="4" spans="1:12">
      <c r="A4" s="78" t="s">
        <v>181</v>
      </c>
      <c r="B4" s="79">
        <f>-PMT(B1/12,B3*12,B2)</f>
        <v>116666.66666666667</v>
      </c>
      <c r="C4" s="79">
        <f>B4*C3</f>
        <v>2800000</v>
      </c>
      <c r="F4" s="22" t="s">
        <v>182</v>
      </c>
      <c r="G4" s="22">
        <v>0</v>
      </c>
      <c r="I4" s="134"/>
      <c r="J4" s="134"/>
      <c r="K4" s="134"/>
      <c r="L4" s="80" t="s">
        <v>183</v>
      </c>
    </row>
    <row r="5" spans="1:12">
      <c r="A5" s="78" t="s">
        <v>184</v>
      </c>
      <c r="B5" s="22">
        <v>1000000</v>
      </c>
      <c r="F5" s="22" t="s">
        <v>185</v>
      </c>
      <c r="G5" s="22">
        <v>0</v>
      </c>
      <c r="I5" s="134"/>
      <c r="J5" s="134"/>
      <c r="K5" s="134"/>
      <c r="L5" s="80" t="s">
        <v>186</v>
      </c>
    </row>
    <row r="6" spans="1:12">
      <c r="A6" s="78" t="s">
        <v>187</v>
      </c>
      <c r="B6" s="79">
        <f>SUM(D9:D488)</f>
        <v>0</v>
      </c>
      <c r="I6" s="134"/>
      <c r="J6" s="134"/>
      <c r="K6" s="132"/>
      <c r="L6" s="82" t="s">
        <v>188</v>
      </c>
    </row>
    <row r="7" spans="1:12" ht="15.75" customHeight="1">
      <c r="B7" s="79"/>
      <c r="C7" s="79"/>
      <c r="D7" s="79"/>
      <c r="E7" s="79"/>
      <c r="I7" s="134"/>
      <c r="J7" s="134"/>
      <c r="K7" s="136" t="s">
        <v>189</v>
      </c>
      <c r="L7" s="80" t="s">
        <v>113</v>
      </c>
    </row>
    <row r="8" spans="1:12" ht="15.75" customHeight="1">
      <c r="A8" s="22" t="s">
        <v>190</v>
      </c>
      <c r="B8" s="22" t="s">
        <v>181</v>
      </c>
      <c r="C8" s="22" t="s">
        <v>173</v>
      </c>
      <c r="D8" s="22" t="s">
        <v>191</v>
      </c>
      <c r="E8" s="22" t="s">
        <v>192</v>
      </c>
      <c r="F8" s="22" t="s">
        <v>193</v>
      </c>
      <c r="I8" s="134"/>
      <c r="J8" s="134"/>
      <c r="K8" s="134"/>
      <c r="L8" s="80" t="s">
        <v>180</v>
      </c>
    </row>
    <row r="9" spans="1:12" ht="15.75" customHeight="1">
      <c r="A9" s="22">
        <v>1</v>
      </c>
      <c r="B9" s="79">
        <f>B4</f>
        <v>116666.66666666667</v>
      </c>
      <c r="C9" s="79">
        <f>-PPMT($B$1/12,$A9,$B$3*12,$B$2)</f>
        <v>116666.66666666667</v>
      </c>
      <c r="D9" s="79">
        <f>-IPMT($B$1/12,$A9,$B$3*12,$B$2)</f>
        <v>0</v>
      </c>
      <c r="E9" s="79">
        <f>$B$2-C9</f>
        <v>2683333.3333333335</v>
      </c>
      <c r="I9" s="132"/>
      <c r="J9" s="132"/>
      <c r="K9" s="132"/>
      <c r="L9" s="82" t="s">
        <v>183</v>
      </c>
    </row>
    <row r="10" spans="1:12" ht="15.75" customHeight="1">
      <c r="A10" s="81">
        <f t="shared" ref="A10:A6000" si="0">IFERROR(IF($C$3&gt;=(A9+1),A9+1," ")," ")</f>
        <v>2</v>
      </c>
      <c r="B10" s="79">
        <f t="shared" ref="B10:B6000" si="1">IF(A10&lt;=$C$3,$B9," ")</f>
        <v>116666.66666666667</v>
      </c>
      <c r="C10" s="79">
        <f>IFERROR(-PPMT($B$1/12,$A10,$B$3*12,$B$2)," ")</f>
        <v>116666.66666666667</v>
      </c>
      <c r="D10" s="79">
        <f>IFERROR(-IPMT($B$1/12,$A10,$B$3*12,$B$2)," ")</f>
        <v>0</v>
      </c>
      <c r="E10" s="79">
        <f t="shared" ref="E10:E11" si="2">E9-C10</f>
        <v>2566666.666666667</v>
      </c>
      <c r="F10" s="79">
        <f t="shared" ref="F10:F68" si="3">D9-D10</f>
        <v>0</v>
      </c>
      <c r="I10" s="137" t="s">
        <v>194</v>
      </c>
      <c r="J10" s="137" t="s">
        <v>195</v>
      </c>
      <c r="K10" s="138" t="s">
        <v>196</v>
      </c>
      <c r="L10" s="83" t="s">
        <v>113</v>
      </c>
    </row>
    <row r="11" spans="1:12" ht="15.75" customHeight="1">
      <c r="A11" s="81">
        <f t="shared" si="0"/>
        <v>3</v>
      </c>
      <c r="B11" s="79">
        <f t="shared" si="1"/>
        <v>116666.66666666667</v>
      </c>
      <c r="C11" s="79">
        <f>-PPMT($B$1/12,$A11,$B$3*12,$B$2)</f>
        <v>116666.66666666667</v>
      </c>
      <c r="D11" s="79">
        <f>-IPMT($B$1/12,$A11,$B$3*12,$B$2)</f>
        <v>0</v>
      </c>
      <c r="E11" s="79">
        <f t="shared" si="2"/>
        <v>2450000.0000000005</v>
      </c>
      <c r="F11" s="79">
        <f t="shared" si="3"/>
        <v>0</v>
      </c>
      <c r="I11" s="132"/>
      <c r="J11" s="132"/>
      <c r="K11" s="132"/>
      <c r="L11" s="84" t="s">
        <v>180</v>
      </c>
    </row>
    <row r="12" spans="1:12" ht="15.75" customHeight="1">
      <c r="A12" s="81">
        <f t="shared" si="0"/>
        <v>4</v>
      </c>
      <c r="B12" s="79">
        <f t="shared" si="1"/>
        <v>116666.66666666667</v>
      </c>
      <c r="C12" s="79">
        <f t="shared" ref="C12:C15" si="4">IFERROR((-PPMT($B$1/12,$A12,$B$3*12,$B$2))," ")</f>
        <v>116666.66666666667</v>
      </c>
      <c r="D12" s="79">
        <f t="shared" ref="D12:D6000" si="5">IFERROR(-IPMT($B$1/12,$A12,$B$3*12,$B$2)," ")</f>
        <v>0</v>
      </c>
      <c r="E12" s="79">
        <f t="shared" ref="E12:E6000" si="6">IFERROR(E11-C12," ")</f>
        <v>2333333.333333334</v>
      </c>
      <c r="F12" s="79">
        <f t="shared" si="3"/>
        <v>0</v>
      </c>
      <c r="I12" s="131" t="s">
        <v>197</v>
      </c>
      <c r="J12" s="131" t="s">
        <v>198</v>
      </c>
      <c r="K12" s="133" t="s">
        <v>199</v>
      </c>
      <c r="L12" s="85" t="s">
        <v>113</v>
      </c>
    </row>
    <row r="13" spans="1:12" ht="15.75" customHeight="1">
      <c r="A13" s="81">
        <f t="shared" si="0"/>
        <v>5</v>
      </c>
      <c r="B13" s="79">
        <f t="shared" si="1"/>
        <v>116666.66666666667</v>
      </c>
      <c r="C13" s="79">
        <f t="shared" si="4"/>
        <v>116666.66666666667</v>
      </c>
      <c r="D13" s="79">
        <f t="shared" si="5"/>
        <v>0</v>
      </c>
      <c r="E13" s="79">
        <f t="shared" si="6"/>
        <v>2216666.6666666674</v>
      </c>
      <c r="F13" s="79">
        <f t="shared" si="3"/>
        <v>0</v>
      </c>
      <c r="I13" s="132"/>
      <c r="J13" s="132"/>
      <c r="K13" s="134"/>
      <c r="L13" s="85" t="s">
        <v>180</v>
      </c>
    </row>
    <row r="14" spans="1:12" ht="15.75" customHeight="1">
      <c r="A14" s="81">
        <f t="shared" si="0"/>
        <v>6</v>
      </c>
      <c r="B14" s="79">
        <f t="shared" si="1"/>
        <v>116666.66666666667</v>
      </c>
      <c r="C14" s="79">
        <f t="shared" si="4"/>
        <v>116666.66666666667</v>
      </c>
      <c r="D14" s="79">
        <f t="shared" si="5"/>
        <v>0</v>
      </c>
      <c r="E14" s="79">
        <f t="shared" si="6"/>
        <v>2100000.0000000009</v>
      </c>
      <c r="F14" s="79">
        <f t="shared" si="3"/>
        <v>0</v>
      </c>
      <c r="I14" s="131" t="s">
        <v>200</v>
      </c>
      <c r="J14" s="131" t="s">
        <v>201</v>
      </c>
      <c r="K14" s="134"/>
      <c r="L14" s="85" t="s">
        <v>183</v>
      </c>
    </row>
    <row r="15" spans="1:12" ht="15.75" customHeight="1">
      <c r="A15" s="81">
        <f t="shared" si="0"/>
        <v>7</v>
      </c>
      <c r="B15" s="79">
        <f t="shared" si="1"/>
        <v>116666.66666666667</v>
      </c>
      <c r="C15" s="79">
        <f t="shared" si="4"/>
        <v>116666.66666666667</v>
      </c>
      <c r="D15" s="79">
        <f t="shared" si="5"/>
        <v>0</v>
      </c>
      <c r="E15" s="79">
        <f t="shared" si="6"/>
        <v>1983333.3333333342</v>
      </c>
      <c r="F15" s="79">
        <f t="shared" si="3"/>
        <v>0</v>
      </c>
      <c r="I15" s="132"/>
      <c r="J15" s="132"/>
      <c r="K15" s="132"/>
      <c r="L15" s="86" t="s">
        <v>186</v>
      </c>
    </row>
    <row r="16" spans="1:12" ht="15.75" customHeight="1">
      <c r="A16" s="81">
        <f t="shared" si="0"/>
        <v>8</v>
      </c>
      <c r="B16" s="79">
        <f t="shared" si="1"/>
        <v>116666.66666666667</v>
      </c>
      <c r="C16" s="79">
        <f t="shared" ref="C16:C6000" si="7">IFERROR(-PPMT($B$1/12,$A16,$B$3*12,$B$2)," ")</f>
        <v>116666.66666666667</v>
      </c>
      <c r="D16" s="79">
        <f t="shared" si="5"/>
        <v>0</v>
      </c>
      <c r="E16" s="79">
        <f t="shared" si="6"/>
        <v>1866666.6666666674</v>
      </c>
      <c r="F16" s="79">
        <f t="shared" si="3"/>
        <v>0</v>
      </c>
    </row>
    <row r="17" spans="1:16" ht="15.75" customHeight="1">
      <c r="A17" s="81">
        <f t="shared" si="0"/>
        <v>9</v>
      </c>
      <c r="B17" s="79">
        <f t="shared" si="1"/>
        <v>116666.66666666667</v>
      </c>
      <c r="C17" s="79">
        <f t="shared" si="7"/>
        <v>116666.66666666667</v>
      </c>
      <c r="D17" s="79">
        <f t="shared" si="5"/>
        <v>0</v>
      </c>
      <c r="E17" s="79">
        <f t="shared" si="6"/>
        <v>1750000.0000000007</v>
      </c>
      <c r="F17" s="79">
        <f t="shared" si="3"/>
        <v>0</v>
      </c>
    </row>
    <row r="18" spans="1:16">
      <c r="A18" s="81">
        <f t="shared" si="0"/>
        <v>10</v>
      </c>
      <c r="B18" s="79">
        <f t="shared" si="1"/>
        <v>116666.66666666667</v>
      </c>
      <c r="C18" s="79">
        <f t="shared" si="7"/>
        <v>116666.66666666667</v>
      </c>
      <c r="D18" s="79">
        <f t="shared" si="5"/>
        <v>0</v>
      </c>
      <c r="E18" s="79">
        <f t="shared" si="6"/>
        <v>1633333.333333334</v>
      </c>
      <c r="F18" s="79">
        <f t="shared" si="3"/>
        <v>0</v>
      </c>
      <c r="G18" s="87"/>
      <c r="H18" s="88" t="s">
        <v>202</v>
      </c>
      <c r="I18" s="88" t="s">
        <v>203</v>
      </c>
      <c r="J18" s="88" t="s">
        <v>204</v>
      </c>
      <c r="K18" s="88" t="s">
        <v>205</v>
      </c>
      <c r="L18" s="88" t="s">
        <v>206</v>
      </c>
      <c r="M18" s="88" t="s">
        <v>207</v>
      </c>
      <c r="N18" s="88" t="s">
        <v>208</v>
      </c>
      <c r="O18" s="88" t="s">
        <v>209</v>
      </c>
      <c r="P18" s="88" t="s">
        <v>210</v>
      </c>
    </row>
    <row r="19" spans="1:16">
      <c r="A19" s="81">
        <f t="shared" si="0"/>
        <v>11</v>
      </c>
      <c r="B19" s="79">
        <f t="shared" si="1"/>
        <v>116666.66666666667</v>
      </c>
      <c r="C19" s="79">
        <f t="shared" si="7"/>
        <v>116666.66666666667</v>
      </c>
      <c r="D19" s="79">
        <f t="shared" si="5"/>
        <v>0</v>
      </c>
      <c r="E19" s="79">
        <f t="shared" si="6"/>
        <v>1516666.6666666672</v>
      </c>
      <c r="F19" s="79">
        <f t="shared" si="3"/>
        <v>0</v>
      </c>
      <c r="G19" s="89" t="s">
        <v>211</v>
      </c>
      <c r="H19" s="90" t="s">
        <v>212</v>
      </c>
      <c r="I19" s="90" t="s">
        <v>213</v>
      </c>
      <c r="J19" s="90" t="s">
        <v>214</v>
      </c>
      <c r="K19" s="90" t="s">
        <v>215</v>
      </c>
      <c r="L19" s="90" t="s">
        <v>216</v>
      </c>
      <c r="M19" s="90" t="s">
        <v>217</v>
      </c>
      <c r="N19" s="90" t="s">
        <v>218</v>
      </c>
      <c r="O19" s="90" t="s">
        <v>219</v>
      </c>
      <c r="P19" s="90" t="s">
        <v>220</v>
      </c>
    </row>
    <row r="20" spans="1:16">
      <c r="A20" s="81">
        <f t="shared" si="0"/>
        <v>12</v>
      </c>
      <c r="B20" s="79">
        <f t="shared" si="1"/>
        <v>116666.66666666667</v>
      </c>
      <c r="C20" s="79">
        <f t="shared" si="7"/>
        <v>116666.66666666667</v>
      </c>
      <c r="D20" s="79">
        <f t="shared" si="5"/>
        <v>0</v>
      </c>
      <c r="E20" s="79">
        <f t="shared" si="6"/>
        <v>1400000.0000000005</v>
      </c>
      <c r="F20" s="79">
        <f t="shared" si="3"/>
        <v>0</v>
      </c>
      <c r="G20" s="91" t="s">
        <v>221</v>
      </c>
      <c r="H20" s="92"/>
      <c r="I20" s="92"/>
      <c r="J20" s="93" t="s">
        <v>216</v>
      </c>
      <c r="K20" s="93" t="s">
        <v>217</v>
      </c>
      <c r="L20" s="93" t="s">
        <v>218</v>
      </c>
      <c r="M20" s="93" t="s">
        <v>219</v>
      </c>
      <c r="N20" s="93" t="s">
        <v>220</v>
      </c>
      <c r="O20" s="93" t="s">
        <v>222</v>
      </c>
      <c r="P20" s="92"/>
    </row>
    <row r="21" spans="1:16" ht="13">
      <c r="A21" s="81">
        <f t="shared" si="0"/>
        <v>13</v>
      </c>
      <c r="B21" s="79">
        <f t="shared" si="1"/>
        <v>116666.66666666667</v>
      </c>
      <c r="C21" s="79">
        <f t="shared" si="7"/>
        <v>116666.66666666667</v>
      </c>
      <c r="D21" s="79">
        <f t="shared" si="5"/>
        <v>0</v>
      </c>
      <c r="E21" s="79">
        <f t="shared" si="6"/>
        <v>1283333.3333333337</v>
      </c>
      <c r="F21" s="79">
        <f t="shared" si="3"/>
        <v>0</v>
      </c>
      <c r="G21" s="94" t="s">
        <v>223</v>
      </c>
      <c r="H21" s="94" t="s">
        <v>224</v>
      </c>
      <c r="I21" s="94" t="s">
        <v>225</v>
      </c>
      <c r="J21" s="94" t="s">
        <v>226</v>
      </c>
      <c r="K21" s="94" t="s">
        <v>227</v>
      </c>
      <c r="L21" s="94" t="s">
        <v>228</v>
      </c>
      <c r="M21" s="94" t="s">
        <v>229</v>
      </c>
      <c r="N21" s="94" t="s">
        <v>230</v>
      </c>
      <c r="O21" s="95"/>
      <c r="P21" s="95"/>
    </row>
    <row r="22" spans="1:16" ht="13">
      <c r="A22" s="81">
        <f t="shared" si="0"/>
        <v>14</v>
      </c>
      <c r="B22" s="79">
        <f t="shared" si="1"/>
        <v>116666.66666666667</v>
      </c>
      <c r="C22" s="79">
        <f t="shared" si="7"/>
        <v>116666.66666666667</v>
      </c>
      <c r="D22" s="79">
        <f t="shared" si="5"/>
        <v>0</v>
      </c>
      <c r="E22" s="79">
        <f t="shared" si="6"/>
        <v>1166666.666666667</v>
      </c>
      <c r="F22" s="79">
        <f t="shared" si="3"/>
        <v>0</v>
      </c>
      <c r="G22" s="96" t="s">
        <v>231</v>
      </c>
      <c r="H22" s="97"/>
      <c r="I22" s="97"/>
      <c r="J22" s="98" t="s">
        <v>212</v>
      </c>
      <c r="K22" s="98" t="s">
        <v>213</v>
      </c>
      <c r="L22" s="98" t="s">
        <v>214</v>
      </c>
      <c r="M22" s="98" t="s">
        <v>215</v>
      </c>
      <c r="N22" s="98" t="s">
        <v>216</v>
      </c>
      <c r="O22" s="97"/>
      <c r="P22" s="97"/>
    </row>
    <row r="23" spans="1:16" ht="12.5">
      <c r="A23" s="81">
        <f t="shared" si="0"/>
        <v>15</v>
      </c>
      <c r="B23" s="79">
        <f t="shared" si="1"/>
        <v>116666.66666666667</v>
      </c>
      <c r="C23" s="79">
        <f t="shared" si="7"/>
        <v>116666.66666666667</v>
      </c>
      <c r="D23" s="79">
        <f t="shared" si="5"/>
        <v>0</v>
      </c>
      <c r="E23" s="79">
        <f t="shared" si="6"/>
        <v>1050000.0000000002</v>
      </c>
      <c r="F23" s="79">
        <f t="shared" si="3"/>
        <v>0</v>
      </c>
    </row>
    <row r="24" spans="1:16" ht="12.5">
      <c r="A24" s="81">
        <f t="shared" si="0"/>
        <v>16</v>
      </c>
      <c r="B24" s="79">
        <f t="shared" si="1"/>
        <v>116666.66666666667</v>
      </c>
      <c r="C24" s="79">
        <f t="shared" si="7"/>
        <v>116666.66666666667</v>
      </c>
      <c r="D24" s="79">
        <f t="shared" si="5"/>
        <v>0</v>
      </c>
      <c r="E24" s="79">
        <f t="shared" si="6"/>
        <v>933333.3333333336</v>
      </c>
      <c r="F24" s="79">
        <f t="shared" si="3"/>
        <v>0</v>
      </c>
      <c r="H24" s="99"/>
      <c r="I24" s="99"/>
      <c r="J24" s="99"/>
      <c r="K24" s="99"/>
      <c r="L24" s="99"/>
      <c r="M24" s="99"/>
      <c r="N24" s="99"/>
      <c r="O24" s="99"/>
      <c r="P24" s="99"/>
    </row>
    <row r="25" spans="1:16" ht="12.5">
      <c r="A25" s="81">
        <f t="shared" si="0"/>
        <v>17</v>
      </c>
      <c r="B25" s="79">
        <f t="shared" si="1"/>
        <v>116666.66666666667</v>
      </c>
      <c r="C25" s="79">
        <f t="shared" si="7"/>
        <v>116666.66666666667</v>
      </c>
      <c r="D25" s="79">
        <f t="shared" si="5"/>
        <v>0</v>
      </c>
      <c r="E25" s="79">
        <f t="shared" si="6"/>
        <v>816666.66666666698</v>
      </c>
      <c r="F25" s="79">
        <f t="shared" si="3"/>
        <v>0</v>
      </c>
    </row>
    <row r="26" spans="1:16" ht="12.5">
      <c r="A26" s="81">
        <f t="shared" si="0"/>
        <v>18</v>
      </c>
      <c r="B26" s="79">
        <f t="shared" si="1"/>
        <v>116666.66666666667</v>
      </c>
      <c r="C26" s="79">
        <f t="shared" si="7"/>
        <v>116666.66666666667</v>
      </c>
      <c r="D26" s="79">
        <f t="shared" si="5"/>
        <v>0</v>
      </c>
      <c r="E26" s="79">
        <f t="shared" si="6"/>
        <v>700000.00000000035</v>
      </c>
      <c r="F26" s="79">
        <f t="shared" si="3"/>
        <v>0</v>
      </c>
    </row>
    <row r="27" spans="1:16" ht="12.5">
      <c r="A27" s="81">
        <f t="shared" si="0"/>
        <v>19</v>
      </c>
      <c r="B27" s="79">
        <f t="shared" si="1"/>
        <v>116666.66666666667</v>
      </c>
      <c r="C27" s="79">
        <f t="shared" si="7"/>
        <v>116666.66666666667</v>
      </c>
      <c r="D27" s="79">
        <f t="shared" si="5"/>
        <v>0</v>
      </c>
      <c r="E27" s="79">
        <f t="shared" si="6"/>
        <v>583333.33333333372</v>
      </c>
      <c r="F27" s="79">
        <f t="shared" si="3"/>
        <v>0</v>
      </c>
    </row>
    <row r="28" spans="1:16" ht="12.5">
      <c r="A28" s="81">
        <f t="shared" si="0"/>
        <v>20</v>
      </c>
      <c r="B28" s="79">
        <f t="shared" si="1"/>
        <v>116666.66666666667</v>
      </c>
      <c r="C28" s="79">
        <f t="shared" si="7"/>
        <v>116666.66666666667</v>
      </c>
      <c r="D28" s="79">
        <f t="shared" si="5"/>
        <v>0</v>
      </c>
      <c r="E28" s="79">
        <f t="shared" si="6"/>
        <v>466666.66666666704</v>
      </c>
      <c r="F28" s="79">
        <f t="shared" si="3"/>
        <v>0</v>
      </c>
    </row>
    <row r="29" spans="1:16" ht="12.5">
      <c r="A29" s="81">
        <f t="shared" si="0"/>
        <v>21</v>
      </c>
      <c r="B29" s="79">
        <f t="shared" si="1"/>
        <v>116666.66666666667</v>
      </c>
      <c r="C29" s="79">
        <f t="shared" si="7"/>
        <v>116666.66666666667</v>
      </c>
      <c r="D29" s="79">
        <f t="shared" si="5"/>
        <v>0</v>
      </c>
      <c r="E29" s="79">
        <f t="shared" si="6"/>
        <v>350000.00000000035</v>
      </c>
      <c r="F29" s="79">
        <f t="shared" si="3"/>
        <v>0</v>
      </c>
    </row>
    <row r="30" spans="1:16" ht="12.5">
      <c r="A30" s="81">
        <f t="shared" si="0"/>
        <v>22</v>
      </c>
      <c r="B30" s="79">
        <f t="shared" si="1"/>
        <v>116666.66666666667</v>
      </c>
      <c r="C30" s="79">
        <f t="shared" si="7"/>
        <v>116666.66666666667</v>
      </c>
      <c r="D30" s="79">
        <f t="shared" si="5"/>
        <v>0</v>
      </c>
      <c r="E30" s="79">
        <f t="shared" si="6"/>
        <v>233333.33333333366</v>
      </c>
      <c r="F30" s="79">
        <f t="shared" si="3"/>
        <v>0</v>
      </c>
    </row>
    <row r="31" spans="1:16" ht="12.5">
      <c r="A31" s="81">
        <f t="shared" si="0"/>
        <v>23</v>
      </c>
      <c r="B31" s="79">
        <f t="shared" si="1"/>
        <v>116666.66666666667</v>
      </c>
      <c r="C31" s="79">
        <f t="shared" si="7"/>
        <v>116666.66666666667</v>
      </c>
      <c r="D31" s="79">
        <f t="shared" si="5"/>
        <v>0</v>
      </c>
      <c r="E31" s="79">
        <f t="shared" si="6"/>
        <v>116666.66666666699</v>
      </c>
      <c r="F31" s="79">
        <f t="shared" si="3"/>
        <v>0</v>
      </c>
    </row>
    <row r="32" spans="1:16" ht="12.5">
      <c r="A32" s="81">
        <f t="shared" si="0"/>
        <v>24</v>
      </c>
      <c r="B32" s="79">
        <f t="shared" si="1"/>
        <v>116666.66666666667</v>
      </c>
      <c r="C32" s="79">
        <f t="shared" si="7"/>
        <v>116666.66666666667</v>
      </c>
      <c r="D32" s="79">
        <f t="shared" si="5"/>
        <v>0</v>
      </c>
      <c r="E32" s="79">
        <f t="shared" si="6"/>
        <v>3.2014213502407074E-10</v>
      </c>
      <c r="F32" s="79">
        <f t="shared" si="3"/>
        <v>0</v>
      </c>
    </row>
    <row r="33" spans="1:6" ht="12.5">
      <c r="A33" s="81" t="str">
        <f t="shared" si="0"/>
        <v xml:space="preserve"> </v>
      </c>
      <c r="B33" s="81" t="str">
        <f t="shared" si="1"/>
        <v xml:space="preserve"> </v>
      </c>
      <c r="C33" s="79" t="str">
        <f t="shared" si="7"/>
        <v xml:space="preserve"> </v>
      </c>
      <c r="D33" s="79" t="str">
        <f t="shared" si="5"/>
        <v xml:space="preserve"> </v>
      </c>
      <c r="E33" s="79" t="str">
        <f t="shared" si="6"/>
        <v xml:space="preserve"> </v>
      </c>
      <c r="F33" s="79" t="e">
        <f t="shared" si="3"/>
        <v>#VALUE!</v>
      </c>
    </row>
    <row r="34" spans="1:6" ht="12.5">
      <c r="A34" s="81" t="str">
        <f t="shared" si="0"/>
        <v xml:space="preserve"> </v>
      </c>
      <c r="B34" s="81" t="str">
        <f t="shared" si="1"/>
        <v xml:space="preserve"> </v>
      </c>
      <c r="C34" s="79" t="str">
        <f t="shared" si="7"/>
        <v xml:space="preserve"> </v>
      </c>
      <c r="D34" s="79" t="str">
        <f t="shared" si="5"/>
        <v xml:space="preserve"> </v>
      </c>
      <c r="E34" s="79" t="str">
        <f t="shared" si="6"/>
        <v xml:space="preserve"> </v>
      </c>
      <c r="F34" s="79" t="e">
        <f t="shared" si="3"/>
        <v>#VALUE!</v>
      </c>
    </row>
    <row r="35" spans="1:6" ht="12.5">
      <c r="A35" s="81" t="str">
        <f t="shared" si="0"/>
        <v xml:space="preserve"> </v>
      </c>
      <c r="B35" s="81" t="str">
        <f t="shared" si="1"/>
        <v xml:space="preserve"> </v>
      </c>
      <c r="C35" s="79" t="str">
        <f t="shared" si="7"/>
        <v xml:space="preserve"> </v>
      </c>
      <c r="D35" s="79" t="str">
        <f t="shared" si="5"/>
        <v xml:space="preserve"> </v>
      </c>
      <c r="E35" s="79" t="str">
        <f t="shared" si="6"/>
        <v xml:space="preserve"> </v>
      </c>
      <c r="F35" s="79" t="e">
        <f t="shared" si="3"/>
        <v>#VALUE!</v>
      </c>
    </row>
    <row r="36" spans="1:6" ht="12.5">
      <c r="A36" s="81" t="str">
        <f t="shared" si="0"/>
        <v xml:space="preserve"> </v>
      </c>
      <c r="B36" s="81" t="str">
        <f t="shared" si="1"/>
        <v xml:space="preserve"> </v>
      </c>
      <c r="C36" s="79" t="str">
        <f t="shared" si="7"/>
        <v xml:space="preserve"> </v>
      </c>
      <c r="D36" s="79" t="str">
        <f t="shared" si="5"/>
        <v xml:space="preserve"> </v>
      </c>
      <c r="E36" s="79" t="str">
        <f t="shared" si="6"/>
        <v xml:space="preserve"> </v>
      </c>
      <c r="F36" s="79" t="e">
        <f t="shared" si="3"/>
        <v>#VALUE!</v>
      </c>
    </row>
    <row r="37" spans="1:6" ht="12.5">
      <c r="A37" s="81" t="str">
        <f t="shared" si="0"/>
        <v xml:space="preserve"> </v>
      </c>
      <c r="B37" s="81" t="str">
        <f t="shared" si="1"/>
        <v xml:space="preserve"> </v>
      </c>
      <c r="C37" s="79" t="str">
        <f t="shared" si="7"/>
        <v xml:space="preserve"> </v>
      </c>
      <c r="D37" s="79" t="str">
        <f t="shared" si="5"/>
        <v xml:space="preserve"> </v>
      </c>
      <c r="E37" s="79" t="str">
        <f t="shared" si="6"/>
        <v xml:space="preserve"> </v>
      </c>
      <c r="F37" s="79" t="e">
        <f t="shared" si="3"/>
        <v>#VALUE!</v>
      </c>
    </row>
    <row r="38" spans="1:6" ht="12.5">
      <c r="A38" s="81" t="str">
        <f t="shared" si="0"/>
        <v xml:space="preserve"> </v>
      </c>
      <c r="B38" s="81" t="str">
        <f t="shared" si="1"/>
        <v xml:space="preserve"> </v>
      </c>
      <c r="C38" s="79" t="str">
        <f t="shared" si="7"/>
        <v xml:space="preserve"> </v>
      </c>
      <c r="D38" s="79" t="str">
        <f t="shared" si="5"/>
        <v xml:space="preserve"> </v>
      </c>
      <c r="E38" s="79" t="str">
        <f t="shared" si="6"/>
        <v xml:space="preserve"> </v>
      </c>
      <c r="F38" s="79" t="e">
        <f t="shared" si="3"/>
        <v>#VALUE!</v>
      </c>
    </row>
    <row r="39" spans="1:6" ht="12.5">
      <c r="A39" s="81" t="str">
        <f t="shared" si="0"/>
        <v xml:space="preserve"> </v>
      </c>
      <c r="B39" s="81" t="str">
        <f t="shared" si="1"/>
        <v xml:space="preserve"> </v>
      </c>
      <c r="C39" s="79" t="str">
        <f t="shared" si="7"/>
        <v xml:space="preserve"> </v>
      </c>
      <c r="D39" s="79" t="str">
        <f t="shared" si="5"/>
        <v xml:space="preserve"> </v>
      </c>
      <c r="E39" s="79" t="str">
        <f t="shared" si="6"/>
        <v xml:space="preserve"> </v>
      </c>
      <c r="F39" s="79" t="e">
        <f t="shared" si="3"/>
        <v>#VALUE!</v>
      </c>
    </row>
    <row r="40" spans="1:6" ht="12.5">
      <c r="A40" s="81" t="str">
        <f t="shared" si="0"/>
        <v xml:space="preserve"> </v>
      </c>
      <c r="B40" s="81" t="str">
        <f t="shared" si="1"/>
        <v xml:space="preserve"> </v>
      </c>
      <c r="C40" s="79" t="str">
        <f t="shared" si="7"/>
        <v xml:space="preserve"> </v>
      </c>
      <c r="D40" s="79" t="str">
        <f t="shared" si="5"/>
        <v xml:space="preserve"> </v>
      </c>
      <c r="E40" s="79" t="str">
        <f t="shared" si="6"/>
        <v xml:space="preserve"> </v>
      </c>
      <c r="F40" s="79" t="e">
        <f t="shared" si="3"/>
        <v>#VALUE!</v>
      </c>
    </row>
    <row r="41" spans="1:6" ht="12.5">
      <c r="A41" s="81" t="str">
        <f t="shared" si="0"/>
        <v xml:space="preserve"> </v>
      </c>
      <c r="B41" s="81" t="str">
        <f t="shared" si="1"/>
        <v xml:space="preserve"> </v>
      </c>
      <c r="C41" s="79" t="str">
        <f t="shared" si="7"/>
        <v xml:space="preserve"> </v>
      </c>
      <c r="D41" s="79" t="str">
        <f t="shared" si="5"/>
        <v xml:space="preserve"> </v>
      </c>
      <c r="E41" s="79" t="str">
        <f t="shared" si="6"/>
        <v xml:space="preserve"> </v>
      </c>
      <c r="F41" s="79" t="e">
        <f t="shared" si="3"/>
        <v>#VALUE!</v>
      </c>
    </row>
    <row r="42" spans="1:6" ht="12.5">
      <c r="A42" s="81" t="str">
        <f t="shared" si="0"/>
        <v xml:space="preserve"> </v>
      </c>
      <c r="B42" s="81" t="str">
        <f t="shared" si="1"/>
        <v xml:space="preserve"> </v>
      </c>
      <c r="C42" s="79" t="str">
        <f t="shared" si="7"/>
        <v xml:space="preserve"> </v>
      </c>
      <c r="D42" s="79" t="str">
        <f t="shared" si="5"/>
        <v xml:space="preserve"> </v>
      </c>
      <c r="E42" s="79" t="str">
        <f t="shared" si="6"/>
        <v xml:space="preserve"> </v>
      </c>
      <c r="F42" s="79" t="e">
        <f t="shared" si="3"/>
        <v>#VALUE!</v>
      </c>
    </row>
    <row r="43" spans="1:6" ht="12.5">
      <c r="A43" s="81" t="str">
        <f t="shared" si="0"/>
        <v xml:space="preserve"> </v>
      </c>
      <c r="B43" s="81" t="str">
        <f t="shared" si="1"/>
        <v xml:space="preserve"> </v>
      </c>
      <c r="C43" s="79" t="str">
        <f t="shared" si="7"/>
        <v xml:space="preserve"> </v>
      </c>
      <c r="D43" s="79" t="str">
        <f t="shared" si="5"/>
        <v xml:space="preserve"> </v>
      </c>
      <c r="E43" s="79" t="str">
        <f t="shared" si="6"/>
        <v xml:space="preserve"> </v>
      </c>
      <c r="F43" s="79" t="e">
        <f t="shared" si="3"/>
        <v>#VALUE!</v>
      </c>
    </row>
    <row r="44" spans="1:6" ht="12.5">
      <c r="A44" s="81" t="str">
        <f t="shared" si="0"/>
        <v xml:space="preserve"> </v>
      </c>
      <c r="B44" s="81" t="str">
        <f t="shared" si="1"/>
        <v xml:space="preserve"> </v>
      </c>
      <c r="C44" s="79" t="str">
        <f t="shared" si="7"/>
        <v xml:space="preserve"> </v>
      </c>
      <c r="D44" s="79" t="str">
        <f t="shared" si="5"/>
        <v xml:space="preserve"> </v>
      </c>
      <c r="E44" s="79" t="str">
        <f t="shared" si="6"/>
        <v xml:space="preserve"> </v>
      </c>
      <c r="F44" s="79" t="e">
        <f t="shared" si="3"/>
        <v>#VALUE!</v>
      </c>
    </row>
    <row r="45" spans="1:6" ht="12.5">
      <c r="A45" s="81" t="str">
        <f t="shared" si="0"/>
        <v xml:space="preserve"> </v>
      </c>
      <c r="B45" s="81" t="str">
        <f t="shared" si="1"/>
        <v xml:space="preserve"> </v>
      </c>
      <c r="C45" s="79" t="str">
        <f t="shared" si="7"/>
        <v xml:space="preserve"> </v>
      </c>
      <c r="D45" s="79" t="str">
        <f t="shared" si="5"/>
        <v xml:space="preserve"> </v>
      </c>
      <c r="E45" s="79" t="str">
        <f t="shared" si="6"/>
        <v xml:space="preserve"> </v>
      </c>
      <c r="F45" s="79" t="e">
        <f t="shared" si="3"/>
        <v>#VALUE!</v>
      </c>
    </row>
    <row r="46" spans="1:6" ht="12.5">
      <c r="A46" s="81" t="str">
        <f t="shared" si="0"/>
        <v xml:space="preserve"> </v>
      </c>
      <c r="B46" s="81" t="str">
        <f t="shared" si="1"/>
        <v xml:space="preserve"> </v>
      </c>
      <c r="C46" s="79" t="str">
        <f t="shared" si="7"/>
        <v xml:space="preserve"> </v>
      </c>
      <c r="D46" s="79" t="str">
        <f t="shared" si="5"/>
        <v xml:space="preserve"> </v>
      </c>
      <c r="E46" s="79" t="str">
        <f t="shared" si="6"/>
        <v xml:space="preserve"> </v>
      </c>
      <c r="F46" s="79" t="e">
        <f t="shared" si="3"/>
        <v>#VALUE!</v>
      </c>
    </row>
    <row r="47" spans="1:6" ht="12.5">
      <c r="A47" s="81" t="str">
        <f t="shared" si="0"/>
        <v xml:space="preserve"> </v>
      </c>
      <c r="B47" s="81" t="str">
        <f t="shared" si="1"/>
        <v xml:space="preserve"> </v>
      </c>
      <c r="C47" s="79" t="str">
        <f t="shared" si="7"/>
        <v xml:space="preserve"> </v>
      </c>
      <c r="D47" s="79" t="str">
        <f t="shared" si="5"/>
        <v xml:space="preserve"> </v>
      </c>
      <c r="E47" s="79" t="str">
        <f t="shared" si="6"/>
        <v xml:space="preserve"> </v>
      </c>
      <c r="F47" s="79" t="e">
        <f t="shared" si="3"/>
        <v>#VALUE!</v>
      </c>
    </row>
    <row r="48" spans="1:6" ht="12.5">
      <c r="A48" s="81" t="str">
        <f t="shared" si="0"/>
        <v xml:space="preserve"> </v>
      </c>
      <c r="B48" s="81" t="str">
        <f t="shared" si="1"/>
        <v xml:space="preserve"> </v>
      </c>
      <c r="C48" s="79" t="str">
        <f t="shared" si="7"/>
        <v xml:space="preserve"> </v>
      </c>
      <c r="D48" s="79" t="str">
        <f t="shared" si="5"/>
        <v xml:space="preserve"> </v>
      </c>
      <c r="E48" s="79" t="str">
        <f t="shared" si="6"/>
        <v xml:space="preserve"> </v>
      </c>
      <c r="F48" s="79" t="e">
        <f t="shared" si="3"/>
        <v>#VALUE!</v>
      </c>
    </row>
    <row r="49" spans="1:6" ht="12.5">
      <c r="A49" s="81" t="str">
        <f t="shared" si="0"/>
        <v xml:space="preserve"> </v>
      </c>
      <c r="B49" s="81" t="str">
        <f t="shared" si="1"/>
        <v xml:space="preserve"> </v>
      </c>
      <c r="C49" s="79" t="str">
        <f t="shared" si="7"/>
        <v xml:space="preserve"> </v>
      </c>
      <c r="D49" s="79" t="str">
        <f t="shared" si="5"/>
        <v xml:space="preserve"> </v>
      </c>
      <c r="E49" s="79" t="str">
        <f t="shared" si="6"/>
        <v xml:space="preserve"> </v>
      </c>
      <c r="F49" s="79" t="e">
        <f t="shared" si="3"/>
        <v>#VALUE!</v>
      </c>
    </row>
    <row r="50" spans="1:6" ht="12.5">
      <c r="A50" s="81" t="str">
        <f t="shared" si="0"/>
        <v xml:space="preserve"> </v>
      </c>
      <c r="B50" s="81" t="str">
        <f t="shared" si="1"/>
        <v xml:space="preserve"> </v>
      </c>
      <c r="C50" s="79" t="str">
        <f t="shared" si="7"/>
        <v xml:space="preserve"> </v>
      </c>
      <c r="D50" s="79" t="str">
        <f t="shared" si="5"/>
        <v xml:space="preserve"> </v>
      </c>
      <c r="E50" s="79" t="str">
        <f t="shared" si="6"/>
        <v xml:space="preserve"> </v>
      </c>
      <c r="F50" s="79" t="e">
        <f t="shared" si="3"/>
        <v>#VALUE!</v>
      </c>
    </row>
    <row r="51" spans="1:6" ht="12.5">
      <c r="A51" s="81" t="str">
        <f t="shared" si="0"/>
        <v xml:space="preserve"> </v>
      </c>
      <c r="B51" s="81" t="str">
        <f t="shared" si="1"/>
        <v xml:space="preserve"> </v>
      </c>
      <c r="C51" s="79" t="str">
        <f t="shared" si="7"/>
        <v xml:space="preserve"> </v>
      </c>
      <c r="D51" s="79" t="str">
        <f t="shared" si="5"/>
        <v xml:space="preserve"> </v>
      </c>
      <c r="E51" s="79" t="str">
        <f t="shared" si="6"/>
        <v xml:space="preserve"> </v>
      </c>
      <c r="F51" s="79" t="e">
        <f t="shared" si="3"/>
        <v>#VALUE!</v>
      </c>
    </row>
    <row r="52" spans="1:6" ht="12.5">
      <c r="A52" s="81" t="str">
        <f t="shared" si="0"/>
        <v xml:space="preserve"> </v>
      </c>
      <c r="B52" s="81" t="str">
        <f t="shared" si="1"/>
        <v xml:space="preserve"> </v>
      </c>
      <c r="C52" s="79" t="str">
        <f t="shared" si="7"/>
        <v xml:space="preserve"> </v>
      </c>
      <c r="D52" s="79" t="str">
        <f t="shared" si="5"/>
        <v xml:space="preserve"> </v>
      </c>
      <c r="E52" s="79" t="str">
        <f t="shared" si="6"/>
        <v xml:space="preserve"> </v>
      </c>
      <c r="F52" s="79" t="e">
        <f t="shared" si="3"/>
        <v>#VALUE!</v>
      </c>
    </row>
    <row r="53" spans="1:6" ht="12.5">
      <c r="A53" s="81" t="str">
        <f t="shared" si="0"/>
        <v xml:space="preserve"> </v>
      </c>
      <c r="B53" s="81" t="str">
        <f t="shared" si="1"/>
        <v xml:space="preserve"> </v>
      </c>
      <c r="C53" s="79" t="str">
        <f t="shared" si="7"/>
        <v xml:space="preserve"> </v>
      </c>
      <c r="D53" s="79" t="str">
        <f t="shared" si="5"/>
        <v xml:space="preserve"> </v>
      </c>
      <c r="E53" s="79" t="str">
        <f t="shared" si="6"/>
        <v xml:space="preserve"> </v>
      </c>
      <c r="F53" s="79" t="e">
        <f t="shared" si="3"/>
        <v>#VALUE!</v>
      </c>
    </row>
    <row r="54" spans="1:6" ht="12.5">
      <c r="A54" s="81" t="str">
        <f t="shared" si="0"/>
        <v xml:space="preserve"> </v>
      </c>
      <c r="B54" s="81" t="str">
        <f t="shared" si="1"/>
        <v xml:space="preserve"> </v>
      </c>
      <c r="C54" s="79" t="str">
        <f t="shared" si="7"/>
        <v xml:space="preserve"> </v>
      </c>
      <c r="D54" s="79" t="str">
        <f t="shared" si="5"/>
        <v xml:space="preserve"> </v>
      </c>
      <c r="E54" s="79" t="str">
        <f t="shared" si="6"/>
        <v xml:space="preserve"> </v>
      </c>
      <c r="F54" s="79" t="e">
        <f t="shared" si="3"/>
        <v>#VALUE!</v>
      </c>
    </row>
    <row r="55" spans="1:6" ht="12.5">
      <c r="A55" s="81" t="str">
        <f t="shared" si="0"/>
        <v xml:space="preserve"> </v>
      </c>
      <c r="B55" s="81" t="str">
        <f t="shared" si="1"/>
        <v xml:space="preserve"> </v>
      </c>
      <c r="C55" s="79" t="str">
        <f t="shared" si="7"/>
        <v xml:space="preserve"> </v>
      </c>
      <c r="D55" s="79" t="str">
        <f t="shared" si="5"/>
        <v xml:space="preserve"> </v>
      </c>
      <c r="E55" s="79" t="str">
        <f t="shared" si="6"/>
        <v xml:space="preserve"> </v>
      </c>
      <c r="F55" s="79" t="e">
        <f t="shared" si="3"/>
        <v>#VALUE!</v>
      </c>
    </row>
    <row r="56" spans="1:6" ht="12.5">
      <c r="A56" s="81" t="str">
        <f t="shared" si="0"/>
        <v xml:space="preserve"> </v>
      </c>
      <c r="B56" s="81" t="str">
        <f t="shared" si="1"/>
        <v xml:space="preserve"> </v>
      </c>
      <c r="C56" s="79" t="str">
        <f t="shared" si="7"/>
        <v xml:space="preserve"> </v>
      </c>
      <c r="D56" s="79" t="str">
        <f t="shared" si="5"/>
        <v xml:space="preserve"> </v>
      </c>
      <c r="E56" s="79" t="str">
        <f t="shared" si="6"/>
        <v xml:space="preserve"> </v>
      </c>
      <c r="F56" s="79" t="e">
        <f t="shared" si="3"/>
        <v>#VALUE!</v>
      </c>
    </row>
    <row r="57" spans="1:6" ht="12.5">
      <c r="A57" s="81" t="str">
        <f t="shared" si="0"/>
        <v xml:space="preserve"> </v>
      </c>
      <c r="B57" s="81" t="str">
        <f t="shared" si="1"/>
        <v xml:space="preserve"> </v>
      </c>
      <c r="C57" s="79" t="str">
        <f t="shared" si="7"/>
        <v xml:space="preserve"> </v>
      </c>
      <c r="D57" s="79" t="str">
        <f t="shared" si="5"/>
        <v xml:space="preserve"> </v>
      </c>
      <c r="E57" s="79" t="str">
        <f t="shared" si="6"/>
        <v xml:space="preserve"> </v>
      </c>
      <c r="F57" s="79" t="e">
        <f t="shared" si="3"/>
        <v>#VALUE!</v>
      </c>
    </row>
    <row r="58" spans="1:6" ht="12.5">
      <c r="A58" s="81" t="str">
        <f t="shared" si="0"/>
        <v xml:space="preserve"> </v>
      </c>
      <c r="B58" s="81" t="str">
        <f t="shared" si="1"/>
        <v xml:space="preserve"> </v>
      </c>
      <c r="C58" s="79" t="str">
        <f t="shared" si="7"/>
        <v xml:space="preserve"> </v>
      </c>
      <c r="D58" s="79" t="str">
        <f t="shared" si="5"/>
        <v xml:space="preserve"> </v>
      </c>
      <c r="E58" s="79" t="str">
        <f t="shared" si="6"/>
        <v xml:space="preserve"> </v>
      </c>
      <c r="F58" s="79" t="e">
        <f t="shared" si="3"/>
        <v>#VALUE!</v>
      </c>
    </row>
    <row r="59" spans="1:6" ht="12.5">
      <c r="A59" s="81" t="str">
        <f t="shared" si="0"/>
        <v xml:space="preserve"> </v>
      </c>
      <c r="B59" s="81" t="str">
        <f t="shared" si="1"/>
        <v xml:space="preserve"> </v>
      </c>
      <c r="C59" s="79" t="str">
        <f t="shared" si="7"/>
        <v xml:space="preserve"> </v>
      </c>
      <c r="D59" s="79" t="str">
        <f t="shared" si="5"/>
        <v xml:space="preserve"> </v>
      </c>
      <c r="E59" s="79" t="str">
        <f t="shared" si="6"/>
        <v xml:space="preserve"> </v>
      </c>
      <c r="F59" s="79" t="e">
        <f t="shared" si="3"/>
        <v>#VALUE!</v>
      </c>
    </row>
    <row r="60" spans="1:6" ht="12.5">
      <c r="A60" s="81" t="str">
        <f t="shared" si="0"/>
        <v xml:space="preserve"> </v>
      </c>
      <c r="B60" s="81" t="str">
        <f t="shared" si="1"/>
        <v xml:space="preserve"> </v>
      </c>
      <c r="C60" s="79" t="str">
        <f t="shared" si="7"/>
        <v xml:space="preserve"> </v>
      </c>
      <c r="D60" s="79" t="str">
        <f t="shared" si="5"/>
        <v xml:space="preserve"> </v>
      </c>
      <c r="E60" s="79" t="str">
        <f t="shared" si="6"/>
        <v xml:space="preserve"> </v>
      </c>
      <c r="F60" s="79" t="e">
        <f t="shared" si="3"/>
        <v>#VALUE!</v>
      </c>
    </row>
    <row r="61" spans="1:6" ht="12.5">
      <c r="A61" s="81" t="str">
        <f t="shared" si="0"/>
        <v xml:space="preserve"> </v>
      </c>
      <c r="B61" s="81" t="str">
        <f t="shared" si="1"/>
        <v xml:space="preserve"> </v>
      </c>
      <c r="C61" s="79" t="str">
        <f t="shared" si="7"/>
        <v xml:space="preserve"> </v>
      </c>
      <c r="D61" s="79" t="str">
        <f t="shared" si="5"/>
        <v xml:space="preserve"> </v>
      </c>
      <c r="E61" s="79" t="str">
        <f t="shared" si="6"/>
        <v xml:space="preserve"> </v>
      </c>
      <c r="F61" s="79" t="e">
        <f t="shared" si="3"/>
        <v>#VALUE!</v>
      </c>
    </row>
    <row r="62" spans="1:6" ht="12.5">
      <c r="A62" s="81" t="str">
        <f t="shared" si="0"/>
        <v xml:space="preserve"> </v>
      </c>
      <c r="B62" s="81" t="str">
        <f t="shared" si="1"/>
        <v xml:space="preserve"> </v>
      </c>
      <c r="C62" s="79" t="str">
        <f t="shared" si="7"/>
        <v xml:space="preserve"> </v>
      </c>
      <c r="D62" s="79" t="str">
        <f t="shared" si="5"/>
        <v xml:space="preserve"> </v>
      </c>
      <c r="E62" s="79" t="str">
        <f t="shared" si="6"/>
        <v xml:space="preserve"> </v>
      </c>
      <c r="F62" s="79" t="e">
        <f t="shared" si="3"/>
        <v>#VALUE!</v>
      </c>
    </row>
    <row r="63" spans="1:6" ht="12.5">
      <c r="A63" s="81" t="str">
        <f t="shared" si="0"/>
        <v xml:space="preserve"> </v>
      </c>
      <c r="B63" s="81" t="str">
        <f t="shared" si="1"/>
        <v xml:space="preserve"> </v>
      </c>
      <c r="C63" s="79" t="str">
        <f t="shared" si="7"/>
        <v xml:space="preserve"> </v>
      </c>
      <c r="D63" s="79" t="str">
        <f t="shared" si="5"/>
        <v xml:space="preserve"> </v>
      </c>
      <c r="E63" s="79" t="str">
        <f t="shared" si="6"/>
        <v xml:space="preserve"> </v>
      </c>
      <c r="F63" s="79" t="e">
        <f t="shared" si="3"/>
        <v>#VALUE!</v>
      </c>
    </row>
    <row r="64" spans="1:6" ht="12.5">
      <c r="A64" s="81" t="str">
        <f t="shared" si="0"/>
        <v xml:space="preserve"> </v>
      </c>
      <c r="B64" s="81" t="str">
        <f t="shared" si="1"/>
        <v xml:space="preserve"> </v>
      </c>
      <c r="C64" s="79" t="str">
        <f t="shared" si="7"/>
        <v xml:space="preserve"> </v>
      </c>
      <c r="D64" s="79" t="str">
        <f t="shared" si="5"/>
        <v xml:space="preserve"> </v>
      </c>
      <c r="E64" s="79" t="str">
        <f t="shared" si="6"/>
        <v xml:space="preserve"> </v>
      </c>
      <c r="F64" s="79" t="e">
        <f t="shared" si="3"/>
        <v>#VALUE!</v>
      </c>
    </row>
    <row r="65" spans="1:6" ht="12.5">
      <c r="A65" s="81" t="str">
        <f t="shared" si="0"/>
        <v xml:space="preserve"> </v>
      </c>
      <c r="B65" s="81" t="str">
        <f t="shared" si="1"/>
        <v xml:space="preserve"> </v>
      </c>
      <c r="C65" s="79" t="str">
        <f t="shared" si="7"/>
        <v xml:space="preserve"> </v>
      </c>
      <c r="D65" s="79" t="str">
        <f t="shared" si="5"/>
        <v xml:space="preserve"> </v>
      </c>
      <c r="E65" s="79" t="str">
        <f t="shared" si="6"/>
        <v xml:space="preserve"> </v>
      </c>
      <c r="F65" s="79" t="e">
        <f t="shared" si="3"/>
        <v>#VALUE!</v>
      </c>
    </row>
    <row r="66" spans="1:6" ht="12.5">
      <c r="A66" s="81" t="str">
        <f t="shared" si="0"/>
        <v xml:space="preserve"> </v>
      </c>
      <c r="B66" s="81" t="str">
        <f t="shared" si="1"/>
        <v xml:space="preserve"> </v>
      </c>
      <c r="C66" s="79" t="str">
        <f t="shared" si="7"/>
        <v xml:space="preserve"> </v>
      </c>
      <c r="D66" s="79" t="str">
        <f t="shared" si="5"/>
        <v xml:space="preserve"> </v>
      </c>
      <c r="E66" s="79" t="str">
        <f t="shared" si="6"/>
        <v xml:space="preserve"> </v>
      </c>
      <c r="F66" s="79" t="e">
        <f t="shared" si="3"/>
        <v>#VALUE!</v>
      </c>
    </row>
    <row r="67" spans="1:6" ht="12.5">
      <c r="A67" s="81" t="str">
        <f t="shared" si="0"/>
        <v xml:space="preserve"> </v>
      </c>
      <c r="B67" s="81" t="str">
        <f t="shared" si="1"/>
        <v xml:space="preserve"> </v>
      </c>
      <c r="C67" s="79" t="str">
        <f t="shared" si="7"/>
        <v xml:space="preserve"> </v>
      </c>
      <c r="D67" s="79" t="str">
        <f t="shared" si="5"/>
        <v xml:space="preserve"> </v>
      </c>
      <c r="E67" s="79" t="str">
        <f t="shared" si="6"/>
        <v xml:space="preserve"> </v>
      </c>
      <c r="F67" s="79" t="e">
        <f t="shared" si="3"/>
        <v>#VALUE!</v>
      </c>
    </row>
    <row r="68" spans="1:6" ht="12.5">
      <c r="A68" s="81" t="str">
        <f t="shared" si="0"/>
        <v xml:space="preserve"> </v>
      </c>
      <c r="B68" s="81" t="str">
        <f t="shared" si="1"/>
        <v xml:space="preserve"> </v>
      </c>
      <c r="C68" s="79" t="str">
        <f t="shared" si="7"/>
        <v xml:space="preserve"> </v>
      </c>
      <c r="D68" s="79" t="str">
        <f t="shared" si="5"/>
        <v xml:space="preserve"> </v>
      </c>
      <c r="E68" s="79" t="str">
        <f t="shared" si="6"/>
        <v xml:space="preserve"> </v>
      </c>
      <c r="F68" s="79" t="e">
        <f t="shared" si="3"/>
        <v>#VALUE!</v>
      </c>
    </row>
    <row r="69" spans="1:6" ht="12.5">
      <c r="A69" s="81" t="str">
        <f t="shared" si="0"/>
        <v xml:space="preserve"> </v>
      </c>
      <c r="B69" s="81" t="str">
        <f t="shared" si="1"/>
        <v xml:space="preserve"> </v>
      </c>
      <c r="C69" s="79" t="str">
        <f t="shared" si="7"/>
        <v xml:space="preserve"> </v>
      </c>
      <c r="D69" s="79" t="str">
        <f t="shared" si="5"/>
        <v xml:space="preserve"> </v>
      </c>
      <c r="E69" s="79" t="str">
        <f t="shared" si="6"/>
        <v xml:space="preserve"> </v>
      </c>
    </row>
    <row r="70" spans="1:6" ht="12.5">
      <c r="A70" s="81" t="str">
        <f t="shared" si="0"/>
        <v xml:space="preserve"> </v>
      </c>
      <c r="B70" s="81" t="str">
        <f t="shared" si="1"/>
        <v xml:space="preserve"> </v>
      </c>
      <c r="C70" s="79" t="str">
        <f t="shared" si="7"/>
        <v xml:space="preserve"> </v>
      </c>
      <c r="D70" s="79" t="str">
        <f t="shared" si="5"/>
        <v xml:space="preserve"> </v>
      </c>
      <c r="E70" s="79" t="str">
        <f t="shared" si="6"/>
        <v xml:space="preserve"> </v>
      </c>
    </row>
    <row r="71" spans="1:6" ht="12.5">
      <c r="A71" s="81" t="str">
        <f t="shared" si="0"/>
        <v xml:space="preserve"> </v>
      </c>
      <c r="B71" s="81" t="str">
        <f t="shared" si="1"/>
        <v xml:space="preserve"> </v>
      </c>
      <c r="C71" s="79" t="str">
        <f t="shared" si="7"/>
        <v xml:space="preserve"> </v>
      </c>
      <c r="D71" s="79" t="str">
        <f t="shared" si="5"/>
        <v xml:space="preserve"> </v>
      </c>
      <c r="E71" s="79" t="str">
        <f t="shared" si="6"/>
        <v xml:space="preserve"> </v>
      </c>
    </row>
    <row r="72" spans="1:6" ht="12.5">
      <c r="A72" s="81" t="str">
        <f t="shared" si="0"/>
        <v xml:space="preserve"> </v>
      </c>
      <c r="B72" s="81" t="str">
        <f t="shared" si="1"/>
        <v xml:space="preserve"> </v>
      </c>
      <c r="C72" s="79" t="str">
        <f t="shared" si="7"/>
        <v xml:space="preserve"> </v>
      </c>
      <c r="D72" s="79" t="str">
        <f t="shared" si="5"/>
        <v xml:space="preserve"> </v>
      </c>
      <c r="E72" s="79" t="str">
        <f t="shared" si="6"/>
        <v xml:space="preserve"> </v>
      </c>
    </row>
    <row r="73" spans="1:6" ht="12.5">
      <c r="A73" s="81" t="str">
        <f t="shared" si="0"/>
        <v xml:space="preserve"> </v>
      </c>
      <c r="B73" s="81" t="str">
        <f t="shared" si="1"/>
        <v xml:space="preserve"> </v>
      </c>
      <c r="C73" s="79" t="str">
        <f t="shared" si="7"/>
        <v xml:space="preserve"> </v>
      </c>
      <c r="D73" s="79" t="str">
        <f t="shared" si="5"/>
        <v xml:space="preserve"> </v>
      </c>
      <c r="E73" s="79" t="str">
        <f t="shared" si="6"/>
        <v xml:space="preserve"> </v>
      </c>
    </row>
    <row r="74" spans="1:6" ht="12.5">
      <c r="A74" s="81" t="str">
        <f t="shared" si="0"/>
        <v xml:space="preserve"> </v>
      </c>
      <c r="B74" s="81" t="str">
        <f t="shared" si="1"/>
        <v xml:space="preserve"> </v>
      </c>
      <c r="C74" s="79" t="str">
        <f t="shared" si="7"/>
        <v xml:space="preserve"> </v>
      </c>
      <c r="D74" s="79" t="str">
        <f t="shared" si="5"/>
        <v xml:space="preserve"> </v>
      </c>
      <c r="E74" s="79" t="str">
        <f t="shared" si="6"/>
        <v xml:space="preserve"> </v>
      </c>
    </row>
    <row r="75" spans="1:6" ht="12.5">
      <c r="A75" s="81" t="str">
        <f t="shared" si="0"/>
        <v xml:space="preserve"> </v>
      </c>
      <c r="B75" s="81" t="str">
        <f t="shared" si="1"/>
        <v xml:space="preserve"> </v>
      </c>
      <c r="C75" s="79" t="str">
        <f t="shared" si="7"/>
        <v xml:space="preserve"> </v>
      </c>
      <c r="D75" s="79" t="str">
        <f t="shared" si="5"/>
        <v xml:space="preserve"> </v>
      </c>
      <c r="E75" s="79" t="str">
        <f t="shared" si="6"/>
        <v xml:space="preserve"> </v>
      </c>
    </row>
    <row r="76" spans="1:6" ht="12.5">
      <c r="A76" s="81" t="str">
        <f t="shared" si="0"/>
        <v xml:space="preserve"> </v>
      </c>
      <c r="B76" s="81" t="str">
        <f t="shared" si="1"/>
        <v xml:space="preserve"> </v>
      </c>
      <c r="C76" s="79" t="str">
        <f t="shared" si="7"/>
        <v xml:space="preserve"> </v>
      </c>
      <c r="D76" s="79" t="str">
        <f t="shared" si="5"/>
        <v xml:space="preserve"> </v>
      </c>
      <c r="E76" s="79" t="str">
        <f t="shared" si="6"/>
        <v xml:space="preserve"> </v>
      </c>
    </row>
    <row r="77" spans="1:6" ht="12.5">
      <c r="A77" s="81" t="str">
        <f t="shared" si="0"/>
        <v xml:space="preserve"> </v>
      </c>
      <c r="B77" s="81" t="str">
        <f t="shared" si="1"/>
        <v xml:space="preserve"> </v>
      </c>
      <c r="C77" s="79" t="str">
        <f t="shared" si="7"/>
        <v xml:space="preserve"> </v>
      </c>
      <c r="D77" s="79" t="str">
        <f t="shared" si="5"/>
        <v xml:space="preserve"> </v>
      </c>
      <c r="E77" s="79" t="str">
        <f t="shared" si="6"/>
        <v xml:space="preserve"> </v>
      </c>
    </row>
    <row r="78" spans="1:6" ht="12.5">
      <c r="A78" s="81" t="str">
        <f t="shared" si="0"/>
        <v xml:space="preserve"> </v>
      </c>
      <c r="B78" s="81" t="str">
        <f t="shared" si="1"/>
        <v xml:space="preserve"> </v>
      </c>
      <c r="C78" s="79" t="str">
        <f t="shared" si="7"/>
        <v xml:space="preserve"> </v>
      </c>
      <c r="D78" s="79" t="str">
        <f t="shared" si="5"/>
        <v xml:space="preserve"> </v>
      </c>
      <c r="E78" s="79" t="str">
        <f t="shared" si="6"/>
        <v xml:space="preserve"> </v>
      </c>
    </row>
    <row r="79" spans="1:6" ht="12.5">
      <c r="A79" s="81" t="str">
        <f t="shared" si="0"/>
        <v xml:space="preserve"> </v>
      </c>
      <c r="B79" s="81" t="str">
        <f t="shared" si="1"/>
        <v xml:space="preserve"> </v>
      </c>
      <c r="C79" s="79" t="str">
        <f t="shared" si="7"/>
        <v xml:space="preserve"> </v>
      </c>
      <c r="D79" s="79" t="str">
        <f t="shared" si="5"/>
        <v xml:space="preserve"> </v>
      </c>
      <c r="E79" s="79" t="str">
        <f t="shared" si="6"/>
        <v xml:space="preserve"> </v>
      </c>
    </row>
    <row r="80" spans="1:6" ht="12.5">
      <c r="A80" s="81" t="str">
        <f t="shared" si="0"/>
        <v xml:space="preserve"> </v>
      </c>
      <c r="B80" s="81" t="str">
        <f t="shared" si="1"/>
        <v xml:space="preserve"> </v>
      </c>
      <c r="C80" s="79" t="str">
        <f t="shared" si="7"/>
        <v xml:space="preserve"> </v>
      </c>
      <c r="D80" s="79" t="str">
        <f t="shared" si="5"/>
        <v xml:space="preserve"> </v>
      </c>
      <c r="E80" s="79" t="str">
        <f t="shared" si="6"/>
        <v xml:space="preserve"> </v>
      </c>
    </row>
    <row r="81" spans="1:5" ht="12.5">
      <c r="A81" s="81" t="str">
        <f t="shared" si="0"/>
        <v xml:space="preserve"> </v>
      </c>
      <c r="B81" s="81" t="str">
        <f t="shared" si="1"/>
        <v xml:space="preserve"> </v>
      </c>
      <c r="C81" s="79" t="str">
        <f t="shared" si="7"/>
        <v xml:space="preserve"> </v>
      </c>
      <c r="D81" s="79" t="str">
        <f t="shared" si="5"/>
        <v xml:space="preserve"> </v>
      </c>
      <c r="E81" s="79" t="str">
        <f t="shared" si="6"/>
        <v xml:space="preserve"> </v>
      </c>
    </row>
    <row r="82" spans="1:5" ht="12.5">
      <c r="A82" s="81" t="str">
        <f t="shared" si="0"/>
        <v xml:space="preserve"> </v>
      </c>
      <c r="B82" s="81" t="str">
        <f t="shared" si="1"/>
        <v xml:space="preserve"> </v>
      </c>
      <c r="C82" s="79" t="str">
        <f t="shared" si="7"/>
        <v xml:space="preserve"> </v>
      </c>
      <c r="D82" s="79" t="str">
        <f t="shared" si="5"/>
        <v xml:space="preserve"> </v>
      </c>
      <c r="E82" s="79" t="str">
        <f t="shared" si="6"/>
        <v xml:space="preserve"> </v>
      </c>
    </row>
    <row r="83" spans="1:5" ht="12.5">
      <c r="A83" s="81" t="str">
        <f t="shared" si="0"/>
        <v xml:space="preserve"> </v>
      </c>
      <c r="B83" s="81" t="str">
        <f t="shared" si="1"/>
        <v xml:space="preserve"> </v>
      </c>
      <c r="C83" s="79" t="str">
        <f t="shared" si="7"/>
        <v xml:space="preserve"> </v>
      </c>
      <c r="D83" s="79" t="str">
        <f t="shared" si="5"/>
        <v xml:space="preserve"> </v>
      </c>
      <c r="E83" s="79" t="str">
        <f t="shared" si="6"/>
        <v xml:space="preserve"> </v>
      </c>
    </row>
    <row r="84" spans="1:5" ht="12.5">
      <c r="A84" s="81" t="str">
        <f t="shared" si="0"/>
        <v xml:space="preserve"> </v>
      </c>
      <c r="B84" s="81" t="str">
        <f t="shared" si="1"/>
        <v xml:space="preserve"> </v>
      </c>
      <c r="C84" s="79" t="str">
        <f t="shared" si="7"/>
        <v xml:space="preserve"> </v>
      </c>
      <c r="D84" s="79" t="str">
        <f t="shared" si="5"/>
        <v xml:space="preserve"> </v>
      </c>
      <c r="E84" s="79" t="str">
        <f t="shared" si="6"/>
        <v xml:space="preserve"> </v>
      </c>
    </row>
    <row r="85" spans="1:5" ht="12.5">
      <c r="A85" s="81" t="str">
        <f t="shared" si="0"/>
        <v xml:space="preserve"> </v>
      </c>
      <c r="B85" s="81" t="str">
        <f t="shared" si="1"/>
        <v xml:space="preserve"> </v>
      </c>
      <c r="C85" s="79" t="str">
        <f t="shared" si="7"/>
        <v xml:space="preserve"> </v>
      </c>
      <c r="D85" s="79" t="str">
        <f t="shared" si="5"/>
        <v xml:space="preserve"> </v>
      </c>
      <c r="E85" s="79" t="str">
        <f t="shared" si="6"/>
        <v xml:space="preserve"> </v>
      </c>
    </row>
    <row r="86" spans="1:5" ht="12.5">
      <c r="A86" s="81" t="str">
        <f t="shared" si="0"/>
        <v xml:space="preserve"> </v>
      </c>
      <c r="B86" s="81" t="str">
        <f t="shared" si="1"/>
        <v xml:space="preserve"> </v>
      </c>
      <c r="C86" s="79" t="str">
        <f t="shared" si="7"/>
        <v xml:space="preserve"> </v>
      </c>
      <c r="D86" s="79" t="str">
        <f t="shared" si="5"/>
        <v xml:space="preserve"> </v>
      </c>
      <c r="E86" s="79" t="str">
        <f t="shared" si="6"/>
        <v xml:space="preserve"> </v>
      </c>
    </row>
    <row r="87" spans="1:5" ht="12.5">
      <c r="A87" s="81" t="str">
        <f t="shared" si="0"/>
        <v xml:space="preserve"> </v>
      </c>
      <c r="B87" s="81" t="str">
        <f t="shared" si="1"/>
        <v xml:space="preserve"> </v>
      </c>
      <c r="C87" s="79" t="str">
        <f t="shared" si="7"/>
        <v xml:space="preserve"> </v>
      </c>
      <c r="D87" s="79" t="str">
        <f t="shared" si="5"/>
        <v xml:space="preserve"> </v>
      </c>
      <c r="E87" s="79" t="str">
        <f t="shared" si="6"/>
        <v xml:space="preserve"> </v>
      </c>
    </row>
    <row r="88" spans="1:5" ht="12.5">
      <c r="A88" s="81" t="str">
        <f t="shared" si="0"/>
        <v xml:space="preserve"> </v>
      </c>
      <c r="B88" s="81" t="str">
        <f t="shared" si="1"/>
        <v xml:space="preserve"> </v>
      </c>
      <c r="C88" s="79" t="str">
        <f t="shared" si="7"/>
        <v xml:space="preserve"> </v>
      </c>
      <c r="D88" s="79" t="str">
        <f t="shared" si="5"/>
        <v xml:space="preserve"> </v>
      </c>
      <c r="E88" s="79" t="str">
        <f t="shared" si="6"/>
        <v xml:space="preserve"> </v>
      </c>
    </row>
    <row r="89" spans="1:5" ht="12.5">
      <c r="A89" s="81" t="str">
        <f t="shared" si="0"/>
        <v xml:space="preserve"> </v>
      </c>
      <c r="B89" s="81" t="str">
        <f t="shared" si="1"/>
        <v xml:space="preserve"> </v>
      </c>
      <c r="C89" s="79" t="str">
        <f t="shared" si="7"/>
        <v xml:space="preserve"> </v>
      </c>
      <c r="D89" s="79" t="str">
        <f t="shared" si="5"/>
        <v xml:space="preserve"> </v>
      </c>
      <c r="E89" s="79" t="str">
        <f t="shared" si="6"/>
        <v xml:space="preserve"> </v>
      </c>
    </row>
    <row r="90" spans="1:5" ht="12.5">
      <c r="A90" s="81" t="str">
        <f t="shared" si="0"/>
        <v xml:space="preserve"> </v>
      </c>
      <c r="B90" s="81" t="str">
        <f t="shared" si="1"/>
        <v xml:space="preserve"> </v>
      </c>
      <c r="C90" s="79" t="str">
        <f t="shared" si="7"/>
        <v xml:space="preserve"> </v>
      </c>
      <c r="D90" s="79" t="str">
        <f t="shared" si="5"/>
        <v xml:space="preserve"> </v>
      </c>
      <c r="E90" s="79" t="str">
        <f t="shared" si="6"/>
        <v xml:space="preserve"> </v>
      </c>
    </row>
    <row r="91" spans="1:5" ht="12.5">
      <c r="A91" s="81" t="str">
        <f t="shared" si="0"/>
        <v xml:space="preserve"> </v>
      </c>
      <c r="B91" s="81" t="str">
        <f t="shared" si="1"/>
        <v xml:space="preserve"> </v>
      </c>
      <c r="C91" s="79" t="str">
        <f t="shared" si="7"/>
        <v xml:space="preserve"> </v>
      </c>
      <c r="D91" s="79" t="str">
        <f t="shared" si="5"/>
        <v xml:space="preserve"> </v>
      </c>
      <c r="E91" s="79" t="str">
        <f t="shared" si="6"/>
        <v xml:space="preserve"> </v>
      </c>
    </row>
    <row r="92" spans="1:5" ht="12.5">
      <c r="A92" s="81" t="str">
        <f t="shared" si="0"/>
        <v xml:space="preserve"> </v>
      </c>
      <c r="B92" s="81" t="str">
        <f t="shared" si="1"/>
        <v xml:space="preserve"> </v>
      </c>
      <c r="C92" s="79" t="str">
        <f t="shared" si="7"/>
        <v xml:space="preserve"> </v>
      </c>
      <c r="D92" s="79" t="str">
        <f t="shared" si="5"/>
        <v xml:space="preserve"> </v>
      </c>
      <c r="E92" s="79" t="str">
        <f t="shared" si="6"/>
        <v xml:space="preserve"> </v>
      </c>
    </row>
    <row r="93" spans="1:5" ht="12.5">
      <c r="A93" s="81" t="str">
        <f t="shared" si="0"/>
        <v xml:space="preserve"> </v>
      </c>
      <c r="B93" s="81" t="str">
        <f t="shared" si="1"/>
        <v xml:space="preserve"> </v>
      </c>
      <c r="C93" s="79" t="str">
        <f t="shared" si="7"/>
        <v xml:space="preserve"> </v>
      </c>
      <c r="D93" s="79" t="str">
        <f t="shared" si="5"/>
        <v xml:space="preserve"> </v>
      </c>
      <c r="E93" s="79" t="str">
        <f t="shared" si="6"/>
        <v xml:space="preserve"> </v>
      </c>
    </row>
    <row r="94" spans="1:5" ht="12.5">
      <c r="A94" s="81" t="str">
        <f t="shared" si="0"/>
        <v xml:space="preserve"> </v>
      </c>
      <c r="B94" s="81" t="str">
        <f t="shared" si="1"/>
        <v xml:space="preserve"> </v>
      </c>
      <c r="C94" s="79" t="str">
        <f t="shared" si="7"/>
        <v xml:space="preserve"> </v>
      </c>
      <c r="D94" s="79" t="str">
        <f t="shared" si="5"/>
        <v xml:space="preserve"> </v>
      </c>
      <c r="E94" s="79" t="str">
        <f t="shared" si="6"/>
        <v xml:space="preserve"> </v>
      </c>
    </row>
    <row r="95" spans="1:5" ht="12.5">
      <c r="A95" s="81" t="str">
        <f t="shared" si="0"/>
        <v xml:space="preserve"> </v>
      </c>
      <c r="B95" s="81" t="str">
        <f t="shared" si="1"/>
        <v xml:space="preserve"> </v>
      </c>
      <c r="C95" s="79" t="str">
        <f t="shared" si="7"/>
        <v xml:space="preserve"> </v>
      </c>
      <c r="D95" s="79" t="str">
        <f t="shared" si="5"/>
        <v xml:space="preserve"> </v>
      </c>
      <c r="E95" s="79" t="str">
        <f t="shared" si="6"/>
        <v xml:space="preserve"> </v>
      </c>
    </row>
    <row r="96" spans="1:5" ht="12.5">
      <c r="A96" s="81" t="str">
        <f t="shared" si="0"/>
        <v xml:space="preserve"> </v>
      </c>
      <c r="B96" s="81" t="str">
        <f t="shared" si="1"/>
        <v xml:space="preserve"> </v>
      </c>
      <c r="C96" s="79" t="str">
        <f t="shared" si="7"/>
        <v xml:space="preserve"> </v>
      </c>
      <c r="D96" s="79" t="str">
        <f t="shared" si="5"/>
        <v xml:space="preserve"> </v>
      </c>
      <c r="E96" s="79" t="str">
        <f t="shared" si="6"/>
        <v xml:space="preserve"> </v>
      </c>
    </row>
    <row r="97" spans="1:5" ht="12.5">
      <c r="A97" s="81" t="str">
        <f t="shared" si="0"/>
        <v xml:space="preserve"> </v>
      </c>
      <c r="B97" s="81" t="str">
        <f t="shared" si="1"/>
        <v xml:space="preserve"> </v>
      </c>
      <c r="C97" s="79" t="str">
        <f t="shared" si="7"/>
        <v xml:space="preserve"> </v>
      </c>
      <c r="D97" s="79" t="str">
        <f t="shared" si="5"/>
        <v xml:space="preserve"> </v>
      </c>
      <c r="E97" s="79" t="str">
        <f t="shared" si="6"/>
        <v xml:space="preserve"> </v>
      </c>
    </row>
    <row r="98" spans="1:5" ht="12.5">
      <c r="A98" s="81" t="str">
        <f t="shared" si="0"/>
        <v xml:space="preserve"> </v>
      </c>
      <c r="B98" s="81" t="str">
        <f t="shared" si="1"/>
        <v xml:space="preserve"> </v>
      </c>
      <c r="C98" s="79" t="str">
        <f t="shared" si="7"/>
        <v xml:space="preserve"> </v>
      </c>
      <c r="D98" s="79" t="str">
        <f t="shared" si="5"/>
        <v xml:space="preserve"> </v>
      </c>
      <c r="E98" s="79" t="str">
        <f t="shared" si="6"/>
        <v xml:space="preserve"> </v>
      </c>
    </row>
    <row r="99" spans="1:5" ht="12.5">
      <c r="A99" s="81" t="str">
        <f t="shared" si="0"/>
        <v xml:space="preserve"> </v>
      </c>
      <c r="B99" s="81" t="str">
        <f t="shared" si="1"/>
        <v xml:space="preserve"> </v>
      </c>
      <c r="C99" s="79" t="str">
        <f t="shared" si="7"/>
        <v xml:space="preserve"> </v>
      </c>
      <c r="D99" s="79" t="str">
        <f t="shared" si="5"/>
        <v xml:space="preserve"> </v>
      </c>
      <c r="E99" s="79" t="str">
        <f t="shared" si="6"/>
        <v xml:space="preserve"> </v>
      </c>
    </row>
    <row r="100" spans="1:5" ht="12.5">
      <c r="A100" s="81" t="str">
        <f t="shared" si="0"/>
        <v xml:space="preserve"> </v>
      </c>
      <c r="B100" s="81" t="str">
        <f t="shared" si="1"/>
        <v xml:space="preserve"> </v>
      </c>
      <c r="C100" s="79" t="str">
        <f t="shared" si="7"/>
        <v xml:space="preserve"> </v>
      </c>
      <c r="D100" s="79" t="str">
        <f t="shared" si="5"/>
        <v xml:space="preserve"> </v>
      </c>
      <c r="E100" s="79" t="str">
        <f t="shared" si="6"/>
        <v xml:space="preserve"> </v>
      </c>
    </row>
    <row r="101" spans="1:5" ht="12.5">
      <c r="A101" s="81" t="str">
        <f t="shared" si="0"/>
        <v xml:space="preserve"> </v>
      </c>
      <c r="B101" s="81" t="str">
        <f t="shared" si="1"/>
        <v xml:space="preserve"> </v>
      </c>
      <c r="C101" s="79" t="str">
        <f t="shared" si="7"/>
        <v xml:space="preserve"> </v>
      </c>
      <c r="D101" s="79" t="str">
        <f t="shared" si="5"/>
        <v xml:space="preserve"> </v>
      </c>
      <c r="E101" s="79" t="str">
        <f t="shared" si="6"/>
        <v xml:space="preserve"> </v>
      </c>
    </row>
    <row r="102" spans="1:5" ht="12.5">
      <c r="A102" s="81" t="str">
        <f t="shared" si="0"/>
        <v xml:space="preserve"> </v>
      </c>
      <c r="B102" s="81" t="str">
        <f t="shared" si="1"/>
        <v xml:space="preserve"> </v>
      </c>
      <c r="C102" s="79" t="str">
        <f t="shared" si="7"/>
        <v xml:space="preserve"> </v>
      </c>
      <c r="D102" s="79" t="str">
        <f t="shared" si="5"/>
        <v xml:space="preserve"> </v>
      </c>
      <c r="E102" s="79" t="str">
        <f t="shared" si="6"/>
        <v xml:space="preserve"> </v>
      </c>
    </row>
    <row r="103" spans="1:5" ht="12.5">
      <c r="A103" s="81" t="str">
        <f t="shared" si="0"/>
        <v xml:space="preserve"> </v>
      </c>
      <c r="B103" s="81" t="str">
        <f t="shared" si="1"/>
        <v xml:space="preserve"> </v>
      </c>
      <c r="C103" s="79" t="str">
        <f t="shared" si="7"/>
        <v xml:space="preserve"> </v>
      </c>
      <c r="D103" s="79" t="str">
        <f t="shared" si="5"/>
        <v xml:space="preserve"> </v>
      </c>
      <c r="E103" s="79" t="str">
        <f t="shared" si="6"/>
        <v xml:space="preserve"> </v>
      </c>
    </row>
    <row r="104" spans="1:5" ht="12.5">
      <c r="A104" s="81" t="str">
        <f t="shared" si="0"/>
        <v xml:space="preserve"> </v>
      </c>
      <c r="B104" s="81" t="str">
        <f t="shared" si="1"/>
        <v xml:space="preserve"> </v>
      </c>
      <c r="C104" s="79" t="str">
        <f t="shared" si="7"/>
        <v xml:space="preserve"> </v>
      </c>
      <c r="D104" s="79" t="str">
        <f t="shared" si="5"/>
        <v xml:space="preserve"> </v>
      </c>
      <c r="E104" s="79" t="str">
        <f t="shared" si="6"/>
        <v xml:space="preserve"> </v>
      </c>
    </row>
    <row r="105" spans="1:5" ht="12.5">
      <c r="A105" s="81" t="str">
        <f t="shared" si="0"/>
        <v xml:space="preserve"> </v>
      </c>
      <c r="B105" s="81" t="str">
        <f t="shared" si="1"/>
        <v xml:space="preserve"> </v>
      </c>
      <c r="C105" s="79" t="str">
        <f t="shared" si="7"/>
        <v xml:space="preserve"> </v>
      </c>
      <c r="D105" s="79" t="str">
        <f t="shared" si="5"/>
        <v xml:space="preserve"> </v>
      </c>
      <c r="E105" s="79" t="str">
        <f t="shared" si="6"/>
        <v xml:space="preserve"> </v>
      </c>
    </row>
    <row r="106" spans="1:5" ht="12.5">
      <c r="A106" s="81" t="str">
        <f t="shared" si="0"/>
        <v xml:space="preserve"> </v>
      </c>
      <c r="B106" s="81" t="str">
        <f t="shared" si="1"/>
        <v xml:space="preserve"> </v>
      </c>
      <c r="C106" s="79" t="str">
        <f t="shared" si="7"/>
        <v xml:space="preserve"> </v>
      </c>
      <c r="D106" s="79" t="str">
        <f t="shared" si="5"/>
        <v xml:space="preserve"> </v>
      </c>
      <c r="E106" s="79" t="str">
        <f t="shared" si="6"/>
        <v xml:space="preserve"> </v>
      </c>
    </row>
    <row r="107" spans="1:5" ht="12.5">
      <c r="A107" s="81" t="str">
        <f t="shared" si="0"/>
        <v xml:space="preserve"> </v>
      </c>
      <c r="B107" s="81" t="str">
        <f t="shared" si="1"/>
        <v xml:space="preserve"> </v>
      </c>
      <c r="C107" s="79" t="str">
        <f t="shared" si="7"/>
        <v xml:space="preserve"> </v>
      </c>
      <c r="D107" s="79" t="str">
        <f t="shared" si="5"/>
        <v xml:space="preserve"> </v>
      </c>
      <c r="E107" s="79" t="str">
        <f t="shared" si="6"/>
        <v xml:space="preserve"> </v>
      </c>
    </row>
    <row r="108" spans="1:5" ht="12.5">
      <c r="A108" s="81" t="str">
        <f t="shared" si="0"/>
        <v xml:space="preserve"> </v>
      </c>
      <c r="B108" s="81" t="str">
        <f t="shared" si="1"/>
        <v xml:space="preserve"> </v>
      </c>
      <c r="C108" s="79" t="str">
        <f t="shared" si="7"/>
        <v xml:space="preserve"> </v>
      </c>
      <c r="D108" s="79" t="str">
        <f t="shared" si="5"/>
        <v xml:space="preserve"> </v>
      </c>
      <c r="E108" s="79" t="str">
        <f t="shared" si="6"/>
        <v xml:space="preserve"> </v>
      </c>
    </row>
    <row r="109" spans="1:5" ht="12.5">
      <c r="A109" s="81" t="str">
        <f t="shared" si="0"/>
        <v xml:space="preserve"> </v>
      </c>
      <c r="B109" s="81" t="str">
        <f t="shared" si="1"/>
        <v xml:space="preserve"> </v>
      </c>
      <c r="C109" s="79" t="str">
        <f t="shared" si="7"/>
        <v xml:space="preserve"> </v>
      </c>
      <c r="D109" s="79" t="str">
        <f t="shared" si="5"/>
        <v xml:space="preserve"> </v>
      </c>
      <c r="E109" s="79" t="str">
        <f t="shared" si="6"/>
        <v xml:space="preserve"> </v>
      </c>
    </row>
    <row r="110" spans="1:5" ht="12.5">
      <c r="A110" s="81" t="str">
        <f t="shared" si="0"/>
        <v xml:space="preserve"> </v>
      </c>
      <c r="B110" s="81" t="str">
        <f t="shared" si="1"/>
        <v xml:space="preserve"> </v>
      </c>
      <c r="C110" s="79" t="str">
        <f t="shared" si="7"/>
        <v xml:space="preserve"> </v>
      </c>
      <c r="D110" s="79" t="str">
        <f t="shared" si="5"/>
        <v xml:space="preserve"> </v>
      </c>
      <c r="E110" s="79" t="str">
        <f t="shared" si="6"/>
        <v xml:space="preserve"> </v>
      </c>
    </row>
    <row r="111" spans="1:5" ht="12.5">
      <c r="A111" s="81" t="str">
        <f t="shared" si="0"/>
        <v xml:space="preserve"> </v>
      </c>
      <c r="B111" s="81" t="str">
        <f t="shared" si="1"/>
        <v xml:space="preserve"> </v>
      </c>
      <c r="C111" s="79" t="str">
        <f t="shared" si="7"/>
        <v xml:space="preserve"> </v>
      </c>
      <c r="D111" s="79" t="str">
        <f t="shared" si="5"/>
        <v xml:space="preserve"> </v>
      </c>
      <c r="E111" s="79" t="str">
        <f t="shared" si="6"/>
        <v xml:space="preserve"> </v>
      </c>
    </row>
    <row r="112" spans="1:5" ht="12.5">
      <c r="A112" s="81" t="str">
        <f t="shared" si="0"/>
        <v xml:space="preserve"> </v>
      </c>
      <c r="B112" s="81" t="str">
        <f t="shared" si="1"/>
        <v xml:space="preserve"> </v>
      </c>
      <c r="C112" s="79" t="str">
        <f t="shared" si="7"/>
        <v xml:space="preserve"> </v>
      </c>
      <c r="D112" s="79" t="str">
        <f t="shared" si="5"/>
        <v xml:space="preserve"> </v>
      </c>
      <c r="E112" s="79" t="str">
        <f t="shared" si="6"/>
        <v xml:space="preserve"> </v>
      </c>
    </row>
    <row r="113" spans="1:5" ht="12.5">
      <c r="A113" s="81" t="str">
        <f t="shared" si="0"/>
        <v xml:space="preserve"> </v>
      </c>
      <c r="B113" s="81" t="str">
        <f t="shared" si="1"/>
        <v xml:space="preserve"> </v>
      </c>
      <c r="C113" s="79" t="str">
        <f t="shared" si="7"/>
        <v xml:space="preserve"> </v>
      </c>
      <c r="D113" s="79" t="str">
        <f t="shared" si="5"/>
        <v xml:space="preserve"> </v>
      </c>
      <c r="E113" s="79" t="str">
        <f t="shared" si="6"/>
        <v xml:space="preserve"> </v>
      </c>
    </row>
    <row r="114" spans="1:5" ht="12.5">
      <c r="A114" s="81" t="str">
        <f t="shared" si="0"/>
        <v xml:space="preserve"> </v>
      </c>
      <c r="B114" s="81" t="str">
        <f t="shared" si="1"/>
        <v xml:space="preserve"> </v>
      </c>
      <c r="C114" s="79" t="str">
        <f t="shared" si="7"/>
        <v xml:space="preserve"> </v>
      </c>
      <c r="D114" s="79" t="str">
        <f t="shared" si="5"/>
        <v xml:space="preserve"> </v>
      </c>
      <c r="E114" s="79" t="str">
        <f t="shared" si="6"/>
        <v xml:space="preserve"> </v>
      </c>
    </row>
    <row r="115" spans="1:5" ht="12.5">
      <c r="A115" s="81" t="str">
        <f t="shared" si="0"/>
        <v xml:space="preserve"> </v>
      </c>
      <c r="B115" s="81" t="str">
        <f t="shared" si="1"/>
        <v xml:space="preserve"> </v>
      </c>
      <c r="C115" s="79" t="str">
        <f t="shared" si="7"/>
        <v xml:space="preserve"> </v>
      </c>
      <c r="D115" s="79" t="str">
        <f t="shared" si="5"/>
        <v xml:space="preserve"> </v>
      </c>
      <c r="E115" s="79" t="str">
        <f t="shared" si="6"/>
        <v xml:space="preserve"> </v>
      </c>
    </row>
    <row r="116" spans="1:5" ht="12.5">
      <c r="A116" s="81" t="str">
        <f t="shared" si="0"/>
        <v xml:space="preserve"> </v>
      </c>
      <c r="B116" s="81" t="str">
        <f t="shared" si="1"/>
        <v xml:space="preserve"> </v>
      </c>
      <c r="C116" s="79" t="str">
        <f t="shared" si="7"/>
        <v xml:space="preserve"> </v>
      </c>
      <c r="D116" s="79" t="str">
        <f t="shared" si="5"/>
        <v xml:space="preserve"> </v>
      </c>
      <c r="E116" s="79" t="str">
        <f t="shared" si="6"/>
        <v xml:space="preserve"> </v>
      </c>
    </row>
    <row r="117" spans="1:5" ht="12.5">
      <c r="A117" s="81" t="str">
        <f t="shared" si="0"/>
        <v xml:space="preserve"> </v>
      </c>
      <c r="B117" s="81" t="str">
        <f t="shared" si="1"/>
        <v xml:space="preserve"> </v>
      </c>
      <c r="C117" s="79" t="str">
        <f t="shared" si="7"/>
        <v xml:space="preserve"> </v>
      </c>
      <c r="D117" s="79" t="str">
        <f t="shared" si="5"/>
        <v xml:space="preserve"> </v>
      </c>
      <c r="E117" s="79" t="str">
        <f t="shared" si="6"/>
        <v xml:space="preserve"> </v>
      </c>
    </row>
    <row r="118" spans="1:5" ht="12.5">
      <c r="A118" s="81" t="str">
        <f t="shared" si="0"/>
        <v xml:space="preserve"> </v>
      </c>
      <c r="B118" s="81" t="str">
        <f t="shared" si="1"/>
        <v xml:space="preserve"> </v>
      </c>
      <c r="C118" s="79" t="str">
        <f t="shared" si="7"/>
        <v xml:space="preserve"> </v>
      </c>
      <c r="D118" s="79" t="str">
        <f t="shared" si="5"/>
        <v xml:space="preserve"> </v>
      </c>
      <c r="E118" s="79" t="str">
        <f t="shared" si="6"/>
        <v xml:space="preserve"> </v>
      </c>
    </row>
    <row r="119" spans="1:5" ht="12.5">
      <c r="A119" s="81" t="str">
        <f t="shared" si="0"/>
        <v xml:space="preserve"> </v>
      </c>
      <c r="B119" s="81" t="str">
        <f t="shared" si="1"/>
        <v xml:space="preserve"> </v>
      </c>
      <c r="C119" s="79" t="str">
        <f t="shared" si="7"/>
        <v xml:space="preserve"> </v>
      </c>
      <c r="D119" s="79" t="str">
        <f t="shared" si="5"/>
        <v xml:space="preserve"> </v>
      </c>
      <c r="E119" s="79" t="str">
        <f t="shared" si="6"/>
        <v xml:space="preserve"> </v>
      </c>
    </row>
    <row r="120" spans="1:5" ht="12.5">
      <c r="A120" s="81" t="str">
        <f t="shared" si="0"/>
        <v xml:space="preserve"> </v>
      </c>
      <c r="B120" s="81" t="str">
        <f t="shared" si="1"/>
        <v xml:space="preserve"> </v>
      </c>
      <c r="C120" s="79" t="str">
        <f t="shared" si="7"/>
        <v xml:space="preserve"> </v>
      </c>
      <c r="D120" s="79" t="str">
        <f t="shared" si="5"/>
        <v xml:space="preserve"> </v>
      </c>
      <c r="E120" s="79" t="str">
        <f t="shared" si="6"/>
        <v xml:space="preserve"> </v>
      </c>
    </row>
    <row r="121" spans="1:5" ht="12.5">
      <c r="A121" s="81" t="str">
        <f t="shared" si="0"/>
        <v xml:space="preserve"> </v>
      </c>
      <c r="B121" s="81" t="str">
        <f t="shared" si="1"/>
        <v xml:space="preserve"> </v>
      </c>
      <c r="C121" s="79" t="str">
        <f t="shared" si="7"/>
        <v xml:space="preserve"> </v>
      </c>
      <c r="D121" s="79" t="str">
        <f t="shared" si="5"/>
        <v xml:space="preserve"> </v>
      </c>
      <c r="E121" s="79" t="str">
        <f t="shared" si="6"/>
        <v xml:space="preserve"> </v>
      </c>
    </row>
    <row r="122" spans="1:5" ht="12.5">
      <c r="A122" s="81" t="str">
        <f t="shared" si="0"/>
        <v xml:space="preserve"> </v>
      </c>
      <c r="B122" s="81" t="str">
        <f t="shared" si="1"/>
        <v xml:space="preserve"> </v>
      </c>
      <c r="C122" s="79" t="str">
        <f t="shared" si="7"/>
        <v xml:space="preserve"> </v>
      </c>
      <c r="D122" s="79" t="str">
        <f t="shared" si="5"/>
        <v xml:space="preserve"> </v>
      </c>
      <c r="E122" s="79" t="str">
        <f t="shared" si="6"/>
        <v xml:space="preserve"> </v>
      </c>
    </row>
    <row r="123" spans="1:5" ht="12.5">
      <c r="A123" s="81" t="str">
        <f t="shared" si="0"/>
        <v xml:space="preserve"> </v>
      </c>
      <c r="B123" s="81" t="str">
        <f t="shared" si="1"/>
        <v xml:space="preserve"> </v>
      </c>
      <c r="C123" s="79" t="str">
        <f t="shared" si="7"/>
        <v xml:space="preserve"> </v>
      </c>
      <c r="D123" s="79" t="str">
        <f t="shared" si="5"/>
        <v xml:space="preserve"> </v>
      </c>
      <c r="E123" s="79" t="str">
        <f t="shared" si="6"/>
        <v xml:space="preserve"> </v>
      </c>
    </row>
    <row r="124" spans="1:5" ht="12.5">
      <c r="A124" s="81" t="str">
        <f t="shared" si="0"/>
        <v xml:space="preserve"> </v>
      </c>
      <c r="B124" s="81" t="str">
        <f t="shared" si="1"/>
        <v xml:space="preserve"> </v>
      </c>
      <c r="C124" s="79" t="str">
        <f t="shared" si="7"/>
        <v xml:space="preserve"> </v>
      </c>
      <c r="D124" s="79" t="str">
        <f t="shared" si="5"/>
        <v xml:space="preserve"> </v>
      </c>
      <c r="E124" s="79" t="str">
        <f t="shared" si="6"/>
        <v xml:space="preserve"> </v>
      </c>
    </row>
    <row r="125" spans="1:5" ht="12.5">
      <c r="A125" s="81" t="str">
        <f t="shared" si="0"/>
        <v xml:space="preserve"> </v>
      </c>
      <c r="B125" s="81" t="str">
        <f t="shared" si="1"/>
        <v xml:space="preserve"> </v>
      </c>
      <c r="C125" s="79" t="str">
        <f t="shared" si="7"/>
        <v xml:space="preserve"> </v>
      </c>
      <c r="D125" s="79" t="str">
        <f t="shared" si="5"/>
        <v xml:space="preserve"> </v>
      </c>
      <c r="E125" s="79" t="str">
        <f t="shared" si="6"/>
        <v xml:space="preserve"> </v>
      </c>
    </row>
    <row r="126" spans="1:5" ht="12.5">
      <c r="A126" s="81" t="str">
        <f t="shared" si="0"/>
        <v xml:space="preserve"> </v>
      </c>
      <c r="B126" s="81" t="str">
        <f t="shared" si="1"/>
        <v xml:space="preserve"> </v>
      </c>
      <c r="C126" s="79" t="str">
        <f t="shared" si="7"/>
        <v xml:space="preserve"> </v>
      </c>
      <c r="D126" s="79" t="str">
        <f t="shared" si="5"/>
        <v xml:space="preserve"> </v>
      </c>
      <c r="E126" s="79" t="str">
        <f t="shared" si="6"/>
        <v xml:space="preserve"> </v>
      </c>
    </row>
    <row r="127" spans="1:5" ht="12.5">
      <c r="A127" s="81" t="str">
        <f t="shared" si="0"/>
        <v xml:space="preserve"> </v>
      </c>
      <c r="B127" s="81" t="str">
        <f t="shared" si="1"/>
        <v xml:space="preserve"> </v>
      </c>
      <c r="C127" s="79" t="str">
        <f t="shared" si="7"/>
        <v xml:space="preserve"> </v>
      </c>
      <c r="D127" s="79" t="str">
        <f t="shared" si="5"/>
        <v xml:space="preserve"> </v>
      </c>
      <c r="E127" s="79" t="str">
        <f t="shared" si="6"/>
        <v xml:space="preserve"> </v>
      </c>
    </row>
    <row r="128" spans="1:5" ht="12.5">
      <c r="A128" s="81" t="str">
        <f t="shared" si="0"/>
        <v xml:space="preserve"> </v>
      </c>
      <c r="B128" s="81" t="str">
        <f t="shared" si="1"/>
        <v xml:space="preserve"> </v>
      </c>
      <c r="C128" s="79" t="str">
        <f t="shared" si="7"/>
        <v xml:space="preserve"> </v>
      </c>
      <c r="D128" s="79" t="str">
        <f t="shared" si="5"/>
        <v xml:space="preserve"> </v>
      </c>
      <c r="E128" s="79" t="str">
        <f t="shared" si="6"/>
        <v xml:space="preserve"> </v>
      </c>
    </row>
    <row r="129" spans="1:5" ht="12.5">
      <c r="A129" s="81" t="str">
        <f t="shared" si="0"/>
        <v xml:space="preserve"> </v>
      </c>
      <c r="B129" s="81" t="str">
        <f t="shared" si="1"/>
        <v xml:space="preserve"> </v>
      </c>
      <c r="C129" s="79" t="str">
        <f t="shared" si="7"/>
        <v xml:space="preserve"> </v>
      </c>
      <c r="D129" s="79" t="str">
        <f t="shared" si="5"/>
        <v xml:space="preserve"> </v>
      </c>
      <c r="E129" s="79" t="str">
        <f t="shared" si="6"/>
        <v xml:space="preserve"> </v>
      </c>
    </row>
    <row r="130" spans="1:5" ht="12.5">
      <c r="A130" s="81" t="str">
        <f t="shared" si="0"/>
        <v xml:space="preserve"> </v>
      </c>
      <c r="B130" s="81" t="str">
        <f t="shared" si="1"/>
        <v xml:space="preserve"> </v>
      </c>
      <c r="C130" s="79" t="str">
        <f t="shared" si="7"/>
        <v xml:space="preserve"> </v>
      </c>
      <c r="D130" s="79" t="str">
        <f t="shared" si="5"/>
        <v xml:space="preserve"> </v>
      </c>
      <c r="E130" s="79" t="str">
        <f t="shared" si="6"/>
        <v xml:space="preserve"> </v>
      </c>
    </row>
    <row r="131" spans="1:5" ht="12.5">
      <c r="A131" s="81" t="str">
        <f t="shared" si="0"/>
        <v xml:space="preserve"> </v>
      </c>
      <c r="B131" s="81" t="str">
        <f t="shared" si="1"/>
        <v xml:space="preserve"> </v>
      </c>
      <c r="C131" s="79" t="str">
        <f t="shared" si="7"/>
        <v xml:space="preserve"> </v>
      </c>
      <c r="D131" s="79" t="str">
        <f t="shared" si="5"/>
        <v xml:space="preserve"> </v>
      </c>
      <c r="E131" s="79" t="str">
        <f t="shared" si="6"/>
        <v xml:space="preserve"> </v>
      </c>
    </row>
    <row r="132" spans="1:5" ht="12.5">
      <c r="A132" s="81" t="str">
        <f t="shared" si="0"/>
        <v xml:space="preserve"> </v>
      </c>
      <c r="B132" s="81" t="str">
        <f t="shared" si="1"/>
        <v xml:space="preserve"> </v>
      </c>
      <c r="C132" s="79" t="str">
        <f t="shared" si="7"/>
        <v xml:space="preserve"> </v>
      </c>
      <c r="D132" s="79" t="str">
        <f t="shared" si="5"/>
        <v xml:space="preserve"> </v>
      </c>
      <c r="E132" s="79" t="str">
        <f t="shared" si="6"/>
        <v xml:space="preserve"> </v>
      </c>
    </row>
    <row r="133" spans="1:5" ht="12.5">
      <c r="A133" s="81" t="str">
        <f t="shared" si="0"/>
        <v xml:space="preserve"> </v>
      </c>
      <c r="B133" s="81" t="str">
        <f t="shared" si="1"/>
        <v xml:space="preserve"> </v>
      </c>
      <c r="C133" s="79" t="str">
        <f t="shared" si="7"/>
        <v xml:space="preserve"> </v>
      </c>
      <c r="D133" s="79" t="str">
        <f t="shared" si="5"/>
        <v xml:space="preserve"> </v>
      </c>
      <c r="E133" s="79" t="str">
        <f t="shared" si="6"/>
        <v xml:space="preserve"> </v>
      </c>
    </row>
    <row r="134" spans="1:5" ht="12.5">
      <c r="A134" s="81" t="str">
        <f t="shared" si="0"/>
        <v xml:space="preserve"> </v>
      </c>
      <c r="B134" s="81" t="str">
        <f t="shared" si="1"/>
        <v xml:space="preserve"> </v>
      </c>
      <c r="C134" s="79" t="str">
        <f t="shared" si="7"/>
        <v xml:space="preserve"> </v>
      </c>
      <c r="D134" s="79" t="str">
        <f t="shared" si="5"/>
        <v xml:space="preserve"> </v>
      </c>
      <c r="E134" s="79" t="str">
        <f t="shared" si="6"/>
        <v xml:space="preserve"> </v>
      </c>
    </row>
    <row r="135" spans="1:5" ht="12.5">
      <c r="A135" s="81" t="str">
        <f t="shared" si="0"/>
        <v xml:space="preserve"> </v>
      </c>
      <c r="B135" s="81" t="str">
        <f t="shared" si="1"/>
        <v xml:space="preserve"> </v>
      </c>
      <c r="C135" s="79" t="str">
        <f t="shared" si="7"/>
        <v xml:space="preserve"> </v>
      </c>
      <c r="D135" s="79" t="str">
        <f t="shared" si="5"/>
        <v xml:space="preserve"> </v>
      </c>
      <c r="E135" s="79" t="str">
        <f t="shared" si="6"/>
        <v xml:space="preserve"> </v>
      </c>
    </row>
    <row r="136" spans="1:5" ht="12.5">
      <c r="A136" s="81" t="str">
        <f t="shared" si="0"/>
        <v xml:space="preserve"> </v>
      </c>
      <c r="B136" s="81" t="str">
        <f t="shared" si="1"/>
        <v xml:space="preserve"> </v>
      </c>
      <c r="C136" s="79" t="str">
        <f t="shared" si="7"/>
        <v xml:space="preserve"> </v>
      </c>
      <c r="D136" s="79" t="str">
        <f t="shared" si="5"/>
        <v xml:space="preserve"> </v>
      </c>
      <c r="E136" s="79" t="str">
        <f t="shared" si="6"/>
        <v xml:space="preserve"> </v>
      </c>
    </row>
    <row r="137" spans="1:5" ht="12.5">
      <c r="A137" s="81" t="str">
        <f t="shared" si="0"/>
        <v xml:space="preserve"> </v>
      </c>
      <c r="B137" s="81" t="str">
        <f t="shared" si="1"/>
        <v xml:space="preserve"> </v>
      </c>
      <c r="C137" s="79" t="str">
        <f t="shared" si="7"/>
        <v xml:space="preserve"> </v>
      </c>
      <c r="D137" s="79" t="str">
        <f t="shared" si="5"/>
        <v xml:space="preserve"> </v>
      </c>
      <c r="E137" s="79" t="str">
        <f t="shared" si="6"/>
        <v xml:space="preserve"> </v>
      </c>
    </row>
    <row r="138" spans="1:5" ht="12.5">
      <c r="A138" s="81" t="str">
        <f t="shared" si="0"/>
        <v xml:space="preserve"> </v>
      </c>
      <c r="B138" s="81" t="str">
        <f t="shared" si="1"/>
        <v xml:space="preserve"> </v>
      </c>
      <c r="C138" s="79" t="str">
        <f t="shared" si="7"/>
        <v xml:space="preserve"> </v>
      </c>
      <c r="D138" s="79" t="str">
        <f t="shared" si="5"/>
        <v xml:space="preserve"> </v>
      </c>
      <c r="E138" s="79" t="str">
        <f t="shared" si="6"/>
        <v xml:space="preserve"> </v>
      </c>
    </row>
    <row r="139" spans="1:5" ht="12.5">
      <c r="A139" s="81" t="str">
        <f t="shared" si="0"/>
        <v xml:space="preserve"> </v>
      </c>
      <c r="B139" s="81" t="str">
        <f t="shared" si="1"/>
        <v xml:space="preserve"> </v>
      </c>
      <c r="C139" s="79" t="str">
        <f t="shared" si="7"/>
        <v xml:space="preserve"> </v>
      </c>
      <c r="D139" s="79" t="str">
        <f t="shared" si="5"/>
        <v xml:space="preserve"> </v>
      </c>
      <c r="E139" s="79" t="str">
        <f t="shared" si="6"/>
        <v xml:space="preserve"> </v>
      </c>
    </row>
    <row r="140" spans="1:5" ht="12.5">
      <c r="A140" s="81" t="str">
        <f t="shared" si="0"/>
        <v xml:space="preserve"> </v>
      </c>
      <c r="B140" s="81" t="str">
        <f t="shared" si="1"/>
        <v xml:space="preserve"> </v>
      </c>
      <c r="C140" s="79" t="str">
        <f t="shared" si="7"/>
        <v xml:space="preserve"> </v>
      </c>
      <c r="D140" s="79" t="str">
        <f t="shared" si="5"/>
        <v xml:space="preserve"> </v>
      </c>
      <c r="E140" s="79" t="str">
        <f t="shared" si="6"/>
        <v xml:space="preserve"> </v>
      </c>
    </row>
    <row r="141" spans="1:5" ht="12.5">
      <c r="A141" s="81" t="str">
        <f t="shared" si="0"/>
        <v xml:space="preserve"> </v>
      </c>
      <c r="B141" s="81" t="str">
        <f t="shared" si="1"/>
        <v xml:space="preserve"> </v>
      </c>
      <c r="C141" s="79" t="str">
        <f t="shared" si="7"/>
        <v xml:space="preserve"> </v>
      </c>
      <c r="D141" s="79" t="str">
        <f t="shared" si="5"/>
        <v xml:space="preserve"> </v>
      </c>
      <c r="E141" s="79" t="str">
        <f t="shared" si="6"/>
        <v xml:space="preserve"> </v>
      </c>
    </row>
    <row r="142" spans="1:5" ht="12.5">
      <c r="A142" s="81" t="str">
        <f t="shared" si="0"/>
        <v xml:space="preserve"> </v>
      </c>
      <c r="B142" s="81" t="str">
        <f t="shared" si="1"/>
        <v xml:space="preserve"> </v>
      </c>
      <c r="C142" s="79" t="str">
        <f t="shared" si="7"/>
        <v xml:space="preserve"> </v>
      </c>
      <c r="D142" s="79" t="str">
        <f t="shared" si="5"/>
        <v xml:space="preserve"> </v>
      </c>
      <c r="E142" s="79" t="str">
        <f t="shared" si="6"/>
        <v xml:space="preserve"> </v>
      </c>
    </row>
    <row r="143" spans="1:5" ht="12.5">
      <c r="A143" s="81" t="str">
        <f t="shared" si="0"/>
        <v xml:space="preserve"> </v>
      </c>
      <c r="B143" s="81" t="str">
        <f t="shared" si="1"/>
        <v xml:space="preserve"> </v>
      </c>
      <c r="C143" s="79" t="str">
        <f t="shared" si="7"/>
        <v xml:space="preserve"> </v>
      </c>
      <c r="D143" s="79" t="str">
        <f t="shared" si="5"/>
        <v xml:space="preserve"> </v>
      </c>
      <c r="E143" s="79" t="str">
        <f t="shared" si="6"/>
        <v xml:space="preserve"> </v>
      </c>
    </row>
    <row r="144" spans="1:5" ht="12.5">
      <c r="A144" s="81" t="str">
        <f t="shared" si="0"/>
        <v xml:space="preserve"> </v>
      </c>
      <c r="B144" s="81" t="str">
        <f t="shared" si="1"/>
        <v xml:space="preserve"> </v>
      </c>
      <c r="C144" s="79" t="str">
        <f t="shared" si="7"/>
        <v xml:space="preserve"> </v>
      </c>
      <c r="D144" s="79" t="str">
        <f t="shared" si="5"/>
        <v xml:space="preserve"> </v>
      </c>
      <c r="E144" s="79" t="str">
        <f t="shared" si="6"/>
        <v xml:space="preserve"> </v>
      </c>
    </row>
    <row r="145" spans="1:5" ht="12.5">
      <c r="A145" s="81" t="str">
        <f t="shared" si="0"/>
        <v xml:space="preserve"> </v>
      </c>
      <c r="B145" s="81" t="str">
        <f t="shared" si="1"/>
        <v xml:space="preserve"> </v>
      </c>
      <c r="C145" s="79" t="str">
        <f t="shared" si="7"/>
        <v xml:space="preserve"> </v>
      </c>
      <c r="D145" s="79" t="str">
        <f t="shared" si="5"/>
        <v xml:space="preserve"> </v>
      </c>
      <c r="E145" s="79" t="str">
        <f t="shared" si="6"/>
        <v xml:space="preserve"> </v>
      </c>
    </row>
    <row r="146" spans="1:5" ht="12.5">
      <c r="A146" s="81" t="str">
        <f t="shared" si="0"/>
        <v xml:space="preserve"> </v>
      </c>
      <c r="B146" s="81" t="str">
        <f t="shared" si="1"/>
        <v xml:space="preserve"> </v>
      </c>
      <c r="C146" s="79" t="str">
        <f t="shared" si="7"/>
        <v xml:space="preserve"> </v>
      </c>
      <c r="D146" s="79" t="str">
        <f t="shared" si="5"/>
        <v xml:space="preserve"> </v>
      </c>
      <c r="E146" s="79" t="str">
        <f t="shared" si="6"/>
        <v xml:space="preserve"> </v>
      </c>
    </row>
    <row r="147" spans="1:5" ht="12.5">
      <c r="A147" s="81" t="str">
        <f t="shared" si="0"/>
        <v xml:space="preserve"> </v>
      </c>
      <c r="B147" s="81" t="str">
        <f t="shared" si="1"/>
        <v xml:space="preserve"> </v>
      </c>
      <c r="C147" s="79" t="str">
        <f t="shared" si="7"/>
        <v xml:space="preserve"> </v>
      </c>
      <c r="D147" s="79" t="str">
        <f t="shared" si="5"/>
        <v xml:space="preserve"> </v>
      </c>
      <c r="E147" s="79" t="str">
        <f t="shared" si="6"/>
        <v xml:space="preserve"> </v>
      </c>
    </row>
    <row r="148" spans="1:5" ht="12.5">
      <c r="A148" s="81" t="str">
        <f t="shared" si="0"/>
        <v xml:space="preserve"> </v>
      </c>
      <c r="B148" s="81" t="str">
        <f t="shared" si="1"/>
        <v xml:space="preserve"> </v>
      </c>
      <c r="C148" s="79" t="str">
        <f t="shared" si="7"/>
        <v xml:space="preserve"> </v>
      </c>
      <c r="D148" s="79" t="str">
        <f t="shared" si="5"/>
        <v xml:space="preserve"> </v>
      </c>
      <c r="E148" s="79" t="str">
        <f t="shared" si="6"/>
        <v xml:space="preserve"> </v>
      </c>
    </row>
    <row r="149" spans="1:5" ht="12.5">
      <c r="A149" s="81" t="str">
        <f t="shared" si="0"/>
        <v xml:space="preserve"> </v>
      </c>
      <c r="B149" s="81" t="str">
        <f t="shared" si="1"/>
        <v xml:space="preserve"> </v>
      </c>
      <c r="C149" s="79" t="str">
        <f t="shared" si="7"/>
        <v xml:space="preserve"> </v>
      </c>
      <c r="D149" s="79" t="str">
        <f t="shared" si="5"/>
        <v xml:space="preserve"> </v>
      </c>
      <c r="E149" s="79" t="str">
        <f t="shared" si="6"/>
        <v xml:space="preserve"> </v>
      </c>
    </row>
    <row r="150" spans="1:5" ht="12.5">
      <c r="A150" s="81" t="str">
        <f t="shared" si="0"/>
        <v xml:space="preserve"> </v>
      </c>
      <c r="B150" s="81" t="str">
        <f t="shared" si="1"/>
        <v xml:space="preserve"> </v>
      </c>
      <c r="C150" s="79" t="str">
        <f t="shared" si="7"/>
        <v xml:space="preserve"> </v>
      </c>
      <c r="D150" s="79" t="str">
        <f t="shared" si="5"/>
        <v xml:space="preserve"> </v>
      </c>
      <c r="E150" s="79" t="str">
        <f t="shared" si="6"/>
        <v xml:space="preserve"> </v>
      </c>
    </row>
    <row r="151" spans="1:5" ht="12.5">
      <c r="A151" s="81" t="str">
        <f t="shared" si="0"/>
        <v xml:space="preserve"> </v>
      </c>
      <c r="B151" s="81" t="str">
        <f t="shared" si="1"/>
        <v xml:space="preserve"> </v>
      </c>
      <c r="C151" s="79" t="str">
        <f t="shared" si="7"/>
        <v xml:space="preserve"> </v>
      </c>
      <c r="D151" s="79" t="str">
        <f t="shared" si="5"/>
        <v xml:space="preserve"> </v>
      </c>
      <c r="E151" s="79" t="str">
        <f t="shared" si="6"/>
        <v xml:space="preserve"> </v>
      </c>
    </row>
    <row r="152" spans="1:5" ht="12.5">
      <c r="A152" s="81" t="str">
        <f t="shared" si="0"/>
        <v xml:space="preserve"> </v>
      </c>
      <c r="B152" s="81" t="str">
        <f t="shared" si="1"/>
        <v xml:space="preserve"> </v>
      </c>
      <c r="C152" s="79" t="str">
        <f t="shared" si="7"/>
        <v xml:space="preserve"> </v>
      </c>
      <c r="D152" s="79" t="str">
        <f t="shared" si="5"/>
        <v xml:space="preserve"> </v>
      </c>
      <c r="E152" s="79" t="str">
        <f t="shared" si="6"/>
        <v xml:space="preserve"> </v>
      </c>
    </row>
    <row r="153" spans="1:5" ht="12.5">
      <c r="A153" s="81" t="str">
        <f t="shared" si="0"/>
        <v xml:space="preserve"> </v>
      </c>
      <c r="B153" s="81" t="str">
        <f t="shared" si="1"/>
        <v xml:space="preserve"> </v>
      </c>
      <c r="C153" s="79" t="str">
        <f t="shared" si="7"/>
        <v xml:space="preserve"> </v>
      </c>
      <c r="D153" s="79" t="str">
        <f t="shared" si="5"/>
        <v xml:space="preserve"> </v>
      </c>
      <c r="E153" s="79" t="str">
        <f t="shared" si="6"/>
        <v xml:space="preserve"> </v>
      </c>
    </row>
    <row r="154" spans="1:5" ht="12.5">
      <c r="A154" s="81" t="str">
        <f t="shared" si="0"/>
        <v xml:space="preserve"> </v>
      </c>
      <c r="B154" s="81" t="str">
        <f t="shared" si="1"/>
        <v xml:space="preserve"> </v>
      </c>
      <c r="C154" s="79" t="str">
        <f t="shared" si="7"/>
        <v xml:space="preserve"> </v>
      </c>
      <c r="D154" s="79" t="str">
        <f t="shared" si="5"/>
        <v xml:space="preserve"> </v>
      </c>
      <c r="E154" s="79" t="str">
        <f t="shared" si="6"/>
        <v xml:space="preserve"> </v>
      </c>
    </row>
    <row r="155" spans="1:5" ht="12.5">
      <c r="A155" s="81" t="str">
        <f t="shared" si="0"/>
        <v xml:space="preserve"> </v>
      </c>
      <c r="B155" s="81" t="str">
        <f t="shared" si="1"/>
        <v xml:space="preserve"> </v>
      </c>
      <c r="C155" s="79" t="str">
        <f t="shared" si="7"/>
        <v xml:space="preserve"> </v>
      </c>
      <c r="D155" s="79" t="str">
        <f t="shared" si="5"/>
        <v xml:space="preserve"> </v>
      </c>
      <c r="E155" s="79" t="str">
        <f t="shared" si="6"/>
        <v xml:space="preserve"> </v>
      </c>
    </row>
    <row r="156" spans="1:5" ht="12.5">
      <c r="A156" s="81" t="str">
        <f t="shared" si="0"/>
        <v xml:space="preserve"> </v>
      </c>
      <c r="B156" s="81" t="str">
        <f t="shared" si="1"/>
        <v xml:space="preserve"> </v>
      </c>
      <c r="C156" s="79" t="str">
        <f t="shared" si="7"/>
        <v xml:space="preserve"> </v>
      </c>
      <c r="D156" s="79" t="str">
        <f t="shared" si="5"/>
        <v xml:space="preserve"> </v>
      </c>
      <c r="E156" s="79" t="str">
        <f t="shared" si="6"/>
        <v xml:space="preserve"> </v>
      </c>
    </row>
    <row r="157" spans="1:5" ht="12.5">
      <c r="A157" s="81" t="str">
        <f t="shared" si="0"/>
        <v xml:space="preserve"> </v>
      </c>
      <c r="B157" s="81" t="str">
        <f t="shared" si="1"/>
        <v xml:space="preserve"> </v>
      </c>
      <c r="C157" s="79" t="str">
        <f t="shared" si="7"/>
        <v xml:space="preserve"> </v>
      </c>
      <c r="D157" s="79" t="str">
        <f t="shared" si="5"/>
        <v xml:space="preserve"> </v>
      </c>
      <c r="E157" s="79" t="str">
        <f t="shared" si="6"/>
        <v xml:space="preserve"> </v>
      </c>
    </row>
    <row r="158" spans="1:5" ht="12.5">
      <c r="A158" s="81" t="str">
        <f t="shared" si="0"/>
        <v xml:space="preserve"> </v>
      </c>
      <c r="B158" s="81" t="str">
        <f t="shared" si="1"/>
        <v xml:space="preserve"> </v>
      </c>
      <c r="C158" s="79" t="str">
        <f t="shared" si="7"/>
        <v xml:space="preserve"> </v>
      </c>
      <c r="D158" s="79" t="str">
        <f t="shared" si="5"/>
        <v xml:space="preserve"> </v>
      </c>
      <c r="E158" s="79" t="str">
        <f t="shared" si="6"/>
        <v xml:space="preserve"> </v>
      </c>
    </row>
    <row r="159" spans="1:5" ht="12.5">
      <c r="A159" s="81" t="str">
        <f t="shared" si="0"/>
        <v xml:space="preserve"> </v>
      </c>
      <c r="B159" s="81" t="str">
        <f t="shared" si="1"/>
        <v xml:space="preserve"> </v>
      </c>
      <c r="C159" s="79" t="str">
        <f t="shared" si="7"/>
        <v xml:space="preserve"> </v>
      </c>
      <c r="D159" s="79" t="str">
        <f t="shared" si="5"/>
        <v xml:space="preserve"> </v>
      </c>
      <c r="E159" s="79" t="str">
        <f t="shared" si="6"/>
        <v xml:space="preserve"> </v>
      </c>
    </row>
    <row r="160" spans="1:5" ht="12.5">
      <c r="A160" s="81" t="str">
        <f t="shared" si="0"/>
        <v xml:space="preserve"> </v>
      </c>
      <c r="B160" s="81" t="str">
        <f t="shared" si="1"/>
        <v xml:space="preserve"> </v>
      </c>
      <c r="C160" s="79" t="str">
        <f t="shared" si="7"/>
        <v xml:space="preserve"> </v>
      </c>
      <c r="D160" s="79" t="str">
        <f t="shared" si="5"/>
        <v xml:space="preserve"> </v>
      </c>
      <c r="E160" s="79" t="str">
        <f t="shared" si="6"/>
        <v xml:space="preserve"> </v>
      </c>
    </row>
    <row r="161" spans="1:5" ht="12.5">
      <c r="A161" s="81" t="str">
        <f t="shared" si="0"/>
        <v xml:space="preserve"> </v>
      </c>
      <c r="B161" s="81" t="str">
        <f t="shared" si="1"/>
        <v xml:space="preserve"> </v>
      </c>
      <c r="C161" s="79" t="str">
        <f t="shared" si="7"/>
        <v xml:space="preserve"> </v>
      </c>
      <c r="D161" s="79" t="str">
        <f t="shared" si="5"/>
        <v xml:space="preserve"> </v>
      </c>
      <c r="E161" s="79" t="str">
        <f t="shared" si="6"/>
        <v xml:space="preserve"> </v>
      </c>
    </row>
    <row r="162" spans="1:5" ht="12.5">
      <c r="A162" s="81" t="str">
        <f t="shared" si="0"/>
        <v xml:space="preserve"> </v>
      </c>
      <c r="B162" s="81" t="str">
        <f t="shared" si="1"/>
        <v xml:space="preserve"> </v>
      </c>
      <c r="C162" s="79" t="str">
        <f t="shared" si="7"/>
        <v xml:space="preserve"> </v>
      </c>
      <c r="D162" s="79" t="str">
        <f t="shared" si="5"/>
        <v xml:space="preserve"> </v>
      </c>
      <c r="E162" s="79" t="str">
        <f t="shared" si="6"/>
        <v xml:space="preserve"> </v>
      </c>
    </row>
    <row r="163" spans="1:5" ht="12.5">
      <c r="A163" s="81" t="str">
        <f t="shared" si="0"/>
        <v xml:space="preserve"> </v>
      </c>
      <c r="B163" s="81" t="str">
        <f t="shared" si="1"/>
        <v xml:space="preserve"> </v>
      </c>
      <c r="C163" s="79" t="str">
        <f t="shared" si="7"/>
        <v xml:space="preserve"> </v>
      </c>
      <c r="D163" s="79" t="str">
        <f t="shared" si="5"/>
        <v xml:space="preserve"> </v>
      </c>
      <c r="E163" s="79" t="str">
        <f t="shared" si="6"/>
        <v xml:space="preserve"> </v>
      </c>
    </row>
    <row r="164" spans="1:5" ht="12.5">
      <c r="A164" s="81" t="str">
        <f t="shared" si="0"/>
        <v xml:space="preserve"> </v>
      </c>
      <c r="B164" s="81" t="str">
        <f t="shared" si="1"/>
        <v xml:space="preserve"> </v>
      </c>
      <c r="C164" s="79" t="str">
        <f t="shared" si="7"/>
        <v xml:space="preserve"> </v>
      </c>
      <c r="D164" s="79" t="str">
        <f t="shared" si="5"/>
        <v xml:space="preserve"> </v>
      </c>
      <c r="E164" s="79" t="str">
        <f t="shared" si="6"/>
        <v xml:space="preserve"> </v>
      </c>
    </row>
    <row r="165" spans="1:5" ht="12.5">
      <c r="A165" s="81" t="str">
        <f t="shared" si="0"/>
        <v xml:space="preserve"> </v>
      </c>
      <c r="B165" s="81" t="str">
        <f t="shared" si="1"/>
        <v xml:space="preserve"> </v>
      </c>
      <c r="C165" s="79" t="str">
        <f t="shared" si="7"/>
        <v xml:space="preserve"> </v>
      </c>
      <c r="D165" s="79" t="str">
        <f t="shared" si="5"/>
        <v xml:space="preserve"> </v>
      </c>
      <c r="E165" s="79" t="str">
        <f t="shared" si="6"/>
        <v xml:space="preserve"> </v>
      </c>
    </row>
    <row r="166" spans="1:5" ht="12.5">
      <c r="A166" s="81" t="str">
        <f t="shared" si="0"/>
        <v xml:space="preserve"> </v>
      </c>
      <c r="B166" s="81" t="str">
        <f t="shared" si="1"/>
        <v xml:space="preserve"> </v>
      </c>
      <c r="C166" s="79" t="str">
        <f t="shared" si="7"/>
        <v xml:space="preserve"> </v>
      </c>
      <c r="D166" s="79" t="str">
        <f t="shared" si="5"/>
        <v xml:space="preserve"> </v>
      </c>
      <c r="E166" s="79" t="str">
        <f t="shared" si="6"/>
        <v xml:space="preserve"> </v>
      </c>
    </row>
    <row r="167" spans="1:5" ht="12.5">
      <c r="A167" s="81" t="str">
        <f t="shared" si="0"/>
        <v xml:space="preserve"> </v>
      </c>
      <c r="B167" s="81" t="str">
        <f t="shared" si="1"/>
        <v xml:space="preserve"> </v>
      </c>
      <c r="C167" s="79" t="str">
        <f t="shared" si="7"/>
        <v xml:space="preserve"> </v>
      </c>
      <c r="D167" s="79" t="str">
        <f t="shared" si="5"/>
        <v xml:space="preserve"> </v>
      </c>
      <c r="E167" s="79" t="str">
        <f t="shared" si="6"/>
        <v xml:space="preserve"> </v>
      </c>
    </row>
    <row r="168" spans="1:5" ht="12.5">
      <c r="A168" s="81" t="str">
        <f t="shared" si="0"/>
        <v xml:space="preserve"> </v>
      </c>
      <c r="B168" s="81" t="str">
        <f t="shared" si="1"/>
        <v xml:space="preserve"> </v>
      </c>
      <c r="C168" s="79" t="str">
        <f t="shared" si="7"/>
        <v xml:space="preserve"> </v>
      </c>
      <c r="D168" s="79" t="str">
        <f t="shared" si="5"/>
        <v xml:space="preserve"> </v>
      </c>
      <c r="E168" s="79" t="str">
        <f t="shared" si="6"/>
        <v xml:space="preserve"> </v>
      </c>
    </row>
    <row r="169" spans="1:5" ht="12.5">
      <c r="A169" s="81" t="str">
        <f t="shared" si="0"/>
        <v xml:space="preserve"> </v>
      </c>
      <c r="B169" s="81" t="str">
        <f t="shared" si="1"/>
        <v xml:space="preserve"> </v>
      </c>
      <c r="C169" s="79" t="str">
        <f t="shared" si="7"/>
        <v xml:space="preserve"> </v>
      </c>
      <c r="D169" s="79" t="str">
        <f t="shared" si="5"/>
        <v xml:space="preserve"> </v>
      </c>
      <c r="E169" s="79" t="str">
        <f t="shared" si="6"/>
        <v xml:space="preserve"> </v>
      </c>
    </row>
    <row r="170" spans="1:5" ht="12.5">
      <c r="A170" s="81" t="str">
        <f t="shared" si="0"/>
        <v xml:space="preserve"> </v>
      </c>
      <c r="B170" s="81" t="str">
        <f t="shared" si="1"/>
        <v xml:space="preserve"> </v>
      </c>
      <c r="C170" s="79" t="str">
        <f t="shared" si="7"/>
        <v xml:space="preserve"> </v>
      </c>
      <c r="D170" s="79" t="str">
        <f t="shared" si="5"/>
        <v xml:space="preserve"> </v>
      </c>
      <c r="E170" s="79" t="str">
        <f t="shared" si="6"/>
        <v xml:space="preserve"> </v>
      </c>
    </row>
    <row r="171" spans="1:5" ht="12.5">
      <c r="A171" s="81" t="str">
        <f t="shared" si="0"/>
        <v xml:space="preserve"> </v>
      </c>
      <c r="B171" s="81" t="str">
        <f t="shared" si="1"/>
        <v xml:space="preserve"> </v>
      </c>
      <c r="C171" s="79" t="str">
        <f t="shared" si="7"/>
        <v xml:space="preserve"> </v>
      </c>
      <c r="D171" s="79" t="str">
        <f t="shared" si="5"/>
        <v xml:space="preserve"> </v>
      </c>
      <c r="E171" s="79" t="str">
        <f t="shared" si="6"/>
        <v xml:space="preserve"> </v>
      </c>
    </row>
    <row r="172" spans="1:5" ht="12.5">
      <c r="A172" s="81" t="str">
        <f t="shared" si="0"/>
        <v xml:space="preserve"> </v>
      </c>
      <c r="B172" s="81" t="str">
        <f t="shared" si="1"/>
        <v xml:space="preserve"> </v>
      </c>
      <c r="C172" s="79" t="str">
        <f t="shared" si="7"/>
        <v xml:space="preserve"> </v>
      </c>
      <c r="D172" s="79" t="str">
        <f t="shared" si="5"/>
        <v xml:space="preserve"> </v>
      </c>
      <c r="E172" s="79" t="str">
        <f t="shared" si="6"/>
        <v xml:space="preserve"> </v>
      </c>
    </row>
    <row r="173" spans="1:5" ht="12.5">
      <c r="A173" s="81" t="str">
        <f t="shared" si="0"/>
        <v xml:space="preserve"> </v>
      </c>
      <c r="B173" s="81" t="str">
        <f t="shared" si="1"/>
        <v xml:space="preserve"> </v>
      </c>
      <c r="C173" s="79" t="str">
        <f t="shared" si="7"/>
        <v xml:space="preserve"> </v>
      </c>
      <c r="D173" s="79" t="str">
        <f t="shared" si="5"/>
        <v xml:space="preserve"> </v>
      </c>
      <c r="E173" s="79" t="str">
        <f t="shared" si="6"/>
        <v xml:space="preserve"> </v>
      </c>
    </row>
    <row r="174" spans="1:5" ht="12.5">
      <c r="A174" s="81" t="str">
        <f t="shared" si="0"/>
        <v xml:space="preserve"> </v>
      </c>
      <c r="B174" s="81" t="str">
        <f t="shared" si="1"/>
        <v xml:space="preserve"> </v>
      </c>
      <c r="C174" s="79" t="str">
        <f t="shared" si="7"/>
        <v xml:space="preserve"> </v>
      </c>
      <c r="D174" s="79" t="str">
        <f t="shared" si="5"/>
        <v xml:space="preserve"> </v>
      </c>
      <c r="E174" s="79" t="str">
        <f t="shared" si="6"/>
        <v xml:space="preserve"> </v>
      </c>
    </row>
    <row r="175" spans="1:5" ht="12.5">
      <c r="A175" s="81" t="str">
        <f t="shared" si="0"/>
        <v xml:space="preserve"> </v>
      </c>
      <c r="B175" s="81" t="str">
        <f t="shared" si="1"/>
        <v xml:space="preserve"> </v>
      </c>
      <c r="C175" s="79" t="str">
        <f t="shared" si="7"/>
        <v xml:space="preserve"> </v>
      </c>
      <c r="D175" s="79" t="str">
        <f t="shared" si="5"/>
        <v xml:space="preserve"> </v>
      </c>
      <c r="E175" s="79" t="str">
        <f t="shared" si="6"/>
        <v xml:space="preserve"> </v>
      </c>
    </row>
    <row r="176" spans="1:5" ht="12.5">
      <c r="A176" s="81" t="str">
        <f t="shared" si="0"/>
        <v xml:space="preserve"> </v>
      </c>
      <c r="B176" s="81" t="str">
        <f t="shared" si="1"/>
        <v xml:space="preserve"> </v>
      </c>
      <c r="C176" s="79" t="str">
        <f t="shared" si="7"/>
        <v xml:space="preserve"> </v>
      </c>
      <c r="D176" s="79" t="str">
        <f t="shared" si="5"/>
        <v xml:space="preserve"> </v>
      </c>
      <c r="E176" s="79" t="str">
        <f t="shared" si="6"/>
        <v xml:space="preserve"> </v>
      </c>
    </row>
    <row r="177" spans="1:5" ht="12.5">
      <c r="A177" s="81" t="str">
        <f t="shared" si="0"/>
        <v xml:space="preserve"> </v>
      </c>
      <c r="B177" s="81" t="str">
        <f t="shared" si="1"/>
        <v xml:space="preserve"> </v>
      </c>
      <c r="C177" s="79" t="str">
        <f t="shared" si="7"/>
        <v xml:space="preserve"> </v>
      </c>
      <c r="D177" s="79" t="str">
        <f t="shared" si="5"/>
        <v xml:space="preserve"> </v>
      </c>
      <c r="E177" s="79" t="str">
        <f t="shared" si="6"/>
        <v xml:space="preserve"> </v>
      </c>
    </row>
    <row r="178" spans="1:5" ht="12.5">
      <c r="A178" s="81" t="str">
        <f t="shared" si="0"/>
        <v xml:space="preserve"> </v>
      </c>
      <c r="B178" s="81" t="str">
        <f t="shared" si="1"/>
        <v xml:space="preserve"> </v>
      </c>
      <c r="C178" s="79" t="str">
        <f t="shared" si="7"/>
        <v xml:space="preserve"> </v>
      </c>
      <c r="D178" s="79" t="str">
        <f t="shared" si="5"/>
        <v xml:space="preserve"> </v>
      </c>
      <c r="E178" s="79" t="str">
        <f t="shared" si="6"/>
        <v xml:space="preserve"> </v>
      </c>
    </row>
    <row r="179" spans="1:5" ht="12.5">
      <c r="A179" s="81" t="str">
        <f t="shared" si="0"/>
        <v xml:space="preserve"> </v>
      </c>
      <c r="B179" s="81" t="str">
        <f t="shared" si="1"/>
        <v xml:space="preserve"> </v>
      </c>
      <c r="C179" s="79" t="str">
        <f t="shared" si="7"/>
        <v xml:space="preserve"> </v>
      </c>
      <c r="D179" s="79" t="str">
        <f t="shared" si="5"/>
        <v xml:space="preserve"> </v>
      </c>
      <c r="E179" s="79" t="str">
        <f t="shared" si="6"/>
        <v xml:space="preserve"> </v>
      </c>
    </row>
    <row r="180" spans="1:5" ht="12.5">
      <c r="A180" s="81" t="str">
        <f t="shared" si="0"/>
        <v xml:space="preserve"> </v>
      </c>
      <c r="B180" s="81" t="str">
        <f t="shared" si="1"/>
        <v xml:space="preserve"> </v>
      </c>
      <c r="C180" s="79" t="str">
        <f t="shared" si="7"/>
        <v xml:space="preserve"> </v>
      </c>
      <c r="D180" s="79" t="str">
        <f t="shared" si="5"/>
        <v xml:space="preserve"> </v>
      </c>
      <c r="E180" s="79" t="str">
        <f t="shared" si="6"/>
        <v xml:space="preserve"> </v>
      </c>
    </row>
    <row r="181" spans="1:5" ht="12.5">
      <c r="A181" s="81" t="str">
        <f t="shared" si="0"/>
        <v xml:space="preserve"> </v>
      </c>
      <c r="B181" s="81" t="str">
        <f t="shared" si="1"/>
        <v xml:space="preserve"> </v>
      </c>
      <c r="C181" s="79" t="str">
        <f t="shared" si="7"/>
        <v xml:space="preserve"> </v>
      </c>
      <c r="D181" s="79" t="str">
        <f t="shared" si="5"/>
        <v xml:space="preserve"> </v>
      </c>
      <c r="E181" s="79" t="str">
        <f t="shared" si="6"/>
        <v xml:space="preserve"> </v>
      </c>
    </row>
    <row r="182" spans="1:5" ht="12.5">
      <c r="A182" s="81" t="str">
        <f t="shared" si="0"/>
        <v xml:space="preserve"> </v>
      </c>
      <c r="B182" s="81" t="str">
        <f t="shared" si="1"/>
        <v xml:space="preserve"> </v>
      </c>
      <c r="C182" s="79" t="str">
        <f t="shared" si="7"/>
        <v xml:space="preserve"> </v>
      </c>
      <c r="D182" s="79" t="str">
        <f t="shared" si="5"/>
        <v xml:space="preserve"> </v>
      </c>
      <c r="E182" s="79" t="str">
        <f t="shared" si="6"/>
        <v xml:space="preserve"> </v>
      </c>
    </row>
    <row r="183" spans="1:5" ht="12.5">
      <c r="A183" s="81" t="str">
        <f t="shared" si="0"/>
        <v xml:space="preserve"> </v>
      </c>
      <c r="B183" s="81" t="str">
        <f t="shared" si="1"/>
        <v xml:space="preserve"> </v>
      </c>
      <c r="C183" s="79" t="str">
        <f t="shared" si="7"/>
        <v xml:space="preserve"> </v>
      </c>
      <c r="D183" s="79" t="str">
        <f t="shared" si="5"/>
        <v xml:space="preserve"> </v>
      </c>
      <c r="E183" s="79" t="str">
        <f t="shared" si="6"/>
        <v xml:space="preserve"> </v>
      </c>
    </row>
    <row r="184" spans="1:5" ht="12.5">
      <c r="A184" s="81" t="str">
        <f t="shared" si="0"/>
        <v xml:space="preserve"> </v>
      </c>
      <c r="B184" s="81" t="str">
        <f t="shared" si="1"/>
        <v xml:space="preserve"> </v>
      </c>
      <c r="C184" s="79" t="str">
        <f t="shared" si="7"/>
        <v xml:space="preserve"> </v>
      </c>
      <c r="D184" s="79" t="str">
        <f t="shared" si="5"/>
        <v xml:space="preserve"> </v>
      </c>
      <c r="E184" s="79" t="str">
        <f t="shared" si="6"/>
        <v xml:space="preserve"> </v>
      </c>
    </row>
    <row r="185" spans="1:5" ht="12.5">
      <c r="A185" s="81" t="str">
        <f t="shared" si="0"/>
        <v xml:space="preserve"> </v>
      </c>
      <c r="B185" s="81" t="str">
        <f t="shared" si="1"/>
        <v xml:space="preserve"> </v>
      </c>
      <c r="C185" s="79" t="str">
        <f t="shared" si="7"/>
        <v xml:space="preserve"> </v>
      </c>
      <c r="D185" s="79" t="str">
        <f t="shared" si="5"/>
        <v xml:space="preserve"> </v>
      </c>
      <c r="E185" s="79" t="str">
        <f t="shared" si="6"/>
        <v xml:space="preserve"> </v>
      </c>
    </row>
    <row r="186" spans="1:5" ht="12.5">
      <c r="A186" s="81" t="str">
        <f t="shared" si="0"/>
        <v xml:space="preserve"> </v>
      </c>
      <c r="B186" s="81" t="str">
        <f t="shared" si="1"/>
        <v xml:space="preserve"> </v>
      </c>
      <c r="C186" s="79" t="str">
        <f t="shared" si="7"/>
        <v xml:space="preserve"> </v>
      </c>
      <c r="D186" s="79" t="str">
        <f t="shared" si="5"/>
        <v xml:space="preserve"> </v>
      </c>
      <c r="E186" s="79" t="str">
        <f t="shared" si="6"/>
        <v xml:space="preserve"> </v>
      </c>
    </row>
    <row r="187" spans="1:5" ht="12.5">
      <c r="A187" s="81" t="str">
        <f t="shared" si="0"/>
        <v xml:space="preserve"> </v>
      </c>
      <c r="B187" s="81" t="str">
        <f t="shared" si="1"/>
        <v xml:space="preserve"> </v>
      </c>
      <c r="C187" s="79" t="str">
        <f t="shared" si="7"/>
        <v xml:space="preserve"> </v>
      </c>
      <c r="D187" s="79" t="str">
        <f t="shared" si="5"/>
        <v xml:space="preserve"> </v>
      </c>
      <c r="E187" s="79" t="str">
        <f t="shared" si="6"/>
        <v xml:space="preserve"> </v>
      </c>
    </row>
    <row r="188" spans="1:5" ht="12.5">
      <c r="A188" s="81" t="str">
        <f t="shared" si="0"/>
        <v xml:space="preserve"> </v>
      </c>
      <c r="B188" s="81" t="str">
        <f t="shared" si="1"/>
        <v xml:space="preserve"> </v>
      </c>
      <c r="C188" s="79" t="str">
        <f t="shared" si="7"/>
        <v xml:space="preserve"> </v>
      </c>
      <c r="D188" s="79" t="str">
        <f t="shared" si="5"/>
        <v xml:space="preserve"> </v>
      </c>
      <c r="E188" s="79" t="str">
        <f t="shared" si="6"/>
        <v xml:space="preserve"> </v>
      </c>
    </row>
    <row r="189" spans="1:5" ht="12.5">
      <c r="A189" s="81" t="str">
        <f t="shared" si="0"/>
        <v xml:space="preserve"> </v>
      </c>
      <c r="B189" s="81" t="str">
        <f t="shared" si="1"/>
        <v xml:space="preserve"> </v>
      </c>
      <c r="C189" s="79" t="str">
        <f t="shared" si="7"/>
        <v xml:space="preserve"> </v>
      </c>
      <c r="D189" s="79" t="str">
        <f t="shared" si="5"/>
        <v xml:space="preserve"> </v>
      </c>
      <c r="E189" s="79" t="str">
        <f t="shared" si="6"/>
        <v xml:space="preserve"> </v>
      </c>
    </row>
    <row r="190" spans="1:5" ht="12.5">
      <c r="A190" s="81" t="str">
        <f t="shared" si="0"/>
        <v xml:space="preserve"> </v>
      </c>
      <c r="B190" s="81" t="str">
        <f t="shared" si="1"/>
        <v xml:space="preserve"> </v>
      </c>
      <c r="C190" s="79" t="str">
        <f t="shared" si="7"/>
        <v xml:space="preserve"> </v>
      </c>
      <c r="D190" s="79" t="str">
        <f t="shared" si="5"/>
        <v xml:space="preserve"> </v>
      </c>
      <c r="E190" s="79" t="str">
        <f t="shared" si="6"/>
        <v xml:space="preserve"> </v>
      </c>
    </row>
    <row r="191" spans="1:5" ht="12.5">
      <c r="A191" s="81" t="str">
        <f t="shared" si="0"/>
        <v xml:space="preserve"> </v>
      </c>
      <c r="B191" s="81" t="str">
        <f t="shared" si="1"/>
        <v xml:space="preserve"> </v>
      </c>
      <c r="C191" s="79" t="str">
        <f t="shared" si="7"/>
        <v xml:space="preserve"> </v>
      </c>
      <c r="D191" s="79" t="str">
        <f t="shared" si="5"/>
        <v xml:space="preserve"> </v>
      </c>
      <c r="E191" s="79" t="str">
        <f t="shared" si="6"/>
        <v xml:space="preserve"> </v>
      </c>
    </row>
    <row r="192" spans="1:5" ht="12.5">
      <c r="A192" s="81" t="str">
        <f t="shared" si="0"/>
        <v xml:space="preserve"> </v>
      </c>
      <c r="B192" s="81" t="str">
        <f t="shared" si="1"/>
        <v xml:space="preserve"> </v>
      </c>
      <c r="C192" s="79" t="str">
        <f t="shared" si="7"/>
        <v xml:space="preserve"> </v>
      </c>
      <c r="D192" s="79" t="str">
        <f t="shared" si="5"/>
        <v xml:space="preserve"> </v>
      </c>
      <c r="E192" s="79" t="str">
        <f t="shared" si="6"/>
        <v xml:space="preserve"> </v>
      </c>
    </row>
    <row r="193" spans="1:5" ht="12.5">
      <c r="A193" s="81" t="str">
        <f t="shared" si="0"/>
        <v xml:space="preserve"> </v>
      </c>
      <c r="B193" s="81" t="str">
        <f t="shared" si="1"/>
        <v xml:space="preserve"> </v>
      </c>
      <c r="C193" s="79" t="str">
        <f t="shared" si="7"/>
        <v xml:space="preserve"> </v>
      </c>
      <c r="D193" s="79" t="str">
        <f t="shared" si="5"/>
        <v xml:space="preserve"> </v>
      </c>
      <c r="E193" s="79" t="str">
        <f t="shared" si="6"/>
        <v xml:space="preserve"> </v>
      </c>
    </row>
    <row r="194" spans="1:5" ht="12.5">
      <c r="A194" s="81" t="str">
        <f t="shared" si="0"/>
        <v xml:space="preserve"> </v>
      </c>
      <c r="B194" s="81" t="str">
        <f t="shared" si="1"/>
        <v xml:space="preserve"> </v>
      </c>
      <c r="C194" s="79" t="str">
        <f t="shared" si="7"/>
        <v xml:space="preserve"> </v>
      </c>
      <c r="D194" s="79" t="str">
        <f t="shared" si="5"/>
        <v xml:space="preserve"> </v>
      </c>
      <c r="E194" s="79" t="str">
        <f t="shared" si="6"/>
        <v xml:space="preserve"> </v>
      </c>
    </row>
    <row r="195" spans="1:5" ht="12.5">
      <c r="A195" s="81" t="str">
        <f t="shared" si="0"/>
        <v xml:space="preserve"> </v>
      </c>
      <c r="B195" s="81" t="str">
        <f t="shared" si="1"/>
        <v xml:space="preserve"> </v>
      </c>
      <c r="C195" s="79" t="str">
        <f t="shared" si="7"/>
        <v xml:space="preserve"> </v>
      </c>
      <c r="D195" s="79" t="str">
        <f t="shared" si="5"/>
        <v xml:space="preserve"> </v>
      </c>
      <c r="E195" s="79" t="str">
        <f t="shared" si="6"/>
        <v xml:space="preserve"> </v>
      </c>
    </row>
    <row r="196" spans="1:5" ht="12.5">
      <c r="A196" s="81" t="str">
        <f t="shared" si="0"/>
        <v xml:space="preserve"> </v>
      </c>
      <c r="B196" s="81" t="str">
        <f t="shared" si="1"/>
        <v xml:space="preserve"> </v>
      </c>
      <c r="C196" s="79" t="str">
        <f t="shared" si="7"/>
        <v xml:space="preserve"> </v>
      </c>
      <c r="D196" s="79" t="str">
        <f t="shared" si="5"/>
        <v xml:space="preserve"> </v>
      </c>
      <c r="E196" s="79" t="str">
        <f t="shared" si="6"/>
        <v xml:space="preserve"> </v>
      </c>
    </row>
    <row r="197" spans="1:5" ht="12.5">
      <c r="A197" s="81" t="str">
        <f t="shared" si="0"/>
        <v xml:space="preserve"> </v>
      </c>
      <c r="B197" s="81" t="str">
        <f t="shared" si="1"/>
        <v xml:space="preserve"> </v>
      </c>
      <c r="C197" s="79" t="str">
        <f t="shared" si="7"/>
        <v xml:space="preserve"> </v>
      </c>
      <c r="D197" s="79" t="str">
        <f t="shared" si="5"/>
        <v xml:space="preserve"> </v>
      </c>
      <c r="E197" s="79" t="str">
        <f t="shared" si="6"/>
        <v xml:space="preserve"> </v>
      </c>
    </row>
    <row r="198" spans="1:5" ht="12.5">
      <c r="A198" s="81" t="str">
        <f t="shared" si="0"/>
        <v xml:space="preserve"> </v>
      </c>
      <c r="B198" s="81" t="str">
        <f t="shared" si="1"/>
        <v xml:space="preserve"> </v>
      </c>
      <c r="C198" s="79" t="str">
        <f t="shared" si="7"/>
        <v xml:space="preserve"> </v>
      </c>
      <c r="D198" s="79" t="str">
        <f t="shared" si="5"/>
        <v xml:space="preserve"> </v>
      </c>
      <c r="E198" s="79" t="str">
        <f t="shared" si="6"/>
        <v xml:space="preserve"> </v>
      </c>
    </row>
    <row r="199" spans="1:5" ht="12.5">
      <c r="A199" s="81" t="str">
        <f t="shared" si="0"/>
        <v xml:space="preserve"> </v>
      </c>
      <c r="B199" s="81" t="str">
        <f t="shared" si="1"/>
        <v xml:space="preserve"> </v>
      </c>
      <c r="C199" s="79" t="str">
        <f t="shared" si="7"/>
        <v xml:space="preserve"> </v>
      </c>
      <c r="D199" s="79" t="str">
        <f t="shared" si="5"/>
        <v xml:space="preserve"> </v>
      </c>
      <c r="E199" s="79" t="str">
        <f t="shared" si="6"/>
        <v xml:space="preserve"> </v>
      </c>
    </row>
    <row r="200" spans="1:5" ht="12.5">
      <c r="A200" s="81" t="str">
        <f t="shared" si="0"/>
        <v xml:space="preserve"> </v>
      </c>
      <c r="B200" s="81" t="str">
        <f t="shared" si="1"/>
        <v xml:space="preserve"> </v>
      </c>
      <c r="C200" s="79" t="str">
        <f t="shared" si="7"/>
        <v xml:space="preserve"> </v>
      </c>
      <c r="D200" s="79" t="str">
        <f t="shared" si="5"/>
        <v xml:space="preserve"> </v>
      </c>
      <c r="E200" s="79" t="str">
        <f t="shared" si="6"/>
        <v xml:space="preserve"> </v>
      </c>
    </row>
    <row r="201" spans="1:5" ht="12.5">
      <c r="A201" s="81" t="str">
        <f t="shared" si="0"/>
        <v xml:space="preserve"> </v>
      </c>
      <c r="B201" s="81" t="str">
        <f t="shared" si="1"/>
        <v xml:space="preserve"> </v>
      </c>
      <c r="C201" s="79" t="str">
        <f t="shared" si="7"/>
        <v xml:space="preserve"> </v>
      </c>
      <c r="D201" s="79" t="str">
        <f t="shared" si="5"/>
        <v xml:space="preserve"> </v>
      </c>
      <c r="E201" s="79" t="str">
        <f t="shared" si="6"/>
        <v xml:space="preserve"> </v>
      </c>
    </row>
    <row r="202" spans="1:5" ht="12.5">
      <c r="A202" s="81" t="str">
        <f t="shared" si="0"/>
        <v xml:space="preserve"> </v>
      </c>
      <c r="B202" s="81" t="str">
        <f t="shared" si="1"/>
        <v xml:space="preserve"> </v>
      </c>
      <c r="C202" s="79" t="str">
        <f t="shared" si="7"/>
        <v xml:space="preserve"> </v>
      </c>
      <c r="D202" s="79" t="str">
        <f t="shared" si="5"/>
        <v xml:space="preserve"> </v>
      </c>
      <c r="E202" s="79" t="str">
        <f t="shared" si="6"/>
        <v xml:space="preserve"> </v>
      </c>
    </row>
    <row r="203" spans="1:5" ht="12.5">
      <c r="A203" s="81" t="str">
        <f t="shared" si="0"/>
        <v xml:space="preserve"> </v>
      </c>
      <c r="B203" s="81" t="str">
        <f t="shared" si="1"/>
        <v xml:space="preserve"> </v>
      </c>
      <c r="C203" s="79" t="str">
        <f t="shared" si="7"/>
        <v xml:space="preserve"> </v>
      </c>
      <c r="D203" s="79" t="str">
        <f t="shared" si="5"/>
        <v xml:space="preserve"> </v>
      </c>
      <c r="E203" s="79" t="str">
        <f t="shared" si="6"/>
        <v xml:space="preserve"> </v>
      </c>
    </row>
    <row r="204" spans="1:5" ht="12.5">
      <c r="A204" s="81" t="str">
        <f t="shared" si="0"/>
        <v xml:space="preserve"> </v>
      </c>
      <c r="B204" s="81" t="str">
        <f t="shared" si="1"/>
        <v xml:space="preserve"> </v>
      </c>
      <c r="C204" s="79" t="str">
        <f t="shared" si="7"/>
        <v xml:space="preserve"> </v>
      </c>
      <c r="D204" s="79" t="str">
        <f t="shared" si="5"/>
        <v xml:space="preserve"> </v>
      </c>
      <c r="E204" s="79" t="str">
        <f t="shared" si="6"/>
        <v xml:space="preserve"> </v>
      </c>
    </row>
    <row r="205" spans="1:5" ht="12.5">
      <c r="A205" s="81" t="str">
        <f t="shared" si="0"/>
        <v xml:space="preserve"> </v>
      </c>
      <c r="B205" s="81" t="str">
        <f t="shared" si="1"/>
        <v xml:space="preserve"> </v>
      </c>
      <c r="C205" s="79" t="str">
        <f t="shared" si="7"/>
        <v xml:space="preserve"> </v>
      </c>
      <c r="D205" s="79" t="str">
        <f t="shared" si="5"/>
        <v xml:space="preserve"> </v>
      </c>
      <c r="E205" s="79" t="str">
        <f t="shared" si="6"/>
        <v xml:space="preserve"> </v>
      </c>
    </row>
    <row r="206" spans="1:5" ht="12.5">
      <c r="A206" s="81" t="str">
        <f t="shared" si="0"/>
        <v xml:space="preserve"> </v>
      </c>
      <c r="B206" s="81" t="str">
        <f t="shared" si="1"/>
        <v xml:space="preserve"> </v>
      </c>
      <c r="C206" s="79" t="str">
        <f t="shared" si="7"/>
        <v xml:space="preserve"> </v>
      </c>
      <c r="D206" s="79" t="str">
        <f t="shared" si="5"/>
        <v xml:space="preserve"> </v>
      </c>
      <c r="E206" s="79" t="str">
        <f t="shared" si="6"/>
        <v xml:space="preserve"> </v>
      </c>
    </row>
    <row r="207" spans="1:5" ht="12.5">
      <c r="A207" s="81" t="str">
        <f t="shared" si="0"/>
        <v xml:space="preserve"> </v>
      </c>
      <c r="B207" s="81" t="str">
        <f t="shared" si="1"/>
        <v xml:space="preserve"> </v>
      </c>
      <c r="C207" s="79" t="str">
        <f t="shared" si="7"/>
        <v xml:space="preserve"> </v>
      </c>
      <c r="D207" s="79" t="str">
        <f t="shared" si="5"/>
        <v xml:space="preserve"> </v>
      </c>
      <c r="E207" s="79" t="str">
        <f t="shared" si="6"/>
        <v xml:space="preserve"> </v>
      </c>
    </row>
    <row r="208" spans="1:5" ht="12.5">
      <c r="A208" s="81" t="str">
        <f t="shared" si="0"/>
        <v xml:space="preserve"> </v>
      </c>
      <c r="B208" s="81" t="str">
        <f t="shared" si="1"/>
        <v xml:space="preserve"> </v>
      </c>
      <c r="C208" s="79" t="str">
        <f t="shared" si="7"/>
        <v xml:space="preserve"> </v>
      </c>
      <c r="D208" s="79" t="str">
        <f t="shared" si="5"/>
        <v xml:space="preserve"> </v>
      </c>
      <c r="E208" s="79" t="str">
        <f t="shared" si="6"/>
        <v xml:space="preserve"> </v>
      </c>
    </row>
    <row r="209" spans="1:5" ht="12.5">
      <c r="A209" s="81" t="str">
        <f t="shared" si="0"/>
        <v xml:space="preserve"> </v>
      </c>
      <c r="B209" s="81" t="str">
        <f t="shared" si="1"/>
        <v xml:space="preserve"> </v>
      </c>
      <c r="C209" s="79" t="str">
        <f t="shared" si="7"/>
        <v xml:space="preserve"> </v>
      </c>
      <c r="D209" s="79" t="str">
        <f t="shared" si="5"/>
        <v xml:space="preserve"> </v>
      </c>
      <c r="E209" s="79" t="str">
        <f t="shared" si="6"/>
        <v xml:space="preserve"> </v>
      </c>
    </row>
    <row r="210" spans="1:5" ht="12.5">
      <c r="A210" s="81" t="str">
        <f t="shared" si="0"/>
        <v xml:space="preserve"> </v>
      </c>
      <c r="B210" s="81" t="str">
        <f t="shared" si="1"/>
        <v xml:space="preserve"> </v>
      </c>
      <c r="C210" s="79" t="str">
        <f t="shared" si="7"/>
        <v xml:space="preserve"> </v>
      </c>
      <c r="D210" s="79" t="str">
        <f t="shared" si="5"/>
        <v xml:space="preserve"> </v>
      </c>
      <c r="E210" s="79" t="str">
        <f t="shared" si="6"/>
        <v xml:space="preserve"> </v>
      </c>
    </row>
    <row r="211" spans="1:5" ht="12.5">
      <c r="A211" s="81" t="str">
        <f t="shared" si="0"/>
        <v xml:space="preserve"> </v>
      </c>
      <c r="B211" s="81" t="str">
        <f t="shared" si="1"/>
        <v xml:space="preserve"> </v>
      </c>
      <c r="C211" s="79" t="str">
        <f t="shared" si="7"/>
        <v xml:space="preserve"> </v>
      </c>
      <c r="D211" s="79" t="str">
        <f t="shared" si="5"/>
        <v xml:space="preserve"> </v>
      </c>
      <c r="E211" s="79" t="str">
        <f t="shared" si="6"/>
        <v xml:space="preserve"> </v>
      </c>
    </row>
    <row r="212" spans="1:5" ht="12.5">
      <c r="A212" s="81" t="str">
        <f t="shared" si="0"/>
        <v xml:space="preserve"> </v>
      </c>
      <c r="B212" s="81" t="str">
        <f t="shared" si="1"/>
        <v xml:space="preserve"> </v>
      </c>
      <c r="C212" s="79" t="str">
        <f t="shared" si="7"/>
        <v xml:space="preserve"> </v>
      </c>
      <c r="D212" s="79" t="str">
        <f t="shared" si="5"/>
        <v xml:space="preserve"> </v>
      </c>
      <c r="E212" s="79" t="str">
        <f t="shared" si="6"/>
        <v xml:space="preserve"> </v>
      </c>
    </row>
    <row r="213" spans="1:5" ht="12.5">
      <c r="A213" s="81" t="str">
        <f t="shared" si="0"/>
        <v xml:space="preserve"> </v>
      </c>
      <c r="B213" s="81" t="str">
        <f t="shared" si="1"/>
        <v xml:space="preserve"> </v>
      </c>
      <c r="C213" s="79" t="str">
        <f t="shared" si="7"/>
        <v xml:space="preserve"> </v>
      </c>
      <c r="D213" s="79" t="str">
        <f t="shared" si="5"/>
        <v xml:space="preserve"> </v>
      </c>
      <c r="E213" s="79" t="str">
        <f t="shared" si="6"/>
        <v xml:space="preserve"> </v>
      </c>
    </row>
    <row r="214" spans="1:5" ht="12.5">
      <c r="A214" s="81" t="str">
        <f t="shared" si="0"/>
        <v xml:space="preserve"> </v>
      </c>
      <c r="B214" s="81" t="str">
        <f t="shared" si="1"/>
        <v xml:space="preserve"> </v>
      </c>
      <c r="C214" s="79" t="str">
        <f t="shared" si="7"/>
        <v xml:space="preserve"> </v>
      </c>
      <c r="D214" s="79" t="str">
        <f t="shared" si="5"/>
        <v xml:space="preserve"> </v>
      </c>
      <c r="E214" s="79" t="str">
        <f t="shared" si="6"/>
        <v xml:space="preserve"> </v>
      </c>
    </row>
    <row r="215" spans="1:5" ht="12.5">
      <c r="A215" s="81" t="str">
        <f t="shared" si="0"/>
        <v xml:space="preserve"> </v>
      </c>
      <c r="B215" s="81" t="str">
        <f t="shared" si="1"/>
        <v xml:space="preserve"> </v>
      </c>
      <c r="C215" s="79" t="str">
        <f t="shared" si="7"/>
        <v xml:space="preserve"> </v>
      </c>
      <c r="D215" s="79" t="str">
        <f t="shared" si="5"/>
        <v xml:space="preserve"> </v>
      </c>
      <c r="E215" s="79" t="str">
        <f t="shared" si="6"/>
        <v xml:space="preserve"> </v>
      </c>
    </row>
    <row r="216" spans="1:5" ht="12.5">
      <c r="A216" s="81" t="str">
        <f t="shared" si="0"/>
        <v xml:space="preserve"> </v>
      </c>
      <c r="B216" s="81" t="str">
        <f t="shared" si="1"/>
        <v xml:space="preserve"> </v>
      </c>
      <c r="C216" s="79" t="str">
        <f t="shared" si="7"/>
        <v xml:space="preserve"> </v>
      </c>
      <c r="D216" s="79" t="str">
        <f t="shared" si="5"/>
        <v xml:space="preserve"> </v>
      </c>
      <c r="E216" s="79" t="str">
        <f t="shared" si="6"/>
        <v xml:space="preserve"> </v>
      </c>
    </row>
    <row r="217" spans="1:5" ht="12.5">
      <c r="A217" s="81" t="str">
        <f t="shared" si="0"/>
        <v xml:space="preserve"> </v>
      </c>
      <c r="B217" s="81" t="str">
        <f t="shared" si="1"/>
        <v xml:space="preserve"> </v>
      </c>
      <c r="C217" s="79" t="str">
        <f t="shared" si="7"/>
        <v xml:space="preserve"> </v>
      </c>
      <c r="D217" s="79" t="str">
        <f t="shared" si="5"/>
        <v xml:space="preserve"> </v>
      </c>
      <c r="E217" s="79" t="str">
        <f t="shared" si="6"/>
        <v xml:space="preserve"> </v>
      </c>
    </row>
    <row r="218" spans="1:5" ht="12.5">
      <c r="A218" s="81" t="str">
        <f t="shared" si="0"/>
        <v xml:space="preserve"> </v>
      </c>
      <c r="B218" s="81" t="str">
        <f t="shared" si="1"/>
        <v xml:space="preserve"> </v>
      </c>
      <c r="C218" s="79" t="str">
        <f t="shared" si="7"/>
        <v xml:space="preserve"> </v>
      </c>
      <c r="D218" s="79" t="str">
        <f t="shared" si="5"/>
        <v xml:space="preserve"> </v>
      </c>
      <c r="E218" s="79" t="str">
        <f t="shared" si="6"/>
        <v xml:space="preserve"> </v>
      </c>
    </row>
    <row r="219" spans="1:5" ht="12.5">
      <c r="A219" s="81" t="str">
        <f t="shared" si="0"/>
        <v xml:space="preserve"> </v>
      </c>
      <c r="B219" s="81" t="str">
        <f t="shared" si="1"/>
        <v xml:space="preserve"> </v>
      </c>
      <c r="C219" s="79" t="str">
        <f t="shared" si="7"/>
        <v xml:space="preserve"> </v>
      </c>
      <c r="D219" s="79" t="str">
        <f t="shared" si="5"/>
        <v xml:space="preserve"> </v>
      </c>
      <c r="E219" s="79" t="str">
        <f t="shared" si="6"/>
        <v xml:space="preserve"> </v>
      </c>
    </row>
    <row r="220" spans="1:5" ht="12.5">
      <c r="A220" s="81" t="str">
        <f t="shared" si="0"/>
        <v xml:space="preserve"> </v>
      </c>
      <c r="B220" s="81" t="str">
        <f t="shared" si="1"/>
        <v xml:space="preserve"> </v>
      </c>
      <c r="C220" s="79" t="str">
        <f t="shared" si="7"/>
        <v xml:space="preserve"> </v>
      </c>
      <c r="D220" s="79" t="str">
        <f t="shared" si="5"/>
        <v xml:space="preserve"> </v>
      </c>
      <c r="E220" s="79" t="str">
        <f t="shared" si="6"/>
        <v xml:space="preserve"> </v>
      </c>
    </row>
    <row r="221" spans="1:5" ht="12.5">
      <c r="A221" s="81" t="str">
        <f t="shared" si="0"/>
        <v xml:space="preserve"> </v>
      </c>
      <c r="B221" s="81" t="str">
        <f t="shared" si="1"/>
        <v xml:space="preserve"> </v>
      </c>
      <c r="C221" s="79" t="str">
        <f t="shared" si="7"/>
        <v xml:space="preserve"> </v>
      </c>
      <c r="D221" s="79" t="str">
        <f t="shared" si="5"/>
        <v xml:space="preserve"> </v>
      </c>
      <c r="E221" s="79" t="str">
        <f t="shared" si="6"/>
        <v xml:space="preserve"> </v>
      </c>
    </row>
    <row r="222" spans="1:5" ht="12.5">
      <c r="A222" s="81" t="str">
        <f t="shared" si="0"/>
        <v xml:space="preserve"> </v>
      </c>
      <c r="B222" s="81" t="str">
        <f t="shared" si="1"/>
        <v xml:space="preserve"> </v>
      </c>
      <c r="C222" s="79" t="str">
        <f t="shared" si="7"/>
        <v xml:space="preserve"> </v>
      </c>
      <c r="D222" s="79" t="str">
        <f t="shared" si="5"/>
        <v xml:space="preserve"> </v>
      </c>
      <c r="E222" s="79" t="str">
        <f t="shared" si="6"/>
        <v xml:space="preserve"> </v>
      </c>
    </row>
    <row r="223" spans="1:5" ht="12.5">
      <c r="A223" s="81" t="str">
        <f t="shared" si="0"/>
        <v xml:space="preserve"> </v>
      </c>
      <c r="B223" s="81" t="str">
        <f t="shared" si="1"/>
        <v xml:space="preserve"> </v>
      </c>
      <c r="C223" s="79" t="str">
        <f t="shared" si="7"/>
        <v xml:space="preserve"> </v>
      </c>
      <c r="D223" s="79" t="str">
        <f t="shared" si="5"/>
        <v xml:space="preserve"> </v>
      </c>
      <c r="E223" s="79" t="str">
        <f t="shared" si="6"/>
        <v xml:space="preserve"> </v>
      </c>
    </row>
    <row r="224" spans="1:5" ht="12.5">
      <c r="A224" s="81" t="str">
        <f t="shared" si="0"/>
        <v xml:space="preserve"> </v>
      </c>
      <c r="B224" s="81" t="str">
        <f t="shared" si="1"/>
        <v xml:space="preserve"> </v>
      </c>
      <c r="C224" s="79" t="str">
        <f t="shared" si="7"/>
        <v xml:space="preserve"> </v>
      </c>
      <c r="D224" s="79" t="str">
        <f t="shared" si="5"/>
        <v xml:space="preserve"> </v>
      </c>
      <c r="E224" s="79" t="str">
        <f t="shared" si="6"/>
        <v xml:space="preserve"> </v>
      </c>
    </row>
    <row r="225" spans="1:5" ht="12.5">
      <c r="A225" s="81" t="str">
        <f t="shared" si="0"/>
        <v xml:space="preserve"> </v>
      </c>
      <c r="B225" s="81" t="str">
        <f t="shared" si="1"/>
        <v xml:space="preserve"> </v>
      </c>
      <c r="C225" s="79" t="str">
        <f t="shared" si="7"/>
        <v xml:space="preserve"> </v>
      </c>
      <c r="D225" s="79" t="str">
        <f t="shared" si="5"/>
        <v xml:space="preserve"> </v>
      </c>
      <c r="E225" s="79" t="str">
        <f t="shared" si="6"/>
        <v xml:space="preserve"> </v>
      </c>
    </row>
    <row r="226" spans="1:5" ht="12.5">
      <c r="A226" s="81" t="str">
        <f t="shared" si="0"/>
        <v xml:space="preserve"> </v>
      </c>
      <c r="B226" s="81" t="str">
        <f t="shared" si="1"/>
        <v xml:space="preserve"> </v>
      </c>
      <c r="C226" s="79" t="str">
        <f t="shared" si="7"/>
        <v xml:space="preserve"> </v>
      </c>
      <c r="D226" s="79" t="str">
        <f t="shared" si="5"/>
        <v xml:space="preserve"> </v>
      </c>
      <c r="E226" s="79" t="str">
        <f t="shared" si="6"/>
        <v xml:space="preserve"> </v>
      </c>
    </row>
    <row r="227" spans="1:5" ht="12.5">
      <c r="A227" s="81" t="str">
        <f t="shared" si="0"/>
        <v xml:space="preserve"> </v>
      </c>
      <c r="B227" s="81" t="str">
        <f t="shared" si="1"/>
        <v xml:space="preserve"> </v>
      </c>
      <c r="C227" s="79" t="str">
        <f t="shared" si="7"/>
        <v xml:space="preserve"> </v>
      </c>
      <c r="D227" s="79" t="str">
        <f t="shared" si="5"/>
        <v xml:space="preserve"> </v>
      </c>
      <c r="E227" s="79" t="str">
        <f t="shared" si="6"/>
        <v xml:space="preserve"> </v>
      </c>
    </row>
    <row r="228" spans="1:5" ht="12.5">
      <c r="A228" s="81" t="str">
        <f t="shared" si="0"/>
        <v xml:space="preserve"> </v>
      </c>
      <c r="B228" s="81" t="str">
        <f t="shared" si="1"/>
        <v xml:space="preserve"> </v>
      </c>
      <c r="C228" s="79" t="str">
        <f t="shared" si="7"/>
        <v xml:space="preserve"> </v>
      </c>
      <c r="D228" s="79" t="str">
        <f t="shared" si="5"/>
        <v xml:space="preserve"> </v>
      </c>
      <c r="E228" s="79" t="str">
        <f t="shared" si="6"/>
        <v xml:space="preserve"> </v>
      </c>
    </row>
    <row r="229" spans="1:5" ht="12.5">
      <c r="A229" s="81" t="str">
        <f t="shared" si="0"/>
        <v xml:space="preserve"> </v>
      </c>
      <c r="B229" s="81" t="str">
        <f t="shared" si="1"/>
        <v xml:space="preserve"> </v>
      </c>
      <c r="C229" s="79" t="str">
        <f t="shared" si="7"/>
        <v xml:space="preserve"> </v>
      </c>
      <c r="D229" s="79" t="str">
        <f t="shared" si="5"/>
        <v xml:space="preserve"> </v>
      </c>
      <c r="E229" s="79" t="str">
        <f t="shared" si="6"/>
        <v xml:space="preserve"> </v>
      </c>
    </row>
    <row r="230" spans="1:5" ht="12.5">
      <c r="A230" s="81" t="str">
        <f t="shared" si="0"/>
        <v xml:space="preserve"> </v>
      </c>
      <c r="B230" s="81" t="str">
        <f t="shared" si="1"/>
        <v xml:space="preserve"> </v>
      </c>
      <c r="C230" s="79" t="str">
        <f t="shared" si="7"/>
        <v xml:space="preserve"> </v>
      </c>
      <c r="D230" s="79" t="str">
        <f t="shared" si="5"/>
        <v xml:space="preserve"> </v>
      </c>
      <c r="E230" s="79" t="str">
        <f t="shared" si="6"/>
        <v xml:space="preserve"> </v>
      </c>
    </row>
    <row r="231" spans="1:5" ht="12.5">
      <c r="A231" s="81" t="str">
        <f t="shared" si="0"/>
        <v xml:space="preserve"> </v>
      </c>
      <c r="B231" s="81" t="str">
        <f t="shared" si="1"/>
        <v xml:space="preserve"> </v>
      </c>
      <c r="C231" s="79" t="str">
        <f t="shared" si="7"/>
        <v xml:space="preserve"> </v>
      </c>
      <c r="D231" s="79" t="str">
        <f t="shared" si="5"/>
        <v xml:space="preserve"> </v>
      </c>
      <c r="E231" s="79" t="str">
        <f t="shared" si="6"/>
        <v xml:space="preserve"> </v>
      </c>
    </row>
    <row r="232" spans="1:5" ht="12.5">
      <c r="A232" s="81" t="str">
        <f t="shared" si="0"/>
        <v xml:space="preserve"> </v>
      </c>
      <c r="B232" s="81" t="str">
        <f t="shared" si="1"/>
        <v xml:space="preserve"> </v>
      </c>
      <c r="C232" s="79" t="str">
        <f t="shared" si="7"/>
        <v xml:space="preserve"> </v>
      </c>
      <c r="D232" s="79" t="str">
        <f t="shared" si="5"/>
        <v xml:space="preserve"> </v>
      </c>
      <c r="E232" s="79" t="str">
        <f t="shared" si="6"/>
        <v xml:space="preserve"> </v>
      </c>
    </row>
    <row r="233" spans="1:5" ht="12.5">
      <c r="A233" s="81" t="str">
        <f t="shared" si="0"/>
        <v xml:space="preserve"> </v>
      </c>
      <c r="B233" s="81" t="str">
        <f t="shared" si="1"/>
        <v xml:space="preserve"> </v>
      </c>
      <c r="C233" s="79" t="str">
        <f t="shared" si="7"/>
        <v xml:space="preserve"> </v>
      </c>
      <c r="D233" s="79" t="str">
        <f t="shared" si="5"/>
        <v xml:space="preserve"> </v>
      </c>
      <c r="E233" s="79" t="str">
        <f t="shared" si="6"/>
        <v xml:space="preserve"> </v>
      </c>
    </row>
    <row r="234" spans="1:5" ht="12.5">
      <c r="A234" s="81" t="str">
        <f t="shared" si="0"/>
        <v xml:space="preserve"> </v>
      </c>
      <c r="B234" s="81" t="str">
        <f t="shared" si="1"/>
        <v xml:space="preserve"> </v>
      </c>
      <c r="C234" s="79" t="str">
        <f t="shared" si="7"/>
        <v xml:space="preserve"> </v>
      </c>
      <c r="D234" s="79" t="str">
        <f t="shared" si="5"/>
        <v xml:space="preserve"> </v>
      </c>
      <c r="E234" s="79" t="str">
        <f t="shared" si="6"/>
        <v xml:space="preserve"> </v>
      </c>
    </row>
    <row r="235" spans="1:5" ht="12.5">
      <c r="A235" s="81" t="str">
        <f t="shared" si="0"/>
        <v xml:space="preserve"> </v>
      </c>
      <c r="B235" s="81" t="str">
        <f t="shared" si="1"/>
        <v xml:space="preserve"> </v>
      </c>
      <c r="C235" s="79" t="str">
        <f t="shared" si="7"/>
        <v xml:space="preserve"> </v>
      </c>
      <c r="D235" s="79" t="str">
        <f t="shared" si="5"/>
        <v xml:space="preserve"> </v>
      </c>
      <c r="E235" s="79" t="str">
        <f t="shared" si="6"/>
        <v xml:space="preserve"> </v>
      </c>
    </row>
    <row r="236" spans="1:5" ht="12.5">
      <c r="A236" s="81" t="str">
        <f t="shared" si="0"/>
        <v xml:space="preserve"> </v>
      </c>
      <c r="B236" s="81" t="str">
        <f t="shared" si="1"/>
        <v xml:space="preserve"> </v>
      </c>
      <c r="C236" s="79" t="str">
        <f t="shared" si="7"/>
        <v xml:space="preserve"> </v>
      </c>
      <c r="D236" s="79" t="str">
        <f t="shared" si="5"/>
        <v xml:space="preserve"> </v>
      </c>
      <c r="E236" s="79" t="str">
        <f t="shared" si="6"/>
        <v xml:space="preserve"> </v>
      </c>
    </row>
    <row r="237" spans="1:5" ht="12.5">
      <c r="A237" s="81" t="str">
        <f t="shared" si="0"/>
        <v xml:space="preserve"> </v>
      </c>
      <c r="B237" s="81" t="str">
        <f t="shared" si="1"/>
        <v xml:space="preserve"> </v>
      </c>
      <c r="C237" s="79" t="str">
        <f t="shared" si="7"/>
        <v xml:space="preserve"> </v>
      </c>
      <c r="D237" s="79" t="str">
        <f t="shared" si="5"/>
        <v xml:space="preserve"> </v>
      </c>
      <c r="E237" s="79" t="str">
        <f t="shared" si="6"/>
        <v xml:space="preserve"> </v>
      </c>
    </row>
    <row r="238" spans="1:5" ht="12.5">
      <c r="A238" s="81" t="str">
        <f t="shared" si="0"/>
        <v xml:space="preserve"> </v>
      </c>
      <c r="B238" s="81" t="str">
        <f t="shared" si="1"/>
        <v xml:space="preserve"> </v>
      </c>
      <c r="C238" s="79" t="str">
        <f t="shared" si="7"/>
        <v xml:space="preserve"> </v>
      </c>
      <c r="D238" s="79" t="str">
        <f t="shared" si="5"/>
        <v xml:space="preserve"> </v>
      </c>
      <c r="E238" s="79" t="str">
        <f t="shared" si="6"/>
        <v xml:space="preserve"> </v>
      </c>
    </row>
    <row r="239" spans="1:5" ht="12.5">
      <c r="A239" s="81" t="str">
        <f t="shared" si="0"/>
        <v xml:space="preserve"> </v>
      </c>
      <c r="B239" s="81" t="str">
        <f t="shared" si="1"/>
        <v xml:space="preserve"> </v>
      </c>
      <c r="C239" s="79" t="str">
        <f t="shared" si="7"/>
        <v xml:space="preserve"> </v>
      </c>
      <c r="D239" s="79" t="str">
        <f t="shared" si="5"/>
        <v xml:space="preserve"> </v>
      </c>
      <c r="E239" s="79" t="str">
        <f t="shared" si="6"/>
        <v xml:space="preserve"> </v>
      </c>
    </row>
    <row r="240" spans="1:5" ht="12.5">
      <c r="A240" s="81" t="str">
        <f t="shared" si="0"/>
        <v xml:space="preserve"> </v>
      </c>
      <c r="B240" s="81" t="str">
        <f t="shared" si="1"/>
        <v xml:space="preserve"> </v>
      </c>
      <c r="C240" s="79" t="str">
        <f t="shared" si="7"/>
        <v xml:space="preserve"> </v>
      </c>
      <c r="D240" s="79" t="str">
        <f t="shared" si="5"/>
        <v xml:space="preserve"> </v>
      </c>
      <c r="E240" s="79" t="str">
        <f t="shared" si="6"/>
        <v xml:space="preserve"> </v>
      </c>
    </row>
    <row r="241" spans="1:5" ht="12.5">
      <c r="A241" s="81" t="str">
        <f t="shared" si="0"/>
        <v xml:space="preserve"> </v>
      </c>
      <c r="B241" s="81" t="str">
        <f t="shared" si="1"/>
        <v xml:space="preserve"> </v>
      </c>
      <c r="C241" s="79" t="str">
        <f t="shared" si="7"/>
        <v xml:space="preserve"> </v>
      </c>
      <c r="D241" s="79" t="str">
        <f t="shared" si="5"/>
        <v xml:space="preserve"> </v>
      </c>
      <c r="E241" s="79" t="str">
        <f t="shared" si="6"/>
        <v xml:space="preserve"> </v>
      </c>
    </row>
    <row r="242" spans="1:5" ht="12.5">
      <c r="A242" s="81" t="str">
        <f t="shared" si="0"/>
        <v xml:space="preserve"> </v>
      </c>
      <c r="B242" s="81" t="str">
        <f t="shared" si="1"/>
        <v xml:space="preserve"> </v>
      </c>
      <c r="C242" s="79" t="str">
        <f t="shared" si="7"/>
        <v xml:space="preserve"> </v>
      </c>
      <c r="D242" s="79" t="str">
        <f t="shared" si="5"/>
        <v xml:space="preserve"> </v>
      </c>
      <c r="E242" s="79" t="str">
        <f t="shared" si="6"/>
        <v xml:space="preserve"> </v>
      </c>
    </row>
    <row r="243" spans="1:5" ht="12.5">
      <c r="A243" s="81" t="str">
        <f t="shared" si="0"/>
        <v xml:space="preserve"> </v>
      </c>
      <c r="B243" s="81" t="str">
        <f t="shared" si="1"/>
        <v xml:space="preserve"> </v>
      </c>
      <c r="C243" s="79" t="str">
        <f t="shared" si="7"/>
        <v xml:space="preserve"> </v>
      </c>
      <c r="D243" s="79" t="str">
        <f t="shared" si="5"/>
        <v xml:space="preserve"> </v>
      </c>
      <c r="E243" s="79" t="str">
        <f t="shared" si="6"/>
        <v xml:space="preserve"> </v>
      </c>
    </row>
    <row r="244" spans="1:5" ht="12.5">
      <c r="A244" s="81" t="str">
        <f t="shared" si="0"/>
        <v xml:space="preserve"> </v>
      </c>
      <c r="B244" s="81" t="str">
        <f t="shared" si="1"/>
        <v xml:space="preserve"> </v>
      </c>
      <c r="C244" s="79" t="str">
        <f t="shared" si="7"/>
        <v xml:space="preserve"> </v>
      </c>
      <c r="D244" s="79" t="str">
        <f t="shared" si="5"/>
        <v xml:space="preserve"> </v>
      </c>
      <c r="E244" s="79" t="str">
        <f t="shared" si="6"/>
        <v xml:space="preserve"> </v>
      </c>
    </row>
    <row r="245" spans="1:5" ht="12.5">
      <c r="A245" s="81" t="str">
        <f t="shared" si="0"/>
        <v xml:space="preserve"> </v>
      </c>
      <c r="B245" s="81" t="str">
        <f t="shared" si="1"/>
        <v xml:space="preserve"> </v>
      </c>
      <c r="C245" s="79" t="str">
        <f t="shared" si="7"/>
        <v xml:space="preserve"> </v>
      </c>
      <c r="D245" s="79" t="str">
        <f t="shared" si="5"/>
        <v xml:space="preserve"> </v>
      </c>
      <c r="E245" s="79" t="str">
        <f t="shared" si="6"/>
        <v xml:space="preserve"> </v>
      </c>
    </row>
    <row r="246" spans="1:5" ht="12.5">
      <c r="A246" s="81" t="str">
        <f t="shared" si="0"/>
        <v xml:space="preserve"> </v>
      </c>
      <c r="B246" s="81" t="str">
        <f t="shared" si="1"/>
        <v xml:space="preserve"> </v>
      </c>
      <c r="C246" s="79" t="str">
        <f t="shared" si="7"/>
        <v xml:space="preserve"> </v>
      </c>
      <c r="D246" s="79" t="str">
        <f t="shared" si="5"/>
        <v xml:space="preserve"> </v>
      </c>
      <c r="E246" s="79" t="str">
        <f t="shared" si="6"/>
        <v xml:space="preserve"> </v>
      </c>
    </row>
    <row r="247" spans="1:5" ht="12.5">
      <c r="A247" s="81" t="str">
        <f t="shared" si="0"/>
        <v xml:space="preserve"> </v>
      </c>
      <c r="B247" s="81" t="str">
        <f t="shared" si="1"/>
        <v xml:space="preserve"> </v>
      </c>
      <c r="C247" s="79" t="str">
        <f t="shared" si="7"/>
        <v xml:space="preserve"> </v>
      </c>
      <c r="D247" s="79" t="str">
        <f t="shared" si="5"/>
        <v xml:space="preserve"> </v>
      </c>
      <c r="E247" s="79" t="str">
        <f t="shared" si="6"/>
        <v xml:space="preserve"> </v>
      </c>
    </row>
    <row r="248" spans="1:5" ht="12.5">
      <c r="A248" s="81" t="str">
        <f t="shared" si="0"/>
        <v xml:space="preserve"> </v>
      </c>
      <c r="B248" s="81" t="str">
        <f t="shared" si="1"/>
        <v xml:space="preserve"> </v>
      </c>
      <c r="C248" s="79" t="str">
        <f t="shared" si="7"/>
        <v xml:space="preserve"> </v>
      </c>
      <c r="D248" s="79" t="str">
        <f t="shared" si="5"/>
        <v xml:space="preserve"> </v>
      </c>
      <c r="E248" s="79" t="str">
        <f t="shared" si="6"/>
        <v xml:space="preserve"> </v>
      </c>
    </row>
    <row r="249" spans="1:5" ht="12.5">
      <c r="A249" s="81" t="str">
        <f t="shared" si="0"/>
        <v xml:space="preserve"> </v>
      </c>
      <c r="B249" s="81" t="str">
        <f t="shared" si="1"/>
        <v xml:space="preserve"> </v>
      </c>
      <c r="C249" s="79" t="str">
        <f t="shared" si="7"/>
        <v xml:space="preserve"> </v>
      </c>
      <c r="D249" s="79" t="str">
        <f t="shared" si="5"/>
        <v xml:space="preserve"> </v>
      </c>
      <c r="E249" s="79" t="str">
        <f t="shared" si="6"/>
        <v xml:space="preserve"> </v>
      </c>
    </row>
    <row r="250" spans="1:5" ht="12.5">
      <c r="A250" s="81" t="str">
        <f t="shared" si="0"/>
        <v xml:space="preserve"> </v>
      </c>
      <c r="B250" s="81" t="str">
        <f t="shared" si="1"/>
        <v xml:space="preserve"> </v>
      </c>
      <c r="C250" s="79" t="str">
        <f t="shared" si="7"/>
        <v xml:space="preserve"> </v>
      </c>
      <c r="D250" s="79" t="str">
        <f t="shared" si="5"/>
        <v xml:space="preserve"> </v>
      </c>
      <c r="E250" s="79" t="str">
        <f t="shared" si="6"/>
        <v xml:space="preserve"> </v>
      </c>
    </row>
    <row r="251" spans="1:5" ht="12.5">
      <c r="A251" s="81" t="str">
        <f t="shared" si="0"/>
        <v xml:space="preserve"> </v>
      </c>
      <c r="B251" s="81" t="str">
        <f t="shared" si="1"/>
        <v xml:space="preserve"> </v>
      </c>
      <c r="C251" s="79" t="str">
        <f t="shared" si="7"/>
        <v xml:space="preserve"> </v>
      </c>
      <c r="D251" s="79" t="str">
        <f t="shared" si="5"/>
        <v xml:space="preserve"> </v>
      </c>
      <c r="E251" s="79" t="str">
        <f t="shared" si="6"/>
        <v xml:space="preserve"> </v>
      </c>
    </row>
    <row r="252" spans="1:5" ht="12.5">
      <c r="A252" s="81" t="str">
        <f t="shared" si="0"/>
        <v xml:space="preserve"> </v>
      </c>
      <c r="B252" s="81" t="str">
        <f t="shared" si="1"/>
        <v xml:space="preserve"> </v>
      </c>
      <c r="C252" s="79" t="str">
        <f t="shared" si="7"/>
        <v xml:space="preserve"> </v>
      </c>
      <c r="D252" s="79" t="str">
        <f t="shared" si="5"/>
        <v xml:space="preserve"> </v>
      </c>
      <c r="E252" s="79" t="str">
        <f t="shared" si="6"/>
        <v xml:space="preserve"> </v>
      </c>
    </row>
    <row r="253" spans="1:5" ht="12.5">
      <c r="A253" s="81" t="str">
        <f t="shared" si="0"/>
        <v xml:space="preserve"> </v>
      </c>
      <c r="B253" s="81" t="str">
        <f t="shared" si="1"/>
        <v xml:space="preserve"> </v>
      </c>
      <c r="C253" s="79" t="str">
        <f t="shared" si="7"/>
        <v xml:space="preserve"> </v>
      </c>
      <c r="D253" s="79" t="str">
        <f t="shared" si="5"/>
        <v xml:space="preserve"> </v>
      </c>
      <c r="E253" s="79" t="str">
        <f t="shared" si="6"/>
        <v xml:space="preserve"> </v>
      </c>
    </row>
    <row r="254" spans="1:5" ht="12.5">
      <c r="A254" s="81" t="str">
        <f t="shared" si="0"/>
        <v xml:space="preserve"> </v>
      </c>
      <c r="B254" s="81" t="str">
        <f t="shared" si="1"/>
        <v xml:space="preserve"> </v>
      </c>
      <c r="C254" s="79" t="str">
        <f t="shared" si="7"/>
        <v xml:space="preserve"> </v>
      </c>
      <c r="D254" s="79" t="str">
        <f t="shared" si="5"/>
        <v xml:space="preserve"> </v>
      </c>
      <c r="E254" s="79" t="str">
        <f t="shared" si="6"/>
        <v xml:space="preserve"> </v>
      </c>
    </row>
    <row r="255" spans="1:5" ht="12.5">
      <c r="A255" s="81" t="str">
        <f t="shared" si="0"/>
        <v xml:space="preserve"> </v>
      </c>
      <c r="B255" s="81" t="str">
        <f t="shared" si="1"/>
        <v xml:space="preserve"> </v>
      </c>
      <c r="C255" s="79" t="str">
        <f t="shared" si="7"/>
        <v xml:space="preserve"> </v>
      </c>
      <c r="D255" s="79" t="str">
        <f t="shared" si="5"/>
        <v xml:space="preserve"> </v>
      </c>
      <c r="E255" s="79" t="str">
        <f t="shared" si="6"/>
        <v xml:space="preserve"> </v>
      </c>
    </row>
    <row r="256" spans="1:5" ht="12.5">
      <c r="A256" s="81" t="str">
        <f t="shared" si="0"/>
        <v xml:space="preserve"> </v>
      </c>
      <c r="B256" s="81" t="str">
        <f t="shared" si="1"/>
        <v xml:space="preserve"> </v>
      </c>
      <c r="C256" s="79" t="str">
        <f t="shared" si="7"/>
        <v xml:space="preserve"> </v>
      </c>
      <c r="D256" s="79" t="str">
        <f t="shared" si="5"/>
        <v xml:space="preserve"> </v>
      </c>
      <c r="E256" s="79" t="str">
        <f t="shared" si="6"/>
        <v xml:space="preserve"> </v>
      </c>
    </row>
    <row r="257" spans="1:5" ht="12.5">
      <c r="A257" s="81" t="str">
        <f t="shared" si="0"/>
        <v xml:space="preserve"> </v>
      </c>
      <c r="B257" s="81" t="str">
        <f t="shared" si="1"/>
        <v xml:space="preserve"> </v>
      </c>
      <c r="C257" s="79" t="str">
        <f t="shared" si="7"/>
        <v xml:space="preserve"> </v>
      </c>
      <c r="D257" s="79" t="str">
        <f t="shared" si="5"/>
        <v xml:space="preserve"> </v>
      </c>
      <c r="E257" s="79" t="str">
        <f t="shared" si="6"/>
        <v xml:space="preserve"> </v>
      </c>
    </row>
    <row r="258" spans="1:5" ht="12.5">
      <c r="A258" s="81" t="str">
        <f t="shared" si="0"/>
        <v xml:space="preserve"> </v>
      </c>
      <c r="B258" s="81" t="str">
        <f t="shared" si="1"/>
        <v xml:space="preserve"> </v>
      </c>
      <c r="C258" s="79" t="str">
        <f t="shared" si="7"/>
        <v xml:space="preserve"> </v>
      </c>
      <c r="D258" s="79" t="str">
        <f t="shared" si="5"/>
        <v xml:space="preserve"> </v>
      </c>
      <c r="E258" s="79" t="str">
        <f t="shared" si="6"/>
        <v xml:space="preserve"> </v>
      </c>
    </row>
    <row r="259" spans="1:5" ht="12.5">
      <c r="A259" s="81" t="str">
        <f t="shared" si="0"/>
        <v xml:space="preserve"> </v>
      </c>
      <c r="B259" s="81" t="str">
        <f t="shared" si="1"/>
        <v xml:space="preserve"> </v>
      </c>
      <c r="C259" s="79" t="str">
        <f t="shared" si="7"/>
        <v xml:space="preserve"> </v>
      </c>
      <c r="D259" s="79" t="str">
        <f t="shared" si="5"/>
        <v xml:space="preserve"> </v>
      </c>
      <c r="E259" s="79" t="str">
        <f t="shared" si="6"/>
        <v xml:space="preserve"> </v>
      </c>
    </row>
    <row r="260" spans="1:5" ht="12.5">
      <c r="A260" s="81" t="str">
        <f t="shared" si="0"/>
        <v xml:space="preserve"> </v>
      </c>
      <c r="B260" s="81" t="str">
        <f t="shared" si="1"/>
        <v xml:space="preserve"> </v>
      </c>
      <c r="C260" s="79" t="str">
        <f t="shared" si="7"/>
        <v xml:space="preserve"> </v>
      </c>
      <c r="D260" s="79" t="str">
        <f t="shared" si="5"/>
        <v xml:space="preserve"> </v>
      </c>
      <c r="E260" s="79" t="str">
        <f t="shared" si="6"/>
        <v xml:space="preserve"> </v>
      </c>
    </row>
    <row r="261" spans="1:5" ht="12.5">
      <c r="A261" s="81" t="str">
        <f t="shared" si="0"/>
        <v xml:space="preserve"> </v>
      </c>
      <c r="B261" s="81" t="str">
        <f t="shared" si="1"/>
        <v xml:space="preserve"> </v>
      </c>
      <c r="C261" s="79" t="str">
        <f t="shared" si="7"/>
        <v xml:space="preserve"> </v>
      </c>
      <c r="D261" s="79" t="str">
        <f t="shared" si="5"/>
        <v xml:space="preserve"> </v>
      </c>
      <c r="E261" s="79" t="str">
        <f t="shared" si="6"/>
        <v xml:space="preserve"> </v>
      </c>
    </row>
    <row r="262" spans="1:5" ht="12.5">
      <c r="A262" s="81" t="str">
        <f t="shared" si="0"/>
        <v xml:space="preserve"> </v>
      </c>
      <c r="B262" s="81" t="str">
        <f t="shared" si="1"/>
        <v xml:space="preserve"> </v>
      </c>
      <c r="C262" s="79" t="str">
        <f t="shared" si="7"/>
        <v xml:space="preserve"> </v>
      </c>
      <c r="D262" s="79" t="str">
        <f t="shared" si="5"/>
        <v xml:space="preserve"> </v>
      </c>
      <c r="E262" s="79" t="str">
        <f t="shared" si="6"/>
        <v xml:space="preserve"> </v>
      </c>
    </row>
    <row r="263" spans="1:5" ht="12.5">
      <c r="A263" s="81" t="str">
        <f t="shared" si="0"/>
        <v xml:space="preserve"> </v>
      </c>
      <c r="B263" s="81" t="str">
        <f t="shared" si="1"/>
        <v xml:space="preserve"> </v>
      </c>
      <c r="C263" s="79" t="str">
        <f t="shared" si="7"/>
        <v xml:space="preserve"> </v>
      </c>
      <c r="D263" s="79" t="str">
        <f t="shared" si="5"/>
        <v xml:space="preserve"> </v>
      </c>
      <c r="E263" s="79" t="str">
        <f t="shared" si="6"/>
        <v xml:space="preserve"> </v>
      </c>
    </row>
    <row r="264" spans="1:5" ht="12.5">
      <c r="A264" s="81" t="str">
        <f t="shared" si="0"/>
        <v xml:space="preserve"> </v>
      </c>
      <c r="B264" s="81" t="str">
        <f t="shared" si="1"/>
        <v xml:space="preserve"> </v>
      </c>
      <c r="C264" s="79" t="str">
        <f t="shared" si="7"/>
        <v xml:space="preserve"> </v>
      </c>
      <c r="D264" s="79" t="str">
        <f t="shared" si="5"/>
        <v xml:space="preserve"> </v>
      </c>
      <c r="E264" s="79" t="str">
        <f t="shared" si="6"/>
        <v xml:space="preserve"> </v>
      </c>
    </row>
    <row r="265" spans="1:5" ht="12.5">
      <c r="A265" s="81" t="str">
        <f t="shared" si="0"/>
        <v xml:space="preserve"> </v>
      </c>
      <c r="B265" s="81" t="str">
        <f t="shared" si="1"/>
        <v xml:space="preserve"> </v>
      </c>
      <c r="C265" s="79" t="str">
        <f t="shared" si="7"/>
        <v xml:space="preserve"> </v>
      </c>
      <c r="D265" s="79" t="str">
        <f t="shared" si="5"/>
        <v xml:space="preserve"> </v>
      </c>
      <c r="E265" s="79" t="str">
        <f t="shared" si="6"/>
        <v xml:space="preserve"> </v>
      </c>
    </row>
    <row r="266" spans="1:5" ht="12.5">
      <c r="A266" s="81" t="str">
        <f t="shared" si="0"/>
        <v xml:space="preserve"> </v>
      </c>
      <c r="B266" s="81" t="str">
        <f t="shared" si="1"/>
        <v xml:space="preserve"> </v>
      </c>
      <c r="C266" s="79" t="str">
        <f t="shared" si="7"/>
        <v xml:space="preserve"> </v>
      </c>
      <c r="D266" s="79" t="str">
        <f t="shared" si="5"/>
        <v xml:space="preserve"> </v>
      </c>
      <c r="E266" s="79" t="str">
        <f t="shared" si="6"/>
        <v xml:space="preserve"> </v>
      </c>
    </row>
    <row r="267" spans="1:5" ht="12.5">
      <c r="A267" s="81" t="str">
        <f t="shared" si="0"/>
        <v xml:space="preserve"> </v>
      </c>
      <c r="B267" s="81" t="str">
        <f t="shared" si="1"/>
        <v xml:space="preserve"> </v>
      </c>
      <c r="C267" s="79" t="str">
        <f t="shared" si="7"/>
        <v xml:space="preserve"> </v>
      </c>
      <c r="D267" s="79" t="str">
        <f t="shared" si="5"/>
        <v xml:space="preserve"> </v>
      </c>
      <c r="E267" s="79" t="str">
        <f t="shared" si="6"/>
        <v xml:space="preserve"> </v>
      </c>
    </row>
    <row r="268" spans="1:5" ht="12.5">
      <c r="A268" s="81" t="str">
        <f t="shared" si="0"/>
        <v xml:space="preserve"> </v>
      </c>
      <c r="B268" s="81" t="str">
        <f t="shared" si="1"/>
        <v xml:space="preserve"> </v>
      </c>
      <c r="C268" s="79" t="str">
        <f t="shared" si="7"/>
        <v xml:space="preserve"> </v>
      </c>
      <c r="D268" s="79" t="str">
        <f t="shared" si="5"/>
        <v xml:space="preserve"> </v>
      </c>
      <c r="E268" s="79" t="str">
        <f t="shared" si="6"/>
        <v xml:space="preserve"> </v>
      </c>
    </row>
    <row r="269" spans="1:5" ht="12.5">
      <c r="A269" s="81" t="str">
        <f t="shared" si="0"/>
        <v xml:space="preserve"> </v>
      </c>
      <c r="B269" s="81" t="str">
        <f t="shared" si="1"/>
        <v xml:space="preserve"> </v>
      </c>
      <c r="C269" s="79" t="str">
        <f t="shared" si="7"/>
        <v xml:space="preserve"> </v>
      </c>
      <c r="D269" s="79" t="str">
        <f t="shared" si="5"/>
        <v xml:space="preserve"> </v>
      </c>
      <c r="E269" s="79" t="str">
        <f t="shared" si="6"/>
        <v xml:space="preserve"> </v>
      </c>
    </row>
    <row r="270" spans="1:5" ht="12.5">
      <c r="A270" s="81" t="str">
        <f t="shared" si="0"/>
        <v xml:space="preserve"> </v>
      </c>
      <c r="B270" s="81" t="str">
        <f t="shared" si="1"/>
        <v xml:space="preserve"> </v>
      </c>
      <c r="C270" s="79" t="str">
        <f t="shared" si="7"/>
        <v xml:space="preserve"> </v>
      </c>
      <c r="D270" s="79" t="str">
        <f t="shared" si="5"/>
        <v xml:space="preserve"> </v>
      </c>
      <c r="E270" s="79" t="str">
        <f t="shared" si="6"/>
        <v xml:space="preserve"> </v>
      </c>
    </row>
    <row r="271" spans="1:5" ht="12.5">
      <c r="A271" s="81" t="str">
        <f t="shared" si="0"/>
        <v xml:space="preserve"> </v>
      </c>
      <c r="B271" s="81" t="str">
        <f t="shared" si="1"/>
        <v xml:space="preserve"> </v>
      </c>
      <c r="C271" s="79" t="str">
        <f t="shared" si="7"/>
        <v xml:space="preserve"> </v>
      </c>
      <c r="D271" s="79" t="str">
        <f t="shared" si="5"/>
        <v xml:space="preserve"> </v>
      </c>
      <c r="E271" s="79" t="str">
        <f t="shared" si="6"/>
        <v xml:space="preserve"> </v>
      </c>
    </row>
    <row r="272" spans="1:5" ht="12.5">
      <c r="A272" s="81" t="str">
        <f t="shared" si="0"/>
        <v xml:space="preserve"> </v>
      </c>
      <c r="B272" s="81" t="str">
        <f t="shared" si="1"/>
        <v xml:space="preserve"> </v>
      </c>
      <c r="C272" s="79" t="str">
        <f t="shared" si="7"/>
        <v xml:space="preserve"> </v>
      </c>
      <c r="D272" s="79" t="str">
        <f t="shared" si="5"/>
        <v xml:space="preserve"> </v>
      </c>
      <c r="E272" s="79" t="str">
        <f t="shared" si="6"/>
        <v xml:space="preserve"> </v>
      </c>
    </row>
    <row r="273" spans="1:5" ht="12.5">
      <c r="A273" s="81" t="str">
        <f t="shared" si="0"/>
        <v xml:space="preserve"> </v>
      </c>
      <c r="B273" s="81" t="str">
        <f t="shared" si="1"/>
        <v xml:space="preserve"> </v>
      </c>
      <c r="C273" s="79" t="str">
        <f t="shared" si="7"/>
        <v xml:space="preserve"> </v>
      </c>
      <c r="D273" s="79" t="str">
        <f t="shared" si="5"/>
        <v xml:space="preserve"> </v>
      </c>
      <c r="E273" s="79" t="str">
        <f t="shared" si="6"/>
        <v xml:space="preserve"> </v>
      </c>
    </row>
    <row r="274" spans="1:5" ht="12.5">
      <c r="A274" s="81" t="str">
        <f t="shared" si="0"/>
        <v xml:space="preserve"> </v>
      </c>
      <c r="B274" s="81" t="str">
        <f t="shared" si="1"/>
        <v xml:space="preserve"> </v>
      </c>
      <c r="C274" s="79" t="str">
        <f t="shared" si="7"/>
        <v xml:space="preserve"> </v>
      </c>
      <c r="D274" s="79" t="str">
        <f t="shared" si="5"/>
        <v xml:space="preserve"> </v>
      </c>
      <c r="E274" s="79" t="str">
        <f t="shared" si="6"/>
        <v xml:space="preserve"> </v>
      </c>
    </row>
    <row r="275" spans="1:5" ht="12.5">
      <c r="A275" s="81" t="str">
        <f t="shared" si="0"/>
        <v xml:space="preserve"> </v>
      </c>
      <c r="B275" s="81" t="str">
        <f t="shared" si="1"/>
        <v xml:space="preserve"> </v>
      </c>
      <c r="C275" s="79" t="str">
        <f t="shared" si="7"/>
        <v xml:space="preserve"> </v>
      </c>
      <c r="D275" s="79" t="str">
        <f t="shared" si="5"/>
        <v xml:space="preserve"> </v>
      </c>
      <c r="E275" s="79" t="str">
        <f t="shared" si="6"/>
        <v xml:space="preserve"> </v>
      </c>
    </row>
    <row r="276" spans="1:5" ht="12.5">
      <c r="A276" s="81" t="str">
        <f t="shared" si="0"/>
        <v xml:space="preserve"> </v>
      </c>
      <c r="B276" s="81" t="str">
        <f t="shared" si="1"/>
        <v xml:space="preserve"> </v>
      </c>
      <c r="C276" s="79" t="str">
        <f t="shared" si="7"/>
        <v xml:space="preserve"> </v>
      </c>
      <c r="D276" s="79" t="str">
        <f t="shared" si="5"/>
        <v xml:space="preserve"> </v>
      </c>
      <c r="E276" s="79" t="str">
        <f t="shared" si="6"/>
        <v xml:space="preserve"> </v>
      </c>
    </row>
    <row r="277" spans="1:5" ht="12.5">
      <c r="A277" s="81" t="str">
        <f t="shared" si="0"/>
        <v xml:space="preserve"> </v>
      </c>
      <c r="B277" s="81" t="str">
        <f t="shared" si="1"/>
        <v xml:space="preserve"> </v>
      </c>
      <c r="C277" s="79" t="str">
        <f t="shared" si="7"/>
        <v xml:space="preserve"> </v>
      </c>
      <c r="D277" s="79" t="str">
        <f t="shared" si="5"/>
        <v xml:space="preserve"> </v>
      </c>
      <c r="E277" s="79" t="str">
        <f t="shared" si="6"/>
        <v xml:space="preserve"> </v>
      </c>
    </row>
    <row r="278" spans="1:5" ht="12.5">
      <c r="A278" s="81" t="str">
        <f t="shared" si="0"/>
        <v xml:space="preserve"> </v>
      </c>
      <c r="B278" s="81" t="str">
        <f t="shared" si="1"/>
        <v xml:space="preserve"> </v>
      </c>
      <c r="C278" s="79" t="str">
        <f t="shared" si="7"/>
        <v xml:space="preserve"> </v>
      </c>
      <c r="D278" s="79" t="str">
        <f t="shared" si="5"/>
        <v xml:space="preserve"> </v>
      </c>
      <c r="E278" s="79" t="str">
        <f t="shared" si="6"/>
        <v xml:space="preserve"> </v>
      </c>
    </row>
    <row r="279" spans="1:5" ht="12.5">
      <c r="A279" s="81" t="str">
        <f t="shared" si="0"/>
        <v xml:space="preserve"> </v>
      </c>
      <c r="B279" s="81" t="str">
        <f t="shared" si="1"/>
        <v xml:space="preserve"> </v>
      </c>
      <c r="C279" s="79" t="str">
        <f t="shared" si="7"/>
        <v xml:space="preserve"> </v>
      </c>
      <c r="D279" s="79" t="str">
        <f t="shared" si="5"/>
        <v xml:space="preserve"> </v>
      </c>
      <c r="E279" s="79" t="str">
        <f t="shared" si="6"/>
        <v xml:space="preserve"> </v>
      </c>
    </row>
    <row r="280" spans="1:5" ht="12.5">
      <c r="A280" s="81" t="str">
        <f t="shared" si="0"/>
        <v xml:space="preserve"> </v>
      </c>
      <c r="B280" s="81" t="str">
        <f t="shared" si="1"/>
        <v xml:space="preserve"> </v>
      </c>
      <c r="C280" s="79" t="str">
        <f t="shared" si="7"/>
        <v xml:space="preserve"> </v>
      </c>
      <c r="D280" s="79" t="str">
        <f t="shared" si="5"/>
        <v xml:space="preserve"> </v>
      </c>
      <c r="E280" s="79" t="str">
        <f t="shared" si="6"/>
        <v xml:space="preserve"> </v>
      </c>
    </row>
    <row r="281" spans="1:5" ht="12.5">
      <c r="A281" s="81" t="str">
        <f t="shared" si="0"/>
        <v xml:space="preserve"> </v>
      </c>
      <c r="B281" s="81" t="str">
        <f t="shared" si="1"/>
        <v xml:space="preserve"> </v>
      </c>
      <c r="C281" s="79" t="str">
        <f t="shared" si="7"/>
        <v xml:space="preserve"> </v>
      </c>
      <c r="D281" s="79" t="str">
        <f t="shared" si="5"/>
        <v xml:space="preserve"> </v>
      </c>
      <c r="E281" s="79" t="str">
        <f t="shared" si="6"/>
        <v xml:space="preserve"> </v>
      </c>
    </row>
    <row r="282" spans="1:5" ht="12.5">
      <c r="A282" s="81" t="str">
        <f t="shared" si="0"/>
        <v xml:space="preserve"> </v>
      </c>
      <c r="B282" s="81" t="str">
        <f t="shared" si="1"/>
        <v xml:space="preserve"> </v>
      </c>
      <c r="C282" s="79" t="str">
        <f t="shared" si="7"/>
        <v xml:space="preserve"> </v>
      </c>
      <c r="D282" s="79" t="str">
        <f t="shared" si="5"/>
        <v xml:space="preserve"> </v>
      </c>
      <c r="E282" s="79" t="str">
        <f t="shared" si="6"/>
        <v xml:space="preserve"> </v>
      </c>
    </row>
    <row r="283" spans="1:5" ht="12.5">
      <c r="A283" s="81" t="str">
        <f t="shared" si="0"/>
        <v xml:space="preserve"> </v>
      </c>
      <c r="B283" s="81" t="str">
        <f t="shared" si="1"/>
        <v xml:space="preserve"> </v>
      </c>
      <c r="C283" s="79" t="str">
        <f t="shared" si="7"/>
        <v xml:space="preserve"> </v>
      </c>
      <c r="D283" s="79" t="str">
        <f t="shared" si="5"/>
        <v xml:space="preserve"> </v>
      </c>
      <c r="E283" s="79" t="str">
        <f t="shared" si="6"/>
        <v xml:space="preserve"> </v>
      </c>
    </row>
    <row r="284" spans="1:5" ht="12.5">
      <c r="A284" s="81" t="str">
        <f t="shared" si="0"/>
        <v xml:space="preserve"> </v>
      </c>
      <c r="B284" s="81" t="str">
        <f t="shared" si="1"/>
        <v xml:space="preserve"> </v>
      </c>
      <c r="C284" s="79" t="str">
        <f t="shared" si="7"/>
        <v xml:space="preserve"> </v>
      </c>
      <c r="D284" s="79" t="str">
        <f t="shared" si="5"/>
        <v xml:space="preserve"> </v>
      </c>
      <c r="E284" s="79" t="str">
        <f t="shared" si="6"/>
        <v xml:space="preserve"> </v>
      </c>
    </row>
    <row r="285" spans="1:5" ht="12.5">
      <c r="A285" s="81" t="str">
        <f t="shared" si="0"/>
        <v xml:space="preserve"> </v>
      </c>
      <c r="B285" s="81" t="str">
        <f t="shared" si="1"/>
        <v xml:space="preserve"> </v>
      </c>
      <c r="C285" s="79" t="str">
        <f t="shared" si="7"/>
        <v xml:space="preserve"> </v>
      </c>
      <c r="D285" s="79" t="str">
        <f t="shared" si="5"/>
        <v xml:space="preserve"> </v>
      </c>
      <c r="E285" s="79" t="str">
        <f t="shared" si="6"/>
        <v xml:space="preserve"> </v>
      </c>
    </row>
    <row r="286" spans="1:5" ht="12.5">
      <c r="A286" s="81" t="str">
        <f t="shared" si="0"/>
        <v xml:space="preserve"> </v>
      </c>
      <c r="B286" s="81" t="str">
        <f t="shared" si="1"/>
        <v xml:space="preserve"> </v>
      </c>
      <c r="C286" s="79" t="str">
        <f t="shared" si="7"/>
        <v xml:space="preserve"> </v>
      </c>
      <c r="D286" s="79" t="str">
        <f t="shared" si="5"/>
        <v xml:space="preserve"> </v>
      </c>
      <c r="E286" s="79" t="str">
        <f t="shared" si="6"/>
        <v xml:space="preserve"> </v>
      </c>
    </row>
    <row r="287" spans="1:5" ht="12.5">
      <c r="A287" s="81" t="str">
        <f t="shared" si="0"/>
        <v xml:space="preserve"> </v>
      </c>
      <c r="B287" s="81" t="str">
        <f t="shared" si="1"/>
        <v xml:space="preserve"> </v>
      </c>
      <c r="C287" s="79" t="str">
        <f t="shared" si="7"/>
        <v xml:space="preserve"> </v>
      </c>
      <c r="D287" s="79" t="str">
        <f t="shared" si="5"/>
        <v xml:space="preserve"> </v>
      </c>
      <c r="E287" s="79" t="str">
        <f t="shared" si="6"/>
        <v xml:space="preserve"> </v>
      </c>
    </row>
    <row r="288" spans="1:5" ht="12.5">
      <c r="A288" s="81" t="str">
        <f t="shared" si="0"/>
        <v xml:space="preserve"> </v>
      </c>
      <c r="B288" s="81" t="str">
        <f t="shared" si="1"/>
        <v xml:space="preserve"> </v>
      </c>
      <c r="C288" s="79" t="str">
        <f t="shared" si="7"/>
        <v xml:space="preserve"> </v>
      </c>
      <c r="D288" s="79" t="str">
        <f t="shared" si="5"/>
        <v xml:space="preserve"> </v>
      </c>
      <c r="E288" s="79" t="str">
        <f t="shared" si="6"/>
        <v xml:space="preserve"> </v>
      </c>
    </row>
    <row r="289" spans="1:5" ht="12.5">
      <c r="A289" s="81" t="str">
        <f t="shared" si="0"/>
        <v xml:space="preserve"> </v>
      </c>
      <c r="B289" s="81" t="str">
        <f t="shared" si="1"/>
        <v xml:space="preserve"> </v>
      </c>
      <c r="C289" s="79" t="str">
        <f t="shared" si="7"/>
        <v xml:space="preserve"> </v>
      </c>
      <c r="D289" s="79" t="str">
        <f t="shared" si="5"/>
        <v xml:space="preserve"> </v>
      </c>
      <c r="E289" s="79" t="str">
        <f t="shared" si="6"/>
        <v xml:space="preserve"> </v>
      </c>
    </row>
    <row r="290" spans="1:5" ht="12.5">
      <c r="A290" s="81" t="str">
        <f t="shared" si="0"/>
        <v xml:space="preserve"> </v>
      </c>
      <c r="B290" s="81" t="str">
        <f t="shared" si="1"/>
        <v xml:space="preserve"> </v>
      </c>
      <c r="C290" s="79" t="str">
        <f t="shared" si="7"/>
        <v xml:space="preserve"> </v>
      </c>
      <c r="D290" s="79" t="str">
        <f t="shared" si="5"/>
        <v xml:space="preserve"> </v>
      </c>
      <c r="E290" s="79" t="str">
        <f t="shared" si="6"/>
        <v xml:space="preserve"> </v>
      </c>
    </row>
    <row r="291" spans="1:5" ht="12.5">
      <c r="A291" s="81" t="str">
        <f t="shared" si="0"/>
        <v xml:space="preserve"> </v>
      </c>
      <c r="B291" s="81" t="str">
        <f t="shared" si="1"/>
        <v xml:space="preserve"> </v>
      </c>
      <c r="C291" s="79" t="str">
        <f t="shared" si="7"/>
        <v xml:space="preserve"> </v>
      </c>
      <c r="D291" s="79" t="str">
        <f t="shared" si="5"/>
        <v xml:space="preserve"> </v>
      </c>
      <c r="E291" s="79" t="str">
        <f t="shared" si="6"/>
        <v xml:space="preserve"> </v>
      </c>
    </row>
    <row r="292" spans="1:5" ht="12.5">
      <c r="A292" s="81" t="str">
        <f t="shared" si="0"/>
        <v xml:space="preserve"> </v>
      </c>
      <c r="B292" s="81" t="str">
        <f t="shared" si="1"/>
        <v xml:space="preserve"> </v>
      </c>
      <c r="C292" s="79" t="str">
        <f t="shared" si="7"/>
        <v xml:space="preserve"> </v>
      </c>
      <c r="D292" s="79" t="str">
        <f t="shared" si="5"/>
        <v xml:space="preserve"> </v>
      </c>
      <c r="E292" s="79" t="str">
        <f t="shared" si="6"/>
        <v xml:space="preserve"> </v>
      </c>
    </row>
    <row r="293" spans="1:5" ht="12.5">
      <c r="A293" s="81" t="str">
        <f t="shared" si="0"/>
        <v xml:space="preserve"> </v>
      </c>
      <c r="B293" s="81" t="str">
        <f t="shared" si="1"/>
        <v xml:space="preserve"> </v>
      </c>
      <c r="C293" s="79" t="str">
        <f t="shared" si="7"/>
        <v xml:space="preserve"> </v>
      </c>
      <c r="D293" s="79" t="str">
        <f t="shared" si="5"/>
        <v xml:space="preserve"> </v>
      </c>
      <c r="E293" s="79" t="str">
        <f t="shared" si="6"/>
        <v xml:space="preserve"> </v>
      </c>
    </row>
    <row r="294" spans="1:5" ht="12.5">
      <c r="A294" s="81" t="str">
        <f t="shared" si="0"/>
        <v xml:space="preserve"> </v>
      </c>
      <c r="B294" s="81" t="str">
        <f t="shared" si="1"/>
        <v xml:space="preserve"> </v>
      </c>
      <c r="C294" s="79" t="str">
        <f t="shared" si="7"/>
        <v xml:space="preserve"> </v>
      </c>
      <c r="D294" s="79" t="str">
        <f t="shared" si="5"/>
        <v xml:space="preserve"> </v>
      </c>
      <c r="E294" s="79" t="str">
        <f t="shared" si="6"/>
        <v xml:space="preserve"> </v>
      </c>
    </row>
    <row r="295" spans="1:5" ht="12.5">
      <c r="A295" s="81" t="str">
        <f t="shared" si="0"/>
        <v xml:space="preserve"> </v>
      </c>
      <c r="B295" s="81" t="str">
        <f t="shared" si="1"/>
        <v xml:space="preserve"> </v>
      </c>
      <c r="C295" s="79" t="str">
        <f t="shared" si="7"/>
        <v xml:space="preserve"> </v>
      </c>
      <c r="D295" s="79" t="str">
        <f t="shared" si="5"/>
        <v xml:space="preserve"> </v>
      </c>
      <c r="E295" s="79" t="str">
        <f t="shared" si="6"/>
        <v xml:space="preserve"> </v>
      </c>
    </row>
    <row r="296" spans="1:5" ht="12.5">
      <c r="A296" s="81" t="str">
        <f t="shared" si="0"/>
        <v xml:space="preserve"> </v>
      </c>
      <c r="B296" s="81" t="str">
        <f t="shared" si="1"/>
        <v xml:space="preserve"> </v>
      </c>
      <c r="C296" s="79" t="str">
        <f t="shared" si="7"/>
        <v xml:space="preserve"> </v>
      </c>
      <c r="D296" s="79" t="str">
        <f t="shared" si="5"/>
        <v xml:space="preserve"> </v>
      </c>
      <c r="E296" s="79" t="str">
        <f t="shared" si="6"/>
        <v xml:space="preserve"> </v>
      </c>
    </row>
    <row r="297" spans="1:5" ht="12.5">
      <c r="A297" s="81" t="str">
        <f t="shared" si="0"/>
        <v xml:space="preserve"> </v>
      </c>
      <c r="B297" s="81" t="str">
        <f t="shared" si="1"/>
        <v xml:space="preserve"> </v>
      </c>
      <c r="C297" s="79" t="str">
        <f t="shared" si="7"/>
        <v xml:space="preserve"> </v>
      </c>
      <c r="D297" s="79" t="str">
        <f t="shared" si="5"/>
        <v xml:space="preserve"> </v>
      </c>
      <c r="E297" s="79" t="str">
        <f t="shared" si="6"/>
        <v xml:space="preserve"> </v>
      </c>
    </row>
    <row r="298" spans="1:5" ht="12.5">
      <c r="A298" s="81" t="str">
        <f t="shared" si="0"/>
        <v xml:space="preserve"> </v>
      </c>
      <c r="B298" s="81" t="str">
        <f t="shared" si="1"/>
        <v xml:space="preserve"> </v>
      </c>
      <c r="C298" s="79" t="str">
        <f t="shared" si="7"/>
        <v xml:space="preserve"> </v>
      </c>
      <c r="D298" s="79" t="str">
        <f t="shared" si="5"/>
        <v xml:space="preserve"> </v>
      </c>
      <c r="E298" s="79" t="str">
        <f t="shared" si="6"/>
        <v xml:space="preserve"> </v>
      </c>
    </row>
    <row r="299" spans="1:5" ht="12.5">
      <c r="A299" s="81" t="str">
        <f t="shared" si="0"/>
        <v xml:space="preserve"> </v>
      </c>
      <c r="B299" s="81" t="str">
        <f t="shared" si="1"/>
        <v xml:space="preserve"> </v>
      </c>
      <c r="C299" s="79" t="str">
        <f t="shared" si="7"/>
        <v xml:space="preserve"> </v>
      </c>
      <c r="D299" s="79" t="str">
        <f t="shared" si="5"/>
        <v xml:space="preserve"> </v>
      </c>
      <c r="E299" s="79" t="str">
        <f t="shared" si="6"/>
        <v xml:space="preserve"> </v>
      </c>
    </row>
    <row r="300" spans="1:5" ht="12.5">
      <c r="A300" s="81" t="str">
        <f t="shared" si="0"/>
        <v xml:space="preserve"> </v>
      </c>
      <c r="B300" s="81" t="str">
        <f t="shared" si="1"/>
        <v xml:space="preserve"> </v>
      </c>
      <c r="C300" s="79" t="str">
        <f t="shared" si="7"/>
        <v xml:space="preserve"> </v>
      </c>
      <c r="D300" s="79" t="str">
        <f t="shared" si="5"/>
        <v xml:space="preserve"> </v>
      </c>
      <c r="E300" s="79" t="str">
        <f t="shared" si="6"/>
        <v xml:space="preserve"> </v>
      </c>
    </row>
    <row r="301" spans="1:5" ht="12.5">
      <c r="A301" s="81" t="str">
        <f t="shared" si="0"/>
        <v xml:space="preserve"> </v>
      </c>
      <c r="B301" s="81" t="str">
        <f t="shared" si="1"/>
        <v xml:space="preserve"> </v>
      </c>
      <c r="C301" s="79" t="str">
        <f t="shared" si="7"/>
        <v xml:space="preserve"> </v>
      </c>
      <c r="D301" s="79" t="str">
        <f t="shared" si="5"/>
        <v xml:space="preserve"> </v>
      </c>
      <c r="E301" s="79" t="str">
        <f t="shared" si="6"/>
        <v xml:space="preserve"> </v>
      </c>
    </row>
    <row r="302" spans="1:5" ht="12.5">
      <c r="A302" s="81" t="str">
        <f t="shared" si="0"/>
        <v xml:space="preserve"> </v>
      </c>
      <c r="B302" s="81" t="str">
        <f t="shared" si="1"/>
        <v xml:space="preserve"> </v>
      </c>
      <c r="C302" s="79" t="str">
        <f t="shared" si="7"/>
        <v xml:space="preserve"> </v>
      </c>
      <c r="D302" s="79" t="str">
        <f t="shared" si="5"/>
        <v xml:space="preserve"> </v>
      </c>
      <c r="E302" s="79" t="str">
        <f t="shared" si="6"/>
        <v xml:space="preserve"> </v>
      </c>
    </row>
    <row r="303" spans="1:5" ht="12.5">
      <c r="A303" s="81" t="str">
        <f t="shared" si="0"/>
        <v xml:space="preserve"> </v>
      </c>
      <c r="B303" s="81" t="str">
        <f t="shared" si="1"/>
        <v xml:space="preserve"> </v>
      </c>
      <c r="C303" s="79" t="str">
        <f t="shared" si="7"/>
        <v xml:space="preserve"> </v>
      </c>
      <c r="D303" s="79" t="str">
        <f t="shared" si="5"/>
        <v xml:space="preserve"> </v>
      </c>
      <c r="E303" s="79" t="str">
        <f t="shared" si="6"/>
        <v xml:space="preserve"> </v>
      </c>
    </row>
    <row r="304" spans="1:5" ht="12.5">
      <c r="A304" s="81" t="str">
        <f t="shared" si="0"/>
        <v xml:space="preserve"> </v>
      </c>
      <c r="B304" s="81" t="str">
        <f t="shared" si="1"/>
        <v xml:space="preserve"> </v>
      </c>
      <c r="C304" s="79" t="str">
        <f t="shared" si="7"/>
        <v xml:space="preserve"> </v>
      </c>
      <c r="D304" s="79" t="str">
        <f t="shared" si="5"/>
        <v xml:space="preserve"> </v>
      </c>
      <c r="E304" s="79" t="str">
        <f t="shared" si="6"/>
        <v xml:space="preserve"> </v>
      </c>
    </row>
    <row r="305" spans="1:5" ht="12.5">
      <c r="A305" s="81" t="str">
        <f t="shared" si="0"/>
        <v xml:space="preserve"> </v>
      </c>
      <c r="B305" s="81" t="str">
        <f t="shared" si="1"/>
        <v xml:space="preserve"> </v>
      </c>
      <c r="C305" s="79" t="str">
        <f t="shared" si="7"/>
        <v xml:space="preserve"> </v>
      </c>
      <c r="D305" s="79" t="str">
        <f t="shared" si="5"/>
        <v xml:space="preserve"> </v>
      </c>
      <c r="E305" s="79" t="str">
        <f t="shared" si="6"/>
        <v xml:space="preserve"> </v>
      </c>
    </row>
    <row r="306" spans="1:5" ht="12.5">
      <c r="A306" s="81" t="str">
        <f t="shared" si="0"/>
        <v xml:space="preserve"> </v>
      </c>
      <c r="B306" s="81" t="str">
        <f t="shared" si="1"/>
        <v xml:space="preserve"> </v>
      </c>
      <c r="C306" s="79" t="str">
        <f t="shared" si="7"/>
        <v xml:space="preserve"> </v>
      </c>
      <c r="D306" s="79" t="str">
        <f t="shared" si="5"/>
        <v xml:space="preserve"> </v>
      </c>
      <c r="E306" s="79" t="str">
        <f t="shared" si="6"/>
        <v xml:space="preserve"> </v>
      </c>
    </row>
    <row r="307" spans="1:5" ht="12.5">
      <c r="A307" s="81" t="str">
        <f t="shared" si="0"/>
        <v xml:space="preserve"> </v>
      </c>
      <c r="B307" s="81" t="str">
        <f t="shared" si="1"/>
        <v xml:space="preserve"> </v>
      </c>
      <c r="C307" s="79" t="str">
        <f t="shared" si="7"/>
        <v xml:space="preserve"> </v>
      </c>
      <c r="D307" s="79" t="str">
        <f t="shared" si="5"/>
        <v xml:space="preserve"> </v>
      </c>
      <c r="E307" s="79" t="str">
        <f t="shared" si="6"/>
        <v xml:space="preserve"> </v>
      </c>
    </row>
    <row r="308" spans="1:5" ht="12.5">
      <c r="A308" s="81" t="str">
        <f t="shared" si="0"/>
        <v xml:space="preserve"> </v>
      </c>
      <c r="B308" s="81" t="str">
        <f t="shared" si="1"/>
        <v xml:space="preserve"> </v>
      </c>
      <c r="C308" s="79" t="str">
        <f t="shared" si="7"/>
        <v xml:space="preserve"> </v>
      </c>
      <c r="D308" s="79" t="str">
        <f t="shared" si="5"/>
        <v xml:space="preserve"> </v>
      </c>
      <c r="E308" s="79" t="str">
        <f t="shared" si="6"/>
        <v xml:space="preserve"> </v>
      </c>
    </row>
    <row r="309" spans="1:5" ht="12.5">
      <c r="A309" s="81" t="str">
        <f t="shared" si="0"/>
        <v xml:space="preserve"> </v>
      </c>
      <c r="B309" s="81" t="str">
        <f t="shared" si="1"/>
        <v xml:space="preserve"> </v>
      </c>
      <c r="C309" s="79" t="str">
        <f t="shared" si="7"/>
        <v xml:space="preserve"> </v>
      </c>
      <c r="D309" s="79" t="str">
        <f t="shared" si="5"/>
        <v xml:space="preserve"> </v>
      </c>
      <c r="E309" s="79" t="str">
        <f t="shared" si="6"/>
        <v xml:space="preserve"> </v>
      </c>
    </row>
    <row r="310" spans="1:5" ht="12.5">
      <c r="A310" s="81" t="str">
        <f t="shared" si="0"/>
        <v xml:space="preserve"> </v>
      </c>
      <c r="B310" s="81" t="str">
        <f t="shared" si="1"/>
        <v xml:space="preserve"> </v>
      </c>
      <c r="C310" s="79" t="str">
        <f t="shared" si="7"/>
        <v xml:space="preserve"> </v>
      </c>
      <c r="D310" s="79" t="str">
        <f t="shared" si="5"/>
        <v xml:space="preserve"> </v>
      </c>
      <c r="E310" s="79" t="str">
        <f t="shared" si="6"/>
        <v xml:space="preserve"> </v>
      </c>
    </row>
    <row r="311" spans="1:5" ht="12.5">
      <c r="A311" s="81" t="str">
        <f t="shared" si="0"/>
        <v xml:space="preserve"> </v>
      </c>
      <c r="B311" s="81" t="str">
        <f t="shared" si="1"/>
        <v xml:space="preserve"> </v>
      </c>
      <c r="C311" s="79" t="str">
        <f t="shared" si="7"/>
        <v xml:space="preserve"> </v>
      </c>
      <c r="D311" s="79" t="str">
        <f t="shared" si="5"/>
        <v xml:space="preserve"> </v>
      </c>
      <c r="E311" s="79" t="str">
        <f t="shared" si="6"/>
        <v xml:space="preserve"> </v>
      </c>
    </row>
    <row r="312" spans="1:5" ht="12.5">
      <c r="A312" s="81" t="str">
        <f t="shared" si="0"/>
        <v xml:space="preserve"> </v>
      </c>
      <c r="B312" s="81" t="str">
        <f t="shared" si="1"/>
        <v xml:space="preserve"> </v>
      </c>
      <c r="C312" s="79" t="str">
        <f t="shared" si="7"/>
        <v xml:space="preserve"> </v>
      </c>
      <c r="D312" s="79" t="str">
        <f t="shared" si="5"/>
        <v xml:space="preserve"> </v>
      </c>
      <c r="E312" s="79" t="str">
        <f t="shared" si="6"/>
        <v xml:space="preserve"> </v>
      </c>
    </row>
    <row r="313" spans="1:5" ht="12.5">
      <c r="A313" s="81" t="str">
        <f t="shared" si="0"/>
        <v xml:space="preserve"> </v>
      </c>
      <c r="B313" s="81" t="str">
        <f t="shared" si="1"/>
        <v xml:space="preserve"> </v>
      </c>
      <c r="C313" s="79" t="str">
        <f t="shared" si="7"/>
        <v xml:space="preserve"> </v>
      </c>
      <c r="D313" s="79" t="str">
        <f t="shared" si="5"/>
        <v xml:space="preserve"> </v>
      </c>
      <c r="E313" s="79" t="str">
        <f t="shared" si="6"/>
        <v xml:space="preserve"> </v>
      </c>
    </row>
    <row r="314" spans="1:5" ht="12.5">
      <c r="A314" s="81" t="str">
        <f t="shared" si="0"/>
        <v xml:space="preserve"> </v>
      </c>
      <c r="B314" s="81" t="str">
        <f t="shared" si="1"/>
        <v xml:space="preserve"> </v>
      </c>
      <c r="C314" s="79" t="str">
        <f t="shared" si="7"/>
        <v xml:space="preserve"> </v>
      </c>
      <c r="D314" s="79" t="str">
        <f t="shared" si="5"/>
        <v xml:space="preserve"> </v>
      </c>
      <c r="E314" s="79" t="str">
        <f t="shared" si="6"/>
        <v xml:space="preserve"> </v>
      </c>
    </row>
    <row r="315" spans="1:5" ht="12.5">
      <c r="A315" s="81" t="str">
        <f t="shared" si="0"/>
        <v xml:space="preserve"> </v>
      </c>
      <c r="B315" s="81" t="str">
        <f t="shared" si="1"/>
        <v xml:space="preserve"> </v>
      </c>
      <c r="C315" s="79" t="str">
        <f t="shared" si="7"/>
        <v xml:space="preserve"> </v>
      </c>
      <c r="D315" s="79" t="str">
        <f t="shared" si="5"/>
        <v xml:space="preserve"> </v>
      </c>
      <c r="E315" s="79" t="str">
        <f t="shared" si="6"/>
        <v xml:space="preserve"> </v>
      </c>
    </row>
    <row r="316" spans="1:5" ht="12.5">
      <c r="A316" s="81" t="str">
        <f t="shared" si="0"/>
        <v xml:space="preserve"> </v>
      </c>
      <c r="B316" s="81" t="str">
        <f t="shared" si="1"/>
        <v xml:space="preserve"> </v>
      </c>
      <c r="C316" s="79" t="str">
        <f t="shared" si="7"/>
        <v xml:space="preserve"> </v>
      </c>
      <c r="D316" s="79" t="str">
        <f t="shared" si="5"/>
        <v xml:space="preserve"> </v>
      </c>
      <c r="E316" s="79" t="str">
        <f t="shared" si="6"/>
        <v xml:space="preserve"> </v>
      </c>
    </row>
    <row r="317" spans="1:5" ht="12.5">
      <c r="A317" s="81" t="str">
        <f t="shared" si="0"/>
        <v xml:space="preserve"> </v>
      </c>
      <c r="B317" s="81" t="str">
        <f t="shared" si="1"/>
        <v xml:space="preserve"> </v>
      </c>
      <c r="C317" s="79" t="str">
        <f t="shared" si="7"/>
        <v xml:space="preserve"> </v>
      </c>
      <c r="D317" s="79" t="str">
        <f t="shared" si="5"/>
        <v xml:space="preserve"> </v>
      </c>
      <c r="E317" s="79" t="str">
        <f t="shared" si="6"/>
        <v xml:space="preserve"> </v>
      </c>
    </row>
    <row r="318" spans="1:5" ht="12.5">
      <c r="A318" s="81" t="str">
        <f t="shared" si="0"/>
        <v xml:space="preserve"> </v>
      </c>
      <c r="B318" s="81" t="str">
        <f t="shared" si="1"/>
        <v xml:space="preserve"> </v>
      </c>
      <c r="C318" s="79" t="str">
        <f t="shared" si="7"/>
        <v xml:space="preserve"> </v>
      </c>
      <c r="D318" s="79" t="str">
        <f t="shared" si="5"/>
        <v xml:space="preserve"> </v>
      </c>
      <c r="E318" s="79" t="str">
        <f t="shared" si="6"/>
        <v xml:space="preserve"> </v>
      </c>
    </row>
    <row r="319" spans="1:5" ht="12.5">
      <c r="A319" s="81" t="str">
        <f t="shared" si="0"/>
        <v xml:space="preserve"> </v>
      </c>
      <c r="B319" s="81" t="str">
        <f t="shared" si="1"/>
        <v xml:space="preserve"> </v>
      </c>
      <c r="C319" s="79" t="str">
        <f t="shared" si="7"/>
        <v xml:space="preserve"> </v>
      </c>
      <c r="D319" s="79" t="str">
        <f t="shared" si="5"/>
        <v xml:space="preserve"> </v>
      </c>
      <c r="E319" s="79" t="str">
        <f t="shared" si="6"/>
        <v xml:space="preserve"> </v>
      </c>
    </row>
    <row r="320" spans="1:5" ht="12.5">
      <c r="A320" s="81" t="str">
        <f t="shared" si="0"/>
        <v xml:space="preserve"> </v>
      </c>
      <c r="B320" s="81" t="str">
        <f t="shared" si="1"/>
        <v xml:space="preserve"> </v>
      </c>
      <c r="C320" s="79" t="str">
        <f t="shared" si="7"/>
        <v xml:space="preserve"> </v>
      </c>
      <c r="D320" s="79" t="str">
        <f t="shared" si="5"/>
        <v xml:space="preserve"> </v>
      </c>
      <c r="E320" s="79" t="str">
        <f t="shared" si="6"/>
        <v xml:space="preserve"> </v>
      </c>
    </row>
    <row r="321" spans="1:5" ht="12.5">
      <c r="A321" s="81" t="str">
        <f t="shared" si="0"/>
        <v xml:space="preserve"> </v>
      </c>
      <c r="B321" s="81" t="str">
        <f t="shared" si="1"/>
        <v xml:space="preserve"> </v>
      </c>
      <c r="C321" s="79" t="str">
        <f t="shared" si="7"/>
        <v xml:space="preserve"> </v>
      </c>
      <c r="D321" s="79" t="str">
        <f t="shared" si="5"/>
        <v xml:space="preserve"> </v>
      </c>
      <c r="E321" s="79" t="str">
        <f t="shared" si="6"/>
        <v xml:space="preserve"> </v>
      </c>
    </row>
    <row r="322" spans="1:5" ht="12.5">
      <c r="A322" s="81" t="str">
        <f t="shared" si="0"/>
        <v xml:space="preserve"> </v>
      </c>
      <c r="B322" s="81" t="str">
        <f t="shared" si="1"/>
        <v xml:space="preserve"> </v>
      </c>
      <c r="C322" s="79" t="str">
        <f t="shared" si="7"/>
        <v xml:space="preserve"> </v>
      </c>
      <c r="D322" s="79" t="str">
        <f t="shared" si="5"/>
        <v xml:space="preserve"> </v>
      </c>
      <c r="E322" s="79" t="str">
        <f t="shared" si="6"/>
        <v xml:space="preserve"> </v>
      </c>
    </row>
    <row r="323" spans="1:5" ht="12.5">
      <c r="A323" s="81" t="str">
        <f t="shared" si="0"/>
        <v xml:space="preserve"> </v>
      </c>
      <c r="B323" s="81" t="str">
        <f t="shared" si="1"/>
        <v xml:space="preserve"> </v>
      </c>
      <c r="C323" s="79" t="str">
        <f t="shared" si="7"/>
        <v xml:space="preserve"> </v>
      </c>
      <c r="D323" s="79" t="str">
        <f t="shared" si="5"/>
        <v xml:space="preserve"> </v>
      </c>
      <c r="E323" s="79" t="str">
        <f t="shared" si="6"/>
        <v xml:space="preserve"> </v>
      </c>
    </row>
    <row r="324" spans="1:5" ht="12.5">
      <c r="A324" s="81" t="str">
        <f t="shared" si="0"/>
        <v xml:space="preserve"> </v>
      </c>
      <c r="B324" s="81" t="str">
        <f t="shared" si="1"/>
        <v xml:space="preserve"> </v>
      </c>
      <c r="C324" s="79" t="str">
        <f t="shared" si="7"/>
        <v xml:space="preserve"> </v>
      </c>
      <c r="D324" s="79" t="str">
        <f t="shared" si="5"/>
        <v xml:space="preserve"> </v>
      </c>
      <c r="E324" s="79" t="str">
        <f t="shared" si="6"/>
        <v xml:space="preserve"> </v>
      </c>
    </row>
    <row r="325" spans="1:5" ht="12.5">
      <c r="A325" s="81" t="str">
        <f t="shared" si="0"/>
        <v xml:space="preserve"> </v>
      </c>
      <c r="B325" s="81" t="str">
        <f t="shared" si="1"/>
        <v xml:space="preserve"> </v>
      </c>
      <c r="C325" s="79" t="str">
        <f t="shared" si="7"/>
        <v xml:space="preserve"> </v>
      </c>
      <c r="D325" s="79" t="str">
        <f t="shared" si="5"/>
        <v xml:space="preserve"> </v>
      </c>
      <c r="E325" s="79" t="str">
        <f t="shared" si="6"/>
        <v xml:space="preserve"> </v>
      </c>
    </row>
    <row r="326" spans="1:5" ht="12.5">
      <c r="A326" s="81" t="str">
        <f t="shared" si="0"/>
        <v xml:space="preserve"> </v>
      </c>
      <c r="B326" s="81" t="str">
        <f t="shared" si="1"/>
        <v xml:space="preserve"> </v>
      </c>
      <c r="C326" s="79" t="str">
        <f t="shared" si="7"/>
        <v xml:space="preserve"> </v>
      </c>
      <c r="D326" s="79" t="str">
        <f t="shared" si="5"/>
        <v xml:space="preserve"> </v>
      </c>
      <c r="E326" s="79" t="str">
        <f t="shared" si="6"/>
        <v xml:space="preserve"> </v>
      </c>
    </row>
    <row r="327" spans="1:5" ht="12.5">
      <c r="A327" s="81" t="str">
        <f t="shared" si="0"/>
        <v xml:space="preserve"> </v>
      </c>
      <c r="B327" s="81" t="str">
        <f t="shared" si="1"/>
        <v xml:space="preserve"> </v>
      </c>
      <c r="C327" s="79" t="str">
        <f t="shared" si="7"/>
        <v xml:space="preserve"> </v>
      </c>
      <c r="D327" s="79" t="str">
        <f t="shared" si="5"/>
        <v xml:space="preserve"> </v>
      </c>
      <c r="E327" s="79" t="str">
        <f t="shared" si="6"/>
        <v xml:space="preserve"> </v>
      </c>
    </row>
    <row r="328" spans="1:5" ht="12.5">
      <c r="A328" s="81" t="str">
        <f t="shared" si="0"/>
        <v xml:space="preserve"> </v>
      </c>
      <c r="B328" s="81" t="str">
        <f t="shared" si="1"/>
        <v xml:space="preserve"> </v>
      </c>
      <c r="C328" s="79" t="str">
        <f t="shared" si="7"/>
        <v xml:space="preserve"> </v>
      </c>
      <c r="D328" s="79" t="str">
        <f t="shared" si="5"/>
        <v xml:space="preserve"> </v>
      </c>
      <c r="E328" s="79" t="str">
        <f t="shared" si="6"/>
        <v xml:space="preserve"> </v>
      </c>
    </row>
    <row r="329" spans="1:5" ht="12.5">
      <c r="A329" s="81" t="str">
        <f t="shared" si="0"/>
        <v xml:space="preserve"> </v>
      </c>
      <c r="B329" s="81" t="str">
        <f t="shared" si="1"/>
        <v xml:space="preserve"> </v>
      </c>
      <c r="C329" s="79" t="str">
        <f t="shared" si="7"/>
        <v xml:space="preserve"> </v>
      </c>
      <c r="D329" s="79" t="str">
        <f t="shared" si="5"/>
        <v xml:space="preserve"> </v>
      </c>
      <c r="E329" s="79" t="str">
        <f t="shared" si="6"/>
        <v xml:space="preserve"> </v>
      </c>
    </row>
    <row r="330" spans="1:5" ht="12.5">
      <c r="A330" s="81" t="str">
        <f t="shared" si="0"/>
        <v xml:space="preserve"> </v>
      </c>
      <c r="B330" s="81" t="str">
        <f t="shared" si="1"/>
        <v xml:space="preserve"> </v>
      </c>
      <c r="C330" s="79" t="str">
        <f t="shared" si="7"/>
        <v xml:space="preserve"> </v>
      </c>
      <c r="D330" s="79" t="str">
        <f t="shared" si="5"/>
        <v xml:space="preserve"> </v>
      </c>
      <c r="E330" s="79" t="str">
        <f t="shared" si="6"/>
        <v xml:space="preserve"> </v>
      </c>
    </row>
    <row r="331" spans="1:5" ht="12.5">
      <c r="A331" s="81" t="str">
        <f t="shared" si="0"/>
        <v xml:space="preserve"> </v>
      </c>
      <c r="B331" s="81" t="str">
        <f t="shared" si="1"/>
        <v xml:space="preserve"> </v>
      </c>
      <c r="C331" s="79" t="str">
        <f t="shared" si="7"/>
        <v xml:space="preserve"> </v>
      </c>
      <c r="D331" s="79" t="str">
        <f t="shared" si="5"/>
        <v xml:space="preserve"> </v>
      </c>
      <c r="E331" s="79" t="str">
        <f t="shared" si="6"/>
        <v xml:space="preserve"> </v>
      </c>
    </row>
    <row r="332" spans="1:5" ht="12.5">
      <c r="A332" s="81" t="str">
        <f t="shared" si="0"/>
        <v xml:space="preserve"> </v>
      </c>
      <c r="B332" s="81" t="str">
        <f t="shared" si="1"/>
        <v xml:space="preserve"> </v>
      </c>
      <c r="C332" s="79" t="str">
        <f t="shared" si="7"/>
        <v xml:space="preserve"> </v>
      </c>
      <c r="D332" s="79" t="str">
        <f t="shared" si="5"/>
        <v xml:space="preserve"> </v>
      </c>
      <c r="E332" s="79" t="str">
        <f t="shared" si="6"/>
        <v xml:space="preserve"> </v>
      </c>
    </row>
    <row r="333" spans="1:5" ht="12.5">
      <c r="A333" s="81" t="str">
        <f t="shared" si="0"/>
        <v xml:space="preserve"> </v>
      </c>
      <c r="B333" s="81" t="str">
        <f t="shared" si="1"/>
        <v xml:space="preserve"> </v>
      </c>
      <c r="C333" s="79" t="str">
        <f t="shared" si="7"/>
        <v xml:space="preserve"> </v>
      </c>
      <c r="D333" s="79" t="str">
        <f t="shared" si="5"/>
        <v xml:space="preserve"> </v>
      </c>
      <c r="E333" s="79" t="str">
        <f t="shared" si="6"/>
        <v xml:space="preserve"> </v>
      </c>
    </row>
    <row r="334" spans="1:5" ht="12.5">
      <c r="A334" s="81" t="str">
        <f t="shared" si="0"/>
        <v xml:space="preserve"> </v>
      </c>
      <c r="B334" s="81" t="str">
        <f t="shared" si="1"/>
        <v xml:space="preserve"> </v>
      </c>
      <c r="C334" s="79" t="str">
        <f t="shared" si="7"/>
        <v xml:space="preserve"> </v>
      </c>
      <c r="D334" s="79" t="str">
        <f t="shared" si="5"/>
        <v xml:space="preserve"> </v>
      </c>
      <c r="E334" s="79" t="str">
        <f t="shared" si="6"/>
        <v xml:space="preserve"> </v>
      </c>
    </row>
    <row r="335" spans="1:5" ht="12.5">
      <c r="A335" s="81" t="str">
        <f t="shared" si="0"/>
        <v xml:space="preserve"> </v>
      </c>
      <c r="B335" s="81" t="str">
        <f t="shared" si="1"/>
        <v xml:space="preserve"> </v>
      </c>
      <c r="C335" s="79" t="str">
        <f t="shared" si="7"/>
        <v xml:space="preserve"> </v>
      </c>
      <c r="D335" s="79" t="str">
        <f t="shared" si="5"/>
        <v xml:space="preserve"> </v>
      </c>
      <c r="E335" s="79" t="str">
        <f t="shared" si="6"/>
        <v xml:space="preserve"> </v>
      </c>
    </row>
    <row r="336" spans="1:5" ht="12.5">
      <c r="A336" s="81" t="str">
        <f t="shared" si="0"/>
        <v xml:space="preserve"> </v>
      </c>
      <c r="B336" s="81" t="str">
        <f t="shared" si="1"/>
        <v xml:space="preserve"> </v>
      </c>
      <c r="C336" s="79" t="str">
        <f t="shared" si="7"/>
        <v xml:space="preserve"> </v>
      </c>
      <c r="D336" s="79" t="str">
        <f t="shared" si="5"/>
        <v xml:space="preserve"> </v>
      </c>
      <c r="E336" s="79" t="str">
        <f t="shared" si="6"/>
        <v xml:space="preserve"> </v>
      </c>
    </row>
    <row r="337" spans="1:5" ht="12.5">
      <c r="A337" s="81" t="str">
        <f t="shared" si="0"/>
        <v xml:space="preserve"> </v>
      </c>
      <c r="B337" s="81" t="str">
        <f t="shared" si="1"/>
        <v xml:space="preserve"> </v>
      </c>
      <c r="C337" s="79" t="str">
        <f t="shared" si="7"/>
        <v xml:space="preserve"> </v>
      </c>
      <c r="D337" s="79" t="str">
        <f t="shared" si="5"/>
        <v xml:space="preserve"> </v>
      </c>
      <c r="E337" s="79" t="str">
        <f t="shared" si="6"/>
        <v xml:space="preserve"> </v>
      </c>
    </row>
    <row r="338" spans="1:5" ht="12.5">
      <c r="A338" s="81" t="str">
        <f t="shared" si="0"/>
        <v xml:space="preserve"> </v>
      </c>
      <c r="B338" s="81" t="str">
        <f t="shared" si="1"/>
        <v xml:space="preserve"> </v>
      </c>
      <c r="C338" s="79" t="str">
        <f t="shared" si="7"/>
        <v xml:space="preserve"> </v>
      </c>
      <c r="D338" s="79" t="str">
        <f t="shared" si="5"/>
        <v xml:space="preserve"> </v>
      </c>
      <c r="E338" s="79" t="str">
        <f t="shared" si="6"/>
        <v xml:space="preserve"> </v>
      </c>
    </row>
    <row r="339" spans="1:5" ht="12.5">
      <c r="A339" s="81" t="str">
        <f t="shared" si="0"/>
        <v xml:space="preserve"> </v>
      </c>
      <c r="B339" s="81" t="str">
        <f t="shared" si="1"/>
        <v xml:space="preserve"> </v>
      </c>
      <c r="C339" s="79" t="str">
        <f t="shared" si="7"/>
        <v xml:space="preserve"> </v>
      </c>
      <c r="D339" s="79" t="str">
        <f t="shared" si="5"/>
        <v xml:space="preserve"> </v>
      </c>
      <c r="E339" s="79" t="str">
        <f t="shared" si="6"/>
        <v xml:space="preserve"> </v>
      </c>
    </row>
    <row r="340" spans="1:5" ht="12.5">
      <c r="A340" s="81" t="str">
        <f t="shared" si="0"/>
        <v xml:space="preserve"> </v>
      </c>
      <c r="B340" s="81" t="str">
        <f t="shared" si="1"/>
        <v xml:space="preserve"> </v>
      </c>
      <c r="C340" s="79" t="str">
        <f t="shared" si="7"/>
        <v xml:space="preserve"> </v>
      </c>
      <c r="D340" s="79" t="str">
        <f t="shared" si="5"/>
        <v xml:space="preserve"> </v>
      </c>
      <c r="E340" s="79" t="str">
        <f t="shared" si="6"/>
        <v xml:space="preserve"> </v>
      </c>
    </row>
    <row r="341" spans="1:5" ht="12.5">
      <c r="A341" s="81" t="str">
        <f t="shared" si="0"/>
        <v xml:space="preserve"> </v>
      </c>
      <c r="B341" s="81" t="str">
        <f t="shared" si="1"/>
        <v xml:space="preserve"> </v>
      </c>
      <c r="C341" s="79" t="str">
        <f t="shared" si="7"/>
        <v xml:space="preserve"> </v>
      </c>
      <c r="D341" s="79" t="str">
        <f t="shared" si="5"/>
        <v xml:space="preserve"> </v>
      </c>
      <c r="E341" s="79" t="str">
        <f t="shared" si="6"/>
        <v xml:space="preserve"> </v>
      </c>
    </row>
    <row r="342" spans="1:5" ht="12.5">
      <c r="A342" s="81" t="str">
        <f t="shared" si="0"/>
        <v xml:space="preserve"> </v>
      </c>
      <c r="B342" s="81" t="str">
        <f t="shared" si="1"/>
        <v xml:space="preserve"> </v>
      </c>
      <c r="C342" s="79" t="str">
        <f t="shared" si="7"/>
        <v xml:space="preserve"> </v>
      </c>
      <c r="D342" s="79" t="str">
        <f t="shared" si="5"/>
        <v xml:space="preserve"> </v>
      </c>
      <c r="E342" s="79" t="str">
        <f t="shared" si="6"/>
        <v xml:space="preserve"> </v>
      </c>
    </row>
    <row r="343" spans="1:5" ht="12.5">
      <c r="A343" s="81" t="str">
        <f t="shared" si="0"/>
        <v xml:space="preserve"> </v>
      </c>
      <c r="B343" s="81" t="str">
        <f t="shared" si="1"/>
        <v xml:space="preserve"> </v>
      </c>
      <c r="C343" s="79" t="str">
        <f t="shared" si="7"/>
        <v xml:space="preserve"> </v>
      </c>
      <c r="D343" s="79" t="str">
        <f t="shared" si="5"/>
        <v xml:space="preserve"> </v>
      </c>
      <c r="E343" s="79" t="str">
        <f t="shared" si="6"/>
        <v xml:space="preserve"> </v>
      </c>
    </row>
    <row r="344" spans="1:5" ht="12.5">
      <c r="A344" s="81" t="str">
        <f t="shared" si="0"/>
        <v xml:space="preserve"> </v>
      </c>
      <c r="B344" s="81" t="str">
        <f t="shared" si="1"/>
        <v xml:space="preserve"> </v>
      </c>
      <c r="C344" s="79" t="str">
        <f t="shared" si="7"/>
        <v xml:space="preserve"> </v>
      </c>
      <c r="D344" s="79" t="str">
        <f t="shared" si="5"/>
        <v xml:space="preserve"> </v>
      </c>
      <c r="E344" s="79" t="str">
        <f t="shared" si="6"/>
        <v xml:space="preserve"> </v>
      </c>
    </row>
    <row r="345" spans="1:5" ht="12.5">
      <c r="A345" s="81" t="str">
        <f t="shared" si="0"/>
        <v xml:space="preserve"> </v>
      </c>
      <c r="B345" s="81" t="str">
        <f t="shared" si="1"/>
        <v xml:space="preserve"> </v>
      </c>
      <c r="C345" s="79" t="str">
        <f t="shared" si="7"/>
        <v xml:space="preserve"> </v>
      </c>
      <c r="D345" s="79" t="str">
        <f t="shared" si="5"/>
        <v xml:space="preserve"> </v>
      </c>
      <c r="E345" s="79" t="str">
        <f t="shared" si="6"/>
        <v xml:space="preserve"> </v>
      </c>
    </row>
    <row r="346" spans="1:5" ht="12.5">
      <c r="A346" s="81" t="str">
        <f t="shared" si="0"/>
        <v xml:space="preserve"> </v>
      </c>
      <c r="B346" s="81" t="str">
        <f t="shared" si="1"/>
        <v xml:space="preserve"> </v>
      </c>
      <c r="C346" s="79" t="str">
        <f t="shared" si="7"/>
        <v xml:space="preserve"> </v>
      </c>
      <c r="D346" s="79" t="str">
        <f t="shared" si="5"/>
        <v xml:space="preserve"> </v>
      </c>
      <c r="E346" s="79" t="str">
        <f t="shared" si="6"/>
        <v xml:space="preserve"> </v>
      </c>
    </row>
    <row r="347" spans="1:5" ht="12.5">
      <c r="A347" s="81" t="str">
        <f t="shared" si="0"/>
        <v xml:space="preserve"> </v>
      </c>
      <c r="B347" s="81" t="str">
        <f t="shared" si="1"/>
        <v xml:space="preserve"> </v>
      </c>
      <c r="C347" s="79" t="str">
        <f t="shared" si="7"/>
        <v xml:space="preserve"> </v>
      </c>
      <c r="D347" s="79" t="str">
        <f t="shared" si="5"/>
        <v xml:space="preserve"> </v>
      </c>
      <c r="E347" s="79" t="str">
        <f t="shared" si="6"/>
        <v xml:space="preserve"> </v>
      </c>
    </row>
    <row r="348" spans="1:5" ht="12.5">
      <c r="A348" s="81" t="str">
        <f t="shared" si="0"/>
        <v xml:space="preserve"> </v>
      </c>
      <c r="B348" s="81" t="str">
        <f t="shared" si="1"/>
        <v xml:space="preserve"> </v>
      </c>
      <c r="C348" s="79" t="str">
        <f t="shared" si="7"/>
        <v xml:space="preserve"> </v>
      </c>
      <c r="D348" s="79" t="str">
        <f t="shared" si="5"/>
        <v xml:space="preserve"> </v>
      </c>
      <c r="E348" s="79" t="str">
        <f t="shared" si="6"/>
        <v xml:space="preserve"> </v>
      </c>
    </row>
    <row r="349" spans="1:5" ht="12.5">
      <c r="A349" s="81" t="str">
        <f t="shared" si="0"/>
        <v xml:space="preserve"> </v>
      </c>
      <c r="B349" s="81" t="str">
        <f t="shared" si="1"/>
        <v xml:space="preserve"> </v>
      </c>
      <c r="C349" s="79" t="str">
        <f t="shared" si="7"/>
        <v xml:space="preserve"> </v>
      </c>
      <c r="D349" s="79" t="str">
        <f t="shared" si="5"/>
        <v xml:space="preserve"> </v>
      </c>
      <c r="E349" s="79" t="str">
        <f t="shared" si="6"/>
        <v xml:space="preserve"> </v>
      </c>
    </row>
    <row r="350" spans="1:5" ht="12.5">
      <c r="A350" s="81" t="str">
        <f t="shared" si="0"/>
        <v xml:space="preserve"> </v>
      </c>
      <c r="B350" s="81" t="str">
        <f t="shared" si="1"/>
        <v xml:space="preserve"> </v>
      </c>
      <c r="C350" s="79" t="str">
        <f t="shared" si="7"/>
        <v xml:space="preserve"> </v>
      </c>
      <c r="D350" s="79" t="str">
        <f t="shared" si="5"/>
        <v xml:space="preserve"> </v>
      </c>
      <c r="E350" s="79" t="str">
        <f t="shared" si="6"/>
        <v xml:space="preserve"> </v>
      </c>
    </row>
    <row r="351" spans="1:5" ht="12.5">
      <c r="A351" s="81" t="str">
        <f t="shared" si="0"/>
        <v xml:space="preserve"> </v>
      </c>
      <c r="B351" s="81" t="str">
        <f t="shared" si="1"/>
        <v xml:space="preserve"> </v>
      </c>
      <c r="C351" s="79" t="str">
        <f t="shared" si="7"/>
        <v xml:space="preserve"> </v>
      </c>
      <c r="D351" s="79" t="str">
        <f t="shared" si="5"/>
        <v xml:space="preserve"> </v>
      </c>
      <c r="E351" s="79" t="str">
        <f t="shared" si="6"/>
        <v xml:space="preserve"> </v>
      </c>
    </row>
    <row r="352" spans="1:5" ht="12.5">
      <c r="A352" s="81" t="str">
        <f t="shared" si="0"/>
        <v xml:space="preserve"> </v>
      </c>
      <c r="B352" s="81" t="str">
        <f t="shared" si="1"/>
        <v xml:space="preserve"> </v>
      </c>
      <c r="C352" s="79" t="str">
        <f t="shared" si="7"/>
        <v xml:space="preserve"> </v>
      </c>
      <c r="D352" s="79" t="str">
        <f t="shared" si="5"/>
        <v xml:space="preserve"> </v>
      </c>
      <c r="E352" s="79" t="str">
        <f t="shared" si="6"/>
        <v xml:space="preserve"> </v>
      </c>
    </row>
    <row r="353" spans="1:5" ht="12.5">
      <c r="A353" s="81" t="str">
        <f t="shared" si="0"/>
        <v xml:space="preserve"> </v>
      </c>
      <c r="B353" s="81" t="str">
        <f t="shared" si="1"/>
        <v xml:space="preserve"> </v>
      </c>
      <c r="C353" s="79" t="str">
        <f t="shared" si="7"/>
        <v xml:space="preserve"> </v>
      </c>
      <c r="D353" s="79" t="str">
        <f t="shared" si="5"/>
        <v xml:space="preserve"> </v>
      </c>
      <c r="E353" s="79" t="str">
        <f t="shared" si="6"/>
        <v xml:space="preserve"> </v>
      </c>
    </row>
    <row r="354" spans="1:5" ht="12.5">
      <c r="A354" s="81" t="str">
        <f t="shared" si="0"/>
        <v xml:space="preserve"> </v>
      </c>
      <c r="B354" s="81" t="str">
        <f t="shared" si="1"/>
        <v xml:space="preserve"> </v>
      </c>
      <c r="C354" s="79" t="str">
        <f t="shared" si="7"/>
        <v xml:space="preserve"> </v>
      </c>
      <c r="D354" s="79" t="str">
        <f t="shared" si="5"/>
        <v xml:space="preserve"> </v>
      </c>
      <c r="E354" s="79" t="str">
        <f t="shared" si="6"/>
        <v xml:space="preserve"> </v>
      </c>
    </row>
    <row r="355" spans="1:5" ht="12.5">
      <c r="A355" s="81" t="str">
        <f t="shared" si="0"/>
        <v xml:space="preserve"> </v>
      </c>
      <c r="B355" s="81" t="str">
        <f t="shared" si="1"/>
        <v xml:space="preserve"> </v>
      </c>
      <c r="C355" s="79" t="str">
        <f t="shared" si="7"/>
        <v xml:space="preserve"> </v>
      </c>
      <c r="D355" s="79" t="str">
        <f t="shared" si="5"/>
        <v xml:space="preserve"> </v>
      </c>
      <c r="E355" s="79" t="str">
        <f t="shared" si="6"/>
        <v xml:space="preserve"> </v>
      </c>
    </row>
    <row r="356" spans="1:5" ht="12.5">
      <c r="A356" s="81" t="str">
        <f t="shared" si="0"/>
        <v xml:space="preserve"> </v>
      </c>
      <c r="B356" s="81" t="str">
        <f t="shared" si="1"/>
        <v xml:space="preserve"> </v>
      </c>
      <c r="C356" s="79" t="str">
        <f t="shared" si="7"/>
        <v xml:space="preserve"> </v>
      </c>
      <c r="D356" s="79" t="str">
        <f t="shared" si="5"/>
        <v xml:space="preserve"> </v>
      </c>
      <c r="E356" s="79" t="str">
        <f t="shared" si="6"/>
        <v xml:space="preserve"> </v>
      </c>
    </row>
    <row r="357" spans="1:5" ht="12.5">
      <c r="A357" s="81" t="str">
        <f t="shared" si="0"/>
        <v xml:space="preserve"> </v>
      </c>
      <c r="B357" s="81" t="str">
        <f t="shared" si="1"/>
        <v xml:space="preserve"> </v>
      </c>
      <c r="C357" s="79" t="str">
        <f t="shared" si="7"/>
        <v xml:space="preserve"> </v>
      </c>
      <c r="D357" s="79" t="str">
        <f t="shared" si="5"/>
        <v xml:space="preserve"> </v>
      </c>
      <c r="E357" s="79" t="str">
        <f t="shared" si="6"/>
        <v xml:space="preserve"> </v>
      </c>
    </row>
    <row r="358" spans="1:5" ht="12.5">
      <c r="A358" s="81" t="str">
        <f t="shared" si="0"/>
        <v xml:space="preserve"> </v>
      </c>
      <c r="B358" s="81" t="str">
        <f t="shared" si="1"/>
        <v xml:space="preserve"> </v>
      </c>
      <c r="C358" s="79" t="str">
        <f t="shared" si="7"/>
        <v xml:space="preserve"> </v>
      </c>
      <c r="D358" s="79" t="str">
        <f t="shared" si="5"/>
        <v xml:space="preserve"> </v>
      </c>
      <c r="E358" s="79" t="str">
        <f t="shared" si="6"/>
        <v xml:space="preserve"> </v>
      </c>
    </row>
    <row r="359" spans="1:5" ht="12.5">
      <c r="A359" s="81" t="str">
        <f t="shared" si="0"/>
        <v xml:space="preserve"> </v>
      </c>
      <c r="B359" s="81" t="str">
        <f t="shared" si="1"/>
        <v xml:space="preserve"> </v>
      </c>
      <c r="C359" s="79" t="str">
        <f t="shared" si="7"/>
        <v xml:space="preserve"> </v>
      </c>
      <c r="D359" s="79" t="str">
        <f t="shared" si="5"/>
        <v xml:space="preserve"> </v>
      </c>
      <c r="E359" s="79" t="str">
        <f t="shared" si="6"/>
        <v xml:space="preserve"> </v>
      </c>
    </row>
    <row r="360" spans="1:5" ht="12.5">
      <c r="A360" s="81" t="str">
        <f t="shared" si="0"/>
        <v xml:space="preserve"> </v>
      </c>
      <c r="B360" s="81" t="str">
        <f t="shared" si="1"/>
        <v xml:space="preserve"> </v>
      </c>
      <c r="C360" s="79" t="str">
        <f t="shared" si="7"/>
        <v xml:space="preserve"> </v>
      </c>
      <c r="D360" s="79" t="str">
        <f t="shared" si="5"/>
        <v xml:space="preserve"> </v>
      </c>
      <c r="E360" s="79" t="str">
        <f t="shared" si="6"/>
        <v xml:space="preserve"> </v>
      </c>
    </row>
    <row r="361" spans="1:5" ht="12.5">
      <c r="A361" s="81" t="str">
        <f t="shared" si="0"/>
        <v xml:space="preserve"> </v>
      </c>
      <c r="B361" s="81" t="str">
        <f t="shared" si="1"/>
        <v xml:space="preserve"> </v>
      </c>
      <c r="C361" s="79" t="str">
        <f t="shared" si="7"/>
        <v xml:space="preserve"> </v>
      </c>
      <c r="D361" s="79" t="str">
        <f t="shared" si="5"/>
        <v xml:space="preserve"> </v>
      </c>
      <c r="E361" s="79" t="str">
        <f t="shared" si="6"/>
        <v xml:space="preserve"> </v>
      </c>
    </row>
    <row r="362" spans="1:5" ht="12.5">
      <c r="A362" s="81" t="str">
        <f t="shared" si="0"/>
        <v xml:space="preserve"> </v>
      </c>
      <c r="B362" s="81" t="str">
        <f t="shared" si="1"/>
        <v xml:space="preserve"> </v>
      </c>
      <c r="C362" s="79" t="str">
        <f t="shared" si="7"/>
        <v xml:space="preserve"> </v>
      </c>
      <c r="D362" s="79" t="str">
        <f t="shared" si="5"/>
        <v xml:space="preserve"> </v>
      </c>
      <c r="E362" s="79" t="str">
        <f t="shared" si="6"/>
        <v xml:space="preserve"> </v>
      </c>
    </row>
    <row r="363" spans="1:5" ht="12.5">
      <c r="A363" s="81" t="str">
        <f t="shared" si="0"/>
        <v xml:space="preserve"> </v>
      </c>
      <c r="B363" s="81" t="str">
        <f t="shared" si="1"/>
        <v xml:space="preserve"> </v>
      </c>
      <c r="C363" s="79" t="str">
        <f t="shared" si="7"/>
        <v xml:space="preserve"> </v>
      </c>
      <c r="D363" s="79" t="str">
        <f t="shared" si="5"/>
        <v xml:space="preserve"> </v>
      </c>
      <c r="E363" s="79" t="str">
        <f t="shared" si="6"/>
        <v xml:space="preserve"> </v>
      </c>
    </row>
    <row r="364" spans="1:5" ht="12.5">
      <c r="A364" s="81" t="str">
        <f t="shared" si="0"/>
        <v xml:space="preserve"> </v>
      </c>
      <c r="B364" s="81" t="str">
        <f t="shared" si="1"/>
        <v xml:space="preserve"> </v>
      </c>
      <c r="C364" s="79" t="str">
        <f t="shared" si="7"/>
        <v xml:space="preserve"> </v>
      </c>
      <c r="D364" s="79" t="str">
        <f t="shared" si="5"/>
        <v xml:space="preserve"> </v>
      </c>
      <c r="E364" s="79" t="str">
        <f t="shared" si="6"/>
        <v xml:space="preserve"> </v>
      </c>
    </row>
    <row r="365" spans="1:5" ht="12.5">
      <c r="A365" s="81" t="str">
        <f t="shared" si="0"/>
        <v xml:space="preserve"> </v>
      </c>
      <c r="B365" s="81" t="str">
        <f t="shared" si="1"/>
        <v xml:space="preserve"> </v>
      </c>
      <c r="C365" s="79" t="str">
        <f t="shared" si="7"/>
        <v xml:space="preserve"> </v>
      </c>
      <c r="D365" s="79" t="str">
        <f t="shared" si="5"/>
        <v xml:space="preserve"> </v>
      </c>
      <c r="E365" s="79" t="str">
        <f t="shared" si="6"/>
        <v xml:space="preserve"> </v>
      </c>
    </row>
    <row r="366" spans="1:5" ht="12.5">
      <c r="A366" s="81" t="str">
        <f t="shared" si="0"/>
        <v xml:space="preserve"> </v>
      </c>
      <c r="B366" s="81" t="str">
        <f t="shared" si="1"/>
        <v xml:space="preserve"> </v>
      </c>
      <c r="C366" s="79" t="str">
        <f t="shared" si="7"/>
        <v xml:space="preserve"> </v>
      </c>
      <c r="D366" s="79" t="str">
        <f t="shared" si="5"/>
        <v xml:space="preserve"> </v>
      </c>
      <c r="E366" s="79" t="str">
        <f t="shared" si="6"/>
        <v xml:space="preserve"> </v>
      </c>
    </row>
    <row r="367" spans="1:5" ht="12.5">
      <c r="A367" s="81" t="str">
        <f t="shared" si="0"/>
        <v xml:space="preserve"> </v>
      </c>
      <c r="B367" s="81" t="str">
        <f t="shared" si="1"/>
        <v xml:space="preserve"> </v>
      </c>
      <c r="C367" s="79" t="str">
        <f t="shared" si="7"/>
        <v xml:space="preserve"> </v>
      </c>
      <c r="D367" s="79" t="str">
        <f t="shared" si="5"/>
        <v xml:space="preserve"> </v>
      </c>
      <c r="E367" s="79" t="str">
        <f t="shared" si="6"/>
        <v xml:space="preserve"> </v>
      </c>
    </row>
    <row r="368" spans="1:5" ht="12.5">
      <c r="A368" s="81" t="str">
        <f t="shared" si="0"/>
        <v xml:space="preserve"> </v>
      </c>
      <c r="B368" s="81" t="str">
        <f t="shared" si="1"/>
        <v xml:space="preserve"> </v>
      </c>
      <c r="C368" s="79" t="str">
        <f t="shared" si="7"/>
        <v xml:space="preserve"> </v>
      </c>
      <c r="D368" s="79" t="str">
        <f t="shared" si="5"/>
        <v xml:space="preserve"> </v>
      </c>
      <c r="E368" s="79" t="str">
        <f t="shared" si="6"/>
        <v xml:space="preserve"> </v>
      </c>
    </row>
    <row r="369" spans="1:5" ht="12.5">
      <c r="A369" s="81" t="str">
        <f t="shared" si="0"/>
        <v xml:space="preserve"> </v>
      </c>
      <c r="B369" s="81" t="str">
        <f t="shared" si="1"/>
        <v xml:space="preserve"> </v>
      </c>
      <c r="C369" s="79" t="str">
        <f t="shared" si="7"/>
        <v xml:space="preserve"> </v>
      </c>
      <c r="D369" s="79" t="str">
        <f t="shared" si="5"/>
        <v xml:space="preserve"> </v>
      </c>
      <c r="E369" s="79" t="str">
        <f t="shared" si="6"/>
        <v xml:space="preserve"> </v>
      </c>
    </row>
    <row r="370" spans="1:5" ht="12.5">
      <c r="A370" s="81" t="str">
        <f t="shared" si="0"/>
        <v xml:space="preserve"> </v>
      </c>
      <c r="B370" s="81" t="str">
        <f t="shared" si="1"/>
        <v xml:space="preserve"> </v>
      </c>
      <c r="C370" s="79" t="str">
        <f t="shared" si="7"/>
        <v xml:space="preserve"> </v>
      </c>
      <c r="D370" s="79" t="str">
        <f t="shared" si="5"/>
        <v xml:space="preserve"> </v>
      </c>
      <c r="E370" s="79" t="str">
        <f t="shared" si="6"/>
        <v xml:space="preserve"> </v>
      </c>
    </row>
    <row r="371" spans="1:5" ht="12.5">
      <c r="A371" s="81" t="str">
        <f t="shared" si="0"/>
        <v xml:space="preserve"> </v>
      </c>
      <c r="B371" s="81" t="str">
        <f t="shared" si="1"/>
        <v xml:space="preserve"> </v>
      </c>
      <c r="C371" s="79" t="str">
        <f t="shared" si="7"/>
        <v xml:space="preserve"> </v>
      </c>
      <c r="D371" s="79" t="str">
        <f t="shared" si="5"/>
        <v xml:space="preserve"> </v>
      </c>
      <c r="E371" s="79" t="str">
        <f t="shared" si="6"/>
        <v xml:space="preserve"> </v>
      </c>
    </row>
    <row r="372" spans="1:5" ht="12.5">
      <c r="A372" s="81" t="str">
        <f t="shared" si="0"/>
        <v xml:space="preserve"> </v>
      </c>
      <c r="B372" s="81" t="str">
        <f t="shared" si="1"/>
        <v xml:space="preserve"> </v>
      </c>
      <c r="C372" s="79" t="str">
        <f t="shared" si="7"/>
        <v xml:space="preserve"> </v>
      </c>
      <c r="D372" s="79" t="str">
        <f t="shared" si="5"/>
        <v xml:space="preserve"> </v>
      </c>
      <c r="E372" s="79" t="str">
        <f t="shared" si="6"/>
        <v xml:space="preserve"> </v>
      </c>
    </row>
    <row r="373" spans="1:5" ht="12.5">
      <c r="A373" s="81" t="str">
        <f t="shared" si="0"/>
        <v xml:space="preserve"> </v>
      </c>
      <c r="B373" s="81" t="str">
        <f t="shared" si="1"/>
        <v xml:space="preserve"> </v>
      </c>
      <c r="C373" s="79" t="str">
        <f t="shared" si="7"/>
        <v xml:space="preserve"> </v>
      </c>
      <c r="D373" s="79" t="str">
        <f t="shared" si="5"/>
        <v xml:space="preserve"> </v>
      </c>
      <c r="E373" s="79" t="str">
        <f t="shared" si="6"/>
        <v xml:space="preserve"> </v>
      </c>
    </row>
    <row r="374" spans="1:5" ht="12.5">
      <c r="A374" s="81" t="str">
        <f t="shared" si="0"/>
        <v xml:space="preserve"> </v>
      </c>
      <c r="B374" s="81" t="str">
        <f t="shared" si="1"/>
        <v xml:space="preserve"> </v>
      </c>
      <c r="C374" s="79" t="str">
        <f t="shared" si="7"/>
        <v xml:space="preserve"> </v>
      </c>
      <c r="D374" s="79" t="str">
        <f t="shared" si="5"/>
        <v xml:space="preserve"> </v>
      </c>
      <c r="E374" s="79" t="str">
        <f t="shared" si="6"/>
        <v xml:space="preserve"> </v>
      </c>
    </row>
    <row r="375" spans="1:5" ht="12.5">
      <c r="A375" s="81" t="str">
        <f t="shared" si="0"/>
        <v xml:space="preserve"> </v>
      </c>
      <c r="B375" s="81" t="str">
        <f t="shared" si="1"/>
        <v xml:space="preserve"> </v>
      </c>
      <c r="C375" s="79" t="str">
        <f t="shared" si="7"/>
        <v xml:space="preserve"> </v>
      </c>
      <c r="D375" s="79" t="str">
        <f t="shared" si="5"/>
        <v xml:space="preserve"> </v>
      </c>
      <c r="E375" s="79" t="str">
        <f t="shared" si="6"/>
        <v xml:space="preserve"> </v>
      </c>
    </row>
    <row r="376" spans="1:5" ht="12.5">
      <c r="A376" s="81" t="str">
        <f t="shared" si="0"/>
        <v xml:space="preserve"> </v>
      </c>
      <c r="B376" s="81" t="str">
        <f t="shared" si="1"/>
        <v xml:space="preserve"> </v>
      </c>
      <c r="C376" s="79" t="str">
        <f t="shared" si="7"/>
        <v xml:space="preserve"> </v>
      </c>
      <c r="D376" s="79" t="str">
        <f t="shared" si="5"/>
        <v xml:space="preserve"> </v>
      </c>
      <c r="E376" s="79" t="str">
        <f t="shared" si="6"/>
        <v xml:space="preserve"> </v>
      </c>
    </row>
    <row r="377" spans="1:5" ht="12.5">
      <c r="A377" s="81" t="str">
        <f t="shared" si="0"/>
        <v xml:space="preserve"> </v>
      </c>
      <c r="B377" s="81" t="str">
        <f t="shared" si="1"/>
        <v xml:space="preserve"> </v>
      </c>
      <c r="C377" s="79" t="str">
        <f t="shared" si="7"/>
        <v xml:space="preserve"> </v>
      </c>
      <c r="D377" s="79" t="str">
        <f t="shared" si="5"/>
        <v xml:space="preserve"> </v>
      </c>
      <c r="E377" s="79" t="str">
        <f t="shared" si="6"/>
        <v xml:space="preserve"> </v>
      </c>
    </row>
    <row r="378" spans="1:5" ht="12.5">
      <c r="A378" s="81" t="str">
        <f t="shared" si="0"/>
        <v xml:space="preserve"> </v>
      </c>
      <c r="B378" s="81" t="str">
        <f t="shared" si="1"/>
        <v xml:space="preserve"> </v>
      </c>
      <c r="C378" s="79" t="str">
        <f t="shared" si="7"/>
        <v xml:space="preserve"> </v>
      </c>
      <c r="D378" s="79" t="str">
        <f t="shared" si="5"/>
        <v xml:space="preserve"> </v>
      </c>
      <c r="E378" s="79" t="str">
        <f t="shared" si="6"/>
        <v xml:space="preserve"> </v>
      </c>
    </row>
    <row r="379" spans="1:5" ht="12.5">
      <c r="A379" s="81" t="str">
        <f t="shared" si="0"/>
        <v xml:space="preserve"> </v>
      </c>
      <c r="B379" s="81" t="str">
        <f t="shared" si="1"/>
        <v xml:space="preserve"> </v>
      </c>
      <c r="C379" s="79" t="str">
        <f t="shared" si="7"/>
        <v xml:space="preserve"> </v>
      </c>
      <c r="D379" s="79" t="str">
        <f t="shared" si="5"/>
        <v xml:space="preserve"> </v>
      </c>
      <c r="E379" s="79" t="str">
        <f t="shared" si="6"/>
        <v xml:space="preserve"> </v>
      </c>
    </row>
    <row r="380" spans="1:5" ht="12.5">
      <c r="A380" s="81" t="str">
        <f t="shared" si="0"/>
        <v xml:space="preserve"> </v>
      </c>
      <c r="B380" s="81" t="str">
        <f t="shared" si="1"/>
        <v xml:space="preserve"> </v>
      </c>
      <c r="C380" s="79" t="str">
        <f t="shared" si="7"/>
        <v xml:space="preserve"> </v>
      </c>
      <c r="D380" s="79" t="str">
        <f t="shared" si="5"/>
        <v xml:space="preserve"> </v>
      </c>
      <c r="E380" s="79" t="str">
        <f t="shared" si="6"/>
        <v xml:space="preserve"> </v>
      </c>
    </row>
    <row r="381" spans="1:5" ht="12.5">
      <c r="A381" s="81" t="str">
        <f t="shared" si="0"/>
        <v xml:space="preserve"> </v>
      </c>
      <c r="B381" s="81" t="str">
        <f t="shared" si="1"/>
        <v xml:space="preserve"> </v>
      </c>
      <c r="C381" s="79" t="str">
        <f t="shared" si="7"/>
        <v xml:space="preserve"> </v>
      </c>
      <c r="D381" s="79" t="str">
        <f t="shared" si="5"/>
        <v xml:space="preserve"> </v>
      </c>
      <c r="E381" s="79" t="str">
        <f t="shared" si="6"/>
        <v xml:space="preserve"> </v>
      </c>
    </row>
    <row r="382" spans="1:5" ht="12.5">
      <c r="A382" s="81" t="str">
        <f t="shared" si="0"/>
        <v xml:space="preserve"> </v>
      </c>
      <c r="B382" s="81" t="str">
        <f t="shared" si="1"/>
        <v xml:space="preserve"> </v>
      </c>
      <c r="C382" s="79" t="str">
        <f t="shared" si="7"/>
        <v xml:space="preserve"> </v>
      </c>
      <c r="D382" s="79" t="str">
        <f t="shared" si="5"/>
        <v xml:space="preserve"> </v>
      </c>
      <c r="E382" s="79" t="str">
        <f t="shared" si="6"/>
        <v xml:space="preserve"> </v>
      </c>
    </row>
    <row r="383" spans="1:5" ht="12.5">
      <c r="A383" s="81" t="str">
        <f t="shared" si="0"/>
        <v xml:space="preserve"> </v>
      </c>
      <c r="B383" s="81" t="str">
        <f t="shared" si="1"/>
        <v xml:space="preserve"> </v>
      </c>
      <c r="C383" s="79" t="str">
        <f t="shared" si="7"/>
        <v xml:space="preserve"> </v>
      </c>
      <c r="D383" s="79" t="str">
        <f t="shared" si="5"/>
        <v xml:space="preserve"> </v>
      </c>
      <c r="E383" s="79" t="str">
        <f t="shared" si="6"/>
        <v xml:space="preserve"> </v>
      </c>
    </row>
    <row r="384" spans="1:5" ht="12.5">
      <c r="A384" s="81" t="str">
        <f t="shared" si="0"/>
        <v xml:space="preserve"> </v>
      </c>
      <c r="B384" s="81" t="str">
        <f t="shared" si="1"/>
        <v xml:space="preserve"> </v>
      </c>
      <c r="C384" s="79" t="str">
        <f t="shared" si="7"/>
        <v xml:space="preserve"> </v>
      </c>
      <c r="D384" s="79" t="str">
        <f t="shared" si="5"/>
        <v xml:space="preserve"> </v>
      </c>
      <c r="E384" s="79" t="str">
        <f t="shared" si="6"/>
        <v xml:space="preserve"> </v>
      </c>
    </row>
    <row r="385" spans="1:5" ht="12.5">
      <c r="A385" s="81" t="str">
        <f t="shared" si="0"/>
        <v xml:space="preserve"> </v>
      </c>
      <c r="B385" s="81" t="str">
        <f t="shared" si="1"/>
        <v xml:space="preserve"> </v>
      </c>
      <c r="C385" s="79" t="str">
        <f t="shared" si="7"/>
        <v xml:space="preserve"> </v>
      </c>
      <c r="D385" s="79" t="str">
        <f t="shared" si="5"/>
        <v xml:space="preserve"> </v>
      </c>
      <c r="E385" s="79" t="str">
        <f t="shared" si="6"/>
        <v xml:space="preserve"> </v>
      </c>
    </row>
    <row r="386" spans="1:5" ht="12.5">
      <c r="A386" s="81" t="str">
        <f t="shared" si="0"/>
        <v xml:space="preserve"> </v>
      </c>
      <c r="B386" s="81" t="str">
        <f t="shared" si="1"/>
        <v xml:space="preserve"> </v>
      </c>
      <c r="C386" s="79" t="str">
        <f t="shared" si="7"/>
        <v xml:space="preserve"> </v>
      </c>
      <c r="D386" s="79" t="str">
        <f t="shared" si="5"/>
        <v xml:space="preserve"> </v>
      </c>
      <c r="E386" s="79" t="str">
        <f t="shared" si="6"/>
        <v xml:space="preserve"> </v>
      </c>
    </row>
    <row r="387" spans="1:5" ht="12.5">
      <c r="A387" s="81" t="str">
        <f t="shared" si="0"/>
        <v xml:space="preserve"> </v>
      </c>
      <c r="B387" s="81" t="str">
        <f t="shared" si="1"/>
        <v xml:space="preserve"> </v>
      </c>
      <c r="C387" s="79" t="str">
        <f t="shared" si="7"/>
        <v xml:space="preserve"> </v>
      </c>
      <c r="D387" s="79" t="str">
        <f t="shared" si="5"/>
        <v xml:space="preserve"> </v>
      </c>
      <c r="E387" s="79" t="str">
        <f t="shared" si="6"/>
        <v xml:space="preserve"> </v>
      </c>
    </row>
    <row r="388" spans="1:5" ht="12.5">
      <c r="A388" s="81" t="str">
        <f t="shared" si="0"/>
        <v xml:space="preserve"> </v>
      </c>
      <c r="B388" s="81" t="str">
        <f t="shared" si="1"/>
        <v xml:space="preserve"> </v>
      </c>
      <c r="C388" s="79" t="str">
        <f t="shared" si="7"/>
        <v xml:space="preserve"> </v>
      </c>
      <c r="D388" s="79" t="str">
        <f t="shared" si="5"/>
        <v xml:space="preserve"> </v>
      </c>
      <c r="E388" s="79" t="str">
        <f t="shared" si="6"/>
        <v xml:space="preserve"> </v>
      </c>
    </row>
    <row r="389" spans="1:5" ht="12.5">
      <c r="A389" s="81" t="str">
        <f t="shared" si="0"/>
        <v xml:space="preserve"> </v>
      </c>
      <c r="B389" s="81" t="str">
        <f t="shared" si="1"/>
        <v xml:space="preserve"> </v>
      </c>
      <c r="C389" s="79" t="str">
        <f t="shared" si="7"/>
        <v xml:space="preserve"> </v>
      </c>
      <c r="D389" s="79" t="str">
        <f t="shared" si="5"/>
        <v xml:space="preserve"> </v>
      </c>
      <c r="E389" s="79" t="str">
        <f t="shared" si="6"/>
        <v xml:space="preserve"> </v>
      </c>
    </row>
    <row r="390" spans="1:5" ht="12.5">
      <c r="A390" s="81" t="str">
        <f t="shared" si="0"/>
        <v xml:space="preserve"> </v>
      </c>
      <c r="B390" s="81" t="str">
        <f t="shared" si="1"/>
        <v xml:space="preserve"> </v>
      </c>
      <c r="C390" s="79" t="str">
        <f t="shared" si="7"/>
        <v xml:space="preserve"> </v>
      </c>
      <c r="D390" s="79" t="str">
        <f t="shared" si="5"/>
        <v xml:space="preserve"> </v>
      </c>
      <c r="E390" s="79" t="str">
        <f t="shared" si="6"/>
        <v xml:space="preserve"> </v>
      </c>
    </row>
    <row r="391" spans="1:5" ht="12.5">
      <c r="A391" s="81" t="str">
        <f t="shared" si="0"/>
        <v xml:space="preserve"> </v>
      </c>
      <c r="B391" s="81" t="str">
        <f t="shared" si="1"/>
        <v xml:space="preserve"> </v>
      </c>
      <c r="C391" s="79" t="str">
        <f t="shared" si="7"/>
        <v xml:space="preserve"> </v>
      </c>
      <c r="D391" s="79" t="str">
        <f t="shared" si="5"/>
        <v xml:space="preserve"> </v>
      </c>
      <c r="E391" s="79" t="str">
        <f t="shared" si="6"/>
        <v xml:space="preserve"> </v>
      </c>
    </row>
    <row r="392" spans="1:5" ht="12.5">
      <c r="A392" s="81" t="str">
        <f t="shared" si="0"/>
        <v xml:space="preserve"> </v>
      </c>
      <c r="B392" s="81" t="str">
        <f t="shared" si="1"/>
        <v xml:space="preserve"> </v>
      </c>
      <c r="C392" s="79" t="str">
        <f t="shared" si="7"/>
        <v xml:space="preserve"> </v>
      </c>
      <c r="D392" s="79" t="str">
        <f t="shared" si="5"/>
        <v xml:space="preserve"> </v>
      </c>
      <c r="E392" s="79" t="str">
        <f t="shared" si="6"/>
        <v xml:space="preserve"> </v>
      </c>
    </row>
    <row r="393" spans="1:5" ht="12.5">
      <c r="A393" s="81" t="str">
        <f t="shared" si="0"/>
        <v xml:space="preserve"> </v>
      </c>
      <c r="B393" s="81" t="str">
        <f t="shared" si="1"/>
        <v xml:space="preserve"> </v>
      </c>
      <c r="C393" s="79" t="str">
        <f t="shared" si="7"/>
        <v xml:space="preserve"> </v>
      </c>
      <c r="D393" s="79" t="str">
        <f t="shared" si="5"/>
        <v xml:space="preserve"> </v>
      </c>
      <c r="E393" s="79" t="str">
        <f t="shared" si="6"/>
        <v xml:space="preserve"> </v>
      </c>
    </row>
    <row r="394" spans="1:5" ht="12.5">
      <c r="A394" s="81" t="str">
        <f t="shared" si="0"/>
        <v xml:space="preserve"> </v>
      </c>
      <c r="B394" s="81" t="str">
        <f t="shared" si="1"/>
        <v xml:space="preserve"> </v>
      </c>
      <c r="C394" s="79" t="str">
        <f t="shared" si="7"/>
        <v xml:space="preserve"> </v>
      </c>
      <c r="D394" s="79" t="str">
        <f t="shared" si="5"/>
        <v xml:space="preserve"> </v>
      </c>
      <c r="E394" s="79" t="str">
        <f t="shared" si="6"/>
        <v xml:space="preserve"> </v>
      </c>
    </row>
    <row r="395" spans="1:5" ht="12.5">
      <c r="A395" s="81" t="str">
        <f t="shared" si="0"/>
        <v xml:space="preserve"> </v>
      </c>
      <c r="B395" s="81" t="str">
        <f t="shared" si="1"/>
        <v xml:space="preserve"> </v>
      </c>
      <c r="C395" s="79" t="str">
        <f t="shared" si="7"/>
        <v xml:space="preserve"> </v>
      </c>
      <c r="D395" s="79" t="str">
        <f t="shared" si="5"/>
        <v xml:space="preserve"> </v>
      </c>
      <c r="E395" s="79" t="str">
        <f t="shared" si="6"/>
        <v xml:space="preserve"> </v>
      </c>
    </row>
    <row r="396" spans="1:5" ht="12.5">
      <c r="A396" s="81" t="str">
        <f t="shared" si="0"/>
        <v xml:space="preserve"> </v>
      </c>
      <c r="B396" s="81" t="str">
        <f t="shared" si="1"/>
        <v xml:space="preserve"> </v>
      </c>
      <c r="C396" s="79" t="str">
        <f t="shared" si="7"/>
        <v xml:space="preserve"> </v>
      </c>
      <c r="D396" s="79" t="str">
        <f t="shared" si="5"/>
        <v xml:space="preserve"> </v>
      </c>
      <c r="E396" s="79" t="str">
        <f t="shared" si="6"/>
        <v xml:space="preserve"> </v>
      </c>
    </row>
    <row r="397" spans="1:5" ht="12.5">
      <c r="A397" s="81" t="str">
        <f t="shared" si="0"/>
        <v xml:space="preserve"> </v>
      </c>
      <c r="B397" s="81" t="str">
        <f t="shared" si="1"/>
        <v xml:space="preserve"> </v>
      </c>
      <c r="C397" s="79" t="str">
        <f t="shared" si="7"/>
        <v xml:space="preserve"> </v>
      </c>
      <c r="D397" s="79" t="str">
        <f t="shared" si="5"/>
        <v xml:space="preserve"> </v>
      </c>
      <c r="E397" s="79" t="str">
        <f t="shared" si="6"/>
        <v xml:space="preserve"> </v>
      </c>
    </row>
    <row r="398" spans="1:5" ht="12.5">
      <c r="A398" s="81" t="str">
        <f t="shared" si="0"/>
        <v xml:space="preserve"> </v>
      </c>
      <c r="B398" s="81" t="str">
        <f t="shared" si="1"/>
        <v xml:space="preserve"> </v>
      </c>
      <c r="C398" s="79" t="str">
        <f t="shared" si="7"/>
        <v xml:space="preserve"> </v>
      </c>
      <c r="D398" s="79" t="str">
        <f t="shared" si="5"/>
        <v xml:space="preserve"> </v>
      </c>
      <c r="E398" s="79" t="str">
        <f t="shared" si="6"/>
        <v xml:space="preserve"> </v>
      </c>
    </row>
    <row r="399" spans="1:5" ht="12.5">
      <c r="A399" s="81" t="str">
        <f t="shared" si="0"/>
        <v xml:space="preserve"> </v>
      </c>
      <c r="B399" s="81" t="str">
        <f t="shared" si="1"/>
        <v xml:space="preserve"> </v>
      </c>
      <c r="C399" s="79" t="str">
        <f t="shared" si="7"/>
        <v xml:space="preserve"> </v>
      </c>
      <c r="D399" s="79" t="str">
        <f t="shared" si="5"/>
        <v xml:space="preserve"> </v>
      </c>
      <c r="E399" s="79" t="str">
        <f t="shared" si="6"/>
        <v xml:space="preserve"> </v>
      </c>
    </row>
    <row r="400" spans="1:5" ht="12.5">
      <c r="A400" s="81" t="str">
        <f t="shared" si="0"/>
        <v xml:space="preserve"> </v>
      </c>
      <c r="B400" s="81" t="str">
        <f t="shared" si="1"/>
        <v xml:space="preserve"> </v>
      </c>
      <c r="C400" s="79" t="str">
        <f t="shared" si="7"/>
        <v xml:space="preserve"> </v>
      </c>
      <c r="D400" s="79" t="str">
        <f t="shared" si="5"/>
        <v xml:space="preserve"> </v>
      </c>
      <c r="E400" s="79" t="str">
        <f t="shared" si="6"/>
        <v xml:space="preserve"> </v>
      </c>
    </row>
    <row r="401" spans="1:5" ht="12.5">
      <c r="A401" s="81" t="str">
        <f t="shared" si="0"/>
        <v xml:space="preserve"> </v>
      </c>
      <c r="B401" s="81" t="str">
        <f t="shared" si="1"/>
        <v xml:space="preserve"> </v>
      </c>
      <c r="C401" s="79" t="str">
        <f t="shared" si="7"/>
        <v xml:space="preserve"> </v>
      </c>
      <c r="D401" s="79" t="str">
        <f t="shared" si="5"/>
        <v xml:space="preserve"> </v>
      </c>
      <c r="E401" s="79" t="str">
        <f t="shared" si="6"/>
        <v xml:space="preserve"> </v>
      </c>
    </row>
    <row r="402" spans="1:5" ht="12.5">
      <c r="A402" s="81" t="str">
        <f t="shared" si="0"/>
        <v xml:space="preserve"> </v>
      </c>
      <c r="B402" s="81" t="str">
        <f t="shared" si="1"/>
        <v xml:space="preserve"> </v>
      </c>
      <c r="C402" s="79" t="str">
        <f t="shared" si="7"/>
        <v xml:space="preserve"> </v>
      </c>
      <c r="D402" s="79" t="str">
        <f t="shared" si="5"/>
        <v xml:space="preserve"> </v>
      </c>
      <c r="E402" s="79" t="str">
        <f t="shared" si="6"/>
        <v xml:space="preserve"> </v>
      </c>
    </row>
    <row r="403" spans="1:5" ht="12.5">
      <c r="A403" s="81" t="str">
        <f t="shared" si="0"/>
        <v xml:space="preserve"> </v>
      </c>
      <c r="B403" s="81" t="str">
        <f t="shared" si="1"/>
        <v xml:space="preserve"> </v>
      </c>
      <c r="C403" s="79" t="str">
        <f t="shared" si="7"/>
        <v xml:space="preserve"> </v>
      </c>
      <c r="D403" s="79" t="str">
        <f t="shared" si="5"/>
        <v xml:space="preserve"> </v>
      </c>
      <c r="E403" s="79" t="str">
        <f t="shared" si="6"/>
        <v xml:space="preserve"> </v>
      </c>
    </row>
    <row r="404" spans="1:5" ht="12.5">
      <c r="A404" s="81" t="str">
        <f t="shared" si="0"/>
        <v xml:space="preserve"> </v>
      </c>
      <c r="B404" s="81" t="str">
        <f t="shared" si="1"/>
        <v xml:space="preserve"> </v>
      </c>
      <c r="C404" s="79" t="str">
        <f t="shared" si="7"/>
        <v xml:space="preserve"> </v>
      </c>
      <c r="D404" s="79" t="str">
        <f t="shared" si="5"/>
        <v xml:space="preserve"> </v>
      </c>
      <c r="E404" s="79" t="str">
        <f t="shared" si="6"/>
        <v xml:space="preserve"> </v>
      </c>
    </row>
    <row r="405" spans="1:5" ht="12.5">
      <c r="A405" s="81" t="str">
        <f t="shared" si="0"/>
        <v xml:space="preserve"> </v>
      </c>
      <c r="B405" s="81" t="str">
        <f t="shared" si="1"/>
        <v xml:space="preserve"> </v>
      </c>
      <c r="C405" s="79" t="str">
        <f t="shared" si="7"/>
        <v xml:space="preserve"> </v>
      </c>
      <c r="D405" s="79" t="str">
        <f t="shared" si="5"/>
        <v xml:space="preserve"> </v>
      </c>
      <c r="E405" s="79" t="str">
        <f t="shared" si="6"/>
        <v xml:space="preserve"> </v>
      </c>
    </row>
    <row r="406" spans="1:5" ht="12.5">
      <c r="A406" s="81" t="str">
        <f t="shared" si="0"/>
        <v xml:space="preserve"> </v>
      </c>
      <c r="B406" s="81" t="str">
        <f t="shared" si="1"/>
        <v xml:space="preserve"> </v>
      </c>
      <c r="C406" s="79" t="str">
        <f t="shared" si="7"/>
        <v xml:space="preserve"> </v>
      </c>
      <c r="D406" s="79" t="str">
        <f t="shared" si="5"/>
        <v xml:space="preserve"> </v>
      </c>
      <c r="E406" s="79" t="str">
        <f t="shared" si="6"/>
        <v xml:space="preserve"> </v>
      </c>
    </row>
    <row r="407" spans="1:5" ht="12.5">
      <c r="A407" s="81" t="str">
        <f t="shared" si="0"/>
        <v xml:space="preserve"> </v>
      </c>
      <c r="B407" s="81" t="str">
        <f t="shared" si="1"/>
        <v xml:space="preserve"> </v>
      </c>
      <c r="C407" s="79" t="str">
        <f t="shared" si="7"/>
        <v xml:space="preserve"> </v>
      </c>
      <c r="D407" s="79" t="str">
        <f t="shared" si="5"/>
        <v xml:space="preserve"> </v>
      </c>
      <c r="E407" s="79" t="str">
        <f t="shared" si="6"/>
        <v xml:space="preserve"> </v>
      </c>
    </row>
    <row r="408" spans="1:5" ht="12.5">
      <c r="A408" s="81" t="str">
        <f t="shared" si="0"/>
        <v xml:space="preserve"> </v>
      </c>
      <c r="B408" s="81" t="str">
        <f t="shared" si="1"/>
        <v xml:space="preserve"> </v>
      </c>
      <c r="C408" s="79" t="str">
        <f t="shared" si="7"/>
        <v xml:space="preserve"> </v>
      </c>
      <c r="D408" s="79" t="str">
        <f t="shared" si="5"/>
        <v xml:space="preserve"> </v>
      </c>
      <c r="E408" s="79" t="str">
        <f t="shared" si="6"/>
        <v xml:space="preserve"> </v>
      </c>
    </row>
    <row r="409" spans="1:5" ht="12.5">
      <c r="A409" s="81" t="str">
        <f t="shared" si="0"/>
        <v xml:space="preserve"> </v>
      </c>
      <c r="B409" s="81" t="str">
        <f t="shared" si="1"/>
        <v xml:space="preserve"> </v>
      </c>
      <c r="C409" s="79" t="str">
        <f t="shared" si="7"/>
        <v xml:space="preserve"> </v>
      </c>
      <c r="D409" s="79" t="str">
        <f t="shared" si="5"/>
        <v xml:space="preserve"> </v>
      </c>
      <c r="E409" s="79" t="str">
        <f t="shared" si="6"/>
        <v xml:space="preserve"> </v>
      </c>
    </row>
    <row r="410" spans="1:5" ht="12.5">
      <c r="A410" s="81" t="str">
        <f t="shared" si="0"/>
        <v xml:space="preserve"> </v>
      </c>
      <c r="B410" s="81" t="str">
        <f t="shared" si="1"/>
        <v xml:space="preserve"> </v>
      </c>
      <c r="C410" s="79" t="str">
        <f t="shared" si="7"/>
        <v xml:space="preserve"> </v>
      </c>
      <c r="D410" s="79" t="str">
        <f t="shared" si="5"/>
        <v xml:space="preserve"> </v>
      </c>
      <c r="E410" s="79" t="str">
        <f t="shared" si="6"/>
        <v xml:space="preserve"> </v>
      </c>
    </row>
    <row r="411" spans="1:5" ht="12.5">
      <c r="A411" s="81" t="str">
        <f t="shared" si="0"/>
        <v xml:space="preserve"> </v>
      </c>
      <c r="B411" s="81" t="str">
        <f t="shared" si="1"/>
        <v xml:space="preserve"> </v>
      </c>
      <c r="C411" s="79" t="str">
        <f t="shared" si="7"/>
        <v xml:space="preserve"> </v>
      </c>
      <c r="D411" s="79" t="str">
        <f t="shared" si="5"/>
        <v xml:space="preserve"> </v>
      </c>
      <c r="E411" s="79" t="str">
        <f t="shared" si="6"/>
        <v xml:space="preserve"> </v>
      </c>
    </row>
    <row r="412" spans="1:5" ht="12.5">
      <c r="A412" s="81" t="str">
        <f t="shared" si="0"/>
        <v xml:space="preserve"> </v>
      </c>
      <c r="B412" s="81" t="str">
        <f t="shared" si="1"/>
        <v xml:space="preserve"> </v>
      </c>
      <c r="C412" s="79" t="str">
        <f t="shared" si="7"/>
        <v xml:space="preserve"> </v>
      </c>
      <c r="D412" s="79" t="str">
        <f t="shared" si="5"/>
        <v xml:space="preserve"> </v>
      </c>
      <c r="E412" s="79" t="str">
        <f t="shared" si="6"/>
        <v xml:space="preserve"> </v>
      </c>
    </row>
    <row r="413" spans="1:5" ht="12.5">
      <c r="A413" s="81" t="str">
        <f t="shared" si="0"/>
        <v xml:space="preserve"> </v>
      </c>
      <c r="B413" s="81" t="str">
        <f t="shared" si="1"/>
        <v xml:space="preserve"> </v>
      </c>
      <c r="C413" s="79" t="str">
        <f t="shared" si="7"/>
        <v xml:space="preserve"> </v>
      </c>
      <c r="D413" s="79" t="str">
        <f t="shared" si="5"/>
        <v xml:space="preserve"> </v>
      </c>
      <c r="E413" s="79" t="str">
        <f t="shared" si="6"/>
        <v xml:space="preserve"> </v>
      </c>
    </row>
    <row r="414" spans="1:5" ht="12.5">
      <c r="A414" s="81" t="str">
        <f t="shared" si="0"/>
        <v xml:space="preserve"> </v>
      </c>
      <c r="B414" s="81" t="str">
        <f t="shared" si="1"/>
        <v xml:space="preserve"> </v>
      </c>
      <c r="C414" s="79" t="str">
        <f t="shared" si="7"/>
        <v xml:space="preserve"> </v>
      </c>
      <c r="D414" s="79" t="str">
        <f t="shared" si="5"/>
        <v xml:space="preserve"> </v>
      </c>
      <c r="E414" s="79" t="str">
        <f t="shared" si="6"/>
        <v xml:space="preserve"> </v>
      </c>
    </row>
    <row r="415" spans="1:5" ht="12.5">
      <c r="A415" s="81" t="str">
        <f t="shared" si="0"/>
        <v xml:space="preserve"> </v>
      </c>
      <c r="B415" s="81" t="str">
        <f t="shared" si="1"/>
        <v xml:space="preserve"> </v>
      </c>
      <c r="C415" s="79" t="str">
        <f t="shared" si="7"/>
        <v xml:space="preserve"> </v>
      </c>
      <c r="D415" s="79" t="str">
        <f t="shared" si="5"/>
        <v xml:space="preserve"> </v>
      </c>
      <c r="E415" s="79" t="str">
        <f t="shared" si="6"/>
        <v xml:space="preserve"> </v>
      </c>
    </row>
    <row r="416" spans="1:5" ht="12.5">
      <c r="A416" s="81" t="str">
        <f t="shared" si="0"/>
        <v xml:space="preserve"> </v>
      </c>
      <c r="B416" s="81" t="str">
        <f t="shared" si="1"/>
        <v xml:space="preserve"> </v>
      </c>
      <c r="C416" s="79" t="str">
        <f t="shared" si="7"/>
        <v xml:space="preserve"> </v>
      </c>
      <c r="D416" s="79" t="str">
        <f t="shared" si="5"/>
        <v xml:space="preserve"> </v>
      </c>
      <c r="E416" s="79" t="str">
        <f t="shared" si="6"/>
        <v xml:space="preserve"> </v>
      </c>
    </row>
    <row r="417" spans="1:5" ht="12.5">
      <c r="A417" s="81" t="str">
        <f t="shared" si="0"/>
        <v xml:space="preserve"> </v>
      </c>
      <c r="B417" s="81" t="str">
        <f t="shared" si="1"/>
        <v xml:space="preserve"> </v>
      </c>
      <c r="C417" s="79" t="str">
        <f t="shared" si="7"/>
        <v xml:space="preserve"> </v>
      </c>
      <c r="D417" s="79" t="str">
        <f t="shared" si="5"/>
        <v xml:space="preserve"> </v>
      </c>
      <c r="E417" s="79" t="str">
        <f t="shared" si="6"/>
        <v xml:space="preserve"> </v>
      </c>
    </row>
    <row r="418" spans="1:5" ht="12.5">
      <c r="A418" s="81" t="str">
        <f t="shared" si="0"/>
        <v xml:space="preserve"> </v>
      </c>
      <c r="B418" s="81" t="str">
        <f t="shared" si="1"/>
        <v xml:space="preserve"> </v>
      </c>
      <c r="C418" s="79" t="str">
        <f t="shared" si="7"/>
        <v xml:space="preserve"> </v>
      </c>
      <c r="D418" s="79" t="str">
        <f t="shared" si="5"/>
        <v xml:space="preserve"> </v>
      </c>
      <c r="E418" s="79" t="str">
        <f t="shared" si="6"/>
        <v xml:space="preserve"> </v>
      </c>
    </row>
    <row r="419" spans="1:5" ht="12.5">
      <c r="A419" s="81" t="str">
        <f t="shared" si="0"/>
        <v xml:space="preserve"> </v>
      </c>
      <c r="B419" s="81" t="str">
        <f t="shared" si="1"/>
        <v xml:space="preserve"> </v>
      </c>
      <c r="C419" s="79" t="str">
        <f t="shared" si="7"/>
        <v xml:space="preserve"> </v>
      </c>
      <c r="D419" s="79" t="str">
        <f t="shared" si="5"/>
        <v xml:space="preserve"> </v>
      </c>
      <c r="E419" s="79" t="str">
        <f t="shared" si="6"/>
        <v xml:space="preserve"> </v>
      </c>
    </row>
    <row r="420" spans="1:5" ht="12.5">
      <c r="A420" s="81" t="str">
        <f t="shared" si="0"/>
        <v xml:space="preserve"> </v>
      </c>
      <c r="B420" s="81" t="str">
        <f t="shared" si="1"/>
        <v xml:space="preserve"> </v>
      </c>
      <c r="C420" s="79" t="str">
        <f t="shared" si="7"/>
        <v xml:space="preserve"> </v>
      </c>
      <c r="D420" s="79" t="str">
        <f t="shared" si="5"/>
        <v xml:space="preserve"> </v>
      </c>
      <c r="E420" s="79" t="str">
        <f t="shared" si="6"/>
        <v xml:space="preserve"> </v>
      </c>
    </row>
    <row r="421" spans="1:5" ht="12.5">
      <c r="A421" s="81" t="str">
        <f t="shared" si="0"/>
        <v xml:space="preserve"> </v>
      </c>
      <c r="B421" s="81" t="str">
        <f t="shared" si="1"/>
        <v xml:space="preserve"> </v>
      </c>
      <c r="C421" s="79" t="str">
        <f t="shared" si="7"/>
        <v xml:space="preserve"> </v>
      </c>
      <c r="D421" s="79" t="str">
        <f t="shared" si="5"/>
        <v xml:space="preserve"> </v>
      </c>
      <c r="E421" s="79" t="str">
        <f t="shared" si="6"/>
        <v xml:space="preserve"> </v>
      </c>
    </row>
    <row r="422" spans="1:5" ht="12.5">
      <c r="A422" s="81" t="str">
        <f t="shared" si="0"/>
        <v xml:space="preserve"> </v>
      </c>
      <c r="B422" s="81" t="str">
        <f t="shared" si="1"/>
        <v xml:space="preserve"> </v>
      </c>
      <c r="C422" s="79" t="str">
        <f t="shared" si="7"/>
        <v xml:space="preserve"> </v>
      </c>
      <c r="D422" s="79" t="str">
        <f t="shared" si="5"/>
        <v xml:space="preserve"> </v>
      </c>
      <c r="E422" s="79" t="str">
        <f t="shared" si="6"/>
        <v xml:space="preserve"> </v>
      </c>
    </row>
    <row r="423" spans="1:5" ht="12.5">
      <c r="A423" s="81" t="str">
        <f t="shared" si="0"/>
        <v xml:space="preserve"> </v>
      </c>
      <c r="B423" s="81" t="str">
        <f t="shared" si="1"/>
        <v xml:space="preserve"> </v>
      </c>
      <c r="C423" s="79" t="str">
        <f t="shared" si="7"/>
        <v xml:space="preserve"> </v>
      </c>
      <c r="D423" s="79" t="str">
        <f t="shared" si="5"/>
        <v xml:space="preserve"> </v>
      </c>
      <c r="E423" s="79" t="str">
        <f t="shared" si="6"/>
        <v xml:space="preserve"> </v>
      </c>
    </row>
    <row r="424" spans="1:5" ht="12.5">
      <c r="A424" s="81" t="str">
        <f t="shared" si="0"/>
        <v xml:space="preserve"> </v>
      </c>
      <c r="B424" s="81" t="str">
        <f t="shared" si="1"/>
        <v xml:space="preserve"> </v>
      </c>
      <c r="C424" s="79" t="str">
        <f t="shared" si="7"/>
        <v xml:space="preserve"> </v>
      </c>
      <c r="D424" s="79" t="str">
        <f t="shared" si="5"/>
        <v xml:space="preserve"> </v>
      </c>
      <c r="E424" s="79" t="str">
        <f t="shared" si="6"/>
        <v xml:space="preserve"> </v>
      </c>
    </row>
    <row r="425" spans="1:5" ht="12.5">
      <c r="A425" s="81" t="str">
        <f t="shared" si="0"/>
        <v xml:space="preserve"> </v>
      </c>
      <c r="B425" s="81" t="str">
        <f t="shared" si="1"/>
        <v xml:space="preserve"> </v>
      </c>
      <c r="C425" s="79" t="str">
        <f t="shared" si="7"/>
        <v xml:space="preserve"> </v>
      </c>
      <c r="D425" s="79" t="str">
        <f t="shared" si="5"/>
        <v xml:space="preserve"> </v>
      </c>
      <c r="E425" s="79" t="str">
        <f t="shared" si="6"/>
        <v xml:space="preserve"> </v>
      </c>
    </row>
    <row r="426" spans="1:5" ht="12.5">
      <c r="A426" s="81" t="str">
        <f t="shared" si="0"/>
        <v xml:space="preserve"> </v>
      </c>
      <c r="B426" s="81" t="str">
        <f t="shared" si="1"/>
        <v xml:space="preserve"> </v>
      </c>
      <c r="C426" s="79" t="str">
        <f t="shared" si="7"/>
        <v xml:space="preserve"> </v>
      </c>
      <c r="D426" s="79" t="str">
        <f t="shared" si="5"/>
        <v xml:space="preserve"> </v>
      </c>
      <c r="E426" s="79" t="str">
        <f t="shared" si="6"/>
        <v xml:space="preserve"> </v>
      </c>
    </row>
    <row r="427" spans="1:5" ht="12.5">
      <c r="A427" s="81" t="str">
        <f t="shared" si="0"/>
        <v xml:space="preserve"> </v>
      </c>
      <c r="B427" s="81" t="str">
        <f t="shared" si="1"/>
        <v xml:space="preserve"> </v>
      </c>
      <c r="C427" s="79" t="str">
        <f t="shared" si="7"/>
        <v xml:space="preserve"> </v>
      </c>
      <c r="D427" s="79" t="str">
        <f t="shared" si="5"/>
        <v xml:space="preserve"> </v>
      </c>
      <c r="E427" s="79" t="str">
        <f t="shared" si="6"/>
        <v xml:space="preserve"> </v>
      </c>
    </row>
    <row r="428" spans="1:5" ht="12.5">
      <c r="A428" s="81" t="str">
        <f t="shared" si="0"/>
        <v xml:space="preserve"> </v>
      </c>
      <c r="B428" s="81" t="str">
        <f t="shared" si="1"/>
        <v xml:space="preserve"> </v>
      </c>
      <c r="C428" s="79" t="str">
        <f t="shared" si="7"/>
        <v xml:space="preserve"> </v>
      </c>
      <c r="D428" s="79" t="str">
        <f t="shared" si="5"/>
        <v xml:space="preserve"> </v>
      </c>
      <c r="E428" s="79" t="str">
        <f t="shared" si="6"/>
        <v xml:space="preserve"> </v>
      </c>
    </row>
    <row r="429" spans="1:5" ht="12.5">
      <c r="A429" s="81" t="str">
        <f t="shared" si="0"/>
        <v xml:space="preserve"> </v>
      </c>
      <c r="B429" s="81" t="str">
        <f t="shared" si="1"/>
        <v xml:space="preserve"> </v>
      </c>
      <c r="C429" s="79" t="str">
        <f t="shared" si="7"/>
        <v xml:space="preserve"> </v>
      </c>
      <c r="D429" s="79" t="str">
        <f t="shared" si="5"/>
        <v xml:space="preserve"> </v>
      </c>
      <c r="E429" s="79" t="str">
        <f t="shared" si="6"/>
        <v xml:space="preserve"> </v>
      </c>
    </row>
    <row r="430" spans="1:5" ht="12.5">
      <c r="A430" s="81" t="str">
        <f t="shared" si="0"/>
        <v xml:space="preserve"> </v>
      </c>
      <c r="B430" s="81" t="str">
        <f t="shared" si="1"/>
        <v xml:space="preserve"> </v>
      </c>
      <c r="C430" s="79" t="str">
        <f t="shared" si="7"/>
        <v xml:space="preserve"> </v>
      </c>
      <c r="D430" s="79" t="str">
        <f t="shared" si="5"/>
        <v xml:space="preserve"> </v>
      </c>
      <c r="E430" s="79" t="str">
        <f t="shared" si="6"/>
        <v xml:space="preserve"> </v>
      </c>
    </row>
    <row r="431" spans="1:5" ht="12.5">
      <c r="A431" s="81" t="str">
        <f t="shared" si="0"/>
        <v xml:space="preserve"> </v>
      </c>
      <c r="B431" s="81" t="str">
        <f t="shared" si="1"/>
        <v xml:space="preserve"> </v>
      </c>
      <c r="C431" s="79" t="str">
        <f t="shared" si="7"/>
        <v xml:space="preserve"> </v>
      </c>
      <c r="D431" s="79" t="str">
        <f t="shared" si="5"/>
        <v xml:space="preserve"> </v>
      </c>
      <c r="E431" s="79" t="str">
        <f t="shared" si="6"/>
        <v xml:space="preserve"> </v>
      </c>
    </row>
    <row r="432" spans="1:5" ht="12.5">
      <c r="A432" s="81" t="str">
        <f t="shared" si="0"/>
        <v xml:space="preserve"> </v>
      </c>
      <c r="B432" s="81" t="str">
        <f t="shared" si="1"/>
        <v xml:space="preserve"> </v>
      </c>
      <c r="C432" s="79" t="str">
        <f t="shared" si="7"/>
        <v xml:space="preserve"> </v>
      </c>
      <c r="D432" s="79" t="str">
        <f t="shared" si="5"/>
        <v xml:space="preserve"> </v>
      </c>
      <c r="E432" s="79" t="str">
        <f t="shared" si="6"/>
        <v xml:space="preserve"> </v>
      </c>
    </row>
    <row r="433" spans="1:5" ht="12.5">
      <c r="A433" s="81" t="str">
        <f t="shared" si="0"/>
        <v xml:space="preserve"> </v>
      </c>
      <c r="B433" s="81" t="str">
        <f t="shared" si="1"/>
        <v xml:space="preserve"> </v>
      </c>
      <c r="C433" s="79" t="str">
        <f t="shared" si="7"/>
        <v xml:space="preserve"> </v>
      </c>
      <c r="D433" s="79" t="str">
        <f t="shared" si="5"/>
        <v xml:space="preserve"> </v>
      </c>
      <c r="E433" s="79" t="str">
        <f t="shared" si="6"/>
        <v xml:space="preserve"> </v>
      </c>
    </row>
    <row r="434" spans="1:5" ht="12.5">
      <c r="A434" s="81" t="str">
        <f t="shared" si="0"/>
        <v xml:space="preserve"> </v>
      </c>
      <c r="B434" s="81" t="str">
        <f t="shared" si="1"/>
        <v xml:space="preserve"> </v>
      </c>
      <c r="C434" s="79" t="str">
        <f t="shared" si="7"/>
        <v xml:space="preserve"> </v>
      </c>
      <c r="D434" s="79" t="str">
        <f t="shared" si="5"/>
        <v xml:space="preserve"> </v>
      </c>
      <c r="E434" s="79" t="str">
        <f t="shared" si="6"/>
        <v xml:space="preserve"> </v>
      </c>
    </row>
    <row r="435" spans="1:5" ht="12.5">
      <c r="A435" s="81" t="str">
        <f t="shared" si="0"/>
        <v xml:space="preserve"> </v>
      </c>
      <c r="B435" s="81" t="str">
        <f t="shared" si="1"/>
        <v xml:space="preserve"> </v>
      </c>
      <c r="C435" s="79" t="str">
        <f t="shared" si="7"/>
        <v xml:space="preserve"> </v>
      </c>
      <c r="D435" s="79" t="str">
        <f t="shared" si="5"/>
        <v xml:space="preserve"> </v>
      </c>
      <c r="E435" s="79" t="str">
        <f t="shared" si="6"/>
        <v xml:space="preserve"> </v>
      </c>
    </row>
    <row r="436" spans="1:5" ht="12.5">
      <c r="A436" s="81" t="str">
        <f t="shared" si="0"/>
        <v xml:space="preserve"> </v>
      </c>
      <c r="B436" s="81" t="str">
        <f t="shared" si="1"/>
        <v xml:space="preserve"> </v>
      </c>
      <c r="C436" s="79" t="str">
        <f t="shared" si="7"/>
        <v xml:space="preserve"> </v>
      </c>
      <c r="D436" s="79" t="str">
        <f t="shared" si="5"/>
        <v xml:space="preserve"> </v>
      </c>
      <c r="E436" s="79" t="str">
        <f t="shared" si="6"/>
        <v xml:space="preserve"> </v>
      </c>
    </row>
    <row r="437" spans="1:5" ht="12.5">
      <c r="A437" s="81" t="str">
        <f t="shared" si="0"/>
        <v xml:space="preserve"> </v>
      </c>
      <c r="B437" s="81" t="str">
        <f t="shared" si="1"/>
        <v xml:space="preserve"> </v>
      </c>
      <c r="C437" s="79" t="str">
        <f t="shared" si="7"/>
        <v xml:space="preserve"> </v>
      </c>
      <c r="D437" s="79" t="str">
        <f t="shared" si="5"/>
        <v xml:space="preserve"> </v>
      </c>
      <c r="E437" s="79" t="str">
        <f t="shared" si="6"/>
        <v xml:space="preserve"> </v>
      </c>
    </row>
    <row r="438" spans="1:5" ht="12.5">
      <c r="A438" s="81" t="str">
        <f t="shared" si="0"/>
        <v xml:space="preserve"> </v>
      </c>
      <c r="B438" s="81" t="str">
        <f t="shared" si="1"/>
        <v xml:space="preserve"> </v>
      </c>
      <c r="C438" s="79" t="str">
        <f t="shared" si="7"/>
        <v xml:space="preserve"> </v>
      </c>
      <c r="D438" s="79" t="str">
        <f t="shared" si="5"/>
        <v xml:space="preserve"> </v>
      </c>
      <c r="E438" s="79" t="str">
        <f t="shared" si="6"/>
        <v xml:space="preserve"> </v>
      </c>
    </row>
    <row r="439" spans="1:5" ht="12.5">
      <c r="A439" s="81" t="str">
        <f t="shared" si="0"/>
        <v xml:space="preserve"> </v>
      </c>
      <c r="B439" s="81" t="str">
        <f t="shared" si="1"/>
        <v xml:space="preserve"> </v>
      </c>
      <c r="C439" s="79" t="str">
        <f t="shared" si="7"/>
        <v xml:space="preserve"> </v>
      </c>
      <c r="D439" s="79" t="str">
        <f t="shared" si="5"/>
        <v xml:space="preserve"> </v>
      </c>
      <c r="E439" s="79" t="str">
        <f t="shared" si="6"/>
        <v xml:space="preserve"> </v>
      </c>
    </row>
    <row r="440" spans="1:5" ht="12.5">
      <c r="A440" s="81" t="str">
        <f t="shared" si="0"/>
        <v xml:space="preserve"> </v>
      </c>
      <c r="B440" s="81" t="str">
        <f t="shared" si="1"/>
        <v xml:space="preserve"> </v>
      </c>
      <c r="C440" s="79" t="str">
        <f t="shared" si="7"/>
        <v xml:space="preserve"> </v>
      </c>
      <c r="D440" s="79" t="str">
        <f t="shared" si="5"/>
        <v xml:space="preserve"> </v>
      </c>
      <c r="E440" s="79" t="str">
        <f t="shared" si="6"/>
        <v xml:space="preserve"> </v>
      </c>
    </row>
    <row r="441" spans="1:5" ht="12.5">
      <c r="A441" s="81" t="str">
        <f t="shared" si="0"/>
        <v xml:space="preserve"> </v>
      </c>
      <c r="B441" s="81" t="str">
        <f t="shared" si="1"/>
        <v xml:space="preserve"> </v>
      </c>
      <c r="C441" s="79" t="str">
        <f t="shared" si="7"/>
        <v xml:space="preserve"> </v>
      </c>
      <c r="D441" s="79" t="str">
        <f t="shared" si="5"/>
        <v xml:space="preserve"> </v>
      </c>
      <c r="E441" s="79" t="str">
        <f t="shared" si="6"/>
        <v xml:space="preserve"> </v>
      </c>
    </row>
    <row r="442" spans="1:5" ht="12.5">
      <c r="A442" s="81" t="str">
        <f t="shared" si="0"/>
        <v xml:space="preserve"> </v>
      </c>
      <c r="B442" s="81" t="str">
        <f t="shared" si="1"/>
        <v xml:space="preserve"> </v>
      </c>
      <c r="C442" s="79" t="str">
        <f t="shared" si="7"/>
        <v xml:space="preserve"> </v>
      </c>
      <c r="D442" s="79" t="str">
        <f t="shared" si="5"/>
        <v xml:space="preserve"> </v>
      </c>
      <c r="E442" s="79" t="str">
        <f t="shared" si="6"/>
        <v xml:space="preserve"> </v>
      </c>
    </row>
    <row r="443" spans="1:5" ht="12.5">
      <c r="A443" s="81" t="str">
        <f t="shared" si="0"/>
        <v xml:space="preserve"> </v>
      </c>
      <c r="B443" s="81" t="str">
        <f t="shared" si="1"/>
        <v xml:space="preserve"> </v>
      </c>
      <c r="C443" s="79" t="str">
        <f t="shared" si="7"/>
        <v xml:space="preserve"> </v>
      </c>
      <c r="D443" s="79" t="str">
        <f t="shared" si="5"/>
        <v xml:space="preserve"> </v>
      </c>
      <c r="E443" s="79" t="str">
        <f t="shared" si="6"/>
        <v xml:space="preserve"> </v>
      </c>
    </row>
    <row r="444" spans="1:5" ht="12.5">
      <c r="A444" s="81" t="str">
        <f t="shared" si="0"/>
        <v xml:space="preserve"> </v>
      </c>
      <c r="B444" s="81" t="str">
        <f t="shared" si="1"/>
        <v xml:space="preserve"> </v>
      </c>
      <c r="C444" s="79" t="str">
        <f t="shared" si="7"/>
        <v xml:space="preserve"> </v>
      </c>
      <c r="D444" s="79" t="str">
        <f t="shared" si="5"/>
        <v xml:space="preserve"> </v>
      </c>
      <c r="E444" s="79" t="str">
        <f t="shared" si="6"/>
        <v xml:space="preserve"> </v>
      </c>
    </row>
    <row r="445" spans="1:5" ht="12.5">
      <c r="A445" s="81" t="str">
        <f t="shared" si="0"/>
        <v xml:space="preserve"> </v>
      </c>
      <c r="B445" s="81" t="str">
        <f t="shared" si="1"/>
        <v xml:space="preserve"> </v>
      </c>
      <c r="C445" s="79" t="str">
        <f t="shared" si="7"/>
        <v xml:space="preserve"> </v>
      </c>
      <c r="D445" s="79" t="str">
        <f t="shared" si="5"/>
        <v xml:space="preserve"> </v>
      </c>
      <c r="E445" s="79" t="str">
        <f t="shared" si="6"/>
        <v xml:space="preserve"> </v>
      </c>
    </row>
    <row r="446" spans="1:5" ht="12.5">
      <c r="A446" s="81" t="str">
        <f t="shared" si="0"/>
        <v xml:space="preserve"> </v>
      </c>
      <c r="B446" s="81" t="str">
        <f t="shared" si="1"/>
        <v xml:space="preserve"> </v>
      </c>
      <c r="C446" s="79" t="str">
        <f t="shared" si="7"/>
        <v xml:space="preserve"> </v>
      </c>
      <c r="D446" s="79" t="str">
        <f t="shared" si="5"/>
        <v xml:space="preserve"> </v>
      </c>
      <c r="E446" s="79" t="str">
        <f t="shared" si="6"/>
        <v xml:space="preserve"> </v>
      </c>
    </row>
    <row r="447" spans="1:5" ht="12.5">
      <c r="A447" s="81" t="str">
        <f t="shared" si="0"/>
        <v xml:space="preserve"> </v>
      </c>
      <c r="B447" s="81" t="str">
        <f t="shared" si="1"/>
        <v xml:space="preserve"> </v>
      </c>
      <c r="C447" s="79" t="str">
        <f t="shared" si="7"/>
        <v xml:space="preserve"> </v>
      </c>
      <c r="D447" s="79" t="str">
        <f t="shared" si="5"/>
        <v xml:space="preserve"> </v>
      </c>
      <c r="E447" s="79" t="str">
        <f t="shared" si="6"/>
        <v xml:space="preserve"> </v>
      </c>
    </row>
    <row r="448" spans="1:5" ht="12.5">
      <c r="A448" s="81" t="str">
        <f t="shared" si="0"/>
        <v xml:space="preserve"> </v>
      </c>
      <c r="B448" s="81" t="str">
        <f t="shared" si="1"/>
        <v xml:space="preserve"> </v>
      </c>
      <c r="C448" s="79" t="str">
        <f t="shared" si="7"/>
        <v xml:space="preserve"> </v>
      </c>
      <c r="D448" s="79" t="str">
        <f t="shared" si="5"/>
        <v xml:space="preserve"> </v>
      </c>
      <c r="E448" s="79" t="str">
        <f t="shared" si="6"/>
        <v xml:space="preserve"> </v>
      </c>
    </row>
    <row r="449" spans="1:5" ht="12.5">
      <c r="A449" s="81" t="str">
        <f t="shared" si="0"/>
        <v xml:space="preserve"> </v>
      </c>
      <c r="B449" s="81" t="str">
        <f t="shared" si="1"/>
        <v xml:space="preserve"> </v>
      </c>
      <c r="C449" s="79" t="str">
        <f t="shared" si="7"/>
        <v xml:space="preserve"> </v>
      </c>
      <c r="D449" s="79" t="str">
        <f t="shared" si="5"/>
        <v xml:space="preserve"> </v>
      </c>
      <c r="E449" s="79" t="str">
        <f t="shared" si="6"/>
        <v xml:space="preserve"> </v>
      </c>
    </row>
    <row r="450" spans="1:5" ht="12.5">
      <c r="A450" s="81" t="str">
        <f t="shared" si="0"/>
        <v xml:space="preserve"> </v>
      </c>
      <c r="B450" s="81" t="str">
        <f t="shared" si="1"/>
        <v xml:space="preserve"> </v>
      </c>
      <c r="C450" s="79" t="str">
        <f t="shared" si="7"/>
        <v xml:space="preserve"> </v>
      </c>
      <c r="D450" s="79" t="str">
        <f t="shared" si="5"/>
        <v xml:space="preserve"> </v>
      </c>
      <c r="E450" s="79" t="str">
        <f t="shared" si="6"/>
        <v xml:space="preserve"> </v>
      </c>
    </row>
    <row r="451" spans="1:5" ht="12.5">
      <c r="A451" s="81" t="str">
        <f t="shared" si="0"/>
        <v xml:space="preserve"> </v>
      </c>
      <c r="B451" s="81" t="str">
        <f t="shared" si="1"/>
        <v xml:space="preserve"> </v>
      </c>
      <c r="C451" s="79" t="str">
        <f t="shared" si="7"/>
        <v xml:space="preserve"> </v>
      </c>
      <c r="D451" s="79" t="str">
        <f t="shared" si="5"/>
        <v xml:space="preserve"> </v>
      </c>
      <c r="E451" s="79" t="str">
        <f t="shared" si="6"/>
        <v xml:space="preserve"> </v>
      </c>
    </row>
    <row r="452" spans="1:5" ht="12.5">
      <c r="A452" s="81" t="str">
        <f t="shared" si="0"/>
        <v xml:space="preserve"> </v>
      </c>
      <c r="B452" s="81" t="str">
        <f t="shared" si="1"/>
        <v xml:space="preserve"> </v>
      </c>
      <c r="C452" s="79" t="str">
        <f t="shared" si="7"/>
        <v xml:space="preserve"> </v>
      </c>
      <c r="D452" s="79" t="str">
        <f t="shared" si="5"/>
        <v xml:space="preserve"> </v>
      </c>
      <c r="E452" s="79" t="str">
        <f t="shared" si="6"/>
        <v xml:space="preserve"> </v>
      </c>
    </row>
    <row r="453" spans="1:5" ht="12.5">
      <c r="A453" s="81" t="str">
        <f t="shared" si="0"/>
        <v xml:space="preserve"> </v>
      </c>
      <c r="B453" s="81" t="str">
        <f t="shared" si="1"/>
        <v xml:space="preserve"> </v>
      </c>
      <c r="C453" s="79" t="str">
        <f t="shared" si="7"/>
        <v xml:space="preserve"> </v>
      </c>
      <c r="D453" s="79" t="str">
        <f t="shared" si="5"/>
        <v xml:space="preserve"> </v>
      </c>
      <c r="E453" s="79" t="str">
        <f t="shared" si="6"/>
        <v xml:space="preserve"> </v>
      </c>
    </row>
    <row r="454" spans="1:5" ht="12.5">
      <c r="A454" s="81" t="str">
        <f t="shared" si="0"/>
        <v xml:space="preserve"> </v>
      </c>
      <c r="B454" s="81" t="str">
        <f t="shared" si="1"/>
        <v xml:space="preserve"> </v>
      </c>
      <c r="C454" s="79" t="str">
        <f t="shared" si="7"/>
        <v xml:space="preserve"> </v>
      </c>
      <c r="D454" s="79" t="str">
        <f t="shared" si="5"/>
        <v xml:space="preserve"> </v>
      </c>
      <c r="E454" s="79" t="str">
        <f t="shared" si="6"/>
        <v xml:space="preserve"> </v>
      </c>
    </row>
    <row r="455" spans="1:5" ht="12.5">
      <c r="A455" s="81" t="str">
        <f t="shared" si="0"/>
        <v xml:space="preserve"> </v>
      </c>
      <c r="B455" s="81" t="str">
        <f t="shared" si="1"/>
        <v xml:space="preserve"> </v>
      </c>
      <c r="C455" s="79" t="str">
        <f t="shared" si="7"/>
        <v xml:space="preserve"> </v>
      </c>
      <c r="D455" s="79" t="str">
        <f t="shared" si="5"/>
        <v xml:space="preserve"> </v>
      </c>
      <c r="E455" s="79" t="str">
        <f t="shared" si="6"/>
        <v xml:space="preserve"> </v>
      </c>
    </row>
    <row r="456" spans="1:5" ht="12.5">
      <c r="A456" s="81" t="str">
        <f t="shared" si="0"/>
        <v xml:space="preserve"> </v>
      </c>
      <c r="B456" s="81" t="str">
        <f t="shared" si="1"/>
        <v xml:space="preserve"> </v>
      </c>
      <c r="C456" s="79" t="str">
        <f t="shared" si="7"/>
        <v xml:space="preserve"> </v>
      </c>
      <c r="D456" s="79" t="str">
        <f t="shared" si="5"/>
        <v xml:space="preserve"> </v>
      </c>
      <c r="E456" s="79" t="str">
        <f t="shared" si="6"/>
        <v xml:space="preserve"> </v>
      </c>
    </row>
    <row r="457" spans="1:5" ht="12.5">
      <c r="A457" s="81" t="str">
        <f t="shared" si="0"/>
        <v xml:space="preserve"> </v>
      </c>
      <c r="B457" s="81" t="str">
        <f t="shared" si="1"/>
        <v xml:space="preserve"> </v>
      </c>
      <c r="C457" s="79" t="str">
        <f t="shared" si="7"/>
        <v xml:space="preserve"> </v>
      </c>
      <c r="D457" s="79" t="str">
        <f t="shared" si="5"/>
        <v xml:space="preserve"> </v>
      </c>
      <c r="E457" s="79" t="str">
        <f t="shared" si="6"/>
        <v xml:space="preserve"> </v>
      </c>
    </row>
    <row r="458" spans="1:5" ht="12.5">
      <c r="A458" s="81" t="str">
        <f t="shared" si="0"/>
        <v xml:space="preserve"> </v>
      </c>
      <c r="B458" s="81" t="str">
        <f t="shared" si="1"/>
        <v xml:space="preserve"> </v>
      </c>
      <c r="C458" s="79" t="str">
        <f t="shared" si="7"/>
        <v xml:space="preserve"> </v>
      </c>
      <c r="D458" s="79" t="str">
        <f t="shared" si="5"/>
        <v xml:space="preserve"> </v>
      </c>
      <c r="E458" s="79" t="str">
        <f t="shared" si="6"/>
        <v xml:space="preserve"> </v>
      </c>
    </row>
    <row r="459" spans="1:5" ht="12.5">
      <c r="A459" s="81" t="str">
        <f t="shared" si="0"/>
        <v xml:space="preserve"> </v>
      </c>
      <c r="B459" s="81" t="str">
        <f t="shared" si="1"/>
        <v xml:space="preserve"> </v>
      </c>
      <c r="C459" s="79" t="str">
        <f t="shared" si="7"/>
        <v xml:space="preserve"> </v>
      </c>
      <c r="D459" s="79" t="str">
        <f t="shared" si="5"/>
        <v xml:space="preserve"> </v>
      </c>
      <c r="E459" s="79" t="str">
        <f t="shared" si="6"/>
        <v xml:space="preserve"> </v>
      </c>
    </row>
    <row r="460" spans="1:5" ht="12.5">
      <c r="A460" s="81" t="str">
        <f t="shared" si="0"/>
        <v xml:space="preserve"> </v>
      </c>
      <c r="B460" s="81" t="str">
        <f t="shared" si="1"/>
        <v xml:space="preserve"> </v>
      </c>
      <c r="C460" s="79" t="str">
        <f t="shared" si="7"/>
        <v xml:space="preserve"> </v>
      </c>
      <c r="D460" s="79" t="str">
        <f t="shared" si="5"/>
        <v xml:space="preserve"> </v>
      </c>
      <c r="E460" s="79" t="str">
        <f t="shared" si="6"/>
        <v xml:space="preserve"> </v>
      </c>
    </row>
    <row r="461" spans="1:5" ht="12.5">
      <c r="A461" s="81" t="str">
        <f t="shared" si="0"/>
        <v xml:space="preserve"> </v>
      </c>
      <c r="B461" s="81" t="str">
        <f t="shared" si="1"/>
        <v xml:space="preserve"> </v>
      </c>
      <c r="C461" s="79" t="str">
        <f t="shared" si="7"/>
        <v xml:space="preserve"> </v>
      </c>
      <c r="D461" s="79" t="str">
        <f t="shared" si="5"/>
        <v xml:space="preserve"> </v>
      </c>
      <c r="E461" s="79" t="str">
        <f t="shared" si="6"/>
        <v xml:space="preserve"> </v>
      </c>
    </row>
    <row r="462" spans="1:5" ht="12.5">
      <c r="A462" s="81" t="str">
        <f t="shared" si="0"/>
        <v xml:space="preserve"> </v>
      </c>
      <c r="B462" s="81" t="str">
        <f t="shared" si="1"/>
        <v xml:space="preserve"> </v>
      </c>
      <c r="C462" s="79" t="str">
        <f t="shared" si="7"/>
        <v xml:space="preserve"> </v>
      </c>
      <c r="D462" s="79" t="str">
        <f t="shared" si="5"/>
        <v xml:space="preserve"> </v>
      </c>
      <c r="E462" s="79" t="str">
        <f t="shared" si="6"/>
        <v xml:space="preserve"> </v>
      </c>
    </row>
    <row r="463" spans="1:5" ht="12.5">
      <c r="A463" s="81" t="str">
        <f t="shared" si="0"/>
        <v xml:space="preserve"> </v>
      </c>
      <c r="B463" s="81" t="str">
        <f t="shared" si="1"/>
        <v xml:space="preserve"> </v>
      </c>
      <c r="C463" s="79" t="str">
        <f t="shared" si="7"/>
        <v xml:space="preserve"> </v>
      </c>
      <c r="D463" s="79" t="str">
        <f t="shared" si="5"/>
        <v xml:space="preserve"> </v>
      </c>
      <c r="E463" s="79" t="str">
        <f t="shared" si="6"/>
        <v xml:space="preserve"> </v>
      </c>
    </row>
    <row r="464" spans="1:5" ht="12.5">
      <c r="A464" s="81" t="str">
        <f t="shared" si="0"/>
        <v xml:space="preserve"> </v>
      </c>
      <c r="B464" s="81" t="str">
        <f t="shared" si="1"/>
        <v xml:space="preserve"> </v>
      </c>
      <c r="C464" s="79" t="str">
        <f t="shared" si="7"/>
        <v xml:space="preserve"> </v>
      </c>
      <c r="D464" s="79" t="str">
        <f t="shared" si="5"/>
        <v xml:space="preserve"> </v>
      </c>
      <c r="E464" s="79" t="str">
        <f t="shared" si="6"/>
        <v xml:space="preserve"> </v>
      </c>
    </row>
    <row r="465" spans="1:5" ht="12.5">
      <c r="A465" s="81" t="str">
        <f t="shared" si="0"/>
        <v xml:space="preserve"> </v>
      </c>
      <c r="B465" s="81" t="str">
        <f t="shared" si="1"/>
        <v xml:space="preserve"> </v>
      </c>
      <c r="C465" s="79" t="str">
        <f t="shared" si="7"/>
        <v xml:space="preserve"> </v>
      </c>
      <c r="D465" s="79" t="str">
        <f t="shared" si="5"/>
        <v xml:space="preserve"> </v>
      </c>
      <c r="E465" s="79" t="str">
        <f t="shared" si="6"/>
        <v xml:space="preserve"> </v>
      </c>
    </row>
    <row r="466" spans="1:5" ht="12.5">
      <c r="A466" s="81" t="str">
        <f t="shared" si="0"/>
        <v xml:space="preserve"> </v>
      </c>
      <c r="B466" s="81" t="str">
        <f t="shared" si="1"/>
        <v xml:space="preserve"> </v>
      </c>
      <c r="C466" s="79" t="str">
        <f t="shared" si="7"/>
        <v xml:space="preserve"> </v>
      </c>
      <c r="D466" s="79" t="str">
        <f t="shared" si="5"/>
        <v xml:space="preserve"> </v>
      </c>
      <c r="E466" s="79" t="str">
        <f t="shared" si="6"/>
        <v xml:space="preserve"> </v>
      </c>
    </row>
    <row r="467" spans="1:5" ht="12.5">
      <c r="A467" s="81" t="str">
        <f t="shared" si="0"/>
        <v xml:space="preserve"> </v>
      </c>
      <c r="B467" s="81" t="str">
        <f t="shared" si="1"/>
        <v xml:space="preserve"> </v>
      </c>
      <c r="C467" s="79" t="str">
        <f t="shared" si="7"/>
        <v xml:space="preserve"> </v>
      </c>
      <c r="D467" s="79" t="str">
        <f t="shared" si="5"/>
        <v xml:space="preserve"> </v>
      </c>
      <c r="E467" s="79" t="str">
        <f t="shared" si="6"/>
        <v xml:space="preserve"> </v>
      </c>
    </row>
    <row r="468" spans="1:5" ht="12.5">
      <c r="A468" s="81" t="str">
        <f t="shared" si="0"/>
        <v xml:space="preserve"> </v>
      </c>
      <c r="B468" s="81" t="str">
        <f t="shared" si="1"/>
        <v xml:space="preserve"> </v>
      </c>
      <c r="C468" s="79" t="str">
        <f t="shared" si="7"/>
        <v xml:space="preserve"> </v>
      </c>
      <c r="D468" s="79" t="str">
        <f t="shared" si="5"/>
        <v xml:space="preserve"> </v>
      </c>
      <c r="E468" s="79" t="str">
        <f t="shared" si="6"/>
        <v xml:space="preserve"> </v>
      </c>
    </row>
    <row r="469" spans="1:5" ht="12.5">
      <c r="A469" s="81" t="str">
        <f t="shared" si="0"/>
        <v xml:space="preserve"> </v>
      </c>
      <c r="B469" s="81" t="str">
        <f t="shared" si="1"/>
        <v xml:space="preserve"> </v>
      </c>
      <c r="C469" s="79" t="str">
        <f t="shared" si="7"/>
        <v xml:space="preserve"> </v>
      </c>
      <c r="D469" s="79" t="str">
        <f t="shared" si="5"/>
        <v xml:space="preserve"> </v>
      </c>
      <c r="E469" s="79" t="str">
        <f t="shared" si="6"/>
        <v xml:space="preserve"> </v>
      </c>
    </row>
    <row r="470" spans="1:5" ht="12.5">
      <c r="A470" s="81" t="str">
        <f t="shared" si="0"/>
        <v xml:space="preserve"> </v>
      </c>
      <c r="B470" s="81" t="str">
        <f t="shared" si="1"/>
        <v xml:space="preserve"> </v>
      </c>
      <c r="C470" s="79" t="str">
        <f t="shared" si="7"/>
        <v xml:space="preserve"> </v>
      </c>
      <c r="D470" s="79" t="str">
        <f t="shared" si="5"/>
        <v xml:space="preserve"> </v>
      </c>
      <c r="E470" s="79" t="str">
        <f t="shared" si="6"/>
        <v xml:space="preserve"> </v>
      </c>
    </row>
    <row r="471" spans="1:5" ht="12.5">
      <c r="A471" s="81" t="str">
        <f t="shared" si="0"/>
        <v xml:space="preserve"> </v>
      </c>
      <c r="B471" s="81" t="str">
        <f t="shared" si="1"/>
        <v xml:space="preserve"> </v>
      </c>
      <c r="C471" s="79" t="str">
        <f t="shared" si="7"/>
        <v xml:space="preserve"> </v>
      </c>
      <c r="D471" s="79" t="str">
        <f t="shared" si="5"/>
        <v xml:space="preserve"> </v>
      </c>
      <c r="E471" s="79" t="str">
        <f t="shared" si="6"/>
        <v xml:space="preserve"> </v>
      </c>
    </row>
    <row r="472" spans="1:5" ht="12.5">
      <c r="A472" s="81" t="str">
        <f t="shared" si="0"/>
        <v xml:space="preserve"> </v>
      </c>
      <c r="B472" s="81" t="str">
        <f t="shared" si="1"/>
        <v xml:space="preserve"> </v>
      </c>
      <c r="C472" s="79" t="str">
        <f t="shared" si="7"/>
        <v xml:space="preserve"> </v>
      </c>
      <c r="D472" s="79" t="str">
        <f t="shared" si="5"/>
        <v xml:space="preserve"> </v>
      </c>
      <c r="E472" s="79" t="str">
        <f t="shared" si="6"/>
        <v xml:space="preserve"> </v>
      </c>
    </row>
    <row r="473" spans="1:5" ht="12.5">
      <c r="A473" s="81" t="str">
        <f t="shared" si="0"/>
        <v xml:space="preserve"> </v>
      </c>
      <c r="B473" s="81" t="str">
        <f t="shared" si="1"/>
        <v xml:space="preserve"> </v>
      </c>
      <c r="C473" s="79" t="str">
        <f t="shared" si="7"/>
        <v xml:space="preserve"> </v>
      </c>
      <c r="D473" s="79" t="str">
        <f t="shared" si="5"/>
        <v xml:space="preserve"> </v>
      </c>
      <c r="E473" s="79" t="str">
        <f t="shared" si="6"/>
        <v xml:space="preserve"> </v>
      </c>
    </row>
    <row r="474" spans="1:5" ht="12.5">
      <c r="A474" s="81" t="str">
        <f t="shared" si="0"/>
        <v xml:space="preserve"> </v>
      </c>
      <c r="B474" s="81" t="str">
        <f t="shared" si="1"/>
        <v xml:space="preserve"> </v>
      </c>
      <c r="C474" s="79" t="str">
        <f t="shared" si="7"/>
        <v xml:space="preserve"> </v>
      </c>
      <c r="D474" s="79" t="str">
        <f t="shared" si="5"/>
        <v xml:space="preserve"> </v>
      </c>
      <c r="E474" s="79" t="str">
        <f t="shared" si="6"/>
        <v xml:space="preserve"> </v>
      </c>
    </row>
    <row r="475" spans="1:5" ht="12.5">
      <c r="A475" s="81" t="str">
        <f t="shared" si="0"/>
        <v xml:space="preserve"> </v>
      </c>
      <c r="B475" s="81" t="str">
        <f t="shared" si="1"/>
        <v xml:space="preserve"> </v>
      </c>
      <c r="C475" s="79" t="str">
        <f t="shared" si="7"/>
        <v xml:space="preserve"> </v>
      </c>
      <c r="D475" s="79" t="str">
        <f t="shared" si="5"/>
        <v xml:space="preserve"> </v>
      </c>
      <c r="E475" s="79" t="str">
        <f t="shared" si="6"/>
        <v xml:space="preserve"> </v>
      </c>
    </row>
    <row r="476" spans="1:5" ht="12.5">
      <c r="A476" s="81" t="str">
        <f t="shared" si="0"/>
        <v xml:space="preserve"> </v>
      </c>
      <c r="B476" s="81" t="str">
        <f t="shared" si="1"/>
        <v xml:space="preserve"> </v>
      </c>
      <c r="C476" s="79" t="str">
        <f t="shared" si="7"/>
        <v xml:space="preserve"> </v>
      </c>
      <c r="D476" s="79" t="str">
        <f t="shared" si="5"/>
        <v xml:space="preserve"> </v>
      </c>
      <c r="E476" s="79" t="str">
        <f t="shared" si="6"/>
        <v xml:space="preserve"> </v>
      </c>
    </row>
    <row r="477" spans="1:5" ht="12.5">
      <c r="A477" s="81" t="str">
        <f t="shared" si="0"/>
        <v xml:space="preserve"> </v>
      </c>
      <c r="B477" s="81" t="str">
        <f t="shared" si="1"/>
        <v xml:space="preserve"> </v>
      </c>
      <c r="C477" s="79" t="str">
        <f t="shared" si="7"/>
        <v xml:space="preserve"> </v>
      </c>
      <c r="D477" s="79" t="str">
        <f t="shared" si="5"/>
        <v xml:space="preserve"> </v>
      </c>
      <c r="E477" s="79" t="str">
        <f t="shared" si="6"/>
        <v xml:space="preserve"> </v>
      </c>
    </row>
    <row r="478" spans="1:5" ht="12.5">
      <c r="A478" s="81" t="str">
        <f t="shared" si="0"/>
        <v xml:space="preserve"> </v>
      </c>
      <c r="B478" s="81" t="str">
        <f t="shared" si="1"/>
        <v xml:space="preserve"> </v>
      </c>
      <c r="C478" s="79" t="str">
        <f t="shared" si="7"/>
        <v xml:space="preserve"> </v>
      </c>
      <c r="D478" s="79" t="str">
        <f t="shared" si="5"/>
        <v xml:space="preserve"> </v>
      </c>
      <c r="E478" s="79" t="str">
        <f t="shared" si="6"/>
        <v xml:space="preserve"> </v>
      </c>
    </row>
    <row r="479" spans="1:5" ht="12.5">
      <c r="A479" s="81" t="str">
        <f t="shared" si="0"/>
        <v xml:space="preserve"> </v>
      </c>
      <c r="B479" s="81" t="str">
        <f t="shared" si="1"/>
        <v xml:space="preserve"> </v>
      </c>
      <c r="C479" s="79" t="str">
        <f t="shared" si="7"/>
        <v xml:space="preserve"> </v>
      </c>
      <c r="D479" s="79" t="str">
        <f t="shared" si="5"/>
        <v xml:space="preserve"> </v>
      </c>
      <c r="E479" s="79" t="str">
        <f t="shared" si="6"/>
        <v xml:space="preserve"> </v>
      </c>
    </row>
    <row r="480" spans="1:5" ht="12.5">
      <c r="A480" s="81" t="str">
        <f t="shared" si="0"/>
        <v xml:space="preserve"> </v>
      </c>
      <c r="B480" s="81" t="str">
        <f t="shared" si="1"/>
        <v xml:space="preserve"> </v>
      </c>
      <c r="C480" s="79" t="str">
        <f t="shared" si="7"/>
        <v xml:space="preserve"> </v>
      </c>
      <c r="D480" s="79" t="str">
        <f t="shared" si="5"/>
        <v xml:space="preserve"> </v>
      </c>
      <c r="E480" s="79" t="str">
        <f t="shared" si="6"/>
        <v xml:space="preserve"> </v>
      </c>
    </row>
    <row r="481" spans="1:5" ht="12.5">
      <c r="A481" s="81" t="str">
        <f t="shared" si="0"/>
        <v xml:space="preserve"> </v>
      </c>
      <c r="B481" s="81" t="str">
        <f t="shared" si="1"/>
        <v xml:space="preserve"> </v>
      </c>
      <c r="C481" s="79" t="str">
        <f t="shared" si="7"/>
        <v xml:space="preserve"> </v>
      </c>
      <c r="D481" s="79" t="str">
        <f t="shared" si="5"/>
        <v xml:space="preserve"> </v>
      </c>
      <c r="E481" s="79" t="str">
        <f t="shared" si="6"/>
        <v xml:space="preserve"> </v>
      </c>
    </row>
    <row r="482" spans="1:5" ht="12.5">
      <c r="A482" s="81" t="str">
        <f t="shared" si="0"/>
        <v xml:space="preserve"> </v>
      </c>
      <c r="B482" s="81" t="str">
        <f t="shared" si="1"/>
        <v xml:space="preserve"> </v>
      </c>
      <c r="C482" s="79" t="str">
        <f t="shared" si="7"/>
        <v xml:space="preserve"> </v>
      </c>
      <c r="D482" s="79" t="str">
        <f t="shared" si="5"/>
        <v xml:space="preserve"> </v>
      </c>
      <c r="E482" s="79" t="str">
        <f t="shared" si="6"/>
        <v xml:space="preserve"> </v>
      </c>
    </row>
    <row r="483" spans="1:5" ht="12.5">
      <c r="A483" s="81" t="str">
        <f t="shared" si="0"/>
        <v xml:space="preserve"> </v>
      </c>
      <c r="B483" s="81" t="str">
        <f t="shared" si="1"/>
        <v xml:space="preserve"> </v>
      </c>
      <c r="C483" s="79" t="str">
        <f t="shared" si="7"/>
        <v xml:space="preserve"> </v>
      </c>
      <c r="D483" s="79" t="str">
        <f t="shared" si="5"/>
        <v xml:space="preserve"> </v>
      </c>
      <c r="E483" s="79" t="str">
        <f t="shared" si="6"/>
        <v xml:space="preserve"> </v>
      </c>
    </row>
    <row r="484" spans="1:5" ht="12.5">
      <c r="A484" s="81" t="str">
        <f t="shared" si="0"/>
        <v xml:space="preserve"> </v>
      </c>
      <c r="B484" s="81" t="str">
        <f t="shared" si="1"/>
        <v xml:space="preserve"> </v>
      </c>
      <c r="C484" s="79" t="str">
        <f t="shared" si="7"/>
        <v xml:space="preserve"> </v>
      </c>
      <c r="D484" s="79" t="str">
        <f t="shared" si="5"/>
        <v xml:space="preserve"> </v>
      </c>
      <c r="E484" s="79" t="str">
        <f t="shared" si="6"/>
        <v xml:space="preserve"> </v>
      </c>
    </row>
    <row r="485" spans="1:5" ht="12.5">
      <c r="A485" s="81" t="str">
        <f t="shared" si="0"/>
        <v xml:space="preserve"> </v>
      </c>
      <c r="B485" s="81" t="str">
        <f t="shared" si="1"/>
        <v xml:space="preserve"> </v>
      </c>
      <c r="C485" s="79" t="str">
        <f t="shared" si="7"/>
        <v xml:space="preserve"> </v>
      </c>
      <c r="D485" s="79" t="str">
        <f t="shared" si="5"/>
        <v xml:space="preserve"> </v>
      </c>
      <c r="E485" s="79" t="str">
        <f t="shared" si="6"/>
        <v xml:space="preserve"> </v>
      </c>
    </row>
    <row r="486" spans="1:5" ht="12.5">
      <c r="A486" s="81" t="str">
        <f t="shared" si="0"/>
        <v xml:space="preserve"> </v>
      </c>
      <c r="B486" s="81" t="str">
        <f t="shared" si="1"/>
        <v xml:space="preserve"> </v>
      </c>
      <c r="C486" s="79" t="str">
        <f t="shared" si="7"/>
        <v xml:space="preserve"> </v>
      </c>
      <c r="D486" s="79" t="str">
        <f t="shared" si="5"/>
        <v xml:space="preserve"> </v>
      </c>
      <c r="E486" s="79" t="str">
        <f t="shared" si="6"/>
        <v xml:space="preserve"> </v>
      </c>
    </row>
    <row r="487" spans="1:5" ht="12.5">
      <c r="A487" s="81" t="str">
        <f t="shared" si="0"/>
        <v xml:space="preserve"> </v>
      </c>
      <c r="B487" s="81" t="str">
        <f t="shared" si="1"/>
        <v xml:space="preserve"> </v>
      </c>
      <c r="C487" s="79" t="str">
        <f t="shared" si="7"/>
        <v xml:space="preserve"> </v>
      </c>
      <c r="D487" s="79" t="str">
        <f t="shared" si="5"/>
        <v xml:space="preserve"> </v>
      </c>
      <c r="E487" s="79" t="str">
        <f t="shared" si="6"/>
        <v xml:space="preserve"> </v>
      </c>
    </row>
    <row r="488" spans="1:5" ht="12.5">
      <c r="A488" s="81" t="str">
        <f t="shared" si="0"/>
        <v xml:space="preserve"> </v>
      </c>
      <c r="B488" s="81" t="str">
        <f t="shared" si="1"/>
        <v xml:space="preserve"> </v>
      </c>
      <c r="C488" s="79" t="str">
        <f t="shared" si="7"/>
        <v xml:space="preserve"> </v>
      </c>
      <c r="D488" s="79" t="str">
        <f t="shared" si="5"/>
        <v xml:space="preserve"> </v>
      </c>
      <c r="E488" s="79" t="str">
        <f t="shared" si="6"/>
        <v xml:space="preserve"> </v>
      </c>
    </row>
    <row r="489" spans="1:5" ht="12.5">
      <c r="A489" s="81" t="str">
        <f t="shared" si="0"/>
        <v xml:space="preserve"> </v>
      </c>
      <c r="B489" s="81" t="str">
        <f t="shared" si="1"/>
        <v xml:space="preserve"> </v>
      </c>
      <c r="C489" s="79" t="str">
        <f t="shared" si="7"/>
        <v xml:space="preserve"> </v>
      </c>
      <c r="D489" s="79" t="str">
        <f t="shared" si="5"/>
        <v xml:space="preserve"> </v>
      </c>
      <c r="E489" s="79" t="str">
        <f t="shared" si="6"/>
        <v xml:space="preserve"> </v>
      </c>
    </row>
    <row r="490" spans="1:5" ht="12.5">
      <c r="A490" s="81" t="str">
        <f t="shared" si="0"/>
        <v xml:space="preserve"> </v>
      </c>
      <c r="B490" s="81" t="str">
        <f t="shared" si="1"/>
        <v xml:space="preserve"> </v>
      </c>
      <c r="C490" s="79" t="str">
        <f t="shared" si="7"/>
        <v xml:space="preserve"> </v>
      </c>
      <c r="D490" s="79" t="str">
        <f t="shared" si="5"/>
        <v xml:space="preserve"> </v>
      </c>
      <c r="E490" s="79" t="str">
        <f t="shared" si="6"/>
        <v xml:space="preserve"> </v>
      </c>
    </row>
    <row r="491" spans="1:5" ht="12.5">
      <c r="A491" s="81" t="str">
        <f t="shared" si="0"/>
        <v xml:space="preserve"> </v>
      </c>
      <c r="B491" s="81" t="str">
        <f t="shared" si="1"/>
        <v xml:space="preserve"> </v>
      </c>
      <c r="C491" s="79" t="str">
        <f t="shared" si="7"/>
        <v xml:space="preserve"> </v>
      </c>
      <c r="D491" s="79" t="str">
        <f t="shared" si="5"/>
        <v xml:space="preserve"> </v>
      </c>
      <c r="E491" s="79" t="str">
        <f t="shared" si="6"/>
        <v xml:space="preserve"> </v>
      </c>
    </row>
    <row r="492" spans="1:5" ht="12.5">
      <c r="A492" s="81" t="str">
        <f t="shared" si="0"/>
        <v xml:space="preserve"> </v>
      </c>
      <c r="B492" s="81" t="str">
        <f t="shared" si="1"/>
        <v xml:space="preserve"> </v>
      </c>
      <c r="C492" s="79" t="str">
        <f t="shared" si="7"/>
        <v xml:space="preserve"> </v>
      </c>
      <c r="D492" s="79" t="str">
        <f t="shared" si="5"/>
        <v xml:space="preserve"> </v>
      </c>
      <c r="E492" s="79" t="str">
        <f t="shared" si="6"/>
        <v xml:space="preserve"> </v>
      </c>
    </row>
    <row r="493" spans="1:5" ht="12.5">
      <c r="A493" s="81" t="str">
        <f t="shared" si="0"/>
        <v xml:space="preserve"> </v>
      </c>
      <c r="B493" s="81" t="str">
        <f t="shared" si="1"/>
        <v xml:space="preserve"> </v>
      </c>
      <c r="C493" s="79" t="str">
        <f t="shared" si="7"/>
        <v xml:space="preserve"> </v>
      </c>
      <c r="D493" s="79" t="str">
        <f t="shared" si="5"/>
        <v xml:space="preserve"> </v>
      </c>
      <c r="E493" s="79" t="str">
        <f t="shared" si="6"/>
        <v xml:space="preserve"> </v>
      </c>
    </row>
    <row r="494" spans="1:5" ht="12.5">
      <c r="A494" s="81" t="str">
        <f t="shared" si="0"/>
        <v xml:space="preserve"> </v>
      </c>
      <c r="B494" s="81" t="str">
        <f t="shared" si="1"/>
        <v xml:space="preserve"> </v>
      </c>
      <c r="C494" s="79" t="str">
        <f t="shared" si="7"/>
        <v xml:space="preserve"> </v>
      </c>
      <c r="D494" s="79" t="str">
        <f t="shared" si="5"/>
        <v xml:space="preserve"> </v>
      </c>
      <c r="E494" s="79" t="str">
        <f t="shared" si="6"/>
        <v xml:space="preserve"> </v>
      </c>
    </row>
    <row r="495" spans="1:5" ht="12.5">
      <c r="A495" s="81" t="str">
        <f t="shared" si="0"/>
        <v xml:space="preserve"> </v>
      </c>
      <c r="B495" s="81" t="str">
        <f t="shared" si="1"/>
        <v xml:space="preserve"> </v>
      </c>
      <c r="C495" s="79" t="str">
        <f t="shared" si="7"/>
        <v xml:space="preserve"> </v>
      </c>
      <c r="D495" s="79" t="str">
        <f t="shared" si="5"/>
        <v xml:space="preserve"> </v>
      </c>
      <c r="E495" s="79" t="str">
        <f t="shared" si="6"/>
        <v xml:space="preserve"> </v>
      </c>
    </row>
    <row r="496" spans="1:5" ht="12.5">
      <c r="A496" s="81" t="str">
        <f t="shared" si="0"/>
        <v xml:space="preserve"> </v>
      </c>
      <c r="B496" s="81" t="str">
        <f t="shared" si="1"/>
        <v xml:space="preserve"> </v>
      </c>
      <c r="C496" s="79" t="str">
        <f t="shared" si="7"/>
        <v xml:space="preserve"> </v>
      </c>
      <c r="D496" s="79" t="str">
        <f t="shared" si="5"/>
        <v xml:space="preserve"> </v>
      </c>
      <c r="E496" s="79" t="str">
        <f t="shared" si="6"/>
        <v xml:space="preserve"> </v>
      </c>
    </row>
    <row r="497" spans="1:5" ht="12.5">
      <c r="A497" s="81" t="str">
        <f t="shared" si="0"/>
        <v xml:space="preserve"> </v>
      </c>
      <c r="B497" s="81" t="str">
        <f t="shared" si="1"/>
        <v xml:space="preserve"> </v>
      </c>
      <c r="C497" s="79" t="str">
        <f t="shared" si="7"/>
        <v xml:space="preserve"> </v>
      </c>
      <c r="D497" s="79" t="str">
        <f t="shared" si="5"/>
        <v xml:space="preserve"> </v>
      </c>
      <c r="E497" s="79" t="str">
        <f t="shared" si="6"/>
        <v xml:space="preserve"> </v>
      </c>
    </row>
    <row r="498" spans="1:5" ht="12.5">
      <c r="A498" s="81" t="str">
        <f t="shared" si="0"/>
        <v xml:space="preserve"> </v>
      </c>
      <c r="B498" s="81" t="str">
        <f t="shared" si="1"/>
        <v xml:space="preserve"> </v>
      </c>
      <c r="C498" s="79" t="str">
        <f t="shared" si="7"/>
        <v xml:space="preserve"> </v>
      </c>
      <c r="D498" s="79" t="str">
        <f t="shared" si="5"/>
        <v xml:space="preserve"> </v>
      </c>
      <c r="E498" s="79" t="str">
        <f t="shared" si="6"/>
        <v xml:space="preserve"> </v>
      </c>
    </row>
    <row r="499" spans="1:5" ht="12.5">
      <c r="A499" s="81" t="str">
        <f t="shared" si="0"/>
        <v xml:space="preserve"> </v>
      </c>
      <c r="B499" s="81" t="str">
        <f t="shared" si="1"/>
        <v xml:space="preserve"> </v>
      </c>
      <c r="C499" s="79" t="str">
        <f t="shared" si="7"/>
        <v xml:space="preserve"> </v>
      </c>
      <c r="D499" s="79" t="str">
        <f t="shared" si="5"/>
        <v xml:space="preserve"> </v>
      </c>
      <c r="E499" s="79" t="str">
        <f t="shared" si="6"/>
        <v xml:space="preserve"> </v>
      </c>
    </row>
    <row r="500" spans="1:5" ht="12.5">
      <c r="A500" s="81" t="str">
        <f t="shared" si="0"/>
        <v xml:space="preserve"> </v>
      </c>
      <c r="B500" s="81" t="str">
        <f t="shared" si="1"/>
        <v xml:space="preserve"> </v>
      </c>
      <c r="C500" s="79" t="str">
        <f t="shared" si="7"/>
        <v xml:space="preserve"> </v>
      </c>
      <c r="D500" s="79" t="str">
        <f t="shared" si="5"/>
        <v xml:space="preserve"> </v>
      </c>
      <c r="E500" s="79" t="str">
        <f t="shared" si="6"/>
        <v xml:space="preserve"> </v>
      </c>
    </row>
    <row r="501" spans="1:5" ht="12.5">
      <c r="A501" s="81" t="str">
        <f t="shared" si="0"/>
        <v xml:space="preserve"> </v>
      </c>
      <c r="B501" s="81" t="str">
        <f t="shared" si="1"/>
        <v xml:space="preserve"> </v>
      </c>
      <c r="C501" s="79" t="str">
        <f t="shared" si="7"/>
        <v xml:space="preserve"> </v>
      </c>
      <c r="D501" s="79" t="str">
        <f t="shared" si="5"/>
        <v xml:space="preserve"> </v>
      </c>
      <c r="E501" s="79" t="str">
        <f t="shared" si="6"/>
        <v xml:space="preserve"> </v>
      </c>
    </row>
    <row r="502" spans="1:5" ht="12.5">
      <c r="A502" s="81" t="str">
        <f t="shared" si="0"/>
        <v xml:space="preserve"> </v>
      </c>
      <c r="B502" s="81" t="str">
        <f t="shared" si="1"/>
        <v xml:space="preserve"> </v>
      </c>
      <c r="C502" s="79" t="str">
        <f t="shared" si="7"/>
        <v xml:space="preserve"> </v>
      </c>
      <c r="D502" s="79" t="str">
        <f t="shared" si="5"/>
        <v xml:space="preserve"> </v>
      </c>
      <c r="E502" s="79" t="str">
        <f t="shared" si="6"/>
        <v xml:space="preserve"> </v>
      </c>
    </row>
    <row r="503" spans="1:5" ht="12.5">
      <c r="A503" s="81" t="str">
        <f t="shared" si="0"/>
        <v xml:space="preserve"> </v>
      </c>
      <c r="B503" s="81" t="str">
        <f t="shared" si="1"/>
        <v xml:space="preserve"> </v>
      </c>
      <c r="C503" s="79" t="str">
        <f t="shared" si="7"/>
        <v xml:space="preserve"> </v>
      </c>
      <c r="D503" s="79" t="str">
        <f t="shared" si="5"/>
        <v xml:space="preserve"> </v>
      </c>
      <c r="E503" s="79" t="str">
        <f t="shared" si="6"/>
        <v xml:space="preserve"> </v>
      </c>
    </row>
    <row r="504" spans="1:5" ht="12.5">
      <c r="A504" s="81" t="str">
        <f t="shared" si="0"/>
        <v xml:space="preserve"> </v>
      </c>
      <c r="B504" s="81" t="str">
        <f t="shared" si="1"/>
        <v xml:space="preserve"> </v>
      </c>
      <c r="C504" s="79" t="str">
        <f t="shared" si="7"/>
        <v xml:space="preserve"> </v>
      </c>
      <c r="D504" s="79" t="str">
        <f t="shared" si="5"/>
        <v xml:space="preserve"> </v>
      </c>
      <c r="E504" s="79" t="str">
        <f t="shared" si="6"/>
        <v xml:space="preserve"> </v>
      </c>
    </row>
    <row r="505" spans="1:5" ht="12.5">
      <c r="A505" s="81" t="str">
        <f t="shared" si="0"/>
        <v xml:space="preserve"> </v>
      </c>
      <c r="B505" s="81" t="str">
        <f t="shared" si="1"/>
        <v xml:space="preserve"> </v>
      </c>
      <c r="C505" s="79" t="str">
        <f t="shared" si="7"/>
        <v xml:space="preserve"> </v>
      </c>
      <c r="D505" s="79" t="str">
        <f t="shared" si="5"/>
        <v xml:space="preserve"> </v>
      </c>
      <c r="E505" s="79" t="str">
        <f t="shared" si="6"/>
        <v xml:space="preserve"> </v>
      </c>
    </row>
    <row r="506" spans="1:5" ht="12.5">
      <c r="A506" s="81" t="str">
        <f t="shared" si="0"/>
        <v xml:space="preserve"> </v>
      </c>
      <c r="B506" s="81" t="str">
        <f t="shared" si="1"/>
        <v xml:space="preserve"> </v>
      </c>
      <c r="C506" s="79" t="str">
        <f t="shared" si="7"/>
        <v xml:space="preserve"> </v>
      </c>
      <c r="D506" s="79" t="str">
        <f t="shared" si="5"/>
        <v xml:space="preserve"> </v>
      </c>
      <c r="E506" s="79" t="str">
        <f t="shared" si="6"/>
        <v xml:space="preserve"> </v>
      </c>
    </row>
    <row r="507" spans="1:5" ht="12.5">
      <c r="A507" s="81" t="str">
        <f t="shared" si="0"/>
        <v xml:space="preserve"> </v>
      </c>
      <c r="B507" s="81" t="str">
        <f t="shared" si="1"/>
        <v xml:space="preserve"> </v>
      </c>
      <c r="C507" s="79" t="str">
        <f t="shared" si="7"/>
        <v xml:space="preserve"> </v>
      </c>
      <c r="D507" s="79" t="str">
        <f t="shared" si="5"/>
        <v xml:space="preserve"> </v>
      </c>
      <c r="E507" s="79" t="str">
        <f t="shared" si="6"/>
        <v xml:space="preserve"> </v>
      </c>
    </row>
    <row r="508" spans="1:5" ht="12.5">
      <c r="A508" s="81" t="str">
        <f t="shared" si="0"/>
        <v xml:space="preserve"> </v>
      </c>
      <c r="B508" s="81" t="str">
        <f t="shared" si="1"/>
        <v xml:space="preserve"> </v>
      </c>
      <c r="C508" s="79" t="str">
        <f t="shared" si="7"/>
        <v xml:space="preserve"> </v>
      </c>
      <c r="D508" s="79" t="str">
        <f t="shared" si="5"/>
        <v xml:space="preserve"> </v>
      </c>
      <c r="E508" s="79" t="str">
        <f t="shared" si="6"/>
        <v xml:space="preserve"> </v>
      </c>
    </row>
    <row r="509" spans="1:5" ht="12.5">
      <c r="A509" s="81" t="str">
        <f t="shared" si="0"/>
        <v xml:space="preserve"> </v>
      </c>
      <c r="B509" s="81" t="str">
        <f t="shared" si="1"/>
        <v xml:space="preserve"> </v>
      </c>
      <c r="C509" s="79" t="str">
        <f t="shared" si="7"/>
        <v xml:space="preserve"> </v>
      </c>
      <c r="D509" s="79" t="str">
        <f t="shared" si="5"/>
        <v xml:space="preserve"> </v>
      </c>
      <c r="E509" s="79" t="str">
        <f t="shared" si="6"/>
        <v xml:space="preserve"> </v>
      </c>
    </row>
    <row r="510" spans="1:5" ht="12.5">
      <c r="A510" s="81" t="str">
        <f t="shared" si="0"/>
        <v xml:space="preserve"> </v>
      </c>
      <c r="B510" s="81" t="str">
        <f t="shared" si="1"/>
        <v xml:space="preserve"> </v>
      </c>
      <c r="C510" s="79" t="str">
        <f t="shared" si="7"/>
        <v xml:space="preserve"> </v>
      </c>
      <c r="D510" s="79" t="str">
        <f t="shared" si="5"/>
        <v xml:space="preserve"> </v>
      </c>
      <c r="E510" s="79" t="str">
        <f t="shared" si="6"/>
        <v xml:space="preserve"> </v>
      </c>
    </row>
    <row r="511" spans="1:5" ht="12.5">
      <c r="A511" s="81" t="str">
        <f t="shared" si="0"/>
        <v xml:space="preserve"> </v>
      </c>
      <c r="B511" s="81" t="str">
        <f t="shared" si="1"/>
        <v xml:space="preserve"> </v>
      </c>
      <c r="C511" s="79" t="str">
        <f t="shared" si="7"/>
        <v xml:space="preserve"> </v>
      </c>
      <c r="D511" s="79" t="str">
        <f t="shared" si="5"/>
        <v xml:space="preserve"> </v>
      </c>
      <c r="E511" s="79" t="str">
        <f t="shared" si="6"/>
        <v xml:space="preserve"> </v>
      </c>
    </row>
    <row r="512" spans="1:5" ht="12.5">
      <c r="A512" s="81" t="str">
        <f t="shared" si="0"/>
        <v xml:space="preserve"> </v>
      </c>
      <c r="B512" s="81" t="str">
        <f t="shared" si="1"/>
        <v xml:space="preserve"> </v>
      </c>
      <c r="C512" s="79" t="str">
        <f t="shared" si="7"/>
        <v xml:space="preserve"> </v>
      </c>
      <c r="D512" s="79" t="str">
        <f t="shared" si="5"/>
        <v xml:space="preserve"> </v>
      </c>
      <c r="E512" s="79" t="str">
        <f t="shared" si="6"/>
        <v xml:space="preserve"> </v>
      </c>
    </row>
    <row r="513" spans="1:5" ht="12.5">
      <c r="A513" s="81" t="str">
        <f t="shared" si="0"/>
        <v xml:space="preserve"> </v>
      </c>
      <c r="B513" s="81" t="str">
        <f t="shared" si="1"/>
        <v xml:space="preserve"> </v>
      </c>
      <c r="C513" s="79" t="str">
        <f t="shared" si="7"/>
        <v xml:space="preserve"> </v>
      </c>
      <c r="D513" s="79" t="str">
        <f t="shared" si="5"/>
        <v xml:space="preserve"> </v>
      </c>
      <c r="E513" s="79" t="str">
        <f t="shared" si="6"/>
        <v xml:space="preserve"> </v>
      </c>
    </row>
    <row r="514" spans="1:5" ht="12.5">
      <c r="A514" s="81" t="str">
        <f t="shared" si="0"/>
        <v xml:space="preserve"> </v>
      </c>
      <c r="B514" s="81" t="str">
        <f t="shared" si="1"/>
        <v xml:space="preserve"> </v>
      </c>
      <c r="C514" s="79" t="str">
        <f t="shared" si="7"/>
        <v xml:space="preserve"> </v>
      </c>
      <c r="D514" s="79" t="str">
        <f t="shared" si="5"/>
        <v xml:space="preserve"> </v>
      </c>
      <c r="E514" s="79" t="str">
        <f t="shared" si="6"/>
        <v xml:space="preserve"> </v>
      </c>
    </row>
    <row r="515" spans="1:5" ht="12.5">
      <c r="A515" s="81" t="str">
        <f t="shared" si="0"/>
        <v xml:space="preserve"> </v>
      </c>
      <c r="B515" s="81" t="str">
        <f t="shared" si="1"/>
        <v xml:space="preserve"> </v>
      </c>
      <c r="C515" s="79" t="str">
        <f t="shared" si="7"/>
        <v xml:space="preserve"> </v>
      </c>
      <c r="D515" s="79" t="str">
        <f t="shared" si="5"/>
        <v xml:space="preserve"> </v>
      </c>
      <c r="E515" s="79" t="str">
        <f t="shared" si="6"/>
        <v xml:space="preserve"> </v>
      </c>
    </row>
    <row r="516" spans="1:5" ht="12.5">
      <c r="A516" s="81" t="str">
        <f t="shared" si="0"/>
        <v xml:space="preserve"> </v>
      </c>
      <c r="B516" s="81" t="str">
        <f t="shared" si="1"/>
        <v xml:space="preserve"> </v>
      </c>
      <c r="C516" s="79" t="str">
        <f t="shared" si="7"/>
        <v xml:space="preserve"> </v>
      </c>
      <c r="D516" s="79" t="str">
        <f t="shared" si="5"/>
        <v xml:space="preserve"> </v>
      </c>
      <c r="E516" s="79" t="str">
        <f t="shared" si="6"/>
        <v xml:space="preserve"> </v>
      </c>
    </row>
    <row r="517" spans="1:5" ht="12.5">
      <c r="A517" s="81" t="str">
        <f t="shared" si="0"/>
        <v xml:space="preserve"> </v>
      </c>
      <c r="B517" s="81" t="str">
        <f t="shared" si="1"/>
        <v xml:space="preserve"> </v>
      </c>
      <c r="C517" s="79" t="str">
        <f t="shared" si="7"/>
        <v xml:space="preserve"> </v>
      </c>
      <c r="D517" s="79" t="str">
        <f t="shared" si="5"/>
        <v xml:space="preserve"> </v>
      </c>
      <c r="E517" s="79" t="str">
        <f t="shared" si="6"/>
        <v xml:space="preserve"> </v>
      </c>
    </row>
    <row r="518" spans="1:5" ht="12.5">
      <c r="A518" s="81" t="str">
        <f t="shared" si="0"/>
        <v xml:space="preserve"> </v>
      </c>
      <c r="B518" s="81" t="str">
        <f t="shared" si="1"/>
        <v xml:space="preserve"> </v>
      </c>
      <c r="C518" s="79" t="str">
        <f t="shared" si="7"/>
        <v xml:space="preserve"> </v>
      </c>
      <c r="D518" s="79" t="str">
        <f t="shared" si="5"/>
        <v xml:space="preserve"> </v>
      </c>
      <c r="E518" s="79" t="str">
        <f t="shared" si="6"/>
        <v xml:space="preserve"> </v>
      </c>
    </row>
    <row r="519" spans="1:5" ht="12.5">
      <c r="A519" s="81" t="str">
        <f t="shared" si="0"/>
        <v xml:space="preserve"> </v>
      </c>
      <c r="B519" s="81" t="str">
        <f t="shared" si="1"/>
        <v xml:space="preserve"> </v>
      </c>
      <c r="C519" s="79" t="str">
        <f t="shared" si="7"/>
        <v xml:space="preserve"> </v>
      </c>
      <c r="D519" s="79" t="str">
        <f t="shared" si="5"/>
        <v xml:space="preserve"> </v>
      </c>
      <c r="E519" s="79" t="str">
        <f t="shared" si="6"/>
        <v xml:space="preserve"> </v>
      </c>
    </row>
    <row r="520" spans="1:5" ht="12.5">
      <c r="A520" s="81" t="str">
        <f t="shared" si="0"/>
        <v xml:space="preserve"> </v>
      </c>
      <c r="B520" s="81" t="str">
        <f t="shared" si="1"/>
        <v xml:space="preserve"> </v>
      </c>
      <c r="C520" s="79" t="str">
        <f t="shared" si="7"/>
        <v xml:space="preserve"> </v>
      </c>
      <c r="D520" s="79" t="str">
        <f t="shared" si="5"/>
        <v xml:space="preserve"> </v>
      </c>
      <c r="E520" s="79" t="str">
        <f t="shared" si="6"/>
        <v xml:space="preserve"> </v>
      </c>
    </row>
    <row r="521" spans="1:5" ht="12.5">
      <c r="A521" s="81" t="str">
        <f t="shared" si="0"/>
        <v xml:space="preserve"> </v>
      </c>
      <c r="B521" s="81" t="str">
        <f t="shared" si="1"/>
        <v xml:space="preserve"> </v>
      </c>
      <c r="C521" s="79" t="str">
        <f t="shared" si="7"/>
        <v xml:space="preserve"> </v>
      </c>
      <c r="D521" s="79" t="str">
        <f t="shared" si="5"/>
        <v xml:space="preserve"> </v>
      </c>
      <c r="E521" s="79" t="str">
        <f t="shared" si="6"/>
        <v xml:space="preserve"> </v>
      </c>
    </row>
    <row r="522" spans="1:5" ht="12.5">
      <c r="A522" s="81" t="str">
        <f t="shared" si="0"/>
        <v xml:space="preserve"> </v>
      </c>
      <c r="B522" s="81" t="str">
        <f t="shared" si="1"/>
        <v xml:space="preserve"> </v>
      </c>
      <c r="C522" s="79" t="str">
        <f t="shared" si="7"/>
        <v xml:space="preserve"> </v>
      </c>
      <c r="D522" s="79" t="str">
        <f t="shared" si="5"/>
        <v xml:space="preserve"> </v>
      </c>
      <c r="E522" s="79" t="str">
        <f t="shared" si="6"/>
        <v xml:space="preserve"> </v>
      </c>
    </row>
    <row r="523" spans="1:5" ht="12.5">
      <c r="A523" s="81" t="str">
        <f t="shared" si="0"/>
        <v xml:space="preserve"> </v>
      </c>
      <c r="B523" s="81" t="str">
        <f t="shared" si="1"/>
        <v xml:space="preserve"> </v>
      </c>
      <c r="C523" s="79" t="str">
        <f t="shared" si="7"/>
        <v xml:space="preserve"> </v>
      </c>
      <c r="D523" s="79" t="str">
        <f t="shared" si="5"/>
        <v xml:space="preserve"> </v>
      </c>
      <c r="E523" s="79" t="str">
        <f t="shared" si="6"/>
        <v xml:space="preserve"> </v>
      </c>
    </row>
    <row r="524" spans="1:5" ht="12.5">
      <c r="A524" s="81" t="str">
        <f t="shared" si="0"/>
        <v xml:space="preserve"> </v>
      </c>
      <c r="B524" s="81" t="str">
        <f t="shared" si="1"/>
        <v xml:space="preserve"> </v>
      </c>
      <c r="C524" s="79" t="str">
        <f t="shared" si="7"/>
        <v xml:space="preserve"> </v>
      </c>
      <c r="D524" s="79" t="str">
        <f t="shared" si="5"/>
        <v xml:space="preserve"> </v>
      </c>
      <c r="E524" s="79" t="str">
        <f t="shared" si="6"/>
        <v xml:space="preserve"> </v>
      </c>
    </row>
    <row r="525" spans="1:5" ht="12.5">
      <c r="A525" s="81" t="str">
        <f t="shared" si="0"/>
        <v xml:space="preserve"> </v>
      </c>
      <c r="B525" s="81" t="str">
        <f t="shared" si="1"/>
        <v xml:space="preserve"> </v>
      </c>
      <c r="C525" s="79" t="str">
        <f t="shared" si="7"/>
        <v xml:space="preserve"> </v>
      </c>
      <c r="D525" s="79" t="str">
        <f t="shared" si="5"/>
        <v xml:space="preserve"> </v>
      </c>
      <c r="E525" s="79" t="str">
        <f t="shared" si="6"/>
        <v xml:space="preserve"> </v>
      </c>
    </row>
    <row r="526" spans="1:5" ht="12.5">
      <c r="A526" s="81" t="str">
        <f t="shared" si="0"/>
        <v xml:space="preserve"> </v>
      </c>
      <c r="B526" s="81" t="str">
        <f t="shared" si="1"/>
        <v xml:space="preserve"> </v>
      </c>
      <c r="C526" s="79" t="str">
        <f t="shared" si="7"/>
        <v xml:space="preserve"> </v>
      </c>
      <c r="D526" s="79" t="str">
        <f t="shared" si="5"/>
        <v xml:space="preserve"> </v>
      </c>
      <c r="E526" s="79" t="str">
        <f t="shared" si="6"/>
        <v xml:space="preserve"> </v>
      </c>
    </row>
    <row r="527" spans="1:5" ht="12.5">
      <c r="A527" s="81" t="str">
        <f t="shared" si="0"/>
        <v xml:space="preserve"> </v>
      </c>
      <c r="B527" s="81" t="str">
        <f t="shared" si="1"/>
        <v xml:space="preserve"> </v>
      </c>
      <c r="C527" s="79" t="str">
        <f t="shared" si="7"/>
        <v xml:space="preserve"> </v>
      </c>
      <c r="D527" s="79" t="str">
        <f t="shared" si="5"/>
        <v xml:space="preserve"> </v>
      </c>
      <c r="E527" s="79" t="str">
        <f t="shared" si="6"/>
        <v xml:space="preserve"> </v>
      </c>
    </row>
    <row r="528" spans="1:5" ht="12.5">
      <c r="A528" s="81" t="str">
        <f t="shared" si="0"/>
        <v xml:space="preserve"> </v>
      </c>
      <c r="B528" s="81" t="str">
        <f t="shared" si="1"/>
        <v xml:space="preserve"> </v>
      </c>
      <c r="C528" s="79" t="str">
        <f t="shared" si="7"/>
        <v xml:space="preserve"> </v>
      </c>
      <c r="D528" s="79" t="str">
        <f t="shared" si="5"/>
        <v xml:space="preserve"> </v>
      </c>
      <c r="E528" s="79" t="str">
        <f t="shared" si="6"/>
        <v xml:space="preserve"> </v>
      </c>
    </row>
    <row r="529" spans="1:5" ht="12.5">
      <c r="A529" s="81" t="str">
        <f t="shared" si="0"/>
        <v xml:space="preserve"> </v>
      </c>
      <c r="B529" s="81" t="str">
        <f t="shared" si="1"/>
        <v xml:space="preserve"> </v>
      </c>
      <c r="C529" s="79" t="str">
        <f t="shared" si="7"/>
        <v xml:space="preserve"> </v>
      </c>
      <c r="D529" s="79" t="str">
        <f t="shared" si="5"/>
        <v xml:space="preserve"> </v>
      </c>
      <c r="E529" s="79" t="str">
        <f t="shared" si="6"/>
        <v xml:space="preserve"> </v>
      </c>
    </row>
    <row r="530" spans="1:5" ht="12.5">
      <c r="A530" s="81" t="str">
        <f t="shared" si="0"/>
        <v xml:space="preserve"> </v>
      </c>
      <c r="B530" s="81" t="str">
        <f t="shared" si="1"/>
        <v xml:space="preserve"> </v>
      </c>
      <c r="C530" s="79" t="str">
        <f t="shared" si="7"/>
        <v xml:space="preserve"> </v>
      </c>
      <c r="D530" s="79" t="str">
        <f t="shared" si="5"/>
        <v xml:space="preserve"> </v>
      </c>
      <c r="E530" s="79" t="str">
        <f t="shared" si="6"/>
        <v xml:space="preserve"> </v>
      </c>
    </row>
    <row r="531" spans="1:5" ht="12.5">
      <c r="A531" s="81" t="str">
        <f t="shared" si="0"/>
        <v xml:space="preserve"> </v>
      </c>
      <c r="B531" s="81" t="str">
        <f t="shared" si="1"/>
        <v xml:space="preserve"> </v>
      </c>
      <c r="C531" s="79" t="str">
        <f t="shared" si="7"/>
        <v xml:space="preserve"> </v>
      </c>
      <c r="D531" s="79" t="str">
        <f t="shared" si="5"/>
        <v xml:space="preserve"> </v>
      </c>
      <c r="E531" s="79" t="str">
        <f t="shared" si="6"/>
        <v xml:space="preserve"> </v>
      </c>
    </row>
    <row r="532" spans="1:5" ht="12.5">
      <c r="A532" s="81" t="str">
        <f t="shared" si="0"/>
        <v xml:space="preserve"> </v>
      </c>
      <c r="B532" s="81" t="str">
        <f t="shared" si="1"/>
        <v xml:space="preserve"> </v>
      </c>
      <c r="C532" s="79" t="str">
        <f t="shared" si="7"/>
        <v xml:space="preserve"> </v>
      </c>
      <c r="D532" s="79" t="str">
        <f t="shared" si="5"/>
        <v xml:space="preserve"> </v>
      </c>
      <c r="E532" s="79" t="str">
        <f t="shared" si="6"/>
        <v xml:space="preserve"> </v>
      </c>
    </row>
    <row r="533" spans="1:5" ht="12.5">
      <c r="A533" s="81" t="str">
        <f t="shared" si="0"/>
        <v xml:space="preserve"> </v>
      </c>
      <c r="B533" s="81" t="str">
        <f t="shared" si="1"/>
        <v xml:space="preserve"> </v>
      </c>
      <c r="C533" s="79" t="str">
        <f t="shared" si="7"/>
        <v xml:space="preserve"> </v>
      </c>
      <c r="D533" s="79" t="str">
        <f t="shared" si="5"/>
        <v xml:space="preserve"> </v>
      </c>
      <c r="E533" s="79" t="str">
        <f t="shared" si="6"/>
        <v xml:space="preserve"> </v>
      </c>
    </row>
    <row r="534" spans="1:5" ht="12.5">
      <c r="A534" s="81" t="str">
        <f t="shared" si="0"/>
        <v xml:space="preserve"> </v>
      </c>
      <c r="B534" s="81" t="str">
        <f t="shared" si="1"/>
        <v xml:space="preserve"> </v>
      </c>
      <c r="C534" s="79" t="str">
        <f t="shared" si="7"/>
        <v xml:space="preserve"> </v>
      </c>
      <c r="D534" s="79" t="str">
        <f t="shared" si="5"/>
        <v xml:space="preserve"> </v>
      </c>
      <c r="E534" s="79" t="str">
        <f t="shared" si="6"/>
        <v xml:space="preserve"> </v>
      </c>
    </row>
    <row r="535" spans="1:5" ht="12.5">
      <c r="A535" s="81" t="str">
        <f t="shared" si="0"/>
        <v xml:space="preserve"> </v>
      </c>
      <c r="B535" s="81" t="str">
        <f t="shared" si="1"/>
        <v xml:space="preserve"> </v>
      </c>
      <c r="C535" s="79" t="str">
        <f t="shared" si="7"/>
        <v xml:space="preserve"> </v>
      </c>
      <c r="D535" s="79" t="str">
        <f t="shared" si="5"/>
        <v xml:space="preserve"> </v>
      </c>
      <c r="E535" s="79" t="str">
        <f t="shared" si="6"/>
        <v xml:space="preserve"> </v>
      </c>
    </row>
    <row r="536" spans="1:5" ht="12.5">
      <c r="A536" s="81" t="str">
        <f t="shared" si="0"/>
        <v xml:space="preserve"> </v>
      </c>
      <c r="B536" s="81" t="str">
        <f t="shared" si="1"/>
        <v xml:space="preserve"> </v>
      </c>
      <c r="C536" s="79" t="str">
        <f t="shared" si="7"/>
        <v xml:space="preserve"> </v>
      </c>
      <c r="D536" s="79" t="str">
        <f t="shared" si="5"/>
        <v xml:space="preserve"> </v>
      </c>
      <c r="E536" s="79" t="str">
        <f t="shared" si="6"/>
        <v xml:space="preserve"> </v>
      </c>
    </row>
    <row r="537" spans="1:5" ht="12.5">
      <c r="A537" s="81" t="str">
        <f t="shared" si="0"/>
        <v xml:space="preserve"> </v>
      </c>
      <c r="B537" s="81" t="str">
        <f t="shared" si="1"/>
        <v xml:space="preserve"> </v>
      </c>
      <c r="C537" s="79" t="str">
        <f t="shared" si="7"/>
        <v xml:space="preserve"> </v>
      </c>
      <c r="D537" s="79" t="str">
        <f t="shared" si="5"/>
        <v xml:space="preserve"> </v>
      </c>
      <c r="E537" s="79" t="str">
        <f t="shared" si="6"/>
        <v xml:space="preserve"> </v>
      </c>
    </row>
    <row r="538" spans="1:5" ht="12.5">
      <c r="A538" s="81" t="str">
        <f t="shared" si="0"/>
        <v xml:space="preserve"> </v>
      </c>
      <c r="B538" s="81" t="str">
        <f t="shared" si="1"/>
        <v xml:space="preserve"> </v>
      </c>
      <c r="C538" s="79" t="str">
        <f t="shared" si="7"/>
        <v xml:space="preserve"> </v>
      </c>
      <c r="D538" s="79" t="str">
        <f t="shared" si="5"/>
        <v xml:space="preserve"> </v>
      </c>
      <c r="E538" s="79" t="str">
        <f t="shared" si="6"/>
        <v xml:space="preserve"> </v>
      </c>
    </row>
    <row r="539" spans="1:5" ht="12.5">
      <c r="A539" s="81" t="str">
        <f t="shared" si="0"/>
        <v xml:space="preserve"> </v>
      </c>
      <c r="B539" s="81" t="str">
        <f t="shared" si="1"/>
        <v xml:space="preserve"> </v>
      </c>
      <c r="C539" s="79" t="str">
        <f t="shared" si="7"/>
        <v xml:space="preserve"> </v>
      </c>
      <c r="D539" s="79" t="str">
        <f t="shared" si="5"/>
        <v xml:space="preserve"> </v>
      </c>
      <c r="E539" s="79" t="str">
        <f t="shared" si="6"/>
        <v xml:space="preserve"> </v>
      </c>
    </row>
    <row r="540" spans="1:5" ht="12.5">
      <c r="A540" s="81" t="str">
        <f t="shared" si="0"/>
        <v xml:space="preserve"> </v>
      </c>
      <c r="B540" s="81" t="str">
        <f t="shared" si="1"/>
        <v xml:space="preserve"> </v>
      </c>
      <c r="C540" s="79" t="str">
        <f t="shared" si="7"/>
        <v xml:space="preserve"> </v>
      </c>
      <c r="D540" s="79" t="str">
        <f t="shared" si="5"/>
        <v xml:space="preserve"> </v>
      </c>
      <c r="E540" s="79" t="str">
        <f t="shared" si="6"/>
        <v xml:space="preserve"> </v>
      </c>
    </row>
    <row r="541" spans="1:5" ht="12.5">
      <c r="A541" s="81" t="str">
        <f t="shared" si="0"/>
        <v xml:space="preserve"> </v>
      </c>
      <c r="B541" s="81" t="str">
        <f t="shared" si="1"/>
        <v xml:space="preserve"> </v>
      </c>
      <c r="C541" s="79" t="str">
        <f t="shared" si="7"/>
        <v xml:space="preserve"> </v>
      </c>
      <c r="D541" s="79" t="str">
        <f t="shared" si="5"/>
        <v xml:space="preserve"> </v>
      </c>
      <c r="E541" s="79" t="str">
        <f t="shared" si="6"/>
        <v xml:space="preserve"> </v>
      </c>
    </row>
    <row r="542" spans="1:5" ht="12.5">
      <c r="A542" s="81" t="str">
        <f t="shared" si="0"/>
        <v xml:space="preserve"> </v>
      </c>
      <c r="B542" s="81" t="str">
        <f t="shared" si="1"/>
        <v xml:space="preserve"> </v>
      </c>
      <c r="C542" s="79" t="str">
        <f t="shared" si="7"/>
        <v xml:space="preserve"> </v>
      </c>
      <c r="D542" s="79" t="str">
        <f t="shared" si="5"/>
        <v xml:space="preserve"> </v>
      </c>
      <c r="E542" s="79" t="str">
        <f t="shared" si="6"/>
        <v xml:space="preserve"> </v>
      </c>
    </row>
    <row r="543" spans="1:5" ht="12.5">
      <c r="A543" s="81" t="str">
        <f t="shared" si="0"/>
        <v xml:space="preserve"> </v>
      </c>
      <c r="B543" s="81" t="str">
        <f t="shared" si="1"/>
        <v xml:space="preserve"> </v>
      </c>
      <c r="C543" s="79" t="str">
        <f t="shared" si="7"/>
        <v xml:space="preserve"> </v>
      </c>
      <c r="D543" s="79" t="str">
        <f t="shared" si="5"/>
        <v xml:space="preserve"> </v>
      </c>
      <c r="E543" s="79" t="str">
        <f t="shared" si="6"/>
        <v xml:space="preserve"> </v>
      </c>
    </row>
    <row r="544" spans="1:5" ht="12.5">
      <c r="A544" s="81" t="str">
        <f t="shared" si="0"/>
        <v xml:space="preserve"> </v>
      </c>
      <c r="B544" s="81" t="str">
        <f t="shared" si="1"/>
        <v xml:space="preserve"> </v>
      </c>
      <c r="C544" s="79" t="str">
        <f t="shared" si="7"/>
        <v xml:space="preserve"> </v>
      </c>
      <c r="D544" s="79" t="str">
        <f t="shared" si="5"/>
        <v xml:space="preserve"> </v>
      </c>
      <c r="E544" s="79" t="str">
        <f t="shared" si="6"/>
        <v xml:space="preserve"> </v>
      </c>
    </row>
    <row r="545" spans="1:5" ht="12.5">
      <c r="A545" s="81" t="str">
        <f t="shared" si="0"/>
        <v xml:space="preserve"> </v>
      </c>
      <c r="B545" s="81" t="str">
        <f t="shared" si="1"/>
        <v xml:space="preserve"> </v>
      </c>
      <c r="C545" s="79" t="str">
        <f t="shared" si="7"/>
        <v xml:space="preserve"> </v>
      </c>
      <c r="D545" s="79" t="str">
        <f t="shared" si="5"/>
        <v xml:space="preserve"> </v>
      </c>
      <c r="E545" s="79" t="str">
        <f t="shared" si="6"/>
        <v xml:space="preserve"> </v>
      </c>
    </row>
    <row r="546" spans="1:5" ht="12.5">
      <c r="A546" s="81" t="str">
        <f t="shared" si="0"/>
        <v xml:space="preserve"> </v>
      </c>
      <c r="B546" s="81" t="str">
        <f t="shared" si="1"/>
        <v xml:space="preserve"> </v>
      </c>
      <c r="C546" s="79" t="str">
        <f t="shared" si="7"/>
        <v xml:space="preserve"> </v>
      </c>
      <c r="D546" s="79" t="str">
        <f t="shared" si="5"/>
        <v xml:space="preserve"> </v>
      </c>
      <c r="E546" s="79" t="str">
        <f t="shared" si="6"/>
        <v xml:space="preserve"> </v>
      </c>
    </row>
    <row r="547" spans="1:5" ht="12.5">
      <c r="A547" s="81" t="str">
        <f t="shared" si="0"/>
        <v xml:space="preserve"> </v>
      </c>
      <c r="B547" s="81" t="str">
        <f t="shared" si="1"/>
        <v xml:space="preserve"> </v>
      </c>
      <c r="C547" s="79" t="str">
        <f t="shared" si="7"/>
        <v xml:space="preserve"> </v>
      </c>
      <c r="D547" s="79" t="str">
        <f t="shared" si="5"/>
        <v xml:space="preserve"> </v>
      </c>
      <c r="E547" s="79" t="str">
        <f t="shared" si="6"/>
        <v xml:space="preserve"> </v>
      </c>
    </row>
    <row r="548" spans="1:5" ht="12.5">
      <c r="A548" s="81" t="str">
        <f t="shared" si="0"/>
        <v xml:space="preserve"> </v>
      </c>
      <c r="B548" s="81" t="str">
        <f t="shared" si="1"/>
        <v xml:space="preserve"> </v>
      </c>
      <c r="C548" s="79" t="str">
        <f t="shared" si="7"/>
        <v xml:space="preserve"> </v>
      </c>
      <c r="D548" s="79" t="str">
        <f t="shared" si="5"/>
        <v xml:space="preserve"> </v>
      </c>
      <c r="E548" s="79" t="str">
        <f t="shared" si="6"/>
        <v xml:space="preserve"> </v>
      </c>
    </row>
    <row r="549" spans="1:5" ht="12.5">
      <c r="A549" s="81" t="str">
        <f t="shared" si="0"/>
        <v xml:space="preserve"> </v>
      </c>
      <c r="B549" s="81" t="str">
        <f t="shared" si="1"/>
        <v xml:space="preserve"> </v>
      </c>
      <c r="C549" s="79" t="str">
        <f t="shared" si="7"/>
        <v xml:space="preserve"> </v>
      </c>
      <c r="D549" s="79" t="str">
        <f t="shared" si="5"/>
        <v xml:space="preserve"> </v>
      </c>
      <c r="E549" s="79" t="str">
        <f t="shared" si="6"/>
        <v xml:space="preserve"> </v>
      </c>
    </row>
    <row r="550" spans="1:5" ht="12.5">
      <c r="A550" s="81" t="str">
        <f t="shared" si="0"/>
        <v xml:space="preserve"> </v>
      </c>
      <c r="B550" s="81" t="str">
        <f t="shared" si="1"/>
        <v xml:space="preserve"> </v>
      </c>
      <c r="C550" s="79" t="str">
        <f t="shared" si="7"/>
        <v xml:space="preserve"> </v>
      </c>
      <c r="D550" s="79" t="str">
        <f t="shared" si="5"/>
        <v xml:space="preserve"> </v>
      </c>
      <c r="E550" s="79" t="str">
        <f t="shared" si="6"/>
        <v xml:space="preserve"> </v>
      </c>
    </row>
    <row r="551" spans="1:5" ht="12.5">
      <c r="A551" s="81" t="str">
        <f t="shared" si="0"/>
        <v xml:space="preserve"> </v>
      </c>
      <c r="B551" s="81" t="str">
        <f t="shared" si="1"/>
        <v xml:space="preserve"> </v>
      </c>
      <c r="C551" s="79" t="str">
        <f t="shared" si="7"/>
        <v xml:space="preserve"> </v>
      </c>
      <c r="D551" s="79" t="str">
        <f t="shared" si="5"/>
        <v xml:space="preserve"> </v>
      </c>
      <c r="E551" s="79" t="str">
        <f t="shared" si="6"/>
        <v xml:space="preserve"> </v>
      </c>
    </row>
    <row r="552" spans="1:5" ht="12.5">
      <c r="A552" s="81" t="str">
        <f t="shared" si="0"/>
        <v xml:space="preserve"> </v>
      </c>
      <c r="B552" s="81" t="str">
        <f t="shared" si="1"/>
        <v xml:space="preserve"> </v>
      </c>
      <c r="C552" s="79" t="str">
        <f t="shared" si="7"/>
        <v xml:space="preserve"> </v>
      </c>
      <c r="D552" s="79" t="str">
        <f t="shared" si="5"/>
        <v xml:space="preserve"> </v>
      </c>
      <c r="E552" s="79" t="str">
        <f t="shared" si="6"/>
        <v xml:space="preserve"> </v>
      </c>
    </row>
    <row r="553" spans="1:5" ht="12.5">
      <c r="A553" s="81" t="str">
        <f t="shared" si="0"/>
        <v xml:space="preserve"> </v>
      </c>
      <c r="B553" s="81" t="str">
        <f t="shared" si="1"/>
        <v xml:space="preserve"> </v>
      </c>
      <c r="C553" s="79" t="str">
        <f t="shared" si="7"/>
        <v xml:space="preserve"> </v>
      </c>
      <c r="D553" s="79" t="str">
        <f t="shared" si="5"/>
        <v xml:space="preserve"> </v>
      </c>
      <c r="E553" s="79" t="str">
        <f t="shared" si="6"/>
        <v xml:space="preserve"> </v>
      </c>
    </row>
    <row r="554" spans="1:5" ht="12.5">
      <c r="A554" s="81" t="str">
        <f t="shared" si="0"/>
        <v xml:space="preserve"> </v>
      </c>
      <c r="B554" s="81" t="str">
        <f t="shared" si="1"/>
        <v xml:space="preserve"> </v>
      </c>
      <c r="C554" s="79" t="str">
        <f t="shared" si="7"/>
        <v xml:space="preserve"> </v>
      </c>
      <c r="D554" s="79" t="str">
        <f t="shared" si="5"/>
        <v xml:space="preserve"> </v>
      </c>
      <c r="E554" s="79" t="str">
        <f t="shared" si="6"/>
        <v xml:space="preserve"> </v>
      </c>
    </row>
    <row r="555" spans="1:5" ht="12.5">
      <c r="A555" s="81" t="str">
        <f t="shared" si="0"/>
        <v xml:space="preserve"> </v>
      </c>
      <c r="B555" s="81" t="str">
        <f t="shared" si="1"/>
        <v xml:space="preserve"> </v>
      </c>
      <c r="C555" s="79" t="str">
        <f t="shared" si="7"/>
        <v xml:space="preserve"> </v>
      </c>
      <c r="D555" s="79" t="str">
        <f t="shared" si="5"/>
        <v xml:space="preserve"> </v>
      </c>
      <c r="E555" s="79" t="str">
        <f t="shared" si="6"/>
        <v xml:space="preserve"> </v>
      </c>
    </row>
    <row r="556" spans="1:5" ht="12.5">
      <c r="A556" s="81" t="str">
        <f t="shared" si="0"/>
        <v xml:space="preserve"> </v>
      </c>
      <c r="B556" s="81" t="str">
        <f t="shared" si="1"/>
        <v xml:space="preserve"> </v>
      </c>
      <c r="C556" s="79" t="str">
        <f t="shared" si="7"/>
        <v xml:space="preserve"> </v>
      </c>
      <c r="D556" s="79" t="str">
        <f t="shared" si="5"/>
        <v xml:space="preserve"> </v>
      </c>
      <c r="E556" s="79" t="str">
        <f t="shared" si="6"/>
        <v xml:space="preserve"> </v>
      </c>
    </row>
    <row r="557" spans="1:5" ht="12.5">
      <c r="A557" s="81" t="str">
        <f t="shared" si="0"/>
        <v xml:space="preserve"> </v>
      </c>
      <c r="B557" s="81" t="str">
        <f t="shared" si="1"/>
        <v xml:space="preserve"> </v>
      </c>
      <c r="C557" s="79" t="str">
        <f t="shared" si="7"/>
        <v xml:space="preserve"> </v>
      </c>
      <c r="D557" s="79" t="str">
        <f t="shared" si="5"/>
        <v xml:space="preserve"> </v>
      </c>
      <c r="E557" s="79" t="str">
        <f t="shared" si="6"/>
        <v xml:space="preserve"> </v>
      </c>
    </row>
    <row r="558" spans="1:5" ht="12.5">
      <c r="A558" s="81" t="str">
        <f t="shared" si="0"/>
        <v xml:space="preserve"> </v>
      </c>
      <c r="B558" s="81" t="str">
        <f t="shared" si="1"/>
        <v xml:space="preserve"> </v>
      </c>
      <c r="C558" s="79" t="str">
        <f t="shared" si="7"/>
        <v xml:space="preserve"> </v>
      </c>
      <c r="D558" s="79" t="str">
        <f t="shared" si="5"/>
        <v xml:space="preserve"> </v>
      </c>
      <c r="E558" s="79" t="str">
        <f t="shared" si="6"/>
        <v xml:space="preserve"> </v>
      </c>
    </row>
    <row r="559" spans="1:5" ht="12.5">
      <c r="A559" s="81" t="str">
        <f t="shared" si="0"/>
        <v xml:space="preserve"> </v>
      </c>
      <c r="B559" s="81" t="str">
        <f t="shared" si="1"/>
        <v xml:space="preserve"> </v>
      </c>
      <c r="C559" s="79" t="str">
        <f t="shared" si="7"/>
        <v xml:space="preserve"> </v>
      </c>
      <c r="D559" s="79" t="str">
        <f t="shared" si="5"/>
        <v xml:space="preserve"> </v>
      </c>
      <c r="E559" s="79" t="str">
        <f t="shared" si="6"/>
        <v xml:space="preserve"> </v>
      </c>
    </row>
    <row r="560" spans="1:5" ht="12.5">
      <c r="A560" s="81" t="str">
        <f t="shared" si="0"/>
        <v xml:space="preserve"> </v>
      </c>
      <c r="B560" s="81" t="str">
        <f t="shared" si="1"/>
        <v xml:space="preserve"> </v>
      </c>
      <c r="C560" s="79" t="str">
        <f t="shared" si="7"/>
        <v xml:space="preserve"> </v>
      </c>
      <c r="D560" s="79" t="str">
        <f t="shared" si="5"/>
        <v xml:space="preserve"> </v>
      </c>
      <c r="E560" s="79" t="str">
        <f t="shared" si="6"/>
        <v xml:space="preserve"> </v>
      </c>
    </row>
    <row r="561" spans="1:5" ht="12.5">
      <c r="A561" s="81" t="str">
        <f t="shared" si="0"/>
        <v xml:space="preserve"> </v>
      </c>
      <c r="B561" s="81" t="str">
        <f t="shared" si="1"/>
        <v xml:space="preserve"> </v>
      </c>
      <c r="C561" s="79" t="str">
        <f t="shared" si="7"/>
        <v xml:space="preserve"> </v>
      </c>
      <c r="D561" s="79" t="str">
        <f t="shared" si="5"/>
        <v xml:space="preserve"> </v>
      </c>
      <c r="E561" s="79" t="str">
        <f t="shared" si="6"/>
        <v xml:space="preserve"> </v>
      </c>
    </row>
    <row r="562" spans="1:5" ht="12.5">
      <c r="A562" s="81" t="str">
        <f t="shared" si="0"/>
        <v xml:space="preserve"> </v>
      </c>
      <c r="B562" s="81" t="str">
        <f t="shared" si="1"/>
        <v xml:space="preserve"> </v>
      </c>
      <c r="C562" s="79" t="str">
        <f t="shared" si="7"/>
        <v xml:space="preserve"> </v>
      </c>
      <c r="D562" s="79" t="str">
        <f t="shared" si="5"/>
        <v xml:space="preserve"> </v>
      </c>
      <c r="E562" s="79" t="str">
        <f t="shared" si="6"/>
        <v xml:space="preserve"> </v>
      </c>
    </row>
    <row r="563" spans="1:5" ht="12.5">
      <c r="A563" s="81" t="str">
        <f t="shared" si="0"/>
        <v xml:space="preserve"> </v>
      </c>
      <c r="B563" s="81" t="str">
        <f t="shared" si="1"/>
        <v xml:space="preserve"> </v>
      </c>
      <c r="C563" s="79" t="str">
        <f t="shared" si="7"/>
        <v xml:space="preserve"> </v>
      </c>
      <c r="D563" s="79" t="str">
        <f t="shared" si="5"/>
        <v xml:space="preserve"> </v>
      </c>
      <c r="E563" s="79" t="str">
        <f t="shared" si="6"/>
        <v xml:space="preserve"> </v>
      </c>
    </row>
    <row r="564" spans="1:5" ht="12.5">
      <c r="A564" s="81" t="str">
        <f t="shared" si="0"/>
        <v xml:space="preserve"> </v>
      </c>
      <c r="B564" s="81" t="str">
        <f t="shared" si="1"/>
        <v xml:space="preserve"> </v>
      </c>
      <c r="C564" s="79" t="str">
        <f t="shared" si="7"/>
        <v xml:space="preserve"> </v>
      </c>
      <c r="D564" s="79" t="str">
        <f t="shared" si="5"/>
        <v xml:space="preserve"> </v>
      </c>
      <c r="E564" s="79" t="str">
        <f t="shared" si="6"/>
        <v xml:space="preserve"> </v>
      </c>
    </row>
    <row r="565" spans="1:5" ht="12.5">
      <c r="A565" s="81" t="str">
        <f t="shared" si="0"/>
        <v xml:space="preserve"> </v>
      </c>
      <c r="B565" s="81" t="str">
        <f t="shared" si="1"/>
        <v xml:space="preserve"> </v>
      </c>
      <c r="C565" s="79" t="str">
        <f t="shared" si="7"/>
        <v xml:space="preserve"> </v>
      </c>
      <c r="D565" s="79" t="str">
        <f t="shared" si="5"/>
        <v xml:space="preserve"> </v>
      </c>
      <c r="E565" s="79" t="str">
        <f t="shared" si="6"/>
        <v xml:space="preserve"> </v>
      </c>
    </row>
    <row r="566" spans="1:5" ht="12.5">
      <c r="A566" s="81" t="str">
        <f t="shared" si="0"/>
        <v xml:space="preserve"> </v>
      </c>
      <c r="B566" s="81" t="str">
        <f t="shared" si="1"/>
        <v xml:space="preserve"> </v>
      </c>
      <c r="C566" s="79" t="str">
        <f t="shared" si="7"/>
        <v xml:space="preserve"> </v>
      </c>
      <c r="D566" s="79" t="str">
        <f t="shared" si="5"/>
        <v xml:space="preserve"> </v>
      </c>
      <c r="E566" s="79" t="str">
        <f t="shared" si="6"/>
        <v xml:space="preserve"> </v>
      </c>
    </row>
    <row r="567" spans="1:5" ht="12.5">
      <c r="A567" s="81" t="str">
        <f t="shared" si="0"/>
        <v xml:space="preserve"> </v>
      </c>
      <c r="B567" s="81" t="str">
        <f t="shared" si="1"/>
        <v xml:space="preserve"> </v>
      </c>
      <c r="C567" s="79" t="str">
        <f t="shared" si="7"/>
        <v xml:space="preserve"> </v>
      </c>
      <c r="D567" s="79" t="str">
        <f t="shared" si="5"/>
        <v xml:space="preserve"> </v>
      </c>
      <c r="E567" s="79" t="str">
        <f t="shared" si="6"/>
        <v xml:space="preserve"> </v>
      </c>
    </row>
    <row r="568" spans="1:5" ht="12.5">
      <c r="A568" s="81" t="str">
        <f t="shared" si="0"/>
        <v xml:space="preserve"> </v>
      </c>
      <c r="B568" s="81" t="str">
        <f t="shared" si="1"/>
        <v xml:space="preserve"> </v>
      </c>
      <c r="C568" s="79" t="str">
        <f t="shared" si="7"/>
        <v xml:space="preserve"> </v>
      </c>
      <c r="D568" s="79" t="str">
        <f t="shared" si="5"/>
        <v xml:space="preserve"> </v>
      </c>
      <c r="E568" s="79" t="str">
        <f t="shared" si="6"/>
        <v xml:space="preserve"> </v>
      </c>
    </row>
    <row r="569" spans="1:5" ht="12.5">
      <c r="A569" s="81" t="str">
        <f t="shared" si="0"/>
        <v xml:space="preserve"> </v>
      </c>
      <c r="B569" s="81" t="str">
        <f t="shared" si="1"/>
        <v xml:space="preserve"> </v>
      </c>
      <c r="C569" s="79" t="str">
        <f t="shared" si="7"/>
        <v xml:space="preserve"> </v>
      </c>
      <c r="D569" s="79" t="str">
        <f t="shared" si="5"/>
        <v xml:space="preserve"> </v>
      </c>
      <c r="E569" s="79" t="str">
        <f t="shared" si="6"/>
        <v xml:space="preserve"> </v>
      </c>
    </row>
    <row r="570" spans="1:5" ht="12.5">
      <c r="A570" s="81" t="str">
        <f t="shared" si="0"/>
        <v xml:space="preserve"> </v>
      </c>
      <c r="B570" s="81" t="str">
        <f t="shared" si="1"/>
        <v xml:space="preserve"> </v>
      </c>
      <c r="C570" s="79" t="str">
        <f t="shared" si="7"/>
        <v xml:space="preserve"> </v>
      </c>
      <c r="D570" s="79" t="str">
        <f t="shared" si="5"/>
        <v xml:space="preserve"> </v>
      </c>
      <c r="E570" s="79" t="str">
        <f t="shared" si="6"/>
        <v xml:space="preserve"> </v>
      </c>
    </row>
    <row r="571" spans="1:5" ht="12.5">
      <c r="A571" s="81" t="str">
        <f t="shared" si="0"/>
        <v xml:space="preserve"> </v>
      </c>
      <c r="B571" s="81" t="str">
        <f t="shared" si="1"/>
        <v xml:space="preserve"> </v>
      </c>
      <c r="C571" s="79" t="str">
        <f t="shared" si="7"/>
        <v xml:space="preserve"> </v>
      </c>
      <c r="D571" s="79" t="str">
        <f t="shared" si="5"/>
        <v xml:space="preserve"> </v>
      </c>
      <c r="E571" s="79" t="str">
        <f t="shared" si="6"/>
        <v xml:space="preserve"> </v>
      </c>
    </row>
    <row r="572" spans="1:5" ht="12.5">
      <c r="A572" s="81" t="str">
        <f t="shared" si="0"/>
        <v xml:space="preserve"> </v>
      </c>
      <c r="B572" s="81" t="str">
        <f t="shared" si="1"/>
        <v xml:space="preserve"> </v>
      </c>
      <c r="C572" s="79" t="str">
        <f t="shared" si="7"/>
        <v xml:space="preserve"> </v>
      </c>
      <c r="D572" s="79" t="str">
        <f t="shared" si="5"/>
        <v xml:space="preserve"> </v>
      </c>
      <c r="E572" s="79" t="str">
        <f t="shared" si="6"/>
        <v xml:space="preserve"> </v>
      </c>
    </row>
    <row r="573" spans="1:5" ht="12.5">
      <c r="A573" s="81" t="str">
        <f t="shared" si="0"/>
        <v xml:space="preserve"> </v>
      </c>
      <c r="B573" s="81" t="str">
        <f t="shared" si="1"/>
        <v xml:space="preserve"> </v>
      </c>
      <c r="C573" s="79" t="str">
        <f t="shared" si="7"/>
        <v xml:space="preserve"> </v>
      </c>
      <c r="D573" s="79" t="str">
        <f t="shared" si="5"/>
        <v xml:space="preserve"> </v>
      </c>
      <c r="E573" s="79" t="str">
        <f t="shared" si="6"/>
        <v xml:space="preserve"> </v>
      </c>
    </row>
    <row r="574" spans="1:5" ht="12.5">
      <c r="A574" s="81" t="str">
        <f t="shared" si="0"/>
        <v xml:space="preserve"> </v>
      </c>
      <c r="B574" s="81" t="str">
        <f t="shared" si="1"/>
        <v xml:space="preserve"> </v>
      </c>
      <c r="C574" s="79" t="str">
        <f t="shared" si="7"/>
        <v xml:space="preserve"> </v>
      </c>
      <c r="D574" s="79" t="str">
        <f t="shared" si="5"/>
        <v xml:space="preserve"> </v>
      </c>
      <c r="E574" s="79" t="str">
        <f t="shared" si="6"/>
        <v xml:space="preserve"> </v>
      </c>
    </row>
    <row r="575" spans="1:5" ht="12.5">
      <c r="A575" s="81" t="str">
        <f t="shared" si="0"/>
        <v xml:space="preserve"> </v>
      </c>
      <c r="B575" s="81" t="str">
        <f t="shared" si="1"/>
        <v xml:space="preserve"> </v>
      </c>
      <c r="C575" s="79" t="str">
        <f t="shared" si="7"/>
        <v xml:space="preserve"> </v>
      </c>
      <c r="D575" s="79" t="str">
        <f t="shared" si="5"/>
        <v xml:space="preserve"> </v>
      </c>
      <c r="E575" s="79" t="str">
        <f t="shared" si="6"/>
        <v xml:space="preserve"> </v>
      </c>
    </row>
    <row r="576" spans="1:5" ht="12.5">
      <c r="A576" s="81" t="str">
        <f t="shared" si="0"/>
        <v xml:space="preserve"> </v>
      </c>
      <c r="B576" s="81" t="str">
        <f t="shared" si="1"/>
        <v xml:space="preserve"> </v>
      </c>
      <c r="C576" s="79" t="str">
        <f t="shared" si="7"/>
        <v xml:space="preserve"> </v>
      </c>
      <c r="D576" s="79" t="str">
        <f t="shared" si="5"/>
        <v xml:space="preserve"> </v>
      </c>
      <c r="E576" s="79" t="str">
        <f t="shared" si="6"/>
        <v xml:space="preserve"> </v>
      </c>
    </row>
    <row r="577" spans="1:5" ht="12.5">
      <c r="A577" s="81" t="str">
        <f t="shared" si="0"/>
        <v xml:space="preserve"> </v>
      </c>
      <c r="B577" s="81" t="str">
        <f t="shared" si="1"/>
        <v xml:space="preserve"> </v>
      </c>
      <c r="C577" s="79" t="str">
        <f t="shared" si="7"/>
        <v xml:space="preserve"> </v>
      </c>
      <c r="D577" s="79" t="str">
        <f t="shared" si="5"/>
        <v xml:space="preserve"> </v>
      </c>
      <c r="E577" s="79" t="str">
        <f t="shared" si="6"/>
        <v xml:space="preserve"> </v>
      </c>
    </row>
    <row r="578" spans="1:5" ht="12.5">
      <c r="A578" s="81" t="str">
        <f t="shared" si="0"/>
        <v xml:space="preserve"> </v>
      </c>
      <c r="B578" s="81" t="str">
        <f t="shared" si="1"/>
        <v xml:space="preserve"> </v>
      </c>
      <c r="C578" s="79" t="str">
        <f t="shared" si="7"/>
        <v xml:space="preserve"> </v>
      </c>
      <c r="D578" s="79" t="str">
        <f t="shared" si="5"/>
        <v xml:space="preserve"> </v>
      </c>
      <c r="E578" s="79" t="str">
        <f t="shared" si="6"/>
        <v xml:space="preserve"> </v>
      </c>
    </row>
    <row r="579" spans="1:5" ht="12.5">
      <c r="A579" s="81" t="str">
        <f t="shared" si="0"/>
        <v xml:space="preserve"> </v>
      </c>
      <c r="B579" s="81" t="str">
        <f t="shared" si="1"/>
        <v xml:space="preserve"> </v>
      </c>
      <c r="C579" s="79" t="str">
        <f t="shared" si="7"/>
        <v xml:space="preserve"> </v>
      </c>
      <c r="D579" s="79" t="str">
        <f t="shared" si="5"/>
        <v xml:space="preserve"> </v>
      </c>
      <c r="E579" s="79" t="str">
        <f t="shared" si="6"/>
        <v xml:space="preserve"> </v>
      </c>
    </row>
    <row r="580" spans="1:5" ht="12.5">
      <c r="A580" s="81" t="str">
        <f t="shared" si="0"/>
        <v xml:space="preserve"> </v>
      </c>
      <c r="B580" s="81" t="str">
        <f t="shared" si="1"/>
        <v xml:space="preserve"> </v>
      </c>
      <c r="C580" s="79" t="str">
        <f t="shared" si="7"/>
        <v xml:space="preserve"> </v>
      </c>
      <c r="D580" s="79" t="str">
        <f t="shared" si="5"/>
        <v xml:space="preserve"> </v>
      </c>
      <c r="E580" s="79" t="str">
        <f t="shared" si="6"/>
        <v xml:space="preserve"> </v>
      </c>
    </row>
    <row r="581" spans="1:5" ht="12.5">
      <c r="A581" s="81" t="str">
        <f t="shared" si="0"/>
        <v xml:space="preserve"> </v>
      </c>
      <c r="B581" s="81" t="str">
        <f t="shared" si="1"/>
        <v xml:space="preserve"> </v>
      </c>
      <c r="C581" s="79" t="str">
        <f t="shared" si="7"/>
        <v xml:space="preserve"> </v>
      </c>
      <c r="D581" s="79" t="str">
        <f t="shared" si="5"/>
        <v xml:space="preserve"> </v>
      </c>
      <c r="E581" s="79" t="str">
        <f t="shared" si="6"/>
        <v xml:space="preserve"> </v>
      </c>
    </row>
    <row r="582" spans="1:5" ht="12.5">
      <c r="A582" s="81" t="str">
        <f t="shared" si="0"/>
        <v xml:space="preserve"> </v>
      </c>
      <c r="B582" s="81" t="str">
        <f t="shared" si="1"/>
        <v xml:space="preserve"> </v>
      </c>
      <c r="C582" s="79" t="str">
        <f t="shared" si="7"/>
        <v xml:space="preserve"> </v>
      </c>
      <c r="D582" s="79" t="str">
        <f t="shared" si="5"/>
        <v xml:space="preserve"> </v>
      </c>
      <c r="E582" s="79" t="str">
        <f t="shared" si="6"/>
        <v xml:space="preserve"> </v>
      </c>
    </row>
    <row r="583" spans="1:5" ht="12.5">
      <c r="A583" s="81" t="str">
        <f t="shared" si="0"/>
        <v xml:space="preserve"> </v>
      </c>
      <c r="B583" s="81" t="str">
        <f t="shared" si="1"/>
        <v xml:space="preserve"> </v>
      </c>
      <c r="C583" s="79" t="str">
        <f t="shared" si="7"/>
        <v xml:space="preserve"> </v>
      </c>
      <c r="D583" s="79" t="str">
        <f t="shared" si="5"/>
        <v xml:space="preserve"> </v>
      </c>
      <c r="E583" s="79" t="str">
        <f t="shared" si="6"/>
        <v xml:space="preserve"> </v>
      </c>
    </row>
    <row r="584" spans="1:5" ht="12.5">
      <c r="A584" s="81" t="str">
        <f t="shared" si="0"/>
        <v xml:space="preserve"> </v>
      </c>
      <c r="B584" s="81" t="str">
        <f t="shared" si="1"/>
        <v xml:space="preserve"> </v>
      </c>
      <c r="C584" s="79" t="str">
        <f t="shared" si="7"/>
        <v xml:space="preserve"> </v>
      </c>
      <c r="D584" s="79" t="str">
        <f t="shared" si="5"/>
        <v xml:space="preserve"> </v>
      </c>
      <c r="E584" s="79" t="str">
        <f t="shared" si="6"/>
        <v xml:space="preserve"> </v>
      </c>
    </row>
    <row r="585" spans="1:5" ht="12.5">
      <c r="A585" s="81" t="str">
        <f t="shared" si="0"/>
        <v xml:space="preserve"> </v>
      </c>
      <c r="B585" s="81" t="str">
        <f t="shared" si="1"/>
        <v xml:space="preserve"> </v>
      </c>
      <c r="C585" s="79" t="str">
        <f t="shared" si="7"/>
        <v xml:space="preserve"> </v>
      </c>
      <c r="D585" s="79" t="str">
        <f t="shared" si="5"/>
        <v xml:space="preserve"> </v>
      </c>
      <c r="E585" s="79" t="str">
        <f t="shared" si="6"/>
        <v xml:space="preserve"> </v>
      </c>
    </row>
    <row r="586" spans="1:5" ht="12.5">
      <c r="A586" s="81" t="str">
        <f t="shared" si="0"/>
        <v xml:space="preserve"> </v>
      </c>
      <c r="B586" s="81" t="str">
        <f t="shared" si="1"/>
        <v xml:space="preserve"> </v>
      </c>
      <c r="C586" s="79" t="str">
        <f t="shared" si="7"/>
        <v xml:space="preserve"> </v>
      </c>
      <c r="D586" s="79" t="str">
        <f t="shared" si="5"/>
        <v xml:space="preserve"> </v>
      </c>
      <c r="E586" s="79" t="str">
        <f t="shared" si="6"/>
        <v xml:space="preserve"> </v>
      </c>
    </row>
    <row r="587" spans="1:5" ht="12.5">
      <c r="A587" s="81" t="str">
        <f t="shared" si="0"/>
        <v xml:space="preserve"> </v>
      </c>
      <c r="B587" s="81" t="str">
        <f t="shared" si="1"/>
        <v xml:space="preserve"> </v>
      </c>
      <c r="C587" s="79" t="str">
        <f t="shared" si="7"/>
        <v xml:space="preserve"> </v>
      </c>
      <c r="D587" s="79" t="str">
        <f t="shared" si="5"/>
        <v xml:space="preserve"> </v>
      </c>
      <c r="E587" s="79" t="str">
        <f t="shared" si="6"/>
        <v xml:space="preserve"> </v>
      </c>
    </row>
    <row r="588" spans="1:5" ht="12.5">
      <c r="A588" s="81" t="str">
        <f t="shared" si="0"/>
        <v xml:space="preserve"> </v>
      </c>
      <c r="B588" s="81" t="str">
        <f t="shared" si="1"/>
        <v xml:space="preserve"> </v>
      </c>
      <c r="C588" s="79" t="str">
        <f t="shared" si="7"/>
        <v xml:space="preserve"> </v>
      </c>
      <c r="D588" s="79" t="str">
        <f t="shared" si="5"/>
        <v xml:space="preserve"> </v>
      </c>
      <c r="E588" s="79" t="str">
        <f t="shared" si="6"/>
        <v xml:space="preserve"> </v>
      </c>
    </row>
    <row r="589" spans="1:5" ht="12.5">
      <c r="A589" s="81" t="str">
        <f t="shared" si="0"/>
        <v xml:space="preserve"> </v>
      </c>
      <c r="B589" s="81" t="str">
        <f t="shared" si="1"/>
        <v xml:space="preserve"> </v>
      </c>
      <c r="C589" s="79" t="str">
        <f t="shared" si="7"/>
        <v xml:space="preserve"> </v>
      </c>
      <c r="D589" s="79" t="str">
        <f t="shared" si="5"/>
        <v xml:space="preserve"> </v>
      </c>
      <c r="E589" s="79" t="str">
        <f t="shared" si="6"/>
        <v xml:space="preserve"> </v>
      </c>
    </row>
    <row r="590" spans="1:5" ht="12.5">
      <c r="A590" s="81" t="str">
        <f t="shared" si="0"/>
        <v xml:space="preserve"> </v>
      </c>
      <c r="B590" s="81" t="str">
        <f t="shared" si="1"/>
        <v xml:space="preserve"> </v>
      </c>
      <c r="C590" s="79" t="str">
        <f t="shared" si="7"/>
        <v xml:space="preserve"> </v>
      </c>
      <c r="D590" s="79" t="str">
        <f t="shared" si="5"/>
        <v xml:space="preserve"> </v>
      </c>
      <c r="E590" s="79" t="str">
        <f t="shared" si="6"/>
        <v xml:space="preserve"> </v>
      </c>
    </row>
    <row r="591" spans="1:5" ht="12.5">
      <c r="A591" s="81" t="str">
        <f t="shared" si="0"/>
        <v xml:space="preserve"> </v>
      </c>
      <c r="B591" s="81" t="str">
        <f t="shared" si="1"/>
        <v xml:space="preserve"> </v>
      </c>
      <c r="C591" s="79" t="str">
        <f t="shared" si="7"/>
        <v xml:space="preserve"> </v>
      </c>
      <c r="D591" s="79" t="str">
        <f t="shared" si="5"/>
        <v xml:space="preserve"> </v>
      </c>
      <c r="E591" s="79" t="str">
        <f t="shared" si="6"/>
        <v xml:space="preserve"> </v>
      </c>
    </row>
    <row r="592" spans="1:5" ht="12.5">
      <c r="A592" s="81" t="str">
        <f t="shared" si="0"/>
        <v xml:space="preserve"> </v>
      </c>
      <c r="B592" s="81" t="str">
        <f t="shared" si="1"/>
        <v xml:space="preserve"> </v>
      </c>
      <c r="C592" s="79" t="str">
        <f t="shared" si="7"/>
        <v xml:space="preserve"> </v>
      </c>
      <c r="D592" s="79" t="str">
        <f t="shared" si="5"/>
        <v xml:space="preserve"> </v>
      </c>
      <c r="E592" s="79" t="str">
        <f t="shared" si="6"/>
        <v xml:space="preserve"> </v>
      </c>
    </row>
    <row r="593" spans="1:5" ht="12.5">
      <c r="A593" s="81" t="str">
        <f t="shared" si="0"/>
        <v xml:space="preserve"> </v>
      </c>
      <c r="B593" s="81" t="str">
        <f t="shared" si="1"/>
        <v xml:space="preserve"> </v>
      </c>
      <c r="C593" s="79" t="str">
        <f t="shared" si="7"/>
        <v xml:space="preserve"> </v>
      </c>
      <c r="D593" s="79" t="str">
        <f t="shared" si="5"/>
        <v xml:space="preserve"> </v>
      </c>
      <c r="E593" s="79" t="str">
        <f t="shared" si="6"/>
        <v xml:space="preserve"> </v>
      </c>
    </row>
    <row r="594" spans="1:5" ht="12.5">
      <c r="A594" s="81" t="str">
        <f t="shared" si="0"/>
        <v xml:space="preserve"> </v>
      </c>
      <c r="B594" s="81" t="str">
        <f t="shared" si="1"/>
        <v xml:space="preserve"> </v>
      </c>
      <c r="C594" s="79" t="str">
        <f t="shared" si="7"/>
        <v xml:space="preserve"> </v>
      </c>
      <c r="D594" s="79" t="str">
        <f t="shared" si="5"/>
        <v xml:space="preserve"> </v>
      </c>
      <c r="E594" s="79" t="str">
        <f t="shared" si="6"/>
        <v xml:space="preserve"> </v>
      </c>
    </row>
    <row r="595" spans="1:5" ht="12.5">
      <c r="A595" s="81" t="str">
        <f t="shared" si="0"/>
        <v xml:space="preserve"> </v>
      </c>
      <c r="B595" s="81" t="str">
        <f t="shared" si="1"/>
        <v xml:space="preserve"> </v>
      </c>
      <c r="C595" s="79" t="str">
        <f t="shared" si="7"/>
        <v xml:space="preserve"> </v>
      </c>
      <c r="D595" s="79" t="str">
        <f t="shared" si="5"/>
        <v xml:space="preserve"> </v>
      </c>
      <c r="E595" s="79" t="str">
        <f t="shared" si="6"/>
        <v xml:space="preserve"> </v>
      </c>
    </row>
    <row r="596" spans="1:5" ht="12.5">
      <c r="A596" s="81" t="str">
        <f t="shared" si="0"/>
        <v xml:space="preserve"> </v>
      </c>
      <c r="B596" s="81" t="str">
        <f t="shared" si="1"/>
        <v xml:space="preserve"> </v>
      </c>
      <c r="C596" s="79" t="str">
        <f t="shared" si="7"/>
        <v xml:space="preserve"> </v>
      </c>
      <c r="D596" s="79" t="str">
        <f t="shared" si="5"/>
        <v xml:space="preserve"> </v>
      </c>
      <c r="E596" s="79" t="str">
        <f t="shared" si="6"/>
        <v xml:space="preserve"> </v>
      </c>
    </row>
    <row r="597" spans="1:5" ht="12.5">
      <c r="A597" s="81" t="str">
        <f t="shared" si="0"/>
        <v xml:space="preserve"> </v>
      </c>
      <c r="B597" s="81" t="str">
        <f t="shared" si="1"/>
        <v xml:space="preserve"> </v>
      </c>
      <c r="C597" s="79" t="str">
        <f t="shared" si="7"/>
        <v xml:space="preserve"> </v>
      </c>
      <c r="D597" s="79" t="str">
        <f t="shared" si="5"/>
        <v xml:space="preserve"> </v>
      </c>
      <c r="E597" s="79" t="str">
        <f t="shared" si="6"/>
        <v xml:space="preserve"> </v>
      </c>
    </row>
    <row r="598" spans="1:5" ht="12.5">
      <c r="A598" s="81" t="str">
        <f t="shared" si="0"/>
        <v xml:space="preserve"> </v>
      </c>
      <c r="B598" s="81" t="str">
        <f t="shared" si="1"/>
        <v xml:space="preserve"> </v>
      </c>
      <c r="C598" s="79" t="str">
        <f t="shared" si="7"/>
        <v xml:space="preserve"> </v>
      </c>
      <c r="D598" s="79" t="str">
        <f t="shared" si="5"/>
        <v xml:space="preserve"> </v>
      </c>
      <c r="E598" s="79" t="str">
        <f t="shared" si="6"/>
        <v xml:space="preserve"> </v>
      </c>
    </row>
    <row r="599" spans="1:5" ht="12.5">
      <c r="A599" s="81" t="str">
        <f t="shared" si="0"/>
        <v xml:space="preserve"> </v>
      </c>
      <c r="B599" s="81" t="str">
        <f t="shared" si="1"/>
        <v xml:space="preserve"> </v>
      </c>
      <c r="C599" s="79" t="str">
        <f t="shared" si="7"/>
        <v xml:space="preserve"> </v>
      </c>
      <c r="D599" s="79" t="str">
        <f t="shared" si="5"/>
        <v xml:space="preserve"> </v>
      </c>
      <c r="E599" s="79" t="str">
        <f t="shared" si="6"/>
        <v xml:space="preserve"> </v>
      </c>
    </row>
    <row r="600" spans="1:5" ht="12.5">
      <c r="A600" s="81" t="str">
        <f t="shared" si="0"/>
        <v xml:space="preserve"> </v>
      </c>
      <c r="B600" s="81" t="str">
        <f t="shared" si="1"/>
        <v xml:space="preserve"> </v>
      </c>
      <c r="C600" s="79" t="str">
        <f t="shared" si="7"/>
        <v xml:space="preserve"> </v>
      </c>
      <c r="D600" s="79" t="str">
        <f t="shared" si="5"/>
        <v xml:space="preserve"> </v>
      </c>
      <c r="E600" s="79" t="str">
        <f t="shared" si="6"/>
        <v xml:space="preserve"> </v>
      </c>
    </row>
    <row r="601" spans="1:5" ht="12.5">
      <c r="A601" s="81" t="str">
        <f t="shared" si="0"/>
        <v xml:space="preserve"> </v>
      </c>
      <c r="B601" s="81" t="str">
        <f t="shared" si="1"/>
        <v xml:space="preserve"> </v>
      </c>
      <c r="C601" s="79" t="str">
        <f t="shared" si="7"/>
        <v xml:space="preserve"> </v>
      </c>
      <c r="D601" s="79" t="str">
        <f t="shared" si="5"/>
        <v xml:space="preserve"> </v>
      </c>
      <c r="E601" s="79" t="str">
        <f t="shared" si="6"/>
        <v xml:space="preserve"> </v>
      </c>
    </row>
    <row r="602" spans="1:5" ht="12.5">
      <c r="A602" s="81" t="str">
        <f t="shared" si="0"/>
        <v xml:space="preserve"> </v>
      </c>
      <c r="B602" s="81" t="str">
        <f t="shared" si="1"/>
        <v xml:space="preserve"> </v>
      </c>
      <c r="C602" s="79" t="str">
        <f t="shared" si="7"/>
        <v xml:space="preserve"> </v>
      </c>
      <c r="D602" s="79" t="str">
        <f t="shared" si="5"/>
        <v xml:space="preserve"> </v>
      </c>
      <c r="E602" s="79" t="str">
        <f t="shared" si="6"/>
        <v xml:space="preserve"> </v>
      </c>
    </row>
    <row r="603" spans="1:5" ht="12.5">
      <c r="A603" s="81" t="str">
        <f t="shared" si="0"/>
        <v xml:space="preserve"> </v>
      </c>
      <c r="B603" s="81" t="str">
        <f t="shared" si="1"/>
        <v xml:space="preserve"> </v>
      </c>
      <c r="C603" s="79" t="str">
        <f t="shared" si="7"/>
        <v xml:space="preserve"> </v>
      </c>
      <c r="D603" s="79" t="str">
        <f t="shared" si="5"/>
        <v xml:space="preserve"> </v>
      </c>
      <c r="E603" s="79" t="str">
        <f t="shared" si="6"/>
        <v xml:space="preserve"> </v>
      </c>
    </row>
    <row r="604" spans="1:5" ht="12.5">
      <c r="A604" s="81" t="str">
        <f t="shared" si="0"/>
        <v xml:space="preserve"> </v>
      </c>
      <c r="B604" s="81" t="str">
        <f t="shared" si="1"/>
        <v xml:space="preserve"> </v>
      </c>
      <c r="C604" s="79" t="str">
        <f t="shared" si="7"/>
        <v xml:space="preserve"> </v>
      </c>
      <c r="D604" s="79" t="str">
        <f t="shared" si="5"/>
        <v xml:space="preserve"> </v>
      </c>
      <c r="E604" s="79" t="str">
        <f t="shared" si="6"/>
        <v xml:space="preserve"> </v>
      </c>
    </row>
    <row r="605" spans="1:5" ht="12.5">
      <c r="A605" s="81" t="str">
        <f t="shared" si="0"/>
        <v xml:space="preserve"> </v>
      </c>
      <c r="B605" s="81" t="str">
        <f t="shared" si="1"/>
        <v xml:space="preserve"> </v>
      </c>
      <c r="C605" s="79" t="str">
        <f t="shared" si="7"/>
        <v xml:space="preserve"> </v>
      </c>
      <c r="D605" s="79" t="str">
        <f t="shared" si="5"/>
        <v xml:space="preserve"> </v>
      </c>
      <c r="E605" s="79" t="str">
        <f t="shared" si="6"/>
        <v xml:space="preserve"> </v>
      </c>
    </row>
    <row r="606" spans="1:5" ht="12.5">
      <c r="A606" s="81" t="str">
        <f t="shared" si="0"/>
        <v xml:space="preserve"> </v>
      </c>
      <c r="B606" s="81" t="str">
        <f t="shared" si="1"/>
        <v xml:space="preserve"> </v>
      </c>
      <c r="C606" s="79" t="str">
        <f t="shared" si="7"/>
        <v xml:space="preserve"> </v>
      </c>
      <c r="D606" s="79" t="str">
        <f t="shared" si="5"/>
        <v xml:space="preserve"> </v>
      </c>
      <c r="E606" s="79" t="str">
        <f t="shared" si="6"/>
        <v xml:space="preserve"> </v>
      </c>
    </row>
    <row r="607" spans="1:5" ht="12.5">
      <c r="A607" s="81" t="str">
        <f t="shared" si="0"/>
        <v xml:space="preserve"> </v>
      </c>
      <c r="B607" s="81" t="str">
        <f t="shared" si="1"/>
        <v xml:space="preserve"> </v>
      </c>
      <c r="C607" s="79" t="str">
        <f t="shared" si="7"/>
        <v xml:space="preserve"> </v>
      </c>
      <c r="D607" s="79" t="str">
        <f t="shared" si="5"/>
        <v xml:space="preserve"> </v>
      </c>
      <c r="E607" s="79" t="str">
        <f t="shared" si="6"/>
        <v xml:space="preserve"> </v>
      </c>
    </row>
    <row r="608" spans="1:5" ht="12.5">
      <c r="A608" s="81" t="str">
        <f t="shared" si="0"/>
        <v xml:space="preserve"> </v>
      </c>
      <c r="B608" s="81" t="str">
        <f t="shared" si="1"/>
        <v xml:space="preserve"> </v>
      </c>
      <c r="C608" s="79" t="str">
        <f t="shared" si="7"/>
        <v xml:space="preserve"> </v>
      </c>
      <c r="D608" s="79" t="str">
        <f t="shared" si="5"/>
        <v xml:space="preserve"> </v>
      </c>
      <c r="E608" s="79" t="str">
        <f t="shared" si="6"/>
        <v xml:space="preserve"> </v>
      </c>
    </row>
    <row r="609" spans="1:5" ht="12.5">
      <c r="A609" s="81" t="str">
        <f t="shared" si="0"/>
        <v xml:space="preserve"> </v>
      </c>
      <c r="B609" s="81" t="str">
        <f t="shared" si="1"/>
        <v xml:space="preserve"> </v>
      </c>
      <c r="C609" s="79" t="str">
        <f t="shared" si="7"/>
        <v xml:space="preserve"> </v>
      </c>
      <c r="D609" s="79" t="str">
        <f t="shared" si="5"/>
        <v xml:space="preserve"> </v>
      </c>
      <c r="E609" s="79" t="str">
        <f t="shared" si="6"/>
        <v xml:space="preserve"> </v>
      </c>
    </row>
    <row r="610" spans="1:5" ht="12.5">
      <c r="A610" s="81" t="str">
        <f t="shared" si="0"/>
        <v xml:space="preserve"> </v>
      </c>
      <c r="B610" s="81" t="str">
        <f t="shared" si="1"/>
        <v xml:space="preserve"> </v>
      </c>
      <c r="C610" s="79" t="str">
        <f t="shared" si="7"/>
        <v xml:space="preserve"> </v>
      </c>
      <c r="D610" s="79" t="str">
        <f t="shared" si="5"/>
        <v xml:space="preserve"> </v>
      </c>
      <c r="E610" s="79" t="str">
        <f t="shared" si="6"/>
        <v xml:space="preserve"> </v>
      </c>
    </row>
    <row r="611" spans="1:5" ht="12.5">
      <c r="A611" s="81" t="str">
        <f t="shared" si="0"/>
        <v xml:space="preserve"> </v>
      </c>
      <c r="B611" s="81" t="str">
        <f t="shared" si="1"/>
        <v xml:space="preserve"> </v>
      </c>
      <c r="C611" s="79" t="str">
        <f t="shared" si="7"/>
        <v xml:space="preserve"> </v>
      </c>
      <c r="D611" s="79" t="str">
        <f t="shared" si="5"/>
        <v xml:space="preserve"> </v>
      </c>
      <c r="E611" s="79" t="str">
        <f t="shared" si="6"/>
        <v xml:space="preserve"> </v>
      </c>
    </row>
    <row r="612" spans="1:5" ht="12.5">
      <c r="A612" s="81" t="str">
        <f t="shared" si="0"/>
        <v xml:space="preserve"> </v>
      </c>
      <c r="B612" s="81" t="str">
        <f t="shared" si="1"/>
        <v xml:space="preserve"> </v>
      </c>
      <c r="C612" s="79" t="str">
        <f t="shared" si="7"/>
        <v xml:space="preserve"> </v>
      </c>
      <c r="D612" s="79" t="str">
        <f t="shared" si="5"/>
        <v xml:space="preserve"> </v>
      </c>
      <c r="E612" s="79" t="str">
        <f t="shared" si="6"/>
        <v xml:space="preserve"> </v>
      </c>
    </row>
    <row r="613" spans="1:5" ht="12.5">
      <c r="A613" s="81" t="str">
        <f t="shared" si="0"/>
        <v xml:space="preserve"> </v>
      </c>
      <c r="B613" s="81" t="str">
        <f t="shared" si="1"/>
        <v xml:space="preserve"> </v>
      </c>
      <c r="C613" s="79" t="str">
        <f t="shared" si="7"/>
        <v xml:space="preserve"> </v>
      </c>
      <c r="D613" s="79" t="str">
        <f t="shared" si="5"/>
        <v xml:space="preserve"> </v>
      </c>
      <c r="E613" s="79" t="str">
        <f t="shared" si="6"/>
        <v xml:space="preserve"> </v>
      </c>
    </row>
    <row r="614" spans="1:5" ht="12.5">
      <c r="A614" s="81" t="str">
        <f t="shared" si="0"/>
        <v xml:space="preserve"> </v>
      </c>
      <c r="B614" s="81" t="str">
        <f t="shared" si="1"/>
        <v xml:space="preserve"> </v>
      </c>
      <c r="C614" s="79" t="str">
        <f t="shared" si="7"/>
        <v xml:space="preserve"> </v>
      </c>
      <c r="D614" s="79" t="str">
        <f t="shared" si="5"/>
        <v xml:space="preserve"> </v>
      </c>
      <c r="E614" s="79" t="str">
        <f t="shared" si="6"/>
        <v xml:space="preserve"> </v>
      </c>
    </row>
    <row r="615" spans="1:5" ht="12.5">
      <c r="A615" s="81" t="str">
        <f t="shared" si="0"/>
        <v xml:space="preserve"> </v>
      </c>
      <c r="B615" s="81" t="str">
        <f t="shared" si="1"/>
        <v xml:space="preserve"> </v>
      </c>
      <c r="C615" s="79" t="str">
        <f t="shared" si="7"/>
        <v xml:space="preserve"> </v>
      </c>
      <c r="D615" s="79" t="str">
        <f t="shared" si="5"/>
        <v xml:space="preserve"> </v>
      </c>
      <c r="E615" s="79" t="str">
        <f t="shared" si="6"/>
        <v xml:space="preserve"> </v>
      </c>
    </row>
    <row r="616" spans="1:5" ht="12.5">
      <c r="A616" s="81" t="str">
        <f t="shared" si="0"/>
        <v xml:space="preserve"> </v>
      </c>
      <c r="B616" s="81" t="str">
        <f t="shared" si="1"/>
        <v xml:space="preserve"> </v>
      </c>
      <c r="C616" s="79" t="str">
        <f t="shared" si="7"/>
        <v xml:space="preserve"> </v>
      </c>
      <c r="D616" s="79" t="str">
        <f t="shared" si="5"/>
        <v xml:space="preserve"> </v>
      </c>
      <c r="E616" s="79" t="str">
        <f t="shared" si="6"/>
        <v xml:space="preserve"> </v>
      </c>
    </row>
    <row r="617" spans="1:5" ht="12.5">
      <c r="A617" s="81" t="str">
        <f t="shared" si="0"/>
        <v xml:space="preserve"> </v>
      </c>
      <c r="B617" s="81" t="str">
        <f t="shared" si="1"/>
        <v xml:space="preserve"> </v>
      </c>
      <c r="C617" s="79" t="str">
        <f t="shared" si="7"/>
        <v xml:space="preserve"> </v>
      </c>
      <c r="D617" s="79" t="str">
        <f t="shared" si="5"/>
        <v xml:space="preserve"> </v>
      </c>
      <c r="E617" s="79" t="str">
        <f t="shared" si="6"/>
        <v xml:space="preserve"> </v>
      </c>
    </row>
    <row r="618" spans="1:5" ht="12.5">
      <c r="A618" s="81" t="str">
        <f t="shared" si="0"/>
        <v xml:space="preserve"> </v>
      </c>
      <c r="B618" s="81" t="str">
        <f t="shared" si="1"/>
        <v xml:space="preserve"> </v>
      </c>
      <c r="C618" s="79" t="str">
        <f t="shared" si="7"/>
        <v xml:space="preserve"> </v>
      </c>
      <c r="D618" s="79" t="str">
        <f t="shared" si="5"/>
        <v xml:space="preserve"> </v>
      </c>
      <c r="E618" s="79" t="str">
        <f t="shared" si="6"/>
        <v xml:space="preserve"> </v>
      </c>
    </row>
    <row r="619" spans="1:5" ht="12.5">
      <c r="A619" s="81" t="str">
        <f t="shared" si="0"/>
        <v xml:space="preserve"> </v>
      </c>
      <c r="B619" s="81" t="str">
        <f t="shared" si="1"/>
        <v xml:space="preserve"> </v>
      </c>
      <c r="C619" s="79" t="str">
        <f t="shared" si="7"/>
        <v xml:space="preserve"> </v>
      </c>
      <c r="D619" s="79" t="str">
        <f t="shared" si="5"/>
        <v xml:space="preserve"> </v>
      </c>
      <c r="E619" s="79" t="str">
        <f t="shared" si="6"/>
        <v xml:space="preserve"> </v>
      </c>
    </row>
    <row r="620" spans="1:5" ht="12.5">
      <c r="A620" s="81" t="str">
        <f t="shared" si="0"/>
        <v xml:space="preserve"> </v>
      </c>
      <c r="B620" s="81" t="str">
        <f t="shared" si="1"/>
        <v xml:space="preserve"> </v>
      </c>
      <c r="C620" s="79" t="str">
        <f t="shared" si="7"/>
        <v xml:space="preserve"> </v>
      </c>
      <c r="D620" s="79" t="str">
        <f t="shared" si="5"/>
        <v xml:space="preserve"> </v>
      </c>
      <c r="E620" s="79" t="str">
        <f t="shared" si="6"/>
        <v xml:space="preserve"> </v>
      </c>
    </row>
    <row r="621" spans="1:5" ht="12.5">
      <c r="A621" s="81" t="str">
        <f t="shared" si="0"/>
        <v xml:space="preserve"> </v>
      </c>
      <c r="B621" s="81" t="str">
        <f t="shared" si="1"/>
        <v xml:space="preserve"> </v>
      </c>
      <c r="C621" s="79" t="str">
        <f t="shared" si="7"/>
        <v xml:space="preserve"> </v>
      </c>
      <c r="D621" s="79" t="str">
        <f t="shared" si="5"/>
        <v xml:space="preserve"> </v>
      </c>
      <c r="E621" s="79" t="str">
        <f t="shared" si="6"/>
        <v xml:space="preserve"> </v>
      </c>
    </row>
    <row r="622" spans="1:5" ht="12.5">
      <c r="A622" s="81" t="str">
        <f t="shared" si="0"/>
        <v xml:space="preserve"> </v>
      </c>
      <c r="B622" s="81" t="str">
        <f t="shared" si="1"/>
        <v xml:space="preserve"> </v>
      </c>
      <c r="C622" s="79" t="str">
        <f t="shared" si="7"/>
        <v xml:space="preserve"> </v>
      </c>
      <c r="D622" s="79" t="str">
        <f t="shared" si="5"/>
        <v xml:space="preserve"> </v>
      </c>
      <c r="E622" s="79" t="str">
        <f t="shared" si="6"/>
        <v xml:space="preserve"> </v>
      </c>
    </row>
    <row r="623" spans="1:5" ht="12.5">
      <c r="A623" s="81" t="str">
        <f t="shared" si="0"/>
        <v xml:space="preserve"> </v>
      </c>
      <c r="B623" s="81" t="str">
        <f t="shared" si="1"/>
        <v xml:space="preserve"> </v>
      </c>
      <c r="C623" s="79" t="str">
        <f t="shared" si="7"/>
        <v xml:space="preserve"> </v>
      </c>
      <c r="D623" s="79" t="str">
        <f t="shared" si="5"/>
        <v xml:space="preserve"> </v>
      </c>
      <c r="E623" s="79" t="str">
        <f t="shared" si="6"/>
        <v xml:space="preserve"> </v>
      </c>
    </row>
    <row r="624" spans="1:5" ht="12.5">
      <c r="A624" s="81" t="str">
        <f t="shared" si="0"/>
        <v xml:space="preserve"> </v>
      </c>
      <c r="B624" s="81" t="str">
        <f t="shared" si="1"/>
        <v xml:space="preserve"> </v>
      </c>
      <c r="C624" s="79" t="str">
        <f t="shared" si="7"/>
        <v xml:space="preserve"> </v>
      </c>
      <c r="D624" s="79" t="str">
        <f t="shared" si="5"/>
        <v xml:space="preserve"> </v>
      </c>
      <c r="E624" s="79" t="str">
        <f t="shared" si="6"/>
        <v xml:space="preserve"> </v>
      </c>
    </row>
    <row r="625" spans="1:5" ht="12.5">
      <c r="A625" s="81" t="str">
        <f t="shared" si="0"/>
        <v xml:space="preserve"> </v>
      </c>
      <c r="B625" s="81" t="str">
        <f t="shared" si="1"/>
        <v xml:space="preserve"> </v>
      </c>
      <c r="C625" s="79" t="str">
        <f t="shared" si="7"/>
        <v xml:space="preserve"> </v>
      </c>
      <c r="D625" s="79" t="str">
        <f t="shared" si="5"/>
        <v xml:space="preserve"> </v>
      </c>
      <c r="E625" s="79" t="str">
        <f t="shared" si="6"/>
        <v xml:space="preserve"> </v>
      </c>
    </row>
    <row r="626" spans="1:5" ht="12.5">
      <c r="A626" s="81" t="str">
        <f t="shared" si="0"/>
        <v xml:space="preserve"> </v>
      </c>
      <c r="B626" s="81" t="str">
        <f t="shared" si="1"/>
        <v xml:space="preserve"> </v>
      </c>
      <c r="C626" s="79" t="str">
        <f t="shared" si="7"/>
        <v xml:space="preserve"> </v>
      </c>
      <c r="D626" s="79" t="str">
        <f t="shared" si="5"/>
        <v xml:space="preserve"> </v>
      </c>
      <c r="E626" s="79" t="str">
        <f t="shared" si="6"/>
        <v xml:space="preserve"> </v>
      </c>
    </row>
    <row r="627" spans="1:5" ht="12.5">
      <c r="A627" s="81" t="str">
        <f t="shared" si="0"/>
        <v xml:space="preserve"> </v>
      </c>
      <c r="B627" s="81" t="str">
        <f t="shared" si="1"/>
        <v xml:space="preserve"> </v>
      </c>
      <c r="C627" s="79" t="str">
        <f t="shared" si="7"/>
        <v xml:space="preserve"> </v>
      </c>
      <c r="D627" s="79" t="str">
        <f t="shared" si="5"/>
        <v xml:space="preserve"> </v>
      </c>
      <c r="E627" s="79" t="str">
        <f t="shared" si="6"/>
        <v xml:space="preserve"> </v>
      </c>
    </row>
    <row r="628" spans="1:5" ht="12.5">
      <c r="A628" s="81" t="str">
        <f t="shared" si="0"/>
        <v xml:space="preserve"> </v>
      </c>
      <c r="B628" s="81" t="str">
        <f t="shared" si="1"/>
        <v xml:space="preserve"> </v>
      </c>
      <c r="C628" s="79" t="str">
        <f t="shared" si="7"/>
        <v xml:space="preserve"> </v>
      </c>
      <c r="D628" s="79" t="str">
        <f t="shared" si="5"/>
        <v xml:space="preserve"> </v>
      </c>
      <c r="E628" s="79" t="str">
        <f t="shared" si="6"/>
        <v xml:space="preserve"> </v>
      </c>
    </row>
    <row r="629" spans="1:5" ht="12.5">
      <c r="A629" s="81" t="str">
        <f t="shared" si="0"/>
        <v xml:space="preserve"> </v>
      </c>
      <c r="B629" s="81" t="str">
        <f t="shared" si="1"/>
        <v xml:space="preserve"> </v>
      </c>
      <c r="C629" s="79" t="str">
        <f t="shared" si="7"/>
        <v xml:space="preserve"> </v>
      </c>
      <c r="D629" s="79" t="str">
        <f t="shared" si="5"/>
        <v xml:space="preserve"> </v>
      </c>
      <c r="E629" s="79" t="str">
        <f t="shared" si="6"/>
        <v xml:space="preserve"> </v>
      </c>
    </row>
    <row r="630" spans="1:5" ht="12.5">
      <c r="A630" s="81" t="str">
        <f t="shared" si="0"/>
        <v xml:space="preserve"> </v>
      </c>
      <c r="B630" s="81" t="str">
        <f t="shared" si="1"/>
        <v xml:space="preserve"> </v>
      </c>
      <c r="C630" s="79" t="str">
        <f t="shared" si="7"/>
        <v xml:space="preserve"> </v>
      </c>
      <c r="D630" s="79" t="str">
        <f t="shared" si="5"/>
        <v xml:space="preserve"> </v>
      </c>
      <c r="E630" s="79" t="str">
        <f t="shared" si="6"/>
        <v xml:space="preserve"> </v>
      </c>
    </row>
    <row r="631" spans="1:5" ht="12.5">
      <c r="A631" s="81" t="str">
        <f t="shared" si="0"/>
        <v xml:space="preserve"> </v>
      </c>
      <c r="B631" s="81" t="str">
        <f t="shared" si="1"/>
        <v xml:space="preserve"> </v>
      </c>
      <c r="C631" s="79" t="str">
        <f t="shared" si="7"/>
        <v xml:space="preserve"> </v>
      </c>
      <c r="D631" s="79" t="str">
        <f t="shared" si="5"/>
        <v xml:space="preserve"> </v>
      </c>
      <c r="E631" s="79" t="str">
        <f t="shared" si="6"/>
        <v xml:space="preserve"> </v>
      </c>
    </row>
    <row r="632" spans="1:5" ht="12.5">
      <c r="A632" s="81" t="str">
        <f t="shared" si="0"/>
        <v xml:space="preserve"> </v>
      </c>
      <c r="B632" s="81" t="str">
        <f t="shared" si="1"/>
        <v xml:space="preserve"> </v>
      </c>
      <c r="C632" s="79" t="str">
        <f t="shared" si="7"/>
        <v xml:space="preserve"> </v>
      </c>
      <c r="D632" s="79" t="str">
        <f t="shared" si="5"/>
        <v xml:space="preserve"> </v>
      </c>
      <c r="E632" s="79" t="str">
        <f t="shared" si="6"/>
        <v xml:space="preserve"> </v>
      </c>
    </row>
    <row r="633" spans="1:5" ht="12.5">
      <c r="A633" s="81" t="str">
        <f t="shared" si="0"/>
        <v xml:space="preserve"> </v>
      </c>
      <c r="B633" s="81" t="str">
        <f t="shared" si="1"/>
        <v xml:space="preserve"> </v>
      </c>
      <c r="C633" s="79" t="str">
        <f t="shared" si="7"/>
        <v xml:space="preserve"> </v>
      </c>
      <c r="D633" s="79" t="str">
        <f t="shared" si="5"/>
        <v xml:space="preserve"> </v>
      </c>
      <c r="E633" s="79" t="str">
        <f t="shared" si="6"/>
        <v xml:space="preserve"> </v>
      </c>
    </row>
    <row r="634" spans="1:5" ht="12.5">
      <c r="A634" s="81" t="str">
        <f t="shared" si="0"/>
        <v xml:space="preserve"> </v>
      </c>
      <c r="B634" s="81" t="str">
        <f t="shared" si="1"/>
        <v xml:space="preserve"> </v>
      </c>
      <c r="C634" s="79" t="str">
        <f t="shared" si="7"/>
        <v xml:space="preserve"> </v>
      </c>
      <c r="D634" s="79" t="str">
        <f t="shared" si="5"/>
        <v xml:space="preserve"> </v>
      </c>
      <c r="E634" s="79" t="str">
        <f t="shared" si="6"/>
        <v xml:space="preserve"> </v>
      </c>
    </row>
    <row r="635" spans="1:5" ht="12.5">
      <c r="A635" s="81" t="str">
        <f t="shared" si="0"/>
        <v xml:space="preserve"> </v>
      </c>
      <c r="B635" s="81" t="str">
        <f t="shared" si="1"/>
        <v xml:space="preserve"> </v>
      </c>
      <c r="C635" s="79" t="str">
        <f t="shared" si="7"/>
        <v xml:space="preserve"> </v>
      </c>
      <c r="D635" s="79" t="str">
        <f t="shared" si="5"/>
        <v xml:space="preserve"> </v>
      </c>
      <c r="E635" s="79" t="str">
        <f t="shared" si="6"/>
        <v xml:space="preserve"> </v>
      </c>
    </row>
    <row r="636" spans="1:5" ht="12.5">
      <c r="A636" s="81" t="str">
        <f t="shared" si="0"/>
        <v xml:space="preserve"> </v>
      </c>
      <c r="B636" s="81" t="str">
        <f t="shared" si="1"/>
        <v xml:space="preserve"> </v>
      </c>
      <c r="C636" s="79" t="str">
        <f t="shared" si="7"/>
        <v xml:space="preserve"> </v>
      </c>
      <c r="D636" s="79" t="str">
        <f t="shared" si="5"/>
        <v xml:space="preserve"> </v>
      </c>
      <c r="E636" s="79" t="str">
        <f t="shared" si="6"/>
        <v xml:space="preserve"> </v>
      </c>
    </row>
    <row r="637" spans="1:5" ht="12.5">
      <c r="A637" s="81" t="str">
        <f t="shared" si="0"/>
        <v xml:space="preserve"> </v>
      </c>
      <c r="B637" s="81" t="str">
        <f t="shared" si="1"/>
        <v xml:space="preserve"> </v>
      </c>
      <c r="C637" s="79" t="str">
        <f t="shared" si="7"/>
        <v xml:space="preserve"> </v>
      </c>
      <c r="D637" s="79" t="str">
        <f t="shared" si="5"/>
        <v xml:space="preserve"> </v>
      </c>
      <c r="E637" s="79" t="str">
        <f t="shared" si="6"/>
        <v xml:space="preserve"> </v>
      </c>
    </row>
    <row r="638" spans="1:5" ht="12.5">
      <c r="A638" s="81" t="str">
        <f t="shared" si="0"/>
        <v xml:space="preserve"> </v>
      </c>
      <c r="B638" s="81" t="str">
        <f t="shared" si="1"/>
        <v xml:space="preserve"> </v>
      </c>
      <c r="C638" s="79" t="str">
        <f t="shared" si="7"/>
        <v xml:space="preserve"> </v>
      </c>
      <c r="D638" s="79" t="str">
        <f t="shared" si="5"/>
        <v xml:space="preserve"> </v>
      </c>
      <c r="E638" s="79" t="str">
        <f t="shared" si="6"/>
        <v xml:space="preserve"> </v>
      </c>
    </row>
    <row r="639" spans="1:5" ht="12.5">
      <c r="A639" s="81" t="str">
        <f t="shared" si="0"/>
        <v xml:space="preserve"> </v>
      </c>
      <c r="B639" s="81" t="str">
        <f t="shared" si="1"/>
        <v xml:space="preserve"> </v>
      </c>
      <c r="C639" s="79" t="str">
        <f t="shared" si="7"/>
        <v xml:space="preserve"> </v>
      </c>
      <c r="D639" s="79" t="str">
        <f t="shared" si="5"/>
        <v xml:space="preserve"> </v>
      </c>
      <c r="E639" s="79" t="str">
        <f t="shared" si="6"/>
        <v xml:space="preserve"> </v>
      </c>
    </row>
    <row r="640" spans="1:5" ht="12.5">
      <c r="A640" s="81" t="str">
        <f t="shared" si="0"/>
        <v xml:space="preserve"> </v>
      </c>
      <c r="B640" s="81" t="str">
        <f t="shared" si="1"/>
        <v xml:space="preserve"> </v>
      </c>
      <c r="C640" s="79" t="str">
        <f t="shared" si="7"/>
        <v xml:space="preserve"> </v>
      </c>
      <c r="D640" s="79" t="str">
        <f t="shared" si="5"/>
        <v xml:space="preserve"> </v>
      </c>
      <c r="E640" s="79" t="str">
        <f t="shared" si="6"/>
        <v xml:space="preserve"> </v>
      </c>
    </row>
    <row r="641" spans="1:5" ht="12.5">
      <c r="A641" s="81" t="str">
        <f t="shared" si="0"/>
        <v xml:space="preserve"> </v>
      </c>
      <c r="B641" s="81" t="str">
        <f t="shared" si="1"/>
        <v xml:space="preserve"> </v>
      </c>
      <c r="C641" s="79" t="str">
        <f t="shared" si="7"/>
        <v xml:space="preserve"> </v>
      </c>
      <c r="D641" s="79" t="str">
        <f t="shared" si="5"/>
        <v xml:space="preserve"> </v>
      </c>
      <c r="E641" s="79" t="str">
        <f t="shared" si="6"/>
        <v xml:space="preserve"> </v>
      </c>
    </row>
    <row r="642" spans="1:5" ht="12.5">
      <c r="A642" s="81" t="str">
        <f t="shared" si="0"/>
        <v xml:space="preserve"> </v>
      </c>
      <c r="B642" s="81" t="str">
        <f t="shared" si="1"/>
        <v xml:space="preserve"> </v>
      </c>
      <c r="C642" s="79" t="str">
        <f t="shared" si="7"/>
        <v xml:space="preserve"> </v>
      </c>
      <c r="D642" s="79" t="str">
        <f t="shared" si="5"/>
        <v xml:space="preserve"> </v>
      </c>
      <c r="E642" s="79" t="str">
        <f t="shared" si="6"/>
        <v xml:space="preserve"> </v>
      </c>
    </row>
    <row r="643" spans="1:5" ht="12.5">
      <c r="A643" s="81" t="str">
        <f t="shared" si="0"/>
        <v xml:space="preserve"> </v>
      </c>
      <c r="B643" s="81" t="str">
        <f t="shared" si="1"/>
        <v xml:space="preserve"> </v>
      </c>
      <c r="C643" s="79" t="str">
        <f t="shared" si="7"/>
        <v xml:space="preserve"> </v>
      </c>
      <c r="D643" s="79" t="str">
        <f t="shared" si="5"/>
        <v xml:space="preserve"> </v>
      </c>
      <c r="E643" s="79" t="str">
        <f t="shared" si="6"/>
        <v xml:space="preserve"> </v>
      </c>
    </row>
    <row r="644" spans="1:5" ht="12.5">
      <c r="A644" s="81" t="str">
        <f t="shared" si="0"/>
        <v xml:space="preserve"> </v>
      </c>
      <c r="B644" s="81" t="str">
        <f t="shared" si="1"/>
        <v xml:space="preserve"> </v>
      </c>
      <c r="C644" s="79" t="str">
        <f t="shared" si="7"/>
        <v xml:space="preserve"> </v>
      </c>
      <c r="D644" s="79" t="str">
        <f t="shared" si="5"/>
        <v xml:space="preserve"> </v>
      </c>
      <c r="E644" s="79" t="str">
        <f t="shared" si="6"/>
        <v xml:space="preserve"> </v>
      </c>
    </row>
    <row r="645" spans="1:5" ht="12.5">
      <c r="A645" s="81" t="str">
        <f t="shared" si="0"/>
        <v xml:space="preserve"> </v>
      </c>
      <c r="B645" s="81" t="str">
        <f t="shared" si="1"/>
        <v xml:space="preserve"> </v>
      </c>
      <c r="C645" s="79" t="str">
        <f t="shared" si="7"/>
        <v xml:space="preserve"> </v>
      </c>
      <c r="D645" s="79" t="str">
        <f t="shared" si="5"/>
        <v xml:space="preserve"> </v>
      </c>
      <c r="E645" s="79" t="str">
        <f t="shared" si="6"/>
        <v xml:space="preserve"> </v>
      </c>
    </row>
    <row r="646" spans="1:5" ht="12.5">
      <c r="A646" s="81" t="str">
        <f t="shared" si="0"/>
        <v xml:space="preserve"> </v>
      </c>
      <c r="B646" s="81" t="str">
        <f t="shared" si="1"/>
        <v xml:space="preserve"> </v>
      </c>
      <c r="C646" s="79" t="str">
        <f t="shared" si="7"/>
        <v xml:space="preserve"> </v>
      </c>
      <c r="D646" s="79" t="str">
        <f t="shared" si="5"/>
        <v xml:space="preserve"> </v>
      </c>
      <c r="E646" s="79" t="str">
        <f t="shared" si="6"/>
        <v xml:space="preserve"> </v>
      </c>
    </row>
    <row r="647" spans="1:5" ht="12.5">
      <c r="A647" s="81" t="str">
        <f t="shared" si="0"/>
        <v xml:space="preserve"> </v>
      </c>
      <c r="B647" s="81" t="str">
        <f t="shared" si="1"/>
        <v xml:space="preserve"> </v>
      </c>
      <c r="C647" s="79" t="str">
        <f t="shared" si="7"/>
        <v xml:space="preserve"> </v>
      </c>
      <c r="D647" s="79" t="str">
        <f t="shared" si="5"/>
        <v xml:space="preserve"> </v>
      </c>
      <c r="E647" s="79" t="str">
        <f t="shared" si="6"/>
        <v xml:space="preserve"> </v>
      </c>
    </row>
    <row r="648" spans="1:5" ht="12.5">
      <c r="A648" s="81" t="str">
        <f t="shared" si="0"/>
        <v xml:space="preserve"> </v>
      </c>
      <c r="B648" s="81" t="str">
        <f t="shared" si="1"/>
        <v xml:space="preserve"> </v>
      </c>
      <c r="C648" s="79" t="str">
        <f t="shared" si="7"/>
        <v xml:space="preserve"> </v>
      </c>
      <c r="D648" s="79" t="str">
        <f t="shared" si="5"/>
        <v xml:space="preserve"> </v>
      </c>
      <c r="E648" s="79" t="str">
        <f t="shared" si="6"/>
        <v xml:space="preserve"> </v>
      </c>
    </row>
    <row r="649" spans="1:5" ht="12.5">
      <c r="A649" s="81" t="str">
        <f t="shared" si="0"/>
        <v xml:space="preserve"> </v>
      </c>
      <c r="B649" s="81" t="str">
        <f t="shared" si="1"/>
        <v xml:space="preserve"> </v>
      </c>
      <c r="C649" s="79" t="str">
        <f t="shared" si="7"/>
        <v xml:space="preserve"> </v>
      </c>
      <c r="D649" s="79" t="str">
        <f t="shared" si="5"/>
        <v xml:space="preserve"> </v>
      </c>
      <c r="E649" s="79" t="str">
        <f t="shared" si="6"/>
        <v xml:space="preserve"> </v>
      </c>
    </row>
    <row r="650" spans="1:5" ht="12.5">
      <c r="A650" s="81" t="str">
        <f t="shared" si="0"/>
        <v xml:space="preserve"> </v>
      </c>
      <c r="B650" s="81" t="str">
        <f t="shared" si="1"/>
        <v xml:space="preserve"> </v>
      </c>
      <c r="C650" s="79" t="str">
        <f t="shared" si="7"/>
        <v xml:space="preserve"> </v>
      </c>
      <c r="D650" s="79" t="str">
        <f t="shared" si="5"/>
        <v xml:space="preserve"> </v>
      </c>
      <c r="E650" s="79" t="str">
        <f t="shared" si="6"/>
        <v xml:space="preserve"> </v>
      </c>
    </row>
    <row r="651" spans="1:5" ht="12.5">
      <c r="A651" s="81" t="str">
        <f t="shared" si="0"/>
        <v xml:space="preserve"> </v>
      </c>
      <c r="B651" s="81" t="str">
        <f t="shared" si="1"/>
        <v xml:space="preserve"> </v>
      </c>
      <c r="C651" s="79" t="str">
        <f t="shared" si="7"/>
        <v xml:space="preserve"> </v>
      </c>
      <c r="D651" s="79" t="str">
        <f t="shared" si="5"/>
        <v xml:space="preserve"> </v>
      </c>
      <c r="E651" s="79" t="str">
        <f t="shared" si="6"/>
        <v xml:space="preserve"> </v>
      </c>
    </row>
    <row r="652" spans="1:5" ht="12.5">
      <c r="A652" s="81" t="str">
        <f t="shared" si="0"/>
        <v xml:space="preserve"> </v>
      </c>
      <c r="B652" s="81" t="str">
        <f t="shared" si="1"/>
        <v xml:space="preserve"> </v>
      </c>
      <c r="C652" s="79" t="str">
        <f t="shared" si="7"/>
        <v xml:space="preserve"> </v>
      </c>
      <c r="D652" s="79" t="str">
        <f t="shared" si="5"/>
        <v xml:space="preserve"> </v>
      </c>
      <c r="E652" s="79" t="str">
        <f t="shared" si="6"/>
        <v xml:space="preserve"> </v>
      </c>
    </row>
    <row r="653" spans="1:5" ht="12.5">
      <c r="A653" s="81" t="str">
        <f t="shared" si="0"/>
        <v xml:space="preserve"> </v>
      </c>
      <c r="B653" s="81" t="str">
        <f t="shared" si="1"/>
        <v xml:space="preserve"> </v>
      </c>
      <c r="C653" s="79" t="str">
        <f t="shared" si="7"/>
        <v xml:space="preserve"> </v>
      </c>
      <c r="D653" s="79" t="str">
        <f t="shared" si="5"/>
        <v xml:space="preserve"> </v>
      </c>
      <c r="E653" s="79" t="str">
        <f t="shared" si="6"/>
        <v xml:space="preserve"> </v>
      </c>
    </row>
    <row r="654" spans="1:5" ht="12.5">
      <c r="A654" s="81" t="str">
        <f t="shared" si="0"/>
        <v xml:space="preserve"> </v>
      </c>
      <c r="B654" s="81" t="str">
        <f t="shared" si="1"/>
        <v xml:space="preserve"> </v>
      </c>
      <c r="C654" s="79" t="str">
        <f t="shared" si="7"/>
        <v xml:space="preserve"> </v>
      </c>
      <c r="D654" s="79" t="str">
        <f t="shared" si="5"/>
        <v xml:space="preserve"> </v>
      </c>
      <c r="E654" s="79" t="str">
        <f t="shared" si="6"/>
        <v xml:space="preserve"> </v>
      </c>
    </row>
    <row r="655" spans="1:5" ht="12.5">
      <c r="A655" s="81" t="str">
        <f t="shared" si="0"/>
        <v xml:space="preserve"> </v>
      </c>
      <c r="B655" s="81" t="str">
        <f t="shared" si="1"/>
        <v xml:space="preserve"> </v>
      </c>
      <c r="C655" s="79" t="str">
        <f t="shared" si="7"/>
        <v xml:space="preserve"> </v>
      </c>
      <c r="D655" s="79" t="str">
        <f t="shared" si="5"/>
        <v xml:space="preserve"> </v>
      </c>
      <c r="E655" s="79" t="str">
        <f t="shared" si="6"/>
        <v xml:space="preserve"> </v>
      </c>
    </row>
    <row r="656" spans="1:5" ht="12.5">
      <c r="A656" s="81" t="str">
        <f t="shared" si="0"/>
        <v xml:space="preserve"> </v>
      </c>
      <c r="B656" s="81" t="str">
        <f t="shared" si="1"/>
        <v xml:space="preserve"> </v>
      </c>
      <c r="C656" s="79" t="str">
        <f t="shared" si="7"/>
        <v xml:space="preserve"> </v>
      </c>
      <c r="D656" s="79" t="str">
        <f t="shared" si="5"/>
        <v xml:space="preserve"> </v>
      </c>
      <c r="E656" s="79" t="str">
        <f t="shared" si="6"/>
        <v xml:space="preserve"> </v>
      </c>
    </row>
    <row r="657" spans="1:5" ht="12.5">
      <c r="A657" s="81" t="str">
        <f t="shared" si="0"/>
        <v xml:space="preserve"> </v>
      </c>
      <c r="B657" s="81" t="str">
        <f t="shared" si="1"/>
        <v xml:space="preserve"> </v>
      </c>
      <c r="C657" s="79" t="str">
        <f t="shared" si="7"/>
        <v xml:space="preserve"> </v>
      </c>
      <c r="D657" s="79" t="str">
        <f t="shared" si="5"/>
        <v xml:space="preserve"> </v>
      </c>
      <c r="E657" s="79" t="str">
        <f t="shared" si="6"/>
        <v xml:space="preserve"> </v>
      </c>
    </row>
    <row r="658" spans="1:5" ht="12.5">
      <c r="A658" s="81" t="str">
        <f t="shared" si="0"/>
        <v xml:space="preserve"> </v>
      </c>
      <c r="B658" s="81" t="str">
        <f t="shared" si="1"/>
        <v xml:space="preserve"> </v>
      </c>
      <c r="C658" s="79" t="str">
        <f t="shared" si="7"/>
        <v xml:space="preserve"> </v>
      </c>
      <c r="D658" s="79" t="str">
        <f t="shared" si="5"/>
        <v xml:space="preserve"> </v>
      </c>
      <c r="E658" s="79" t="str">
        <f t="shared" si="6"/>
        <v xml:space="preserve"> </v>
      </c>
    </row>
    <row r="659" spans="1:5" ht="12.5">
      <c r="A659" s="81" t="str">
        <f t="shared" si="0"/>
        <v xml:space="preserve"> </v>
      </c>
      <c r="B659" s="81" t="str">
        <f t="shared" si="1"/>
        <v xml:space="preserve"> </v>
      </c>
      <c r="C659" s="79" t="str">
        <f t="shared" si="7"/>
        <v xml:space="preserve"> </v>
      </c>
      <c r="D659" s="79" t="str">
        <f t="shared" si="5"/>
        <v xml:space="preserve"> </v>
      </c>
      <c r="E659" s="79" t="str">
        <f t="shared" si="6"/>
        <v xml:space="preserve"> </v>
      </c>
    </row>
    <row r="660" spans="1:5" ht="12.5">
      <c r="A660" s="81" t="str">
        <f t="shared" si="0"/>
        <v xml:space="preserve"> </v>
      </c>
      <c r="B660" s="81" t="str">
        <f t="shared" si="1"/>
        <v xml:space="preserve"> </v>
      </c>
      <c r="C660" s="79" t="str">
        <f t="shared" si="7"/>
        <v xml:space="preserve"> </v>
      </c>
      <c r="D660" s="79" t="str">
        <f t="shared" si="5"/>
        <v xml:space="preserve"> </v>
      </c>
      <c r="E660" s="79" t="str">
        <f t="shared" si="6"/>
        <v xml:space="preserve"> </v>
      </c>
    </row>
    <row r="661" spans="1:5" ht="12.5">
      <c r="A661" s="81" t="str">
        <f t="shared" si="0"/>
        <v xml:space="preserve"> </v>
      </c>
      <c r="B661" s="81" t="str">
        <f t="shared" si="1"/>
        <v xml:space="preserve"> </v>
      </c>
      <c r="C661" s="79" t="str">
        <f t="shared" si="7"/>
        <v xml:space="preserve"> </v>
      </c>
      <c r="D661" s="79" t="str">
        <f t="shared" si="5"/>
        <v xml:space="preserve"> </v>
      </c>
      <c r="E661" s="79" t="str">
        <f t="shared" si="6"/>
        <v xml:space="preserve"> </v>
      </c>
    </row>
    <row r="662" spans="1:5" ht="12.5">
      <c r="A662" s="81" t="str">
        <f t="shared" si="0"/>
        <v xml:space="preserve"> </v>
      </c>
      <c r="B662" s="81" t="str">
        <f t="shared" si="1"/>
        <v xml:space="preserve"> </v>
      </c>
      <c r="C662" s="79" t="str">
        <f t="shared" si="7"/>
        <v xml:space="preserve"> </v>
      </c>
      <c r="D662" s="79" t="str">
        <f t="shared" si="5"/>
        <v xml:space="preserve"> </v>
      </c>
      <c r="E662" s="79" t="str">
        <f t="shared" si="6"/>
        <v xml:space="preserve"> </v>
      </c>
    </row>
    <row r="663" spans="1:5" ht="12.5">
      <c r="A663" s="81" t="str">
        <f t="shared" si="0"/>
        <v xml:space="preserve"> </v>
      </c>
      <c r="B663" s="81" t="str">
        <f t="shared" si="1"/>
        <v xml:space="preserve"> </v>
      </c>
      <c r="C663" s="79" t="str">
        <f t="shared" si="7"/>
        <v xml:space="preserve"> </v>
      </c>
      <c r="D663" s="79" t="str">
        <f t="shared" si="5"/>
        <v xml:space="preserve"> </v>
      </c>
      <c r="E663" s="79" t="str">
        <f t="shared" si="6"/>
        <v xml:space="preserve"> </v>
      </c>
    </row>
    <row r="664" spans="1:5" ht="12.5">
      <c r="A664" s="81" t="str">
        <f t="shared" si="0"/>
        <v xml:space="preserve"> </v>
      </c>
      <c r="B664" s="81" t="str">
        <f t="shared" si="1"/>
        <v xml:space="preserve"> </v>
      </c>
      <c r="C664" s="79" t="str">
        <f t="shared" si="7"/>
        <v xml:space="preserve"> </v>
      </c>
      <c r="D664" s="79" t="str">
        <f t="shared" si="5"/>
        <v xml:space="preserve"> </v>
      </c>
      <c r="E664" s="79" t="str">
        <f t="shared" si="6"/>
        <v xml:space="preserve"> </v>
      </c>
    </row>
    <row r="665" spans="1:5" ht="12.5">
      <c r="A665" s="81" t="str">
        <f t="shared" si="0"/>
        <v xml:space="preserve"> </v>
      </c>
      <c r="B665" s="81" t="str">
        <f t="shared" si="1"/>
        <v xml:space="preserve"> </v>
      </c>
      <c r="C665" s="79" t="str">
        <f t="shared" si="7"/>
        <v xml:space="preserve"> </v>
      </c>
      <c r="D665" s="79" t="str">
        <f t="shared" si="5"/>
        <v xml:space="preserve"> </v>
      </c>
      <c r="E665" s="79" t="str">
        <f t="shared" si="6"/>
        <v xml:space="preserve"> </v>
      </c>
    </row>
    <row r="666" spans="1:5" ht="12.5">
      <c r="A666" s="81" t="str">
        <f t="shared" si="0"/>
        <v xml:space="preserve"> </v>
      </c>
      <c r="B666" s="81" t="str">
        <f t="shared" si="1"/>
        <v xml:space="preserve"> </v>
      </c>
      <c r="C666" s="79" t="str">
        <f t="shared" si="7"/>
        <v xml:space="preserve"> </v>
      </c>
      <c r="D666" s="79" t="str">
        <f t="shared" si="5"/>
        <v xml:space="preserve"> </v>
      </c>
      <c r="E666" s="79" t="str">
        <f t="shared" si="6"/>
        <v xml:space="preserve"> </v>
      </c>
    </row>
    <row r="667" spans="1:5" ht="12.5">
      <c r="A667" s="81" t="str">
        <f t="shared" si="0"/>
        <v xml:space="preserve"> </v>
      </c>
      <c r="B667" s="81" t="str">
        <f t="shared" si="1"/>
        <v xml:space="preserve"> </v>
      </c>
      <c r="C667" s="79" t="str">
        <f t="shared" si="7"/>
        <v xml:space="preserve"> </v>
      </c>
      <c r="D667" s="79" t="str">
        <f t="shared" si="5"/>
        <v xml:space="preserve"> </v>
      </c>
      <c r="E667" s="79" t="str">
        <f t="shared" si="6"/>
        <v xml:space="preserve"> </v>
      </c>
    </row>
    <row r="668" spans="1:5" ht="12.5">
      <c r="A668" s="81" t="str">
        <f t="shared" si="0"/>
        <v xml:space="preserve"> </v>
      </c>
      <c r="B668" s="81" t="str">
        <f t="shared" si="1"/>
        <v xml:space="preserve"> </v>
      </c>
      <c r="C668" s="79" t="str">
        <f t="shared" si="7"/>
        <v xml:space="preserve"> </v>
      </c>
      <c r="D668" s="79" t="str">
        <f t="shared" si="5"/>
        <v xml:space="preserve"> </v>
      </c>
      <c r="E668" s="79" t="str">
        <f t="shared" si="6"/>
        <v xml:space="preserve"> </v>
      </c>
    </row>
    <row r="669" spans="1:5" ht="12.5">
      <c r="A669" s="81" t="str">
        <f t="shared" si="0"/>
        <v xml:space="preserve"> </v>
      </c>
      <c r="B669" s="81" t="str">
        <f t="shared" si="1"/>
        <v xml:space="preserve"> </v>
      </c>
      <c r="C669" s="79" t="str">
        <f t="shared" si="7"/>
        <v xml:space="preserve"> </v>
      </c>
      <c r="D669" s="79" t="str">
        <f t="shared" si="5"/>
        <v xml:space="preserve"> </v>
      </c>
      <c r="E669" s="79" t="str">
        <f t="shared" si="6"/>
        <v xml:space="preserve"> </v>
      </c>
    </row>
    <row r="670" spans="1:5" ht="12.5">
      <c r="A670" s="81" t="str">
        <f t="shared" si="0"/>
        <v xml:space="preserve"> </v>
      </c>
      <c r="B670" s="81" t="str">
        <f t="shared" si="1"/>
        <v xml:space="preserve"> </v>
      </c>
      <c r="C670" s="79" t="str">
        <f t="shared" si="7"/>
        <v xml:space="preserve"> </v>
      </c>
      <c r="D670" s="79" t="str">
        <f t="shared" si="5"/>
        <v xml:space="preserve"> </v>
      </c>
      <c r="E670" s="79" t="str">
        <f t="shared" si="6"/>
        <v xml:space="preserve"> </v>
      </c>
    </row>
    <row r="671" spans="1:5" ht="12.5">
      <c r="A671" s="81" t="str">
        <f t="shared" si="0"/>
        <v xml:space="preserve"> </v>
      </c>
      <c r="B671" s="81" t="str">
        <f t="shared" si="1"/>
        <v xml:space="preserve"> </v>
      </c>
      <c r="C671" s="79" t="str">
        <f t="shared" si="7"/>
        <v xml:space="preserve"> </v>
      </c>
      <c r="D671" s="79" t="str">
        <f t="shared" si="5"/>
        <v xml:space="preserve"> </v>
      </c>
      <c r="E671" s="79" t="str">
        <f t="shared" si="6"/>
        <v xml:space="preserve"> </v>
      </c>
    </row>
    <row r="672" spans="1:5" ht="12.5">
      <c r="A672" s="81" t="str">
        <f t="shared" si="0"/>
        <v xml:space="preserve"> </v>
      </c>
      <c r="B672" s="81" t="str">
        <f t="shared" si="1"/>
        <v xml:space="preserve"> </v>
      </c>
      <c r="C672" s="79" t="str">
        <f t="shared" si="7"/>
        <v xml:space="preserve"> </v>
      </c>
      <c r="D672" s="79" t="str">
        <f t="shared" si="5"/>
        <v xml:space="preserve"> </v>
      </c>
      <c r="E672" s="79" t="str">
        <f t="shared" si="6"/>
        <v xml:space="preserve"> </v>
      </c>
    </row>
    <row r="673" spans="1:5" ht="12.5">
      <c r="A673" s="81" t="str">
        <f t="shared" si="0"/>
        <v xml:space="preserve"> </v>
      </c>
      <c r="B673" s="81" t="str">
        <f t="shared" si="1"/>
        <v xml:space="preserve"> </v>
      </c>
      <c r="C673" s="79" t="str">
        <f t="shared" si="7"/>
        <v xml:space="preserve"> </v>
      </c>
      <c r="D673" s="79" t="str">
        <f t="shared" si="5"/>
        <v xml:space="preserve"> </v>
      </c>
      <c r="E673" s="79" t="str">
        <f t="shared" si="6"/>
        <v xml:space="preserve"> </v>
      </c>
    </row>
    <row r="674" spans="1:5" ht="12.5">
      <c r="A674" s="81" t="str">
        <f t="shared" si="0"/>
        <v xml:space="preserve"> </v>
      </c>
      <c r="B674" s="81" t="str">
        <f t="shared" si="1"/>
        <v xml:space="preserve"> </v>
      </c>
      <c r="C674" s="79" t="str">
        <f t="shared" si="7"/>
        <v xml:space="preserve"> </v>
      </c>
      <c r="D674" s="79" t="str">
        <f t="shared" si="5"/>
        <v xml:space="preserve"> </v>
      </c>
      <c r="E674" s="79" t="str">
        <f t="shared" si="6"/>
        <v xml:space="preserve"> </v>
      </c>
    </row>
    <row r="675" spans="1:5" ht="12.5">
      <c r="A675" s="81" t="str">
        <f t="shared" si="0"/>
        <v xml:space="preserve"> </v>
      </c>
      <c r="B675" s="81" t="str">
        <f t="shared" si="1"/>
        <v xml:space="preserve"> </v>
      </c>
      <c r="C675" s="79" t="str">
        <f t="shared" si="7"/>
        <v xml:space="preserve"> </v>
      </c>
      <c r="D675" s="79" t="str">
        <f t="shared" si="5"/>
        <v xml:space="preserve"> </v>
      </c>
      <c r="E675" s="79" t="str">
        <f t="shared" si="6"/>
        <v xml:space="preserve"> </v>
      </c>
    </row>
    <row r="676" spans="1:5" ht="12.5">
      <c r="A676" s="81" t="str">
        <f t="shared" si="0"/>
        <v xml:space="preserve"> </v>
      </c>
      <c r="B676" s="81" t="str">
        <f t="shared" si="1"/>
        <v xml:space="preserve"> </v>
      </c>
      <c r="C676" s="79" t="str">
        <f t="shared" si="7"/>
        <v xml:space="preserve"> </v>
      </c>
      <c r="D676" s="79" t="str">
        <f t="shared" si="5"/>
        <v xml:space="preserve"> </v>
      </c>
      <c r="E676" s="79" t="str">
        <f t="shared" si="6"/>
        <v xml:space="preserve"> </v>
      </c>
    </row>
    <row r="677" spans="1:5" ht="12.5">
      <c r="A677" s="81" t="str">
        <f t="shared" si="0"/>
        <v xml:space="preserve"> </v>
      </c>
      <c r="B677" s="81" t="str">
        <f t="shared" si="1"/>
        <v xml:space="preserve"> </v>
      </c>
      <c r="C677" s="79" t="str">
        <f t="shared" si="7"/>
        <v xml:space="preserve"> </v>
      </c>
      <c r="D677" s="79" t="str">
        <f t="shared" si="5"/>
        <v xml:space="preserve"> </v>
      </c>
      <c r="E677" s="79" t="str">
        <f t="shared" si="6"/>
        <v xml:space="preserve"> </v>
      </c>
    </row>
    <row r="678" spans="1:5" ht="12.5">
      <c r="A678" s="81" t="str">
        <f t="shared" si="0"/>
        <v xml:space="preserve"> </v>
      </c>
      <c r="B678" s="81" t="str">
        <f t="shared" si="1"/>
        <v xml:space="preserve"> </v>
      </c>
      <c r="C678" s="79" t="str">
        <f t="shared" si="7"/>
        <v xml:space="preserve"> </v>
      </c>
      <c r="D678" s="79" t="str">
        <f t="shared" si="5"/>
        <v xml:space="preserve"> </v>
      </c>
      <c r="E678" s="79" t="str">
        <f t="shared" si="6"/>
        <v xml:space="preserve"> </v>
      </c>
    </row>
    <row r="679" spans="1:5" ht="12.5">
      <c r="A679" s="81" t="str">
        <f t="shared" si="0"/>
        <v xml:space="preserve"> </v>
      </c>
      <c r="B679" s="81" t="str">
        <f t="shared" si="1"/>
        <v xml:space="preserve"> </v>
      </c>
      <c r="C679" s="79" t="str">
        <f t="shared" si="7"/>
        <v xml:space="preserve"> </v>
      </c>
      <c r="D679" s="79" t="str">
        <f t="shared" si="5"/>
        <v xml:space="preserve"> </v>
      </c>
      <c r="E679" s="79" t="str">
        <f t="shared" si="6"/>
        <v xml:space="preserve"> </v>
      </c>
    </row>
    <row r="680" spans="1:5" ht="12.5">
      <c r="A680" s="81" t="str">
        <f t="shared" si="0"/>
        <v xml:space="preserve"> </v>
      </c>
      <c r="B680" s="81" t="str">
        <f t="shared" si="1"/>
        <v xml:space="preserve"> </v>
      </c>
      <c r="C680" s="79" t="str">
        <f t="shared" si="7"/>
        <v xml:space="preserve"> </v>
      </c>
      <c r="D680" s="79" t="str">
        <f t="shared" si="5"/>
        <v xml:space="preserve"> </v>
      </c>
      <c r="E680" s="79" t="str">
        <f t="shared" si="6"/>
        <v xml:space="preserve"> </v>
      </c>
    </row>
    <row r="681" spans="1:5" ht="12.5">
      <c r="A681" s="81" t="str">
        <f t="shared" si="0"/>
        <v xml:space="preserve"> </v>
      </c>
      <c r="B681" s="81" t="str">
        <f t="shared" si="1"/>
        <v xml:space="preserve"> </v>
      </c>
      <c r="C681" s="79" t="str">
        <f t="shared" si="7"/>
        <v xml:space="preserve"> </v>
      </c>
      <c r="D681" s="79" t="str">
        <f t="shared" si="5"/>
        <v xml:space="preserve"> </v>
      </c>
      <c r="E681" s="79" t="str">
        <f t="shared" si="6"/>
        <v xml:space="preserve"> </v>
      </c>
    </row>
    <row r="682" spans="1:5" ht="12.5">
      <c r="A682" s="81" t="str">
        <f t="shared" si="0"/>
        <v xml:space="preserve"> </v>
      </c>
      <c r="B682" s="81" t="str">
        <f t="shared" si="1"/>
        <v xml:space="preserve"> </v>
      </c>
      <c r="C682" s="79" t="str">
        <f t="shared" si="7"/>
        <v xml:space="preserve"> </v>
      </c>
      <c r="D682" s="79" t="str">
        <f t="shared" si="5"/>
        <v xml:space="preserve"> </v>
      </c>
      <c r="E682" s="79" t="str">
        <f t="shared" si="6"/>
        <v xml:space="preserve"> </v>
      </c>
    </row>
    <row r="683" spans="1:5" ht="12.5">
      <c r="A683" s="81" t="str">
        <f t="shared" si="0"/>
        <v xml:space="preserve"> </v>
      </c>
      <c r="B683" s="81" t="str">
        <f t="shared" si="1"/>
        <v xml:space="preserve"> </v>
      </c>
      <c r="C683" s="79" t="str">
        <f t="shared" si="7"/>
        <v xml:space="preserve"> </v>
      </c>
      <c r="D683" s="79" t="str">
        <f t="shared" si="5"/>
        <v xml:space="preserve"> </v>
      </c>
      <c r="E683" s="79" t="str">
        <f t="shared" si="6"/>
        <v xml:space="preserve"> </v>
      </c>
    </row>
    <row r="684" spans="1:5" ht="12.5">
      <c r="A684" s="81" t="str">
        <f t="shared" si="0"/>
        <v xml:space="preserve"> </v>
      </c>
      <c r="B684" s="81" t="str">
        <f t="shared" si="1"/>
        <v xml:space="preserve"> </v>
      </c>
      <c r="C684" s="79" t="str">
        <f t="shared" si="7"/>
        <v xml:space="preserve"> </v>
      </c>
      <c r="D684" s="79" t="str">
        <f t="shared" si="5"/>
        <v xml:space="preserve"> </v>
      </c>
      <c r="E684" s="79" t="str">
        <f t="shared" si="6"/>
        <v xml:space="preserve"> </v>
      </c>
    </row>
    <row r="685" spans="1:5" ht="12.5">
      <c r="A685" s="81" t="str">
        <f t="shared" si="0"/>
        <v xml:space="preserve"> </v>
      </c>
      <c r="B685" s="81" t="str">
        <f t="shared" si="1"/>
        <v xml:space="preserve"> </v>
      </c>
      <c r="C685" s="79" t="str">
        <f t="shared" si="7"/>
        <v xml:space="preserve"> </v>
      </c>
      <c r="D685" s="79" t="str">
        <f t="shared" si="5"/>
        <v xml:space="preserve"> </v>
      </c>
      <c r="E685" s="79" t="str">
        <f t="shared" si="6"/>
        <v xml:space="preserve"> </v>
      </c>
    </row>
    <row r="686" spans="1:5" ht="12.5">
      <c r="A686" s="81" t="str">
        <f t="shared" si="0"/>
        <v xml:space="preserve"> </v>
      </c>
      <c r="B686" s="81" t="str">
        <f t="shared" si="1"/>
        <v xml:space="preserve"> </v>
      </c>
      <c r="C686" s="79" t="str">
        <f t="shared" si="7"/>
        <v xml:space="preserve"> </v>
      </c>
      <c r="D686" s="79" t="str">
        <f t="shared" si="5"/>
        <v xml:space="preserve"> </v>
      </c>
      <c r="E686" s="79" t="str">
        <f t="shared" si="6"/>
        <v xml:space="preserve"> </v>
      </c>
    </row>
    <row r="687" spans="1:5" ht="12.5">
      <c r="A687" s="81" t="str">
        <f t="shared" si="0"/>
        <v xml:space="preserve"> </v>
      </c>
      <c r="B687" s="81" t="str">
        <f t="shared" si="1"/>
        <v xml:space="preserve"> </v>
      </c>
      <c r="C687" s="79" t="str">
        <f t="shared" si="7"/>
        <v xml:space="preserve"> </v>
      </c>
      <c r="D687" s="79" t="str">
        <f t="shared" si="5"/>
        <v xml:space="preserve"> </v>
      </c>
      <c r="E687" s="79" t="str">
        <f t="shared" si="6"/>
        <v xml:space="preserve"> </v>
      </c>
    </row>
    <row r="688" spans="1:5" ht="12.5">
      <c r="A688" s="81" t="str">
        <f t="shared" si="0"/>
        <v xml:space="preserve"> </v>
      </c>
      <c r="B688" s="81" t="str">
        <f t="shared" si="1"/>
        <v xml:space="preserve"> </v>
      </c>
      <c r="C688" s="79" t="str">
        <f t="shared" si="7"/>
        <v xml:space="preserve"> </v>
      </c>
      <c r="D688" s="79" t="str">
        <f t="shared" si="5"/>
        <v xml:space="preserve"> </v>
      </c>
      <c r="E688" s="79" t="str">
        <f t="shared" si="6"/>
        <v xml:space="preserve"> </v>
      </c>
    </row>
    <row r="689" spans="1:5" ht="12.5">
      <c r="A689" s="81" t="str">
        <f t="shared" si="0"/>
        <v xml:space="preserve"> </v>
      </c>
      <c r="B689" s="81" t="str">
        <f t="shared" si="1"/>
        <v xml:space="preserve"> </v>
      </c>
      <c r="C689" s="79" t="str">
        <f t="shared" si="7"/>
        <v xml:space="preserve"> </v>
      </c>
      <c r="D689" s="79" t="str">
        <f t="shared" si="5"/>
        <v xml:space="preserve"> </v>
      </c>
      <c r="E689" s="79" t="str">
        <f t="shared" si="6"/>
        <v xml:space="preserve"> </v>
      </c>
    </row>
    <row r="690" spans="1:5" ht="12.5">
      <c r="A690" s="81" t="str">
        <f t="shared" si="0"/>
        <v xml:space="preserve"> </v>
      </c>
      <c r="B690" s="81" t="str">
        <f t="shared" si="1"/>
        <v xml:space="preserve"> </v>
      </c>
      <c r="C690" s="79" t="str">
        <f t="shared" si="7"/>
        <v xml:space="preserve"> </v>
      </c>
      <c r="D690" s="79" t="str">
        <f t="shared" si="5"/>
        <v xml:space="preserve"> </v>
      </c>
      <c r="E690" s="79" t="str">
        <f t="shared" si="6"/>
        <v xml:space="preserve"> </v>
      </c>
    </row>
    <row r="691" spans="1:5" ht="12.5">
      <c r="A691" s="81" t="str">
        <f t="shared" si="0"/>
        <v xml:space="preserve"> </v>
      </c>
      <c r="B691" s="81" t="str">
        <f t="shared" si="1"/>
        <v xml:space="preserve"> </v>
      </c>
      <c r="C691" s="79" t="str">
        <f t="shared" si="7"/>
        <v xml:space="preserve"> </v>
      </c>
      <c r="D691" s="79" t="str">
        <f t="shared" si="5"/>
        <v xml:space="preserve"> </v>
      </c>
      <c r="E691" s="79" t="str">
        <f t="shared" si="6"/>
        <v xml:space="preserve"> </v>
      </c>
    </row>
    <row r="692" spans="1:5" ht="12.5">
      <c r="A692" s="81" t="str">
        <f t="shared" si="0"/>
        <v xml:space="preserve"> </v>
      </c>
      <c r="B692" s="81" t="str">
        <f t="shared" si="1"/>
        <v xml:space="preserve"> </v>
      </c>
      <c r="C692" s="79" t="str">
        <f t="shared" si="7"/>
        <v xml:space="preserve"> </v>
      </c>
      <c r="D692" s="79" t="str">
        <f t="shared" si="5"/>
        <v xml:space="preserve"> </v>
      </c>
      <c r="E692" s="79" t="str">
        <f t="shared" si="6"/>
        <v xml:space="preserve"> </v>
      </c>
    </row>
    <row r="693" spans="1:5" ht="12.5">
      <c r="A693" s="81" t="str">
        <f t="shared" si="0"/>
        <v xml:space="preserve"> </v>
      </c>
      <c r="B693" s="81" t="str">
        <f t="shared" si="1"/>
        <v xml:space="preserve"> </v>
      </c>
      <c r="C693" s="79" t="str">
        <f t="shared" si="7"/>
        <v xml:space="preserve"> </v>
      </c>
      <c r="D693" s="79" t="str">
        <f t="shared" si="5"/>
        <v xml:space="preserve"> </v>
      </c>
      <c r="E693" s="79" t="str">
        <f t="shared" si="6"/>
        <v xml:space="preserve"> </v>
      </c>
    </row>
    <row r="694" spans="1:5" ht="12.5">
      <c r="A694" s="81" t="str">
        <f t="shared" si="0"/>
        <v xml:space="preserve"> </v>
      </c>
      <c r="B694" s="81" t="str">
        <f t="shared" si="1"/>
        <v xml:space="preserve"> </v>
      </c>
      <c r="C694" s="79" t="str">
        <f t="shared" si="7"/>
        <v xml:space="preserve"> </v>
      </c>
      <c r="D694" s="79" t="str">
        <f t="shared" si="5"/>
        <v xml:space="preserve"> </v>
      </c>
      <c r="E694" s="79" t="str">
        <f t="shared" si="6"/>
        <v xml:space="preserve"> </v>
      </c>
    </row>
    <row r="695" spans="1:5" ht="12.5">
      <c r="A695" s="81" t="str">
        <f t="shared" si="0"/>
        <v xml:space="preserve"> </v>
      </c>
      <c r="B695" s="81" t="str">
        <f t="shared" si="1"/>
        <v xml:space="preserve"> </v>
      </c>
      <c r="C695" s="79" t="str">
        <f t="shared" si="7"/>
        <v xml:space="preserve"> </v>
      </c>
      <c r="D695" s="79" t="str">
        <f t="shared" si="5"/>
        <v xml:space="preserve"> </v>
      </c>
      <c r="E695" s="79" t="str">
        <f t="shared" si="6"/>
        <v xml:space="preserve"> </v>
      </c>
    </row>
    <row r="696" spans="1:5" ht="12.5">
      <c r="A696" s="81" t="str">
        <f t="shared" si="0"/>
        <v xml:space="preserve"> </v>
      </c>
      <c r="B696" s="81" t="str">
        <f t="shared" si="1"/>
        <v xml:space="preserve"> </v>
      </c>
      <c r="C696" s="79" t="str">
        <f t="shared" si="7"/>
        <v xml:space="preserve"> </v>
      </c>
      <c r="D696" s="79" t="str">
        <f t="shared" si="5"/>
        <v xml:space="preserve"> </v>
      </c>
      <c r="E696" s="79" t="str">
        <f t="shared" si="6"/>
        <v xml:space="preserve"> </v>
      </c>
    </row>
    <row r="697" spans="1:5" ht="12.5">
      <c r="A697" s="81" t="str">
        <f t="shared" si="0"/>
        <v xml:space="preserve"> </v>
      </c>
      <c r="B697" s="81" t="str">
        <f t="shared" si="1"/>
        <v xml:space="preserve"> </v>
      </c>
      <c r="C697" s="79" t="str">
        <f t="shared" si="7"/>
        <v xml:space="preserve"> </v>
      </c>
      <c r="D697" s="79" t="str">
        <f t="shared" si="5"/>
        <v xml:space="preserve"> </v>
      </c>
      <c r="E697" s="79" t="str">
        <f t="shared" si="6"/>
        <v xml:space="preserve"> </v>
      </c>
    </row>
    <row r="698" spans="1:5" ht="12.5">
      <c r="A698" s="81" t="str">
        <f t="shared" si="0"/>
        <v xml:space="preserve"> </v>
      </c>
      <c r="B698" s="81" t="str">
        <f t="shared" si="1"/>
        <v xml:space="preserve"> </v>
      </c>
      <c r="C698" s="79" t="str">
        <f t="shared" si="7"/>
        <v xml:space="preserve"> </v>
      </c>
      <c r="D698" s="79" t="str">
        <f t="shared" si="5"/>
        <v xml:space="preserve"> </v>
      </c>
      <c r="E698" s="79" t="str">
        <f t="shared" si="6"/>
        <v xml:space="preserve"> </v>
      </c>
    </row>
    <row r="699" spans="1:5" ht="12.5">
      <c r="A699" s="81" t="str">
        <f t="shared" si="0"/>
        <v xml:space="preserve"> </v>
      </c>
      <c r="B699" s="81" t="str">
        <f t="shared" si="1"/>
        <v xml:space="preserve"> </v>
      </c>
      <c r="C699" s="79" t="str">
        <f t="shared" si="7"/>
        <v xml:space="preserve"> </v>
      </c>
      <c r="D699" s="79" t="str">
        <f t="shared" si="5"/>
        <v xml:space="preserve"> </v>
      </c>
      <c r="E699" s="79" t="str">
        <f t="shared" si="6"/>
        <v xml:space="preserve"> </v>
      </c>
    </row>
    <row r="700" spans="1:5" ht="12.5">
      <c r="A700" s="81" t="str">
        <f t="shared" si="0"/>
        <v xml:space="preserve"> </v>
      </c>
      <c r="B700" s="81" t="str">
        <f t="shared" si="1"/>
        <v xml:space="preserve"> </v>
      </c>
      <c r="C700" s="79" t="str">
        <f t="shared" si="7"/>
        <v xml:space="preserve"> </v>
      </c>
      <c r="D700" s="79" t="str">
        <f t="shared" si="5"/>
        <v xml:space="preserve"> </v>
      </c>
      <c r="E700" s="79" t="str">
        <f t="shared" si="6"/>
        <v xml:space="preserve"> </v>
      </c>
    </row>
    <row r="701" spans="1:5" ht="12.5">
      <c r="A701" s="81" t="str">
        <f t="shared" si="0"/>
        <v xml:space="preserve"> </v>
      </c>
      <c r="B701" s="81" t="str">
        <f t="shared" si="1"/>
        <v xml:space="preserve"> </v>
      </c>
      <c r="C701" s="79" t="str">
        <f t="shared" si="7"/>
        <v xml:space="preserve"> </v>
      </c>
      <c r="D701" s="79" t="str">
        <f t="shared" si="5"/>
        <v xml:space="preserve"> </v>
      </c>
      <c r="E701" s="79" t="str">
        <f t="shared" si="6"/>
        <v xml:space="preserve"> </v>
      </c>
    </row>
    <row r="702" spans="1:5" ht="12.5">
      <c r="A702" s="81" t="str">
        <f t="shared" si="0"/>
        <v xml:space="preserve"> </v>
      </c>
      <c r="B702" s="81" t="str">
        <f t="shared" si="1"/>
        <v xml:space="preserve"> </v>
      </c>
      <c r="C702" s="79" t="str">
        <f t="shared" si="7"/>
        <v xml:space="preserve"> </v>
      </c>
      <c r="D702" s="79" t="str">
        <f t="shared" si="5"/>
        <v xml:space="preserve"> </v>
      </c>
      <c r="E702" s="79" t="str">
        <f t="shared" si="6"/>
        <v xml:space="preserve"> </v>
      </c>
    </row>
    <row r="703" spans="1:5" ht="12.5">
      <c r="A703" s="81" t="str">
        <f t="shared" si="0"/>
        <v xml:space="preserve"> </v>
      </c>
      <c r="B703" s="81" t="str">
        <f t="shared" si="1"/>
        <v xml:space="preserve"> </v>
      </c>
      <c r="C703" s="79" t="str">
        <f t="shared" si="7"/>
        <v xml:space="preserve"> </v>
      </c>
      <c r="D703" s="79" t="str">
        <f t="shared" si="5"/>
        <v xml:space="preserve"> </v>
      </c>
      <c r="E703" s="79" t="str">
        <f t="shared" si="6"/>
        <v xml:space="preserve"> </v>
      </c>
    </row>
    <row r="704" spans="1:5" ht="12.5">
      <c r="A704" s="81" t="str">
        <f t="shared" si="0"/>
        <v xml:space="preserve"> </v>
      </c>
      <c r="B704" s="81" t="str">
        <f t="shared" si="1"/>
        <v xml:space="preserve"> </v>
      </c>
      <c r="C704" s="79" t="str">
        <f t="shared" si="7"/>
        <v xml:space="preserve"> </v>
      </c>
      <c r="D704" s="79" t="str">
        <f t="shared" si="5"/>
        <v xml:space="preserve"> </v>
      </c>
      <c r="E704" s="79" t="str">
        <f t="shared" si="6"/>
        <v xml:space="preserve"> </v>
      </c>
    </row>
    <row r="705" spans="1:5" ht="12.5">
      <c r="A705" s="81" t="str">
        <f t="shared" si="0"/>
        <v xml:space="preserve"> </v>
      </c>
      <c r="B705" s="81" t="str">
        <f t="shared" si="1"/>
        <v xml:space="preserve"> </v>
      </c>
      <c r="C705" s="79" t="str">
        <f t="shared" si="7"/>
        <v xml:space="preserve"> </v>
      </c>
      <c r="D705" s="79" t="str">
        <f t="shared" si="5"/>
        <v xml:space="preserve"> </v>
      </c>
      <c r="E705" s="79" t="str">
        <f t="shared" si="6"/>
        <v xml:space="preserve"> </v>
      </c>
    </row>
    <row r="706" spans="1:5" ht="12.5">
      <c r="A706" s="81" t="str">
        <f t="shared" si="0"/>
        <v xml:space="preserve"> </v>
      </c>
      <c r="B706" s="81" t="str">
        <f t="shared" si="1"/>
        <v xml:space="preserve"> </v>
      </c>
      <c r="C706" s="79" t="str">
        <f t="shared" si="7"/>
        <v xml:space="preserve"> </v>
      </c>
      <c r="D706" s="79" t="str">
        <f t="shared" si="5"/>
        <v xml:space="preserve"> </v>
      </c>
      <c r="E706" s="79" t="str">
        <f t="shared" si="6"/>
        <v xml:space="preserve"> </v>
      </c>
    </row>
    <row r="707" spans="1:5" ht="12.5">
      <c r="A707" s="81" t="str">
        <f t="shared" si="0"/>
        <v xml:space="preserve"> </v>
      </c>
      <c r="B707" s="81" t="str">
        <f t="shared" si="1"/>
        <v xml:space="preserve"> </v>
      </c>
      <c r="C707" s="79" t="str">
        <f t="shared" si="7"/>
        <v xml:space="preserve"> </v>
      </c>
      <c r="D707" s="79" t="str">
        <f t="shared" si="5"/>
        <v xml:space="preserve"> </v>
      </c>
      <c r="E707" s="79" t="str">
        <f t="shared" si="6"/>
        <v xml:space="preserve"> </v>
      </c>
    </row>
    <row r="708" spans="1:5" ht="12.5">
      <c r="A708" s="81" t="str">
        <f t="shared" si="0"/>
        <v xml:space="preserve"> </v>
      </c>
      <c r="B708" s="81" t="str">
        <f t="shared" si="1"/>
        <v xml:space="preserve"> </v>
      </c>
      <c r="C708" s="79" t="str">
        <f t="shared" si="7"/>
        <v xml:space="preserve"> </v>
      </c>
      <c r="D708" s="79" t="str">
        <f t="shared" si="5"/>
        <v xml:space="preserve"> </v>
      </c>
      <c r="E708" s="79" t="str">
        <f t="shared" si="6"/>
        <v xml:space="preserve"> </v>
      </c>
    </row>
    <row r="709" spans="1:5" ht="12.5">
      <c r="A709" s="81" t="str">
        <f t="shared" si="0"/>
        <v xml:space="preserve"> </v>
      </c>
      <c r="B709" s="81" t="str">
        <f t="shared" si="1"/>
        <v xml:space="preserve"> </v>
      </c>
      <c r="C709" s="79" t="str">
        <f t="shared" si="7"/>
        <v xml:space="preserve"> </v>
      </c>
      <c r="D709" s="79" t="str">
        <f t="shared" si="5"/>
        <v xml:space="preserve"> </v>
      </c>
      <c r="E709" s="79" t="str">
        <f t="shared" si="6"/>
        <v xml:space="preserve"> </v>
      </c>
    </row>
    <row r="710" spans="1:5" ht="12.5">
      <c r="A710" s="81" t="str">
        <f t="shared" si="0"/>
        <v xml:space="preserve"> </v>
      </c>
      <c r="B710" s="81" t="str">
        <f t="shared" si="1"/>
        <v xml:space="preserve"> </v>
      </c>
      <c r="C710" s="79" t="str">
        <f t="shared" si="7"/>
        <v xml:space="preserve"> </v>
      </c>
      <c r="D710" s="79" t="str">
        <f t="shared" si="5"/>
        <v xml:space="preserve"> </v>
      </c>
      <c r="E710" s="79" t="str">
        <f t="shared" si="6"/>
        <v xml:space="preserve"> </v>
      </c>
    </row>
    <row r="711" spans="1:5" ht="12.5">
      <c r="A711" s="81" t="str">
        <f t="shared" si="0"/>
        <v xml:space="preserve"> </v>
      </c>
      <c r="B711" s="81" t="str">
        <f t="shared" si="1"/>
        <v xml:space="preserve"> </v>
      </c>
      <c r="C711" s="79" t="str">
        <f t="shared" si="7"/>
        <v xml:space="preserve"> </v>
      </c>
      <c r="D711" s="79" t="str">
        <f t="shared" si="5"/>
        <v xml:space="preserve"> </v>
      </c>
      <c r="E711" s="79" t="str">
        <f t="shared" si="6"/>
        <v xml:space="preserve"> </v>
      </c>
    </row>
    <row r="712" spans="1:5" ht="12.5">
      <c r="A712" s="81" t="str">
        <f t="shared" si="0"/>
        <v xml:space="preserve"> </v>
      </c>
      <c r="B712" s="81" t="str">
        <f t="shared" si="1"/>
        <v xml:space="preserve"> </v>
      </c>
      <c r="C712" s="79" t="str">
        <f t="shared" si="7"/>
        <v xml:space="preserve"> </v>
      </c>
      <c r="D712" s="79" t="str">
        <f t="shared" si="5"/>
        <v xml:space="preserve"> </v>
      </c>
      <c r="E712" s="79" t="str">
        <f t="shared" si="6"/>
        <v xml:space="preserve"> </v>
      </c>
    </row>
    <row r="713" spans="1:5" ht="12.5">
      <c r="A713" s="81" t="str">
        <f t="shared" si="0"/>
        <v xml:space="preserve"> </v>
      </c>
      <c r="B713" s="81" t="str">
        <f t="shared" si="1"/>
        <v xml:space="preserve"> </v>
      </c>
      <c r="C713" s="79" t="str">
        <f t="shared" si="7"/>
        <v xml:space="preserve"> </v>
      </c>
      <c r="D713" s="79" t="str">
        <f t="shared" si="5"/>
        <v xml:space="preserve"> </v>
      </c>
      <c r="E713" s="79" t="str">
        <f t="shared" si="6"/>
        <v xml:space="preserve"> </v>
      </c>
    </row>
    <row r="714" spans="1:5" ht="12.5">
      <c r="A714" s="81" t="str">
        <f t="shared" si="0"/>
        <v xml:space="preserve"> </v>
      </c>
      <c r="B714" s="81" t="str">
        <f t="shared" si="1"/>
        <v xml:space="preserve"> </v>
      </c>
      <c r="C714" s="79" t="str">
        <f t="shared" si="7"/>
        <v xml:space="preserve"> </v>
      </c>
      <c r="D714" s="79" t="str">
        <f t="shared" si="5"/>
        <v xml:space="preserve"> </v>
      </c>
      <c r="E714" s="79" t="str">
        <f t="shared" si="6"/>
        <v xml:space="preserve"> </v>
      </c>
    </row>
    <row r="715" spans="1:5" ht="12.5">
      <c r="A715" s="81" t="str">
        <f t="shared" si="0"/>
        <v xml:space="preserve"> </v>
      </c>
      <c r="B715" s="81" t="str">
        <f t="shared" si="1"/>
        <v xml:space="preserve"> </v>
      </c>
      <c r="C715" s="79" t="str">
        <f t="shared" si="7"/>
        <v xml:space="preserve"> </v>
      </c>
      <c r="D715" s="79" t="str">
        <f t="shared" si="5"/>
        <v xml:space="preserve"> </v>
      </c>
      <c r="E715" s="79" t="str">
        <f t="shared" si="6"/>
        <v xml:space="preserve"> </v>
      </c>
    </row>
    <row r="716" spans="1:5" ht="12.5">
      <c r="A716" s="81" t="str">
        <f t="shared" si="0"/>
        <v xml:space="preserve"> </v>
      </c>
      <c r="B716" s="81" t="str">
        <f t="shared" si="1"/>
        <v xml:space="preserve"> </v>
      </c>
      <c r="C716" s="79" t="str">
        <f t="shared" si="7"/>
        <v xml:space="preserve"> </v>
      </c>
      <c r="D716" s="79" t="str">
        <f t="shared" si="5"/>
        <v xml:space="preserve"> </v>
      </c>
      <c r="E716" s="79" t="str">
        <f t="shared" si="6"/>
        <v xml:space="preserve"> </v>
      </c>
    </row>
    <row r="717" spans="1:5" ht="12.5">
      <c r="A717" s="81" t="str">
        <f t="shared" si="0"/>
        <v xml:space="preserve"> </v>
      </c>
      <c r="B717" s="81" t="str">
        <f t="shared" si="1"/>
        <v xml:space="preserve"> </v>
      </c>
      <c r="C717" s="79" t="str">
        <f t="shared" si="7"/>
        <v xml:space="preserve"> </v>
      </c>
      <c r="D717" s="79" t="str">
        <f t="shared" si="5"/>
        <v xml:space="preserve"> </v>
      </c>
      <c r="E717" s="79" t="str">
        <f t="shared" si="6"/>
        <v xml:space="preserve"> </v>
      </c>
    </row>
    <row r="718" spans="1:5" ht="12.5">
      <c r="A718" s="81" t="str">
        <f t="shared" si="0"/>
        <v xml:space="preserve"> </v>
      </c>
      <c r="B718" s="81" t="str">
        <f t="shared" si="1"/>
        <v xml:space="preserve"> </v>
      </c>
      <c r="C718" s="79" t="str">
        <f t="shared" si="7"/>
        <v xml:space="preserve"> </v>
      </c>
      <c r="D718" s="79" t="str">
        <f t="shared" si="5"/>
        <v xml:space="preserve"> </v>
      </c>
      <c r="E718" s="79" t="str">
        <f t="shared" si="6"/>
        <v xml:space="preserve"> </v>
      </c>
    </row>
    <row r="719" spans="1:5" ht="12.5">
      <c r="A719" s="81" t="str">
        <f t="shared" si="0"/>
        <v xml:space="preserve"> </v>
      </c>
      <c r="B719" s="81" t="str">
        <f t="shared" si="1"/>
        <v xml:space="preserve"> </v>
      </c>
      <c r="C719" s="79" t="str">
        <f t="shared" si="7"/>
        <v xml:space="preserve"> </v>
      </c>
      <c r="D719" s="79" t="str">
        <f t="shared" si="5"/>
        <v xml:space="preserve"> </v>
      </c>
      <c r="E719" s="79" t="str">
        <f t="shared" si="6"/>
        <v xml:space="preserve"> </v>
      </c>
    </row>
    <row r="720" spans="1:5" ht="12.5">
      <c r="A720" s="81" t="str">
        <f t="shared" si="0"/>
        <v xml:space="preserve"> </v>
      </c>
      <c r="B720" s="81" t="str">
        <f t="shared" si="1"/>
        <v xml:space="preserve"> </v>
      </c>
      <c r="C720" s="79" t="str">
        <f t="shared" si="7"/>
        <v xml:space="preserve"> </v>
      </c>
      <c r="D720" s="79" t="str">
        <f t="shared" si="5"/>
        <v xml:space="preserve"> </v>
      </c>
      <c r="E720" s="79" t="str">
        <f t="shared" si="6"/>
        <v xml:space="preserve"> </v>
      </c>
    </row>
    <row r="721" spans="1:5" ht="12.5">
      <c r="A721" s="81" t="str">
        <f t="shared" si="0"/>
        <v xml:space="preserve"> </v>
      </c>
      <c r="B721" s="81" t="str">
        <f t="shared" si="1"/>
        <v xml:space="preserve"> </v>
      </c>
      <c r="C721" s="79" t="str">
        <f t="shared" si="7"/>
        <v xml:space="preserve"> </v>
      </c>
      <c r="D721" s="79" t="str">
        <f t="shared" si="5"/>
        <v xml:space="preserve"> </v>
      </c>
      <c r="E721" s="79" t="str">
        <f t="shared" si="6"/>
        <v xml:space="preserve"> </v>
      </c>
    </row>
    <row r="722" spans="1:5" ht="12.5">
      <c r="A722" s="81" t="str">
        <f t="shared" si="0"/>
        <v xml:space="preserve"> </v>
      </c>
      <c r="B722" s="81" t="str">
        <f t="shared" si="1"/>
        <v xml:space="preserve"> </v>
      </c>
      <c r="C722" s="79" t="str">
        <f t="shared" si="7"/>
        <v xml:space="preserve"> </v>
      </c>
      <c r="D722" s="79" t="str">
        <f t="shared" si="5"/>
        <v xml:space="preserve"> </v>
      </c>
      <c r="E722" s="79" t="str">
        <f t="shared" si="6"/>
        <v xml:space="preserve"> </v>
      </c>
    </row>
    <row r="723" spans="1:5" ht="12.5">
      <c r="A723" s="81" t="str">
        <f t="shared" si="0"/>
        <v xml:space="preserve"> </v>
      </c>
      <c r="B723" s="81" t="str">
        <f t="shared" si="1"/>
        <v xml:space="preserve"> </v>
      </c>
      <c r="C723" s="79" t="str">
        <f t="shared" si="7"/>
        <v xml:space="preserve"> </v>
      </c>
      <c r="D723" s="79" t="str">
        <f t="shared" si="5"/>
        <v xml:space="preserve"> </v>
      </c>
      <c r="E723" s="79" t="str">
        <f t="shared" si="6"/>
        <v xml:space="preserve"> </v>
      </c>
    </row>
    <row r="724" spans="1:5" ht="12.5">
      <c r="A724" s="81" t="str">
        <f t="shared" si="0"/>
        <v xml:space="preserve"> </v>
      </c>
      <c r="B724" s="81" t="str">
        <f t="shared" si="1"/>
        <v xml:space="preserve"> </v>
      </c>
      <c r="C724" s="79" t="str">
        <f t="shared" si="7"/>
        <v xml:space="preserve"> </v>
      </c>
      <c r="D724" s="79" t="str">
        <f t="shared" si="5"/>
        <v xml:space="preserve"> </v>
      </c>
      <c r="E724" s="79" t="str">
        <f t="shared" si="6"/>
        <v xml:space="preserve"> </v>
      </c>
    </row>
    <row r="725" spans="1:5" ht="12.5">
      <c r="A725" s="81" t="str">
        <f t="shared" si="0"/>
        <v xml:space="preserve"> </v>
      </c>
      <c r="B725" s="81" t="str">
        <f t="shared" si="1"/>
        <v xml:space="preserve"> </v>
      </c>
      <c r="C725" s="79" t="str">
        <f t="shared" si="7"/>
        <v xml:space="preserve"> </v>
      </c>
      <c r="D725" s="79" t="str">
        <f t="shared" si="5"/>
        <v xml:space="preserve"> </v>
      </c>
      <c r="E725" s="79" t="str">
        <f t="shared" si="6"/>
        <v xml:space="preserve"> </v>
      </c>
    </row>
    <row r="726" spans="1:5" ht="12.5">
      <c r="A726" s="81" t="str">
        <f t="shared" si="0"/>
        <v xml:space="preserve"> </v>
      </c>
      <c r="B726" s="81" t="str">
        <f t="shared" si="1"/>
        <v xml:space="preserve"> </v>
      </c>
      <c r="C726" s="79" t="str">
        <f t="shared" si="7"/>
        <v xml:space="preserve"> </v>
      </c>
      <c r="D726" s="79" t="str">
        <f t="shared" si="5"/>
        <v xml:space="preserve"> </v>
      </c>
      <c r="E726" s="79" t="str">
        <f t="shared" si="6"/>
        <v xml:space="preserve"> </v>
      </c>
    </row>
    <row r="727" spans="1:5" ht="12.5">
      <c r="A727" s="81" t="str">
        <f t="shared" si="0"/>
        <v xml:space="preserve"> </v>
      </c>
      <c r="B727" s="81" t="str">
        <f t="shared" si="1"/>
        <v xml:space="preserve"> </v>
      </c>
      <c r="C727" s="79" t="str">
        <f t="shared" si="7"/>
        <v xml:space="preserve"> </v>
      </c>
      <c r="D727" s="79" t="str">
        <f t="shared" si="5"/>
        <v xml:space="preserve"> </v>
      </c>
      <c r="E727" s="79" t="str">
        <f t="shared" si="6"/>
        <v xml:space="preserve"> </v>
      </c>
    </row>
    <row r="728" spans="1:5" ht="12.5">
      <c r="A728" s="81" t="str">
        <f t="shared" si="0"/>
        <v xml:space="preserve"> </v>
      </c>
      <c r="B728" s="81" t="str">
        <f t="shared" si="1"/>
        <v xml:space="preserve"> </v>
      </c>
      <c r="C728" s="79" t="str">
        <f t="shared" si="7"/>
        <v xml:space="preserve"> </v>
      </c>
      <c r="D728" s="79" t="str">
        <f t="shared" si="5"/>
        <v xml:space="preserve"> </v>
      </c>
      <c r="E728" s="79" t="str">
        <f t="shared" si="6"/>
        <v xml:space="preserve"> </v>
      </c>
    </row>
    <row r="729" spans="1:5" ht="12.5">
      <c r="A729" s="81" t="str">
        <f t="shared" si="0"/>
        <v xml:space="preserve"> </v>
      </c>
      <c r="B729" s="81" t="str">
        <f t="shared" si="1"/>
        <v xml:space="preserve"> </v>
      </c>
      <c r="C729" s="79" t="str">
        <f t="shared" si="7"/>
        <v xml:space="preserve"> </v>
      </c>
      <c r="D729" s="79" t="str">
        <f t="shared" si="5"/>
        <v xml:space="preserve"> </v>
      </c>
      <c r="E729" s="79" t="str">
        <f t="shared" si="6"/>
        <v xml:space="preserve"> </v>
      </c>
    </row>
    <row r="730" spans="1:5" ht="12.5">
      <c r="A730" s="81" t="str">
        <f t="shared" si="0"/>
        <v xml:space="preserve"> </v>
      </c>
      <c r="B730" s="81" t="str">
        <f t="shared" si="1"/>
        <v xml:space="preserve"> </v>
      </c>
      <c r="C730" s="79" t="str">
        <f t="shared" si="7"/>
        <v xml:space="preserve"> </v>
      </c>
      <c r="D730" s="79" t="str">
        <f t="shared" si="5"/>
        <v xml:space="preserve"> </v>
      </c>
      <c r="E730" s="79" t="str">
        <f t="shared" si="6"/>
        <v xml:space="preserve"> </v>
      </c>
    </row>
    <row r="731" spans="1:5" ht="12.5">
      <c r="A731" s="81" t="str">
        <f t="shared" si="0"/>
        <v xml:space="preserve"> </v>
      </c>
      <c r="B731" s="81" t="str">
        <f t="shared" si="1"/>
        <v xml:space="preserve"> </v>
      </c>
      <c r="C731" s="79" t="str">
        <f t="shared" si="7"/>
        <v xml:space="preserve"> </v>
      </c>
      <c r="D731" s="79" t="str">
        <f t="shared" si="5"/>
        <v xml:space="preserve"> </v>
      </c>
      <c r="E731" s="79" t="str">
        <f t="shared" si="6"/>
        <v xml:space="preserve"> </v>
      </c>
    </row>
    <row r="732" spans="1:5" ht="12.5">
      <c r="A732" s="81" t="str">
        <f t="shared" si="0"/>
        <v xml:space="preserve"> </v>
      </c>
      <c r="B732" s="81" t="str">
        <f t="shared" si="1"/>
        <v xml:space="preserve"> </v>
      </c>
      <c r="C732" s="79" t="str">
        <f t="shared" si="7"/>
        <v xml:space="preserve"> </v>
      </c>
      <c r="D732" s="79" t="str">
        <f t="shared" si="5"/>
        <v xml:space="preserve"> </v>
      </c>
      <c r="E732" s="79" t="str">
        <f t="shared" si="6"/>
        <v xml:space="preserve"> </v>
      </c>
    </row>
    <row r="733" spans="1:5" ht="12.5">
      <c r="A733" s="81" t="str">
        <f t="shared" si="0"/>
        <v xml:space="preserve"> </v>
      </c>
      <c r="B733" s="81" t="str">
        <f t="shared" si="1"/>
        <v xml:space="preserve"> </v>
      </c>
      <c r="C733" s="79" t="str">
        <f t="shared" si="7"/>
        <v xml:space="preserve"> </v>
      </c>
      <c r="D733" s="79" t="str">
        <f t="shared" si="5"/>
        <v xml:space="preserve"> </v>
      </c>
      <c r="E733" s="79" t="str">
        <f t="shared" si="6"/>
        <v xml:space="preserve"> </v>
      </c>
    </row>
    <row r="734" spans="1:5" ht="12.5">
      <c r="A734" s="81" t="str">
        <f t="shared" si="0"/>
        <v xml:space="preserve"> </v>
      </c>
      <c r="B734" s="81" t="str">
        <f t="shared" si="1"/>
        <v xml:space="preserve"> </v>
      </c>
      <c r="C734" s="79" t="str">
        <f t="shared" si="7"/>
        <v xml:space="preserve"> </v>
      </c>
      <c r="D734" s="79" t="str">
        <f t="shared" si="5"/>
        <v xml:space="preserve"> </v>
      </c>
      <c r="E734" s="79" t="str">
        <f t="shared" si="6"/>
        <v xml:space="preserve"> </v>
      </c>
    </row>
    <row r="735" spans="1:5" ht="12.5">
      <c r="A735" s="81" t="str">
        <f t="shared" si="0"/>
        <v xml:space="preserve"> </v>
      </c>
      <c r="B735" s="81" t="str">
        <f t="shared" si="1"/>
        <v xml:space="preserve"> </v>
      </c>
      <c r="C735" s="79" t="str">
        <f t="shared" si="7"/>
        <v xml:space="preserve"> </v>
      </c>
      <c r="D735" s="79" t="str">
        <f t="shared" si="5"/>
        <v xml:space="preserve"> </v>
      </c>
      <c r="E735" s="79" t="str">
        <f t="shared" si="6"/>
        <v xml:space="preserve"> </v>
      </c>
    </row>
    <row r="736" spans="1:5" ht="12.5">
      <c r="A736" s="81" t="str">
        <f t="shared" si="0"/>
        <v xml:space="preserve"> </v>
      </c>
      <c r="B736" s="81" t="str">
        <f t="shared" si="1"/>
        <v xml:space="preserve"> </v>
      </c>
      <c r="C736" s="79" t="str">
        <f t="shared" si="7"/>
        <v xml:space="preserve"> </v>
      </c>
      <c r="D736" s="79" t="str">
        <f t="shared" si="5"/>
        <v xml:space="preserve"> </v>
      </c>
      <c r="E736" s="79" t="str">
        <f t="shared" si="6"/>
        <v xml:space="preserve"> </v>
      </c>
    </row>
    <row r="737" spans="1:5" ht="12.5">
      <c r="A737" s="81" t="str">
        <f t="shared" si="0"/>
        <v xml:space="preserve"> </v>
      </c>
      <c r="B737" s="81" t="str">
        <f t="shared" si="1"/>
        <v xml:space="preserve"> </v>
      </c>
      <c r="C737" s="79" t="str">
        <f t="shared" si="7"/>
        <v xml:space="preserve"> </v>
      </c>
      <c r="D737" s="79" t="str">
        <f t="shared" si="5"/>
        <v xml:space="preserve"> </v>
      </c>
      <c r="E737" s="79" t="str">
        <f t="shared" si="6"/>
        <v xml:space="preserve"> </v>
      </c>
    </row>
    <row r="738" spans="1:5" ht="12.5">
      <c r="A738" s="81" t="str">
        <f t="shared" si="0"/>
        <v xml:space="preserve"> </v>
      </c>
      <c r="B738" s="81" t="str">
        <f t="shared" si="1"/>
        <v xml:space="preserve"> </v>
      </c>
      <c r="C738" s="79" t="str">
        <f t="shared" si="7"/>
        <v xml:space="preserve"> </v>
      </c>
      <c r="D738" s="79" t="str">
        <f t="shared" si="5"/>
        <v xml:space="preserve"> </v>
      </c>
      <c r="E738" s="79" t="str">
        <f t="shared" si="6"/>
        <v xml:space="preserve"> </v>
      </c>
    </row>
    <row r="739" spans="1:5" ht="12.5">
      <c r="A739" s="81" t="str">
        <f t="shared" si="0"/>
        <v xml:space="preserve"> </v>
      </c>
      <c r="B739" s="81" t="str">
        <f t="shared" si="1"/>
        <v xml:space="preserve"> </v>
      </c>
      <c r="C739" s="79" t="str">
        <f t="shared" si="7"/>
        <v xml:space="preserve"> </v>
      </c>
      <c r="D739" s="79" t="str">
        <f t="shared" si="5"/>
        <v xml:space="preserve"> </v>
      </c>
      <c r="E739" s="79" t="str">
        <f t="shared" si="6"/>
        <v xml:space="preserve"> </v>
      </c>
    </row>
    <row r="740" spans="1:5" ht="12.5">
      <c r="A740" s="81" t="str">
        <f t="shared" si="0"/>
        <v xml:space="preserve"> </v>
      </c>
      <c r="B740" s="81" t="str">
        <f t="shared" si="1"/>
        <v xml:space="preserve"> </v>
      </c>
      <c r="C740" s="79" t="str">
        <f t="shared" si="7"/>
        <v xml:space="preserve"> </v>
      </c>
      <c r="D740" s="79" t="str">
        <f t="shared" si="5"/>
        <v xml:space="preserve"> </v>
      </c>
      <c r="E740" s="79" t="str">
        <f t="shared" si="6"/>
        <v xml:space="preserve"> </v>
      </c>
    </row>
    <row r="741" spans="1:5" ht="12.5">
      <c r="A741" s="81" t="str">
        <f t="shared" si="0"/>
        <v xml:space="preserve"> </v>
      </c>
      <c r="B741" s="81" t="str">
        <f t="shared" si="1"/>
        <v xml:space="preserve"> </v>
      </c>
      <c r="C741" s="79" t="str">
        <f t="shared" si="7"/>
        <v xml:space="preserve"> </v>
      </c>
      <c r="D741" s="79" t="str">
        <f t="shared" si="5"/>
        <v xml:space="preserve"> </v>
      </c>
      <c r="E741" s="79" t="str">
        <f t="shared" si="6"/>
        <v xml:space="preserve"> </v>
      </c>
    </row>
    <row r="742" spans="1:5" ht="12.5">
      <c r="A742" s="81" t="str">
        <f t="shared" si="0"/>
        <v xml:space="preserve"> </v>
      </c>
      <c r="B742" s="81" t="str">
        <f t="shared" si="1"/>
        <v xml:space="preserve"> </v>
      </c>
      <c r="C742" s="79" t="str">
        <f t="shared" si="7"/>
        <v xml:space="preserve"> </v>
      </c>
      <c r="D742" s="79" t="str">
        <f t="shared" si="5"/>
        <v xml:space="preserve"> </v>
      </c>
      <c r="E742" s="79" t="str">
        <f t="shared" si="6"/>
        <v xml:space="preserve"> </v>
      </c>
    </row>
    <row r="743" spans="1:5" ht="12.5">
      <c r="A743" s="81" t="str">
        <f t="shared" si="0"/>
        <v xml:space="preserve"> </v>
      </c>
      <c r="B743" s="81" t="str">
        <f t="shared" si="1"/>
        <v xml:space="preserve"> </v>
      </c>
      <c r="C743" s="79" t="str">
        <f t="shared" si="7"/>
        <v xml:space="preserve"> </v>
      </c>
      <c r="D743" s="79" t="str">
        <f t="shared" si="5"/>
        <v xml:space="preserve"> </v>
      </c>
      <c r="E743" s="79" t="str">
        <f t="shared" si="6"/>
        <v xml:space="preserve"> </v>
      </c>
    </row>
    <row r="744" spans="1:5" ht="12.5">
      <c r="A744" s="81" t="str">
        <f t="shared" si="0"/>
        <v xml:space="preserve"> </v>
      </c>
      <c r="B744" s="81" t="str">
        <f t="shared" si="1"/>
        <v xml:space="preserve"> </v>
      </c>
      <c r="C744" s="79" t="str">
        <f t="shared" si="7"/>
        <v xml:space="preserve"> </v>
      </c>
      <c r="D744" s="79" t="str">
        <f t="shared" si="5"/>
        <v xml:space="preserve"> </v>
      </c>
      <c r="E744" s="79" t="str">
        <f t="shared" si="6"/>
        <v xml:space="preserve"> </v>
      </c>
    </row>
    <row r="745" spans="1:5" ht="12.5">
      <c r="A745" s="81" t="str">
        <f t="shared" si="0"/>
        <v xml:space="preserve"> </v>
      </c>
      <c r="B745" s="81" t="str">
        <f t="shared" si="1"/>
        <v xml:space="preserve"> </v>
      </c>
      <c r="C745" s="79" t="str">
        <f t="shared" si="7"/>
        <v xml:space="preserve"> </v>
      </c>
      <c r="D745" s="79" t="str">
        <f t="shared" si="5"/>
        <v xml:space="preserve"> </v>
      </c>
      <c r="E745" s="79" t="str">
        <f t="shared" si="6"/>
        <v xml:space="preserve"> </v>
      </c>
    </row>
    <row r="746" spans="1:5" ht="12.5">
      <c r="A746" s="81" t="str">
        <f t="shared" si="0"/>
        <v xml:space="preserve"> </v>
      </c>
      <c r="B746" s="81" t="str">
        <f t="shared" si="1"/>
        <v xml:space="preserve"> </v>
      </c>
      <c r="C746" s="79" t="str">
        <f t="shared" si="7"/>
        <v xml:space="preserve"> </v>
      </c>
      <c r="D746" s="79" t="str">
        <f t="shared" si="5"/>
        <v xml:space="preserve"> </v>
      </c>
      <c r="E746" s="79" t="str">
        <f t="shared" si="6"/>
        <v xml:space="preserve"> </v>
      </c>
    </row>
    <row r="747" spans="1:5" ht="12.5">
      <c r="A747" s="81" t="str">
        <f t="shared" si="0"/>
        <v xml:space="preserve"> </v>
      </c>
      <c r="B747" s="81" t="str">
        <f t="shared" si="1"/>
        <v xml:space="preserve"> </v>
      </c>
      <c r="C747" s="79" t="str">
        <f t="shared" si="7"/>
        <v xml:space="preserve"> </v>
      </c>
      <c r="D747" s="79" t="str">
        <f t="shared" si="5"/>
        <v xml:space="preserve"> </v>
      </c>
      <c r="E747" s="79" t="str">
        <f t="shared" si="6"/>
        <v xml:space="preserve"> </v>
      </c>
    </row>
    <row r="748" spans="1:5" ht="12.5">
      <c r="A748" s="81" t="str">
        <f t="shared" si="0"/>
        <v xml:space="preserve"> </v>
      </c>
      <c r="B748" s="81" t="str">
        <f t="shared" si="1"/>
        <v xml:space="preserve"> </v>
      </c>
      <c r="C748" s="79" t="str">
        <f t="shared" si="7"/>
        <v xml:space="preserve"> </v>
      </c>
      <c r="D748" s="79" t="str">
        <f t="shared" si="5"/>
        <v xml:space="preserve"> </v>
      </c>
      <c r="E748" s="79" t="str">
        <f t="shared" si="6"/>
        <v xml:space="preserve"> </v>
      </c>
    </row>
    <row r="749" spans="1:5" ht="12.5">
      <c r="A749" s="81" t="str">
        <f t="shared" si="0"/>
        <v xml:space="preserve"> </v>
      </c>
      <c r="B749" s="81" t="str">
        <f t="shared" si="1"/>
        <v xml:space="preserve"> </v>
      </c>
      <c r="C749" s="79" t="str">
        <f t="shared" si="7"/>
        <v xml:space="preserve"> </v>
      </c>
      <c r="D749" s="79" t="str">
        <f t="shared" si="5"/>
        <v xml:space="preserve"> </v>
      </c>
      <c r="E749" s="79" t="str">
        <f t="shared" si="6"/>
        <v xml:space="preserve"> </v>
      </c>
    </row>
    <row r="750" spans="1:5" ht="12.5">
      <c r="A750" s="81" t="str">
        <f t="shared" si="0"/>
        <v xml:space="preserve"> </v>
      </c>
      <c r="B750" s="81" t="str">
        <f t="shared" si="1"/>
        <v xml:space="preserve"> </v>
      </c>
      <c r="C750" s="79" t="str">
        <f t="shared" si="7"/>
        <v xml:space="preserve"> </v>
      </c>
      <c r="D750" s="79" t="str">
        <f t="shared" si="5"/>
        <v xml:space="preserve"> </v>
      </c>
      <c r="E750" s="79" t="str">
        <f t="shared" si="6"/>
        <v xml:space="preserve"> </v>
      </c>
    </row>
    <row r="751" spans="1:5" ht="12.5">
      <c r="A751" s="81" t="str">
        <f t="shared" si="0"/>
        <v xml:space="preserve"> </v>
      </c>
      <c r="B751" s="81" t="str">
        <f t="shared" si="1"/>
        <v xml:space="preserve"> </v>
      </c>
      <c r="C751" s="79" t="str">
        <f t="shared" si="7"/>
        <v xml:space="preserve"> </v>
      </c>
      <c r="D751" s="79" t="str">
        <f t="shared" si="5"/>
        <v xml:space="preserve"> </v>
      </c>
      <c r="E751" s="79" t="str">
        <f t="shared" si="6"/>
        <v xml:space="preserve"> </v>
      </c>
    </row>
    <row r="752" spans="1:5" ht="12.5">
      <c r="A752" s="81" t="str">
        <f t="shared" si="0"/>
        <v xml:space="preserve"> </v>
      </c>
      <c r="B752" s="81" t="str">
        <f t="shared" si="1"/>
        <v xml:space="preserve"> </v>
      </c>
      <c r="C752" s="79" t="str">
        <f t="shared" si="7"/>
        <v xml:space="preserve"> </v>
      </c>
      <c r="D752" s="79" t="str">
        <f t="shared" si="5"/>
        <v xml:space="preserve"> </v>
      </c>
      <c r="E752" s="79" t="str">
        <f t="shared" si="6"/>
        <v xml:space="preserve"> </v>
      </c>
    </row>
    <row r="753" spans="1:5" ht="12.5">
      <c r="A753" s="81" t="str">
        <f t="shared" si="0"/>
        <v xml:space="preserve"> </v>
      </c>
      <c r="B753" s="81" t="str">
        <f t="shared" si="1"/>
        <v xml:space="preserve"> </v>
      </c>
      <c r="C753" s="79" t="str">
        <f t="shared" si="7"/>
        <v xml:space="preserve"> </v>
      </c>
      <c r="D753" s="79" t="str">
        <f t="shared" si="5"/>
        <v xml:space="preserve"> </v>
      </c>
      <c r="E753" s="79" t="str">
        <f t="shared" si="6"/>
        <v xml:space="preserve"> </v>
      </c>
    </row>
    <row r="754" spans="1:5" ht="12.5">
      <c r="A754" s="81" t="str">
        <f t="shared" si="0"/>
        <v xml:space="preserve"> </v>
      </c>
      <c r="B754" s="81" t="str">
        <f t="shared" si="1"/>
        <v xml:space="preserve"> </v>
      </c>
      <c r="C754" s="79" t="str">
        <f t="shared" si="7"/>
        <v xml:space="preserve"> </v>
      </c>
      <c r="D754" s="79" t="str">
        <f t="shared" si="5"/>
        <v xml:space="preserve"> </v>
      </c>
      <c r="E754" s="79" t="str">
        <f t="shared" si="6"/>
        <v xml:space="preserve"> </v>
      </c>
    </row>
    <row r="755" spans="1:5" ht="12.5">
      <c r="A755" s="81" t="str">
        <f t="shared" si="0"/>
        <v xml:space="preserve"> </v>
      </c>
      <c r="B755" s="81" t="str">
        <f t="shared" si="1"/>
        <v xml:space="preserve"> </v>
      </c>
      <c r="C755" s="79" t="str">
        <f t="shared" si="7"/>
        <v xml:space="preserve"> </v>
      </c>
      <c r="D755" s="79" t="str">
        <f t="shared" si="5"/>
        <v xml:space="preserve"> </v>
      </c>
      <c r="E755" s="79" t="str">
        <f t="shared" si="6"/>
        <v xml:space="preserve"> </v>
      </c>
    </row>
    <row r="756" spans="1:5" ht="12.5">
      <c r="A756" s="81" t="str">
        <f t="shared" si="0"/>
        <v xml:space="preserve"> </v>
      </c>
      <c r="B756" s="81" t="str">
        <f t="shared" si="1"/>
        <v xml:space="preserve"> </v>
      </c>
      <c r="C756" s="79" t="str">
        <f t="shared" si="7"/>
        <v xml:space="preserve"> </v>
      </c>
      <c r="D756" s="79" t="str">
        <f t="shared" si="5"/>
        <v xml:space="preserve"> </v>
      </c>
      <c r="E756" s="79" t="str">
        <f t="shared" si="6"/>
        <v xml:space="preserve"> </v>
      </c>
    </row>
    <row r="757" spans="1:5" ht="12.5">
      <c r="A757" s="81" t="str">
        <f t="shared" si="0"/>
        <v xml:space="preserve"> </v>
      </c>
      <c r="B757" s="81" t="str">
        <f t="shared" si="1"/>
        <v xml:space="preserve"> </v>
      </c>
      <c r="C757" s="79" t="str">
        <f t="shared" si="7"/>
        <v xml:space="preserve"> </v>
      </c>
      <c r="D757" s="79" t="str">
        <f t="shared" si="5"/>
        <v xml:space="preserve"> </v>
      </c>
      <c r="E757" s="79" t="str">
        <f t="shared" si="6"/>
        <v xml:space="preserve"> </v>
      </c>
    </row>
    <row r="758" spans="1:5" ht="12.5">
      <c r="A758" s="81" t="str">
        <f t="shared" si="0"/>
        <v xml:space="preserve"> </v>
      </c>
      <c r="B758" s="81" t="str">
        <f t="shared" si="1"/>
        <v xml:space="preserve"> </v>
      </c>
      <c r="C758" s="79" t="str">
        <f t="shared" si="7"/>
        <v xml:space="preserve"> </v>
      </c>
      <c r="D758" s="79" t="str">
        <f t="shared" si="5"/>
        <v xml:space="preserve"> </v>
      </c>
      <c r="E758" s="79" t="str">
        <f t="shared" si="6"/>
        <v xml:space="preserve"> </v>
      </c>
    </row>
    <row r="759" spans="1:5" ht="12.5">
      <c r="A759" s="81" t="str">
        <f t="shared" si="0"/>
        <v xml:space="preserve"> </v>
      </c>
      <c r="B759" s="81" t="str">
        <f t="shared" si="1"/>
        <v xml:space="preserve"> </v>
      </c>
      <c r="C759" s="79" t="str">
        <f t="shared" si="7"/>
        <v xml:space="preserve"> </v>
      </c>
      <c r="D759" s="79" t="str">
        <f t="shared" si="5"/>
        <v xml:space="preserve"> </v>
      </c>
      <c r="E759" s="79" t="str">
        <f t="shared" si="6"/>
        <v xml:space="preserve"> </v>
      </c>
    </row>
    <row r="760" spans="1:5" ht="12.5">
      <c r="A760" s="81" t="str">
        <f t="shared" si="0"/>
        <v xml:space="preserve"> </v>
      </c>
      <c r="B760" s="81" t="str">
        <f t="shared" si="1"/>
        <v xml:space="preserve"> </v>
      </c>
      <c r="C760" s="79" t="str">
        <f t="shared" si="7"/>
        <v xml:space="preserve"> </v>
      </c>
      <c r="D760" s="79" t="str">
        <f t="shared" si="5"/>
        <v xml:space="preserve"> </v>
      </c>
      <c r="E760" s="79" t="str">
        <f t="shared" si="6"/>
        <v xml:space="preserve"> </v>
      </c>
    </row>
    <row r="761" spans="1:5" ht="12.5">
      <c r="A761" s="81" t="str">
        <f t="shared" si="0"/>
        <v xml:space="preserve"> </v>
      </c>
      <c r="B761" s="81" t="str">
        <f t="shared" si="1"/>
        <v xml:space="preserve"> </v>
      </c>
      <c r="C761" s="79" t="str">
        <f t="shared" si="7"/>
        <v xml:space="preserve"> </v>
      </c>
      <c r="D761" s="79" t="str">
        <f t="shared" si="5"/>
        <v xml:space="preserve"> </v>
      </c>
      <c r="E761" s="79" t="str">
        <f t="shared" si="6"/>
        <v xml:space="preserve"> </v>
      </c>
    </row>
    <row r="762" spans="1:5" ht="12.5">
      <c r="A762" s="81" t="str">
        <f t="shared" si="0"/>
        <v xml:space="preserve"> </v>
      </c>
      <c r="B762" s="81" t="str">
        <f t="shared" si="1"/>
        <v xml:space="preserve"> </v>
      </c>
      <c r="C762" s="79" t="str">
        <f t="shared" si="7"/>
        <v xml:space="preserve"> </v>
      </c>
      <c r="D762" s="79" t="str">
        <f t="shared" si="5"/>
        <v xml:space="preserve"> </v>
      </c>
      <c r="E762" s="79" t="str">
        <f t="shared" si="6"/>
        <v xml:space="preserve"> </v>
      </c>
    </row>
    <row r="763" spans="1:5" ht="12.5">
      <c r="A763" s="81" t="str">
        <f t="shared" si="0"/>
        <v xml:space="preserve"> </v>
      </c>
      <c r="B763" s="81" t="str">
        <f t="shared" si="1"/>
        <v xml:space="preserve"> </v>
      </c>
      <c r="C763" s="79" t="str">
        <f t="shared" si="7"/>
        <v xml:space="preserve"> </v>
      </c>
      <c r="D763" s="79" t="str">
        <f t="shared" si="5"/>
        <v xml:space="preserve"> </v>
      </c>
      <c r="E763" s="79" t="str">
        <f t="shared" si="6"/>
        <v xml:space="preserve"> </v>
      </c>
    </row>
    <row r="764" spans="1:5" ht="12.5">
      <c r="A764" s="81" t="str">
        <f t="shared" si="0"/>
        <v xml:space="preserve"> </v>
      </c>
      <c r="B764" s="81" t="str">
        <f t="shared" si="1"/>
        <v xml:space="preserve"> </v>
      </c>
      <c r="C764" s="79" t="str">
        <f t="shared" si="7"/>
        <v xml:space="preserve"> </v>
      </c>
      <c r="D764" s="79" t="str">
        <f t="shared" si="5"/>
        <v xml:space="preserve"> </v>
      </c>
      <c r="E764" s="79" t="str">
        <f t="shared" si="6"/>
        <v xml:space="preserve"> </v>
      </c>
    </row>
    <row r="765" spans="1:5" ht="12.5">
      <c r="A765" s="81" t="str">
        <f t="shared" si="0"/>
        <v xml:space="preserve"> </v>
      </c>
      <c r="B765" s="81" t="str">
        <f t="shared" si="1"/>
        <v xml:space="preserve"> </v>
      </c>
      <c r="C765" s="79" t="str">
        <f t="shared" si="7"/>
        <v xml:space="preserve"> </v>
      </c>
      <c r="D765" s="79" t="str">
        <f t="shared" si="5"/>
        <v xml:space="preserve"> </v>
      </c>
      <c r="E765" s="79" t="str">
        <f t="shared" si="6"/>
        <v xml:space="preserve"> </v>
      </c>
    </row>
    <row r="766" spans="1:5" ht="12.5">
      <c r="A766" s="81" t="str">
        <f t="shared" si="0"/>
        <v xml:space="preserve"> </v>
      </c>
      <c r="B766" s="81" t="str">
        <f t="shared" si="1"/>
        <v xml:space="preserve"> </v>
      </c>
      <c r="C766" s="79" t="str">
        <f t="shared" si="7"/>
        <v xml:space="preserve"> </v>
      </c>
      <c r="D766" s="79" t="str">
        <f t="shared" si="5"/>
        <v xml:space="preserve"> </v>
      </c>
      <c r="E766" s="79" t="str">
        <f t="shared" si="6"/>
        <v xml:space="preserve"> </v>
      </c>
    </row>
    <row r="767" spans="1:5" ht="12.5">
      <c r="A767" s="81" t="str">
        <f t="shared" si="0"/>
        <v xml:space="preserve"> </v>
      </c>
      <c r="B767" s="81" t="str">
        <f t="shared" si="1"/>
        <v xml:space="preserve"> </v>
      </c>
      <c r="C767" s="79" t="str">
        <f t="shared" si="7"/>
        <v xml:space="preserve"> </v>
      </c>
      <c r="D767" s="79" t="str">
        <f t="shared" si="5"/>
        <v xml:space="preserve"> </v>
      </c>
      <c r="E767" s="79" t="str">
        <f t="shared" si="6"/>
        <v xml:space="preserve"> </v>
      </c>
    </row>
    <row r="768" spans="1:5" ht="12.5">
      <c r="A768" s="81" t="str">
        <f t="shared" si="0"/>
        <v xml:space="preserve"> </v>
      </c>
      <c r="B768" s="81" t="str">
        <f t="shared" si="1"/>
        <v xml:space="preserve"> </v>
      </c>
      <c r="C768" s="79" t="str">
        <f t="shared" si="7"/>
        <v xml:space="preserve"> </v>
      </c>
      <c r="D768" s="79" t="str">
        <f t="shared" si="5"/>
        <v xml:space="preserve"> </v>
      </c>
      <c r="E768" s="79" t="str">
        <f t="shared" si="6"/>
        <v xml:space="preserve"> </v>
      </c>
    </row>
    <row r="769" spans="1:5" ht="12.5">
      <c r="A769" s="81" t="str">
        <f t="shared" si="0"/>
        <v xml:space="preserve"> </v>
      </c>
      <c r="B769" s="81" t="str">
        <f t="shared" si="1"/>
        <v xml:space="preserve"> </v>
      </c>
      <c r="C769" s="79" t="str">
        <f t="shared" si="7"/>
        <v xml:space="preserve"> </v>
      </c>
      <c r="D769" s="79" t="str">
        <f t="shared" si="5"/>
        <v xml:space="preserve"> </v>
      </c>
      <c r="E769" s="79" t="str">
        <f t="shared" si="6"/>
        <v xml:space="preserve"> </v>
      </c>
    </row>
    <row r="770" spans="1:5" ht="12.5">
      <c r="A770" s="81" t="str">
        <f t="shared" si="0"/>
        <v xml:space="preserve"> </v>
      </c>
      <c r="B770" s="81" t="str">
        <f t="shared" si="1"/>
        <v xml:space="preserve"> </v>
      </c>
      <c r="C770" s="79" t="str">
        <f t="shared" si="7"/>
        <v xml:space="preserve"> </v>
      </c>
      <c r="D770" s="79" t="str">
        <f t="shared" si="5"/>
        <v xml:space="preserve"> </v>
      </c>
      <c r="E770" s="79" t="str">
        <f t="shared" si="6"/>
        <v xml:space="preserve"> </v>
      </c>
    </row>
    <row r="771" spans="1:5" ht="12.5">
      <c r="A771" s="81" t="str">
        <f t="shared" si="0"/>
        <v xml:space="preserve"> </v>
      </c>
      <c r="B771" s="81" t="str">
        <f t="shared" si="1"/>
        <v xml:space="preserve"> </v>
      </c>
      <c r="C771" s="79" t="str">
        <f t="shared" si="7"/>
        <v xml:space="preserve"> </v>
      </c>
      <c r="D771" s="79" t="str">
        <f t="shared" si="5"/>
        <v xml:space="preserve"> </v>
      </c>
      <c r="E771" s="79" t="str">
        <f t="shared" si="6"/>
        <v xml:space="preserve"> </v>
      </c>
    </row>
    <row r="772" spans="1:5" ht="12.5">
      <c r="A772" s="81" t="str">
        <f t="shared" si="0"/>
        <v xml:space="preserve"> </v>
      </c>
      <c r="B772" s="81" t="str">
        <f t="shared" si="1"/>
        <v xml:space="preserve"> </v>
      </c>
      <c r="C772" s="79" t="str">
        <f t="shared" si="7"/>
        <v xml:space="preserve"> </v>
      </c>
      <c r="D772" s="79" t="str">
        <f t="shared" si="5"/>
        <v xml:space="preserve"> </v>
      </c>
      <c r="E772" s="79" t="str">
        <f t="shared" si="6"/>
        <v xml:space="preserve"> </v>
      </c>
    </row>
    <row r="773" spans="1:5" ht="12.5">
      <c r="A773" s="81" t="str">
        <f t="shared" si="0"/>
        <v xml:space="preserve"> </v>
      </c>
      <c r="B773" s="81" t="str">
        <f t="shared" si="1"/>
        <v xml:space="preserve"> </v>
      </c>
      <c r="C773" s="79" t="str">
        <f t="shared" si="7"/>
        <v xml:space="preserve"> </v>
      </c>
      <c r="D773" s="79" t="str">
        <f t="shared" si="5"/>
        <v xml:space="preserve"> </v>
      </c>
      <c r="E773" s="79" t="str">
        <f t="shared" si="6"/>
        <v xml:space="preserve"> </v>
      </c>
    </row>
    <row r="774" spans="1:5" ht="12.5">
      <c r="A774" s="81" t="str">
        <f t="shared" si="0"/>
        <v xml:space="preserve"> </v>
      </c>
      <c r="B774" s="81" t="str">
        <f t="shared" si="1"/>
        <v xml:space="preserve"> </v>
      </c>
      <c r="C774" s="79" t="str">
        <f t="shared" si="7"/>
        <v xml:space="preserve"> </v>
      </c>
      <c r="D774" s="79" t="str">
        <f t="shared" si="5"/>
        <v xml:space="preserve"> </v>
      </c>
      <c r="E774" s="79" t="str">
        <f t="shared" si="6"/>
        <v xml:space="preserve"> </v>
      </c>
    </row>
    <row r="775" spans="1:5" ht="12.5">
      <c r="A775" s="81" t="str">
        <f t="shared" si="0"/>
        <v xml:space="preserve"> </v>
      </c>
      <c r="B775" s="81" t="str">
        <f t="shared" si="1"/>
        <v xml:space="preserve"> </v>
      </c>
      <c r="C775" s="79" t="str">
        <f t="shared" si="7"/>
        <v xml:space="preserve"> </v>
      </c>
      <c r="D775" s="79" t="str">
        <f t="shared" si="5"/>
        <v xml:space="preserve"> </v>
      </c>
      <c r="E775" s="79" t="str">
        <f t="shared" si="6"/>
        <v xml:space="preserve"> </v>
      </c>
    </row>
    <row r="776" spans="1:5" ht="12.5">
      <c r="A776" s="81" t="str">
        <f t="shared" si="0"/>
        <v xml:space="preserve"> </v>
      </c>
      <c r="B776" s="81" t="str">
        <f t="shared" si="1"/>
        <v xml:space="preserve"> </v>
      </c>
      <c r="C776" s="79" t="str">
        <f t="shared" si="7"/>
        <v xml:space="preserve"> </v>
      </c>
      <c r="D776" s="79" t="str">
        <f t="shared" si="5"/>
        <v xml:space="preserve"> </v>
      </c>
      <c r="E776" s="79" t="str">
        <f t="shared" si="6"/>
        <v xml:space="preserve"> </v>
      </c>
    </row>
    <row r="777" spans="1:5" ht="12.5">
      <c r="A777" s="81" t="str">
        <f t="shared" si="0"/>
        <v xml:space="preserve"> </v>
      </c>
      <c r="B777" s="81" t="str">
        <f t="shared" si="1"/>
        <v xml:space="preserve"> </v>
      </c>
      <c r="C777" s="79" t="str">
        <f t="shared" si="7"/>
        <v xml:space="preserve"> </v>
      </c>
      <c r="D777" s="79" t="str">
        <f t="shared" si="5"/>
        <v xml:space="preserve"> </v>
      </c>
      <c r="E777" s="79" t="str">
        <f t="shared" si="6"/>
        <v xml:space="preserve"> </v>
      </c>
    </row>
    <row r="778" spans="1:5" ht="12.5">
      <c r="A778" s="81" t="str">
        <f t="shared" si="0"/>
        <v xml:space="preserve"> </v>
      </c>
      <c r="B778" s="81" t="str">
        <f t="shared" si="1"/>
        <v xml:space="preserve"> </v>
      </c>
      <c r="C778" s="79" t="str">
        <f t="shared" si="7"/>
        <v xml:space="preserve"> </v>
      </c>
      <c r="D778" s="79" t="str">
        <f t="shared" si="5"/>
        <v xml:space="preserve"> </v>
      </c>
      <c r="E778" s="79" t="str">
        <f t="shared" si="6"/>
        <v xml:space="preserve"> </v>
      </c>
    </row>
    <row r="779" spans="1:5" ht="12.5">
      <c r="A779" s="81" t="str">
        <f t="shared" si="0"/>
        <v xml:space="preserve"> </v>
      </c>
      <c r="B779" s="81" t="str">
        <f t="shared" si="1"/>
        <v xml:space="preserve"> </v>
      </c>
      <c r="C779" s="79" t="str">
        <f t="shared" si="7"/>
        <v xml:space="preserve"> </v>
      </c>
      <c r="D779" s="79" t="str">
        <f t="shared" si="5"/>
        <v xml:space="preserve"> </v>
      </c>
      <c r="E779" s="79" t="str">
        <f t="shared" si="6"/>
        <v xml:space="preserve"> </v>
      </c>
    </row>
    <row r="780" spans="1:5" ht="12.5">
      <c r="A780" s="81" t="str">
        <f t="shared" si="0"/>
        <v xml:space="preserve"> </v>
      </c>
      <c r="B780" s="81" t="str">
        <f t="shared" si="1"/>
        <v xml:space="preserve"> </v>
      </c>
      <c r="C780" s="79" t="str">
        <f t="shared" si="7"/>
        <v xml:space="preserve"> </v>
      </c>
      <c r="D780" s="79" t="str">
        <f t="shared" si="5"/>
        <v xml:space="preserve"> </v>
      </c>
      <c r="E780" s="79" t="str">
        <f t="shared" si="6"/>
        <v xml:space="preserve"> </v>
      </c>
    </row>
    <row r="781" spans="1:5" ht="12.5">
      <c r="A781" s="81" t="str">
        <f t="shared" si="0"/>
        <v xml:space="preserve"> </v>
      </c>
      <c r="B781" s="81" t="str">
        <f t="shared" si="1"/>
        <v xml:space="preserve"> </v>
      </c>
      <c r="C781" s="79" t="str">
        <f t="shared" si="7"/>
        <v xml:space="preserve"> </v>
      </c>
      <c r="D781" s="79" t="str">
        <f t="shared" si="5"/>
        <v xml:space="preserve"> </v>
      </c>
      <c r="E781" s="79" t="str">
        <f t="shared" si="6"/>
        <v xml:space="preserve"> </v>
      </c>
    </row>
    <row r="782" spans="1:5" ht="12.5">
      <c r="A782" s="81" t="str">
        <f t="shared" si="0"/>
        <v xml:space="preserve"> </v>
      </c>
      <c r="B782" s="81" t="str">
        <f t="shared" si="1"/>
        <v xml:space="preserve"> </v>
      </c>
      <c r="C782" s="79" t="str">
        <f t="shared" si="7"/>
        <v xml:space="preserve"> </v>
      </c>
      <c r="D782" s="79" t="str">
        <f t="shared" si="5"/>
        <v xml:space="preserve"> </v>
      </c>
      <c r="E782" s="79" t="str">
        <f t="shared" si="6"/>
        <v xml:space="preserve"> </v>
      </c>
    </row>
    <row r="783" spans="1:5" ht="12.5">
      <c r="A783" s="81" t="str">
        <f t="shared" si="0"/>
        <v xml:space="preserve"> </v>
      </c>
      <c r="B783" s="81" t="str">
        <f t="shared" si="1"/>
        <v xml:space="preserve"> </v>
      </c>
      <c r="C783" s="79" t="str">
        <f t="shared" si="7"/>
        <v xml:space="preserve"> </v>
      </c>
      <c r="D783" s="79" t="str">
        <f t="shared" si="5"/>
        <v xml:space="preserve"> </v>
      </c>
      <c r="E783" s="79" t="str">
        <f t="shared" si="6"/>
        <v xml:space="preserve"> </v>
      </c>
    </row>
    <row r="784" spans="1:5" ht="12.5">
      <c r="A784" s="81" t="str">
        <f t="shared" si="0"/>
        <v xml:space="preserve"> </v>
      </c>
      <c r="B784" s="81" t="str">
        <f t="shared" si="1"/>
        <v xml:space="preserve"> </v>
      </c>
      <c r="C784" s="79" t="str">
        <f t="shared" si="7"/>
        <v xml:space="preserve"> </v>
      </c>
      <c r="D784" s="79" t="str">
        <f t="shared" si="5"/>
        <v xml:space="preserve"> </v>
      </c>
      <c r="E784" s="79" t="str">
        <f t="shared" si="6"/>
        <v xml:space="preserve"> </v>
      </c>
    </row>
    <row r="785" spans="1:5" ht="12.5">
      <c r="A785" s="81" t="str">
        <f t="shared" si="0"/>
        <v xml:space="preserve"> </v>
      </c>
      <c r="B785" s="81" t="str">
        <f t="shared" si="1"/>
        <v xml:space="preserve"> </v>
      </c>
      <c r="C785" s="79" t="str">
        <f t="shared" si="7"/>
        <v xml:space="preserve"> </v>
      </c>
      <c r="D785" s="79" t="str">
        <f t="shared" si="5"/>
        <v xml:space="preserve"> </v>
      </c>
      <c r="E785" s="79" t="str">
        <f t="shared" si="6"/>
        <v xml:space="preserve"> </v>
      </c>
    </row>
    <row r="786" spans="1:5" ht="12.5">
      <c r="A786" s="81" t="str">
        <f t="shared" si="0"/>
        <v xml:space="preserve"> </v>
      </c>
      <c r="B786" s="81" t="str">
        <f t="shared" si="1"/>
        <v xml:space="preserve"> </v>
      </c>
      <c r="C786" s="79" t="str">
        <f t="shared" si="7"/>
        <v xml:space="preserve"> </v>
      </c>
      <c r="D786" s="79" t="str">
        <f t="shared" si="5"/>
        <v xml:space="preserve"> </v>
      </c>
      <c r="E786" s="79" t="str">
        <f t="shared" si="6"/>
        <v xml:space="preserve"> </v>
      </c>
    </row>
    <row r="787" spans="1:5" ht="12.5">
      <c r="A787" s="81" t="str">
        <f t="shared" si="0"/>
        <v xml:space="preserve"> </v>
      </c>
      <c r="B787" s="81" t="str">
        <f t="shared" si="1"/>
        <v xml:space="preserve"> </v>
      </c>
      <c r="C787" s="79" t="str">
        <f t="shared" si="7"/>
        <v xml:space="preserve"> </v>
      </c>
      <c r="D787" s="79" t="str">
        <f t="shared" si="5"/>
        <v xml:space="preserve"> </v>
      </c>
      <c r="E787" s="79" t="str">
        <f t="shared" si="6"/>
        <v xml:space="preserve"> </v>
      </c>
    </row>
    <row r="788" spans="1:5" ht="12.5">
      <c r="A788" s="81" t="str">
        <f t="shared" si="0"/>
        <v xml:space="preserve"> </v>
      </c>
      <c r="B788" s="81" t="str">
        <f t="shared" si="1"/>
        <v xml:space="preserve"> </v>
      </c>
      <c r="C788" s="79" t="str">
        <f t="shared" si="7"/>
        <v xml:space="preserve"> </v>
      </c>
      <c r="D788" s="79" t="str">
        <f t="shared" si="5"/>
        <v xml:space="preserve"> </v>
      </c>
      <c r="E788" s="79" t="str">
        <f t="shared" si="6"/>
        <v xml:space="preserve"> </v>
      </c>
    </row>
    <row r="789" spans="1:5" ht="12.5">
      <c r="A789" s="81" t="str">
        <f t="shared" si="0"/>
        <v xml:space="preserve"> </v>
      </c>
      <c r="B789" s="81" t="str">
        <f t="shared" si="1"/>
        <v xml:space="preserve"> </v>
      </c>
      <c r="C789" s="79" t="str">
        <f t="shared" si="7"/>
        <v xml:space="preserve"> </v>
      </c>
      <c r="D789" s="79" t="str">
        <f t="shared" si="5"/>
        <v xml:space="preserve"> </v>
      </c>
      <c r="E789" s="79" t="str">
        <f t="shared" si="6"/>
        <v xml:space="preserve"> </v>
      </c>
    </row>
    <row r="790" spans="1:5" ht="12.5">
      <c r="A790" s="81" t="str">
        <f t="shared" si="0"/>
        <v xml:space="preserve"> </v>
      </c>
      <c r="B790" s="81" t="str">
        <f t="shared" si="1"/>
        <v xml:space="preserve"> </v>
      </c>
      <c r="C790" s="79" t="str">
        <f t="shared" si="7"/>
        <v xml:space="preserve"> </v>
      </c>
      <c r="D790" s="79" t="str">
        <f t="shared" si="5"/>
        <v xml:space="preserve"> </v>
      </c>
      <c r="E790" s="79" t="str">
        <f t="shared" si="6"/>
        <v xml:space="preserve"> </v>
      </c>
    </row>
    <row r="791" spans="1:5" ht="12.5">
      <c r="A791" s="81" t="str">
        <f t="shared" si="0"/>
        <v xml:space="preserve"> </v>
      </c>
      <c r="B791" s="81" t="str">
        <f t="shared" si="1"/>
        <v xml:space="preserve"> </v>
      </c>
      <c r="C791" s="79" t="str">
        <f t="shared" si="7"/>
        <v xml:space="preserve"> </v>
      </c>
      <c r="D791" s="79" t="str">
        <f t="shared" si="5"/>
        <v xml:space="preserve"> </v>
      </c>
      <c r="E791" s="79" t="str">
        <f t="shared" si="6"/>
        <v xml:space="preserve"> </v>
      </c>
    </row>
    <row r="792" spans="1:5" ht="12.5">
      <c r="A792" s="81" t="str">
        <f t="shared" si="0"/>
        <v xml:space="preserve"> </v>
      </c>
      <c r="B792" s="81" t="str">
        <f t="shared" si="1"/>
        <v xml:space="preserve"> </v>
      </c>
      <c r="C792" s="79" t="str">
        <f t="shared" si="7"/>
        <v xml:space="preserve"> </v>
      </c>
      <c r="D792" s="79" t="str">
        <f t="shared" si="5"/>
        <v xml:space="preserve"> </v>
      </c>
      <c r="E792" s="79" t="str">
        <f t="shared" si="6"/>
        <v xml:space="preserve"> </v>
      </c>
    </row>
    <row r="793" spans="1:5" ht="12.5">
      <c r="A793" s="81" t="str">
        <f t="shared" si="0"/>
        <v xml:space="preserve"> </v>
      </c>
      <c r="B793" s="81" t="str">
        <f t="shared" si="1"/>
        <v xml:space="preserve"> </v>
      </c>
      <c r="C793" s="79" t="str">
        <f t="shared" si="7"/>
        <v xml:space="preserve"> </v>
      </c>
      <c r="D793" s="79" t="str">
        <f t="shared" si="5"/>
        <v xml:space="preserve"> </v>
      </c>
      <c r="E793" s="79" t="str">
        <f t="shared" si="6"/>
        <v xml:space="preserve"> </v>
      </c>
    </row>
    <row r="794" spans="1:5" ht="12.5">
      <c r="A794" s="81" t="str">
        <f t="shared" si="0"/>
        <v xml:space="preserve"> </v>
      </c>
      <c r="B794" s="81" t="str">
        <f t="shared" si="1"/>
        <v xml:space="preserve"> </v>
      </c>
      <c r="C794" s="79" t="str">
        <f t="shared" si="7"/>
        <v xml:space="preserve"> </v>
      </c>
      <c r="D794" s="79" t="str">
        <f t="shared" si="5"/>
        <v xml:space="preserve"> </v>
      </c>
      <c r="E794" s="79" t="str">
        <f t="shared" si="6"/>
        <v xml:space="preserve"> </v>
      </c>
    </row>
    <row r="795" spans="1:5" ht="12.5">
      <c r="A795" s="81" t="str">
        <f t="shared" si="0"/>
        <v xml:space="preserve"> </v>
      </c>
      <c r="B795" s="81" t="str">
        <f t="shared" si="1"/>
        <v xml:space="preserve"> </v>
      </c>
      <c r="C795" s="79" t="str">
        <f t="shared" si="7"/>
        <v xml:space="preserve"> </v>
      </c>
      <c r="D795" s="79" t="str">
        <f t="shared" si="5"/>
        <v xml:space="preserve"> </v>
      </c>
      <c r="E795" s="79" t="str">
        <f t="shared" si="6"/>
        <v xml:space="preserve"> </v>
      </c>
    </row>
    <row r="796" spans="1:5" ht="12.5">
      <c r="A796" s="81" t="str">
        <f t="shared" si="0"/>
        <v xml:space="preserve"> </v>
      </c>
      <c r="B796" s="81" t="str">
        <f t="shared" si="1"/>
        <v xml:space="preserve"> </v>
      </c>
      <c r="C796" s="79" t="str">
        <f t="shared" si="7"/>
        <v xml:space="preserve"> </v>
      </c>
      <c r="D796" s="79" t="str">
        <f t="shared" si="5"/>
        <v xml:space="preserve"> </v>
      </c>
      <c r="E796" s="79" t="str">
        <f t="shared" si="6"/>
        <v xml:space="preserve"> </v>
      </c>
    </row>
    <row r="797" spans="1:5" ht="12.5">
      <c r="A797" s="81" t="str">
        <f t="shared" si="0"/>
        <v xml:space="preserve"> </v>
      </c>
      <c r="B797" s="81" t="str">
        <f t="shared" si="1"/>
        <v xml:space="preserve"> </v>
      </c>
      <c r="C797" s="79" t="str">
        <f t="shared" si="7"/>
        <v xml:space="preserve"> </v>
      </c>
      <c r="D797" s="79" t="str">
        <f t="shared" si="5"/>
        <v xml:space="preserve"> </v>
      </c>
      <c r="E797" s="79" t="str">
        <f t="shared" si="6"/>
        <v xml:space="preserve"> </v>
      </c>
    </row>
    <row r="798" spans="1:5" ht="12.5">
      <c r="A798" s="81" t="str">
        <f t="shared" si="0"/>
        <v xml:space="preserve"> </v>
      </c>
      <c r="B798" s="81" t="str">
        <f t="shared" si="1"/>
        <v xml:space="preserve"> </v>
      </c>
      <c r="C798" s="79" t="str">
        <f t="shared" si="7"/>
        <v xml:space="preserve"> </v>
      </c>
      <c r="D798" s="79" t="str">
        <f t="shared" si="5"/>
        <v xml:space="preserve"> </v>
      </c>
      <c r="E798" s="79" t="str">
        <f t="shared" si="6"/>
        <v xml:space="preserve"> </v>
      </c>
    </row>
    <row r="799" spans="1:5" ht="12.5">
      <c r="A799" s="81" t="str">
        <f t="shared" si="0"/>
        <v xml:space="preserve"> </v>
      </c>
      <c r="B799" s="81" t="str">
        <f t="shared" si="1"/>
        <v xml:space="preserve"> </v>
      </c>
      <c r="C799" s="79" t="str">
        <f t="shared" si="7"/>
        <v xml:space="preserve"> </v>
      </c>
      <c r="D799" s="79" t="str">
        <f t="shared" si="5"/>
        <v xml:space="preserve"> </v>
      </c>
      <c r="E799" s="79" t="str">
        <f t="shared" si="6"/>
        <v xml:space="preserve"> </v>
      </c>
    </row>
    <row r="800" spans="1:5" ht="12.5">
      <c r="A800" s="81" t="str">
        <f t="shared" si="0"/>
        <v xml:space="preserve"> </v>
      </c>
      <c r="B800" s="81" t="str">
        <f t="shared" si="1"/>
        <v xml:space="preserve"> </v>
      </c>
      <c r="C800" s="79" t="str">
        <f t="shared" si="7"/>
        <v xml:space="preserve"> </v>
      </c>
      <c r="D800" s="79" t="str">
        <f t="shared" si="5"/>
        <v xml:space="preserve"> </v>
      </c>
      <c r="E800" s="79" t="str">
        <f t="shared" si="6"/>
        <v xml:space="preserve"> </v>
      </c>
    </row>
    <row r="801" spans="1:5" ht="12.5">
      <c r="A801" s="81" t="str">
        <f t="shared" si="0"/>
        <v xml:space="preserve"> </v>
      </c>
      <c r="B801" s="81" t="str">
        <f t="shared" si="1"/>
        <v xml:space="preserve"> </v>
      </c>
      <c r="C801" s="79" t="str">
        <f t="shared" si="7"/>
        <v xml:space="preserve"> </v>
      </c>
      <c r="D801" s="79" t="str">
        <f t="shared" si="5"/>
        <v xml:space="preserve"> </v>
      </c>
      <c r="E801" s="79" t="str">
        <f t="shared" si="6"/>
        <v xml:space="preserve"> </v>
      </c>
    </row>
    <row r="802" spans="1:5" ht="12.5">
      <c r="A802" s="81" t="str">
        <f t="shared" si="0"/>
        <v xml:space="preserve"> </v>
      </c>
      <c r="B802" s="81" t="str">
        <f t="shared" si="1"/>
        <v xml:space="preserve"> </v>
      </c>
      <c r="C802" s="79" t="str">
        <f t="shared" si="7"/>
        <v xml:space="preserve"> </v>
      </c>
      <c r="D802" s="79" t="str">
        <f t="shared" si="5"/>
        <v xml:space="preserve"> </v>
      </c>
      <c r="E802" s="79" t="str">
        <f t="shared" si="6"/>
        <v xml:space="preserve"> </v>
      </c>
    </row>
    <row r="803" spans="1:5" ht="12.5">
      <c r="A803" s="81" t="str">
        <f t="shared" si="0"/>
        <v xml:space="preserve"> </v>
      </c>
      <c r="B803" s="81" t="str">
        <f t="shared" si="1"/>
        <v xml:space="preserve"> </v>
      </c>
      <c r="C803" s="79" t="str">
        <f t="shared" si="7"/>
        <v xml:space="preserve"> </v>
      </c>
      <c r="D803" s="79" t="str">
        <f t="shared" si="5"/>
        <v xml:space="preserve"> </v>
      </c>
      <c r="E803" s="79" t="str">
        <f t="shared" si="6"/>
        <v xml:space="preserve"> </v>
      </c>
    </row>
    <row r="804" spans="1:5" ht="12.5">
      <c r="A804" s="81" t="str">
        <f t="shared" si="0"/>
        <v xml:space="preserve"> </v>
      </c>
      <c r="B804" s="81" t="str">
        <f t="shared" si="1"/>
        <v xml:space="preserve"> </v>
      </c>
      <c r="C804" s="79" t="str">
        <f t="shared" si="7"/>
        <v xml:space="preserve"> </v>
      </c>
      <c r="D804" s="79" t="str">
        <f t="shared" si="5"/>
        <v xml:space="preserve"> </v>
      </c>
      <c r="E804" s="79" t="str">
        <f t="shared" si="6"/>
        <v xml:space="preserve"> </v>
      </c>
    </row>
    <row r="805" spans="1:5" ht="12.5">
      <c r="A805" s="81" t="str">
        <f t="shared" si="0"/>
        <v xml:space="preserve"> </v>
      </c>
      <c r="B805" s="81" t="str">
        <f t="shared" si="1"/>
        <v xml:space="preserve"> </v>
      </c>
      <c r="C805" s="79" t="str">
        <f t="shared" si="7"/>
        <v xml:space="preserve"> </v>
      </c>
      <c r="D805" s="79" t="str">
        <f t="shared" si="5"/>
        <v xml:space="preserve"> </v>
      </c>
      <c r="E805" s="79" t="str">
        <f t="shared" si="6"/>
        <v xml:space="preserve"> </v>
      </c>
    </row>
    <row r="806" spans="1:5" ht="12.5">
      <c r="A806" s="81" t="str">
        <f t="shared" si="0"/>
        <v xml:space="preserve"> </v>
      </c>
      <c r="B806" s="81" t="str">
        <f t="shared" si="1"/>
        <v xml:space="preserve"> </v>
      </c>
      <c r="C806" s="79" t="str">
        <f t="shared" si="7"/>
        <v xml:space="preserve"> </v>
      </c>
      <c r="D806" s="79" t="str">
        <f t="shared" si="5"/>
        <v xml:space="preserve"> </v>
      </c>
      <c r="E806" s="79" t="str">
        <f t="shared" si="6"/>
        <v xml:space="preserve"> </v>
      </c>
    </row>
    <row r="807" spans="1:5" ht="12.5">
      <c r="A807" s="81" t="str">
        <f t="shared" si="0"/>
        <v xml:space="preserve"> </v>
      </c>
      <c r="B807" s="81" t="str">
        <f t="shared" si="1"/>
        <v xml:space="preserve"> </v>
      </c>
      <c r="C807" s="79" t="str">
        <f t="shared" si="7"/>
        <v xml:space="preserve"> </v>
      </c>
      <c r="D807" s="79" t="str">
        <f t="shared" si="5"/>
        <v xml:space="preserve"> </v>
      </c>
      <c r="E807" s="79" t="str">
        <f t="shared" si="6"/>
        <v xml:space="preserve"> </v>
      </c>
    </row>
    <row r="808" spans="1:5" ht="12.5">
      <c r="A808" s="81" t="str">
        <f t="shared" si="0"/>
        <v xml:space="preserve"> </v>
      </c>
      <c r="B808" s="81" t="str">
        <f t="shared" si="1"/>
        <v xml:space="preserve"> </v>
      </c>
      <c r="C808" s="79" t="str">
        <f t="shared" si="7"/>
        <v xml:space="preserve"> </v>
      </c>
      <c r="D808" s="79" t="str">
        <f t="shared" si="5"/>
        <v xml:space="preserve"> </v>
      </c>
      <c r="E808" s="79" t="str">
        <f t="shared" si="6"/>
        <v xml:space="preserve"> </v>
      </c>
    </row>
    <row r="809" spans="1:5" ht="12.5">
      <c r="A809" s="81" t="str">
        <f t="shared" si="0"/>
        <v xml:space="preserve"> </v>
      </c>
      <c r="B809" s="81" t="str">
        <f t="shared" si="1"/>
        <v xml:space="preserve"> </v>
      </c>
      <c r="C809" s="79" t="str">
        <f t="shared" si="7"/>
        <v xml:space="preserve"> </v>
      </c>
      <c r="D809" s="79" t="str">
        <f t="shared" si="5"/>
        <v xml:space="preserve"> </v>
      </c>
      <c r="E809" s="79" t="str">
        <f t="shared" si="6"/>
        <v xml:space="preserve"> </v>
      </c>
    </row>
    <row r="810" spans="1:5" ht="12.5">
      <c r="A810" s="81" t="str">
        <f t="shared" si="0"/>
        <v xml:space="preserve"> </v>
      </c>
      <c r="B810" s="81" t="str">
        <f t="shared" si="1"/>
        <v xml:space="preserve"> </v>
      </c>
      <c r="C810" s="79" t="str">
        <f t="shared" si="7"/>
        <v xml:space="preserve"> </v>
      </c>
      <c r="D810" s="79" t="str">
        <f t="shared" si="5"/>
        <v xml:space="preserve"> </v>
      </c>
      <c r="E810" s="79" t="str">
        <f t="shared" si="6"/>
        <v xml:space="preserve"> </v>
      </c>
    </row>
    <row r="811" spans="1:5" ht="12.5">
      <c r="A811" s="81" t="str">
        <f t="shared" si="0"/>
        <v xml:space="preserve"> </v>
      </c>
      <c r="B811" s="81" t="str">
        <f t="shared" si="1"/>
        <v xml:space="preserve"> </v>
      </c>
      <c r="C811" s="79" t="str">
        <f t="shared" si="7"/>
        <v xml:space="preserve"> </v>
      </c>
      <c r="D811" s="79" t="str">
        <f t="shared" si="5"/>
        <v xml:space="preserve"> </v>
      </c>
      <c r="E811" s="79" t="str">
        <f t="shared" si="6"/>
        <v xml:space="preserve"> </v>
      </c>
    </row>
    <row r="812" spans="1:5" ht="12.5">
      <c r="A812" s="81" t="str">
        <f t="shared" si="0"/>
        <v xml:space="preserve"> </v>
      </c>
      <c r="B812" s="81" t="str">
        <f t="shared" si="1"/>
        <v xml:space="preserve"> </v>
      </c>
      <c r="C812" s="79" t="str">
        <f t="shared" si="7"/>
        <v xml:space="preserve"> </v>
      </c>
      <c r="D812" s="79" t="str">
        <f t="shared" si="5"/>
        <v xml:space="preserve"> </v>
      </c>
      <c r="E812" s="79" t="str">
        <f t="shared" si="6"/>
        <v xml:space="preserve"> </v>
      </c>
    </row>
    <row r="813" spans="1:5" ht="12.5">
      <c r="A813" s="81" t="str">
        <f t="shared" si="0"/>
        <v xml:space="preserve"> </v>
      </c>
      <c r="B813" s="81" t="str">
        <f t="shared" si="1"/>
        <v xml:space="preserve"> </v>
      </c>
      <c r="C813" s="79" t="str">
        <f t="shared" si="7"/>
        <v xml:space="preserve"> </v>
      </c>
      <c r="D813" s="79" t="str">
        <f t="shared" si="5"/>
        <v xml:space="preserve"> </v>
      </c>
      <c r="E813" s="79" t="str">
        <f t="shared" si="6"/>
        <v xml:space="preserve"> </v>
      </c>
    </row>
    <row r="814" spans="1:5" ht="12.5">
      <c r="A814" s="81" t="str">
        <f t="shared" si="0"/>
        <v xml:space="preserve"> </v>
      </c>
      <c r="B814" s="81" t="str">
        <f t="shared" si="1"/>
        <v xml:space="preserve"> </v>
      </c>
      <c r="C814" s="79" t="str">
        <f t="shared" si="7"/>
        <v xml:space="preserve"> </v>
      </c>
      <c r="D814" s="79" t="str">
        <f t="shared" si="5"/>
        <v xml:space="preserve"> </v>
      </c>
      <c r="E814" s="79" t="str">
        <f t="shared" si="6"/>
        <v xml:space="preserve"> </v>
      </c>
    </row>
    <row r="815" spans="1:5" ht="12.5">
      <c r="A815" s="81" t="str">
        <f t="shared" si="0"/>
        <v xml:space="preserve"> </v>
      </c>
      <c r="B815" s="81" t="str">
        <f t="shared" si="1"/>
        <v xml:space="preserve"> </v>
      </c>
      <c r="C815" s="79" t="str">
        <f t="shared" si="7"/>
        <v xml:space="preserve"> </v>
      </c>
      <c r="D815" s="79" t="str">
        <f t="shared" si="5"/>
        <v xml:space="preserve"> </v>
      </c>
      <c r="E815" s="79" t="str">
        <f t="shared" si="6"/>
        <v xml:space="preserve"> </v>
      </c>
    </row>
    <row r="816" spans="1:5" ht="12.5">
      <c r="A816" s="81" t="str">
        <f t="shared" si="0"/>
        <v xml:space="preserve"> </v>
      </c>
      <c r="B816" s="81" t="str">
        <f t="shared" si="1"/>
        <v xml:space="preserve"> </v>
      </c>
      <c r="C816" s="79" t="str">
        <f t="shared" si="7"/>
        <v xml:space="preserve"> </v>
      </c>
      <c r="D816" s="79" t="str">
        <f t="shared" si="5"/>
        <v xml:space="preserve"> </v>
      </c>
      <c r="E816" s="79" t="str">
        <f t="shared" si="6"/>
        <v xml:space="preserve"> </v>
      </c>
    </row>
    <row r="817" spans="1:5" ht="12.5">
      <c r="A817" s="81" t="str">
        <f t="shared" si="0"/>
        <v xml:space="preserve"> </v>
      </c>
      <c r="B817" s="81" t="str">
        <f t="shared" si="1"/>
        <v xml:space="preserve"> </v>
      </c>
      <c r="C817" s="79" t="str">
        <f t="shared" si="7"/>
        <v xml:space="preserve"> </v>
      </c>
      <c r="D817" s="79" t="str">
        <f t="shared" si="5"/>
        <v xml:space="preserve"> </v>
      </c>
      <c r="E817" s="79" t="str">
        <f t="shared" si="6"/>
        <v xml:space="preserve"> </v>
      </c>
    </row>
    <row r="818" spans="1:5" ht="12.5">
      <c r="A818" s="81" t="str">
        <f t="shared" si="0"/>
        <v xml:space="preserve"> </v>
      </c>
      <c r="B818" s="81" t="str">
        <f t="shared" si="1"/>
        <v xml:space="preserve"> </v>
      </c>
      <c r="C818" s="79" t="str">
        <f t="shared" si="7"/>
        <v xml:space="preserve"> </v>
      </c>
      <c r="D818" s="79" t="str">
        <f t="shared" si="5"/>
        <v xml:space="preserve"> </v>
      </c>
      <c r="E818" s="79" t="str">
        <f t="shared" si="6"/>
        <v xml:space="preserve"> </v>
      </c>
    </row>
    <row r="819" spans="1:5" ht="12.5">
      <c r="A819" s="81" t="str">
        <f t="shared" si="0"/>
        <v xml:space="preserve"> </v>
      </c>
      <c r="B819" s="81" t="str">
        <f t="shared" si="1"/>
        <v xml:space="preserve"> </v>
      </c>
      <c r="C819" s="79" t="str">
        <f t="shared" si="7"/>
        <v xml:space="preserve"> </v>
      </c>
      <c r="D819" s="79" t="str">
        <f t="shared" si="5"/>
        <v xml:space="preserve"> </v>
      </c>
      <c r="E819" s="79" t="str">
        <f t="shared" si="6"/>
        <v xml:space="preserve"> </v>
      </c>
    </row>
    <row r="820" spans="1:5" ht="12.5">
      <c r="A820" s="81" t="str">
        <f t="shared" si="0"/>
        <v xml:space="preserve"> </v>
      </c>
      <c r="B820" s="81" t="str">
        <f t="shared" si="1"/>
        <v xml:space="preserve"> </v>
      </c>
      <c r="C820" s="79" t="str">
        <f t="shared" si="7"/>
        <v xml:space="preserve"> </v>
      </c>
      <c r="D820" s="79" t="str">
        <f t="shared" si="5"/>
        <v xml:space="preserve"> </v>
      </c>
      <c r="E820" s="79" t="str">
        <f t="shared" si="6"/>
        <v xml:space="preserve"> </v>
      </c>
    </row>
    <row r="821" spans="1:5" ht="12.5">
      <c r="A821" s="81" t="str">
        <f t="shared" si="0"/>
        <v xml:space="preserve"> </v>
      </c>
      <c r="B821" s="81" t="str">
        <f t="shared" si="1"/>
        <v xml:space="preserve"> </v>
      </c>
      <c r="C821" s="79" t="str">
        <f t="shared" si="7"/>
        <v xml:space="preserve"> </v>
      </c>
      <c r="D821" s="79" t="str">
        <f t="shared" si="5"/>
        <v xml:space="preserve"> </v>
      </c>
      <c r="E821" s="79" t="str">
        <f t="shared" si="6"/>
        <v xml:space="preserve"> </v>
      </c>
    </row>
    <row r="822" spans="1:5" ht="12.5">
      <c r="A822" s="81" t="str">
        <f t="shared" si="0"/>
        <v xml:space="preserve"> </v>
      </c>
      <c r="B822" s="81" t="str">
        <f t="shared" si="1"/>
        <v xml:space="preserve"> </v>
      </c>
      <c r="C822" s="79" t="str">
        <f t="shared" si="7"/>
        <v xml:space="preserve"> </v>
      </c>
      <c r="D822" s="79" t="str">
        <f t="shared" si="5"/>
        <v xml:space="preserve"> </v>
      </c>
      <c r="E822" s="79" t="str">
        <f t="shared" si="6"/>
        <v xml:space="preserve"> </v>
      </c>
    </row>
    <row r="823" spans="1:5" ht="12.5">
      <c r="A823" s="81" t="str">
        <f t="shared" si="0"/>
        <v xml:space="preserve"> </v>
      </c>
      <c r="B823" s="81" t="str">
        <f t="shared" si="1"/>
        <v xml:space="preserve"> </v>
      </c>
      <c r="C823" s="79" t="str">
        <f t="shared" si="7"/>
        <v xml:space="preserve"> </v>
      </c>
      <c r="D823" s="79" t="str">
        <f t="shared" si="5"/>
        <v xml:space="preserve"> </v>
      </c>
      <c r="E823" s="79" t="str">
        <f t="shared" si="6"/>
        <v xml:space="preserve"> </v>
      </c>
    </row>
    <row r="824" spans="1:5" ht="12.5">
      <c r="A824" s="81" t="str">
        <f t="shared" si="0"/>
        <v xml:space="preserve"> </v>
      </c>
      <c r="B824" s="81" t="str">
        <f t="shared" si="1"/>
        <v xml:space="preserve"> </v>
      </c>
      <c r="C824" s="79" t="str">
        <f t="shared" si="7"/>
        <v xml:space="preserve"> </v>
      </c>
      <c r="D824" s="79" t="str">
        <f t="shared" si="5"/>
        <v xml:space="preserve"> </v>
      </c>
      <c r="E824" s="79" t="str">
        <f t="shared" si="6"/>
        <v xml:space="preserve"> </v>
      </c>
    </row>
    <row r="825" spans="1:5" ht="12.5">
      <c r="A825" s="81" t="str">
        <f t="shared" si="0"/>
        <v xml:space="preserve"> </v>
      </c>
      <c r="B825" s="81" t="str">
        <f t="shared" si="1"/>
        <v xml:space="preserve"> </v>
      </c>
      <c r="C825" s="79" t="str">
        <f t="shared" si="7"/>
        <v xml:space="preserve"> </v>
      </c>
      <c r="D825" s="79" t="str">
        <f t="shared" si="5"/>
        <v xml:space="preserve"> </v>
      </c>
      <c r="E825" s="79" t="str">
        <f t="shared" si="6"/>
        <v xml:space="preserve"> </v>
      </c>
    </row>
    <row r="826" spans="1:5" ht="12.5">
      <c r="A826" s="81" t="str">
        <f t="shared" si="0"/>
        <v xml:space="preserve"> </v>
      </c>
      <c r="B826" s="81" t="str">
        <f t="shared" si="1"/>
        <v xml:space="preserve"> </v>
      </c>
      <c r="C826" s="79" t="str">
        <f t="shared" si="7"/>
        <v xml:space="preserve"> </v>
      </c>
      <c r="D826" s="79" t="str">
        <f t="shared" si="5"/>
        <v xml:space="preserve"> </v>
      </c>
      <c r="E826" s="79" t="str">
        <f t="shared" si="6"/>
        <v xml:space="preserve"> </v>
      </c>
    </row>
    <row r="827" spans="1:5" ht="12.5">
      <c r="A827" s="81" t="str">
        <f t="shared" si="0"/>
        <v xml:space="preserve"> </v>
      </c>
      <c r="B827" s="81" t="str">
        <f t="shared" si="1"/>
        <v xml:space="preserve"> </v>
      </c>
      <c r="C827" s="79" t="str">
        <f t="shared" si="7"/>
        <v xml:space="preserve"> </v>
      </c>
      <c r="D827" s="79" t="str">
        <f t="shared" si="5"/>
        <v xml:space="preserve"> </v>
      </c>
      <c r="E827" s="79" t="str">
        <f t="shared" si="6"/>
        <v xml:space="preserve"> </v>
      </c>
    </row>
    <row r="828" spans="1:5" ht="12.5">
      <c r="A828" s="81" t="str">
        <f t="shared" si="0"/>
        <v xml:space="preserve"> </v>
      </c>
      <c r="B828" s="81" t="str">
        <f t="shared" si="1"/>
        <v xml:space="preserve"> </v>
      </c>
      <c r="C828" s="79" t="str">
        <f t="shared" si="7"/>
        <v xml:space="preserve"> </v>
      </c>
      <c r="D828" s="79" t="str">
        <f t="shared" si="5"/>
        <v xml:space="preserve"> </v>
      </c>
      <c r="E828" s="79" t="str">
        <f t="shared" si="6"/>
        <v xml:space="preserve"> </v>
      </c>
    </row>
    <row r="829" spans="1:5" ht="12.5">
      <c r="A829" s="81" t="str">
        <f t="shared" si="0"/>
        <v xml:space="preserve"> </v>
      </c>
      <c r="B829" s="81" t="str">
        <f t="shared" si="1"/>
        <v xml:space="preserve"> </v>
      </c>
      <c r="C829" s="79" t="str">
        <f t="shared" si="7"/>
        <v xml:space="preserve"> </v>
      </c>
      <c r="D829" s="79" t="str">
        <f t="shared" si="5"/>
        <v xml:space="preserve"> </v>
      </c>
      <c r="E829" s="79" t="str">
        <f t="shared" si="6"/>
        <v xml:space="preserve"> </v>
      </c>
    </row>
    <row r="830" spans="1:5" ht="12.5">
      <c r="A830" s="81" t="str">
        <f t="shared" si="0"/>
        <v xml:space="preserve"> </v>
      </c>
      <c r="B830" s="81" t="str">
        <f t="shared" si="1"/>
        <v xml:space="preserve"> </v>
      </c>
      <c r="C830" s="79" t="str">
        <f t="shared" si="7"/>
        <v xml:space="preserve"> </v>
      </c>
      <c r="D830" s="79" t="str">
        <f t="shared" si="5"/>
        <v xml:space="preserve"> </v>
      </c>
      <c r="E830" s="79" t="str">
        <f t="shared" si="6"/>
        <v xml:space="preserve"> </v>
      </c>
    </row>
    <row r="831" spans="1:5" ht="12.5">
      <c r="A831" s="81" t="str">
        <f t="shared" si="0"/>
        <v xml:space="preserve"> </v>
      </c>
      <c r="B831" s="81" t="str">
        <f t="shared" si="1"/>
        <v xml:space="preserve"> </v>
      </c>
      <c r="C831" s="79" t="str">
        <f t="shared" si="7"/>
        <v xml:space="preserve"> </v>
      </c>
      <c r="D831" s="79" t="str">
        <f t="shared" si="5"/>
        <v xml:space="preserve"> </v>
      </c>
      <c r="E831" s="79" t="str">
        <f t="shared" si="6"/>
        <v xml:space="preserve"> </v>
      </c>
    </row>
    <row r="832" spans="1:5" ht="12.5">
      <c r="A832" s="81" t="str">
        <f t="shared" si="0"/>
        <v xml:space="preserve"> </v>
      </c>
      <c r="B832" s="81" t="str">
        <f t="shared" si="1"/>
        <v xml:space="preserve"> </v>
      </c>
      <c r="C832" s="79" t="str">
        <f t="shared" si="7"/>
        <v xml:space="preserve"> </v>
      </c>
      <c r="D832" s="79" t="str">
        <f t="shared" si="5"/>
        <v xml:space="preserve"> </v>
      </c>
      <c r="E832" s="79" t="str">
        <f t="shared" si="6"/>
        <v xml:space="preserve"> </v>
      </c>
    </row>
    <row r="833" spans="1:5" ht="12.5">
      <c r="A833" s="81" t="str">
        <f t="shared" si="0"/>
        <v xml:space="preserve"> </v>
      </c>
      <c r="B833" s="81" t="str">
        <f t="shared" si="1"/>
        <v xml:space="preserve"> </v>
      </c>
      <c r="C833" s="79" t="str">
        <f t="shared" si="7"/>
        <v xml:space="preserve"> </v>
      </c>
      <c r="D833" s="79" t="str">
        <f t="shared" si="5"/>
        <v xml:space="preserve"> </v>
      </c>
      <c r="E833" s="79" t="str">
        <f t="shared" si="6"/>
        <v xml:space="preserve"> </v>
      </c>
    </row>
    <row r="834" spans="1:5" ht="12.5">
      <c r="A834" s="81" t="str">
        <f t="shared" si="0"/>
        <v xml:space="preserve"> </v>
      </c>
      <c r="B834" s="81" t="str">
        <f t="shared" si="1"/>
        <v xml:space="preserve"> </v>
      </c>
      <c r="C834" s="79" t="str">
        <f t="shared" si="7"/>
        <v xml:space="preserve"> </v>
      </c>
      <c r="D834" s="79" t="str">
        <f t="shared" si="5"/>
        <v xml:space="preserve"> </v>
      </c>
      <c r="E834" s="79" t="str">
        <f t="shared" si="6"/>
        <v xml:space="preserve"> </v>
      </c>
    </row>
    <row r="835" spans="1:5" ht="12.5">
      <c r="A835" s="81" t="str">
        <f t="shared" si="0"/>
        <v xml:space="preserve"> </v>
      </c>
      <c r="B835" s="81" t="str">
        <f t="shared" si="1"/>
        <v xml:space="preserve"> </v>
      </c>
      <c r="C835" s="79" t="str">
        <f t="shared" si="7"/>
        <v xml:space="preserve"> </v>
      </c>
      <c r="D835" s="79" t="str">
        <f t="shared" si="5"/>
        <v xml:space="preserve"> </v>
      </c>
      <c r="E835" s="79" t="str">
        <f t="shared" si="6"/>
        <v xml:space="preserve"> </v>
      </c>
    </row>
    <row r="836" spans="1:5" ht="12.5">
      <c r="A836" s="81" t="str">
        <f t="shared" si="0"/>
        <v xml:space="preserve"> </v>
      </c>
      <c r="B836" s="81" t="str">
        <f t="shared" si="1"/>
        <v xml:space="preserve"> </v>
      </c>
      <c r="C836" s="79" t="str">
        <f t="shared" si="7"/>
        <v xml:space="preserve"> </v>
      </c>
      <c r="D836" s="79" t="str">
        <f t="shared" si="5"/>
        <v xml:space="preserve"> </v>
      </c>
      <c r="E836" s="79" t="str">
        <f t="shared" si="6"/>
        <v xml:space="preserve"> </v>
      </c>
    </row>
    <row r="837" spans="1:5" ht="12.5">
      <c r="A837" s="81" t="str">
        <f t="shared" si="0"/>
        <v xml:space="preserve"> </v>
      </c>
      <c r="B837" s="81" t="str">
        <f t="shared" si="1"/>
        <v xml:space="preserve"> </v>
      </c>
      <c r="C837" s="79" t="str">
        <f t="shared" si="7"/>
        <v xml:space="preserve"> </v>
      </c>
      <c r="D837" s="79" t="str">
        <f t="shared" si="5"/>
        <v xml:space="preserve"> </v>
      </c>
      <c r="E837" s="79" t="str">
        <f t="shared" si="6"/>
        <v xml:space="preserve"> </v>
      </c>
    </row>
    <row r="838" spans="1:5" ht="12.5">
      <c r="A838" s="81" t="str">
        <f t="shared" si="0"/>
        <v xml:space="preserve"> </v>
      </c>
      <c r="B838" s="81" t="str">
        <f t="shared" si="1"/>
        <v xml:space="preserve"> </v>
      </c>
      <c r="C838" s="79" t="str">
        <f t="shared" si="7"/>
        <v xml:space="preserve"> </v>
      </c>
      <c r="D838" s="79" t="str">
        <f t="shared" si="5"/>
        <v xml:space="preserve"> </v>
      </c>
      <c r="E838" s="79" t="str">
        <f t="shared" si="6"/>
        <v xml:space="preserve"> </v>
      </c>
    </row>
    <row r="839" spans="1:5" ht="12.5">
      <c r="A839" s="81" t="str">
        <f t="shared" si="0"/>
        <v xml:space="preserve"> </v>
      </c>
      <c r="B839" s="81" t="str">
        <f t="shared" si="1"/>
        <v xml:space="preserve"> </v>
      </c>
      <c r="C839" s="79" t="str">
        <f t="shared" si="7"/>
        <v xml:space="preserve"> </v>
      </c>
      <c r="D839" s="79" t="str">
        <f t="shared" si="5"/>
        <v xml:space="preserve"> </v>
      </c>
      <c r="E839" s="79" t="str">
        <f t="shared" si="6"/>
        <v xml:space="preserve"> </v>
      </c>
    </row>
    <row r="840" spans="1:5" ht="12.5">
      <c r="A840" s="81" t="str">
        <f t="shared" si="0"/>
        <v xml:space="preserve"> </v>
      </c>
      <c r="B840" s="81" t="str">
        <f t="shared" si="1"/>
        <v xml:space="preserve"> </v>
      </c>
      <c r="C840" s="79" t="str">
        <f t="shared" si="7"/>
        <v xml:space="preserve"> </v>
      </c>
      <c r="D840" s="79" t="str">
        <f t="shared" si="5"/>
        <v xml:space="preserve"> </v>
      </c>
      <c r="E840" s="79" t="str">
        <f t="shared" si="6"/>
        <v xml:space="preserve"> </v>
      </c>
    </row>
    <row r="841" spans="1:5" ht="12.5">
      <c r="A841" s="81" t="str">
        <f t="shared" si="0"/>
        <v xml:space="preserve"> </v>
      </c>
      <c r="B841" s="81" t="str">
        <f t="shared" si="1"/>
        <v xml:space="preserve"> </v>
      </c>
      <c r="C841" s="79" t="str">
        <f t="shared" si="7"/>
        <v xml:space="preserve"> </v>
      </c>
      <c r="D841" s="79" t="str">
        <f t="shared" si="5"/>
        <v xml:space="preserve"> </v>
      </c>
      <c r="E841" s="79" t="str">
        <f t="shared" si="6"/>
        <v xml:space="preserve"> </v>
      </c>
    </row>
    <row r="842" spans="1:5" ht="12.5">
      <c r="A842" s="81" t="str">
        <f t="shared" si="0"/>
        <v xml:space="preserve"> </v>
      </c>
      <c r="B842" s="81" t="str">
        <f t="shared" si="1"/>
        <v xml:space="preserve"> </v>
      </c>
      <c r="C842" s="79" t="str">
        <f t="shared" si="7"/>
        <v xml:space="preserve"> </v>
      </c>
      <c r="D842" s="79" t="str">
        <f t="shared" si="5"/>
        <v xml:space="preserve"> </v>
      </c>
      <c r="E842" s="79" t="str">
        <f t="shared" si="6"/>
        <v xml:space="preserve"> </v>
      </c>
    </row>
    <row r="843" spans="1:5" ht="12.5">
      <c r="A843" s="81" t="str">
        <f t="shared" si="0"/>
        <v xml:space="preserve"> </v>
      </c>
      <c r="B843" s="81" t="str">
        <f t="shared" si="1"/>
        <v xml:space="preserve"> </v>
      </c>
      <c r="C843" s="79" t="str">
        <f t="shared" si="7"/>
        <v xml:space="preserve"> </v>
      </c>
      <c r="D843" s="79" t="str">
        <f t="shared" si="5"/>
        <v xml:space="preserve"> </v>
      </c>
      <c r="E843" s="79" t="str">
        <f t="shared" si="6"/>
        <v xml:space="preserve"> </v>
      </c>
    </row>
    <row r="844" spans="1:5" ht="12.5">
      <c r="A844" s="81" t="str">
        <f t="shared" si="0"/>
        <v xml:space="preserve"> </v>
      </c>
      <c r="B844" s="81" t="str">
        <f t="shared" si="1"/>
        <v xml:space="preserve"> </v>
      </c>
      <c r="C844" s="79" t="str">
        <f t="shared" si="7"/>
        <v xml:space="preserve"> </v>
      </c>
      <c r="D844" s="79" t="str">
        <f t="shared" si="5"/>
        <v xml:space="preserve"> </v>
      </c>
      <c r="E844" s="79" t="str">
        <f t="shared" si="6"/>
        <v xml:space="preserve"> </v>
      </c>
    </row>
    <row r="845" spans="1:5" ht="12.5">
      <c r="A845" s="81" t="str">
        <f t="shared" si="0"/>
        <v xml:space="preserve"> </v>
      </c>
      <c r="B845" s="81" t="str">
        <f t="shared" si="1"/>
        <v xml:space="preserve"> </v>
      </c>
      <c r="C845" s="79" t="str">
        <f t="shared" si="7"/>
        <v xml:space="preserve"> </v>
      </c>
      <c r="D845" s="79" t="str">
        <f t="shared" si="5"/>
        <v xml:space="preserve"> </v>
      </c>
      <c r="E845" s="79" t="str">
        <f t="shared" si="6"/>
        <v xml:space="preserve"> </v>
      </c>
    </row>
    <row r="846" spans="1:5" ht="12.5">
      <c r="A846" s="81" t="str">
        <f t="shared" si="0"/>
        <v xml:space="preserve"> </v>
      </c>
      <c r="B846" s="81" t="str">
        <f t="shared" si="1"/>
        <v xml:space="preserve"> </v>
      </c>
      <c r="C846" s="79" t="str">
        <f t="shared" si="7"/>
        <v xml:space="preserve"> </v>
      </c>
      <c r="D846" s="79" t="str">
        <f t="shared" si="5"/>
        <v xml:space="preserve"> </v>
      </c>
      <c r="E846" s="79" t="str">
        <f t="shared" si="6"/>
        <v xml:space="preserve"> </v>
      </c>
    </row>
    <row r="847" spans="1:5" ht="12.5">
      <c r="A847" s="81" t="str">
        <f t="shared" si="0"/>
        <v xml:space="preserve"> </v>
      </c>
      <c r="B847" s="81" t="str">
        <f t="shared" si="1"/>
        <v xml:space="preserve"> </v>
      </c>
      <c r="C847" s="79" t="str">
        <f t="shared" si="7"/>
        <v xml:space="preserve"> </v>
      </c>
      <c r="D847" s="79" t="str">
        <f t="shared" si="5"/>
        <v xml:space="preserve"> </v>
      </c>
      <c r="E847" s="79" t="str">
        <f t="shared" si="6"/>
        <v xml:space="preserve"> </v>
      </c>
    </row>
    <row r="848" spans="1:5" ht="12.5">
      <c r="A848" s="81" t="str">
        <f t="shared" si="0"/>
        <v xml:space="preserve"> </v>
      </c>
      <c r="B848" s="81" t="str">
        <f t="shared" si="1"/>
        <v xml:space="preserve"> </v>
      </c>
      <c r="C848" s="79" t="str">
        <f t="shared" si="7"/>
        <v xml:space="preserve"> </v>
      </c>
      <c r="D848" s="79" t="str">
        <f t="shared" si="5"/>
        <v xml:space="preserve"> </v>
      </c>
      <c r="E848" s="79" t="str">
        <f t="shared" si="6"/>
        <v xml:space="preserve"> </v>
      </c>
    </row>
    <row r="849" spans="1:5" ht="12.5">
      <c r="A849" s="81" t="str">
        <f t="shared" si="0"/>
        <v xml:space="preserve"> </v>
      </c>
      <c r="B849" s="81" t="str">
        <f t="shared" si="1"/>
        <v xml:space="preserve"> </v>
      </c>
      <c r="C849" s="79" t="str">
        <f t="shared" si="7"/>
        <v xml:space="preserve"> </v>
      </c>
      <c r="D849" s="79" t="str">
        <f t="shared" si="5"/>
        <v xml:space="preserve"> </v>
      </c>
      <c r="E849" s="79" t="str">
        <f t="shared" si="6"/>
        <v xml:space="preserve"> </v>
      </c>
    </row>
    <row r="850" spans="1:5" ht="12.5">
      <c r="A850" s="81" t="str">
        <f t="shared" si="0"/>
        <v xml:space="preserve"> </v>
      </c>
      <c r="B850" s="81" t="str">
        <f t="shared" si="1"/>
        <v xml:space="preserve"> </v>
      </c>
      <c r="C850" s="79" t="str">
        <f t="shared" si="7"/>
        <v xml:space="preserve"> </v>
      </c>
      <c r="D850" s="79" t="str">
        <f t="shared" si="5"/>
        <v xml:space="preserve"> </v>
      </c>
      <c r="E850" s="79" t="str">
        <f t="shared" si="6"/>
        <v xml:space="preserve"> </v>
      </c>
    </row>
    <row r="851" spans="1:5" ht="12.5">
      <c r="A851" s="81" t="str">
        <f t="shared" si="0"/>
        <v xml:space="preserve"> </v>
      </c>
      <c r="B851" s="81" t="str">
        <f t="shared" si="1"/>
        <v xml:space="preserve"> </v>
      </c>
      <c r="C851" s="79" t="str">
        <f t="shared" si="7"/>
        <v xml:space="preserve"> </v>
      </c>
      <c r="D851" s="79" t="str">
        <f t="shared" si="5"/>
        <v xml:space="preserve"> </v>
      </c>
      <c r="E851" s="79" t="str">
        <f t="shared" si="6"/>
        <v xml:space="preserve"> </v>
      </c>
    </row>
    <row r="852" spans="1:5" ht="12.5">
      <c r="A852" s="81" t="str">
        <f t="shared" si="0"/>
        <v xml:space="preserve"> </v>
      </c>
      <c r="B852" s="81" t="str">
        <f t="shared" si="1"/>
        <v xml:space="preserve"> </v>
      </c>
      <c r="C852" s="79" t="str">
        <f t="shared" si="7"/>
        <v xml:space="preserve"> </v>
      </c>
      <c r="D852" s="79" t="str">
        <f t="shared" si="5"/>
        <v xml:space="preserve"> </v>
      </c>
      <c r="E852" s="79" t="str">
        <f t="shared" si="6"/>
        <v xml:space="preserve"> </v>
      </c>
    </row>
    <row r="853" spans="1:5" ht="12.5">
      <c r="A853" s="81" t="str">
        <f t="shared" si="0"/>
        <v xml:space="preserve"> </v>
      </c>
      <c r="B853" s="81" t="str">
        <f t="shared" si="1"/>
        <v xml:space="preserve"> </v>
      </c>
      <c r="C853" s="79" t="str">
        <f t="shared" si="7"/>
        <v xml:space="preserve"> </v>
      </c>
      <c r="D853" s="79" t="str">
        <f t="shared" si="5"/>
        <v xml:space="preserve"> </v>
      </c>
      <c r="E853" s="79" t="str">
        <f t="shared" si="6"/>
        <v xml:space="preserve"> </v>
      </c>
    </row>
    <row r="854" spans="1:5" ht="12.5">
      <c r="A854" s="81" t="str">
        <f t="shared" si="0"/>
        <v xml:space="preserve"> </v>
      </c>
      <c r="B854" s="81" t="str">
        <f t="shared" si="1"/>
        <v xml:space="preserve"> </v>
      </c>
      <c r="C854" s="79" t="str">
        <f t="shared" si="7"/>
        <v xml:space="preserve"> </v>
      </c>
      <c r="D854" s="79" t="str">
        <f t="shared" si="5"/>
        <v xml:space="preserve"> </v>
      </c>
      <c r="E854" s="79" t="str">
        <f t="shared" si="6"/>
        <v xml:space="preserve"> </v>
      </c>
    </row>
    <row r="855" spans="1:5" ht="12.5">
      <c r="A855" s="81" t="str">
        <f t="shared" si="0"/>
        <v xml:space="preserve"> </v>
      </c>
      <c r="B855" s="81" t="str">
        <f t="shared" si="1"/>
        <v xml:space="preserve"> </v>
      </c>
      <c r="C855" s="79" t="str">
        <f t="shared" si="7"/>
        <v xml:space="preserve"> </v>
      </c>
      <c r="D855" s="79" t="str">
        <f t="shared" si="5"/>
        <v xml:space="preserve"> </v>
      </c>
      <c r="E855" s="79" t="str">
        <f t="shared" si="6"/>
        <v xml:space="preserve"> </v>
      </c>
    </row>
    <row r="856" spans="1:5" ht="12.5">
      <c r="A856" s="81" t="str">
        <f t="shared" si="0"/>
        <v xml:space="preserve"> </v>
      </c>
      <c r="B856" s="81" t="str">
        <f t="shared" si="1"/>
        <v xml:space="preserve"> </v>
      </c>
      <c r="C856" s="79" t="str">
        <f t="shared" si="7"/>
        <v xml:space="preserve"> </v>
      </c>
      <c r="D856" s="79" t="str">
        <f t="shared" si="5"/>
        <v xml:space="preserve"> </v>
      </c>
      <c r="E856" s="79" t="str">
        <f t="shared" si="6"/>
        <v xml:space="preserve"> </v>
      </c>
    </row>
    <row r="857" spans="1:5" ht="12.5">
      <c r="A857" s="81" t="str">
        <f t="shared" si="0"/>
        <v xml:space="preserve"> </v>
      </c>
      <c r="B857" s="81" t="str">
        <f t="shared" si="1"/>
        <v xml:space="preserve"> </v>
      </c>
      <c r="C857" s="79" t="str">
        <f t="shared" si="7"/>
        <v xml:space="preserve"> </v>
      </c>
      <c r="D857" s="79" t="str">
        <f t="shared" si="5"/>
        <v xml:space="preserve"> </v>
      </c>
      <c r="E857" s="79" t="str">
        <f t="shared" si="6"/>
        <v xml:space="preserve"> </v>
      </c>
    </row>
    <row r="858" spans="1:5" ht="12.5">
      <c r="A858" s="81" t="str">
        <f t="shared" si="0"/>
        <v xml:space="preserve"> </v>
      </c>
      <c r="B858" s="81" t="str">
        <f t="shared" si="1"/>
        <v xml:space="preserve"> </v>
      </c>
      <c r="C858" s="79" t="str">
        <f t="shared" si="7"/>
        <v xml:space="preserve"> </v>
      </c>
      <c r="D858" s="79" t="str">
        <f t="shared" si="5"/>
        <v xml:space="preserve"> </v>
      </c>
      <c r="E858" s="79" t="str">
        <f t="shared" si="6"/>
        <v xml:space="preserve"> </v>
      </c>
    </row>
    <row r="859" spans="1:5" ht="12.5">
      <c r="A859" s="81" t="str">
        <f t="shared" si="0"/>
        <v xml:space="preserve"> </v>
      </c>
      <c r="B859" s="81" t="str">
        <f t="shared" si="1"/>
        <v xml:space="preserve"> </v>
      </c>
      <c r="C859" s="79" t="str">
        <f t="shared" si="7"/>
        <v xml:space="preserve"> </v>
      </c>
      <c r="D859" s="79" t="str">
        <f t="shared" si="5"/>
        <v xml:space="preserve"> </v>
      </c>
      <c r="E859" s="79" t="str">
        <f t="shared" si="6"/>
        <v xml:space="preserve"> </v>
      </c>
    </row>
    <row r="860" spans="1:5" ht="12.5">
      <c r="A860" s="81" t="str">
        <f t="shared" si="0"/>
        <v xml:space="preserve"> </v>
      </c>
      <c r="B860" s="81" t="str">
        <f t="shared" si="1"/>
        <v xml:space="preserve"> </v>
      </c>
      <c r="C860" s="79" t="str">
        <f t="shared" si="7"/>
        <v xml:space="preserve"> </v>
      </c>
      <c r="D860" s="79" t="str">
        <f t="shared" si="5"/>
        <v xml:space="preserve"> </v>
      </c>
      <c r="E860" s="79" t="str">
        <f t="shared" si="6"/>
        <v xml:space="preserve"> </v>
      </c>
    </row>
    <row r="861" spans="1:5" ht="12.5">
      <c r="A861" s="81" t="str">
        <f t="shared" si="0"/>
        <v xml:space="preserve"> </v>
      </c>
      <c r="B861" s="81" t="str">
        <f t="shared" si="1"/>
        <v xml:space="preserve"> </v>
      </c>
      <c r="C861" s="79" t="str">
        <f t="shared" si="7"/>
        <v xml:space="preserve"> </v>
      </c>
      <c r="D861" s="79" t="str">
        <f t="shared" si="5"/>
        <v xml:space="preserve"> </v>
      </c>
      <c r="E861" s="79" t="str">
        <f t="shared" si="6"/>
        <v xml:space="preserve"> </v>
      </c>
    </row>
    <row r="862" spans="1:5" ht="12.5">
      <c r="A862" s="81" t="str">
        <f t="shared" si="0"/>
        <v xml:space="preserve"> </v>
      </c>
      <c r="B862" s="81" t="str">
        <f t="shared" si="1"/>
        <v xml:space="preserve"> </v>
      </c>
      <c r="C862" s="79" t="str">
        <f t="shared" si="7"/>
        <v xml:space="preserve"> </v>
      </c>
      <c r="D862" s="79" t="str">
        <f t="shared" si="5"/>
        <v xml:space="preserve"> </v>
      </c>
      <c r="E862" s="79" t="str">
        <f t="shared" si="6"/>
        <v xml:space="preserve"> </v>
      </c>
    </row>
    <row r="863" spans="1:5" ht="12.5">
      <c r="A863" s="81" t="str">
        <f t="shared" si="0"/>
        <v xml:space="preserve"> </v>
      </c>
      <c r="B863" s="81" t="str">
        <f t="shared" si="1"/>
        <v xml:space="preserve"> </v>
      </c>
      <c r="C863" s="79" t="str">
        <f t="shared" si="7"/>
        <v xml:space="preserve"> </v>
      </c>
      <c r="D863" s="79" t="str">
        <f t="shared" si="5"/>
        <v xml:space="preserve"> </v>
      </c>
      <c r="E863" s="79" t="str">
        <f t="shared" si="6"/>
        <v xml:space="preserve"> </v>
      </c>
    </row>
    <row r="864" spans="1:5" ht="12.5">
      <c r="A864" s="81" t="str">
        <f t="shared" si="0"/>
        <v xml:space="preserve"> </v>
      </c>
      <c r="B864" s="81" t="str">
        <f t="shared" si="1"/>
        <v xml:space="preserve"> </v>
      </c>
      <c r="C864" s="79" t="str">
        <f t="shared" si="7"/>
        <v xml:space="preserve"> </v>
      </c>
      <c r="D864" s="79" t="str">
        <f t="shared" si="5"/>
        <v xml:space="preserve"> </v>
      </c>
      <c r="E864" s="79" t="str">
        <f t="shared" si="6"/>
        <v xml:space="preserve"> </v>
      </c>
    </row>
    <row r="865" spans="1:5" ht="12.5">
      <c r="A865" s="81" t="str">
        <f t="shared" si="0"/>
        <v xml:space="preserve"> </v>
      </c>
      <c r="B865" s="81" t="str">
        <f t="shared" si="1"/>
        <v xml:space="preserve"> </v>
      </c>
      <c r="C865" s="79" t="str">
        <f t="shared" si="7"/>
        <v xml:space="preserve"> </v>
      </c>
      <c r="D865" s="79" t="str">
        <f t="shared" si="5"/>
        <v xml:space="preserve"> </v>
      </c>
      <c r="E865" s="79" t="str">
        <f t="shared" si="6"/>
        <v xml:space="preserve"> </v>
      </c>
    </row>
    <row r="866" spans="1:5" ht="12.5">
      <c r="A866" s="81" t="str">
        <f t="shared" si="0"/>
        <v xml:space="preserve"> </v>
      </c>
      <c r="B866" s="81" t="str">
        <f t="shared" si="1"/>
        <v xml:space="preserve"> </v>
      </c>
      <c r="C866" s="79" t="str">
        <f t="shared" si="7"/>
        <v xml:space="preserve"> </v>
      </c>
      <c r="D866" s="79" t="str">
        <f t="shared" si="5"/>
        <v xml:space="preserve"> </v>
      </c>
      <c r="E866" s="79" t="str">
        <f t="shared" si="6"/>
        <v xml:space="preserve"> </v>
      </c>
    </row>
    <row r="867" spans="1:5" ht="12.5">
      <c r="A867" s="81" t="str">
        <f t="shared" si="0"/>
        <v xml:space="preserve"> </v>
      </c>
      <c r="B867" s="81" t="str">
        <f t="shared" si="1"/>
        <v xml:space="preserve"> </v>
      </c>
      <c r="C867" s="79" t="str">
        <f t="shared" si="7"/>
        <v xml:space="preserve"> </v>
      </c>
      <c r="D867" s="79" t="str">
        <f t="shared" si="5"/>
        <v xml:space="preserve"> </v>
      </c>
      <c r="E867" s="79" t="str">
        <f t="shared" si="6"/>
        <v xml:space="preserve"> </v>
      </c>
    </row>
    <row r="868" spans="1:5" ht="12.5">
      <c r="A868" s="81" t="str">
        <f t="shared" si="0"/>
        <v xml:space="preserve"> </v>
      </c>
      <c r="B868" s="81" t="str">
        <f t="shared" si="1"/>
        <v xml:space="preserve"> </v>
      </c>
      <c r="C868" s="79" t="str">
        <f t="shared" si="7"/>
        <v xml:space="preserve"> </v>
      </c>
      <c r="D868" s="79" t="str">
        <f t="shared" si="5"/>
        <v xml:space="preserve"> </v>
      </c>
      <c r="E868" s="79" t="str">
        <f t="shared" si="6"/>
        <v xml:space="preserve"> </v>
      </c>
    </row>
    <row r="869" spans="1:5" ht="12.5">
      <c r="A869" s="81" t="str">
        <f t="shared" si="0"/>
        <v xml:space="preserve"> </v>
      </c>
      <c r="B869" s="81" t="str">
        <f t="shared" si="1"/>
        <v xml:space="preserve"> </v>
      </c>
      <c r="C869" s="79" t="str">
        <f t="shared" si="7"/>
        <v xml:space="preserve"> </v>
      </c>
      <c r="D869" s="79" t="str">
        <f t="shared" si="5"/>
        <v xml:space="preserve"> </v>
      </c>
      <c r="E869" s="79" t="str">
        <f t="shared" si="6"/>
        <v xml:space="preserve"> </v>
      </c>
    </row>
    <row r="870" spans="1:5" ht="12.5">
      <c r="A870" s="81" t="str">
        <f t="shared" si="0"/>
        <v xml:space="preserve"> </v>
      </c>
      <c r="B870" s="81" t="str">
        <f t="shared" si="1"/>
        <v xml:space="preserve"> </v>
      </c>
      <c r="C870" s="79" t="str">
        <f t="shared" si="7"/>
        <v xml:space="preserve"> </v>
      </c>
      <c r="D870" s="79" t="str">
        <f t="shared" si="5"/>
        <v xml:space="preserve"> </v>
      </c>
      <c r="E870" s="79" t="str">
        <f t="shared" si="6"/>
        <v xml:space="preserve"> </v>
      </c>
    </row>
    <row r="871" spans="1:5" ht="12.5">
      <c r="A871" s="81" t="str">
        <f t="shared" si="0"/>
        <v xml:space="preserve"> </v>
      </c>
      <c r="B871" s="81" t="str">
        <f t="shared" si="1"/>
        <v xml:space="preserve"> </v>
      </c>
      <c r="C871" s="79" t="str">
        <f t="shared" si="7"/>
        <v xml:space="preserve"> </v>
      </c>
      <c r="D871" s="79" t="str">
        <f t="shared" si="5"/>
        <v xml:space="preserve"> </v>
      </c>
      <c r="E871" s="79" t="str">
        <f t="shared" si="6"/>
        <v xml:space="preserve"> </v>
      </c>
    </row>
    <row r="872" spans="1:5" ht="12.5">
      <c r="A872" s="81" t="str">
        <f t="shared" si="0"/>
        <v xml:space="preserve"> </v>
      </c>
      <c r="B872" s="81" t="str">
        <f t="shared" si="1"/>
        <v xml:space="preserve"> </v>
      </c>
      <c r="C872" s="79" t="str">
        <f t="shared" si="7"/>
        <v xml:space="preserve"> </v>
      </c>
      <c r="D872" s="79" t="str">
        <f t="shared" si="5"/>
        <v xml:space="preserve"> </v>
      </c>
      <c r="E872" s="79" t="str">
        <f t="shared" si="6"/>
        <v xml:space="preserve"> </v>
      </c>
    </row>
    <row r="873" spans="1:5" ht="12.5">
      <c r="A873" s="81" t="str">
        <f t="shared" si="0"/>
        <v xml:space="preserve"> </v>
      </c>
      <c r="B873" s="81" t="str">
        <f t="shared" si="1"/>
        <v xml:space="preserve"> </v>
      </c>
      <c r="C873" s="79" t="str">
        <f t="shared" si="7"/>
        <v xml:space="preserve"> </v>
      </c>
      <c r="D873" s="79" t="str">
        <f t="shared" si="5"/>
        <v xml:space="preserve"> </v>
      </c>
      <c r="E873" s="79" t="str">
        <f t="shared" si="6"/>
        <v xml:space="preserve"> </v>
      </c>
    </row>
    <row r="874" spans="1:5" ht="12.5">
      <c r="A874" s="81" t="str">
        <f t="shared" si="0"/>
        <v xml:space="preserve"> </v>
      </c>
      <c r="B874" s="81" t="str">
        <f t="shared" si="1"/>
        <v xml:space="preserve"> </v>
      </c>
      <c r="C874" s="79" t="str">
        <f t="shared" si="7"/>
        <v xml:space="preserve"> </v>
      </c>
      <c r="D874" s="79" t="str">
        <f t="shared" si="5"/>
        <v xml:space="preserve"> </v>
      </c>
      <c r="E874" s="79" t="str">
        <f t="shared" si="6"/>
        <v xml:space="preserve"> </v>
      </c>
    </row>
    <row r="875" spans="1:5" ht="12.5">
      <c r="A875" s="81" t="str">
        <f t="shared" si="0"/>
        <v xml:space="preserve"> </v>
      </c>
      <c r="B875" s="81" t="str">
        <f t="shared" si="1"/>
        <v xml:space="preserve"> </v>
      </c>
      <c r="C875" s="79" t="str">
        <f t="shared" si="7"/>
        <v xml:space="preserve"> </v>
      </c>
      <c r="D875" s="79" t="str">
        <f t="shared" si="5"/>
        <v xml:space="preserve"> </v>
      </c>
      <c r="E875" s="79" t="str">
        <f t="shared" si="6"/>
        <v xml:space="preserve"> </v>
      </c>
    </row>
    <row r="876" spans="1:5" ht="12.5">
      <c r="A876" s="81" t="str">
        <f t="shared" si="0"/>
        <v xml:space="preserve"> </v>
      </c>
      <c r="B876" s="81" t="str">
        <f t="shared" si="1"/>
        <v xml:space="preserve"> </v>
      </c>
      <c r="C876" s="79" t="str">
        <f t="shared" si="7"/>
        <v xml:space="preserve"> </v>
      </c>
      <c r="D876" s="79" t="str">
        <f t="shared" si="5"/>
        <v xml:space="preserve"> </v>
      </c>
      <c r="E876" s="79" t="str">
        <f t="shared" si="6"/>
        <v xml:space="preserve"> </v>
      </c>
    </row>
    <row r="877" spans="1:5" ht="12.5">
      <c r="A877" s="81" t="str">
        <f t="shared" si="0"/>
        <v xml:space="preserve"> </v>
      </c>
      <c r="B877" s="81" t="str">
        <f t="shared" si="1"/>
        <v xml:space="preserve"> </v>
      </c>
      <c r="C877" s="79" t="str">
        <f t="shared" si="7"/>
        <v xml:space="preserve"> </v>
      </c>
      <c r="D877" s="79" t="str">
        <f t="shared" si="5"/>
        <v xml:space="preserve"> </v>
      </c>
      <c r="E877" s="79" t="str">
        <f t="shared" si="6"/>
        <v xml:space="preserve"> </v>
      </c>
    </row>
    <row r="878" spans="1:5" ht="12.5">
      <c r="A878" s="81" t="str">
        <f t="shared" si="0"/>
        <v xml:space="preserve"> </v>
      </c>
      <c r="B878" s="81" t="str">
        <f t="shared" si="1"/>
        <v xml:space="preserve"> </v>
      </c>
      <c r="C878" s="79" t="str">
        <f t="shared" si="7"/>
        <v xml:space="preserve"> </v>
      </c>
      <c r="D878" s="79" t="str">
        <f t="shared" si="5"/>
        <v xml:space="preserve"> </v>
      </c>
      <c r="E878" s="79" t="str">
        <f t="shared" si="6"/>
        <v xml:space="preserve"> </v>
      </c>
    </row>
    <row r="879" spans="1:5" ht="12.5">
      <c r="A879" s="81" t="str">
        <f t="shared" si="0"/>
        <v xml:space="preserve"> </v>
      </c>
      <c r="B879" s="81" t="str">
        <f t="shared" si="1"/>
        <v xml:space="preserve"> </v>
      </c>
      <c r="C879" s="79" t="str">
        <f t="shared" si="7"/>
        <v xml:space="preserve"> </v>
      </c>
      <c r="D879" s="79" t="str">
        <f t="shared" si="5"/>
        <v xml:space="preserve"> </v>
      </c>
      <c r="E879" s="79" t="str">
        <f t="shared" si="6"/>
        <v xml:space="preserve"> </v>
      </c>
    </row>
    <row r="880" spans="1:5" ht="12.5">
      <c r="A880" s="81" t="str">
        <f t="shared" si="0"/>
        <v xml:space="preserve"> </v>
      </c>
      <c r="B880" s="81" t="str">
        <f t="shared" si="1"/>
        <v xml:space="preserve"> </v>
      </c>
      <c r="C880" s="79" t="str">
        <f t="shared" si="7"/>
        <v xml:space="preserve"> </v>
      </c>
      <c r="D880" s="79" t="str">
        <f t="shared" si="5"/>
        <v xml:space="preserve"> </v>
      </c>
      <c r="E880" s="79" t="str">
        <f t="shared" si="6"/>
        <v xml:space="preserve"> </v>
      </c>
    </row>
    <row r="881" spans="1:5" ht="12.5">
      <c r="A881" s="81" t="str">
        <f t="shared" si="0"/>
        <v xml:space="preserve"> </v>
      </c>
      <c r="B881" s="81" t="str">
        <f t="shared" si="1"/>
        <v xml:space="preserve"> </v>
      </c>
      <c r="C881" s="79" t="str">
        <f t="shared" si="7"/>
        <v xml:space="preserve"> </v>
      </c>
      <c r="D881" s="79" t="str">
        <f t="shared" si="5"/>
        <v xml:space="preserve"> </v>
      </c>
      <c r="E881" s="79" t="str">
        <f t="shared" si="6"/>
        <v xml:space="preserve"> </v>
      </c>
    </row>
    <row r="882" spans="1:5" ht="12.5">
      <c r="A882" s="81" t="str">
        <f t="shared" si="0"/>
        <v xml:space="preserve"> </v>
      </c>
      <c r="B882" s="81" t="str">
        <f t="shared" si="1"/>
        <v xml:space="preserve"> </v>
      </c>
      <c r="C882" s="79" t="str">
        <f t="shared" si="7"/>
        <v xml:space="preserve"> </v>
      </c>
      <c r="D882" s="79" t="str">
        <f t="shared" si="5"/>
        <v xml:space="preserve"> </v>
      </c>
      <c r="E882" s="79" t="str">
        <f t="shared" si="6"/>
        <v xml:space="preserve"> </v>
      </c>
    </row>
    <row r="883" spans="1:5" ht="12.5">
      <c r="A883" s="81" t="str">
        <f t="shared" si="0"/>
        <v xml:space="preserve"> </v>
      </c>
      <c r="B883" s="81" t="str">
        <f t="shared" si="1"/>
        <v xml:space="preserve"> </v>
      </c>
      <c r="C883" s="79" t="str">
        <f t="shared" si="7"/>
        <v xml:space="preserve"> </v>
      </c>
      <c r="D883" s="79" t="str">
        <f t="shared" si="5"/>
        <v xml:space="preserve"> </v>
      </c>
      <c r="E883" s="79" t="str">
        <f t="shared" si="6"/>
        <v xml:space="preserve"> </v>
      </c>
    </row>
    <row r="884" spans="1:5" ht="12.5">
      <c r="A884" s="81" t="str">
        <f t="shared" si="0"/>
        <v xml:space="preserve"> </v>
      </c>
      <c r="B884" s="81" t="str">
        <f t="shared" si="1"/>
        <v xml:space="preserve"> </v>
      </c>
      <c r="C884" s="79" t="str">
        <f t="shared" si="7"/>
        <v xml:space="preserve"> </v>
      </c>
      <c r="D884" s="79" t="str">
        <f t="shared" si="5"/>
        <v xml:space="preserve"> </v>
      </c>
      <c r="E884" s="79" t="str">
        <f t="shared" si="6"/>
        <v xml:space="preserve"> </v>
      </c>
    </row>
    <row r="885" spans="1:5" ht="12.5">
      <c r="A885" s="81" t="str">
        <f t="shared" si="0"/>
        <v xml:space="preserve"> </v>
      </c>
      <c r="B885" s="81" t="str">
        <f t="shared" si="1"/>
        <v xml:space="preserve"> </v>
      </c>
      <c r="C885" s="79" t="str">
        <f t="shared" si="7"/>
        <v xml:space="preserve"> </v>
      </c>
      <c r="D885" s="79" t="str">
        <f t="shared" si="5"/>
        <v xml:space="preserve"> </v>
      </c>
      <c r="E885" s="79" t="str">
        <f t="shared" si="6"/>
        <v xml:space="preserve"> </v>
      </c>
    </row>
    <row r="886" spans="1:5" ht="12.5">
      <c r="A886" s="81" t="str">
        <f t="shared" si="0"/>
        <v xml:space="preserve"> </v>
      </c>
      <c r="B886" s="81" t="str">
        <f t="shared" si="1"/>
        <v xml:space="preserve"> </v>
      </c>
      <c r="C886" s="79" t="str">
        <f t="shared" si="7"/>
        <v xml:space="preserve"> </v>
      </c>
      <c r="D886" s="79" t="str">
        <f t="shared" si="5"/>
        <v xml:space="preserve"> </v>
      </c>
      <c r="E886" s="79" t="str">
        <f t="shared" si="6"/>
        <v xml:space="preserve"> </v>
      </c>
    </row>
    <row r="887" spans="1:5" ht="12.5">
      <c r="A887" s="81" t="str">
        <f t="shared" si="0"/>
        <v xml:space="preserve"> </v>
      </c>
      <c r="B887" s="81" t="str">
        <f t="shared" si="1"/>
        <v xml:space="preserve"> </v>
      </c>
      <c r="C887" s="79" t="str">
        <f t="shared" si="7"/>
        <v xml:space="preserve"> </v>
      </c>
      <c r="D887" s="79" t="str">
        <f t="shared" si="5"/>
        <v xml:space="preserve"> </v>
      </c>
      <c r="E887" s="79" t="str">
        <f t="shared" si="6"/>
        <v xml:space="preserve"> </v>
      </c>
    </row>
    <row r="888" spans="1:5" ht="12.5">
      <c r="A888" s="81" t="str">
        <f t="shared" si="0"/>
        <v xml:space="preserve"> </v>
      </c>
      <c r="B888" s="81" t="str">
        <f t="shared" si="1"/>
        <v xml:space="preserve"> </v>
      </c>
      <c r="C888" s="79" t="str">
        <f t="shared" si="7"/>
        <v xml:space="preserve"> </v>
      </c>
      <c r="D888" s="79" t="str">
        <f t="shared" si="5"/>
        <v xml:space="preserve"> </v>
      </c>
      <c r="E888" s="79" t="str">
        <f t="shared" si="6"/>
        <v xml:space="preserve"> </v>
      </c>
    </row>
    <row r="889" spans="1:5" ht="12.5">
      <c r="A889" s="81" t="str">
        <f t="shared" si="0"/>
        <v xml:space="preserve"> </v>
      </c>
      <c r="B889" s="81" t="str">
        <f t="shared" si="1"/>
        <v xml:space="preserve"> </v>
      </c>
      <c r="C889" s="79" t="str">
        <f t="shared" si="7"/>
        <v xml:space="preserve"> </v>
      </c>
      <c r="D889" s="79" t="str">
        <f t="shared" si="5"/>
        <v xml:space="preserve"> </v>
      </c>
      <c r="E889" s="79" t="str">
        <f t="shared" si="6"/>
        <v xml:space="preserve"> </v>
      </c>
    </row>
    <row r="890" spans="1:5" ht="12.5">
      <c r="A890" s="81" t="str">
        <f t="shared" si="0"/>
        <v xml:space="preserve"> </v>
      </c>
      <c r="B890" s="81" t="str">
        <f t="shared" si="1"/>
        <v xml:space="preserve"> </v>
      </c>
      <c r="C890" s="79" t="str">
        <f t="shared" si="7"/>
        <v xml:space="preserve"> </v>
      </c>
      <c r="D890" s="79" t="str">
        <f t="shared" si="5"/>
        <v xml:space="preserve"> </v>
      </c>
      <c r="E890" s="79" t="str">
        <f t="shared" si="6"/>
        <v xml:space="preserve"> </v>
      </c>
    </row>
    <row r="891" spans="1:5" ht="12.5">
      <c r="A891" s="81" t="str">
        <f t="shared" si="0"/>
        <v xml:space="preserve"> </v>
      </c>
      <c r="B891" s="81" t="str">
        <f t="shared" si="1"/>
        <v xml:space="preserve"> </v>
      </c>
      <c r="C891" s="79" t="str">
        <f t="shared" si="7"/>
        <v xml:space="preserve"> </v>
      </c>
      <c r="D891" s="79" t="str">
        <f t="shared" si="5"/>
        <v xml:space="preserve"> </v>
      </c>
      <c r="E891" s="79" t="str">
        <f t="shared" si="6"/>
        <v xml:space="preserve"> </v>
      </c>
    </row>
    <row r="892" spans="1:5" ht="12.5">
      <c r="A892" s="81" t="str">
        <f t="shared" si="0"/>
        <v xml:space="preserve"> </v>
      </c>
      <c r="B892" s="81" t="str">
        <f t="shared" si="1"/>
        <v xml:space="preserve"> </v>
      </c>
      <c r="C892" s="79" t="str">
        <f t="shared" si="7"/>
        <v xml:space="preserve"> </v>
      </c>
      <c r="D892" s="79" t="str">
        <f t="shared" si="5"/>
        <v xml:space="preserve"> </v>
      </c>
      <c r="E892" s="79" t="str">
        <f t="shared" si="6"/>
        <v xml:space="preserve"> </v>
      </c>
    </row>
    <row r="893" spans="1:5" ht="12.5">
      <c r="A893" s="81" t="str">
        <f t="shared" si="0"/>
        <v xml:space="preserve"> </v>
      </c>
      <c r="B893" s="81" t="str">
        <f t="shared" si="1"/>
        <v xml:space="preserve"> </v>
      </c>
      <c r="C893" s="79" t="str">
        <f t="shared" si="7"/>
        <v xml:space="preserve"> </v>
      </c>
      <c r="D893" s="79" t="str">
        <f t="shared" si="5"/>
        <v xml:space="preserve"> </v>
      </c>
      <c r="E893" s="79" t="str">
        <f t="shared" si="6"/>
        <v xml:space="preserve"> </v>
      </c>
    </row>
    <row r="894" spans="1:5" ht="12.5">
      <c r="A894" s="81" t="str">
        <f t="shared" si="0"/>
        <v xml:space="preserve"> </v>
      </c>
      <c r="B894" s="81" t="str">
        <f t="shared" si="1"/>
        <v xml:space="preserve"> </v>
      </c>
      <c r="C894" s="79" t="str">
        <f t="shared" si="7"/>
        <v xml:space="preserve"> </v>
      </c>
      <c r="D894" s="79" t="str">
        <f t="shared" si="5"/>
        <v xml:space="preserve"> </v>
      </c>
      <c r="E894" s="79" t="str">
        <f t="shared" si="6"/>
        <v xml:space="preserve"> </v>
      </c>
    </row>
    <row r="895" spans="1:5" ht="12.5">
      <c r="A895" s="81" t="str">
        <f t="shared" si="0"/>
        <v xml:space="preserve"> </v>
      </c>
      <c r="B895" s="81" t="str">
        <f t="shared" si="1"/>
        <v xml:space="preserve"> </v>
      </c>
      <c r="C895" s="79" t="str">
        <f t="shared" si="7"/>
        <v xml:space="preserve"> </v>
      </c>
      <c r="D895" s="79" t="str">
        <f t="shared" si="5"/>
        <v xml:space="preserve"> </v>
      </c>
      <c r="E895" s="79" t="str">
        <f t="shared" si="6"/>
        <v xml:space="preserve"> </v>
      </c>
    </row>
    <row r="896" spans="1:5" ht="12.5">
      <c r="A896" s="81" t="str">
        <f t="shared" si="0"/>
        <v xml:space="preserve"> </v>
      </c>
      <c r="B896" s="81" t="str">
        <f t="shared" si="1"/>
        <v xml:space="preserve"> </v>
      </c>
      <c r="C896" s="79" t="str">
        <f t="shared" si="7"/>
        <v xml:space="preserve"> </v>
      </c>
      <c r="D896" s="79" t="str">
        <f t="shared" si="5"/>
        <v xml:space="preserve"> </v>
      </c>
      <c r="E896" s="79" t="str">
        <f t="shared" si="6"/>
        <v xml:space="preserve"> </v>
      </c>
    </row>
    <row r="897" spans="1:5" ht="12.5">
      <c r="A897" s="81" t="str">
        <f t="shared" si="0"/>
        <v xml:space="preserve"> </v>
      </c>
      <c r="B897" s="81" t="str">
        <f t="shared" si="1"/>
        <v xml:space="preserve"> </v>
      </c>
      <c r="C897" s="79" t="str">
        <f t="shared" si="7"/>
        <v xml:space="preserve"> </v>
      </c>
      <c r="D897" s="79" t="str">
        <f t="shared" si="5"/>
        <v xml:space="preserve"> </v>
      </c>
      <c r="E897" s="79" t="str">
        <f t="shared" si="6"/>
        <v xml:space="preserve"> </v>
      </c>
    </row>
    <row r="898" spans="1:5" ht="12.5">
      <c r="A898" s="81" t="str">
        <f t="shared" si="0"/>
        <v xml:space="preserve"> </v>
      </c>
      <c r="B898" s="81" t="str">
        <f t="shared" si="1"/>
        <v xml:space="preserve"> </v>
      </c>
      <c r="C898" s="79" t="str">
        <f t="shared" si="7"/>
        <v xml:space="preserve"> </v>
      </c>
      <c r="D898" s="79" t="str">
        <f t="shared" si="5"/>
        <v xml:space="preserve"> </v>
      </c>
      <c r="E898" s="79" t="str">
        <f t="shared" si="6"/>
        <v xml:space="preserve"> </v>
      </c>
    </row>
    <row r="899" spans="1:5" ht="12.5">
      <c r="A899" s="81" t="str">
        <f t="shared" si="0"/>
        <v xml:space="preserve"> </v>
      </c>
      <c r="B899" s="81" t="str">
        <f t="shared" si="1"/>
        <v xml:space="preserve"> </v>
      </c>
      <c r="C899" s="79" t="str">
        <f t="shared" si="7"/>
        <v xml:space="preserve"> </v>
      </c>
      <c r="D899" s="79" t="str">
        <f t="shared" si="5"/>
        <v xml:space="preserve"> </v>
      </c>
      <c r="E899" s="79" t="str">
        <f t="shared" si="6"/>
        <v xml:space="preserve"> </v>
      </c>
    </row>
    <row r="900" spans="1:5" ht="12.5">
      <c r="A900" s="81" t="str">
        <f t="shared" si="0"/>
        <v xml:space="preserve"> </v>
      </c>
      <c r="B900" s="81" t="str">
        <f t="shared" si="1"/>
        <v xml:space="preserve"> </v>
      </c>
      <c r="C900" s="79" t="str">
        <f t="shared" si="7"/>
        <v xml:space="preserve"> </v>
      </c>
      <c r="D900" s="79" t="str">
        <f t="shared" si="5"/>
        <v xml:space="preserve"> </v>
      </c>
      <c r="E900" s="79" t="str">
        <f t="shared" si="6"/>
        <v xml:space="preserve"> </v>
      </c>
    </row>
    <row r="901" spans="1:5" ht="12.5">
      <c r="A901" s="81" t="str">
        <f t="shared" si="0"/>
        <v xml:space="preserve"> </v>
      </c>
      <c r="B901" s="81" t="str">
        <f t="shared" si="1"/>
        <v xml:space="preserve"> </v>
      </c>
      <c r="C901" s="79" t="str">
        <f t="shared" si="7"/>
        <v xml:space="preserve"> </v>
      </c>
      <c r="D901" s="79" t="str">
        <f t="shared" si="5"/>
        <v xml:space="preserve"> </v>
      </c>
      <c r="E901" s="79" t="str">
        <f t="shared" si="6"/>
        <v xml:space="preserve"> </v>
      </c>
    </row>
    <row r="902" spans="1:5" ht="12.5">
      <c r="A902" s="81" t="str">
        <f t="shared" si="0"/>
        <v xml:space="preserve"> </v>
      </c>
      <c r="B902" s="81" t="str">
        <f t="shared" si="1"/>
        <v xml:space="preserve"> </v>
      </c>
      <c r="C902" s="79" t="str">
        <f t="shared" si="7"/>
        <v xml:space="preserve"> </v>
      </c>
      <c r="D902" s="79" t="str">
        <f t="shared" si="5"/>
        <v xml:space="preserve"> </v>
      </c>
      <c r="E902" s="79" t="str">
        <f t="shared" si="6"/>
        <v xml:space="preserve"> </v>
      </c>
    </row>
    <row r="903" spans="1:5" ht="12.5">
      <c r="A903" s="81" t="str">
        <f t="shared" si="0"/>
        <v xml:space="preserve"> </v>
      </c>
      <c r="B903" s="81" t="str">
        <f t="shared" si="1"/>
        <v xml:space="preserve"> </v>
      </c>
      <c r="C903" s="79" t="str">
        <f t="shared" si="7"/>
        <v xml:space="preserve"> </v>
      </c>
      <c r="D903" s="79" t="str">
        <f t="shared" si="5"/>
        <v xml:space="preserve"> </v>
      </c>
      <c r="E903" s="79" t="str">
        <f t="shared" si="6"/>
        <v xml:space="preserve"> </v>
      </c>
    </row>
    <row r="904" spans="1:5" ht="12.5">
      <c r="A904" s="81" t="str">
        <f t="shared" si="0"/>
        <v xml:space="preserve"> </v>
      </c>
      <c r="B904" s="81" t="str">
        <f t="shared" si="1"/>
        <v xml:space="preserve"> </v>
      </c>
      <c r="C904" s="79" t="str">
        <f t="shared" si="7"/>
        <v xml:space="preserve"> </v>
      </c>
      <c r="D904" s="79" t="str">
        <f t="shared" si="5"/>
        <v xml:space="preserve"> </v>
      </c>
      <c r="E904" s="79" t="str">
        <f t="shared" si="6"/>
        <v xml:space="preserve"> </v>
      </c>
    </row>
    <row r="905" spans="1:5" ht="12.5">
      <c r="A905" s="81" t="str">
        <f t="shared" si="0"/>
        <v xml:space="preserve"> </v>
      </c>
      <c r="B905" s="81" t="str">
        <f t="shared" si="1"/>
        <v xml:space="preserve"> </v>
      </c>
      <c r="C905" s="79" t="str">
        <f t="shared" si="7"/>
        <v xml:space="preserve"> </v>
      </c>
      <c r="D905" s="79" t="str">
        <f t="shared" si="5"/>
        <v xml:space="preserve"> </v>
      </c>
      <c r="E905" s="79" t="str">
        <f t="shared" si="6"/>
        <v xml:space="preserve"> </v>
      </c>
    </row>
    <row r="906" spans="1:5" ht="12.5">
      <c r="A906" s="81" t="str">
        <f t="shared" si="0"/>
        <v xml:space="preserve"> </v>
      </c>
      <c r="B906" s="81" t="str">
        <f t="shared" si="1"/>
        <v xml:space="preserve"> </v>
      </c>
      <c r="C906" s="79" t="str">
        <f t="shared" si="7"/>
        <v xml:space="preserve"> </v>
      </c>
      <c r="D906" s="79" t="str">
        <f t="shared" si="5"/>
        <v xml:space="preserve"> </v>
      </c>
      <c r="E906" s="79" t="str">
        <f t="shared" si="6"/>
        <v xml:space="preserve"> </v>
      </c>
    </row>
    <row r="907" spans="1:5" ht="12.5">
      <c r="A907" s="81" t="str">
        <f t="shared" si="0"/>
        <v xml:space="preserve"> </v>
      </c>
      <c r="B907" s="81" t="str">
        <f t="shared" si="1"/>
        <v xml:space="preserve"> </v>
      </c>
      <c r="C907" s="79" t="str">
        <f t="shared" si="7"/>
        <v xml:space="preserve"> </v>
      </c>
      <c r="D907" s="79" t="str">
        <f t="shared" si="5"/>
        <v xml:space="preserve"> </v>
      </c>
      <c r="E907" s="79" t="str">
        <f t="shared" si="6"/>
        <v xml:space="preserve"> </v>
      </c>
    </row>
    <row r="908" spans="1:5" ht="12.5">
      <c r="A908" s="81" t="str">
        <f t="shared" si="0"/>
        <v xml:space="preserve"> </v>
      </c>
      <c r="B908" s="81" t="str">
        <f t="shared" si="1"/>
        <v xml:space="preserve"> </v>
      </c>
      <c r="C908" s="79" t="str">
        <f t="shared" si="7"/>
        <v xml:space="preserve"> </v>
      </c>
      <c r="D908" s="79" t="str">
        <f t="shared" si="5"/>
        <v xml:space="preserve"> </v>
      </c>
      <c r="E908" s="79" t="str">
        <f t="shared" si="6"/>
        <v xml:space="preserve"> </v>
      </c>
    </row>
    <row r="909" spans="1:5" ht="12.5">
      <c r="A909" s="81" t="str">
        <f t="shared" si="0"/>
        <v xml:space="preserve"> </v>
      </c>
      <c r="B909" s="81" t="str">
        <f t="shared" si="1"/>
        <v xml:space="preserve"> </v>
      </c>
      <c r="C909" s="79" t="str">
        <f t="shared" si="7"/>
        <v xml:space="preserve"> </v>
      </c>
      <c r="D909" s="79" t="str">
        <f t="shared" si="5"/>
        <v xml:space="preserve"> </v>
      </c>
      <c r="E909" s="79" t="str">
        <f t="shared" si="6"/>
        <v xml:space="preserve"> </v>
      </c>
    </row>
    <row r="910" spans="1:5" ht="12.5">
      <c r="A910" s="81" t="str">
        <f t="shared" si="0"/>
        <v xml:space="preserve"> </v>
      </c>
      <c r="B910" s="81" t="str">
        <f t="shared" si="1"/>
        <v xml:space="preserve"> </v>
      </c>
      <c r="C910" s="79" t="str">
        <f t="shared" si="7"/>
        <v xml:space="preserve"> </v>
      </c>
      <c r="D910" s="79" t="str">
        <f t="shared" si="5"/>
        <v xml:space="preserve"> </v>
      </c>
      <c r="E910" s="79" t="str">
        <f t="shared" si="6"/>
        <v xml:space="preserve"> </v>
      </c>
    </row>
    <row r="911" spans="1:5" ht="12.5">
      <c r="A911" s="81" t="str">
        <f t="shared" si="0"/>
        <v xml:space="preserve"> </v>
      </c>
      <c r="B911" s="81" t="str">
        <f t="shared" si="1"/>
        <v xml:space="preserve"> </v>
      </c>
      <c r="C911" s="79" t="str">
        <f t="shared" si="7"/>
        <v xml:space="preserve"> </v>
      </c>
      <c r="D911" s="79" t="str">
        <f t="shared" si="5"/>
        <v xml:space="preserve"> </v>
      </c>
      <c r="E911" s="79" t="str">
        <f t="shared" si="6"/>
        <v xml:space="preserve"> </v>
      </c>
    </row>
    <row r="912" spans="1:5" ht="12.5">
      <c r="A912" s="81" t="str">
        <f t="shared" si="0"/>
        <v xml:space="preserve"> </v>
      </c>
      <c r="B912" s="81" t="str">
        <f t="shared" si="1"/>
        <v xml:space="preserve"> </v>
      </c>
      <c r="C912" s="79" t="str">
        <f t="shared" si="7"/>
        <v xml:space="preserve"> </v>
      </c>
      <c r="D912" s="79" t="str">
        <f t="shared" si="5"/>
        <v xml:space="preserve"> </v>
      </c>
      <c r="E912" s="79" t="str">
        <f t="shared" si="6"/>
        <v xml:space="preserve"> </v>
      </c>
    </row>
    <row r="913" spans="1:5" ht="12.5">
      <c r="A913" s="81" t="str">
        <f t="shared" si="0"/>
        <v xml:space="preserve"> </v>
      </c>
      <c r="B913" s="81" t="str">
        <f t="shared" si="1"/>
        <v xml:space="preserve"> </v>
      </c>
      <c r="C913" s="79" t="str">
        <f t="shared" si="7"/>
        <v xml:space="preserve"> </v>
      </c>
      <c r="D913" s="79" t="str">
        <f t="shared" si="5"/>
        <v xml:space="preserve"> </v>
      </c>
      <c r="E913" s="79" t="str">
        <f t="shared" si="6"/>
        <v xml:space="preserve"> </v>
      </c>
    </row>
    <row r="914" spans="1:5" ht="12.5">
      <c r="A914" s="81" t="str">
        <f t="shared" si="0"/>
        <v xml:space="preserve"> </v>
      </c>
      <c r="B914" s="81" t="str">
        <f t="shared" si="1"/>
        <v xml:space="preserve"> </v>
      </c>
      <c r="C914" s="79" t="str">
        <f t="shared" si="7"/>
        <v xml:space="preserve"> </v>
      </c>
      <c r="D914" s="79" t="str">
        <f t="shared" si="5"/>
        <v xml:space="preserve"> </v>
      </c>
      <c r="E914" s="79" t="str">
        <f t="shared" si="6"/>
        <v xml:space="preserve"> </v>
      </c>
    </row>
    <row r="915" spans="1:5" ht="12.5">
      <c r="A915" s="81" t="str">
        <f t="shared" si="0"/>
        <v xml:space="preserve"> </v>
      </c>
      <c r="B915" s="81" t="str">
        <f t="shared" si="1"/>
        <v xml:space="preserve"> </v>
      </c>
      <c r="C915" s="79" t="str">
        <f t="shared" si="7"/>
        <v xml:space="preserve"> </v>
      </c>
      <c r="D915" s="79" t="str">
        <f t="shared" si="5"/>
        <v xml:space="preserve"> </v>
      </c>
      <c r="E915" s="79" t="str">
        <f t="shared" si="6"/>
        <v xml:space="preserve"> </v>
      </c>
    </row>
    <row r="916" spans="1:5" ht="12.5">
      <c r="A916" s="81" t="str">
        <f t="shared" si="0"/>
        <v xml:space="preserve"> </v>
      </c>
      <c r="B916" s="81" t="str">
        <f t="shared" si="1"/>
        <v xml:space="preserve"> </v>
      </c>
      <c r="C916" s="79" t="str">
        <f t="shared" si="7"/>
        <v xml:space="preserve"> </v>
      </c>
      <c r="D916" s="79" t="str">
        <f t="shared" si="5"/>
        <v xml:space="preserve"> </v>
      </c>
      <c r="E916" s="79" t="str">
        <f t="shared" si="6"/>
        <v xml:space="preserve"> </v>
      </c>
    </row>
    <row r="917" spans="1:5" ht="12.5">
      <c r="A917" s="81" t="str">
        <f t="shared" si="0"/>
        <v xml:space="preserve"> </v>
      </c>
      <c r="B917" s="81" t="str">
        <f t="shared" si="1"/>
        <v xml:space="preserve"> </v>
      </c>
      <c r="C917" s="79" t="str">
        <f t="shared" si="7"/>
        <v xml:space="preserve"> </v>
      </c>
      <c r="D917" s="79" t="str">
        <f t="shared" si="5"/>
        <v xml:space="preserve"> </v>
      </c>
      <c r="E917" s="79" t="str">
        <f t="shared" si="6"/>
        <v xml:space="preserve"> </v>
      </c>
    </row>
    <row r="918" spans="1:5" ht="12.5">
      <c r="A918" s="81" t="str">
        <f t="shared" si="0"/>
        <v xml:space="preserve"> </v>
      </c>
      <c r="B918" s="81" t="str">
        <f t="shared" si="1"/>
        <v xml:space="preserve"> </v>
      </c>
      <c r="C918" s="79" t="str">
        <f t="shared" si="7"/>
        <v xml:space="preserve"> </v>
      </c>
      <c r="D918" s="79" t="str">
        <f t="shared" si="5"/>
        <v xml:space="preserve"> </v>
      </c>
      <c r="E918" s="79" t="str">
        <f t="shared" si="6"/>
        <v xml:space="preserve"> </v>
      </c>
    </row>
    <row r="919" spans="1:5" ht="12.5">
      <c r="A919" s="81" t="str">
        <f t="shared" si="0"/>
        <v xml:space="preserve"> </v>
      </c>
      <c r="B919" s="81" t="str">
        <f t="shared" si="1"/>
        <v xml:space="preserve"> </v>
      </c>
      <c r="C919" s="79" t="str">
        <f t="shared" si="7"/>
        <v xml:space="preserve"> </v>
      </c>
      <c r="D919" s="79" t="str">
        <f t="shared" si="5"/>
        <v xml:space="preserve"> </v>
      </c>
      <c r="E919" s="79" t="str">
        <f t="shared" si="6"/>
        <v xml:space="preserve"> </v>
      </c>
    </row>
    <row r="920" spans="1:5" ht="12.5">
      <c r="A920" s="81" t="str">
        <f t="shared" si="0"/>
        <v xml:space="preserve"> </v>
      </c>
      <c r="B920" s="81" t="str">
        <f t="shared" si="1"/>
        <v xml:space="preserve"> </v>
      </c>
      <c r="C920" s="79" t="str">
        <f t="shared" si="7"/>
        <v xml:space="preserve"> </v>
      </c>
      <c r="D920" s="79" t="str">
        <f t="shared" si="5"/>
        <v xml:space="preserve"> </v>
      </c>
      <c r="E920" s="79" t="str">
        <f t="shared" si="6"/>
        <v xml:space="preserve"> </v>
      </c>
    </row>
    <row r="921" spans="1:5" ht="12.5">
      <c r="A921" s="81" t="str">
        <f t="shared" si="0"/>
        <v xml:space="preserve"> </v>
      </c>
      <c r="B921" s="81" t="str">
        <f t="shared" si="1"/>
        <v xml:space="preserve"> </v>
      </c>
      <c r="C921" s="79" t="str">
        <f t="shared" si="7"/>
        <v xml:space="preserve"> </v>
      </c>
      <c r="D921" s="79" t="str">
        <f t="shared" si="5"/>
        <v xml:space="preserve"> </v>
      </c>
      <c r="E921" s="79" t="str">
        <f t="shared" si="6"/>
        <v xml:space="preserve"> </v>
      </c>
    </row>
    <row r="922" spans="1:5" ht="12.5">
      <c r="A922" s="81" t="str">
        <f t="shared" si="0"/>
        <v xml:space="preserve"> </v>
      </c>
      <c r="B922" s="81" t="str">
        <f t="shared" si="1"/>
        <v xml:space="preserve"> </v>
      </c>
      <c r="C922" s="79" t="str">
        <f t="shared" si="7"/>
        <v xml:space="preserve"> </v>
      </c>
      <c r="D922" s="79" t="str">
        <f t="shared" si="5"/>
        <v xml:space="preserve"> </v>
      </c>
      <c r="E922" s="79" t="str">
        <f t="shared" si="6"/>
        <v xml:space="preserve"> </v>
      </c>
    </row>
    <row r="923" spans="1:5" ht="12.5">
      <c r="A923" s="81" t="str">
        <f t="shared" si="0"/>
        <v xml:space="preserve"> </v>
      </c>
      <c r="B923" s="81" t="str">
        <f t="shared" si="1"/>
        <v xml:space="preserve"> </v>
      </c>
      <c r="C923" s="79" t="str">
        <f t="shared" si="7"/>
        <v xml:space="preserve"> </v>
      </c>
      <c r="D923" s="79" t="str">
        <f t="shared" si="5"/>
        <v xml:space="preserve"> </v>
      </c>
      <c r="E923" s="79" t="str">
        <f t="shared" si="6"/>
        <v xml:space="preserve"> </v>
      </c>
    </row>
    <row r="924" spans="1:5" ht="12.5">
      <c r="A924" s="81" t="str">
        <f t="shared" si="0"/>
        <v xml:space="preserve"> </v>
      </c>
      <c r="B924" s="81" t="str">
        <f t="shared" si="1"/>
        <v xml:space="preserve"> </v>
      </c>
      <c r="C924" s="79" t="str">
        <f t="shared" si="7"/>
        <v xml:space="preserve"> </v>
      </c>
      <c r="D924" s="79" t="str">
        <f t="shared" si="5"/>
        <v xml:space="preserve"> </v>
      </c>
      <c r="E924" s="79" t="str">
        <f t="shared" si="6"/>
        <v xml:space="preserve"> </v>
      </c>
    </row>
    <row r="925" spans="1:5" ht="12.5">
      <c r="A925" s="81" t="str">
        <f t="shared" si="0"/>
        <v xml:space="preserve"> </v>
      </c>
      <c r="B925" s="81" t="str">
        <f t="shared" si="1"/>
        <v xml:space="preserve"> </v>
      </c>
      <c r="C925" s="79" t="str">
        <f t="shared" si="7"/>
        <v xml:space="preserve"> </v>
      </c>
      <c r="D925" s="79" t="str">
        <f t="shared" si="5"/>
        <v xml:space="preserve"> </v>
      </c>
      <c r="E925" s="79" t="str">
        <f t="shared" si="6"/>
        <v xml:space="preserve"> </v>
      </c>
    </row>
    <row r="926" spans="1:5" ht="12.5">
      <c r="A926" s="81" t="str">
        <f t="shared" si="0"/>
        <v xml:space="preserve"> </v>
      </c>
      <c r="B926" s="81" t="str">
        <f t="shared" si="1"/>
        <v xml:space="preserve"> </v>
      </c>
      <c r="C926" s="79" t="str">
        <f t="shared" si="7"/>
        <v xml:space="preserve"> </v>
      </c>
      <c r="D926" s="79" t="str">
        <f t="shared" si="5"/>
        <v xml:space="preserve"> </v>
      </c>
      <c r="E926" s="79" t="str">
        <f t="shared" si="6"/>
        <v xml:space="preserve"> </v>
      </c>
    </row>
    <row r="927" spans="1:5" ht="12.5">
      <c r="A927" s="81" t="str">
        <f t="shared" si="0"/>
        <v xml:space="preserve"> </v>
      </c>
      <c r="B927" s="81" t="str">
        <f t="shared" si="1"/>
        <v xml:space="preserve"> </v>
      </c>
      <c r="C927" s="79" t="str">
        <f t="shared" si="7"/>
        <v xml:space="preserve"> </v>
      </c>
      <c r="D927" s="79" t="str">
        <f t="shared" si="5"/>
        <v xml:space="preserve"> </v>
      </c>
      <c r="E927" s="79" t="str">
        <f t="shared" si="6"/>
        <v xml:space="preserve"> </v>
      </c>
    </row>
    <row r="928" spans="1:5" ht="12.5">
      <c r="A928" s="81" t="str">
        <f t="shared" si="0"/>
        <v xml:space="preserve"> </v>
      </c>
      <c r="B928" s="81" t="str">
        <f t="shared" si="1"/>
        <v xml:space="preserve"> </v>
      </c>
      <c r="C928" s="79" t="str">
        <f t="shared" si="7"/>
        <v xml:space="preserve"> </v>
      </c>
      <c r="D928" s="79" t="str">
        <f t="shared" si="5"/>
        <v xml:space="preserve"> </v>
      </c>
      <c r="E928" s="79" t="str">
        <f t="shared" si="6"/>
        <v xml:space="preserve"> </v>
      </c>
    </row>
    <row r="929" spans="1:5" ht="12.5">
      <c r="A929" s="81" t="str">
        <f t="shared" si="0"/>
        <v xml:space="preserve"> </v>
      </c>
      <c r="B929" s="81" t="str">
        <f t="shared" si="1"/>
        <v xml:space="preserve"> </v>
      </c>
      <c r="C929" s="79" t="str">
        <f t="shared" si="7"/>
        <v xml:space="preserve"> </v>
      </c>
      <c r="D929" s="79" t="str">
        <f t="shared" si="5"/>
        <v xml:space="preserve"> </v>
      </c>
      <c r="E929" s="79" t="str">
        <f t="shared" si="6"/>
        <v xml:space="preserve"> </v>
      </c>
    </row>
    <row r="930" spans="1:5" ht="12.5">
      <c r="A930" s="81" t="str">
        <f t="shared" si="0"/>
        <v xml:space="preserve"> </v>
      </c>
      <c r="B930" s="81" t="str">
        <f t="shared" si="1"/>
        <v xml:space="preserve"> </v>
      </c>
      <c r="C930" s="79" t="str">
        <f t="shared" si="7"/>
        <v xml:space="preserve"> </v>
      </c>
      <c r="D930" s="79" t="str">
        <f t="shared" si="5"/>
        <v xml:space="preserve"> </v>
      </c>
      <c r="E930" s="79" t="str">
        <f t="shared" si="6"/>
        <v xml:space="preserve"> </v>
      </c>
    </row>
    <row r="931" spans="1:5" ht="12.5">
      <c r="A931" s="81" t="str">
        <f t="shared" si="0"/>
        <v xml:space="preserve"> </v>
      </c>
      <c r="B931" s="81" t="str">
        <f t="shared" si="1"/>
        <v xml:space="preserve"> </v>
      </c>
      <c r="C931" s="79" t="str">
        <f t="shared" si="7"/>
        <v xml:space="preserve"> </v>
      </c>
      <c r="D931" s="79" t="str">
        <f t="shared" si="5"/>
        <v xml:space="preserve"> </v>
      </c>
      <c r="E931" s="79" t="str">
        <f t="shared" si="6"/>
        <v xml:space="preserve"> </v>
      </c>
    </row>
    <row r="932" spans="1:5" ht="12.5">
      <c r="A932" s="81" t="str">
        <f t="shared" si="0"/>
        <v xml:space="preserve"> </v>
      </c>
      <c r="B932" s="81" t="str">
        <f t="shared" si="1"/>
        <v xml:space="preserve"> </v>
      </c>
      <c r="C932" s="79" t="str">
        <f t="shared" si="7"/>
        <v xml:space="preserve"> </v>
      </c>
      <c r="D932" s="79" t="str">
        <f t="shared" si="5"/>
        <v xml:space="preserve"> </v>
      </c>
      <c r="E932" s="79" t="str">
        <f t="shared" si="6"/>
        <v xml:space="preserve"> </v>
      </c>
    </row>
    <row r="933" spans="1:5" ht="12.5">
      <c r="A933" s="81" t="str">
        <f t="shared" si="0"/>
        <v xml:space="preserve"> </v>
      </c>
      <c r="B933" s="81" t="str">
        <f t="shared" si="1"/>
        <v xml:space="preserve"> </v>
      </c>
      <c r="C933" s="79" t="str">
        <f t="shared" si="7"/>
        <v xml:space="preserve"> </v>
      </c>
      <c r="D933" s="79" t="str">
        <f t="shared" si="5"/>
        <v xml:space="preserve"> </v>
      </c>
      <c r="E933" s="79" t="str">
        <f t="shared" si="6"/>
        <v xml:space="preserve"> </v>
      </c>
    </row>
    <row r="934" spans="1:5" ht="12.5">
      <c r="A934" s="81" t="str">
        <f t="shared" si="0"/>
        <v xml:space="preserve"> </v>
      </c>
      <c r="B934" s="81" t="str">
        <f t="shared" si="1"/>
        <v xml:space="preserve"> </v>
      </c>
      <c r="C934" s="79" t="str">
        <f t="shared" si="7"/>
        <v xml:space="preserve"> </v>
      </c>
      <c r="D934" s="79" t="str">
        <f t="shared" si="5"/>
        <v xml:space="preserve"> </v>
      </c>
      <c r="E934" s="79" t="str">
        <f t="shared" si="6"/>
        <v xml:space="preserve"> </v>
      </c>
    </row>
    <row r="935" spans="1:5" ht="12.5">
      <c r="A935" s="81" t="str">
        <f t="shared" si="0"/>
        <v xml:space="preserve"> </v>
      </c>
      <c r="B935" s="81" t="str">
        <f t="shared" si="1"/>
        <v xml:space="preserve"> </v>
      </c>
      <c r="C935" s="79" t="str">
        <f t="shared" si="7"/>
        <v xml:space="preserve"> </v>
      </c>
      <c r="D935" s="79" t="str">
        <f t="shared" si="5"/>
        <v xml:space="preserve"> </v>
      </c>
      <c r="E935" s="79" t="str">
        <f t="shared" si="6"/>
        <v xml:space="preserve"> </v>
      </c>
    </row>
    <row r="936" spans="1:5" ht="12.5">
      <c r="A936" s="81" t="str">
        <f t="shared" si="0"/>
        <v xml:space="preserve"> </v>
      </c>
      <c r="B936" s="81" t="str">
        <f t="shared" si="1"/>
        <v xml:space="preserve"> </v>
      </c>
      <c r="C936" s="79" t="str">
        <f t="shared" si="7"/>
        <v xml:space="preserve"> </v>
      </c>
      <c r="D936" s="79" t="str">
        <f t="shared" si="5"/>
        <v xml:space="preserve"> </v>
      </c>
      <c r="E936" s="79" t="str">
        <f t="shared" si="6"/>
        <v xml:space="preserve"> </v>
      </c>
    </row>
    <row r="937" spans="1:5" ht="12.5">
      <c r="A937" s="81" t="str">
        <f t="shared" si="0"/>
        <v xml:space="preserve"> </v>
      </c>
      <c r="B937" s="81" t="str">
        <f t="shared" si="1"/>
        <v xml:space="preserve"> </v>
      </c>
      <c r="C937" s="79" t="str">
        <f t="shared" si="7"/>
        <v xml:space="preserve"> </v>
      </c>
      <c r="D937" s="79" t="str">
        <f t="shared" si="5"/>
        <v xml:space="preserve"> </v>
      </c>
      <c r="E937" s="79" t="str">
        <f t="shared" si="6"/>
        <v xml:space="preserve"> </v>
      </c>
    </row>
    <row r="938" spans="1:5" ht="12.5">
      <c r="A938" s="81" t="str">
        <f t="shared" si="0"/>
        <v xml:space="preserve"> </v>
      </c>
      <c r="B938" s="81" t="str">
        <f t="shared" si="1"/>
        <v xml:space="preserve"> </v>
      </c>
      <c r="C938" s="79" t="str">
        <f t="shared" si="7"/>
        <v xml:space="preserve"> </v>
      </c>
      <c r="D938" s="79" t="str">
        <f t="shared" si="5"/>
        <v xml:space="preserve"> </v>
      </c>
      <c r="E938" s="79" t="str">
        <f t="shared" si="6"/>
        <v xml:space="preserve"> </v>
      </c>
    </row>
    <row r="939" spans="1:5" ht="12.5">
      <c r="A939" s="81" t="str">
        <f t="shared" si="0"/>
        <v xml:space="preserve"> </v>
      </c>
      <c r="B939" s="81" t="str">
        <f t="shared" si="1"/>
        <v xml:space="preserve"> </v>
      </c>
      <c r="C939" s="79" t="str">
        <f t="shared" si="7"/>
        <v xml:space="preserve"> </v>
      </c>
      <c r="D939" s="79" t="str">
        <f t="shared" si="5"/>
        <v xml:space="preserve"> </v>
      </c>
      <c r="E939" s="79" t="str">
        <f t="shared" si="6"/>
        <v xml:space="preserve"> </v>
      </c>
    </row>
    <row r="940" spans="1:5" ht="12.5">
      <c r="A940" s="81" t="str">
        <f t="shared" si="0"/>
        <v xml:space="preserve"> </v>
      </c>
      <c r="B940" s="81" t="str">
        <f t="shared" si="1"/>
        <v xml:space="preserve"> </v>
      </c>
      <c r="C940" s="79" t="str">
        <f t="shared" si="7"/>
        <v xml:space="preserve"> </v>
      </c>
      <c r="D940" s="79" t="str">
        <f t="shared" si="5"/>
        <v xml:space="preserve"> </v>
      </c>
      <c r="E940" s="79" t="str">
        <f t="shared" si="6"/>
        <v xml:space="preserve"> </v>
      </c>
    </row>
    <row r="941" spans="1:5" ht="12.5">
      <c r="A941" s="81" t="str">
        <f t="shared" si="0"/>
        <v xml:space="preserve"> </v>
      </c>
      <c r="B941" s="81" t="str">
        <f t="shared" si="1"/>
        <v xml:space="preserve"> </v>
      </c>
      <c r="C941" s="79" t="str">
        <f t="shared" si="7"/>
        <v xml:space="preserve"> </v>
      </c>
      <c r="D941" s="79" t="str">
        <f t="shared" si="5"/>
        <v xml:space="preserve"> </v>
      </c>
      <c r="E941" s="79" t="str">
        <f t="shared" si="6"/>
        <v xml:space="preserve"> </v>
      </c>
    </row>
    <row r="942" spans="1:5" ht="12.5">
      <c r="A942" s="81" t="str">
        <f t="shared" si="0"/>
        <v xml:space="preserve"> </v>
      </c>
      <c r="B942" s="81" t="str">
        <f t="shared" si="1"/>
        <v xml:space="preserve"> </v>
      </c>
      <c r="C942" s="79" t="str">
        <f t="shared" si="7"/>
        <v xml:space="preserve"> </v>
      </c>
      <c r="D942" s="79" t="str">
        <f t="shared" si="5"/>
        <v xml:space="preserve"> </v>
      </c>
      <c r="E942" s="79" t="str">
        <f t="shared" si="6"/>
        <v xml:space="preserve"> </v>
      </c>
    </row>
    <row r="943" spans="1:5" ht="12.5">
      <c r="A943" s="81" t="str">
        <f t="shared" si="0"/>
        <v xml:space="preserve"> </v>
      </c>
      <c r="B943" s="81" t="str">
        <f t="shared" si="1"/>
        <v xml:space="preserve"> </v>
      </c>
      <c r="C943" s="79" t="str">
        <f t="shared" si="7"/>
        <v xml:space="preserve"> </v>
      </c>
      <c r="D943" s="79" t="str">
        <f t="shared" si="5"/>
        <v xml:space="preserve"> </v>
      </c>
      <c r="E943" s="79" t="str">
        <f t="shared" si="6"/>
        <v xml:space="preserve"> </v>
      </c>
    </row>
    <row r="944" spans="1:5" ht="12.5">
      <c r="A944" s="81" t="str">
        <f t="shared" si="0"/>
        <v xml:space="preserve"> </v>
      </c>
      <c r="B944" s="81" t="str">
        <f t="shared" si="1"/>
        <v xml:space="preserve"> </v>
      </c>
      <c r="C944" s="79" t="str">
        <f t="shared" si="7"/>
        <v xml:space="preserve"> </v>
      </c>
      <c r="D944" s="79" t="str">
        <f t="shared" si="5"/>
        <v xml:space="preserve"> </v>
      </c>
      <c r="E944" s="79" t="str">
        <f t="shared" si="6"/>
        <v xml:space="preserve"> </v>
      </c>
    </row>
    <row r="945" spans="1:5" ht="12.5">
      <c r="A945" s="81" t="str">
        <f t="shared" si="0"/>
        <v xml:space="preserve"> </v>
      </c>
      <c r="B945" s="81" t="str">
        <f t="shared" si="1"/>
        <v xml:space="preserve"> </v>
      </c>
      <c r="C945" s="79" t="str">
        <f t="shared" si="7"/>
        <v xml:space="preserve"> </v>
      </c>
      <c r="D945" s="79" t="str">
        <f t="shared" si="5"/>
        <v xml:space="preserve"> </v>
      </c>
      <c r="E945" s="79" t="str">
        <f t="shared" si="6"/>
        <v xml:space="preserve"> </v>
      </c>
    </row>
    <row r="946" spans="1:5" ht="12.5">
      <c r="A946" s="81" t="str">
        <f t="shared" si="0"/>
        <v xml:space="preserve"> </v>
      </c>
      <c r="B946" s="81" t="str">
        <f t="shared" si="1"/>
        <v xml:space="preserve"> </v>
      </c>
      <c r="C946" s="79" t="str">
        <f t="shared" si="7"/>
        <v xml:space="preserve"> </v>
      </c>
      <c r="D946" s="79" t="str">
        <f t="shared" si="5"/>
        <v xml:space="preserve"> </v>
      </c>
      <c r="E946" s="79" t="str">
        <f t="shared" si="6"/>
        <v xml:space="preserve"> </v>
      </c>
    </row>
    <row r="947" spans="1:5" ht="12.5">
      <c r="A947" s="81" t="str">
        <f t="shared" si="0"/>
        <v xml:space="preserve"> </v>
      </c>
      <c r="B947" s="81" t="str">
        <f t="shared" si="1"/>
        <v xml:space="preserve"> </v>
      </c>
      <c r="C947" s="79" t="str">
        <f t="shared" si="7"/>
        <v xml:space="preserve"> </v>
      </c>
      <c r="D947" s="79" t="str">
        <f t="shared" si="5"/>
        <v xml:space="preserve"> </v>
      </c>
      <c r="E947" s="79" t="str">
        <f t="shared" si="6"/>
        <v xml:space="preserve"> </v>
      </c>
    </row>
    <row r="948" spans="1:5" ht="12.5">
      <c r="A948" s="81" t="str">
        <f t="shared" si="0"/>
        <v xml:space="preserve"> </v>
      </c>
      <c r="B948" s="81" t="str">
        <f t="shared" si="1"/>
        <v xml:space="preserve"> </v>
      </c>
      <c r="C948" s="79" t="str">
        <f t="shared" si="7"/>
        <v xml:space="preserve"> </v>
      </c>
      <c r="D948" s="79" t="str">
        <f t="shared" si="5"/>
        <v xml:space="preserve"> </v>
      </c>
      <c r="E948" s="79" t="str">
        <f t="shared" si="6"/>
        <v xml:space="preserve"> </v>
      </c>
    </row>
    <row r="949" spans="1:5" ht="12.5">
      <c r="A949" s="81" t="str">
        <f t="shared" si="0"/>
        <v xml:space="preserve"> </v>
      </c>
      <c r="B949" s="81" t="str">
        <f t="shared" si="1"/>
        <v xml:space="preserve"> </v>
      </c>
      <c r="C949" s="79" t="str">
        <f t="shared" si="7"/>
        <v xml:space="preserve"> </v>
      </c>
      <c r="D949" s="79" t="str">
        <f t="shared" si="5"/>
        <v xml:space="preserve"> </v>
      </c>
      <c r="E949" s="79" t="str">
        <f t="shared" si="6"/>
        <v xml:space="preserve"> </v>
      </c>
    </row>
    <row r="950" spans="1:5" ht="12.5">
      <c r="A950" s="81" t="str">
        <f t="shared" si="0"/>
        <v xml:space="preserve"> </v>
      </c>
      <c r="B950" s="81" t="str">
        <f t="shared" si="1"/>
        <v xml:space="preserve"> </v>
      </c>
      <c r="C950" s="79" t="str">
        <f t="shared" si="7"/>
        <v xml:space="preserve"> </v>
      </c>
      <c r="D950" s="79" t="str">
        <f t="shared" si="5"/>
        <v xml:space="preserve"> </v>
      </c>
      <c r="E950" s="79" t="str">
        <f t="shared" si="6"/>
        <v xml:space="preserve"> </v>
      </c>
    </row>
    <row r="951" spans="1:5" ht="12.5">
      <c r="A951" s="81" t="str">
        <f t="shared" si="0"/>
        <v xml:space="preserve"> </v>
      </c>
      <c r="B951" s="81" t="str">
        <f t="shared" si="1"/>
        <v xml:space="preserve"> </v>
      </c>
      <c r="C951" s="79" t="str">
        <f t="shared" si="7"/>
        <v xml:space="preserve"> </v>
      </c>
      <c r="D951" s="79" t="str">
        <f t="shared" si="5"/>
        <v xml:space="preserve"> </v>
      </c>
      <c r="E951" s="79" t="str">
        <f t="shared" si="6"/>
        <v xml:space="preserve"> </v>
      </c>
    </row>
    <row r="952" spans="1:5" ht="12.5">
      <c r="A952" s="81" t="str">
        <f t="shared" si="0"/>
        <v xml:space="preserve"> </v>
      </c>
      <c r="B952" s="81" t="str">
        <f t="shared" si="1"/>
        <v xml:space="preserve"> </v>
      </c>
      <c r="C952" s="79" t="str">
        <f t="shared" si="7"/>
        <v xml:space="preserve"> </v>
      </c>
      <c r="D952" s="79" t="str">
        <f t="shared" si="5"/>
        <v xml:space="preserve"> </v>
      </c>
      <c r="E952" s="79" t="str">
        <f t="shared" si="6"/>
        <v xml:space="preserve"> </v>
      </c>
    </row>
    <row r="953" spans="1:5" ht="12.5">
      <c r="A953" s="81" t="str">
        <f t="shared" si="0"/>
        <v xml:space="preserve"> </v>
      </c>
      <c r="B953" s="81" t="str">
        <f t="shared" si="1"/>
        <v xml:space="preserve"> </v>
      </c>
      <c r="C953" s="79" t="str">
        <f t="shared" si="7"/>
        <v xml:space="preserve"> </v>
      </c>
      <c r="D953" s="79" t="str">
        <f t="shared" si="5"/>
        <v xml:space="preserve"> </v>
      </c>
      <c r="E953" s="79" t="str">
        <f t="shared" si="6"/>
        <v xml:space="preserve"> </v>
      </c>
    </row>
    <row r="954" spans="1:5" ht="12.5">
      <c r="A954" s="81" t="str">
        <f t="shared" si="0"/>
        <v xml:space="preserve"> </v>
      </c>
      <c r="B954" s="81" t="str">
        <f t="shared" si="1"/>
        <v xml:space="preserve"> </v>
      </c>
      <c r="C954" s="79" t="str">
        <f t="shared" si="7"/>
        <v xml:space="preserve"> </v>
      </c>
      <c r="D954" s="79" t="str">
        <f t="shared" si="5"/>
        <v xml:space="preserve"> </v>
      </c>
      <c r="E954" s="79" t="str">
        <f t="shared" si="6"/>
        <v xml:space="preserve"> </v>
      </c>
    </row>
    <row r="955" spans="1:5" ht="12.5">
      <c r="A955" s="81" t="str">
        <f t="shared" si="0"/>
        <v xml:space="preserve"> </v>
      </c>
      <c r="B955" s="81" t="str">
        <f t="shared" si="1"/>
        <v xml:space="preserve"> </v>
      </c>
      <c r="C955" s="79" t="str">
        <f t="shared" si="7"/>
        <v xml:space="preserve"> </v>
      </c>
      <c r="D955" s="79" t="str">
        <f t="shared" si="5"/>
        <v xml:space="preserve"> </v>
      </c>
      <c r="E955" s="79" t="str">
        <f t="shared" si="6"/>
        <v xml:space="preserve"> </v>
      </c>
    </row>
    <row r="956" spans="1:5" ht="12.5">
      <c r="A956" s="81" t="str">
        <f t="shared" si="0"/>
        <v xml:space="preserve"> </v>
      </c>
      <c r="B956" s="81" t="str">
        <f t="shared" si="1"/>
        <v xml:space="preserve"> </v>
      </c>
      <c r="C956" s="79" t="str">
        <f t="shared" si="7"/>
        <v xml:space="preserve"> </v>
      </c>
      <c r="D956" s="79" t="str">
        <f t="shared" si="5"/>
        <v xml:space="preserve"> </v>
      </c>
      <c r="E956" s="79" t="str">
        <f t="shared" si="6"/>
        <v xml:space="preserve"> </v>
      </c>
    </row>
    <row r="957" spans="1:5" ht="12.5">
      <c r="A957" s="81" t="str">
        <f t="shared" si="0"/>
        <v xml:space="preserve"> </v>
      </c>
      <c r="B957" s="81" t="str">
        <f t="shared" si="1"/>
        <v xml:space="preserve"> </v>
      </c>
      <c r="C957" s="79" t="str">
        <f t="shared" si="7"/>
        <v xml:space="preserve"> </v>
      </c>
      <c r="D957" s="79" t="str">
        <f t="shared" si="5"/>
        <v xml:space="preserve"> </v>
      </c>
      <c r="E957" s="79" t="str">
        <f t="shared" si="6"/>
        <v xml:space="preserve"> </v>
      </c>
    </row>
    <row r="958" spans="1:5" ht="12.5">
      <c r="A958" s="81" t="str">
        <f t="shared" si="0"/>
        <v xml:space="preserve"> </v>
      </c>
      <c r="B958" s="81" t="str">
        <f t="shared" si="1"/>
        <v xml:space="preserve"> </v>
      </c>
      <c r="C958" s="79" t="str">
        <f t="shared" si="7"/>
        <v xml:space="preserve"> </v>
      </c>
      <c r="D958" s="79" t="str">
        <f t="shared" si="5"/>
        <v xml:space="preserve"> </v>
      </c>
      <c r="E958" s="79" t="str">
        <f t="shared" si="6"/>
        <v xml:space="preserve"> </v>
      </c>
    </row>
    <row r="959" spans="1:5" ht="12.5">
      <c r="A959" s="81" t="str">
        <f t="shared" si="0"/>
        <v xml:space="preserve"> </v>
      </c>
      <c r="B959" s="81" t="str">
        <f t="shared" si="1"/>
        <v xml:space="preserve"> </v>
      </c>
      <c r="C959" s="79" t="str">
        <f t="shared" si="7"/>
        <v xml:space="preserve"> </v>
      </c>
      <c r="D959" s="79" t="str">
        <f t="shared" si="5"/>
        <v xml:space="preserve"> </v>
      </c>
      <c r="E959" s="79" t="str">
        <f t="shared" si="6"/>
        <v xml:space="preserve"> </v>
      </c>
    </row>
    <row r="960" spans="1:5" ht="12.5">
      <c r="A960" s="81" t="str">
        <f t="shared" si="0"/>
        <v xml:space="preserve"> </v>
      </c>
      <c r="B960" s="81" t="str">
        <f t="shared" si="1"/>
        <v xml:space="preserve"> </v>
      </c>
      <c r="C960" s="79" t="str">
        <f t="shared" si="7"/>
        <v xml:space="preserve"> </v>
      </c>
      <c r="D960" s="79" t="str">
        <f t="shared" si="5"/>
        <v xml:space="preserve"> </v>
      </c>
      <c r="E960" s="79" t="str">
        <f t="shared" si="6"/>
        <v xml:space="preserve"> </v>
      </c>
    </row>
    <row r="961" spans="1:5" ht="12.5">
      <c r="A961" s="81" t="str">
        <f t="shared" si="0"/>
        <v xml:space="preserve"> </v>
      </c>
      <c r="B961" s="81" t="str">
        <f t="shared" si="1"/>
        <v xml:space="preserve"> </v>
      </c>
      <c r="C961" s="79" t="str">
        <f t="shared" si="7"/>
        <v xml:space="preserve"> </v>
      </c>
      <c r="D961" s="79" t="str">
        <f t="shared" si="5"/>
        <v xml:space="preserve"> </v>
      </c>
      <c r="E961" s="79" t="str">
        <f t="shared" si="6"/>
        <v xml:space="preserve"> </v>
      </c>
    </row>
    <row r="962" spans="1:5" ht="12.5">
      <c r="A962" s="81" t="str">
        <f t="shared" si="0"/>
        <v xml:space="preserve"> </v>
      </c>
      <c r="B962" s="81" t="str">
        <f t="shared" si="1"/>
        <v xml:space="preserve"> </v>
      </c>
      <c r="C962" s="79" t="str">
        <f t="shared" si="7"/>
        <v xml:space="preserve"> </v>
      </c>
      <c r="D962" s="79" t="str">
        <f t="shared" si="5"/>
        <v xml:space="preserve"> </v>
      </c>
      <c r="E962" s="79" t="str">
        <f t="shared" si="6"/>
        <v xml:space="preserve"> </v>
      </c>
    </row>
    <row r="963" spans="1:5" ht="12.5">
      <c r="A963" s="81" t="str">
        <f t="shared" si="0"/>
        <v xml:space="preserve"> </v>
      </c>
      <c r="B963" s="81" t="str">
        <f t="shared" si="1"/>
        <v xml:space="preserve"> </v>
      </c>
      <c r="C963" s="79" t="str">
        <f t="shared" si="7"/>
        <v xml:space="preserve"> </v>
      </c>
      <c r="D963" s="79" t="str">
        <f t="shared" si="5"/>
        <v xml:space="preserve"> </v>
      </c>
      <c r="E963" s="79" t="str">
        <f t="shared" si="6"/>
        <v xml:space="preserve"> </v>
      </c>
    </row>
    <row r="964" spans="1:5" ht="12.5">
      <c r="A964" s="81" t="str">
        <f t="shared" si="0"/>
        <v xml:space="preserve"> </v>
      </c>
      <c r="B964" s="81" t="str">
        <f t="shared" si="1"/>
        <v xml:space="preserve"> </v>
      </c>
      <c r="C964" s="79" t="str">
        <f t="shared" si="7"/>
        <v xml:space="preserve"> </v>
      </c>
      <c r="D964" s="79" t="str">
        <f t="shared" si="5"/>
        <v xml:space="preserve"> </v>
      </c>
      <c r="E964" s="79" t="str">
        <f t="shared" si="6"/>
        <v xml:space="preserve"> </v>
      </c>
    </row>
    <row r="965" spans="1:5" ht="12.5">
      <c r="A965" s="81" t="str">
        <f t="shared" si="0"/>
        <v xml:space="preserve"> </v>
      </c>
      <c r="B965" s="81" t="str">
        <f t="shared" si="1"/>
        <v xml:space="preserve"> </v>
      </c>
      <c r="C965" s="79" t="str">
        <f t="shared" si="7"/>
        <v xml:space="preserve"> </v>
      </c>
      <c r="D965" s="79" t="str">
        <f t="shared" si="5"/>
        <v xml:space="preserve"> </v>
      </c>
      <c r="E965" s="79" t="str">
        <f t="shared" si="6"/>
        <v xml:space="preserve"> </v>
      </c>
    </row>
    <row r="966" spans="1:5" ht="12.5">
      <c r="A966" s="81" t="str">
        <f t="shared" si="0"/>
        <v xml:space="preserve"> </v>
      </c>
      <c r="B966" s="81" t="str">
        <f t="shared" si="1"/>
        <v xml:space="preserve"> </v>
      </c>
      <c r="C966" s="79" t="str">
        <f t="shared" si="7"/>
        <v xml:space="preserve"> </v>
      </c>
      <c r="D966" s="79" t="str">
        <f t="shared" si="5"/>
        <v xml:space="preserve"> </v>
      </c>
      <c r="E966" s="79" t="str">
        <f t="shared" si="6"/>
        <v xml:space="preserve"> </v>
      </c>
    </row>
    <row r="967" spans="1:5" ht="12.5">
      <c r="A967" s="81" t="str">
        <f t="shared" si="0"/>
        <v xml:space="preserve"> </v>
      </c>
      <c r="B967" s="81" t="str">
        <f t="shared" si="1"/>
        <v xml:space="preserve"> </v>
      </c>
      <c r="C967" s="79" t="str">
        <f t="shared" si="7"/>
        <v xml:space="preserve"> </v>
      </c>
      <c r="D967" s="79" t="str">
        <f t="shared" si="5"/>
        <v xml:space="preserve"> </v>
      </c>
      <c r="E967" s="79" t="str">
        <f t="shared" si="6"/>
        <v xml:space="preserve"> </v>
      </c>
    </row>
    <row r="968" spans="1:5" ht="12.5">
      <c r="A968" s="81" t="str">
        <f t="shared" si="0"/>
        <v xml:space="preserve"> </v>
      </c>
      <c r="B968" s="81" t="str">
        <f t="shared" si="1"/>
        <v xml:space="preserve"> </v>
      </c>
      <c r="C968" s="79" t="str">
        <f t="shared" si="7"/>
        <v xml:space="preserve"> </v>
      </c>
      <c r="D968" s="79" t="str">
        <f t="shared" si="5"/>
        <v xml:space="preserve"> </v>
      </c>
      <c r="E968" s="79" t="str">
        <f t="shared" si="6"/>
        <v xml:space="preserve"> </v>
      </c>
    </row>
    <row r="969" spans="1:5" ht="12.5">
      <c r="A969" s="81" t="str">
        <f t="shared" si="0"/>
        <v xml:space="preserve"> </v>
      </c>
      <c r="B969" s="81" t="str">
        <f t="shared" si="1"/>
        <v xml:space="preserve"> </v>
      </c>
      <c r="C969" s="79" t="str">
        <f t="shared" si="7"/>
        <v xml:space="preserve"> </v>
      </c>
      <c r="D969" s="79" t="str">
        <f t="shared" si="5"/>
        <v xml:space="preserve"> </v>
      </c>
      <c r="E969" s="79" t="str">
        <f t="shared" si="6"/>
        <v xml:space="preserve"> </v>
      </c>
    </row>
    <row r="970" spans="1:5" ht="12.5">
      <c r="A970" s="81" t="str">
        <f t="shared" si="0"/>
        <v xml:space="preserve"> </v>
      </c>
      <c r="B970" s="81" t="str">
        <f t="shared" si="1"/>
        <v xml:space="preserve"> </v>
      </c>
      <c r="C970" s="79" t="str">
        <f t="shared" si="7"/>
        <v xml:space="preserve"> </v>
      </c>
      <c r="D970" s="79" t="str">
        <f t="shared" si="5"/>
        <v xml:space="preserve"> </v>
      </c>
      <c r="E970" s="79" t="str">
        <f t="shared" si="6"/>
        <v xml:space="preserve"> </v>
      </c>
    </row>
    <row r="971" spans="1:5" ht="12.5">
      <c r="A971" s="81" t="str">
        <f t="shared" si="0"/>
        <v xml:space="preserve"> </v>
      </c>
      <c r="B971" s="81" t="str">
        <f t="shared" si="1"/>
        <v xml:space="preserve"> </v>
      </c>
      <c r="C971" s="79" t="str">
        <f t="shared" si="7"/>
        <v xml:space="preserve"> </v>
      </c>
      <c r="D971" s="79" t="str">
        <f t="shared" si="5"/>
        <v xml:space="preserve"> </v>
      </c>
      <c r="E971" s="79" t="str">
        <f t="shared" si="6"/>
        <v xml:space="preserve"> </v>
      </c>
    </row>
    <row r="972" spans="1:5" ht="12.5">
      <c r="A972" s="81" t="str">
        <f t="shared" si="0"/>
        <v xml:space="preserve"> </v>
      </c>
      <c r="B972" s="81" t="str">
        <f t="shared" si="1"/>
        <v xml:space="preserve"> </v>
      </c>
      <c r="C972" s="79" t="str">
        <f t="shared" si="7"/>
        <v xml:space="preserve"> </v>
      </c>
      <c r="D972" s="79" t="str">
        <f t="shared" si="5"/>
        <v xml:space="preserve"> </v>
      </c>
      <c r="E972" s="79" t="str">
        <f t="shared" si="6"/>
        <v xml:space="preserve"> </v>
      </c>
    </row>
    <row r="973" spans="1:5" ht="12.5">
      <c r="A973" s="81" t="str">
        <f t="shared" si="0"/>
        <v xml:space="preserve"> </v>
      </c>
      <c r="B973" s="81" t="str">
        <f t="shared" si="1"/>
        <v xml:space="preserve"> </v>
      </c>
      <c r="C973" s="79" t="str">
        <f t="shared" si="7"/>
        <v xml:space="preserve"> </v>
      </c>
      <c r="D973" s="79" t="str">
        <f t="shared" si="5"/>
        <v xml:space="preserve"> </v>
      </c>
      <c r="E973" s="79" t="str">
        <f t="shared" si="6"/>
        <v xml:space="preserve"> </v>
      </c>
    </row>
    <row r="974" spans="1:5" ht="12.5">
      <c r="A974" s="81" t="str">
        <f t="shared" si="0"/>
        <v xml:space="preserve"> </v>
      </c>
      <c r="B974" s="81" t="str">
        <f t="shared" si="1"/>
        <v xml:space="preserve"> </v>
      </c>
      <c r="C974" s="79" t="str">
        <f t="shared" si="7"/>
        <v xml:space="preserve"> </v>
      </c>
      <c r="D974" s="79" t="str">
        <f t="shared" si="5"/>
        <v xml:space="preserve"> </v>
      </c>
      <c r="E974" s="79" t="str">
        <f t="shared" si="6"/>
        <v xml:space="preserve"> </v>
      </c>
    </row>
    <row r="975" spans="1:5" ht="12.5">
      <c r="A975" s="81" t="str">
        <f t="shared" si="0"/>
        <v xml:space="preserve"> </v>
      </c>
      <c r="B975" s="81" t="str">
        <f t="shared" si="1"/>
        <v xml:space="preserve"> </v>
      </c>
      <c r="C975" s="79" t="str">
        <f t="shared" si="7"/>
        <v xml:space="preserve"> </v>
      </c>
      <c r="D975" s="79" t="str">
        <f t="shared" si="5"/>
        <v xml:space="preserve"> </v>
      </c>
      <c r="E975" s="79" t="str">
        <f t="shared" si="6"/>
        <v xml:space="preserve"> </v>
      </c>
    </row>
    <row r="976" spans="1:5" ht="12.5">
      <c r="A976" s="81" t="str">
        <f t="shared" si="0"/>
        <v xml:space="preserve"> </v>
      </c>
      <c r="B976" s="81" t="str">
        <f t="shared" si="1"/>
        <v xml:space="preserve"> </v>
      </c>
      <c r="C976" s="79" t="str">
        <f t="shared" si="7"/>
        <v xml:space="preserve"> </v>
      </c>
      <c r="D976" s="79" t="str">
        <f t="shared" si="5"/>
        <v xml:space="preserve"> </v>
      </c>
      <c r="E976" s="79" t="str">
        <f t="shared" si="6"/>
        <v xml:space="preserve"> </v>
      </c>
    </row>
    <row r="977" spans="1:5" ht="12.5">
      <c r="A977" s="81" t="str">
        <f t="shared" si="0"/>
        <v xml:space="preserve"> </v>
      </c>
      <c r="B977" s="81" t="str">
        <f t="shared" si="1"/>
        <v xml:space="preserve"> </v>
      </c>
      <c r="C977" s="79" t="str">
        <f t="shared" si="7"/>
        <v xml:space="preserve"> </v>
      </c>
      <c r="D977" s="79" t="str">
        <f t="shared" si="5"/>
        <v xml:space="preserve"> </v>
      </c>
      <c r="E977" s="79" t="str">
        <f t="shared" si="6"/>
        <v xml:space="preserve"> </v>
      </c>
    </row>
    <row r="978" spans="1:5" ht="12.5">
      <c r="A978" s="81" t="str">
        <f t="shared" si="0"/>
        <v xml:space="preserve"> </v>
      </c>
      <c r="B978" s="81" t="str">
        <f t="shared" si="1"/>
        <v xml:space="preserve"> </v>
      </c>
      <c r="C978" s="79" t="str">
        <f t="shared" si="7"/>
        <v xml:space="preserve"> </v>
      </c>
      <c r="D978" s="79" t="str">
        <f t="shared" si="5"/>
        <v xml:space="preserve"> </v>
      </c>
      <c r="E978" s="79" t="str">
        <f t="shared" si="6"/>
        <v xml:space="preserve"> </v>
      </c>
    </row>
    <row r="979" spans="1:5" ht="12.5">
      <c r="A979" s="81" t="str">
        <f t="shared" si="0"/>
        <v xml:space="preserve"> </v>
      </c>
      <c r="B979" s="81" t="str">
        <f t="shared" si="1"/>
        <v xml:space="preserve"> </v>
      </c>
      <c r="C979" s="79" t="str">
        <f t="shared" si="7"/>
        <v xml:space="preserve"> </v>
      </c>
      <c r="D979" s="79" t="str">
        <f t="shared" si="5"/>
        <v xml:space="preserve"> </v>
      </c>
      <c r="E979" s="79" t="str">
        <f t="shared" si="6"/>
        <v xml:space="preserve"> </v>
      </c>
    </row>
    <row r="980" spans="1:5" ht="12.5">
      <c r="A980" s="81" t="str">
        <f t="shared" si="0"/>
        <v xml:space="preserve"> </v>
      </c>
      <c r="B980" s="81" t="str">
        <f t="shared" si="1"/>
        <v xml:space="preserve"> </v>
      </c>
      <c r="C980" s="79" t="str">
        <f t="shared" si="7"/>
        <v xml:space="preserve"> </v>
      </c>
      <c r="D980" s="79" t="str">
        <f t="shared" si="5"/>
        <v xml:space="preserve"> </v>
      </c>
      <c r="E980" s="79" t="str">
        <f t="shared" si="6"/>
        <v xml:space="preserve"> </v>
      </c>
    </row>
    <row r="981" spans="1:5" ht="12.5">
      <c r="A981" s="81" t="str">
        <f t="shared" si="0"/>
        <v xml:space="preserve"> </v>
      </c>
      <c r="B981" s="81" t="str">
        <f t="shared" si="1"/>
        <v xml:space="preserve"> </v>
      </c>
      <c r="C981" s="79" t="str">
        <f t="shared" si="7"/>
        <v xml:space="preserve"> </v>
      </c>
      <c r="D981" s="79" t="str">
        <f t="shared" si="5"/>
        <v xml:space="preserve"> </v>
      </c>
      <c r="E981" s="79" t="str">
        <f t="shared" si="6"/>
        <v xml:space="preserve"> </v>
      </c>
    </row>
    <row r="982" spans="1:5" ht="12.5">
      <c r="A982" s="81" t="str">
        <f t="shared" si="0"/>
        <v xml:space="preserve"> </v>
      </c>
      <c r="B982" s="81" t="str">
        <f t="shared" si="1"/>
        <v xml:space="preserve"> </v>
      </c>
      <c r="C982" s="79" t="str">
        <f t="shared" si="7"/>
        <v xml:space="preserve"> </v>
      </c>
      <c r="D982" s="79" t="str">
        <f t="shared" si="5"/>
        <v xml:space="preserve"> </v>
      </c>
      <c r="E982" s="79" t="str">
        <f t="shared" si="6"/>
        <v xml:space="preserve"> </v>
      </c>
    </row>
    <row r="983" spans="1:5" ht="12.5">
      <c r="A983" s="81" t="str">
        <f t="shared" si="0"/>
        <v xml:space="preserve"> </v>
      </c>
      <c r="B983" s="81" t="str">
        <f t="shared" si="1"/>
        <v xml:space="preserve"> </v>
      </c>
      <c r="C983" s="79" t="str">
        <f t="shared" si="7"/>
        <v xml:space="preserve"> </v>
      </c>
      <c r="D983" s="79" t="str">
        <f t="shared" si="5"/>
        <v xml:space="preserve"> </v>
      </c>
      <c r="E983" s="79" t="str">
        <f t="shared" si="6"/>
        <v xml:space="preserve"> </v>
      </c>
    </row>
    <row r="984" spans="1:5" ht="12.5">
      <c r="A984" s="81" t="str">
        <f t="shared" si="0"/>
        <v xml:space="preserve"> </v>
      </c>
      <c r="B984" s="81" t="str">
        <f t="shared" si="1"/>
        <v xml:space="preserve"> </v>
      </c>
      <c r="C984" s="79" t="str">
        <f t="shared" si="7"/>
        <v xml:space="preserve"> </v>
      </c>
      <c r="D984" s="79" t="str">
        <f t="shared" si="5"/>
        <v xml:space="preserve"> </v>
      </c>
      <c r="E984" s="79" t="str">
        <f t="shared" si="6"/>
        <v xml:space="preserve"> </v>
      </c>
    </row>
    <row r="985" spans="1:5" ht="12.5">
      <c r="A985" s="81" t="str">
        <f t="shared" si="0"/>
        <v xml:space="preserve"> </v>
      </c>
      <c r="B985" s="81" t="str">
        <f t="shared" si="1"/>
        <v xml:space="preserve"> </v>
      </c>
      <c r="C985" s="79" t="str">
        <f t="shared" si="7"/>
        <v xml:space="preserve"> </v>
      </c>
      <c r="D985" s="79" t="str">
        <f t="shared" si="5"/>
        <v xml:space="preserve"> </v>
      </c>
      <c r="E985" s="79" t="str">
        <f t="shared" si="6"/>
        <v xml:space="preserve"> </v>
      </c>
    </row>
    <row r="986" spans="1:5" ht="12.5">
      <c r="A986" s="81" t="str">
        <f t="shared" si="0"/>
        <v xml:space="preserve"> </v>
      </c>
      <c r="B986" s="81" t="str">
        <f t="shared" si="1"/>
        <v xml:space="preserve"> </v>
      </c>
      <c r="C986" s="79" t="str">
        <f t="shared" si="7"/>
        <v xml:space="preserve"> </v>
      </c>
      <c r="D986" s="79" t="str">
        <f t="shared" si="5"/>
        <v xml:space="preserve"> </v>
      </c>
      <c r="E986" s="79" t="str">
        <f t="shared" si="6"/>
        <v xml:space="preserve"> </v>
      </c>
    </row>
    <row r="987" spans="1:5" ht="12.5">
      <c r="A987" s="81" t="str">
        <f t="shared" si="0"/>
        <v xml:space="preserve"> </v>
      </c>
      <c r="B987" s="81" t="str">
        <f t="shared" si="1"/>
        <v xml:space="preserve"> </v>
      </c>
      <c r="C987" s="79" t="str">
        <f t="shared" si="7"/>
        <v xml:space="preserve"> </v>
      </c>
      <c r="D987" s="79" t="str">
        <f t="shared" si="5"/>
        <v xml:space="preserve"> </v>
      </c>
      <c r="E987" s="79" t="str">
        <f t="shared" si="6"/>
        <v xml:space="preserve"> </v>
      </c>
    </row>
    <row r="988" spans="1:5" ht="12.5">
      <c r="A988" s="81" t="str">
        <f t="shared" si="0"/>
        <v xml:space="preserve"> </v>
      </c>
      <c r="B988" s="81" t="str">
        <f t="shared" si="1"/>
        <v xml:space="preserve"> </v>
      </c>
      <c r="C988" s="79" t="str">
        <f t="shared" si="7"/>
        <v xml:space="preserve"> </v>
      </c>
      <c r="D988" s="79" t="str">
        <f t="shared" si="5"/>
        <v xml:space="preserve"> </v>
      </c>
      <c r="E988" s="79" t="str">
        <f t="shared" si="6"/>
        <v xml:space="preserve"> </v>
      </c>
    </row>
    <row r="989" spans="1:5" ht="12.5">
      <c r="A989" s="81" t="str">
        <f t="shared" si="0"/>
        <v xml:space="preserve"> </v>
      </c>
      <c r="B989" s="81" t="str">
        <f t="shared" si="1"/>
        <v xml:space="preserve"> </v>
      </c>
      <c r="C989" s="79" t="str">
        <f t="shared" si="7"/>
        <v xml:space="preserve"> </v>
      </c>
      <c r="D989" s="79" t="str">
        <f t="shared" si="5"/>
        <v xml:space="preserve"> </v>
      </c>
      <c r="E989" s="79" t="str">
        <f t="shared" si="6"/>
        <v xml:space="preserve"> </v>
      </c>
    </row>
    <row r="990" spans="1:5" ht="12.5">
      <c r="A990" s="81" t="str">
        <f t="shared" si="0"/>
        <v xml:space="preserve"> </v>
      </c>
      <c r="B990" s="81" t="str">
        <f t="shared" si="1"/>
        <v xml:space="preserve"> </v>
      </c>
      <c r="C990" s="79" t="str">
        <f t="shared" si="7"/>
        <v xml:space="preserve"> </v>
      </c>
      <c r="D990" s="79" t="str">
        <f t="shared" si="5"/>
        <v xml:space="preserve"> </v>
      </c>
      <c r="E990" s="79" t="str">
        <f t="shared" si="6"/>
        <v xml:space="preserve"> </v>
      </c>
    </row>
    <row r="991" spans="1:5" ht="12.5">
      <c r="A991" s="81" t="str">
        <f t="shared" si="0"/>
        <v xml:space="preserve"> </v>
      </c>
      <c r="B991" s="81" t="str">
        <f t="shared" si="1"/>
        <v xml:space="preserve"> </v>
      </c>
      <c r="C991" s="79" t="str">
        <f t="shared" si="7"/>
        <v xml:space="preserve"> </v>
      </c>
      <c r="D991" s="79" t="str">
        <f t="shared" si="5"/>
        <v xml:space="preserve"> </v>
      </c>
      <c r="E991" s="79" t="str">
        <f t="shared" si="6"/>
        <v xml:space="preserve"> </v>
      </c>
    </row>
    <row r="992" spans="1:5" ht="12.5">
      <c r="A992" s="81" t="str">
        <f t="shared" si="0"/>
        <v xml:space="preserve"> </v>
      </c>
      <c r="B992" s="81" t="str">
        <f t="shared" si="1"/>
        <v xml:space="preserve"> </v>
      </c>
      <c r="C992" s="79" t="str">
        <f t="shared" si="7"/>
        <v xml:space="preserve"> </v>
      </c>
      <c r="D992" s="79" t="str">
        <f t="shared" si="5"/>
        <v xml:space="preserve"> </v>
      </c>
      <c r="E992" s="79" t="str">
        <f t="shared" si="6"/>
        <v xml:space="preserve"> </v>
      </c>
    </row>
    <row r="993" spans="1:5" ht="12.5">
      <c r="A993" s="81" t="str">
        <f t="shared" si="0"/>
        <v xml:space="preserve"> </v>
      </c>
      <c r="B993" s="81" t="str">
        <f t="shared" si="1"/>
        <v xml:space="preserve"> </v>
      </c>
      <c r="C993" s="79" t="str">
        <f t="shared" si="7"/>
        <v xml:space="preserve"> </v>
      </c>
      <c r="D993" s="79" t="str">
        <f t="shared" si="5"/>
        <v xml:space="preserve"> </v>
      </c>
      <c r="E993" s="79" t="str">
        <f t="shared" si="6"/>
        <v xml:space="preserve"> </v>
      </c>
    </row>
    <row r="994" spans="1:5" ht="12.5">
      <c r="A994" s="81" t="str">
        <f t="shared" si="0"/>
        <v xml:space="preserve"> </v>
      </c>
      <c r="B994" s="81" t="str">
        <f t="shared" si="1"/>
        <v xml:space="preserve"> </v>
      </c>
      <c r="C994" s="79" t="str">
        <f t="shared" si="7"/>
        <v xml:space="preserve"> </v>
      </c>
      <c r="D994" s="79" t="str">
        <f t="shared" si="5"/>
        <v xml:space="preserve"> </v>
      </c>
      <c r="E994" s="79" t="str">
        <f t="shared" si="6"/>
        <v xml:space="preserve"> </v>
      </c>
    </row>
    <row r="995" spans="1:5" ht="12.5">
      <c r="A995" s="81" t="str">
        <f t="shared" si="0"/>
        <v xml:space="preserve"> </v>
      </c>
      <c r="B995" s="81" t="str">
        <f t="shared" si="1"/>
        <v xml:space="preserve"> </v>
      </c>
      <c r="C995" s="79" t="str">
        <f t="shared" si="7"/>
        <v xml:space="preserve"> </v>
      </c>
      <c r="D995" s="79" t="str">
        <f t="shared" si="5"/>
        <v xml:space="preserve"> </v>
      </c>
      <c r="E995" s="79" t="str">
        <f t="shared" si="6"/>
        <v xml:space="preserve"> </v>
      </c>
    </row>
    <row r="996" spans="1:5" ht="12.5">
      <c r="A996" s="81" t="str">
        <f t="shared" si="0"/>
        <v xml:space="preserve"> </v>
      </c>
      <c r="B996" s="81" t="str">
        <f t="shared" si="1"/>
        <v xml:space="preserve"> </v>
      </c>
      <c r="C996" s="79" t="str">
        <f t="shared" si="7"/>
        <v xml:space="preserve"> </v>
      </c>
      <c r="D996" s="79" t="str">
        <f t="shared" si="5"/>
        <v xml:space="preserve"> </v>
      </c>
      <c r="E996" s="79" t="str">
        <f t="shared" si="6"/>
        <v xml:space="preserve"> </v>
      </c>
    </row>
    <row r="997" spans="1:5" ht="12.5">
      <c r="A997" s="81" t="str">
        <f t="shared" si="0"/>
        <v xml:space="preserve"> </v>
      </c>
      <c r="B997" s="81" t="str">
        <f t="shared" si="1"/>
        <v xml:space="preserve"> </v>
      </c>
      <c r="C997" s="79" t="str">
        <f t="shared" si="7"/>
        <v xml:space="preserve"> </v>
      </c>
      <c r="D997" s="79" t="str">
        <f t="shared" si="5"/>
        <v xml:space="preserve"> </v>
      </c>
      <c r="E997" s="79" t="str">
        <f t="shared" si="6"/>
        <v xml:space="preserve"> </v>
      </c>
    </row>
    <row r="998" spans="1:5" ht="12.5">
      <c r="A998" s="81" t="str">
        <f t="shared" si="0"/>
        <v xml:space="preserve"> </v>
      </c>
      <c r="B998" s="81" t="str">
        <f t="shared" si="1"/>
        <v xml:space="preserve"> </v>
      </c>
      <c r="C998" s="79" t="str">
        <f t="shared" si="7"/>
        <v xml:space="preserve"> </v>
      </c>
      <c r="D998" s="79" t="str">
        <f t="shared" si="5"/>
        <v xml:space="preserve"> </v>
      </c>
      <c r="E998" s="79" t="str">
        <f t="shared" si="6"/>
        <v xml:space="preserve"> </v>
      </c>
    </row>
    <row r="999" spans="1:5" ht="12.5">
      <c r="A999" s="81" t="str">
        <f t="shared" si="0"/>
        <v xml:space="preserve"> </v>
      </c>
      <c r="B999" s="81" t="str">
        <f t="shared" si="1"/>
        <v xml:space="preserve"> </v>
      </c>
      <c r="C999" s="79" t="str">
        <f t="shared" si="7"/>
        <v xml:space="preserve"> </v>
      </c>
      <c r="D999" s="79" t="str">
        <f t="shared" si="5"/>
        <v xml:space="preserve"> </v>
      </c>
      <c r="E999" s="79" t="str">
        <f t="shared" si="6"/>
        <v xml:space="preserve"> </v>
      </c>
    </row>
    <row r="1000" spans="1:5" ht="12.5">
      <c r="A1000" s="81" t="str">
        <f t="shared" si="0"/>
        <v xml:space="preserve"> </v>
      </c>
      <c r="B1000" s="81" t="str">
        <f t="shared" si="1"/>
        <v xml:space="preserve"> </v>
      </c>
      <c r="C1000" s="79" t="str">
        <f t="shared" si="7"/>
        <v xml:space="preserve"> </v>
      </c>
      <c r="D1000" s="79" t="str">
        <f t="shared" si="5"/>
        <v xml:space="preserve"> </v>
      </c>
      <c r="E1000" s="79" t="str">
        <f t="shared" si="6"/>
        <v xml:space="preserve"> </v>
      </c>
    </row>
    <row r="1001" spans="1:5" ht="12.5">
      <c r="A1001" s="81" t="str">
        <f t="shared" si="0"/>
        <v xml:space="preserve"> </v>
      </c>
      <c r="B1001" s="81" t="str">
        <f t="shared" si="1"/>
        <v xml:space="preserve"> </v>
      </c>
      <c r="C1001" s="79" t="str">
        <f t="shared" si="7"/>
        <v xml:space="preserve"> </v>
      </c>
      <c r="D1001" s="79" t="str">
        <f t="shared" si="5"/>
        <v xml:space="preserve"> </v>
      </c>
      <c r="E1001" s="79" t="str">
        <f t="shared" si="6"/>
        <v xml:space="preserve"> </v>
      </c>
    </row>
    <row r="1002" spans="1:5" ht="12.5">
      <c r="A1002" s="81" t="str">
        <f t="shared" si="0"/>
        <v xml:space="preserve"> </v>
      </c>
      <c r="B1002" s="81" t="str">
        <f t="shared" si="1"/>
        <v xml:space="preserve"> </v>
      </c>
      <c r="C1002" s="79" t="str">
        <f t="shared" si="7"/>
        <v xml:space="preserve"> </v>
      </c>
      <c r="D1002" s="79" t="str">
        <f t="shared" si="5"/>
        <v xml:space="preserve"> </v>
      </c>
      <c r="E1002" s="79" t="str">
        <f t="shared" si="6"/>
        <v xml:space="preserve"> </v>
      </c>
    </row>
    <row r="1003" spans="1:5" ht="12.5">
      <c r="A1003" s="81" t="str">
        <f t="shared" si="0"/>
        <v xml:space="preserve"> </v>
      </c>
      <c r="B1003" s="81" t="str">
        <f t="shared" si="1"/>
        <v xml:space="preserve"> </v>
      </c>
      <c r="C1003" s="79" t="str">
        <f t="shared" si="7"/>
        <v xml:space="preserve"> </v>
      </c>
      <c r="D1003" s="79" t="str">
        <f t="shared" si="5"/>
        <v xml:space="preserve"> </v>
      </c>
      <c r="E1003" s="79" t="str">
        <f t="shared" si="6"/>
        <v xml:space="preserve"> </v>
      </c>
    </row>
    <row r="1004" spans="1:5" ht="12.5">
      <c r="A1004" s="81" t="str">
        <f t="shared" si="0"/>
        <v xml:space="preserve"> </v>
      </c>
      <c r="B1004" s="81" t="str">
        <f t="shared" si="1"/>
        <v xml:space="preserve"> </v>
      </c>
      <c r="C1004" s="79" t="str">
        <f t="shared" si="7"/>
        <v xml:space="preserve"> </v>
      </c>
      <c r="D1004" s="79" t="str">
        <f t="shared" si="5"/>
        <v xml:space="preserve"> </v>
      </c>
      <c r="E1004" s="79" t="str">
        <f t="shared" si="6"/>
        <v xml:space="preserve"> </v>
      </c>
    </row>
    <row r="1005" spans="1:5" ht="12.5">
      <c r="A1005" s="81" t="str">
        <f t="shared" si="0"/>
        <v xml:space="preserve"> </v>
      </c>
      <c r="B1005" s="81" t="str">
        <f t="shared" si="1"/>
        <v xml:space="preserve"> </v>
      </c>
      <c r="C1005" s="79" t="str">
        <f t="shared" si="7"/>
        <v xml:space="preserve"> </v>
      </c>
      <c r="D1005" s="79" t="str">
        <f t="shared" si="5"/>
        <v xml:space="preserve"> </v>
      </c>
      <c r="E1005" s="79" t="str">
        <f t="shared" si="6"/>
        <v xml:space="preserve"> </v>
      </c>
    </row>
    <row r="1006" spans="1:5" ht="12.5">
      <c r="A1006" s="81" t="str">
        <f t="shared" si="0"/>
        <v xml:space="preserve"> </v>
      </c>
      <c r="B1006" s="81" t="str">
        <f t="shared" si="1"/>
        <v xml:space="preserve"> </v>
      </c>
      <c r="C1006" s="79" t="str">
        <f t="shared" si="7"/>
        <v xml:space="preserve"> </v>
      </c>
      <c r="D1006" s="79" t="str">
        <f t="shared" si="5"/>
        <v xml:space="preserve"> </v>
      </c>
      <c r="E1006" s="79" t="str">
        <f t="shared" si="6"/>
        <v xml:space="preserve"> </v>
      </c>
    </row>
    <row r="1007" spans="1:5" ht="12.5">
      <c r="A1007" s="81" t="str">
        <f t="shared" si="0"/>
        <v xml:space="preserve"> </v>
      </c>
      <c r="B1007" s="81" t="str">
        <f t="shared" si="1"/>
        <v xml:space="preserve"> </v>
      </c>
      <c r="C1007" s="79" t="str">
        <f t="shared" si="7"/>
        <v xml:space="preserve"> </v>
      </c>
      <c r="D1007" s="79" t="str">
        <f t="shared" si="5"/>
        <v xml:space="preserve"> </v>
      </c>
      <c r="E1007" s="79" t="str">
        <f t="shared" si="6"/>
        <v xml:space="preserve"> </v>
      </c>
    </row>
    <row r="1008" spans="1:5" ht="12.5">
      <c r="A1008" s="81" t="str">
        <f t="shared" si="0"/>
        <v xml:space="preserve"> </v>
      </c>
      <c r="B1008" s="81" t="str">
        <f t="shared" si="1"/>
        <v xml:space="preserve"> </v>
      </c>
      <c r="C1008" s="79" t="str">
        <f t="shared" si="7"/>
        <v xml:space="preserve"> </v>
      </c>
      <c r="D1008" s="79" t="str">
        <f t="shared" si="5"/>
        <v xml:space="preserve"> </v>
      </c>
      <c r="E1008" s="79" t="str">
        <f t="shared" si="6"/>
        <v xml:space="preserve"> </v>
      </c>
    </row>
    <row r="1009" spans="1:5" ht="12.5">
      <c r="A1009" s="81" t="str">
        <f t="shared" si="0"/>
        <v xml:space="preserve"> </v>
      </c>
      <c r="B1009" s="81" t="str">
        <f t="shared" si="1"/>
        <v xml:space="preserve"> </v>
      </c>
      <c r="C1009" s="79" t="str">
        <f t="shared" si="7"/>
        <v xml:space="preserve"> </v>
      </c>
      <c r="D1009" s="79" t="str">
        <f t="shared" si="5"/>
        <v xml:space="preserve"> </v>
      </c>
      <c r="E1009" s="79" t="str">
        <f t="shared" si="6"/>
        <v xml:space="preserve"> </v>
      </c>
    </row>
    <row r="1010" spans="1:5" ht="12.5">
      <c r="A1010" s="81" t="str">
        <f t="shared" si="0"/>
        <v xml:space="preserve"> </v>
      </c>
      <c r="B1010" s="81" t="str">
        <f t="shared" si="1"/>
        <v xml:space="preserve"> </v>
      </c>
      <c r="C1010" s="79" t="str">
        <f t="shared" si="7"/>
        <v xml:space="preserve"> </v>
      </c>
      <c r="D1010" s="79" t="str">
        <f t="shared" si="5"/>
        <v xml:space="preserve"> </v>
      </c>
      <c r="E1010" s="79" t="str">
        <f t="shared" si="6"/>
        <v xml:space="preserve"> </v>
      </c>
    </row>
    <row r="1011" spans="1:5" ht="12.5">
      <c r="A1011" s="81" t="str">
        <f t="shared" si="0"/>
        <v xml:space="preserve"> </v>
      </c>
      <c r="B1011" s="81" t="str">
        <f t="shared" si="1"/>
        <v xml:space="preserve"> </v>
      </c>
      <c r="C1011" s="79" t="str">
        <f t="shared" si="7"/>
        <v xml:space="preserve"> </v>
      </c>
      <c r="D1011" s="79" t="str">
        <f t="shared" si="5"/>
        <v xml:space="preserve"> </v>
      </c>
      <c r="E1011" s="79" t="str">
        <f t="shared" si="6"/>
        <v xml:space="preserve"> </v>
      </c>
    </row>
    <row r="1012" spans="1:5" ht="12.5">
      <c r="A1012" s="81" t="str">
        <f t="shared" si="0"/>
        <v xml:space="preserve"> </v>
      </c>
      <c r="B1012" s="81" t="str">
        <f t="shared" si="1"/>
        <v xml:space="preserve"> </v>
      </c>
      <c r="C1012" s="79" t="str">
        <f t="shared" si="7"/>
        <v xml:space="preserve"> </v>
      </c>
      <c r="D1012" s="79" t="str">
        <f t="shared" si="5"/>
        <v xml:space="preserve"> </v>
      </c>
      <c r="E1012" s="79" t="str">
        <f t="shared" si="6"/>
        <v xml:space="preserve"> </v>
      </c>
    </row>
    <row r="1013" spans="1:5" ht="12.5">
      <c r="A1013" s="81" t="str">
        <f t="shared" si="0"/>
        <v xml:space="preserve"> </v>
      </c>
      <c r="B1013" s="81" t="str">
        <f t="shared" si="1"/>
        <v xml:space="preserve"> </v>
      </c>
      <c r="C1013" s="79" t="str">
        <f t="shared" si="7"/>
        <v xml:space="preserve"> </v>
      </c>
      <c r="D1013" s="79" t="str">
        <f t="shared" si="5"/>
        <v xml:space="preserve"> </v>
      </c>
      <c r="E1013" s="79" t="str">
        <f t="shared" si="6"/>
        <v xml:space="preserve"> </v>
      </c>
    </row>
    <row r="1014" spans="1:5" ht="12.5">
      <c r="A1014" s="81" t="str">
        <f t="shared" si="0"/>
        <v xml:space="preserve"> </v>
      </c>
      <c r="B1014" s="81" t="str">
        <f t="shared" si="1"/>
        <v xml:space="preserve"> </v>
      </c>
      <c r="C1014" s="79" t="str">
        <f t="shared" si="7"/>
        <v xml:space="preserve"> </v>
      </c>
      <c r="D1014" s="79" t="str">
        <f t="shared" si="5"/>
        <v xml:space="preserve"> </v>
      </c>
      <c r="E1014" s="79" t="str">
        <f t="shared" si="6"/>
        <v xml:space="preserve"> </v>
      </c>
    </row>
    <row r="1015" spans="1:5" ht="12.5">
      <c r="A1015" s="81" t="str">
        <f t="shared" si="0"/>
        <v xml:space="preserve"> </v>
      </c>
      <c r="B1015" s="81" t="str">
        <f t="shared" si="1"/>
        <v xml:space="preserve"> </v>
      </c>
      <c r="C1015" s="79" t="str">
        <f t="shared" si="7"/>
        <v xml:space="preserve"> </v>
      </c>
      <c r="D1015" s="79" t="str">
        <f t="shared" si="5"/>
        <v xml:space="preserve"> </v>
      </c>
      <c r="E1015" s="79" t="str">
        <f t="shared" si="6"/>
        <v xml:space="preserve"> </v>
      </c>
    </row>
    <row r="1016" spans="1:5" ht="12.5">
      <c r="A1016" s="81" t="str">
        <f t="shared" si="0"/>
        <v xml:space="preserve"> </v>
      </c>
      <c r="B1016" s="81" t="str">
        <f t="shared" si="1"/>
        <v xml:space="preserve"> </v>
      </c>
      <c r="C1016" s="79" t="str">
        <f t="shared" si="7"/>
        <v xml:space="preserve"> </v>
      </c>
      <c r="D1016" s="79" t="str">
        <f t="shared" si="5"/>
        <v xml:space="preserve"> </v>
      </c>
      <c r="E1016" s="79" t="str">
        <f t="shared" si="6"/>
        <v xml:space="preserve"> </v>
      </c>
    </row>
    <row r="1017" spans="1:5" ht="12.5">
      <c r="A1017" s="81" t="str">
        <f t="shared" si="0"/>
        <v xml:space="preserve"> </v>
      </c>
      <c r="B1017" s="81" t="str">
        <f t="shared" si="1"/>
        <v xml:space="preserve"> </v>
      </c>
      <c r="C1017" s="79" t="str">
        <f t="shared" si="7"/>
        <v xml:space="preserve"> </v>
      </c>
      <c r="D1017" s="79" t="str">
        <f t="shared" si="5"/>
        <v xml:space="preserve"> </v>
      </c>
      <c r="E1017" s="79" t="str">
        <f t="shared" si="6"/>
        <v xml:space="preserve"> </v>
      </c>
    </row>
    <row r="1018" spans="1:5" ht="12.5">
      <c r="A1018" s="81" t="str">
        <f t="shared" si="0"/>
        <v xml:space="preserve"> </v>
      </c>
      <c r="B1018" s="81" t="str">
        <f t="shared" si="1"/>
        <v xml:space="preserve"> </v>
      </c>
      <c r="C1018" s="79" t="str">
        <f t="shared" si="7"/>
        <v xml:space="preserve"> </v>
      </c>
      <c r="D1018" s="79" t="str">
        <f t="shared" si="5"/>
        <v xml:space="preserve"> </v>
      </c>
      <c r="E1018" s="79" t="str">
        <f t="shared" si="6"/>
        <v xml:space="preserve"> </v>
      </c>
    </row>
    <row r="1019" spans="1:5" ht="12.5">
      <c r="A1019" s="81" t="str">
        <f t="shared" si="0"/>
        <v xml:space="preserve"> </v>
      </c>
      <c r="B1019" s="81" t="str">
        <f t="shared" si="1"/>
        <v xml:space="preserve"> </v>
      </c>
      <c r="C1019" s="79" t="str">
        <f t="shared" si="7"/>
        <v xml:space="preserve"> </v>
      </c>
      <c r="D1019" s="79" t="str">
        <f t="shared" si="5"/>
        <v xml:space="preserve"> </v>
      </c>
      <c r="E1019" s="79" t="str">
        <f t="shared" si="6"/>
        <v xml:space="preserve"> </v>
      </c>
    </row>
    <row r="1020" spans="1:5" ht="12.5">
      <c r="A1020" s="81" t="str">
        <f t="shared" si="0"/>
        <v xml:space="preserve"> </v>
      </c>
      <c r="B1020" s="81" t="str">
        <f t="shared" si="1"/>
        <v xml:space="preserve"> </v>
      </c>
      <c r="C1020" s="79" t="str">
        <f t="shared" si="7"/>
        <v xml:space="preserve"> </v>
      </c>
      <c r="D1020" s="79" t="str">
        <f t="shared" si="5"/>
        <v xml:space="preserve"> </v>
      </c>
      <c r="E1020" s="79" t="str">
        <f t="shared" si="6"/>
        <v xml:space="preserve"> </v>
      </c>
    </row>
    <row r="1021" spans="1:5" ht="12.5">
      <c r="A1021" s="81" t="str">
        <f t="shared" si="0"/>
        <v xml:space="preserve"> </v>
      </c>
      <c r="B1021" s="81" t="str">
        <f t="shared" si="1"/>
        <v xml:space="preserve"> </v>
      </c>
      <c r="C1021" s="79" t="str">
        <f t="shared" si="7"/>
        <v xml:space="preserve"> </v>
      </c>
      <c r="D1021" s="79" t="str">
        <f t="shared" si="5"/>
        <v xml:space="preserve"> </v>
      </c>
      <c r="E1021" s="79" t="str">
        <f t="shared" si="6"/>
        <v xml:space="preserve"> </v>
      </c>
    </row>
    <row r="1022" spans="1:5" ht="12.5">
      <c r="A1022" s="81" t="str">
        <f t="shared" si="0"/>
        <v xml:space="preserve"> </v>
      </c>
      <c r="B1022" s="81" t="str">
        <f t="shared" si="1"/>
        <v xml:space="preserve"> </v>
      </c>
      <c r="C1022" s="79" t="str">
        <f t="shared" si="7"/>
        <v xml:space="preserve"> </v>
      </c>
      <c r="D1022" s="79" t="str">
        <f t="shared" si="5"/>
        <v xml:space="preserve"> </v>
      </c>
      <c r="E1022" s="79" t="str">
        <f t="shared" si="6"/>
        <v xml:space="preserve"> </v>
      </c>
    </row>
    <row r="1023" spans="1:5" ht="12.5">
      <c r="A1023" s="81" t="str">
        <f t="shared" si="0"/>
        <v xml:space="preserve"> </v>
      </c>
      <c r="B1023" s="81" t="str">
        <f t="shared" si="1"/>
        <v xml:space="preserve"> </v>
      </c>
      <c r="C1023" s="79" t="str">
        <f t="shared" si="7"/>
        <v xml:space="preserve"> </v>
      </c>
      <c r="D1023" s="79" t="str">
        <f t="shared" si="5"/>
        <v xml:space="preserve"> </v>
      </c>
      <c r="E1023" s="79" t="str">
        <f t="shared" si="6"/>
        <v xml:space="preserve"> </v>
      </c>
    </row>
    <row r="1024" spans="1:5" ht="12.5">
      <c r="A1024" s="81" t="str">
        <f t="shared" si="0"/>
        <v xml:space="preserve"> </v>
      </c>
      <c r="B1024" s="81" t="str">
        <f t="shared" si="1"/>
        <v xml:space="preserve"> </v>
      </c>
      <c r="C1024" s="79" t="str">
        <f t="shared" si="7"/>
        <v xml:space="preserve"> </v>
      </c>
      <c r="D1024" s="79" t="str">
        <f t="shared" si="5"/>
        <v xml:space="preserve"> </v>
      </c>
      <c r="E1024" s="79" t="str">
        <f t="shared" si="6"/>
        <v xml:space="preserve"> </v>
      </c>
    </row>
    <row r="1025" spans="1:5" ht="12.5">
      <c r="A1025" s="81" t="str">
        <f t="shared" si="0"/>
        <v xml:space="preserve"> </v>
      </c>
      <c r="B1025" s="81" t="str">
        <f t="shared" si="1"/>
        <v xml:space="preserve"> </v>
      </c>
      <c r="C1025" s="79" t="str">
        <f t="shared" si="7"/>
        <v xml:space="preserve"> </v>
      </c>
      <c r="D1025" s="79" t="str">
        <f t="shared" si="5"/>
        <v xml:space="preserve"> </v>
      </c>
      <c r="E1025" s="79" t="str">
        <f t="shared" si="6"/>
        <v xml:space="preserve"> </v>
      </c>
    </row>
    <row r="1026" spans="1:5" ht="12.5">
      <c r="A1026" s="81" t="str">
        <f t="shared" si="0"/>
        <v xml:space="preserve"> </v>
      </c>
      <c r="B1026" s="81" t="str">
        <f t="shared" si="1"/>
        <v xml:space="preserve"> </v>
      </c>
      <c r="C1026" s="79" t="str">
        <f t="shared" si="7"/>
        <v xml:space="preserve"> </v>
      </c>
      <c r="D1026" s="79" t="str">
        <f t="shared" si="5"/>
        <v xml:space="preserve"> </v>
      </c>
      <c r="E1026" s="79" t="str">
        <f t="shared" si="6"/>
        <v xml:space="preserve"> </v>
      </c>
    </row>
    <row r="1027" spans="1:5" ht="12.5">
      <c r="A1027" s="81" t="str">
        <f t="shared" si="0"/>
        <v xml:space="preserve"> </v>
      </c>
      <c r="B1027" s="81" t="str">
        <f t="shared" si="1"/>
        <v xml:space="preserve"> </v>
      </c>
      <c r="C1027" s="79" t="str">
        <f t="shared" si="7"/>
        <v xml:space="preserve"> </v>
      </c>
      <c r="D1027" s="79" t="str">
        <f t="shared" si="5"/>
        <v xml:space="preserve"> </v>
      </c>
      <c r="E1027" s="79" t="str">
        <f t="shared" si="6"/>
        <v xml:space="preserve"> </v>
      </c>
    </row>
    <row r="1028" spans="1:5" ht="12.5">
      <c r="A1028" s="81" t="str">
        <f t="shared" si="0"/>
        <v xml:space="preserve"> </v>
      </c>
      <c r="B1028" s="81" t="str">
        <f t="shared" si="1"/>
        <v xml:space="preserve"> </v>
      </c>
      <c r="C1028" s="79" t="str">
        <f t="shared" si="7"/>
        <v xml:space="preserve"> </v>
      </c>
      <c r="D1028" s="79" t="str">
        <f t="shared" si="5"/>
        <v xml:space="preserve"> </v>
      </c>
      <c r="E1028" s="79" t="str">
        <f t="shared" si="6"/>
        <v xml:space="preserve"> </v>
      </c>
    </row>
    <row r="1029" spans="1:5" ht="12.5">
      <c r="A1029" s="81" t="str">
        <f t="shared" si="0"/>
        <v xml:space="preserve"> </v>
      </c>
      <c r="B1029" s="81" t="str">
        <f t="shared" si="1"/>
        <v xml:space="preserve"> </v>
      </c>
      <c r="C1029" s="79" t="str">
        <f t="shared" si="7"/>
        <v xml:space="preserve"> </v>
      </c>
      <c r="D1029" s="79" t="str">
        <f t="shared" si="5"/>
        <v xml:space="preserve"> </v>
      </c>
      <c r="E1029" s="79" t="str">
        <f t="shared" si="6"/>
        <v xml:space="preserve"> </v>
      </c>
    </row>
    <row r="1030" spans="1:5" ht="12.5">
      <c r="A1030" s="81" t="str">
        <f t="shared" si="0"/>
        <v xml:space="preserve"> </v>
      </c>
      <c r="B1030" s="81" t="str">
        <f t="shared" si="1"/>
        <v xml:space="preserve"> </v>
      </c>
      <c r="C1030" s="79" t="str">
        <f t="shared" si="7"/>
        <v xml:space="preserve"> </v>
      </c>
      <c r="D1030" s="79" t="str">
        <f t="shared" si="5"/>
        <v xml:space="preserve"> </v>
      </c>
      <c r="E1030" s="79" t="str">
        <f t="shared" si="6"/>
        <v xml:space="preserve"> </v>
      </c>
    </row>
    <row r="1031" spans="1:5" ht="12.5">
      <c r="A1031" s="81" t="str">
        <f t="shared" si="0"/>
        <v xml:space="preserve"> </v>
      </c>
      <c r="B1031" s="81" t="str">
        <f t="shared" si="1"/>
        <v xml:space="preserve"> </v>
      </c>
      <c r="C1031" s="79" t="str">
        <f t="shared" si="7"/>
        <v xml:space="preserve"> </v>
      </c>
      <c r="D1031" s="79" t="str">
        <f t="shared" si="5"/>
        <v xml:space="preserve"> </v>
      </c>
      <c r="E1031" s="79" t="str">
        <f t="shared" si="6"/>
        <v xml:space="preserve"> </v>
      </c>
    </row>
    <row r="1032" spans="1:5" ht="12.5">
      <c r="A1032" s="81" t="str">
        <f t="shared" si="0"/>
        <v xml:space="preserve"> </v>
      </c>
      <c r="B1032" s="81" t="str">
        <f t="shared" si="1"/>
        <v xml:space="preserve"> </v>
      </c>
      <c r="C1032" s="79" t="str">
        <f t="shared" si="7"/>
        <v xml:space="preserve"> </v>
      </c>
      <c r="D1032" s="79" t="str">
        <f t="shared" si="5"/>
        <v xml:space="preserve"> </v>
      </c>
      <c r="E1032" s="79" t="str">
        <f t="shared" si="6"/>
        <v xml:space="preserve"> </v>
      </c>
    </row>
    <row r="1033" spans="1:5" ht="12.5">
      <c r="A1033" s="81" t="str">
        <f t="shared" si="0"/>
        <v xml:space="preserve"> </v>
      </c>
      <c r="B1033" s="81" t="str">
        <f t="shared" si="1"/>
        <v xml:space="preserve"> </v>
      </c>
      <c r="C1033" s="79" t="str">
        <f t="shared" si="7"/>
        <v xml:space="preserve"> </v>
      </c>
      <c r="D1033" s="79" t="str">
        <f t="shared" si="5"/>
        <v xml:space="preserve"> </v>
      </c>
      <c r="E1033" s="79" t="str">
        <f t="shared" si="6"/>
        <v xml:space="preserve"> </v>
      </c>
    </row>
    <row r="1034" spans="1:5" ht="12.5">
      <c r="A1034" s="81" t="str">
        <f t="shared" si="0"/>
        <v xml:space="preserve"> </v>
      </c>
      <c r="B1034" s="81" t="str">
        <f t="shared" si="1"/>
        <v xml:space="preserve"> </v>
      </c>
      <c r="C1034" s="79" t="str">
        <f t="shared" si="7"/>
        <v xml:space="preserve"> </v>
      </c>
      <c r="D1034" s="79" t="str">
        <f t="shared" si="5"/>
        <v xml:space="preserve"> </v>
      </c>
      <c r="E1034" s="79" t="str">
        <f t="shared" si="6"/>
        <v xml:space="preserve"> </v>
      </c>
    </row>
    <row r="1035" spans="1:5" ht="12.5">
      <c r="A1035" s="81" t="str">
        <f t="shared" si="0"/>
        <v xml:space="preserve"> </v>
      </c>
      <c r="B1035" s="81" t="str">
        <f t="shared" si="1"/>
        <v xml:space="preserve"> </v>
      </c>
      <c r="C1035" s="79" t="str">
        <f t="shared" si="7"/>
        <v xml:space="preserve"> </v>
      </c>
      <c r="D1035" s="79" t="str">
        <f t="shared" si="5"/>
        <v xml:space="preserve"> </v>
      </c>
      <c r="E1035" s="79" t="str">
        <f t="shared" si="6"/>
        <v xml:space="preserve"> </v>
      </c>
    </row>
    <row r="1036" spans="1:5" ht="12.5">
      <c r="A1036" s="81" t="str">
        <f t="shared" si="0"/>
        <v xml:space="preserve"> </v>
      </c>
      <c r="B1036" s="81" t="str">
        <f t="shared" si="1"/>
        <v xml:space="preserve"> </v>
      </c>
      <c r="C1036" s="79" t="str">
        <f t="shared" si="7"/>
        <v xml:space="preserve"> </v>
      </c>
      <c r="D1036" s="79" t="str">
        <f t="shared" si="5"/>
        <v xml:space="preserve"> </v>
      </c>
      <c r="E1036" s="79" t="str">
        <f t="shared" si="6"/>
        <v xml:space="preserve"> </v>
      </c>
    </row>
    <row r="1037" spans="1:5" ht="12.5">
      <c r="A1037" s="81" t="str">
        <f t="shared" si="0"/>
        <v xml:space="preserve"> </v>
      </c>
      <c r="B1037" s="81" t="str">
        <f t="shared" si="1"/>
        <v xml:space="preserve"> </v>
      </c>
      <c r="C1037" s="79" t="str">
        <f t="shared" si="7"/>
        <v xml:space="preserve"> </v>
      </c>
      <c r="D1037" s="79" t="str">
        <f t="shared" si="5"/>
        <v xml:space="preserve"> </v>
      </c>
      <c r="E1037" s="79" t="str">
        <f t="shared" si="6"/>
        <v xml:space="preserve"> </v>
      </c>
    </row>
    <row r="1038" spans="1:5" ht="12.5">
      <c r="A1038" s="81" t="str">
        <f t="shared" si="0"/>
        <v xml:space="preserve"> </v>
      </c>
      <c r="B1038" s="81" t="str">
        <f t="shared" si="1"/>
        <v xml:space="preserve"> </v>
      </c>
      <c r="C1038" s="79" t="str">
        <f t="shared" si="7"/>
        <v xml:space="preserve"> </v>
      </c>
      <c r="D1038" s="79" t="str">
        <f t="shared" si="5"/>
        <v xml:space="preserve"> </v>
      </c>
      <c r="E1038" s="79" t="str">
        <f t="shared" si="6"/>
        <v xml:space="preserve"> </v>
      </c>
    </row>
    <row r="1039" spans="1:5" ht="12.5">
      <c r="A1039" s="81" t="str">
        <f t="shared" si="0"/>
        <v xml:space="preserve"> </v>
      </c>
      <c r="B1039" s="81" t="str">
        <f t="shared" si="1"/>
        <v xml:space="preserve"> </v>
      </c>
      <c r="C1039" s="79" t="str">
        <f t="shared" si="7"/>
        <v xml:space="preserve"> </v>
      </c>
      <c r="D1039" s="79" t="str">
        <f t="shared" si="5"/>
        <v xml:space="preserve"> </v>
      </c>
      <c r="E1039" s="79" t="str">
        <f t="shared" si="6"/>
        <v xml:space="preserve"> </v>
      </c>
    </row>
    <row r="1040" spans="1:5" ht="12.5">
      <c r="A1040" s="81" t="str">
        <f t="shared" si="0"/>
        <v xml:space="preserve"> </v>
      </c>
      <c r="B1040" s="81" t="str">
        <f t="shared" si="1"/>
        <v xml:space="preserve"> </v>
      </c>
      <c r="C1040" s="79" t="str">
        <f t="shared" si="7"/>
        <v xml:space="preserve"> </v>
      </c>
      <c r="D1040" s="79" t="str">
        <f t="shared" si="5"/>
        <v xml:space="preserve"> </v>
      </c>
      <c r="E1040" s="79" t="str">
        <f t="shared" si="6"/>
        <v xml:space="preserve"> </v>
      </c>
    </row>
    <row r="1041" spans="1:5" ht="12.5">
      <c r="A1041" s="81" t="str">
        <f t="shared" si="0"/>
        <v xml:space="preserve"> </v>
      </c>
      <c r="B1041" s="81" t="str">
        <f t="shared" si="1"/>
        <v xml:space="preserve"> </v>
      </c>
      <c r="C1041" s="79" t="str">
        <f t="shared" si="7"/>
        <v xml:space="preserve"> </v>
      </c>
      <c r="D1041" s="79" t="str">
        <f t="shared" si="5"/>
        <v xml:space="preserve"> </v>
      </c>
      <c r="E1041" s="79" t="str">
        <f t="shared" si="6"/>
        <v xml:space="preserve"> </v>
      </c>
    </row>
    <row r="1042" spans="1:5" ht="12.5">
      <c r="A1042" s="81" t="str">
        <f t="shared" si="0"/>
        <v xml:space="preserve"> </v>
      </c>
      <c r="B1042" s="81" t="str">
        <f t="shared" si="1"/>
        <v xml:space="preserve"> </v>
      </c>
      <c r="C1042" s="79" t="str">
        <f t="shared" si="7"/>
        <v xml:space="preserve"> </v>
      </c>
      <c r="D1042" s="79" t="str">
        <f t="shared" si="5"/>
        <v xml:space="preserve"> </v>
      </c>
      <c r="E1042" s="79" t="str">
        <f t="shared" si="6"/>
        <v xml:space="preserve"> </v>
      </c>
    </row>
    <row r="1043" spans="1:5" ht="12.5">
      <c r="A1043" s="81" t="str">
        <f t="shared" si="0"/>
        <v xml:space="preserve"> </v>
      </c>
      <c r="B1043" s="81" t="str">
        <f t="shared" si="1"/>
        <v xml:space="preserve"> </v>
      </c>
      <c r="C1043" s="79" t="str">
        <f t="shared" si="7"/>
        <v xml:space="preserve"> </v>
      </c>
      <c r="D1043" s="79" t="str">
        <f t="shared" si="5"/>
        <v xml:space="preserve"> </v>
      </c>
      <c r="E1043" s="79" t="str">
        <f t="shared" si="6"/>
        <v xml:space="preserve"> </v>
      </c>
    </row>
    <row r="1044" spans="1:5" ht="12.5">
      <c r="A1044" s="81" t="str">
        <f t="shared" si="0"/>
        <v xml:space="preserve"> </v>
      </c>
      <c r="B1044" s="81" t="str">
        <f t="shared" si="1"/>
        <v xml:space="preserve"> </v>
      </c>
      <c r="C1044" s="79" t="str">
        <f t="shared" si="7"/>
        <v xml:space="preserve"> </v>
      </c>
      <c r="D1044" s="79" t="str">
        <f t="shared" si="5"/>
        <v xml:space="preserve"> </v>
      </c>
      <c r="E1044" s="79" t="str">
        <f t="shared" si="6"/>
        <v xml:space="preserve"> </v>
      </c>
    </row>
    <row r="1045" spans="1:5" ht="12.5">
      <c r="A1045" s="81" t="str">
        <f t="shared" si="0"/>
        <v xml:space="preserve"> </v>
      </c>
      <c r="B1045" s="81" t="str">
        <f t="shared" si="1"/>
        <v xml:space="preserve"> </v>
      </c>
      <c r="C1045" s="79" t="str">
        <f t="shared" si="7"/>
        <v xml:space="preserve"> </v>
      </c>
      <c r="D1045" s="79" t="str">
        <f t="shared" si="5"/>
        <v xml:space="preserve"> </v>
      </c>
      <c r="E1045" s="79" t="str">
        <f t="shared" si="6"/>
        <v xml:space="preserve"> </v>
      </c>
    </row>
    <row r="1046" spans="1:5" ht="12.5">
      <c r="A1046" s="81" t="str">
        <f t="shared" si="0"/>
        <v xml:space="preserve"> </v>
      </c>
      <c r="B1046" s="81" t="str">
        <f t="shared" si="1"/>
        <v xml:space="preserve"> </v>
      </c>
      <c r="C1046" s="79" t="str">
        <f t="shared" si="7"/>
        <v xml:space="preserve"> </v>
      </c>
      <c r="D1046" s="79" t="str">
        <f t="shared" si="5"/>
        <v xml:space="preserve"> </v>
      </c>
      <c r="E1046" s="79" t="str">
        <f t="shared" si="6"/>
        <v xml:space="preserve"> </v>
      </c>
    </row>
    <row r="1047" spans="1:5" ht="12.5">
      <c r="A1047" s="81" t="str">
        <f t="shared" si="0"/>
        <v xml:space="preserve"> </v>
      </c>
      <c r="B1047" s="81" t="str">
        <f t="shared" si="1"/>
        <v xml:space="preserve"> </v>
      </c>
      <c r="C1047" s="79" t="str">
        <f t="shared" si="7"/>
        <v xml:space="preserve"> </v>
      </c>
      <c r="D1047" s="79" t="str">
        <f t="shared" si="5"/>
        <v xml:space="preserve"> </v>
      </c>
      <c r="E1047" s="79" t="str">
        <f t="shared" si="6"/>
        <v xml:space="preserve"> </v>
      </c>
    </row>
    <row r="1048" spans="1:5" ht="12.5">
      <c r="A1048" s="81" t="str">
        <f t="shared" si="0"/>
        <v xml:space="preserve"> </v>
      </c>
      <c r="B1048" s="81" t="str">
        <f t="shared" si="1"/>
        <v xml:space="preserve"> </v>
      </c>
      <c r="C1048" s="79" t="str">
        <f t="shared" si="7"/>
        <v xml:space="preserve"> </v>
      </c>
      <c r="D1048" s="79" t="str">
        <f t="shared" si="5"/>
        <v xml:space="preserve"> </v>
      </c>
      <c r="E1048" s="79" t="str">
        <f t="shared" si="6"/>
        <v xml:space="preserve"> </v>
      </c>
    </row>
    <row r="1049" spans="1:5" ht="12.5">
      <c r="A1049" s="81" t="str">
        <f t="shared" si="0"/>
        <v xml:space="preserve"> </v>
      </c>
      <c r="B1049" s="81" t="str">
        <f t="shared" si="1"/>
        <v xml:space="preserve"> </v>
      </c>
      <c r="C1049" s="79" t="str">
        <f t="shared" si="7"/>
        <v xml:space="preserve"> </v>
      </c>
      <c r="D1049" s="79" t="str">
        <f t="shared" si="5"/>
        <v xml:space="preserve"> </v>
      </c>
      <c r="E1049" s="79" t="str">
        <f t="shared" si="6"/>
        <v xml:space="preserve"> </v>
      </c>
    </row>
    <row r="1050" spans="1:5" ht="12.5">
      <c r="A1050" s="81" t="str">
        <f t="shared" si="0"/>
        <v xml:space="preserve"> </v>
      </c>
      <c r="B1050" s="81" t="str">
        <f t="shared" si="1"/>
        <v xml:space="preserve"> </v>
      </c>
      <c r="C1050" s="79" t="str">
        <f t="shared" si="7"/>
        <v xml:space="preserve"> </v>
      </c>
      <c r="D1050" s="79" t="str">
        <f t="shared" si="5"/>
        <v xml:space="preserve"> </v>
      </c>
      <c r="E1050" s="79" t="str">
        <f t="shared" si="6"/>
        <v xml:space="preserve"> </v>
      </c>
    </row>
    <row r="1051" spans="1:5" ht="12.5">
      <c r="A1051" s="81" t="str">
        <f t="shared" si="0"/>
        <v xml:space="preserve"> </v>
      </c>
      <c r="B1051" s="81" t="str">
        <f t="shared" si="1"/>
        <v xml:space="preserve"> </v>
      </c>
      <c r="C1051" s="79" t="str">
        <f t="shared" si="7"/>
        <v xml:space="preserve"> </v>
      </c>
      <c r="D1051" s="79" t="str">
        <f t="shared" si="5"/>
        <v xml:space="preserve"> </v>
      </c>
      <c r="E1051" s="79" t="str">
        <f t="shared" si="6"/>
        <v xml:space="preserve"> </v>
      </c>
    </row>
    <row r="1052" spans="1:5" ht="12.5">
      <c r="A1052" s="81" t="str">
        <f t="shared" si="0"/>
        <v xml:space="preserve"> </v>
      </c>
      <c r="B1052" s="81" t="str">
        <f t="shared" si="1"/>
        <v xml:space="preserve"> </v>
      </c>
      <c r="C1052" s="79" t="str">
        <f t="shared" si="7"/>
        <v xml:space="preserve"> </v>
      </c>
      <c r="D1052" s="79" t="str">
        <f t="shared" si="5"/>
        <v xml:space="preserve"> </v>
      </c>
      <c r="E1052" s="79" t="str">
        <f t="shared" si="6"/>
        <v xml:space="preserve"> </v>
      </c>
    </row>
    <row r="1053" spans="1:5" ht="12.5">
      <c r="A1053" s="81" t="str">
        <f t="shared" si="0"/>
        <v xml:space="preserve"> </v>
      </c>
      <c r="B1053" s="81" t="str">
        <f t="shared" si="1"/>
        <v xml:space="preserve"> </v>
      </c>
      <c r="C1053" s="79" t="str">
        <f t="shared" si="7"/>
        <v xml:space="preserve"> </v>
      </c>
      <c r="D1053" s="79" t="str">
        <f t="shared" si="5"/>
        <v xml:space="preserve"> </v>
      </c>
      <c r="E1053" s="79" t="str">
        <f t="shared" si="6"/>
        <v xml:space="preserve"> </v>
      </c>
    </row>
    <row r="1054" spans="1:5" ht="12.5">
      <c r="A1054" s="81" t="str">
        <f t="shared" si="0"/>
        <v xml:space="preserve"> </v>
      </c>
      <c r="B1054" s="81" t="str">
        <f t="shared" si="1"/>
        <v xml:space="preserve"> </v>
      </c>
      <c r="C1054" s="79" t="str">
        <f t="shared" si="7"/>
        <v xml:space="preserve"> </v>
      </c>
      <c r="D1054" s="79" t="str">
        <f t="shared" si="5"/>
        <v xml:space="preserve"> </v>
      </c>
      <c r="E1054" s="79" t="str">
        <f t="shared" si="6"/>
        <v xml:space="preserve"> </v>
      </c>
    </row>
    <row r="1055" spans="1:5" ht="12.5">
      <c r="A1055" s="81" t="str">
        <f t="shared" si="0"/>
        <v xml:space="preserve"> </v>
      </c>
      <c r="B1055" s="81" t="str">
        <f t="shared" si="1"/>
        <v xml:space="preserve"> </v>
      </c>
      <c r="C1055" s="79" t="str">
        <f t="shared" si="7"/>
        <v xml:space="preserve"> </v>
      </c>
      <c r="D1055" s="79" t="str">
        <f t="shared" si="5"/>
        <v xml:space="preserve"> </v>
      </c>
      <c r="E1055" s="79" t="str">
        <f t="shared" si="6"/>
        <v xml:space="preserve"> </v>
      </c>
    </row>
    <row r="1056" spans="1:5" ht="12.5">
      <c r="A1056" s="81" t="str">
        <f t="shared" si="0"/>
        <v xml:space="preserve"> </v>
      </c>
      <c r="B1056" s="81" t="str">
        <f t="shared" si="1"/>
        <v xml:space="preserve"> </v>
      </c>
      <c r="C1056" s="79" t="str">
        <f t="shared" si="7"/>
        <v xml:space="preserve"> </v>
      </c>
      <c r="D1056" s="79" t="str">
        <f t="shared" si="5"/>
        <v xml:space="preserve"> </v>
      </c>
      <c r="E1056" s="79" t="str">
        <f t="shared" si="6"/>
        <v xml:space="preserve"> </v>
      </c>
    </row>
    <row r="1057" spans="1:5" ht="12.5">
      <c r="A1057" s="81" t="str">
        <f t="shared" si="0"/>
        <v xml:space="preserve"> </v>
      </c>
      <c r="B1057" s="81" t="str">
        <f t="shared" si="1"/>
        <v xml:space="preserve"> </v>
      </c>
      <c r="C1057" s="79" t="str">
        <f t="shared" si="7"/>
        <v xml:space="preserve"> </v>
      </c>
      <c r="D1057" s="79" t="str">
        <f t="shared" si="5"/>
        <v xml:space="preserve"> </v>
      </c>
      <c r="E1057" s="79" t="str">
        <f t="shared" si="6"/>
        <v xml:space="preserve"> </v>
      </c>
    </row>
    <row r="1058" spans="1:5" ht="12.5">
      <c r="A1058" s="81" t="str">
        <f t="shared" si="0"/>
        <v xml:space="preserve"> </v>
      </c>
      <c r="B1058" s="81" t="str">
        <f t="shared" si="1"/>
        <v xml:space="preserve"> </v>
      </c>
      <c r="C1058" s="79" t="str">
        <f t="shared" si="7"/>
        <v xml:space="preserve"> </v>
      </c>
      <c r="D1058" s="79" t="str">
        <f t="shared" si="5"/>
        <v xml:space="preserve"> </v>
      </c>
      <c r="E1058" s="79" t="str">
        <f t="shared" si="6"/>
        <v xml:space="preserve"> </v>
      </c>
    </row>
    <row r="1059" spans="1:5" ht="12.5">
      <c r="A1059" s="81" t="str">
        <f t="shared" si="0"/>
        <v xml:space="preserve"> </v>
      </c>
      <c r="B1059" s="81" t="str">
        <f t="shared" si="1"/>
        <v xml:space="preserve"> </v>
      </c>
      <c r="C1059" s="79" t="str">
        <f t="shared" si="7"/>
        <v xml:space="preserve"> </v>
      </c>
      <c r="D1059" s="79" t="str">
        <f t="shared" si="5"/>
        <v xml:space="preserve"> </v>
      </c>
      <c r="E1059" s="79" t="str">
        <f t="shared" si="6"/>
        <v xml:space="preserve"> </v>
      </c>
    </row>
    <row r="1060" spans="1:5" ht="12.5">
      <c r="A1060" s="81" t="str">
        <f t="shared" si="0"/>
        <v xml:space="preserve"> </v>
      </c>
      <c r="B1060" s="81" t="str">
        <f t="shared" si="1"/>
        <v xml:space="preserve"> </v>
      </c>
      <c r="C1060" s="79" t="str">
        <f t="shared" si="7"/>
        <v xml:space="preserve"> </v>
      </c>
      <c r="D1060" s="79" t="str">
        <f t="shared" si="5"/>
        <v xml:space="preserve"> </v>
      </c>
      <c r="E1060" s="79" t="str">
        <f t="shared" si="6"/>
        <v xml:space="preserve"> </v>
      </c>
    </row>
    <row r="1061" spans="1:5" ht="12.5">
      <c r="A1061" s="81" t="str">
        <f t="shared" si="0"/>
        <v xml:space="preserve"> </v>
      </c>
      <c r="B1061" s="81" t="str">
        <f t="shared" si="1"/>
        <v xml:space="preserve"> </v>
      </c>
      <c r="C1061" s="79" t="str">
        <f t="shared" si="7"/>
        <v xml:space="preserve"> </v>
      </c>
      <c r="D1061" s="79" t="str">
        <f t="shared" si="5"/>
        <v xml:space="preserve"> </v>
      </c>
      <c r="E1061" s="79" t="str">
        <f t="shared" si="6"/>
        <v xml:space="preserve"> </v>
      </c>
    </row>
    <row r="1062" spans="1:5" ht="12.5">
      <c r="A1062" s="81" t="str">
        <f t="shared" si="0"/>
        <v xml:space="preserve"> </v>
      </c>
      <c r="B1062" s="81" t="str">
        <f t="shared" si="1"/>
        <v xml:space="preserve"> </v>
      </c>
      <c r="C1062" s="79" t="str">
        <f t="shared" si="7"/>
        <v xml:space="preserve"> </v>
      </c>
      <c r="D1062" s="79" t="str">
        <f t="shared" si="5"/>
        <v xml:space="preserve"> </v>
      </c>
      <c r="E1062" s="79" t="str">
        <f t="shared" si="6"/>
        <v xml:space="preserve"> </v>
      </c>
    </row>
    <row r="1063" spans="1:5" ht="12.5">
      <c r="A1063" s="81" t="str">
        <f t="shared" si="0"/>
        <v xml:space="preserve"> </v>
      </c>
      <c r="B1063" s="81" t="str">
        <f t="shared" si="1"/>
        <v xml:space="preserve"> </v>
      </c>
      <c r="C1063" s="79" t="str">
        <f t="shared" si="7"/>
        <v xml:space="preserve"> </v>
      </c>
      <c r="D1063" s="79" t="str">
        <f t="shared" si="5"/>
        <v xml:space="preserve"> </v>
      </c>
      <c r="E1063" s="79" t="str">
        <f t="shared" si="6"/>
        <v xml:space="preserve"> </v>
      </c>
    </row>
    <row r="1064" spans="1:5" ht="12.5">
      <c r="A1064" s="81" t="str">
        <f t="shared" si="0"/>
        <v xml:space="preserve"> </v>
      </c>
      <c r="B1064" s="81" t="str">
        <f t="shared" si="1"/>
        <v xml:space="preserve"> </v>
      </c>
      <c r="C1064" s="79" t="str">
        <f t="shared" si="7"/>
        <v xml:space="preserve"> </v>
      </c>
      <c r="D1064" s="79" t="str">
        <f t="shared" si="5"/>
        <v xml:space="preserve"> </v>
      </c>
      <c r="E1064" s="79" t="str">
        <f t="shared" si="6"/>
        <v xml:space="preserve"> </v>
      </c>
    </row>
    <row r="1065" spans="1:5" ht="12.5">
      <c r="A1065" s="81" t="str">
        <f t="shared" si="0"/>
        <v xml:space="preserve"> </v>
      </c>
      <c r="B1065" s="81" t="str">
        <f t="shared" si="1"/>
        <v xml:space="preserve"> </v>
      </c>
      <c r="C1065" s="79" t="str">
        <f t="shared" si="7"/>
        <v xml:space="preserve"> </v>
      </c>
      <c r="D1065" s="79" t="str">
        <f t="shared" si="5"/>
        <v xml:space="preserve"> </v>
      </c>
      <c r="E1065" s="79" t="str">
        <f t="shared" si="6"/>
        <v xml:space="preserve"> </v>
      </c>
    </row>
    <row r="1066" spans="1:5" ht="12.5">
      <c r="A1066" s="81" t="str">
        <f t="shared" si="0"/>
        <v xml:space="preserve"> </v>
      </c>
      <c r="B1066" s="81" t="str">
        <f t="shared" si="1"/>
        <v xml:space="preserve"> </v>
      </c>
      <c r="C1066" s="79" t="str">
        <f t="shared" si="7"/>
        <v xml:space="preserve"> </v>
      </c>
      <c r="D1066" s="79" t="str">
        <f t="shared" si="5"/>
        <v xml:space="preserve"> </v>
      </c>
      <c r="E1066" s="79" t="str">
        <f t="shared" si="6"/>
        <v xml:space="preserve"> </v>
      </c>
    </row>
    <row r="1067" spans="1:5" ht="12.5">
      <c r="A1067" s="81" t="str">
        <f t="shared" si="0"/>
        <v xml:space="preserve"> </v>
      </c>
      <c r="B1067" s="81" t="str">
        <f t="shared" si="1"/>
        <v xml:space="preserve"> </v>
      </c>
      <c r="C1067" s="79" t="str">
        <f t="shared" si="7"/>
        <v xml:space="preserve"> </v>
      </c>
      <c r="D1067" s="79" t="str">
        <f t="shared" si="5"/>
        <v xml:space="preserve"> </v>
      </c>
      <c r="E1067" s="79" t="str">
        <f t="shared" si="6"/>
        <v xml:space="preserve"> </v>
      </c>
    </row>
    <row r="1068" spans="1:5" ht="12.5">
      <c r="A1068" s="81" t="str">
        <f t="shared" si="0"/>
        <v xml:space="preserve"> </v>
      </c>
      <c r="B1068" s="81" t="str">
        <f t="shared" si="1"/>
        <v xml:space="preserve"> </v>
      </c>
      <c r="C1068" s="79" t="str">
        <f t="shared" si="7"/>
        <v xml:space="preserve"> </v>
      </c>
      <c r="D1068" s="79" t="str">
        <f t="shared" si="5"/>
        <v xml:space="preserve"> </v>
      </c>
      <c r="E1068" s="79" t="str">
        <f t="shared" si="6"/>
        <v xml:space="preserve"> </v>
      </c>
    </row>
    <row r="1069" spans="1:5" ht="12.5">
      <c r="A1069" s="81" t="str">
        <f t="shared" si="0"/>
        <v xml:space="preserve"> </v>
      </c>
      <c r="B1069" s="81" t="str">
        <f t="shared" si="1"/>
        <v xml:space="preserve"> </v>
      </c>
      <c r="C1069" s="79" t="str">
        <f t="shared" si="7"/>
        <v xml:space="preserve"> </v>
      </c>
      <c r="D1069" s="79" t="str">
        <f t="shared" si="5"/>
        <v xml:space="preserve"> </v>
      </c>
      <c r="E1069" s="79" t="str">
        <f t="shared" si="6"/>
        <v xml:space="preserve"> </v>
      </c>
    </row>
    <row r="1070" spans="1:5" ht="12.5">
      <c r="A1070" s="81" t="str">
        <f t="shared" si="0"/>
        <v xml:space="preserve"> </v>
      </c>
      <c r="B1070" s="81" t="str">
        <f t="shared" si="1"/>
        <v xml:space="preserve"> </v>
      </c>
      <c r="C1070" s="79" t="str">
        <f t="shared" si="7"/>
        <v xml:space="preserve"> </v>
      </c>
      <c r="D1070" s="79" t="str">
        <f t="shared" si="5"/>
        <v xml:space="preserve"> </v>
      </c>
      <c r="E1070" s="79" t="str">
        <f t="shared" si="6"/>
        <v xml:space="preserve"> </v>
      </c>
    </row>
    <row r="1071" spans="1:5" ht="12.5">
      <c r="A1071" s="81" t="str">
        <f t="shared" si="0"/>
        <v xml:space="preserve"> </v>
      </c>
      <c r="B1071" s="81" t="str">
        <f t="shared" si="1"/>
        <v xml:space="preserve"> </v>
      </c>
      <c r="C1071" s="79" t="str">
        <f t="shared" si="7"/>
        <v xml:space="preserve"> </v>
      </c>
      <c r="D1071" s="79" t="str">
        <f t="shared" si="5"/>
        <v xml:space="preserve"> </v>
      </c>
      <c r="E1071" s="79" t="str">
        <f t="shared" si="6"/>
        <v xml:space="preserve"> </v>
      </c>
    </row>
    <row r="1072" spans="1:5" ht="12.5">
      <c r="A1072" s="81" t="str">
        <f t="shared" si="0"/>
        <v xml:space="preserve"> </v>
      </c>
      <c r="B1072" s="81" t="str">
        <f t="shared" si="1"/>
        <v xml:space="preserve"> </v>
      </c>
      <c r="C1072" s="79" t="str">
        <f t="shared" si="7"/>
        <v xml:space="preserve"> </v>
      </c>
      <c r="D1072" s="79" t="str">
        <f t="shared" si="5"/>
        <v xml:space="preserve"> </v>
      </c>
      <c r="E1072" s="79" t="str">
        <f t="shared" si="6"/>
        <v xml:space="preserve"> </v>
      </c>
    </row>
    <row r="1073" spans="1:5" ht="12.5">
      <c r="A1073" s="81" t="str">
        <f t="shared" si="0"/>
        <v xml:space="preserve"> </v>
      </c>
      <c r="B1073" s="81" t="str">
        <f t="shared" si="1"/>
        <v xml:space="preserve"> </v>
      </c>
      <c r="C1073" s="79" t="str">
        <f t="shared" si="7"/>
        <v xml:space="preserve"> </v>
      </c>
      <c r="D1073" s="79" t="str">
        <f t="shared" si="5"/>
        <v xml:space="preserve"> </v>
      </c>
      <c r="E1073" s="79" t="str">
        <f t="shared" si="6"/>
        <v xml:space="preserve"> </v>
      </c>
    </row>
    <row r="1074" spans="1:5" ht="12.5">
      <c r="A1074" s="81" t="str">
        <f t="shared" si="0"/>
        <v xml:space="preserve"> </v>
      </c>
      <c r="B1074" s="81" t="str">
        <f t="shared" si="1"/>
        <v xml:space="preserve"> </v>
      </c>
      <c r="C1074" s="79" t="str">
        <f t="shared" si="7"/>
        <v xml:space="preserve"> </v>
      </c>
      <c r="D1074" s="79" t="str">
        <f t="shared" si="5"/>
        <v xml:space="preserve"> </v>
      </c>
      <c r="E1074" s="79" t="str">
        <f t="shared" si="6"/>
        <v xml:space="preserve"> </v>
      </c>
    </row>
    <row r="1075" spans="1:5" ht="12.5">
      <c r="A1075" s="81" t="str">
        <f t="shared" si="0"/>
        <v xml:space="preserve"> </v>
      </c>
      <c r="B1075" s="81" t="str">
        <f t="shared" si="1"/>
        <v xml:space="preserve"> </v>
      </c>
      <c r="C1075" s="79" t="str">
        <f t="shared" si="7"/>
        <v xml:space="preserve"> </v>
      </c>
      <c r="D1075" s="79" t="str">
        <f t="shared" si="5"/>
        <v xml:space="preserve"> </v>
      </c>
      <c r="E1075" s="79" t="str">
        <f t="shared" si="6"/>
        <v xml:space="preserve"> </v>
      </c>
    </row>
    <row r="1076" spans="1:5" ht="12.5">
      <c r="A1076" s="81" t="str">
        <f t="shared" si="0"/>
        <v xml:space="preserve"> </v>
      </c>
      <c r="B1076" s="81" t="str">
        <f t="shared" si="1"/>
        <v xml:space="preserve"> </v>
      </c>
      <c r="C1076" s="79" t="str">
        <f t="shared" si="7"/>
        <v xml:space="preserve"> </v>
      </c>
      <c r="D1076" s="79" t="str">
        <f t="shared" si="5"/>
        <v xml:space="preserve"> </v>
      </c>
      <c r="E1076" s="79" t="str">
        <f t="shared" si="6"/>
        <v xml:space="preserve"> </v>
      </c>
    </row>
    <row r="1077" spans="1:5" ht="12.5">
      <c r="A1077" s="81" t="str">
        <f t="shared" si="0"/>
        <v xml:space="preserve"> </v>
      </c>
      <c r="B1077" s="81" t="str">
        <f t="shared" si="1"/>
        <v xml:space="preserve"> </v>
      </c>
      <c r="C1077" s="79" t="str">
        <f t="shared" si="7"/>
        <v xml:space="preserve"> </v>
      </c>
      <c r="D1077" s="79" t="str">
        <f t="shared" si="5"/>
        <v xml:space="preserve"> </v>
      </c>
      <c r="E1077" s="79" t="str">
        <f t="shared" si="6"/>
        <v xml:space="preserve"> </v>
      </c>
    </row>
    <row r="1078" spans="1:5" ht="12.5">
      <c r="A1078" s="81" t="str">
        <f t="shared" si="0"/>
        <v xml:space="preserve"> </v>
      </c>
      <c r="B1078" s="81" t="str">
        <f t="shared" si="1"/>
        <v xml:space="preserve"> </v>
      </c>
      <c r="C1078" s="79" t="str">
        <f t="shared" si="7"/>
        <v xml:space="preserve"> </v>
      </c>
      <c r="D1078" s="79" t="str">
        <f t="shared" si="5"/>
        <v xml:space="preserve"> </v>
      </c>
      <c r="E1078" s="79" t="str">
        <f t="shared" si="6"/>
        <v xml:space="preserve"> </v>
      </c>
    </row>
    <row r="1079" spans="1:5" ht="12.5">
      <c r="A1079" s="81" t="str">
        <f t="shared" si="0"/>
        <v xml:space="preserve"> </v>
      </c>
      <c r="B1079" s="81" t="str">
        <f t="shared" si="1"/>
        <v xml:space="preserve"> </v>
      </c>
      <c r="C1079" s="79" t="str">
        <f t="shared" si="7"/>
        <v xml:space="preserve"> </v>
      </c>
      <c r="D1079" s="79" t="str">
        <f t="shared" si="5"/>
        <v xml:space="preserve"> </v>
      </c>
      <c r="E1079" s="79" t="str">
        <f t="shared" si="6"/>
        <v xml:space="preserve"> </v>
      </c>
    </row>
    <row r="1080" spans="1:5" ht="12.5">
      <c r="A1080" s="81" t="str">
        <f t="shared" si="0"/>
        <v xml:space="preserve"> </v>
      </c>
      <c r="B1080" s="81" t="str">
        <f t="shared" si="1"/>
        <v xml:space="preserve"> </v>
      </c>
      <c r="C1080" s="79" t="str">
        <f t="shared" si="7"/>
        <v xml:space="preserve"> </v>
      </c>
      <c r="D1080" s="79" t="str">
        <f t="shared" si="5"/>
        <v xml:space="preserve"> </v>
      </c>
      <c r="E1080" s="79" t="str">
        <f t="shared" si="6"/>
        <v xml:space="preserve"> </v>
      </c>
    </row>
    <row r="1081" spans="1:5" ht="12.5">
      <c r="A1081" s="81" t="str">
        <f t="shared" si="0"/>
        <v xml:space="preserve"> </v>
      </c>
      <c r="B1081" s="81" t="str">
        <f t="shared" si="1"/>
        <v xml:space="preserve"> </v>
      </c>
      <c r="C1081" s="79" t="str">
        <f t="shared" si="7"/>
        <v xml:space="preserve"> </v>
      </c>
      <c r="D1081" s="79" t="str">
        <f t="shared" si="5"/>
        <v xml:space="preserve"> </v>
      </c>
      <c r="E1081" s="79" t="str">
        <f t="shared" si="6"/>
        <v xml:space="preserve"> </v>
      </c>
    </row>
    <row r="1082" spans="1:5" ht="12.5">
      <c r="A1082" s="81" t="str">
        <f t="shared" si="0"/>
        <v xml:space="preserve"> </v>
      </c>
      <c r="B1082" s="81" t="str">
        <f t="shared" si="1"/>
        <v xml:space="preserve"> </v>
      </c>
      <c r="C1082" s="79" t="str">
        <f t="shared" si="7"/>
        <v xml:space="preserve"> </v>
      </c>
      <c r="D1082" s="79" t="str">
        <f t="shared" si="5"/>
        <v xml:space="preserve"> </v>
      </c>
      <c r="E1082" s="79" t="str">
        <f t="shared" si="6"/>
        <v xml:space="preserve"> </v>
      </c>
    </row>
    <row r="1083" spans="1:5" ht="12.5">
      <c r="A1083" s="81" t="str">
        <f t="shared" si="0"/>
        <v xml:space="preserve"> </v>
      </c>
      <c r="B1083" s="81" t="str">
        <f t="shared" si="1"/>
        <v xml:space="preserve"> </v>
      </c>
      <c r="C1083" s="79" t="str">
        <f t="shared" si="7"/>
        <v xml:space="preserve"> </v>
      </c>
      <c r="D1083" s="79" t="str">
        <f t="shared" si="5"/>
        <v xml:space="preserve"> </v>
      </c>
      <c r="E1083" s="79" t="str">
        <f t="shared" si="6"/>
        <v xml:space="preserve"> </v>
      </c>
    </row>
    <row r="1084" spans="1:5" ht="12.5">
      <c r="A1084" s="81" t="str">
        <f t="shared" si="0"/>
        <v xml:space="preserve"> </v>
      </c>
      <c r="B1084" s="81" t="str">
        <f t="shared" si="1"/>
        <v xml:space="preserve"> </v>
      </c>
      <c r="C1084" s="79" t="str">
        <f t="shared" si="7"/>
        <v xml:space="preserve"> </v>
      </c>
      <c r="D1084" s="79" t="str">
        <f t="shared" si="5"/>
        <v xml:space="preserve"> </v>
      </c>
      <c r="E1084" s="79" t="str">
        <f t="shared" si="6"/>
        <v xml:space="preserve"> </v>
      </c>
    </row>
    <row r="1085" spans="1:5" ht="12.5">
      <c r="A1085" s="81" t="str">
        <f t="shared" si="0"/>
        <v xml:space="preserve"> </v>
      </c>
      <c r="B1085" s="81" t="str">
        <f t="shared" si="1"/>
        <v xml:space="preserve"> </v>
      </c>
      <c r="C1085" s="79" t="str">
        <f t="shared" si="7"/>
        <v xml:space="preserve"> </v>
      </c>
      <c r="D1085" s="79" t="str">
        <f t="shared" si="5"/>
        <v xml:space="preserve"> </v>
      </c>
      <c r="E1085" s="79" t="str">
        <f t="shared" si="6"/>
        <v xml:space="preserve"> </v>
      </c>
    </row>
    <row r="1086" spans="1:5" ht="12.5">
      <c r="A1086" s="81" t="str">
        <f t="shared" si="0"/>
        <v xml:space="preserve"> </v>
      </c>
      <c r="B1086" s="81" t="str">
        <f t="shared" si="1"/>
        <v xml:space="preserve"> </v>
      </c>
      <c r="C1086" s="79" t="str">
        <f t="shared" si="7"/>
        <v xml:space="preserve"> </v>
      </c>
      <c r="D1086" s="79" t="str">
        <f t="shared" si="5"/>
        <v xml:space="preserve"> </v>
      </c>
      <c r="E1086" s="79" t="str">
        <f t="shared" si="6"/>
        <v xml:space="preserve"> </v>
      </c>
    </row>
    <row r="1087" spans="1:5" ht="12.5">
      <c r="A1087" s="81" t="str">
        <f t="shared" si="0"/>
        <v xml:space="preserve"> </v>
      </c>
      <c r="B1087" s="81" t="str">
        <f t="shared" si="1"/>
        <v xml:space="preserve"> </v>
      </c>
      <c r="C1087" s="79" t="str">
        <f t="shared" si="7"/>
        <v xml:space="preserve"> </v>
      </c>
      <c r="D1087" s="79" t="str">
        <f t="shared" si="5"/>
        <v xml:space="preserve"> </v>
      </c>
      <c r="E1087" s="79" t="str">
        <f t="shared" si="6"/>
        <v xml:space="preserve"> </v>
      </c>
    </row>
    <row r="1088" spans="1:5" ht="12.5">
      <c r="A1088" s="81" t="str">
        <f t="shared" si="0"/>
        <v xml:space="preserve"> </v>
      </c>
      <c r="B1088" s="81" t="str">
        <f t="shared" si="1"/>
        <v xml:space="preserve"> </v>
      </c>
      <c r="C1088" s="79" t="str">
        <f t="shared" si="7"/>
        <v xml:space="preserve"> </v>
      </c>
      <c r="D1088" s="79" t="str">
        <f t="shared" si="5"/>
        <v xml:space="preserve"> </v>
      </c>
      <c r="E1088" s="79" t="str">
        <f t="shared" si="6"/>
        <v xml:space="preserve"> </v>
      </c>
    </row>
    <row r="1089" spans="1:5" ht="12.5">
      <c r="A1089" s="81" t="str">
        <f t="shared" si="0"/>
        <v xml:space="preserve"> </v>
      </c>
      <c r="B1089" s="81" t="str">
        <f t="shared" si="1"/>
        <v xml:space="preserve"> </v>
      </c>
      <c r="C1089" s="79" t="str">
        <f t="shared" si="7"/>
        <v xml:space="preserve"> </v>
      </c>
      <c r="D1089" s="79" t="str">
        <f t="shared" si="5"/>
        <v xml:space="preserve"> </v>
      </c>
      <c r="E1089" s="79" t="str">
        <f t="shared" si="6"/>
        <v xml:space="preserve"> </v>
      </c>
    </row>
    <row r="1090" spans="1:5" ht="12.5">
      <c r="A1090" s="81" t="str">
        <f t="shared" si="0"/>
        <v xml:space="preserve"> </v>
      </c>
      <c r="B1090" s="81" t="str">
        <f t="shared" si="1"/>
        <v xml:space="preserve"> </v>
      </c>
      <c r="C1090" s="79" t="str">
        <f t="shared" si="7"/>
        <v xml:space="preserve"> </v>
      </c>
      <c r="D1090" s="79" t="str">
        <f t="shared" si="5"/>
        <v xml:space="preserve"> </v>
      </c>
      <c r="E1090" s="79" t="str">
        <f t="shared" si="6"/>
        <v xml:space="preserve"> </v>
      </c>
    </row>
    <row r="1091" spans="1:5" ht="12.5">
      <c r="A1091" s="81" t="str">
        <f t="shared" si="0"/>
        <v xml:space="preserve"> </v>
      </c>
      <c r="B1091" s="81" t="str">
        <f t="shared" si="1"/>
        <v xml:space="preserve"> </v>
      </c>
      <c r="C1091" s="79" t="str">
        <f t="shared" si="7"/>
        <v xml:space="preserve"> </v>
      </c>
      <c r="D1091" s="79" t="str">
        <f t="shared" si="5"/>
        <v xml:space="preserve"> </v>
      </c>
      <c r="E1091" s="79" t="str">
        <f t="shared" si="6"/>
        <v xml:space="preserve"> </v>
      </c>
    </row>
    <row r="1092" spans="1:5" ht="12.5">
      <c r="A1092" s="81" t="str">
        <f t="shared" si="0"/>
        <v xml:space="preserve"> </v>
      </c>
      <c r="B1092" s="81" t="str">
        <f t="shared" si="1"/>
        <v xml:space="preserve"> </v>
      </c>
      <c r="C1092" s="79" t="str">
        <f t="shared" si="7"/>
        <v xml:space="preserve"> </v>
      </c>
      <c r="D1092" s="79" t="str">
        <f t="shared" si="5"/>
        <v xml:space="preserve"> </v>
      </c>
      <c r="E1092" s="79" t="str">
        <f t="shared" si="6"/>
        <v xml:space="preserve"> </v>
      </c>
    </row>
    <row r="1093" spans="1:5" ht="12.5">
      <c r="A1093" s="81" t="str">
        <f t="shared" si="0"/>
        <v xml:space="preserve"> </v>
      </c>
      <c r="B1093" s="81" t="str">
        <f t="shared" si="1"/>
        <v xml:space="preserve"> </v>
      </c>
      <c r="C1093" s="79" t="str">
        <f t="shared" si="7"/>
        <v xml:space="preserve"> </v>
      </c>
      <c r="D1093" s="79" t="str">
        <f t="shared" si="5"/>
        <v xml:space="preserve"> </v>
      </c>
      <c r="E1093" s="79" t="str">
        <f t="shared" si="6"/>
        <v xml:space="preserve"> </v>
      </c>
    </row>
    <row r="1094" spans="1:5" ht="12.5">
      <c r="A1094" s="81" t="str">
        <f t="shared" si="0"/>
        <v xml:space="preserve"> </v>
      </c>
      <c r="B1094" s="81" t="str">
        <f t="shared" si="1"/>
        <v xml:space="preserve"> </v>
      </c>
      <c r="C1094" s="79" t="str">
        <f t="shared" si="7"/>
        <v xml:space="preserve"> </v>
      </c>
      <c r="D1094" s="79" t="str">
        <f t="shared" si="5"/>
        <v xml:space="preserve"> </v>
      </c>
      <c r="E1094" s="79" t="str">
        <f t="shared" si="6"/>
        <v xml:space="preserve"> </v>
      </c>
    </row>
    <row r="1095" spans="1:5" ht="12.5">
      <c r="A1095" s="81" t="str">
        <f t="shared" si="0"/>
        <v xml:space="preserve"> </v>
      </c>
      <c r="B1095" s="81" t="str">
        <f t="shared" si="1"/>
        <v xml:space="preserve"> </v>
      </c>
      <c r="C1095" s="79" t="str">
        <f t="shared" si="7"/>
        <v xml:space="preserve"> </v>
      </c>
      <c r="D1095" s="79" t="str">
        <f t="shared" si="5"/>
        <v xml:space="preserve"> </v>
      </c>
      <c r="E1095" s="79" t="str">
        <f t="shared" si="6"/>
        <v xml:space="preserve"> </v>
      </c>
    </row>
    <row r="1096" spans="1:5" ht="12.5">
      <c r="A1096" s="81" t="str">
        <f t="shared" si="0"/>
        <v xml:space="preserve"> </v>
      </c>
      <c r="B1096" s="81" t="str">
        <f t="shared" si="1"/>
        <v xml:space="preserve"> </v>
      </c>
      <c r="C1096" s="79" t="str">
        <f t="shared" si="7"/>
        <v xml:space="preserve"> </v>
      </c>
      <c r="D1096" s="79" t="str">
        <f t="shared" si="5"/>
        <v xml:space="preserve"> </v>
      </c>
      <c r="E1096" s="79" t="str">
        <f t="shared" si="6"/>
        <v xml:space="preserve"> </v>
      </c>
    </row>
    <row r="1097" spans="1:5" ht="12.5">
      <c r="A1097" s="81" t="str">
        <f t="shared" si="0"/>
        <v xml:space="preserve"> </v>
      </c>
      <c r="B1097" s="81" t="str">
        <f t="shared" si="1"/>
        <v xml:space="preserve"> </v>
      </c>
      <c r="C1097" s="79" t="str">
        <f t="shared" si="7"/>
        <v xml:space="preserve"> </v>
      </c>
      <c r="D1097" s="79" t="str">
        <f t="shared" si="5"/>
        <v xml:space="preserve"> </v>
      </c>
      <c r="E1097" s="79" t="str">
        <f t="shared" si="6"/>
        <v xml:space="preserve"> </v>
      </c>
    </row>
    <row r="1098" spans="1:5" ht="12.5">
      <c r="A1098" s="81" t="str">
        <f t="shared" si="0"/>
        <v xml:space="preserve"> </v>
      </c>
      <c r="B1098" s="81" t="str">
        <f t="shared" si="1"/>
        <v xml:space="preserve"> </v>
      </c>
      <c r="C1098" s="79" t="str">
        <f t="shared" si="7"/>
        <v xml:space="preserve"> </v>
      </c>
      <c r="D1098" s="79" t="str">
        <f t="shared" si="5"/>
        <v xml:space="preserve"> </v>
      </c>
      <c r="E1098" s="79" t="str">
        <f t="shared" si="6"/>
        <v xml:space="preserve"> </v>
      </c>
    </row>
    <row r="1099" spans="1:5" ht="12.5">
      <c r="A1099" s="81" t="str">
        <f t="shared" si="0"/>
        <v xml:space="preserve"> </v>
      </c>
      <c r="B1099" s="81" t="str">
        <f t="shared" si="1"/>
        <v xml:space="preserve"> </v>
      </c>
      <c r="C1099" s="79" t="str">
        <f t="shared" si="7"/>
        <v xml:space="preserve"> </v>
      </c>
      <c r="D1099" s="79" t="str">
        <f t="shared" si="5"/>
        <v xml:space="preserve"> </v>
      </c>
      <c r="E1099" s="79" t="str">
        <f t="shared" si="6"/>
        <v xml:space="preserve"> </v>
      </c>
    </row>
    <row r="1100" spans="1:5" ht="12.5">
      <c r="A1100" s="81" t="str">
        <f t="shared" si="0"/>
        <v xml:space="preserve"> </v>
      </c>
      <c r="B1100" s="81" t="str">
        <f t="shared" si="1"/>
        <v xml:space="preserve"> </v>
      </c>
      <c r="C1100" s="79" t="str">
        <f t="shared" si="7"/>
        <v xml:space="preserve"> </v>
      </c>
      <c r="D1100" s="79" t="str">
        <f t="shared" si="5"/>
        <v xml:space="preserve"> </v>
      </c>
      <c r="E1100" s="79" t="str">
        <f t="shared" si="6"/>
        <v xml:space="preserve"> </v>
      </c>
    </row>
    <row r="1101" spans="1:5" ht="12.5">
      <c r="A1101" s="81" t="str">
        <f t="shared" si="0"/>
        <v xml:space="preserve"> </v>
      </c>
      <c r="B1101" s="81" t="str">
        <f t="shared" si="1"/>
        <v xml:space="preserve"> </v>
      </c>
      <c r="C1101" s="79" t="str">
        <f t="shared" si="7"/>
        <v xml:space="preserve"> </v>
      </c>
      <c r="D1101" s="79" t="str">
        <f t="shared" si="5"/>
        <v xml:space="preserve"> </v>
      </c>
      <c r="E1101" s="79" t="str">
        <f t="shared" si="6"/>
        <v xml:space="preserve"> </v>
      </c>
    </row>
    <row r="1102" spans="1:5" ht="12.5">
      <c r="A1102" s="81" t="str">
        <f t="shared" si="0"/>
        <v xml:space="preserve"> </v>
      </c>
      <c r="B1102" s="81" t="str">
        <f t="shared" si="1"/>
        <v xml:space="preserve"> </v>
      </c>
      <c r="C1102" s="79" t="str">
        <f t="shared" si="7"/>
        <v xml:space="preserve"> </v>
      </c>
      <c r="D1102" s="79" t="str">
        <f t="shared" si="5"/>
        <v xml:space="preserve"> </v>
      </c>
      <c r="E1102" s="79" t="str">
        <f t="shared" si="6"/>
        <v xml:space="preserve"> </v>
      </c>
    </row>
    <row r="1103" spans="1:5" ht="12.5">
      <c r="A1103" s="81" t="str">
        <f t="shared" si="0"/>
        <v xml:space="preserve"> </v>
      </c>
      <c r="B1103" s="81" t="str">
        <f t="shared" si="1"/>
        <v xml:space="preserve"> </v>
      </c>
      <c r="C1103" s="79" t="str">
        <f t="shared" si="7"/>
        <v xml:space="preserve"> </v>
      </c>
      <c r="D1103" s="79" t="str">
        <f t="shared" si="5"/>
        <v xml:space="preserve"> </v>
      </c>
      <c r="E1103" s="79" t="str">
        <f t="shared" si="6"/>
        <v xml:space="preserve"> </v>
      </c>
    </row>
    <row r="1104" spans="1:5" ht="12.5">
      <c r="A1104" s="81" t="str">
        <f t="shared" si="0"/>
        <v xml:space="preserve"> </v>
      </c>
      <c r="B1104" s="81" t="str">
        <f t="shared" si="1"/>
        <v xml:space="preserve"> </v>
      </c>
      <c r="C1104" s="79" t="str">
        <f t="shared" si="7"/>
        <v xml:space="preserve"> </v>
      </c>
      <c r="D1104" s="79" t="str">
        <f t="shared" si="5"/>
        <v xml:space="preserve"> </v>
      </c>
      <c r="E1104" s="79" t="str">
        <f t="shared" si="6"/>
        <v xml:space="preserve"> </v>
      </c>
    </row>
    <row r="1105" spans="1:5" ht="12.5">
      <c r="A1105" s="81" t="str">
        <f t="shared" si="0"/>
        <v xml:space="preserve"> </v>
      </c>
      <c r="B1105" s="81" t="str">
        <f t="shared" si="1"/>
        <v xml:space="preserve"> </v>
      </c>
      <c r="C1105" s="79" t="str">
        <f t="shared" si="7"/>
        <v xml:space="preserve"> </v>
      </c>
      <c r="D1105" s="79" t="str">
        <f t="shared" si="5"/>
        <v xml:space="preserve"> </v>
      </c>
      <c r="E1105" s="79" t="str">
        <f t="shared" si="6"/>
        <v xml:space="preserve"> </v>
      </c>
    </row>
    <row r="1106" spans="1:5" ht="12.5">
      <c r="A1106" s="81" t="str">
        <f t="shared" si="0"/>
        <v xml:space="preserve"> </v>
      </c>
      <c r="B1106" s="81" t="str">
        <f t="shared" si="1"/>
        <v xml:space="preserve"> </v>
      </c>
      <c r="C1106" s="79" t="str">
        <f t="shared" si="7"/>
        <v xml:space="preserve"> </v>
      </c>
      <c r="D1106" s="79" t="str">
        <f t="shared" si="5"/>
        <v xml:space="preserve"> </v>
      </c>
      <c r="E1106" s="79" t="str">
        <f t="shared" si="6"/>
        <v xml:space="preserve"> </v>
      </c>
    </row>
    <row r="1107" spans="1:5" ht="12.5">
      <c r="A1107" s="81" t="str">
        <f t="shared" si="0"/>
        <v xml:space="preserve"> </v>
      </c>
      <c r="B1107" s="81" t="str">
        <f t="shared" si="1"/>
        <v xml:space="preserve"> </v>
      </c>
      <c r="C1107" s="79" t="str">
        <f t="shared" si="7"/>
        <v xml:space="preserve"> </v>
      </c>
      <c r="D1107" s="79" t="str">
        <f t="shared" si="5"/>
        <v xml:space="preserve"> </v>
      </c>
      <c r="E1107" s="79" t="str">
        <f t="shared" si="6"/>
        <v xml:space="preserve"> </v>
      </c>
    </row>
    <row r="1108" spans="1:5" ht="12.5">
      <c r="A1108" s="81" t="str">
        <f t="shared" si="0"/>
        <v xml:space="preserve"> </v>
      </c>
      <c r="B1108" s="81" t="str">
        <f t="shared" si="1"/>
        <v xml:space="preserve"> </v>
      </c>
      <c r="C1108" s="79" t="str">
        <f t="shared" si="7"/>
        <v xml:space="preserve"> </v>
      </c>
      <c r="D1108" s="79" t="str">
        <f t="shared" si="5"/>
        <v xml:space="preserve"> </v>
      </c>
      <c r="E1108" s="79" t="str">
        <f t="shared" si="6"/>
        <v xml:space="preserve"> </v>
      </c>
    </row>
    <row r="1109" spans="1:5" ht="12.5">
      <c r="A1109" s="81" t="str">
        <f t="shared" si="0"/>
        <v xml:space="preserve"> </v>
      </c>
      <c r="B1109" s="81" t="str">
        <f t="shared" si="1"/>
        <v xml:space="preserve"> </v>
      </c>
      <c r="C1109" s="79" t="str">
        <f t="shared" si="7"/>
        <v xml:space="preserve"> </v>
      </c>
      <c r="D1109" s="79" t="str">
        <f t="shared" si="5"/>
        <v xml:space="preserve"> </v>
      </c>
      <c r="E1109" s="79" t="str">
        <f t="shared" si="6"/>
        <v xml:space="preserve"> </v>
      </c>
    </row>
    <row r="1110" spans="1:5" ht="12.5">
      <c r="A1110" s="81" t="str">
        <f t="shared" si="0"/>
        <v xml:space="preserve"> </v>
      </c>
      <c r="B1110" s="81" t="str">
        <f t="shared" si="1"/>
        <v xml:space="preserve"> </v>
      </c>
      <c r="C1110" s="79" t="str">
        <f t="shared" si="7"/>
        <v xml:space="preserve"> </v>
      </c>
      <c r="D1110" s="79" t="str">
        <f t="shared" si="5"/>
        <v xml:space="preserve"> </v>
      </c>
      <c r="E1110" s="79" t="str">
        <f t="shared" si="6"/>
        <v xml:space="preserve"> </v>
      </c>
    </row>
    <row r="1111" spans="1:5" ht="12.5">
      <c r="A1111" s="81" t="str">
        <f t="shared" si="0"/>
        <v xml:space="preserve"> </v>
      </c>
      <c r="B1111" s="81" t="str">
        <f t="shared" si="1"/>
        <v xml:space="preserve"> </v>
      </c>
      <c r="C1111" s="79" t="str">
        <f t="shared" si="7"/>
        <v xml:space="preserve"> </v>
      </c>
      <c r="D1111" s="79" t="str">
        <f t="shared" si="5"/>
        <v xml:space="preserve"> </v>
      </c>
      <c r="E1111" s="79" t="str">
        <f t="shared" si="6"/>
        <v xml:space="preserve"> </v>
      </c>
    </row>
    <row r="1112" spans="1:5" ht="12.5">
      <c r="A1112" s="81" t="str">
        <f t="shared" si="0"/>
        <v xml:space="preserve"> </v>
      </c>
      <c r="B1112" s="81" t="str">
        <f t="shared" si="1"/>
        <v xml:space="preserve"> </v>
      </c>
      <c r="C1112" s="79" t="str">
        <f t="shared" si="7"/>
        <v xml:space="preserve"> </v>
      </c>
      <c r="D1112" s="79" t="str">
        <f t="shared" si="5"/>
        <v xml:space="preserve"> </v>
      </c>
      <c r="E1112" s="79" t="str">
        <f t="shared" si="6"/>
        <v xml:space="preserve"> </v>
      </c>
    </row>
    <row r="1113" spans="1:5" ht="12.5">
      <c r="A1113" s="81" t="str">
        <f t="shared" si="0"/>
        <v xml:space="preserve"> </v>
      </c>
      <c r="B1113" s="81" t="str">
        <f t="shared" si="1"/>
        <v xml:space="preserve"> </v>
      </c>
      <c r="C1113" s="79" t="str">
        <f t="shared" si="7"/>
        <v xml:space="preserve"> </v>
      </c>
      <c r="D1113" s="79" t="str">
        <f t="shared" si="5"/>
        <v xml:space="preserve"> </v>
      </c>
      <c r="E1113" s="79" t="str">
        <f t="shared" si="6"/>
        <v xml:space="preserve"> </v>
      </c>
    </row>
    <row r="1114" spans="1:5" ht="12.5">
      <c r="A1114" s="81" t="str">
        <f t="shared" si="0"/>
        <v xml:space="preserve"> </v>
      </c>
      <c r="B1114" s="81" t="str">
        <f t="shared" si="1"/>
        <v xml:space="preserve"> </v>
      </c>
      <c r="C1114" s="79" t="str">
        <f t="shared" si="7"/>
        <v xml:space="preserve"> </v>
      </c>
      <c r="D1114" s="79" t="str">
        <f t="shared" si="5"/>
        <v xml:space="preserve"> </v>
      </c>
      <c r="E1114" s="79" t="str">
        <f t="shared" si="6"/>
        <v xml:space="preserve"> </v>
      </c>
    </row>
    <row r="1115" spans="1:5" ht="12.5">
      <c r="A1115" s="81" t="str">
        <f t="shared" si="0"/>
        <v xml:space="preserve"> </v>
      </c>
      <c r="B1115" s="81" t="str">
        <f t="shared" si="1"/>
        <v xml:space="preserve"> </v>
      </c>
      <c r="C1115" s="79" t="str">
        <f t="shared" si="7"/>
        <v xml:space="preserve"> </v>
      </c>
      <c r="D1115" s="79" t="str">
        <f t="shared" si="5"/>
        <v xml:space="preserve"> </v>
      </c>
      <c r="E1115" s="79" t="str">
        <f t="shared" si="6"/>
        <v xml:space="preserve"> </v>
      </c>
    </row>
    <row r="1116" spans="1:5" ht="12.5">
      <c r="A1116" s="81" t="str">
        <f t="shared" si="0"/>
        <v xml:space="preserve"> </v>
      </c>
      <c r="B1116" s="81" t="str">
        <f t="shared" si="1"/>
        <v xml:space="preserve"> </v>
      </c>
      <c r="C1116" s="79" t="str">
        <f t="shared" si="7"/>
        <v xml:space="preserve"> </v>
      </c>
      <c r="D1116" s="79" t="str">
        <f t="shared" si="5"/>
        <v xml:space="preserve"> </v>
      </c>
      <c r="E1116" s="79" t="str">
        <f t="shared" si="6"/>
        <v xml:space="preserve"> </v>
      </c>
    </row>
    <row r="1117" spans="1:5" ht="12.5">
      <c r="A1117" s="81" t="str">
        <f t="shared" si="0"/>
        <v xml:space="preserve"> </v>
      </c>
      <c r="B1117" s="81" t="str">
        <f t="shared" si="1"/>
        <v xml:space="preserve"> </v>
      </c>
      <c r="C1117" s="79" t="str">
        <f t="shared" si="7"/>
        <v xml:space="preserve"> </v>
      </c>
      <c r="D1117" s="79" t="str">
        <f t="shared" si="5"/>
        <v xml:space="preserve"> </v>
      </c>
      <c r="E1117" s="79" t="str">
        <f t="shared" si="6"/>
        <v xml:space="preserve"> </v>
      </c>
    </row>
    <row r="1118" spans="1:5" ht="12.5">
      <c r="A1118" s="81" t="str">
        <f t="shared" si="0"/>
        <v xml:space="preserve"> </v>
      </c>
      <c r="B1118" s="81" t="str">
        <f t="shared" si="1"/>
        <v xml:space="preserve"> </v>
      </c>
      <c r="C1118" s="79" t="str">
        <f t="shared" si="7"/>
        <v xml:space="preserve"> </v>
      </c>
      <c r="D1118" s="79" t="str">
        <f t="shared" si="5"/>
        <v xml:space="preserve"> </v>
      </c>
      <c r="E1118" s="79" t="str">
        <f t="shared" si="6"/>
        <v xml:space="preserve"> </v>
      </c>
    </row>
    <row r="1119" spans="1:5" ht="12.5">
      <c r="A1119" s="81" t="str">
        <f t="shared" si="0"/>
        <v xml:space="preserve"> </v>
      </c>
      <c r="B1119" s="81" t="str">
        <f t="shared" si="1"/>
        <v xml:space="preserve"> </v>
      </c>
      <c r="C1119" s="79" t="str">
        <f t="shared" si="7"/>
        <v xml:space="preserve"> </v>
      </c>
      <c r="D1119" s="79" t="str">
        <f t="shared" si="5"/>
        <v xml:space="preserve"> </v>
      </c>
      <c r="E1119" s="79" t="str">
        <f t="shared" si="6"/>
        <v xml:space="preserve"> </v>
      </c>
    </row>
    <row r="1120" spans="1:5" ht="12.5">
      <c r="A1120" s="81" t="str">
        <f t="shared" si="0"/>
        <v xml:space="preserve"> </v>
      </c>
      <c r="B1120" s="81" t="str">
        <f t="shared" si="1"/>
        <v xml:space="preserve"> </v>
      </c>
      <c r="C1120" s="79" t="str">
        <f t="shared" si="7"/>
        <v xml:space="preserve"> </v>
      </c>
      <c r="D1120" s="79" t="str">
        <f t="shared" si="5"/>
        <v xml:space="preserve"> </v>
      </c>
      <c r="E1120" s="79" t="str">
        <f t="shared" si="6"/>
        <v xml:space="preserve"> </v>
      </c>
    </row>
    <row r="1121" spans="1:5" ht="12.5">
      <c r="A1121" s="81" t="str">
        <f t="shared" si="0"/>
        <v xml:space="preserve"> </v>
      </c>
      <c r="B1121" s="81" t="str">
        <f t="shared" si="1"/>
        <v xml:space="preserve"> </v>
      </c>
      <c r="C1121" s="79" t="str">
        <f t="shared" si="7"/>
        <v xml:space="preserve"> </v>
      </c>
      <c r="D1121" s="79" t="str">
        <f t="shared" si="5"/>
        <v xml:space="preserve"> </v>
      </c>
      <c r="E1121" s="79" t="str">
        <f t="shared" si="6"/>
        <v xml:space="preserve"> </v>
      </c>
    </row>
    <row r="1122" spans="1:5" ht="12.5">
      <c r="A1122" s="81" t="str">
        <f t="shared" si="0"/>
        <v xml:space="preserve"> </v>
      </c>
      <c r="B1122" s="81" t="str">
        <f t="shared" si="1"/>
        <v xml:space="preserve"> </v>
      </c>
      <c r="C1122" s="79" t="str">
        <f t="shared" si="7"/>
        <v xml:space="preserve"> </v>
      </c>
      <c r="D1122" s="79" t="str">
        <f t="shared" si="5"/>
        <v xml:space="preserve"> </v>
      </c>
      <c r="E1122" s="79" t="str">
        <f t="shared" si="6"/>
        <v xml:space="preserve"> </v>
      </c>
    </row>
    <row r="1123" spans="1:5" ht="12.5">
      <c r="A1123" s="81" t="str">
        <f t="shared" si="0"/>
        <v xml:space="preserve"> </v>
      </c>
      <c r="B1123" s="81" t="str">
        <f t="shared" si="1"/>
        <v xml:space="preserve"> </v>
      </c>
      <c r="C1123" s="79" t="str">
        <f t="shared" si="7"/>
        <v xml:space="preserve"> </v>
      </c>
      <c r="D1123" s="79" t="str">
        <f t="shared" si="5"/>
        <v xml:space="preserve"> </v>
      </c>
      <c r="E1123" s="79" t="str">
        <f t="shared" si="6"/>
        <v xml:space="preserve"> </v>
      </c>
    </row>
    <row r="1124" spans="1:5" ht="12.5">
      <c r="A1124" s="81" t="str">
        <f t="shared" si="0"/>
        <v xml:space="preserve"> </v>
      </c>
      <c r="B1124" s="81" t="str">
        <f t="shared" si="1"/>
        <v xml:space="preserve"> </v>
      </c>
      <c r="C1124" s="79" t="str">
        <f t="shared" si="7"/>
        <v xml:space="preserve"> </v>
      </c>
      <c r="D1124" s="79" t="str">
        <f t="shared" si="5"/>
        <v xml:space="preserve"> </v>
      </c>
      <c r="E1124" s="79" t="str">
        <f t="shared" si="6"/>
        <v xml:space="preserve"> </v>
      </c>
    </row>
    <row r="1125" spans="1:5" ht="12.5">
      <c r="A1125" s="81" t="str">
        <f t="shared" si="0"/>
        <v xml:space="preserve"> </v>
      </c>
      <c r="B1125" s="81" t="str">
        <f t="shared" si="1"/>
        <v xml:space="preserve"> </v>
      </c>
      <c r="C1125" s="79" t="str">
        <f t="shared" si="7"/>
        <v xml:space="preserve"> </v>
      </c>
      <c r="D1125" s="79" t="str">
        <f t="shared" si="5"/>
        <v xml:space="preserve"> </v>
      </c>
      <c r="E1125" s="79" t="str">
        <f t="shared" si="6"/>
        <v xml:space="preserve"> </v>
      </c>
    </row>
    <row r="1126" spans="1:5" ht="12.5">
      <c r="A1126" s="81" t="str">
        <f t="shared" si="0"/>
        <v xml:space="preserve"> </v>
      </c>
      <c r="B1126" s="81" t="str">
        <f t="shared" si="1"/>
        <v xml:space="preserve"> </v>
      </c>
      <c r="C1126" s="79" t="str">
        <f t="shared" si="7"/>
        <v xml:space="preserve"> </v>
      </c>
      <c r="D1126" s="79" t="str">
        <f t="shared" si="5"/>
        <v xml:space="preserve"> </v>
      </c>
      <c r="E1126" s="79" t="str">
        <f t="shared" si="6"/>
        <v xml:space="preserve"> </v>
      </c>
    </row>
    <row r="1127" spans="1:5" ht="12.5">
      <c r="A1127" s="81" t="str">
        <f t="shared" si="0"/>
        <v xml:space="preserve"> </v>
      </c>
      <c r="B1127" s="81" t="str">
        <f t="shared" si="1"/>
        <v xml:space="preserve"> </v>
      </c>
      <c r="C1127" s="79" t="str">
        <f t="shared" si="7"/>
        <v xml:space="preserve"> </v>
      </c>
      <c r="D1127" s="79" t="str">
        <f t="shared" si="5"/>
        <v xml:space="preserve"> </v>
      </c>
      <c r="E1127" s="79" t="str">
        <f t="shared" si="6"/>
        <v xml:space="preserve"> </v>
      </c>
    </row>
    <row r="1128" spans="1:5" ht="12.5">
      <c r="A1128" s="81" t="str">
        <f t="shared" si="0"/>
        <v xml:space="preserve"> </v>
      </c>
      <c r="B1128" s="81" t="str">
        <f t="shared" si="1"/>
        <v xml:space="preserve"> </v>
      </c>
      <c r="C1128" s="79" t="str">
        <f t="shared" si="7"/>
        <v xml:space="preserve"> </v>
      </c>
      <c r="D1128" s="79" t="str">
        <f t="shared" si="5"/>
        <v xml:space="preserve"> </v>
      </c>
      <c r="E1128" s="79" t="str">
        <f t="shared" si="6"/>
        <v xml:space="preserve"> </v>
      </c>
    </row>
    <row r="1129" spans="1:5" ht="12.5">
      <c r="A1129" s="81" t="str">
        <f t="shared" si="0"/>
        <v xml:space="preserve"> </v>
      </c>
      <c r="B1129" s="81" t="str">
        <f t="shared" si="1"/>
        <v xml:space="preserve"> </v>
      </c>
      <c r="C1129" s="79" t="str">
        <f t="shared" si="7"/>
        <v xml:space="preserve"> </v>
      </c>
      <c r="D1129" s="79" t="str">
        <f t="shared" si="5"/>
        <v xml:space="preserve"> </v>
      </c>
      <c r="E1129" s="79" t="str">
        <f t="shared" si="6"/>
        <v xml:space="preserve"> </v>
      </c>
    </row>
    <row r="1130" spans="1:5" ht="12.5">
      <c r="A1130" s="81" t="str">
        <f t="shared" si="0"/>
        <v xml:space="preserve"> </v>
      </c>
      <c r="B1130" s="81" t="str">
        <f t="shared" si="1"/>
        <v xml:space="preserve"> </v>
      </c>
      <c r="C1130" s="79" t="str">
        <f t="shared" si="7"/>
        <v xml:space="preserve"> </v>
      </c>
      <c r="D1130" s="79" t="str">
        <f t="shared" si="5"/>
        <v xml:space="preserve"> </v>
      </c>
      <c r="E1130" s="79" t="str">
        <f t="shared" si="6"/>
        <v xml:space="preserve"> </v>
      </c>
    </row>
    <row r="1131" spans="1:5" ht="12.5">
      <c r="A1131" s="81" t="str">
        <f t="shared" si="0"/>
        <v xml:space="preserve"> </v>
      </c>
      <c r="B1131" s="81" t="str">
        <f t="shared" si="1"/>
        <v xml:space="preserve"> </v>
      </c>
      <c r="C1131" s="79" t="str">
        <f t="shared" si="7"/>
        <v xml:space="preserve"> </v>
      </c>
      <c r="D1131" s="79" t="str">
        <f t="shared" si="5"/>
        <v xml:space="preserve"> </v>
      </c>
      <c r="E1131" s="79" t="str">
        <f t="shared" si="6"/>
        <v xml:space="preserve"> </v>
      </c>
    </row>
    <row r="1132" spans="1:5" ht="12.5">
      <c r="A1132" s="81" t="str">
        <f t="shared" si="0"/>
        <v xml:space="preserve"> </v>
      </c>
      <c r="B1132" s="81" t="str">
        <f t="shared" si="1"/>
        <v xml:space="preserve"> </v>
      </c>
      <c r="C1132" s="79" t="str">
        <f t="shared" si="7"/>
        <v xml:space="preserve"> </v>
      </c>
      <c r="D1132" s="79" t="str">
        <f t="shared" si="5"/>
        <v xml:space="preserve"> </v>
      </c>
      <c r="E1132" s="79" t="str">
        <f t="shared" si="6"/>
        <v xml:space="preserve"> </v>
      </c>
    </row>
    <row r="1133" spans="1:5" ht="12.5">
      <c r="A1133" s="81" t="str">
        <f t="shared" si="0"/>
        <v xml:space="preserve"> </v>
      </c>
      <c r="B1133" s="81" t="str">
        <f t="shared" si="1"/>
        <v xml:space="preserve"> </v>
      </c>
      <c r="C1133" s="79" t="str">
        <f t="shared" si="7"/>
        <v xml:space="preserve"> </v>
      </c>
      <c r="D1133" s="79" t="str">
        <f t="shared" si="5"/>
        <v xml:space="preserve"> </v>
      </c>
      <c r="E1133" s="79" t="str">
        <f t="shared" si="6"/>
        <v xml:space="preserve"> </v>
      </c>
    </row>
    <row r="1134" spans="1:5" ht="12.5">
      <c r="A1134" s="81" t="str">
        <f t="shared" si="0"/>
        <v xml:space="preserve"> </v>
      </c>
      <c r="B1134" s="81" t="str">
        <f t="shared" si="1"/>
        <v xml:space="preserve"> </v>
      </c>
      <c r="C1134" s="79" t="str">
        <f t="shared" si="7"/>
        <v xml:space="preserve"> </v>
      </c>
      <c r="D1134" s="79" t="str">
        <f t="shared" si="5"/>
        <v xml:space="preserve"> </v>
      </c>
      <c r="E1134" s="79" t="str">
        <f t="shared" si="6"/>
        <v xml:space="preserve"> </v>
      </c>
    </row>
    <row r="1135" spans="1:5" ht="12.5">
      <c r="A1135" s="81" t="str">
        <f t="shared" si="0"/>
        <v xml:space="preserve"> </v>
      </c>
      <c r="B1135" s="81" t="str">
        <f t="shared" si="1"/>
        <v xml:space="preserve"> </v>
      </c>
      <c r="C1135" s="79" t="str">
        <f t="shared" si="7"/>
        <v xml:space="preserve"> </v>
      </c>
      <c r="D1135" s="79" t="str">
        <f t="shared" si="5"/>
        <v xml:space="preserve"> </v>
      </c>
      <c r="E1135" s="79" t="str">
        <f t="shared" si="6"/>
        <v xml:space="preserve"> </v>
      </c>
    </row>
    <row r="1136" spans="1:5" ht="12.5">
      <c r="A1136" s="81" t="str">
        <f t="shared" si="0"/>
        <v xml:space="preserve"> </v>
      </c>
      <c r="B1136" s="81" t="str">
        <f t="shared" si="1"/>
        <v xml:space="preserve"> </v>
      </c>
      <c r="C1136" s="79" t="str">
        <f t="shared" si="7"/>
        <v xml:space="preserve"> </v>
      </c>
      <c r="D1136" s="79" t="str">
        <f t="shared" si="5"/>
        <v xml:space="preserve"> </v>
      </c>
      <c r="E1136" s="79" t="str">
        <f t="shared" si="6"/>
        <v xml:space="preserve"> </v>
      </c>
    </row>
    <row r="1137" spans="1:5" ht="12.5">
      <c r="A1137" s="81" t="str">
        <f t="shared" si="0"/>
        <v xml:space="preserve"> </v>
      </c>
      <c r="B1137" s="81" t="str">
        <f t="shared" si="1"/>
        <v xml:space="preserve"> </v>
      </c>
      <c r="C1137" s="79" t="str">
        <f t="shared" si="7"/>
        <v xml:space="preserve"> </v>
      </c>
      <c r="D1137" s="79" t="str">
        <f t="shared" si="5"/>
        <v xml:space="preserve"> </v>
      </c>
      <c r="E1137" s="79" t="str">
        <f t="shared" si="6"/>
        <v xml:space="preserve"> </v>
      </c>
    </row>
    <row r="1138" spans="1:5" ht="12.5">
      <c r="A1138" s="81" t="str">
        <f t="shared" si="0"/>
        <v xml:space="preserve"> </v>
      </c>
      <c r="B1138" s="81" t="str">
        <f t="shared" si="1"/>
        <v xml:space="preserve"> </v>
      </c>
      <c r="C1138" s="79" t="str">
        <f t="shared" si="7"/>
        <v xml:space="preserve"> </v>
      </c>
      <c r="D1138" s="79" t="str">
        <f t="shared" si="5"/>
        <v xml:space="preserve"> </v>
      </c>
      <c r="E1138" s="79" t="str">
        <f t="shared" si="6"/>
        <v xml:space="preserve"> </v>
      </c>
    </row>
    <row r="1139" spans="1:5" ht="12.5">
      <c r="A1139" s="81" t="str">
        <f t="shared" si="0"/>
        <v xml:space="preserve"> </v>
      </c>
      <c r="B1139" s="81" t="str">
        <f t="shared" si="1"/>
        <v xml:space="preserve"> </v>
      </c>
      <c r="C1139" s="79" t="str">
        <f t="shared" si="7"/>
        <v xml:space="preserve"> </v>
      </c>
      <c r="D1139" s="79" t="str">
        <f t="shared" si="5"/>
        <v xml:space="preserve"> </v>
      </c>
      <c r="E1139" s="79" t="str">
        <f t="shared" si="6"/>
        <v xml:space="preserve"> </v>
      </c>
    </row>
    <row r="1140" spans="1:5" ht="12.5">
      <c r="A1140" s="81" t="str">
        <f t="shared" si="0"/>
        <v xml:space="preserve"> </v>
      </c>
      <c r="B1140" s="81" t="str">
        <f t="shared" si="1"/>
        <v xml:space="preserve"> </v>
      </c>
      <c r="C1140" s="79" t="str">
        <f t="shared" si="7"/>
        <v xml:space="preserve"> </v>
      </c>
      <c r="D1140" s="79" t="str">
        <f t="shared" si="5"/>
        <v xml:space="preserve"> </v>
      </c>
      <c r="E1140" s="79" t="str">
        <f t="shared" si="6"/>
        <v xml:space="preserve"> </v>
      </c>
    </row>
    <row r="1141" spans="1:5" ht="12.5">
      <c r="A1141" s="81" t="str">
        <f t="shared" si="0"/>
        <v xml:space="preserve"> </v>
      </c>
      <c r="B1141" s="81" t="str">
        <f t="shared" si="1"/>
        <v xml:space="preserve"> </v>
      </c>
      <c r="C1141" s="79" t="str">
        <f t="shared" si="7"/>
        <v xml:space="preserve"> </v>
      </c>
      <c r="D1141" s="79" t="str">
        <f t="shared" si="5"/>
        <v xml:space="preserve"> </v>
      </c>
      <c r="E1141" s="79" t="str">
        <f t="shared" si="6"/>
        <v xml:space="preserve"> </v>
      </c>
    </row>
    <row r="1142" spans="1:5" ht="12.5">
      <c r="A1142" s="81" t="str">
        <f t="shared" si="0"/>
        <v xml:space="preserve"> </v>
      </c>
      <c r="B1142" s="81" t="str">
        <f t="shared" si="1"/>
        <v xml:space="preserve"> </v>
      </c>
      <c r="C1142" s="79" t="str">
        <f t="shared" si="7"/>
        <v xml:space="preserve"> </v>
      </c>
      <c r="D1142" s="79" t="str">
        <f t="shared" si="5"/>
        <v xml:space="preserve"> </v>
      </c>
      <c r="E1142" s="79" t="str">
        <f t="shared" si="6"/>
        <v xml:space="preserve"> </v>
      </c>
    </row>
    <row r="1143" spans="1:5" ht="12.5">
      <c r="A1143" s="81" t="str">
        <f t="shared" si="0"/>
        <v xml:space="preserve"> </v>
      </c>
      <c r="B1143" s="81" t="str">
        <f t="shared" si="1"/>
        <v xml:space="preserve"> </v>
      </c>
      <c r="C1143" s="79" t="str">
        <f t="shared" si="7"/>
        <v xml:space="preserve"> </v>
      </c>
      <c r="D1143" s="79" t="str">
        <f t="shared" si="5"/>
        <v xml:space="preserve"> </v>
      </c>
      <c r="E1143" s="79" t="str">
        <f t="shared" si="6"/>
        <v xml:space="preserve"> </v>
      </c>
    </row>
    <row r="1144" spans="1:5" ht="12.5">
      <c r="A1144" s="81" t="str">
        <f t="shared" si="0"/>
        <v xml:space="preserve"> </v>
      </c>
      <c r="B1144" s="81" t="str">
        <f t="shared" si="1"/>
        <v xml:space="preserve"> </v>
      </c>
      <c r="C1144" s="79" t="str">
        <f t="shared" si="7"/>
        <v xml:space="preserve"> </v>
      </c>
      <c r="D1144" s="79" t="str">
        <f t="shared" si="5"/>
        <v xml:space="preserve"> </v>
      </c>
      <c r="E1144" s="79" t="str">
        <f t="shared" si="6"/>
        <v xml:space="preserve"> </v>
      </c>
    </row>
    <row r="1145" spans="1:5" ht="12.5">
      <c r="A1145" s="81" t="str">
        <f t="shared" si="0"/>
        <v xml:space="preserve"> </v>
      </c>
      <c r="B1145" s="81" t="str">
        <f t="shared" si="1"/>
        <v xml:space="preserve"> </v>
      </c>
      <c r="C1145" s="79" t="str">
        <f t="shared" si="7"/>
        <v xml:space="preserve"> </v>
      </c>
      <c r="D1145" s="79" t="str">
        <f t="shared" si="5"/>
        <v xml:space="preserve"> </v>
      </c>
      <c r="E1145" s="79" t="str">
        <f t="shared" si="6"/>
        <v xml:space="preserve"> </v>
      </c>
    </row>
    <row r="1146" spans="1:5" ht="12.5">
      <c r="A1146" s="81" t="str">
        <f t="shared" si="0"/>
        <v xml:space="preserve"> </v>
      </c>
      <c r="B1146" s="81" t="str">
        <f t="shared" si="1"/>
        <v xml:space="preserve"> </v>
      </c>
      <c r="C1146" s="79" t="str">
        <f t="shared" si="7"/>
        <v xml:space="preserve"> </v>
      </c>
      <c r="D1146" s="79" t="str">
        <f t="shared" si="5"/>
        <v xml:space="preserve"> </v>
      </c>
      <c r="E1146" s="79" t="str">
        <f t="shared" si="6"/>
        <v xml:space="preserve"> </v>
      </c>
    </row>
    <row r="1147" spans="1:5" ht="12.5">
      <c r="A1147" s="81" t="str">
        <f t="shared" si="0"/>
        <v xml:space="preserve"> </v>
      </c>
      <c r="B1147" s="81" t="str">
        <f t="shared" si="1"/>
        <v xml:space="preserve"> </v>
      </c>
      <c r="C1147" s="79" t="str">
        <f t="shared" si="7"/>
        <v xml:space="preserve"> </v>
      </c>
      <c r="D1147" s="79" t="str">
        <f t="shared" si="5"/>
        <v xml:space="preserve"> </v>
      </c>
      <c r="E1147" s="79" t="str">
        <f t="shared" si="6"/>
        <v xml:space="preserve"> </v>
      </c>
    </row>
    <row r="1148" spans="1:5" ht="12.5">
      <c r="A1148" s="81" t="str">
        <f t="shared" si="0"/>
        <v xml:space="preserve"> </v>
      </c>
      <c r="B1148" s="81" t="str">
        <f t="shared" si="1"/>
        <v xml:space="preserve"> </v>
      </c>
      <c r="C1148" s="79" t="str">
        <f t="shared" si="7"/>
        <v xml:space="preserve"> </v>
      </c>
      <c r="D1148" s="79" t="str">
        <f t="shared" si="5"/>
        <v xml:space="preserve"> </v>
      </c>
      <c r="E1148" s="79" t="str">
        <f t="shared" si="6"/>
        <v xml:space="preserve"> </v>
      </c>
    </row>
    <row r="1149" spans="1:5" ht="12.5">
      <c r="A1149" s="81" t="str">
        <f t="shared" si="0"/>
        <v xml:space="preserve"> </v>
      </c>
      <c r="B1149" s="81" t="str">
        <f t="shared" si="1"/>
        <v xml:space="preserve"> </v>
      </c>
      <c r="C1149" s="79" t="str">
        <f t="shared" si="7"/>
        <v xml:space="preserve"> </v>
      </c>
      <c r="D1149" s="79" t="str">
        <f t="shared" si="5"/>
        <v xml:space="preserve"> </v>
      </c>
      <c r="E1149" s="79" t="str">
        <f t="shared" si="6"/>
        <v xml:space="preserve"> </v>
      </c>
    </row>
    <row r="1150" spans="1:5" ht="12.5">
      <c r="A1150" s="81" t="str">
        <f t="shared" si="0"/>
        <v xml:space="preserve"> </v>
      </c>
      <c r="B1150" s="81" t="str">
        <f t="shared" si="1"/>
        <v xml:space="preserve"> </v>
      </c>
      <c r="C1150" s="79" t="str">
        <f t="shared" si="7"/>
        <v xml:space="preserve"> </v>
      </c>
      <c r="D1150" s="79" t="str">
        <f t="shared" si="5"/>
        <v xml:space="preserve"> </v>
      </c>
      <c r="E1150" s="79" t="str">
        <f t="shared" si="6"/>
        <v xml:space="preserve"> </v>
      </c>
    </row>
    <row r="1151" spans="1:5" ht="12.5">
      <c r="A1151" s="81" t="str">
        <f t="shared" si="0"/>
        <v xml:space="preserve"> </v>
      </c>
      <c r="B1151" s="81" t="str">
        <f t="shared" si="1"/>
        <v xml:space="preserve"> </v>
      </c>
      <c r="C1151" s="79" t="str">
        <f t="shared" si="7"/>
        <v xml:space="preserve"> </v>
      </c>
      <c r="D1151" s="79" t="str">
        <f t="shared" si="5"/>
        <v xml:space="preserve"> </v>
      </c>
      <c r="E1151" s="79" t="str">
        <f t="shared" si="6"/>
        <v xml:space="preserve"> </v>
      </c>
    </row>
    <row r="1152" spans="1:5" ht="12.5">
      <c r="A1152" s="81" t="str">
        <f t="shared" si="0"/>
        <v xml:space="preserve"> </v>
      </c>
      <c r="B1152" s="81" t="str">
        <f t="shared" si="1"/>
        <v xml:space="preserve"> </v>
      </c>
      <c r="C1152" s="79" t="str">
        <f t="shared" si="7"/>
        <v xml:space="preserve"> </v>
      </c>
      <c r="D1152" s="79" t="str">
        <f t="shared" si="5"/>
        <v xml:space="preserve"> </v>
      </c>
      <c r="E1152" s="79" t="str">
        <f t="shared" si="6"/>
        <v xml:space="preserve"> </v>
      </c>
    </row>
    <row r="1153" spans="1:5" ht="12.5">
      <c r="A1153" s="81" t="str">
        <f t="shared" si="0"/>
        <v xml:space="preserve"> </v>
      </c>
      <c r="B1153" s="81" t="str">
        <f t="shared" si="1"/>
        <v xml:space="preserve"> </v>
      </c>
      <c r="C1153" s="79" t="str">
        <f t="shared" si="7"/>
        <v xml:space="preserve"> </v>
      </c>
      <c r="D1153" s="79" t="str">
        <f t="shared" si="5"/>
        <v xml:space="preserve"> </v>
      </c>
      <c r="E1153" s="79" t="str">
        <f t="shared" si="6"/>
        <v xml:space="preserve"> </v>
      </c>
    </row>
    <row r="1154" spans="1:5" ht="12.5">
      <c r="A1154" s="81" t="str">
        <f t="shared" si="0"/>
        <v xml:space="preserve"> </v>
      </c>
      <c r="B1154" s="81" t="str">
        <f t="shared" si="1"/>
        <v xml:space="preserve"> </v>
      </c>
      <c r="C1154" s="79" t="str">
        <f t="shared" si="7"/>
        <v xml:space="preserve"> </v>
      </c>
      <c r="D1154" s="79" t="str">
        <f t="shared" si="5"/>
        <v xml:space="preserve"> </v>
      </c>
      <c r="E1154" s="79" t="str">
        <f t="shared" si="6"/>
        <v xml:space="preserve"> </v>
      </c>
    </row>
    <row r="1155" spans="1:5" ht="12.5">
      <c r="A1155" s="81" t="str">
        <f t="shared" si="0"/>
        <v xml:space="preserve"> </v>
      </c>
      <c r="B1155" s="81" t="str">
        <f t="shared" si="1"/>
        <v xml:space="preserve"> </v>
      </c>
      <c r="C1155" s="79" t="str">
        <f t="shared" si="7"/>
        <v xml:space="preserve"> </v>
      </c>
      <c r="D1155" s="79" t="str">
        <f t="shared" si="5"/>
        <v xml:space="preserve"> </v>
      </c>
      <c r="E1155" s="79" t="str">
        <f t="shared" si="6"/>
        <v xml:space="preserve"> </v>
      </c>
    </row>
    <row r="1156" spans="1:5" ht="12.5">
      <c r="A1156" s="81" t="str">
        <f t="shared" si="0"/>
        <v xml:space="preserve"> </v>
      </c>
      <c r="B1156" s="81" t="str">
        <f t="shared" si="1"/>
        <v xml:space="preserve"> </v>
      </c>
      <c r="C1156" s="79" t="str">
        <f t="shared" si="7"/>
        <v xml:space="preserve"> </v>
      </c>
      <c r="D1156" s="79" t="str">
        <f t="shared" si="5"/>
        <v xml:space="preserve"> </v>
      </c>
      <c r="E1156" s="79" t="str">
        <f t="shared" si="6"/>
        <v xml:space="preserve"> </v>
      </c>
    </row>
    <row r="1157" spans="1:5" ht="12.5">
      <c r="A1157" s="81" t="str">
        <f t="shared" si="0"/>
        <v xml:space="preserve"> </v>
      </c>
      <c r="B1157" s="81" t="str">
        <f t="shared" si="1"/>
        <v xml:space="preserve"> </v>
      </c>
      <c r="C1157" s="79" t="str">
        <f t="shared" si="7"/>
        <v xml:space="preserve"> </v>
      </c>
      <c r="D1157" s="79" t="str">
        <f t="shared" si="5"/>
        <v xml:space="preserve"> </v>
      </c>
      <c r="E1157" s="79" t="str">
        <f t="shared" si="6"/>
        <v xml:space="preserve"> </v>
      </c>
    </row>
    <row r="1158" spans="1:5" ht="12.5">
      <c r="A1158" s="81" t="str">
        <f t="shared" si="0"/>
        <v xml:space="preserve"> </v>
      </c>
      <c r="B1158" s="81" t="str">
        <f t="shared" si="1"/>
        <v xml:space="preserve"> </v>
      </c>
      <c r="C1158" s="79" t="str">
        <f t="shared" si="7"/>
        <v xml:space="preserve"> </v>
      </c>
      <c r="D1158" s="79" t="str">
        <f t="shared" si="5"/>
        <v xml:space="preserve"> </v>
      </c>
      <c r="E1158" s="79" t="str">
        <f t="shared" si="6"/>
        <v xml:space="preserve"> </v>
      </c>
    </row>
    <row r="1159" spans="1:5" ht="12.5">
      <c r="A1159" s="81" t="str">
        <f t="shared" si="0"/>
        <v xml:space="preserve"> </v>
      </c>
      <c r="B1159" s="81" t="str">
        <f t="shared" si="1"/>
        <v xml:space="preserve"> </v>
      </c>
      <c r="C1159" s="79" t="str">
        <f t="shared" si="7"/>
        <v xml:space="preserve"> </v>
      </c>
      <c r="D1159" s="79" t="str">
        <f t="shared" si="5"/>
        <v xml:space="preserve"> </v>
      </c>
      <c r="E1159" s="79" t="str">
        <f t="shared" si="6"/>
        <v xml:space="preserve"> </v>
      </c>
    </row>
    <row r="1160" spans="1:5" ht="12.5">
      <c r="A1160" s="81" t="str">
        <f t="shared" si="0"/>
        <v xml:space="preserve"> </v>
      </c>
      <c r="B1160" s="81" t="str">
        <f t="shared" si="1"/>
        <v xml:space="preserve"> </v>
      </c>
      <c r="C1160" s="79" t="str">
        <f t="shared" si="7"/>
        <v xml:space="preserve"> </v>
      </c>
      <c r="D1160" s="79" t="str">
        <f t="shared" si="5"/>
        <v xml:space="preserve"> </v>
      </c>
      <c r="E1160" s="79" t="str">
        <f t="shared" si="6"/>
        <v xml:space="preserve"> </v>
      </c>
    </row>
    <row r="1161" spans="1:5" ht="12.5">
      <c r="A1161" s="81" t="str">
        <f t="shared" si="0"/>
        <v xml:space="preserve"> </v>
      </c>
      <c r="B1161" s="81" t="str">
        <f t="shared" si="1"/>
        <v xml:space="preserve"> </v>
      </c>
      <c r="C1161" s="79" t="str">
        <f t="shared" si="7"/>
        <v xml:space="preserve"> </v>
      </c>
      <c r="D1161" s="79" t="str">
        <f t="shared" si="5"/>
        <v xml:space="preserve"> </v>
      </c>
      <c r="E1161" s="79" t="str">
        <f t="shared" si="6"/>
        <v xml:space="preserve"> </v>
      </c>
    </row>
    <row r="1162" spans="1:5" ht="12.5">
      <c r="A1162" s="81" t="str">
        <f t="shared" si="0"/>
        <v xml:space="preserve"> </v>
      </c>
      <c r="B1162" s="81" t="str">
        <f t="shared" si="1"/>
        <v xml:space="preserve"> </v>
      </c>
      <c r="C1162" s="79" t="str">
        <f t="shared" si="7"/>
        <v xml:space="preserve"> </v>
      </c>
      <c r="D1162" s="79" t="str">
        <f t="shared" si="5"/>
        <v xml:space="preserve"> </v>
      </c>
      <c r="E1162" s="79" t="str">
        <f t="shared" si="6"/>
        <v xml:space="preserve"> </v>
      </c>
    </row>
    <row r="1163" spans="1:5" ht="12.5">
      <c r="A1163" s="81" t="str">
        <f t="shared" si="0"/>
        <v xml:space="preserve"> </v>
      </c>
      <c r="B1163" s="81" t="str">
        <f t="shared" si="1"/>
        <v xml:space="preserve"> </v>
      </c>
      <c r="C1163" s="79" t="str">
        <f t="shared" si="7"/>
        <v xml:space="preserve"> </v>
      </c>
      <c r="D1163" s="79" t="str">
        <f t="shared" si="5"/>
        <v xml:space="preserve"> </v>
      </c>
      <c r="E1163" s="79" t="str">
        <f t="shared" si="6"/>
        <v xml:space="preserve"> </v>
      </c>
    </row>
    <row r="1164" spans="1:5" ht="12.5">
      <c r="A1164" s="81" t="str">
        <f t="shared" si="0"/>
        <v xml:space="preserve"> </v>
      </c>
      <c r="B1164" s="81" t="str">
        <f t="shared" si="1"/>
        <v xml:space="preserve"> </v>
      </c>
      <c r="C1164" s="79" t="str">
        <f t="shared" si="7"/>
        <v xml:space="preserve"> </v>
      </c>
      <c r="D1164" s="79" t="str">
        <f t="shared" si="5"/>
        <v xml:space="preserve"> </v>
      </c>
      <c r="E1164" s="79" t="str">
        <f t="shared" si="6"/>
        <v xml:space="preserve"> </v>
      </c>
    </row>
    <row r="1165" spans="1:5" ht="12.5">
      <c r="A1165" s="81" t="str">
        <f t="shared" si="0"/>
        <v xml:space="preserve"> </v>
      </c>
      <c r="B1165" s="81" t="str">
        <f t="shared" si="1"/>
        <v xml:space="preserve"> </v>
      </c>
      <c r="C1165" s="79" t="str">
        <f t="shared" si="7"/>
        <v xml:space="preserve"> </v>
      </c>
      <c r="D1165" s="79" t="str">
        <f t="shared" si="5"/>
        <v xml:space="preserve"> </v>
      </c>
      <c r="E1165" s="79" t="str">
        <f t="shared" si="6"/>
        <v xml:space="preserve"> </v>
      </c>
    </row>
    <row r="1166" spans="1:5" ht="12.5">
      <c r="A1166" s="81" t="str">
        <f t="shared" si="0"/>
        <v xml:space="preserve"> </v>
      </c>
      <c r="B1166" s="81" t="str">
        <f t="shared" si="1"/>
        <v xml:space="preserve"> </v>
      </c>
      <c r="C1166" s="79" t="str">
        <f t="shared" si="7"/>
        <v xml:space="preserve"> </v>
      </c>
      <c r="D1166" s="79" t="str">
        <f t="shared" si="5"/>
        <v xml:space="preserve"> </v>
      </c>
      <c r="E1166" s="79" t="str">
        <f t="shared" si="6"/>
        <v xml:space="preserve"> </v>
      </c>
    </row>
    <row r="1167" spans="1:5" ht="12.5">
      <c r="A1167" s="81" t="str">
        <f t="shared" si="0"/>
        <v xml:space="preserve"> </v>
      </c>
      <c r="B1167" s="81" t="str">
        <f t="shared" si="1"/>
        <v xml:space="preserve"> </v>
      </c>
      <c r="C1167" s="79" t="str">
        <f t="shared" si="7"/>
        <v xml:space="preserve"> </v>
      </c>
      <c r="D1167" s="79" t="str">
        <f t="shared" si="5"/>
        <v xml:space="preserve"> </v>
      </c>
      <c r="E1167" s="79" t="str">
        <f t="shared" si="6"/>
        <v xml:space="preserve"> </v>
      </c>
    </row>
    <row r="1168" spans="1:5" ht="12.5">
      <c r="A1168" s="81" t="str">
        <f t="shared" si="0"/>
        <v xml:space="preserve"> </v>
      </c>
      <c r="B1168" s="81" t="str">
        <f t="shared" si="1"/>
        <v xml:space="preserve"> </v>
      </c>
      <c r="C1168" s="79" t="str">
        <f t="shared" si="7"/>
        <v xml:space="preserve"> </v>
      </c>
      <c r="D1168" s="79" t="str">
        <f t="shared" si="5"/>
        <v xml:space="preserve"> </v>
      </c>
      <c r="E1168" s="79" t="str">
        <f t="shared" si="6"/>
        <v xml:space="preserve"> </v>
      </c>
    </row>
    <row r="1169" spans="1:5" ht="12.5">
      <c r="A1169" s="81" t="str">
        <f t="shared" si="0"/>
        <v xml:space="preserve"> </v>
      </c>
      <c r="B1169" s="81" t="str">
        <f t="shared" si="1"/>
        <v xml:space="preserve"> </v>
      </c>
      <c r="C1169" s="79" t="str">
        <f t="shared" si="7"/>
        <v xml:space="preserve"> </v>
      </c>
      <c r="D1169" s="79" t="str">
        <f t="shared" si="5"/>
        <v xml:space="preserve"> </v>
      </c>
      <c r="E1169" s="79" t="str">
        <f t="shared" si="6"/>
        <v xml:space="preserve"> </v>
      </c>
    </row>
    <row r="1170" spans="1:5" ht="12.5">
      <c r="A1170" s="81" t="str">
        <f t="shared" si="0"/>
        <v xml:space="preserve"> </v>
      </c>
      <c r="B1170" s="81" t="str">
        <f t="shared" si="1"/>
        <v xml:space="preserve"> </v>
      </c>
      <c r="C1170" s="79" t="str">
        <f t="shared" si="7"/>
        <v xml:space="preserve"> </v>
      </c>
      <c r="D1170" s="79" t="str">
        <f t="shared" si="5"/>
        <v xml:space="preserve"> </v>
      </c>
      <c r="E1170" s="79" t="str">
        <f t="shared" si="6"/>
        <v xml:space="preserve"> </v>
      </c>
    </row>
    <row r="1171" spans="1:5" ht="12.5">
      <c r="A1171" s="81" t="str">
        <f t="shared" si="0"/>
        <v xml:space="preserve"> </v>
      </c>
      <c r="B1171" s="81" t="str">
        <f t="shared" si="1"/>
        <v xml:space="preserve"> </v>
      </c>
      <c r="C1171" s="79" t="str">
        <f t="shared" si="7"/>
        <v xml:space="preserve"> </v>
      </c>
      <c r="D1171" s="79" t="str">
        <f t="shared" si="5"/>
        <v xml:space="preserve"> </v>
      </c>
      <c r="E1171" s="79" t="str">
        <f t="shared" si="6"/>
        <v xml:space="preserve"> </v>
      </c>
    </row>
    <row r="1172" spans="1:5" ht="12.5">
      <c r="A1172" s="81" t="str">
        <f t="shared" si="0"/>
        <v xml:space="preserve"> </v>
      </c>
      <c r="B1172" s="81" t="str">
        <f t="shared" si="1"/>
        <v xml:space="preserve"> </v>
      </c>
      <c r="C1172" s="79" t="str">
        <f t="shared" si="7"/>
        <v xml:space="preserve"> </v>
      </c>
      <c r="D1172" s="79" t="str">
        <f t="shared" si="5"/>
        <v xml:space="preserve"> </v>
      </c>
      <c r="E1172" s="79" t="str">
        <f t="shared" si="6"/>
        <v xml:space="preserve"> </v>
      </c>
    </row>
    <row r="1173" spans="1:5" ht="12.5">
      <c r="A1173" s="81" t="str">
        <f t="shared" si="0"/>
        <v xml:space="preserve"> </v>
      </c>
      <c r="B1173" s="81" t="str">
        <f t="shared" si="1"/>
        <v xml:space="preserve"> </v>
      </c>
      <c r="C1173" s="79" t="str">
        <f t="shared" si="7"/>
        <v xml:space="preserve"> </v>
      </c>
      <c r="D1173" s="79" t="str">
        <f t="shared" si="5"/>
        <v xml:space="preserve"> </v>
      </c>
      <c r="E1173" s="79" t="str">
        <f t="shared" si="6"/>
        <v xml:space="preserve"> </v>
      </c>
    </row>
    <row r="1174" spans="1:5" ht="12.5">
      <c r="A1174" s="81" t="str">
        <f t="shared" si="0"/>
        <v xml:space="preserve"> </v>
      </c>
      <c r="B1174" s="81" t="str">
        <f t="shared" si="1"/>
        <v xml:space="preserve"> </v>
      </c>
      <c r="C1174" s="79" t="str">
        <f t="shared" si="7"/>
        <v xml:space="preserve"> </v>
      </c>
      <c r="D1174" s="79" t="str">
        <f t="shared" si="5"/>
        <v xml:space="preserve"> </v>
      </c>
      <c r="E1174" s="79" t="str">
        <f t="shared" si="6"/>
        <v xml:space="preserve"> </v>
      </c>
    </row>
    <row r="1175" spans="1:5" ht="12.5">
      <c r="A1175" s="81" t="str">
        <f t="shared" si="0"/>
        <v xml:space="preserve"> </v>
      </c>
      <c r="B1175" s="81" t="str">
        <f t="shared" si="1"/>
        <v xml:space="preserve"> </v>
      </c>
      <c r="C1175" s="79" t="str">
        <f t="shared" si="7"/>
        <v xml:space="preserve"> </v>
      </c>
      <c r="D1175" s="79" t="str">
        <f t="shared" si="5"/>
        <v xml:space="preserve"> </v>
      </c>
      <c r="E1175" s="79" t="str">
        <f t="shared" si="6"/>
        <v xml:space="preserve"> </v>
      </c>
    </row>
    <row r="1176" spans="1:5" ht="12.5">
      <c r="A1176" s="81" t="str">
        <f t="shared" si="0"/>
        <v xml:space="preserve"> </v>
      </c>
      <c r="B1176" s="81" t="str">
        <f t="shared" si="1"/>
        <v xml:space="preserve"> </v>
      </c>
      <c r="C1176" s="79" t="str">
        <f t="shared" si="7"/>
        <v xml:space="preserve"> </v>
      </c>
      <c r="D1176" s="79" t="str">
        <f t="shared" si="5"/>
        <v xml:space="preserve"> </v>
      </c>
      <c r="E1176" s="79" t="str">
        <f t="shared" si="6"/>
        <v xml:space="preserve"> </v>
      </c>
    </row>
    <row r="1177" spans="1:5" ht="12.5">
      <c r="A1177" s="81" t="str">
        <f t="shared" si="0"/>
        <v xml:space="preserve"> </v>
      </c>
      <c r="B1177" s="81" t="str">
        <f t="shared" si="1"/>
        <v xml:space="preserve"> </v>
      </c>
      <c r="C1177" s="79" t="str">
        <f t="shared" si="7"/>
        <v xml:space="preserve"> </v>
      </c>
      <c r="D1177" s="79" t="str">
        <f t="shared" si="5"/>
        <v xml:space="preserve"> </v>
      </c>
      <c r="E1177" s="79" t="str">
        <f t="shared" si="6"/>
        <v xml:space="preserve"> </v>
      </c>
    </row>
    <row r="1178" spans="1:5" ht="12.5">
      <c r="A1178" s="81" t="str">
        <f t="shared" si="0"/>
        <v xml:space="preserve"> </v>
      </c>
      <c r="B1178" s="81" t="str">
        <f t="shared" si="1"/>
        <v xml:space="preserve"> </v>
      </c>
      <c r="C1178" s="79" t="str">
        <f t="shared" si="7"/>
        <v xml:space="preserve"> </v>
      </c>
      <c r="D1178" s="79" t="str">
        <f t="shared" si="5"/>
        <v xml:space="preserve"> </v>
      </c>
      <c r="E1178" s="79" t="str">
        <f t="shared" si="6"/>
        <v xml:space="preserve"> </v>
      </c>
    </row>
    <row r="1179" spans="1:5" ht="12.5">
      <c r="A1179" s="81" t="str">
        <f t="shared" si="0"/>
        <v xml:space="preserve"> </v>
      </c>
      <c r="B1179" s="81" t="str">
        <f t="shared" si="1"/>
        <v xml:space="preserve"> </v>
      </c>
      <c r="C1179" s="79" t="str">
        <f t="shared" si="7"/>
        <v xml:space="preserve"> </v>
      </c>
      <c r="D1179" s="79" t="str">
        <f t="shared" si="5"/>
        <v xml:space="preserve"> </v>
      </c>
      <c r="E1179" s="79" t="str">
        <f t="shared" si="6"/>
        <v xml:space="preserve"> </v>
      </c>
    </row>
    <row r="1180" spans="1:5" ht="12.5">
      <c r="A1180" s="81" t="str">
        <f t="shared" si="0"/>
        <v xml:space="preserve"> </v>
      </c>
      <c r="B1180" s="81" t="str">
        <f t="shared" si="1"/>
        <v xml:space="preserve"> </v>
      </c>
      <c r="C1180" s="79" t="str">
        <f t="shared" si="7"/>
        <v xml:space="preserve"> </v>
      </c>
      <c r="D1180" s="79" t="str">
        <f t="shared" si="5"/>
        <v xml:space="preserve"> </v>
      </c>
      <c r="E1180" s="79" t="str">
        <f t="shared" si="6"/>
        <v xml:space="preserve"> </v>
      </c>
    </row>
    <row r="1181" spans="1:5" ht="12.5">
      <c r="A1181" s="81" t="str">
        <f t="shared" si="0"/>
        <v xml:space="preserve"> </v>
      </c>
      <c r="B1181" s="81" t="str">
        <f t="shared" si="1"/>
        <v xml:space="preserve"> </v>
      </c>
      <c r="C1181" s="79" t="str">
        <f t="shared" si="7"/>
        <v xml:space="preserve"> </v>
      </c>
      <c r="D1181" s="79" t="str">
        <f t="shared" si="5"/>
        <v xml:space="preserve"> </v>
      </c>
      <c r="E1181" s="79" t="str">
        <f t="shared" si="6"/>
        <v xml:space="preserve"> </v>
      </c>
    </row>
    <row r="1182" spans="1:5" ht="12.5">
      <c r="A1182" s="81" t="str">
        <f t="shared" si="0"/>
        <v xml:space="preserve"> </v>
      </c>
      <c r="B1182" s="81" t="str">
        <f t="shared" si="1"/>
        <v xml:space="preserve"> </v>
      </c>
      <c r="C1182" s="79" t="str">
        <f t="shared" si="7"/>
        <v xml:space="preserve"> </v>
      </c>
      <c r="D1182" s="79" t="str">
        <f t="shared" si="5"/>
        <v xml:space="preserve"> </v>
      </c>
      <c r="E1182" s="79" t="str">
        <f t="shared" si="6"/>
        <v xml:space="preserve"> </v>
      </c>
    </row>
    <row r="1183" spans="1:5" ht="12.5">
      <c r="A1183" s="81" t="str">
        <f t="shared" si="0"/>
        <v xml:space="preserve"> </v>
      </c>
      <c r="B1183" s="81" t="str">
        <f t="shared" si="1"/>
        <v xml:space="preserve"> </v>
      </c>
      <c r="C1183" s="79" t="str">
        <f t="shared" si="7"/>
        <v xml:space="preserve"> </v>
      </c>
      <c r="D1183" s="79" t="str">
        <f t="shared" si="5"/>
        <v xml:space="preserve"> </v>
      </c>
      <c r="E1183" s="79" t="str">
        <f t="shared" si="6"/>
        <v xml:space="preserve"> </v>
      </c>
    </row>
    <row r="1184" spans="1:5" ht="12.5">
      <c r="A1184" s="81" t="str">
        <f t="shared" si="0"/>
        <v xml:space="preserve"> </v>
      </c>
      <c r="B1184" s="81" t="str">
        <f t="shared" si="1"/>
        <v xml:space="preserve"> </v>
      </c>
      <c r="C1184" s="79" t="str">
        <f t="shared" si="7"/>
        <v xml:space="preserve"> </v>
      </c>
      <c r="D1184" s="79" t="str">
        <f t="shared" si="5"/>
        <v xml:space="preserve"> </v>
      </c>
      <c r="E1184" s="79" t="str">
        <f t="shared" si="6"/>
        <v xml:space="preserve"> </v>
      </c>
    </row>
    <row r="1185" spans="1:5" ht="12.5">
      <c r="A1185" s="81" t="str">
        <f t="shared" si="0"/>
        <v xml:space="preserve"> </v>
      </c>
      <c r="B1185" s="81" t="str">
        <f t="shared" si="1"/>
        <v xml:space="preserve"> </v>
      </c>
      <c r="C1185" s="79" t="str">
        <f t="shared" si="7"/>
        <v xml:space="preserve"> </v>
      </c>
      <c r="D1185" s="79" t="str">
        <f t="shared" si="5"/>
        <v xml:space="preserve"> </v>
      </c>
      <c r="E1185" s="79" t="str">
        <f t="shared" si="6"/>
        <v xml:space="preserve"> </v>
      </c>
    </row>
    <row r="1186" spans="1:5" ht="12.5">
      <c r="A1186" s="81" t="str">
        <f t="shared" si="0"/>
        <v xml:space="preserve"> </v>
      </c>
      <c r="B1186" s="81" t="str">
        <f t="shared" si="1"/>
        <v xml:space="preserve"> </v>
      </c>
      <c r="C1186" s="79" t="str">
        <f t="shared" si="7"/>
        <v xml:space="preserve"> </v>
      </c>
      <c r="D1186" s="79" t="str">
        <f t="shared" si="5"/>
        <v xml:space="preserve"> </v>
      </c>
      <c r="E1186" s="79" t="str">
        <f t="shared" si="6"/>
        <v xml:space="preserve"> </v>
      </c>
    </row>
    <row r="1187" spans="1:5" ht="12.5">
      <c r="A1187" s="81" t="str">
        <f t="shared" si="0"/>
        <v xml:space="preserve"> </v>
      </c>
      <c r="B1187" s="81" t="str">
        <f t="shared" si="1"/>
        <v xml:space="preserve"> </v>
      </c>
      <c r="C1187" s="79" t="str">
        <f t="shared" si="7"/>
        <v xml:space="preserve"> </v>
      </c>
      <c r="D1187" s="79" t="str">
        <f t="shared" si="5"/>
        <v xml:space="preserve"> </v>
      </c>
      <c r="E1187" s="79" t="str">
        <f t="shared" si="6"/>
        <v xml:space="preserve"> </v>
      </c>
    </row>
    <row r="1188" spans="1:5" ht="12.5">
      <c r="A1188" s="81" t="str">
        <f t="shared" si="0"/>
        <v xml:space="preserve"> </v>
      </c>
      <c r="B1188" s="81" t="str">
        <f t="shared" si="1"/>
        <v xml:space="preserve"> </v>
      </c>
      <c r="C1188" s="79" t="str">
        <f t="shared" si="7"/>
        <v xml:space="preserve"> </v>
      </c>
      <c r="D1188" s="79" t="str">
        <f t="shared" si="5"/>
        <v xml:space="preserve"> </v>
      </c>
      <c r="E1188" s="79" t="str">
        <f t="shared" si="6"/>
        <v xml:space="preserve"> </v>
      </c>
    </row>
    <row r="1189" spans="1:5" ht="12.5">
      <c r="A1189" s="81" t="str">
        <f t="shared" si="0"/>
        <v xml:space="preserve"> </v>
      </c>
      <c r="B1189" s="81" t="str">
        <f t="shared" si="1"/>
        <v xml:space="preserve"> </v>
      </c>
      <c r="C1189" s="79" t="str">
        <f t="shared" si="7"/>
        <v xml:space="preserve"> </v>
      </c>
      <c r="D1189" s="79" t="str">
        <f t="shared" si="5"/>
        <v xml:space="preserve"> </v>
      </c>
      <c r="E1189" s="79" t="str">
        <f t="shared" si="6"/>
        <v xml:space="preserve"> </v>
      </c>
    </row>
    <row r="1190" spans="1:5" ht="12.5">
      <c r="A1190" s="81" t="str">
        <f t="shared" si="0"/>
        <v xml:space="preserve"> </v>
      </c>
      <c r="B1190" s="81" t="str">
        <f t="shared" si="1"/>
        <v xml:space="preserve"> </v>
      </c>
      <c r="C1190" s="79" t="str">
        <f t="shared" si="7"/>
        <v xml:space="preserve"> </v>
      </c>
      <c r="D1190" s="79" t="str">
        <f t="shared" si="5"/>
        <v xml:space="preserve"> </v>
      </c>
      <c r="E1190" s="79" t="str">
        <f t="shared" si="6"/>
        <v xml:space="preserve"> </v>
      </c>
    </row>
    <row r="1191" spans="1:5" ht="12.5">
      <c r="A1191" s="81" t="str">
        <f t="shared" si="0"/>
        <v xml:space="preserve"> </v>
      </c>
      <c r="B1191" s="81" t="str">
        <f t="shared" si="1"/>
        <v xml:space="preserve"> </v>
      </c>
      <c r="C1191" s="79" t="str">
        <f t="shared" si="7"/>
        <v xml:space="preserve"> </v>
      </c>
      <c r="D1191" s="79" t="str">
        <f t="shared" si="5"/>
        <v xml:space="preserve"> </v>
      </c>
      <c r="E1191" s="79" t="str">
        <f t="shared" si="6"/>
        <v xml:space="preserve"> </v>
      </c>
    </row>
    <row r="1192" spans="1:5" ht="12.5">
      <c r="A1192" s="81" t="str">
        <f t="shared" si="0"/>
        <v xml:space="preserve"> </v>
      </c>
      <c r="B1192" s="81" t="str">
        <f t="shared" si="1"/>
        <v xml:space="preserve"> </v>
      </c>
      <c r="C1192" s="79" t="str">
        <f t="shared" si="7"/>
        <v xml:space="preserve"> </v>
      </c>
      <c r="D1192" s="79" t="str">
        <f t="shared" si="5"/>
        <v xml:space="preserve"> </v>
      </c>
      <c r="E1192" s="79" t="str">
        <f t="shared" si="6"/>
        <v xml:space="preserve"> </v>
      </c>
    </row>
    <row r="1193" spans="1:5" ht="12.5">
      <c r="A1193" s="81" t="str">
        <f t="shared" si="0"/>
        <v xml:space="preserve"> </v>
      </c>
      <c r="B1193" s="81" t="str">
        <f t="shared" si="1"/>
        <v xml:space="preserve"> </v>
      </c>
      <c r="C1193" s="79" t="str">
        <f t="shared" si="7"/>
        <v xml:space="preserve"> </v>
      </c>
      <c r="D1193" s="79" t="str">
        <f t="shared" si="5"/>
        <v xml:space="preserve"> </v>
      </c>
      <c r="E1193" s="79" t="str">
        <f t="shared" si="6"/>
        <v xml:space="preserve"> </v>
      </c>
    </row>
    <row r="1194" spans="1:5" ht="12.5">
      <c r="A1194" s="81" t="str">
        <f t="shared" si="0"/>
        <v xml:space="preserve"> </v>
      </c>
      <c r="B1194" s="81" t="str">
        <f t="shared" si="1"/>
        <v xml:space="preserve"> </v>
      </c>
      <c r="C1194" s="79" t="str">
        <f t="shared" si="7"/>
        <v xml:space="preserve"> </v>
      </c>
      <c r="D1194" s="79" t="str">
        <f t="shared" si="5"/>
        <v xml:space="preserve"> </v>
      </c>
      <c r="E1194" s="79" t="str">
        <f t="shared" si="6"/>
        <v xml:space="preserve"> </v>
      </c>
    </row>
    <row r="1195" spans="1:5" ht="12.5">
      <c r="A1195" s="81" t="str">
        <f t="shared" si="0"/>
        <v xml:space="preserve"> </v>
      </c>
      <c r="B1195" s="81" t="str">
        <f t="shared" si="1"/>
        <v xml:space="preserve"> </v>
      </c>
      <c r="C1195" s="79" t="str">
        <f t="shared" si="7"/>
        <v xml:space="preserve"> </v>
      </c>
      <c r="D1195" s="79" t="str">
        <f t="shared" si="5"/>
        <v xml:space="preserve"> </v>
      </c>
      <c r="E1195" s="79" t="str">
        <f t="shared" si="6"/>
        <v xml:space="preserve"> </v>
      </c>
    </row>
    <row r="1196" spans="1:5" ht="12.5">
      <c r="A1196" s="81" t="str">
        <f t="shared" si="0"/>
        <v xml:space="preserve"> </v>
      </c>
      <c r="B1196" s="81" t="str">
        <f t="shared" si="1"/>
        <v xml:space="preserve"> </v>
      </c>
      <c r="C1196" s="79" t="str">
        <f t="shared" si="7"/>
        <v xml:space="preserve"> </v>
      </c>
      <c r="D1196" s="79" t="str">
        <f t="shared" si="5"/>
        <v xml:space="preserve"> </v>
      </c>
      <c r="E1196" s="79" t="str">
        <f t="shared" si="6"/>
        <v xml:space="preserve"> </v>
      </c>
    </row>
    <row r="1197" spans="1:5" ht="12.5">
      <c r="A1197" s="81" t="str">
        <f t="shared" si="0"/>
        <v xml:space="preserve"> </v>
      </c>
      <c r="B1197" s="81" t="str">
        <f t="shared" si="1"/>
        <v xml:space="preserve"> </v>
      </c>
      <c r="C1197" s="79" t="str">
        <f t="shared" si="7"/>
        <v xml:space="preserve"> </v>
      </c>
      <c r="D1197" s="79" t="str">
        <f t="shared" si="5"/>
        <v xml:space="preserve"> </v>
      </c>
      <c r="E1197" s="79" t="str">
        <f t="shared" si="6"/>
        <v xml:space="preserve"> </v>
      </c>
    </row>
    <row r="1198" spans="1:5" ht="12.5">
      <c r="A1198" s="81" t="str">
        <f t="shared" si="0"/>
        <v xml:space="preserve"> </v>
      </c>
      <c r="B1198" s="81" t="str">
        <f t="shared" si="1"/>
        <v xml:space="preserve"> </v>
      </c>
      <c r="C1198" s="79" t="str">
        <f t="shared" si="7"/>
        <v xml:space="preserve"> </v>
      </c>
      <c r="D1198" s="79" t="str">
        <f t="shared" si="5"/>
        <v xml:space="preserve"> </v>
      </c>
      <c r="E1198" s="79" t="str">
        <f t="shared" si="6"/>
        <v xml:space="preserve"> </v>
      </c>
    </row>
    <row r="1199" spans="1:5" ht="12.5">
      <c r="A1199" s="81" t="str">
        <f t="shared" si="0"/>
        <v xml:space="preserve"> </v>
      </c>
      <c r="B1199" s="81" t="str">
        <f t="shared" si="1"/>
        <v xml:space="preserve"> </v>
      </c>
      <c r="C1199" s="79" t="str">
        <f t="shared" si="7"/>
        <v xml:space="preserve"> </v>
      </c>
      <c r="D1199" s="79" t="str">
        <f t="shared" si="5"/>
        <v xml:space="preserve"> </v>
      </c>
      <c r="E1199" s="79" t="str">
        <f t="shared" si="6"/>
        <v xml:space="preserve"> </v>
      </c>
    </row>
    <row r="1200" spans="1:5" ht="12.5">
      <c r="A1200" s="81" t="str">
        <f t="shared" si="0"/>
        <v xml:space="preserve"> </v>
      </c>
      <c r="B1200" s="81" t="str">
        <f t="shared" si="1"/>
        <v xml:space="preserve"> </v>
      </c>
      <c r="C1200" s="79" t="str">
        <f t="shared" si="7"/>
        <v xml:space="preserve"> </v>
      </c>
      <c r="D1200" s="79" t="str">
        <f t="shared" si="5"/>
        <v xml:space="preserve"> </v>
      </c>
      <c r="E1200" s="79" t="str">
        <f t="shared" si="6"/>
        <v xml:space="preserve"> </v>
      </c>
    </row>
    <row r="1201" spans="1:5" ht="12.5">
      <c r="A1201" s="81" t="str">
        <f t="shared" si="0"/>
        <v xml:space="preserve"> </v>
      </c>
      <c r="B1201" s="81" t="str">
        <f t="shared" si="1"/>
        <v xml:space="preserve"> </v>
      </c>
      <c r="C1201" s="79" t="str">
        <f t="shared" si="7"/>
        <v xml:space="preserve"> </v>
      </c>
      <c r="D1201" s="79" t="str">
        <f t="shared" si="5"/>
        <v xml:space="preserve"> </v>
      </c>
      <c r="E1201" s="79" t="str">
        <f t="shared" si="6"/>
        <v xml:space="preserve"> </v>
      </c>
    </row>
    <row r="1202" spans="1:5" ht="12.5">
      <c r="A1202" s="81" t="str">
        <f t="shared" si="0"/>
        <v xml:space="preserve"> </v>
      </c>
      <c r="B1202" s="81" t="str">
        <f t="shared" si="1"/>
        <v xml:space="preserve"> </v>
      </c>
      <c r="C1202" s="79" t="str">
        <f t="shared" si="7"/>
        <v xml:space="preserve"> </v>
      </c>
      <c r="D1202" s="79" t="str">
        <f t="shared" si="5"/>
        <v xml:space="preserve"> </v>
      </c>
      <c r="E1202" s="79" t="str">
        <f t="shared" si="6"/>
        <v xml:space="preserve"> </v>
      </c>
    </row>
    <row r="1203" spans="1:5" ht="12.5">
      <c r="A1203" s="81" t="str">
        <f t="shared" si="0"/>
        <v xml:space="preserve"> </v>
      </c>
      <c r="B1203" s="81" t="str">
        <f t="shared" si="1"/>
        <v xml:space="preserve"> </v>
      </c>
      <c r="C1203" s="79" t="str">
        <f t="shared" si="7"/>
        <v xml:space="preserve"> </v>
      </c>
      <c r="D1203" s="79" t="str">
        <f t="shared" si="5"/>
        <v xml:space="preserve"> </v>
      </c>
      <c r="E1203" s="79" t="str">
        <f t="shared" si="6"/>
        <v xml:space="preserve"> </v>
      </c>
    </row>
    <row r="1204" spans="1:5" ht="12.5">
      <c r="A1204" s="81" t="str">
        <f t="shared" si="0"/>
        <v xml:space="preserve"> </v>
      </c>
      <c r="B1204" s="81" t="str">
        <f t="shared" si="1"/>
        <v xml:space="preserve"> </v>
      </c>
      <c r="C1204" s="79" t="str">
        <f t="shared" si="7"/>
        <v xml:space="preserve"> </v>
      </c>
      <c r="D1204" s="79" t="str">
        <f t="shared" si="5"/>
        <v xml:space="preserve"> </v>
      </c>
      <c r="E1204" s="79" t="str">
        <f t="shared" si="6"/>
        <v xml:space="preserve"> </v>
      </c>
    </row>
    <row r="1205" spans="1:5" ht="12.5">
      <c r="A1205" s="81" t="str">
        <f t="shared" si="0"/>
        <v xml:space="preserve"> </v>
      </c>
      <c r="B1205" s="81" t="str">
        <f t="shared" si="1"/>
        <v xml:space="preserve"> </v>
      </c>
      <c r="C1205" s="79" t="str">
        <f t="shared" si="7"/>
        <v xml:space="preserve"> </v>
      </c>
      <c r="D1205" s="79" t="str">
        <f t="shared" si="5"/>
        <v xml:space="preserve"> </v>
      </c>
      <c r="E1205" s="79" t="str">
        <f t="shared" si="6"/>
        <v xml:space="preserve"> </v>
      </c>
    </row>
    <row r="1206" spans="1:5" ht="12.5">
      <c r="A1206" s="81" t="str">
        <f t="shared" si="0"/>
        <v xml:space="preserve"> </v>
      </c>
      <c r="B1206" s="81" t="str">
        <f t="shared" si="1"/>
        <v xml:space="preserve"> </v>
      </c>
      <c r="C1206" s="79" t="str">
        <f t="shared" si="7"/>
        <v xml:space="preserve"> </v>
      </c>
      <c r="D1206" s="79" t="str">
        <f t="shared" si="5"/>
        <v xml:space="preserve"> </v>
      </c>
      <c r="E1206" s="79" t="str">
        <f t="shared" si="6"/>
        <v xml:space="preserve"> </v>
      </c>
    </row>
    <row r="1207" spans="1:5" ht="12.5">
      <c r="A1207" s="81" t="str">
        <f t="shared" si="0"/>
        <v xml:space="preserve"> </v>
      </c>
      <c r="B1207" s="81" t="str">
        <f t="shared" si="1"/>
        <v xml:space="preserve"> </v>
      </c>
      <c r="C1207" s="79" t="str">
        <f t="shared" si="7"/>
        <v xml:space="preserve"> </v>
      </c>
      <c r="D1207" s="79" t="str">
        <f t="shared" si="5"/>
        <v xml:space="preserve"> </v>
      </c>
      <c r="E1207" s="79" t="str">
        <f t="shared" si="6"/>
        <v xml:space="preserve"> </v>
      </c>
    </row>
    <row r="1208" spans="1:5" ht="12.5">
      <c r="A1208" s="81" t="str">
        <f t="shared" si="0"/>
        <v xml:space="preserve"> </v>
      </c>
      <c r="B1208" s="81" t="str">
        <f t="shared" si="1"/>
        <v xml:space="preserve"> </v>
      </c>
      <c r="C1208" s="79" t="str">
        <f t="shared" si="7"/>
        <v xml:space="preserve"> </v>
      </c>
      <c r="D1208" s="79" t="str">
        <f t="shared" si="5"/>
        <v xml:space="preserve"> </v>
      </c>
      <c r="E1208" s="79" t="str">
        <f t="shared" si="6"/>
        <v xml:space="preserve"> </v>
      </c>
    </row>
    <row r="1209" spans="1:5" ht="12.5">
      <c r="A1209" s="81" t="str">
        <f t="shared" si="0"/>
        <v xml:space="preserve"> </v>
      </c>
      <c r="B1209" s="81" t="str">
        <f t="shared" si="1"/>
        <v xml:space="preserve"> </v>
      </c>
      <c r="C1209" s="79" t="str">
        <f t="shared" si="7"/>
        <v xml:space="preserve"> </v>
      </c>
      <c r="D1209" s="79" t="str">
        <f t="shared" si="5"/>
        <v xml:space="preserve"> </v>
      </c>
      <c r="E1209" s="79" t="str">
        <f t="shared" si="6"/>
        <v xml:space="preserve"> </v>
      </c>
    </row>
    <row r="1210" spans="1:5" ht="12.5">
      <c r="A1210" s="81" t="str">
        <f t="shared" si="0"/>
        <v xml:space="preserve"> </v>
      </c>
      <c r="B1210" s="81" t="str">
        <f t="shared" si="1"/>
        <v xml:space="preserve"> </v>
      </c>
      <c r="C1210" s="79" t="str">
        <f t="shared" si="7"/>
        <v xml:space="preserve"> </v>
      </c>
      <c r="D1210" s="79" t="str">
        <f t="shared" si="5"/>
        <v xml:space="preserve"> </v>
      </c>
      <c r="E1210" s="79" t="str">
        <f t="shared" si="6"/>
        <v xml:space="preserve"> </v>
      </c>
    </row>
    <row r="1211" spans="1:5" ht="12.5">
      <c r="A1211" s="81" t="str">
        <f t="shared" si="0"/>
        <v xml:space="preserve"> </v>
      </c>
      <c r="B1211" s="81" t="str">
        <f t="shared" si="1"/>
        <v xml:space="preserve"> </v>
      </c>
      <c r="C1211" s="79" t="str">
        <f t="shared" si="7"/>
        <v xml:space="preserve"> </v>
      </c>
      <c r="D1211" s="79" t="str">
        <f t="shared" si="5"/>
        <v xml:space="preserve"> </v>
      </c>
      <c r="E1211" s="79" t="str">
        <f t="shared" si="6"/>
        <v xml:space="preserve"> </v>
      </c>
    </row>
    <row r="1212" spans="1:5" ht="12.5">
      <c r="A1212" s="81" t="str">
        <f t="shared" si="0"/>
        <v xml:space="preserve"> </v>
      </c>
      <c r="B1212" s="81" t="str">
        <f t="shared" si="1"/>
        <v xml:space="preserve"> </v>
      </c>
      <c r="C1212" s="79" t="str">
        <f t="shared" si="7"/>
        <v xml:space="preserve"> </v>
      </c>
      <c r="D1212" s="79" t="str">
        <f t="shared" si="5"/>
        <v xml:space="preserve"> </v>
      </c>
      <c r="E1212" s="79" t="str">
        <f t="shared" si="6"/>
        <v xml:space="preserve"> </v>
      </c>
    </row>
    <row r="1213" spans="1:5" ht="12.5">
      <c r="A1213" s="81" t="str">
        <f t="shared" si="0"/>
        <v xml:space="preserve"> </v>
      </c>
      <c r="B1213" s="81" t="str">
        <f t="shared" si="1"/>
        <v xml:space="preserve"> </v>
      </c>
      <c r="C1213" s="79" t="str">
        <f t="shared" si="7"/>
        <v xml:space="preserve"> </v>
      </c>
      <c r="D1213" s="79" t="str">
        <f t="shared" si="5"/>
        <v xml:space="preserve"> </v>
      </c>
      <c r="E1213" s="79" t="str">
        <f t="shared" si="6"/>
        <v xml:space="preserve"> </v>
      </c>
    </row>
    <row r="1214" spans="1:5" ht="12.5">
      <c r="A1214" s="81" t="str">
        <f t="shared" si="0"/>
        <v xml:space="preserve"> </v>
      </c>
      <c r="B1214" s="81" t="str">
        <f t="shared" si="1"/>
        <v xml:space="preserve"> </v>
      </c>
      <c r="C1214" s="79" t="str">
        <f t="shared" si="7"/>
        <v xml:space="preserve"> </v>
      </c>
      <c r="D1214" s="79" t="str">
        <f t="shared" si="5"/>
        <v xml:space="preserve"> </v>
      </c>
      <c r="E1214" s="79" t="str">
        <f t="shared" si="6"/>
        <v xml:space="preserve"> </v>
      </c>
    </row>
    <row r="1215" spans="1:5" ht="12.5">
      <c r="A1215" s="81" t="str">
        <f t="shared" si="0"/>
        <v xml:space="preserve"> </v>
      </c>
      <c r="B1215" s="81" t="str">
        <f t="shared" si="1"/>
        <v xml:space="preserve"> </v>
      </c>
      <c r="C1215" s="79" t="str">
        <f t="shared" si="7"/>
        <v xml:space="preserve"> </v>
      </c>
      <c r="D1215" s="79" t="str">
        <f t="shared" si="5"/>
        <v xml:space="preserve"> </v>
      </c>
      <c r="E1215" s="79" t="str">
        <f t="shared" si="6"/>
        <v xml:space="preserve"> </v>
      </c>
    </row>
    <row r="1216" spans="1:5" ht="12.5">
      <c r="A1216" s="81" t="str">
        <f t="shared" si="0"/>
        <v xml:space="preserve"> </v>
      </c>
      <c r="B1216" s="81" t="str">
        <f t="shared" si="1"/>
        <v xml:space="preserve"> </v>
      </c>
      <c r="C1216" s="79" t="str">
        <f t="shared" si="7"/>
        <v xml:space="preserve"> </v>
      </c>
      <c r="D1216" s="79" t="str">
        <f t="shared" si="5"/>
        <v xml:space="preserve"> </v>
      </c>
      <c r="E1216" s="79" t="str">
        <f t="shared" si="6"/>
        <v xml:space="preserve"> </v>
      </c>
    </row>
    <row r="1217" spans="1:5" ht="12.5">
      <c r="A1217" s="81" t="str">
        <f t="shared" si="0"/>
        <v xml:space="preserve"> </v>
      </c>
      <c r="B1217" s="81" t="str">
        <f t="shared" si="1"/>
        <v xml:space="preserve"> </v>
      </c>
      <c r="C1217" s="79" t="str">
        <f t="shared" si="7"/>
        <v xml:space="preserve"> </v>
      </c>
      <c r="D1217" s="79" t="str">
        <f t="shared" si="5"/>
        <v xml:space="preserve"> </v>
      </c>
      <c r="E1217" s="79" t="str">
        <f t="shared" si="6"/>
        <v xml:space="preserve"> </v>
      </c>
    </row>
    <row r="1218" spans="1:5" ht="12.5">
      <c r="A1218" s="81" t="str">
        <f t="shared" si="0"/>
        <v xml:space="preserve"> </v>
      </c>
      <c r="B1218" s="81" t="str">
        <f t="shared" si="1"/>
        <v xml:space="preserve"> </v>
      </c>
      <c r="C1218" s="79" t="str">
        <f t="shared" si="7"/>
        <v xml:space="preserve"> </v>
      </c>
      <c r="D1218" s="79" t="str">
        <f t="shared" si="5"/>
        <v xml:space="preserve"> </v>
      </c>
      <c r="E1218" s="79" t="str">
        <f t="shared" si="6"/>
        <v xml:space="preserve"> </v>
      </c>
    </row>
    <row r="1219" spans="1:5" ht="12.5">
      <c r="A1219" s="81" t="str">
        <f t="shared" si="0"/>
        <v xml:space="preserve"> </v>
      </c>
      <c r="B1219" s="81" t="str">
        <f t="shared" si="1"/>
        <v xml:space="preserve"> </v>
      </c>
      <c r="C1219" s="79" t="str">
        <f t="shared" si="7"/>
        <v xml:space="preserve"> </v>
      </c>
      <c r="D1219" s="79" t="str">
        <f t="shared" si="5"/>
        <v xml:space="preserve"> </v>
      </c>
      <c r="E1219" s="79" t="str">
        <f t="shared" si="6"/>
        <v xml:space="preserve"> </v>
      </c>
    </row>
    <row r="1220" spans="1:5" ht="12.5">
      <c r="A1220" s="81" t="str">
        <f t="shared" si="0"/>
        <v xml:space="preserve"> </v>
      </c>
      <c r="B1220" s="81" t="str">
        <f t="shared" si="1"/>
        <v xml:space="preserve"> </v>
      </c>
      <c r="C1220" s="79" t="str">
        <f t="shared" si="7"/>
        <v xml:space="preserve"> </v>
      </c>
      <c r="D1220" s="79" t="str">
        <f t="shared" si="5"/>
        <v xml:space="preserve"> </v>
      </c>
      <c r="E1220" s="79" t="str">
        <f t="shared" si="6"/>
        <v xml:space="preserve"> </v>
      </c>
    </row>
    <row r="1221" spans="1:5" ht="12.5">
      <c r="A1221" s="81" t="str">
        <f t="shared" si="0"/>
        <v xml:space="preserve"> </v>
      </c>
      <c r="B1221" s="81" t="str">
        <f t="shared" si="1"/>
        <v xml:space="preserve"> </v>
      </c>
      <c r="C1221" s="79" t="str">
        <f t="shared" si="7"/>
        <v xml:space="preserve"> </v>
      </c>
      <c r="D1221" s="79" t="str">
        <f t="shared" si="5"/>
        <v xml:space="preserve"> </v>
      </c>
      <c r="E1221" s="79" t="str">
        <f t="shared" si="6"/>
        <v xml:space="preserve"> </v>
      </c>
    </row>
    <row r="1222" spans="1:5" ht="12.5">
      <c r="A1222" s="81" t="str">
        <f t="shared" si="0"/>
        <v xml:space="preserve"> </v>
      </c>
      <c r="B1222" s="81" t="str">
        <f t="shared" si="1"/>
        <v xml:space="preserve"> </v>
      </c>
      <c r="C1222" s="79" t="str">
        <f t="shared" si="7"/>
        <v xml:space="preserve"> </v>
      </c>
      <c r="D1222" s="79" t="str">
        <f t="shared" si="5"/>
        <v xml:space="preserve"> </v>
      </c>
      <c r="E1222" s="79" t="str">
        <f t="shared" si="6"/>
        <v xml:space="preserve"> </v>
      </c>
    </row>
    <row r="1223" spans="1:5" ht="12.5">
      <c r="A1223" s="81" t="str">
        <f t="shared" si="0"/>
        <v xml:space="preserve"> </v>
      </c>
      <c r="B1223" s="81" t="str">
        <f t="shared" si="1"/>
        <v xml:space="preserve"> </v>
      </c>
      <c r="C1223" s="79" t="str">
        <f t="shared" si="7"/>
        <v xml:space="preserve"> </v>
      </c>
      <c r="D1223" s="79" t="str">
        <f t="shared" si="5"/>
        <v xml:space="preserve"> </v>
      </c>
      <c r="E1223" s="79" t="str">
        <f t="shared" si="6"/>
        <v xml:space="preserve"> </v>
      </c>
    </row>
    <row r="1224" spans="1:5" ht="12.5">
      <c r="A1224" s="81" t="str">
        <f t="shared" si="0"/>
        <v xml:space="preserve"> </v>
      </c>
      <c r="B1224" s="81" t="str">
        <f t="shared" si="1"/>
        <v xml:space="preserve"> </v>
      </c>
      <c r="C1224" s="79" t="str">
        <f t="shared" si="7"/>
        <v xml:space="preserve"> </v>
      </c>
      <c r="D1224" s="79" t="str">
        <f t="shared" si="5"/>
        <v xml:space="preserve"> </v>
      </c>
      <c r="E1224" s="79" t="str">
        <f t="shared" si="6"/>
        <v xml:space="preserve"> </v>
      </c>
    </row>
    <row r="1225" spans="1:5" ht="12.5">
      <c r="A1225" s="81" t="str">
        <f t="shared" si="0"/>
        <v xml:space="preserve"> </v>
      </c>
      <c r="B1225" s="81" t="str">
        <f t="shared" si="1"/>
        <v xml:space="preserve"> </v>
      </c>
      <c r="C1225" s="79" t="str">
        <f t="shared" si="7"/>
        <v xml:space="preserve"> </v>
      </c>
      <c r="D1225" s="79" t="str">
        <f t="shared" si="5"/>
        <v xml:space="preserve"> </v>
      </c>
      <c r="E1225" s="79" t="str">
        <f t="shared" si="6"/>
        <v xml:space="preserve"> </v>
      </c>
    </row>
    <row r="1226" spans="1:5" ht="12.5">
      <c r="A1226" s="81" t="str">
        <f t="shared" si="0"/>
        <v xml:space="preserve"> </v>
      </c>
      <c r="B1226" s="81" t="str">
        <f t="shared" si="1"/>
        <v xml:space="preserve"> </v>
      </c>
      <c r="C1226" s="79" t="str">
        <f t="shared" si="7"/>
        <v xml:space="preserve"> </v>
      </c>
      <c r="D1226" s="79" t="str">
        <f t="shared" si="5"/>
        <v xml:space="preserve"> </v>
      </c>
      <c r="E1226" s="79" t="str">
        <f t="shared" si="6"/>
        <v xml:space="preserve"> </v>
      </c>
    </row>
    <row r="1227" spans="1:5" ht="12.5">
      <c r="A1227" s="81" t="str">
        <f t="shared" si="0"/>
        <v xml:space="preserve"> </v>
      </c>
      <c r="B1227" s="81" t="str">
        <f t="shared" si="1"/>
        <v xml:space="preserve"> </v>
      </c>
      <c r="C1227" s="79" t="str">
        <f t="shared" si="7"/>
        <v xml:space="preserve"> </v>
      </c>
      <c r="D1227" s="79" t="str">
        <f t="shared" si="5"/>
        <v xml:space="preserve"> </v>
      </c>
      <c r="E1227" s="79" t="str">
        <f t="shared" si="6"/>
        <v xml:space="preserve"> </v>
      </c>
    </row>
    <row r="1228" spans="1:5" ht="12.5">
      <c r="A1228" s="81" t="str">
        <f t="shared" si="0"/>
        <v xml:space="preserve"> </v>
      </c>
      <c r="B1228" s="81" t="str">
        <f t="shared" si="1"/>
        <v xml:space="preserve"> </v>
      </c>
      <c r="C1228" s="79" t="str">
        <f t="shared" si="7"/>
        <v xml:space="preserve"> </v>
      </c>
      <c r="D1228" s="79" t="str">
        <f t="shared" si="5"/>
        <v xml:space="preserve"> </v>
      </c>
      <c r="E1228" s="79" t="str">
        <f t="shared" si="6"/>
        <v xml:space="preserve"> </v>
      </c>
    </row>
    <row r="1229" spans="1:5" ht="12.5">
      <c r="A1229" s="81" t="str">
        <f t="shared" si="0"/>
        <v xml:space="preserve"> </v>
      </c>
      <c r="B1229" s="81" t="str">
        <f t="shared" si="1"/>
        <v xml:space="preserve"> </v>
      </c>
      <c r="C1229" s="79" t="str">
        <f t="shared" si="7"/>
        <v xml:space="preserve"> </v>
      </c>
      <c r="D1229" s="79" t="str">
        <f t="shared" si="5"/>
        <v xml:space="preserve"> </v>
      </c>
      <c r="E1229" s="79" t="str">
        <f t="shared" si="6"/>
        <v xml:space="preserve"> </v>
      </c>
    </row>
    <row r="1230" spans="1:5" ht="12.5">
      <c r="A1230" s="81" t="str">
        <f t="shared" si="0"/>
        <v xml:space="preserve"> </v>
      </c>
      <c r="B1230" s="81" t="str">
        <f t="shared" si="1"/>
        <v xml:space="preserve"> </v>
      </c>
      <c r="C1230" s="79" t="str">
        <f t="shared" si="7"/>
        <v xml:space="preserve"> </v>
      </c>
      <c r="D1230" s="79" t="str">
        <f t="shared" si="5"/>
        <v xml:space="preserve"> </v>
      </c>
      <c r="E1230" s="79" t="str">
        <f t="shared" si="6"/>
        <v xml:space="preserve"> </v>
      </c>
    </row>
    <row r="1231" spans="1:5" ht="12.5">
      <c r="A1231" s="81" t="str">
        <f t="shared" si="0"/>
        <v xml:space="preserve"> </v>
      </c>
      <c r="B1231" s="81" t="str">
        <f t="shared" si="1"/>
        <v xml:space="preserve"> </v>
      </c>
      <c r="C1231" s="79" t="str">
        <f t="shared" si="7"/>
        <v xml:space="preserve"> </v>
      </c>
      <c r="D1231" s="79" t="str">
        <f t="shared" si="5"/>
        <v xml:space="preserve"> </v>
      </c>
      <c r="E1231" s="79" t="str">
        <f t="shared" si="6"/>
        <v xml:space="preserve"> </v>
      </c>
    </row>
    <row r="1232" spans="1:5" ht="12.5">
      <c r="A1232" s="81" t="str">
        <f t="shared" si="0"/>
        <v xml:space="preserve"> </v>
      </c>
      <c r="B1232" s="81" t="str">
        <f t="shared" si="1"/>
        <v xml:space="preserve"> </v>
      </c>
      <c r="C1232" s="79" t="str">
        <f t="shared" si="7"/>
        <v xml:space="preserve"> </v>
      </c>
      <c r="D1232" s="79" t="str">
        <f t="shared" si="5"/>
        <v xml:space="preserve"> </v>
      </c>
      <c r="E1232" s="79" t="str">
        <f t="shared" si="6"/>
        <v xml:space="preserve"> </v>
      </c>
    </row>
    <row r="1233" spans="1:5" ht="12.5">
      <c r="A1233" s="81" t="str">
        <f t="shared" si="0"/>
        <v xml:space="preserve"> </v>
      </c>
      <c r="B1233" s="81" t="str">
        <f t="shared" si="1"/>
        <v xml:space="preserve"> </v>
      </c>
      <c r="C1233" s="79" t="str">
        <f t="shared" si="7"/>
        <v xml:space="preserve"> </v>
      </c>
      <c r="D1233" s="79" t="str">
        <f t="shared" si="5"/>
        <v xml:space="preserve"> </v>
      </c>
      <c r="E1233" s="79" t="str">
        <f t="shared" si="6"/>
        <v xml:space="preserve"> </v>
      </c>
    </row>
    <row r="1234" spans="1:5" ht="12.5">
      <c r="A1234" s="81" t="str">
        <f t="shared" si="0"/>
        <v xml:space="preserve"> </v>
      </c>
      <c r="B1234" s="81" t="str">
        <f t="shared" si="1"/>
        <v xml:space="preserve"> </v>
      </c>
      <c r="C1234" s="79" t="str">
        <f t="shared" si="7"/>
        <v xml:space="preserve"> </v>
      </c>
      <c r="D1234" s="79" t="str">
        <f t="shared" si="5"/>
        <v xml:space="preserve"> </v>
      </c>
      <c r="E1234" s="79" t="str">
        <f t="shared" si="6"/>
        <v xml:space="preserve"> </v>
      </c>
    </row>
    <row r="1235" spans="1:5" ht="12.5">
      <c r="A1235" s="81" t="str">
        <f t="shared" si="0"/>
        <v xml:space="preserve"> </v>
      </c>
      <c r="B1235" s="81" t="str">
        <f t="shared" si="1"/>
        <v xml:space="preserve"> </v>
      </c>
      <c r="C1235" s="79" t="str">
        <f t="shared" si="7"/>
        <v xml:space="preserve"> </v>
      </c>
      <c r="D1235" s="79" t="str">
        <f t="shared" si="5"/>
        <v xml:space="preserve"> </v>
      </c>
      <c r="E1235" s="79" t="str">
        <f t="shared" si="6"/>
        <v xml:space="preserve"> </v>
      </c>
    </row>
    <row r="1236" spans="1:5" ht="12.5">
      <c r="A1236" s="81" t="str">
        <f t="shared" si="0"/>
        <v xml:space="preserve"> </v>
      </c>
      <c r="B1236" s="81" t="str">
        <f t="shared" si="1"/>
        <v xml:space="preserve"> </v>
      </c>
      <c r="C1236" s="79" t="str">
        <f t="shared" si="7"/>
        <v xml:space="preserve"> </v>
      </c>
      <c r="D1236" s="79" t="str">
        <f t="shared" si="5"/>
        <v xml:space="preserve"> </v>
      </c>
      <c r="E1236" s="79" t="str">
        <f t="shared" si="6"/>
        <v xml:space="preserve"> </v>
      </c>
    </row>
    <row r="1237" spans="1:5" ht="12.5">
      <c r="A1237" s="81" t="str">
        <f t="shared" si="0"/>
        <v xml:space="preserve"> </v>
      </c>
      <c r="B1237" s="81" t="str">
        <f t="shared" si="1"/>
        <v xml:space="preserve"> </v>
      </c>
      <c r="C1237" s="79" t="str">
        <f t="shared" si="7"/>
        <v xml:space="preserve"> </v>
      </c>
      <c r="D1237" s="79" t="str">
        <f t="shared" si="5"/>
        <v xml:space="preserve"> </v>
      </c>
      <c r="E1237" s="79" t="str">
        <f t="shared" si="6"/>
        <v xml:space="preserve"> </v>
      </c>
    </row>
    <row r="1238" spans="1:5" ht="12.5">
      <c r="A1238" s="81" t="str">
        <f t="shared" si="0"/>
        <v xml:space="preserve"> </v>
      </c>
      <c r="B1238" s="81" t="str">
        <f t="shared" si="1"/>
        <v xml:space="preserve"> </v>
      </c>
      <c r="C1238" s="79" t="str">
        <f t="shared" si="7"/>
        <v xml:space="preserve"> </v>
      </c>
      <c r="D1238" s="79" t="str">
        <f t="shared" si="5"/>
        <v xml:space="preserve"> </v>
      </c>
      <c r="E1238" s="79" t="str">
        <f t="shared" si="6"/>
        <v xml:space="preserve"> </v>
      </c>
    </row>
    <row r="1239" spans="1:5" ht="12.5">
      <c r="A1239" s="81" t="str">
        <f t="shared" si="0"/>
        <v xml:space="preserve"> </v>
      </c>
      <c r="B1239" s="81" t="str">
        <f t="shared" si="1"/>
        <v xml:space="preserve"> </v>
      </c>
      <c r="C1239" s="79" t="str">
        <f t="shared" si="7"/>
        <v xml:space="preserve"> </v>
      </c>
      <c r="D1239" s="79" t="str">
        <f t="shared" si="5"/>
        <v xml:space="preserve"> </v>
      </c>
      <c r="E1239" s="79" t="str">
        <f t="shared" si="6"/>
        <v xml:space="preserve"> </v>
      </c>
    </row>
    <row r="1240" spans="1:5" ht="12.5">
      <c r="A1240" s="81" t="str">
        <f t="shared" si="0"/>
        <v xml:space="preserve"> </v>
      </c>
      <c r="B1240" s="81" t="str">
        <f t="shared" si="1"/>
        <v xml:space="preserve"> </v>
      </c>
      <c r="C1240" s="79" t="str">
        <f t="shared" si="7"/>
        <v xml:space="preserve"> </v>
      </c>
      <c r="D1240" s="79" t="str">
        <f t="shared" si="5"/>
        <v xml:space="preserve"> </v>
      </c>
      <c r="E1240" s="79" t="str">
        <f t="shared" si="6"/>
        <v xml:space="preserve"> </v>
      </c>
    </row>
    <row r="1241" spans="1:5" ht="12.5">
      <c r="A1241" s="81" t="str">
        <f t="shared" si="0"/>
        <v xml:space="preserve"> </v>
      </c>
      <c r="B1241" s="81" t="str">
        <f t="shared" si="1"/>
        <v xml:space="preserve"> </v>
      </c>
      <c r="C1241" s="79" t="str">
        <f t="shared" si="7"/>
        <v xml:space="preserve"> </v>
      </c>
      <c r="D1241" s="79" t="str">
        <f t="shared" si="5"/>
        <v xml:space="preserve"> </v>
      </c>
      <c r="E1241" s="79" t="str">
        <f t="shared" si="6"/>
        <v xml:space="preserve"> </v>
      </c>
    </row>
    <row r="1242" spans="1:5" ht="12.5">
      <c r="A1242" s="81" t="str">
        <f t="shared" si="0"/>
        <v xml:space="preserve"> </v>
      </c>
      <c r="B1242" s="81" t="str">
        <f t="shared" si="1"/>
        <v xml:space="preserve"> </v>
      </c>
      <c r="C1242" s="79" t="str">
        <f t="shared" si="7"/>
        <v xml:space="preserve"> </v>
      </c>
      <c r="D1242" s="79" t="str">
        <f t="shared" si="5"/>
        <v xml:space="preserve"> </v>
      </c>
      <c r="E1242" s="79" t="str">
        <f t="shared" si="6"/>
        <v xml:space="preserve"> </v>
      </c>
    </row>
    <row r="1243" spans="1:5" ht="12.5">
      <c r="A1243" s="81" t="str">
        <f t="shared" si="0"/>
        <v xml:space="preserve"> </v>
      </c>
      <c r="B1243" s="81" t="str">
        <f t="shared" si="1"/>
        <v xml:space="preserve"> </v>
      </c>
      <c r="C1243" s="79" t="str">
        <f t="shared" si="7"/>
        <v xml:space="preserve"> </v>
      </c>
      <c r="D1243" s="79" t="str">
        <f t="shared" si="5"/>
        <v xml:space="preserve"> </v>
      </c>
      <c r="E1243" s="79" t="str">
        <f t="shared" si="6"/>
        <v xml:space="preserve"> </v>
      </c>
    </row>
    <row r="1244" spans="1:5" ht="12.5">
      <c r="A1244" s="81" t="str">
        <f t="shared" si="0"/>
        <v xml:space="preserve"> </v>
      </c>
      <c r="B1244" s="81" t="str">
        <f t="shared" si="1"/>
        <v xml:space="preserve"> </v>
      </c>
      <c r="C1244" s="79" t="str">
        <f t="shared" si="7"/>
        <v xml:space="preserve"> </v>
      </c>
      <c r="D1244" s="79" t="str">
        <f t="shared" si="5"/>
        <v xml:space="preserve"> </v>
      </c>
      <c r="E1244" s="79" t="str">
        <f t="shared" si="6"/>
        <v xml:space="preserve"> </v>
      </c>
    </row>
    <row r="1245" spans="1:5" ht="12.5">
      <c r="A1245" s="81" t="str">
        <f t="shared" si="0"/>
        <v xml:space="preserve"> </v>
      </c>
      <c r="B1245" s="81" t="str">
        <f t="shared" si="1"/>
        <v xml:space="preserve"> </v>
      </c>
      <c r="C1245" s="79" t="str">
        <f t="shared" si="7"/>
        <v xml:space="preserve"> </v>
      </c>
      <c r="D1245" s="79" t="str">
        <f t="shared" si="5"/>
        <v xml:space="preserve"> </v>
      </c>
      <c r="E1245" s="79" t="str">
        <f t="shared" si="6"/>
        <v xml:space="preserve"> </v>
      </c>
    </row>
    <row r="1246" spans="1:5" ht="12.5">
      <c r="A1246" s="81" t="str">
        <f t="shared" si="0"/>
        <v xml:space="preserve"> </v>
      </c>
      <c r="B1246" s="81" t="str">
        <f t="shared" si="1"/>
        <v xml:space="preserve"> </v>
      </c>
      <c r="C1246" s="79" t="str">
        <f t="shared" si="7"/>
        <v xml:space="preserve"> </v>
      </c>
      <c r="D1246" s="79" t="str">
        <f t="shared" si="5"/>
        <v xml:space="preserve"> </v>
      </c>
      <c r="E1246" s="79" t="str">
        <f t="shared" si="6"/>
        <v xml:space="preserve"> </v>
      </c>
    </row>
    <row r="1247" spans="1:5" ht="12.5">
      <c r="A1247" s="81" t="str">
        <f t="shared" si="0"/>
        <v xml:space="preserve"> </v>
      </c>
      <c r="B1247" s="81" t="str">
        <f t="shared" si="1"/>
        <v xml:space="preserve"> </v>
      </c>
      <c r="C1247" s="79" t="str">
        <f t="shared" si="7"/>
        <v xml:space="preserve"> </v>
      </c>
      <c r="D1247" s="79" t="str">
        <f t="shared" si="5"/>
        <v xml:space="preserve"> </v>
      </c>
      <c r="E1247" s="79" t="str">
        <f t="shared" si="6"/>
        <v xml:space="preserve"> </v>
      </c>
    </row>
    <row r="1248" spans="1:5" ht="12.5">
      <c r="A1248" s="81" t="str">
        <f t="shared" si="0"/>
        <v xml:space="preserve"> </v>
      </c>
      <c r="B1248" s="81" t="str">
        <f t="shared" si="1"/>
        <v xml:space="preserve"> </v>
      </c>
      <c r="C1248" s="79" t="str">
        <f t="shared" si="7"/>
        <v xml:space="preserve"> </v>
      </c>
      <c r="D1248" s="79" t="str">
        <f t="shared" si="5"/>
        <v xml:space="preserve"> </v>
      </c>
      <c r="E1248" s="79" t="str">
        <f t="shared" si="6"/>
        <v xml:space="preserve"> </v>
      </c>
    </row>
    <row r="1249" spans="1:5" ht="12.5">
      <c r="A1249" s="81" t="str">
        <f t="shared" si="0"/>
        <v xml:space="preserve"> </v>
      </c>
      <c r="B1249" s="81" t="str">
        <f t="shared" si="1"/>
        <v xml:space="preserve"> </v>
      </c>
      <c r="C1249" s="79" t="str">
        <f t="shared" si="7"/>
        <v xml:space="preserve"> </v>
      </c>
      <c r="D1249" s="79" t="str">
        <f t="shared" si="5"/>
        <v xml:space="preserve"> </v>
      </c>
      <c r="E1249" s="79" t="str">
        <f t="shared" si="6"/>
        <v xml:space="preserve"> </v>
      </c>
    </row>
    <row r="1250" spans="1:5" ht="12.5">
      <c r="A1250" s="81" t="str">
        <f t="shared" si="0"/>
        <v xml:space="preserve"> </v>
      </c>
      <c r="B1250" s="81" t="str">
        <f t="shared" si="1"/>
        <v xml:space="preserve"> </v>
      </c>
      <c r="C1250" s="79" t="str">
        <f t="shared" si="7"/>
        <v xml:space="preserve"> </v>
      </c>
      <c r="D1250" s="79" t="str">
        <f t="shared" si="5"/>
        <v xml:space="preserve"> </v>
      </c>
      <c r="E1250" s="79" t="str">
        <f t="shared" si="6"/>
        <v xml:space="preserve"> </v>
      </c>
    </row>
    <row r="1251" spans="1:5" ht="12.5">
      <c r="A1251" s="81" t="str">
        <f t="shared" si="0"/>
        <v xml:space="preserve"> </v>
      </c>
      <c r="B1251" s="81" t="str">
        <f t="shared" si="1"/>
        <v xml:space="preserve"> </v>
      </c>
      <c r="C1251" s="79" t="str">
        <f t="shared" si="7"/>
        <v xml:space="preserve"> </v>
      </c>
      <c r="D1251" s="79" t="str">
        <f t="shared" si="5"/>
        <v xml:space="preserve"> </v>
      </c>
      <c r="E1251" s="79" t="str">
        <f t="shared" si="6"/>
        <v xml:space="preserve"> </v>
      </c>
    </row>
    <row r="1252" spans="1:5" ht="12.5">
      <c r="A1252" s="81" t="str">
        <f t="shared" si="0"/>
        <v xml:space="preserve"> </v>
      </c>
      <c r="B1252" s="81" t="str">
        <f t="shared" si="1"/>
        <v xml:space="preserve"> </v>
      </c>
      <c r="C1252" s="79" t="str">
        <f t="shared" si="7"/>
        <v xml:space="preserve"> </v>
      </c>
      <c r="D1252" s="79" t="str">
        <f t="shared" si="5"/>
        <v xml:space="preserve"> </v>
      </c>
      <c r="E1252" s="79" t="str">
        <f t="shared" si="6"/>
        <v xml:space="preserve"> </v>
      </c>
    </row>
    <row r="1253" spans="1:5" ht="12.5">
      <c r="A1253" s="81" t="str">
        <f t="shared" si="0"/>
        <v xml:space="preserve"> </v>
      </c>
      <c r="B1253" s="81" t="str">
        <f t="shared" si="1"/>
        <v xml:space="preserve"> </v>
      </c>
      <c r="C1253" s="79" t="str">
        <f t="shared" si="7"/>
        <v xml:space="preserve"> </v>
      </c>
      <c r="D1253" s="79" t="str">
        <f t="shared" si="5"/>
        <v xml:space="preserve"> </v>
      </c>
      <c r="E1253" s="79" t="str">
        <f t="shared" si="6"/>
        <v xml:space="preserve"> </v>
      </c>
    </row>
    <row r="1254" spans="1:5" ht="12.5">
      <c r="A1254" s="81" t="str">
        <f t="shared" si="0"/>
        <v xml:space="preserve"> </v>
      </c>
      <c r="B1254" s="81" t="str">
        <f t="shared" si="1"/>
        <v xml:space="preserve"> </v>
      </c>
      <c r="C1254" s="79" t="str">
        <f t="shared" si="7"/>
        <v xml:space="preserve"> </v>
      </c>
      <c r="D1254" s="79" t="str">
        <f t="shared" si="5"/>
        <v xml:space="preserve"> </v>
      </c>
      <c r="E1254" s="79" t="str">
        <f t="shared" si="6"/>
        <v xml:space="preserve"> </v>
      </c>
    </row>
    <row r="1255" spans="1:5" ht="12.5">
      <c r="A1255" s="81" t="str">
        <f t="shared" si="0"/>
        <v xml:space="preserve"> </v>
      </c>
      <c r="B1255" s="81" t="str">
        <f t="shared" si="1"/>
        <v xml:space="preserve"> </v>
      </c>
      <c r="C1255" s="79" t="str">
        <f t="shared" si="7"/>
        <v xml:space="preserve"> </v>
      </c>
      <c r="D1255" s="79" t="str">
        <f t="shared" si="5"/>
        <v xml:space="preserve"> </v>
      </c>
      <c r="E1255" s="79" t="str">
        <f t="shared" si="6"/>
        <v xml:space="preserve"> </v>
      </c>
    </row>
    <row r="1256" spans="1:5" ht="12.5">
      <c r="A1256" s="81" t="str">
        <f t="shared" si="0"/>
        <v xml:space="preserve"> </v>
      </c>
      <c r="B1256" s="81" t="str">
        <f t="shared" si="1"/>
        <v xml:space="preserve"> </v>
      </c>
      <c r="C1256" s="79" t="str">
        <f t="shared" si="7"/>
        <v xml:space="preserve"> </v>
      </c>
      <c r="D1256" s="79" t="str">
        <f t="shared" si="5"/>
        <v xml:space="preserve"> </v>
      </c>
      <c r="E1256" s="79" t="str">
        <f t="shared" si="6"/>
        <v xml:space="preserve"> </v>
      </c>
    </row>
    <row r="1257" spans="1:5" ht="12.5">
      <c r="A1257" s="81" t="str">
        <f t="shared" si="0"/>
        <v xml:space="preserve"> </v>
      </c>
      <c r="B1257" s="81" t="str">
        <f t="shared" si="1"/>
        <v xml:space="preserve"> </v>
      </c>
      <c r="C1257" s="79" t="str">
        <f t="shared" si="7"/>
        <v xml:space="preserve"> </v>
      </c>
      <c r="D1257" s="79" t="str">
        <f t="shared" si="5"/>
        <v xml:space="preserve"> </v>
      </c>
      <c r="E1257" s="79" t="str">
        <f t="shared" si="6"/>
        <v xml:space="preserve"> </v>
      </c>
    </row>
    <row r="1258" spans="1:5" ht="12.5">
      <c r="A1258" s="81" t="str">
        <f t="shared" si="0"/>
        <v xml:space="preserve"> </v>
      </c>
      <c r="B1258" s="81" t="str">
        <f t="shared" si="1"/>
        <v xml:space="preserve"> </v>
      </c>
      <c r="C1258" s="79" t="str">
        <f t="shared" si="7"/>
        <v xml:space="preserve"> </v>
      </c>
      <c r="D1258" s="79" t="str">
        <f t="shared" si="5"/>
        <v xml:space="preserve"> </v>
      </c>
      <c r="E1258" s="79" t="str">
        <f t="shared" si="6"/>
        <v xml:space="preserve"> </v>
      </c>
    </row>
    <row r="1259" spans="1:5" ht="12.5">
      <c r="A1259" s="81" t="str">
        <f t="shared" si="0"/>
        <v xml:space="preserve"> </v>
      </c>
      <c r="B1259" s="81" t="str">
        <f t="shared" si="1"/>
        <v xml:space="preserve"> </v>
      </c>
      <c r="C1259" s="79" t="str">
        <f t="shared" si="7"/>
        <v xml:space="preserve"> </v>
      </c>
      <c r="D1259" s="79" t="str">
        <f t="shared" si="5"/>
        <v xml:space="preserve"> </v>
      </c>
      <c r="E1259" s="79" t="str">
        <f t="shared" si="6"/>
        <v xml:space="preserve"> </v>
      </c>
    </row>
    <row r="1260" spans="1:5" ht="12.5">
      <c r="A1260" s="81" t="str">
        <f t="shared" si="0"/>
        <v xml:space="preserve"> </v>
      </c>
      <c r="B1260" s="81" t="str">
        <f t="shared" si="1"/>
        <v xml:space="preserve"> </v>
      </c>
      <c r="C1260" s="79" t="str">
        <f t="shared" si="7"/>
        <v xml:space="preserve"> </v>
      </c>
      <c r="D1260" s="79" t="str">
        <f t="shared" si="5"/>
        <v xml:space="preserve"> </v>
      </c>
      <c r="E1260" s="79" t="str">
        <f t="shared" si="6"/>
        <v xml:space="preserve"> </v>
      </c>
    </row>
    <row r="1261" spans="1:5" ht="12.5">
      <c r="A1261" s="81" t="str">
        <f t="shared" si="0"/>
        <v xml:space="preserve"> </v>
      </c>
      <c r="B1261" s="81" t="str">
        <f t="shared" si="1"/>
        <v xml:space="preserve"> </v>
      </c>
      <c r="C1261" s="79" t="str">
        <f t="shared" si="7"/>
        <v xml:space="preserve"> </v>
      </c>
      <c r="D1261" s="79" t="str">
        <f t="shared" si="5"/>
        <v xml:space="preserve"> </v>
      </c>
      <c r="E1261" s="79" t="str">
        <f t="shared" si="6"/>
        <v xml:space="preserve"> </v>
      </c>
    </row>
    <row r="1262" spans="1:5" ht="12.5">
      <c r="A1262" s="81" t="str">
        <f t="shared" si="0"/>
        <v xml:space="preserve"> </v>
      </c>
      <c r="B1262" s="81" t="str">
        <f t="shared" si="1"/>
        <v xml:space="preserve"> </v>
      </c>
      <c r="C1262" s="79" t="str">
        <f t="shared" si="7"/>
        <v xml:space="preserve"> </v>
      </c>
      <c r="D1262" s="79" t="str">
        <f t="shared" si="5"/>
        <v xml:space="preserve"> </v>
      </c>
      <c r="E1262" s="79" t="str">
        <f t="shared" si="6"/>
        <v xml:space="preserve"> </v>
      </c>
    </row>
    <row r="1263" spans="1:5" ht="12.5">
      <c r="A1263" s="81" t="str">
        <f t="shared" si="0"/>
        <v xml:space="preserve"> </v>
      </c>
      <c r="B1263" s="81" t="str">
        <f t="shared" si="1"/>
        <v xml:space="preserve"> </v>
      </c>
      <c r="C1263" s="79" t="str">
        <f t="shared" si="7"/>
        <v xml:space="preserve"> </v>
      </c>
      <c r="D1263" s="79" t="str">
        <f t="shared" si="5"/>
        <v xml:space="preserve"> </v>
      </c>
      <c r="E1263" s="79" t="str">
        <f t="shared" si="6"/>
        <v xml:space="preserve"> </v>
      </c>
    </row>
    <row r="1264" spans="1:5" ht="12.5">
      <c r="A1264" s="81" t="str">
        <f t="shared" si="0"/>
        <v xml:space="preserve"> </v>
      </c>
      <c r="B1264" s="81" t="str">
        <f t="shared" si="1"/>
        <v xml:space="preserve"> </v>
      </c>
      <c r="C1264" s="79" t="str">
        <f t="shared" si="7"/>
        <v xml:space="preserve"> </v>
      </c>
      <c r="D1264" s="79" t="str">
        <f t="shared" si="5"/>
        <v xml:space="preserve"> </v>
      </c>
      <c r="E1264" s="79" t="str">
        <f t="shared" si="6"/>
        <v xml:space="preserve"> </v>
      </c>
    </row>
    <row r="1265" spans="1:5" ht="12.5">
      <c r="A1265" s="81" t="str">
        <f t="shared" si="0"/>
        <v xml:space="preserve"> </v>
      </c>
      <c r="B1265" s="81" t="str">
        <f t="shared" si="1"/>
        <v xml:space="preserve"> </v>
      </c>
      <c r="C1265" s="79" t="str">
        <f t="shared" si="7"/>
        <v xml:space="preserve"> </v>
      </c>
      <c r="D1265" s="79" t="str">
        <f t="shared" si="5"/>
        <v xml:space="preserve"> </v>
      </c>
      <c r="E1265" s="79" t="str">
        <f t="shared" si="6"/>
        <v xml:space="preserve"> </v>
      </c>
    </row>
    <row r="1266" spans="1:5" ht="12.5">
      <c r="A1266" s="81" t="str">
        <f t="shared" si="0"/>
        <v xml:space="preserve"> </v>
      </c>
      <c r="B1266" s="81" t="str">
        <f t="shared" si="1"/>
        <v xml:space="preserve"> </v>
      </c>
      <c r="C1266" s="79" t="str">
        <f t="shared" si="7"/>
        <v xml:space="preserve"> </v>
      </c>
      <c r="D1266" s="79" t="str">
        <f t="shared" si="5"/>
        <v xml:space="preserve"> </v>
      </c>
      <c r="E1266" s="79" t="str">
        <f t="shared" si="6"/>
        <v xml:space="preserve"> </v>
      </c>
    </row>
    <row r="1267" spans="1:5" ht="12.5">
      <c r="A1267" s="81" t="str">
        <f t="shared" si="0"/>
        <v xml:space="preserve"> </v>
      </c>
      <c r="B1267" s="81" t="str">
        <f t="shared" si="1"/>
        <v xml:space="preserve"> </v>
      </c>
      <c r="C1267" s="79" t="str">
        <f t="shared" si="7"/>
        <v xml:space="preserve"> </v>
      </c>
      <c r="D1267" s="79" t="str">
        <f t="shared" si="5"/>
        <v xml:space="preserve"> </v>
      </c>
      <c r="E1267" s="79" t="str">
        <f t="shared" si="6"/>
        <v xml:space="preserve"> </v>
      </c>
    </row>
    <row r="1268" spans="1:5" ht="12.5">
      <c r="A1268" s="81" t="str">
        <f t="shared" si="0"/>
        <v xml:space="preserve"> </v>
      </c>
      <c r="B1268" s="81" t="str">
        <f t="shared" si="1"/>
        <v xml:space="preserve"> </v>
      </c>
      <c r="C1268" s="79" t="str">
        <f t="shared" si="7"/>
        <v xml:space="preserve"> </v>
      </c>
      <c r="D1268" s="79" t="str">
        <f t="shared" si="5"/>
        <v xml:space="preserve"> </v>
      </c>
      <c r="E1268" s="79" t="str">
        <f t="shared" si="6"/>
        <v xml:space="preserve"> </v>
      </c>
    </row>
    <row r="1269" spans="1:5" ht="12.5">
      <c r="A1269" s="81" t="str">
        <f t="shared" si="0"/>
        <v xml:space="preserve"> </v>
      </c>
      <c r="B1269" s="81" t="str">
        <f t="shared" si="1"/>
        <v xml:space="preserve"> </v>
      </c>
      <c r="C1269" s="79" t="str">
        <f t="shared" si="7"/>
        <v xml:space="preserve"> </v>
      </c>
      <c r="D1269" s="79" t="str">
        <f t="shared" si="5"/>
        <v xml:space="preserve"> </v>
      </c>
      <c r="E1269" s="79" t="str">
        <f t="shared" si="6"/>
        <v xml:space="preserve"> </v>
      </c>
    </row>
    <row r="1270" spans="1:5" ht="12.5">
      <c r="A1270" s="81" t="str">
        <f t="shared" si="0"/>
        <v xml:space="preserve"> </v>
      </c>
      <c r="B1270" s="81" t="str">
        <f t="shared" si="1"/>
        <v xml:space="preserve"> </v>
      </c>
      <c r="C1270" s="79" t="str">
        <f t="shared" si="7"/>
        <v xml:space="preserve"> </v>
      </c>
      <c r="D1270" s="79" t="str">
        <f t="shared" si="5"/>
        <v xml:space="preserve"> </v>
      </c>
      <c r="E1270" s="79" t="str">
        <f t="shared" si="6"/>
        <v xml:space="preserve"> </v>
      </c>
    </row>
    <row r="1271" spans="1:5" ht="12.5">
      <c r="A1271" s="81" t="str">
        <f t="shared" si="0"/>
        <v xml:space="preserve"> </v>
      </c>
      <c r="B1271" s="81" t="str">
        <f t="shared" si="1"/>
        <v xml:space="preserve"> </v>
      </c>
      <c r="C1271" s="79" t="str">
        <f t="shared" si="7"/>
        <v xml:space="preserve"> </v>
      </c>
      <c r="D1271" s="79" t="str">
        <f t="shared" si="5"/>
        <v xml:space="preserve"> </v>
      </c>
      <c r="E1271" s="79" t="str">
        <f t="shared" si="6"/>
        <v xml:space="preserve"> </v>
      </c>
    </row>
    <row r="1272" spans="1:5" ht="12.5">
      <c r="A1272" s="81" t="str">
        <f t="shared" si="0"/>
        <v xml:space="preserve"> </v>
      </c>
      <c r="B1272" s="81" t="str">
        <f t="shared" si="1"/>
        <v xml:space="preserve"> </v>
      </c>
      <c r="C1272" s="79" t="str">
        <f t="shared" si="7"/>
        <v xml:space="preserve"> </v>
      </c>
      <c r="D1272" s="79" t="str">
        <f t="shared" si="5"/>
        <v xml:space="preserve"> </v>
      </c>
      <c r="E1272" s="79" t="str">
        <f t="shared" si="6"/>
        <v xml:space="preserve"> </v>
      </c>
    </row>
    <row r="1273" spans="1:5" ht="12.5">
      <c r="A1273" s="81" t="str">
        <f t="shared" si="0"/>
        <v xml:space="preserve"> </v>
      </c>
      <c r="B1273" s="81" t="str">
        <f t="shared" si="1"/>
        <v xml:space="preserve"> </v>
      </c>
      <c r="C1273" s="79" t="str">
        <f t="shared" si="7"/>
        <v xml:space="preserve"> </v>
      </c>
      <c r="D1273" s="79" t="str">
        <f t="shared" si="5"/>
        <v xml:space="preserve"> </v>
      </c>
      <c r="E1273" s="79" t="str">
        <f t="shared" si="6"/>
        <v xml:space="preserve"> </v>
      </c>
    </row>
    <row r="1274" spans="1:5" ht="12.5">
      <c r="A1274" s="81" t="str">
        <f t="shared" si="0"/>
        <v xml:space="preserve"> </v>
      </c>
      <c r="B1274" s="81" t="str">
        <f t="shared" si="1"/>
        <v xml:space="preserve"> </v>
      </c>
      <c r="C1274" s="79" t="str">
        <f t="shared" si="7"/>
        <v xml:space="preserve"> </v>
      </c>
      <c r="D1274" s="79" t="str">
        <f t="shared" si="5"/>
        <v xml:space="preserve"> </v>
      </c>
      <c r="E1274" s="79" t="str">
        <f t="shared" si="6"/>
        <v xml:space="preserve"> </v>
      </c>
    </row>
    <row r="1275" spans="1:5" ht="12.5">
      <c r="A1275" s="81" t="str">
        <f t="shared" si="0"/>
        <v xml:space="preserve"> </v>
      </c>
      <c r="B1275" s="81" t="str">
        <f t="shared" si="1"/>
        <v xml:space="preserve"> </v>
      </c>
      <c r="C1275" s="79" t="str">
        <f t="shared" si="7"/>
        <v xml:space="preserve"> </v>
      </c>
      <c r="D1275" s="79" t="str">
        <f t="shared" si="5"/>
        <v xml:space="preserve"> </v>
      </c>
      <c r="E1275" s="79" t="str">
        <f t="shared" si="6"/>
        <v xml:space="preserve"> </v>
      </c>
    </row>
    <row r="1276" spans="1:5" ht="12.5">
      <c r="A1276" s="81" t="str">
        <f t="shared" si="0"/>
        <v xml:space="preserve"> </v>
      </c>
      <c r="B1276" s="81" t="str">
        <f t="shared" si="1"/>
        <v xml:space="preserve"> </v>
      </c>
      <c r="C1276" s="79" t="str">
        <f t="shared" si="7"/>
        <v xml:space="preserve"> </v>
      </c>
      <c r="D1276" s="79" t="str">
        <f t="shared" si="5"/>
        <v xml:space="preserve"> </v>
      </c>
      <c r="E1276" s="79" t="str">
        <f t="shared" si="6"/>
        <v xml:space="preserve"> </v>
      </c>
    </row>
    <row r="1277" spans="1:5" ht="12.5">
      <c r="A1277" s="81" t="str">
        <f t="shared" si="0"/>
        <v xml:space="preserve"> </v>
      </c>
      <c r="B1277" s="81" t="str">
        <f t="shared" si="1"/>
        <v xml:space="preserve"> </v>
      </c>
      <c r="C1277" s="79" t="str">
        <f t="shared" si="7"/>
        <v xml:space="preserve"> </v>
      </c>
      <c r="D1277" s="79" t="str">
        <f t="shared" si="5"/>
        <v xml:space="preserve"> </v>
      </c>
      <c r="E1277" s="79" t="str">
        <f t="shared" si="6"/>
        <v xml:space="preserve"> </v>
      </c>
    </row>
    <row r="1278" spans="1:5" ht="12.5">
      <c r="A1278" s="81" t="str">
        <f t="shared" si="0"/>
        <v xml:space="preserve"> </v>
      </c>
      <c r="B1278" s="81" t="str">
        <f t="shared" si="1"/>
        <v xml:space="preserve"> </v>
      </c>
      <c r="C1278" s="79" t="str">
        <f t="shared" si="7"/>
        <v xml:space="preserve"> </v>
      </c>
      <c r="D1278" s="79" t="str">
        <f t="shared" si="5"/>
        <v xml:space="preserve"> </v>
      </c>
      <c r="E1278" s="79" t="str">
        <f t="shared" si="6"/>
        <v xml:space="preserve"> </v>
      </c>
    </row>
    <row r="1279" spans="1:5" ht="12.5">
      <c r="A1279" s="81" t="str">
        <f t="shared" si="0"/>
        <v xml:space="preserve"> </v>
      </c>
      <c r="B1279" s="81" t="str">
        <f t="shared" si="1"/>
        <v xml:space="preserve"> </v>
      </c>
      <c r="C1279" s="79" t="str">
        <f t="shared" si="7"/>
        <v xml:space="preserve"> </v>
      </c>
      <c r="D1279" s="79" t="str">
        <f t="shared" si="5"/>
        <v xml:space="preserve"> </v>
      </c>
      <c r="E1279" s="79" t="str">
        <f t="shared" si="6"/>
        <v xml:space="preserve"> </v>
      </c>
    </row>
    <row r="1280" spans="1:5" ht="12.5">
      <c r="A1280" s="81" t="str">
        <f t="shared" si="0"/>
        <v xml:space="preserve"> </v>
      </c>
      <c r="B1280" s="81" t="str">
        <f t="shared" si="1"/>
        <v xml:space="preserve"> </v>
      </c>
      <c r="C1280" s="79" t="str">
        <f t="shared" si="7"/>
        <v xml:space="preserve"> </v>
      </c>
      <c r="D1280" s="79" t="str">
        <f t="shared" si="5"/>
        <v xml:space="preserve"> </v>
      </c>
      <c r="E1280" s="79" t="str">
        <f t="shared" si="6"/>
        <v xml:space="preserve"> </v>
      </c>
    </row>
    <row r="1281" spans="1:5" ht="12.5">
      <c r="A1281" s="81" t="str">
        <f t="shared" si="0"/>
        <v xml:space="preserve"> </v>
      </c>
      <c r="B1281" s="81" t="str">
        <f t="shared" si="1"/>
        <v xml:space="preserve"> </v>
      </c>
      <c r="C1281" s="79" t="str">
        <f t="shared" si="7"/>
        <v xml:space="preserve"> </v>
      </c>
      <c r="D1281" s="79" t="str">
        <f t="shared" si="5"/>
        <v xml:space="preserve"> </v>
      </c>
      <c r="E1281" s="79" t="str">
        <f t="shared" si="6"/>
        <v xml:space="preserve"> </v>
      </c>
    </row>
    <row r="1282" spans="1:5" ht="12.5">
      <c r="A1282" s="81" t="str">
        <f t="shared" si="0"/>
        <v xml:space="preserve"> </v>
      </c>
      <c r="B1282" s="81" t="str">
        <f t="shared" si="1"/>
        <v xml:space="preserve"> </v>
      </c>
      <c r="C1282" s="79" t="str">
        <f t="shared" si="7"/>
        <v xml:space="preserve"> </v>
      </c>
      <c r="D1282" s="79" t="str">
        <f t="shared" si="5"/>
        <v xml:space="preserve"> </v>
      </c>
      <c r="E1282" s="79" t="str">
        <f t="shared" si="6"/>
        <v xml:space="preserve"> </v>
      </c>
    </row>
    <row r="1283" spans="1:5" ht="12.5">
      <c r="A1283" s="81" t="str">
        <f t="shared" si="0"/>
        <v xml:space="preserve"> </v>
      </c>
      <c r="B1283" s="81" t="str">
        <f t="shared" si="1"/>
        <v xml:space="preserve"> </v>
      </c>
      <c r="C1283" s="79" t="str">
        <f t="shared" si="7"/>
        <v xml:space="preserve"> </v>
      </c>
      <c r="D1283" s="79" t="str">
        <f t="shared" si="5"/>
        <v xml:space="preserve"> </v>
      </c>
      <c r="E1283" s="79" t="str">
        <f t="shared" si="6"/>
        <v xml:space="preserve"> </v>
      </c>
    </row>
    <row r="1284" spans="1:5" ht="12.5">
      <c r="A1284" s="81" t="str">
        <f t="shared" si="0"/>
        <v xml:space="preserve"> </v>
      </c>
      <c r="B1284" s="81" t="str">
        <f t="shared" si="1"/>
        <v xml:space="preserve"> </v>
      </c>
      <c r="C1284" s="79" t="str">
        <f t="shared" si="7"/>
        <v xml:space="preserve"> </v>
      </c>
      <c r="D1284" s="79" t="str">
        <f t="shared" si="5"/>
        <v xml:space="preserve"> </v>
      </c>
      <c r="E1284" s="79" t="str">
        <f t="shared" si="6"/>
        <v xml:space="preserve"> </v>
      </c>
    </row>
    <row r="1285" spans="1:5" ht="12.5">
      <c r="A1285" s="81" t="str">
        <f t="shared" si="0"/>
        <v xml:space="preserve"> </v>
      </c>
      <c r="B1285" s="81" t="str">
        <f t="shared" si="1"/>
        <v xml:space="preserve"> </v>
      </c>
      <c r="C1285" s="79" t="str">
        <f t="shared" si="7"/>
        <v xml:space="preserve"> </v>
      </c>
      <c r="D1285" s="79" t="str">
        <f t="shared" si="5"/>
        <v xml:space="preserve"> </v>
      </c>
      <c r="E1285" s="79" t="str">
        <f t="shared" si="6"/>
        <v xml:space="preserve"> </v>
      </c>
    </row>
    <row r="1286" spans="1:5" ht="12.5">
      <c r="A1286" s="81" t="str">
        <f t="shared" si="0"/>
        <v xml:space="preserve"> </v>
      </c>
      <c r="B1286" s="81" t="str">
        <f t="shared" si="1"/>
        <v xml:space="preserve"> </v>
      </c>
      <c r="C1286" s="79" t="str">
        <f t="shared" si="7"/>
        <v xml:space="preserve"> </v>
      </c>
      <c r="D1286" s="79" t="str">
        <f t="shared" si="5"/>
        <v xml:space="preserve"> </v>
      </c>
      <c r="E1286" s="79" t="str">
        <f t="shared" si="6"/>
        <v xml:space="preserve"> </v>
      </c>
    </row>
    <row r="1287" spans="1:5" ht="12.5">
      <c r="A1287" s="81" t="str">
        <f t="shared" si="0"/>
        <v xml:space="preserve"> </v>
      </c>
      <c r="B1287" s="81" t="str">
        <f t="shared" si="1"/>
        <v xml:space="preserve"> </v>
      </c>
      <c r="C1287" s="79" t="str">
        <f t="shared" si="7"/>
        <v xml:space="preserve"> </v>
      </c>
      <c r="D1287" s="79" t="str">
        <f t="shared" si="5"/>
        <v xml:space="preserve"> </v>
      </c>
      <c r="E1287" s="79" t="str">
        <f t="shared" si="6"/>
        <v xml:space="preserve"> </v>
      </c>
    </row>
    <row r="1288" spans="1:5" ht="12.5">
      <c r="A1288" s="81" t="str">
        <f t="shared" si="0"/>
        <v xml:space="preserve"> </v>
      </c>
      <c r="B1288" s="81" t="str">
        <f t="shared" si="1"/>
        <v xml:space="preserve"> </v>
      </c>
      <c r="C1288" s="79" t="str">
        <f t="shared" si="7"/>
        <v xml:space="preserve"> </v>
      </c>
      <c r="D1288" s="79" t="str">
        <f t="shared" si="5"/>
        <v xml:space="preserve"> </v>
      </c>
      <c r="E1288" s="79" t="str">
        <f t="shared" si="6"/>
        <v xml:space="preserve"> </v>
      </c>
    </row>
    <row r="1289" spans="1:5" ht="12.5">
      <c r="A1289" s="81" t="str">
        <f t="shared" si="0"/>
        <v xml:space="preserve"> </v>
      </c>
      <c r="B1289" s="81" t="str">
        <f t="shared" si="1"/>
        <v xml:space="preserve"> </v>
      </c>
      <c r="C1289" s="79" t="str">
        <f t="shared" si="7"/>
        <v xml:space="preserve"> </v>
      </c>
      <c r="D1289" s="79" t="str">
        <f t="shared" si="5"/>
        <v xml:space="preserve"> </v>
      </c>
      <c r="E1289" s="79" t="str">
        <f t="shared" si="6"/>
        <v xml:space="preserve"> </v>
      </c>
    </row>
    <row r="1290" spans="1:5" ht="12.5">
      <c r="A1290" s="81" t="str">
        <f t="shared" si="0"/>
        <v xml:space="preserve"> </v>
      </c>
      <c r="B1290" s="81" t="str">
        <f t="shared" si="1"/>
        <v xml:space="preserve"> </v>
      </c>
      <c r="C1290" s="79" t="str">
        <f t="shared" si="7"/>
        <v xml:space="preserve"> </v>
      </c>
      <c r="D1290" s="79" t="str">
        <f t="shared" si="5"/>
        <v xml:space="preserve"> </v>
      </c>
      <c r="E1290" s="79" t="str">
        <f t="shared" si="6"/>
        <v xml:space="preserve"> </v>
      </c>
    </row>
    <row r="1291" spans="1:5" ht="12.5">
      <c r="A1291" s="81" t="str">
        <f t="shared" si="0"/>
        <v xml:space="preserve"> </v>
      </c>
      <c r="B1291" s="81" t="str">
        <f t="shared" si="1"/>
        <v xml:space="preserve"> </v>
      </c>
      <c r="C1291" s="79" t="str">
        <f t="shared" si="7"/>
        <v xml:space="preserve"> </v>
      </c>
      <c r="D1291" s="79" t="str">
        <f t="shared" si="5"/>
        <v xml:space="preserve"> </v>
      </c>
      <c r="E1291" s="79" t="str">
        <f t="shared" si="6"/>
        <v xml:space="preserve"> </v>
      </c>
    </row>
    <row r="1292" spans="1:5" ht="12.5">
      <c r="A1292" s="81" t="str">
        <f t="shared" si="0"/>
        <v xml:space="preserve"> </v>
      </c>
      <c r="B1292" s="81" t="str">
        <f t="shared" si="1"/>
        <v xml:space="preserve"> </v>
      </c>
      <c r="C1292" s="79" t="str">
        <f t="shared" si="7"/>
        <v xml:space="preserve"> </v>
      </c>
      <c r="D1292" s="79" t="str">
        <f t="shared" si="5"/>
        <v xml:space="preserve"> </v>
      </c>
      <c r="E1292" s="79" t="str">
        <f t="shared" si="6"/>
        <v xml:space="preserve"> </v>
      </c>
    </row>
    <row r="1293" spans="1:5" ht="12.5">
      <c r="A1293" s="81" t="str">
        <f t="shared" si="0"/>
        <v xml:space="preserve"> </v>
      </c>
      <c r="B1293" s="81" t="str">
        <f t="shared" si="1"/>
        <v xml:space="preserve"> </v>
      </c>
      <c r="C1293" s="79" t="str">
        <f t="shared" si="7"/>
        <v xml:space="preserve"> </v>
      </c>
      <c r="D1293" s="79" t="str">
        <f t="shared" si="5"/>
        <v xml:space="preserve"> </v>
      </c>
      <c r="E1293" s="79" t="str">
        <f t="shared" si="6"/>
        <v xml:space="preserve"> </v>
      </c>
    </row>
    <row r="1294" spans="1:5" ht="12.5">
      <c r="A1294" s="81" t="str">
        <f t="shared" si="0"/>
        <v xml:space="preserve"> </v>
      </c>
      <c r="B1294" s="81" t="str">
        <f t="shared" si="1"/>
        <v xml:space="preserve"> </v>
      </c>
      <c r="C1294" s="79" t="str">
        <f t="shared" si="7"/>
        <v xml:space="preserve"> </v>
      </c>
      <c r="D1294" s="79" t="str">
        <f t="shared" si="5"/>
        <v xml:space="preserve"> </v>
      </c>
      <c r="E1294" s="79" t="str">
        <f t="shared" si="6"/>
        <v xml:space="preserve"> </v>
      </c>
    </row>
    <row r="1295" spans="1:5" ht="12.5">
      <c r="A1295" s="81" t="str">
        <f t="shared" si="0"/>
        <v xml:space="preserve"> </v>
      </c>
      <c r="B1295" s="81" t="str">
        <f t="shared" si="1"/>
        <v xml:space="preserve"> </v>
      </c>
      <c r="C1295" s="79" t="str">
        <f t="shared" si="7"/>
        <v xml:space="preserve"> </v>
      </c>
      <c r="D1295" s="79" t="str">
        <f t="shared" si="5"/>
        <v xml:space="preserve"> </v>
      </c>
      <c r="E1295" s="79" t="str">
        <f t="shared" si="6"/>
        <v xml:space="preserve"> </v>
      </c>
    </row>
    <row r="1296" spans="1:5" ht="12.5">
      <c r="A1296" s="81" t="str">
        <f t="shared" si="0"/>
        <v xml:space="preserve"> </v>
      </c>
      <c r="B1296" s="81" t="str">
        <f t="shared" si="1"/>
        <v xml:space="preserve"> </v>
      </c>
      <c r="C1296" s="79" t="str">
        <f t="shared" si="7"/>
        <v xml:space="preserve"> </v>
      </c>
      <c r="D1296" s="79" t="str">
        <f t="shared" si="5"/>
        <v xml:space="preserve"> </v>
      </c>
      <c r="E1296" s="79" t="str">
        <f t="shared" si="6"/>
        <v xml:space="preserve"> </v>
      </c>
    </row>
    <row r="1297" spans="1:5" ht="12.5">
      <c r="A1297" s="81" t="str">
        <f t="shared" si="0"/>
        <v xml:space="preserve"> </v>
      </c>
      <c r="B1297" s="81" t="str">
        <f t="shared" si="1"/>
        <v xml:space="preserve"> </v>
      </c>
      <c r="C1297" s="79" t="str">
        <f t="shared" si="7"/>
        <v xml:space="preserve"> </v>
      </c>
      <c r="D1297" s="79" t="str">
        <f t="shared" si="5"/>
        <v xml:space="preserve"> </v>
      </c>
      <c r="E1297" s="79" t="str">
        <f t="shared" si="6"/>
        <v xml:space="preserve"> </v>
      </c>
    </row>
    <row r="1298" spans="1:5" ht="12.5">
      <c r="A1298" s="81" t="str">
        <f t="shared" si="0"/>
        <v xml:space="preserve"> </v>
      </c>
      <c r="B1298" s="81" t="str">
        <f t="shared" si="1"/>
        <v xml:space="preserve"> </v>
      </c>
      <c r="C1298" s="79" t="str">
        <f t="shared" si="7"/>
        <v xml:space="preserve"> </v>
      </c>
      <c r="D1298" s="79" t="str">
        <f t="shared" si="5"/>
        <v xml:space="preserve"> </v>
      </c>
      <c r="E1298" s="79" t="str">
        <f t="shared" si="6"/>
        <v xml:space="preserve"> </v>
      </c>
    </row>
    <row r="1299" spans="1:5" ht="12.5">
      <c r="A1299" s="81" t="str">
        <f t="shared" si="0"/>
        <v xml:space="preserve"> </v>
      </c>
      <c r="B1299" s="81" t="str">
        <f t="shared" si="1"/>
        <v xml:space="preserve"> </v>
      </c>
      <c r="C1299" s="79" t="str">
        <f t="shared" si="7"/>
        <v xml:space="preserve"> </v>
      </c>
      <c r="D1299" s="79" t="str">
        <f t="shared" si="5"/>
        <v xml:space="preserve"> </v>
      </c>
      <c r="E1299" s="79" t="str">
        <f t="shared" si="6"/>
        <v xml:space="preserve"> </v>
      </c>
    </row>
    <row r="1300" spans="1:5" ht="12.5">
      <c r="A1300" s="81" t="str">
        <f t="shared" si="0"/>
        <v xml:space="preserve"> </v>
      </c>
      <c r="B1300" s="81" t="str">
        <f t="shared" si="1"/>
        <v xml:space="preserve"> </v>
      </c>
      <c r="C1300" s="79" t="str">
        <f t="shared" si="7"/>
        <v xml:space="preserve"> </v>
      </c>
      <c r="D1300" s="79" t="str">
        <f t="shared" si="5"/>
        <v xml:space="preserve"> </v>
      </c>
      <c r="E1300" s="79" t="str">
        <f t="shared" si="6"/>
        <v xml:space="preserve"> </v>
      </c>
    </row>
    <row r="1301" spans="1:5" ht="12.5">
      <c r="A1301" s="81" t="str">
        <f t="shared" si="0"/>
        <v xml:space="preserve"> </v>
      </c>
      <c r="B1301" s="81" t="str">
        <f t="shared" si="1"/>
        <v xml:space="preserve"> </v>
      </c>
      <c r="C1301" s="79" t="str">
        <f t="shared" si="7"/>
        <v xml:space="preserve"> </v>
      </c>
      <c r="D1301" s="79" t="str">
        <f t="shared" si="5"/>
        <v xml:space="preserve"> </v>
      </c>
      <c r="E1301" s="79" t="str">
        <f t="shared" si="6"/>
        <v xml:space="preserve"> </v>
      </c>
    </row>
    <row r="1302" spans="1:5" ht="12.5">
      <c r="A1302" s="81" t="str">
        <f t="shared" si="0"/>
        <v xml:space="preserve"> </v>
      </c>
      <c r="B1302" s="81" t="str">
        <f t="shared" si="1"/>
        <v xml:space="preserve"> </v>
      </c>
      <c r="C1302" s="79" t="str">
        <f t="shared" si="7"/>
        <v xml:space="preserve"> </v>
      </c>
      <c r="D1302" s="79" t="str">
        <f t="shared" si="5"/>
        <v xml:space="preserve"> </v>
      </c>
      <c r="E1302" s="79" t="str">
        <f t="shared" si="6"/>
        <v xml:space="preserve"> </v>
      </c>
    </row>
    <row r="1303" spans="1:5" ht="12.5">
      <c r="A1303" s="81" t="str">
        <f t="shared" si="0"/>
        <v xml:space="preserve"> </v>
      </c>
      <c r="B1303" s="81" t="str">
        <f t="shared" si="1"/>
        <v xml:space="preserve"> </v>
      </c>
      <c r="C1303" s="79" t="str">
        <f t="shared" si="7"/>
        <v xml:space="preserve"> </v>
      </c>
      <c r="D1303" s="79" t="str">
        <f t="shared" si="5"/>
        <v xml:space="preserve"> </v>
      </c>
      <c r="E1303" s="79" t="str">
        <f t="shared" si="6"/>
        <v xml:space="preserve"> </v>
      </c>
    </row>
    <row r="1304" spans="1:5" ht="12.5">
      <c r="A1304" s="81" t="str">
        <f t="shared" si="0"/>
        <v xml:space="preserve"> </v>
      </c>
      <c r="B1304" s="81" t="str">
        <f t="shared" si="1"/>
        <v xml:space="preserve"> </v>
      </c>
      <c r="C1304" s="79" t="str">
        <f t="shared" si="7"/>
        <v xml:space="preserve"> </v>
      </c>
      <c r="D1304" s="79" t="str">
        <f t="shared" si="5"/>
        <v xml:space="preserve"> </v>
      </c>
      <c r="E1304" s="79" t="str">
        <f t="shared" si="6"/>
        <v xml:space="preserve"> </v>
      </c>
    </row>
    <row r="1305" spans="1:5" ht="12.5">
      <c r="A1305" s="81" t="str">
        <f t="shared" si="0"/>
        <v xml:space="preserve"> </v>
      </c>
      <c r="B1305" s="81" t="str">
        <f t="shared" si="1"/>
        <v xml:space="preserve"> </v>
      </c>
      <c r="C1305" s="79" t="str">
        <f t="shared" si="7"/>
        <v xml:space="preserve"> </v>
      </c>
      <c r="D1305" s="79" t="str">
        <f t="shared" si="5"/>
        <v xml:space="preserve"> </v>
      </c>
      <c r="E1305" s="79" t="str">
        <f t="shared" si="6"/>
        <v xml:space="preserve"> </v>
      </c>
    </row>
    <row r="1306" spans="1:5" ht="12.5">
      <c r="A1306" s="81" t="str">
        <f t="shared" si="0"/>
        <v xml:space="preserve"> </v>
      </c>
      <c r="B1306" s="81" t="str">
        <f t="shared" si="1"/>
        <v xml:space="preserve"> </v>
      </c>
      <c r="C1306" s="79" t="str">
        <f t="shared" si="7"/>
        <v xml:space="preserve"> </v>
      </c>
      <c r="D1306" s="79" t="str">
        <f t="shared" si="5"/>
        <v xml:space="preserve"> </v>
      </c>
      <c r="E1306" s="79" t="str">
        <f t="shared" si="6"/>
        <v xml:space="preserve"> </v>
      </c>
    </row>
    <row r="1307" spans="1:5" ht="12.5">
      <c r="A1307" s="81" t="str">
        <f t="shared" si="0"/>
        <v xml:space="preserve"> </v>
      </c>
      <c r="B1307" s="81" t="str">
        <f t="shared" si="1"/>
        <v xml:space="preserve"> </v>
      </c>
      <c r="C1307" s="79" t="str">
        <f t="shared" si="7"/>
        <v xml:space="preserve"> </v>
      </c>
      <c r="D1307" s="79" t="str">
        <f t="shared" si="5"/>
        <v xml:space="preserve"> </v>
      </c>
      <c r="E1307" s="79" t="str">
        <f t="shared" si="6"/>
        <v xml:space="preserve"> </v>
      </c>
    </row>
    <row r="1308" spans="1:5" ht="12.5">
      <c r="A1308" s="81" t="str">
        <f t="shared" si="0"/>
        <v xml:space="preserve"> </v>
      </c>
      <c r="B1308" s="81" t="str">
        <f t="shared" si="1"/>
        <v xml:space="preserve"> </v>
      </c>
      <c r="C1308" s="79" t="str">
        <f t="shared" si="7"/>
        <v xml:space="preserve"> </v>
      </c>
      <c r="D1308" s="79" t="str">
        <f t="shared" si="5"/>
        <v xml:space="preserve"> </v>
      </c>
      <c r="E1308" s="79" t="str">
        <f t="shared" si="6"/>
        <v xml:space="preserve"> </v>
      </c>
    </row>
    <row r="1309" spans="1:5" ht="12.5">
      <c r="A1309" s="81" t="str">
        <f t="shared" si="0"/>
        <v xml:space="preserve"> </v>
      </c>
      <c r="B1309" s="81" t="str">
        <f t="shared" si="1"/>
        <v xml:space="preserve"> </v>
      </c>
      <c r="C1309" s="79" t="str">
        <f t="shared" si="7"/>
        <v xml:space="preserve"> </v>
      </c>
      <c r="D1309" s="79" t="str">
        <f t="shared" si="5"/>
        <v xml:space="preserve"> </v>
      </c>
      <c r="E1309" s="79" t="str">
        <f t="shared" si="6"/>
        <v xml:space="preserve"> </v>
      </c>
    </row>
    <row r="1310" spans="1:5" ht="12.5">
      <c r="A1310" s="81" t="str">
        <f t="shared" si="0"/>
        <v xml:space="preserve"> </v>
      </c>
      <c r="B1310" s="81" t="str">
        <f t="shared" si="1"/>
        <v xml:space="preserve"> </v>
      </c>
      <c r="C1310" s="79" t="str">
        <f t="shared" si="7"/>
        <v xml:space="preserve"> </v>
      </c>
      <c r="D1310" s="79" t="str">
        <f t="shared" si="5"/>
        <v xml:space="preserve"> </v>
      </c>
      <c r="E1310" s="79" t="str">
        <f t="shared" si="6"/>
        <v xml:space="preserve"> </v>
      </c>
    </row>
    <row r="1311" spans="1:5" ht="12.5">
      <c r="A1311" s="81" t="str">
        <f t="shared" si="0"/>
        <v xml:space="preserve"> </v>
      </c>
      <c r="B1311" s="81" t="str">
        <f t="shared" si="1"/>
        <v xml:space="preserve"> </v>
      </c>
      <c r="C1311" s="79" t="str">
        <f t="shared" si="7"/>
        <v xml:space="preserve"> </v>
      </c>
      <c r="D1311" s="79" t="str">
        <f t="shared" si="5"/>
        <v xml:space="preserve"> </v>
      </c>
      <c r="E1311" s="79" t="str">
        <f t="shared" si="6"/>
        <v xml:space="preserve"> </v>
      </c>
    </row>
    <row r="1312" spans="1:5" ht="12.5">
      <c r="A1312" s="81" t="str">
        <f t="shared" si="0"/>
        <v xml:space="preserve"> </v>
      </c>
      <c r="B1312" s="81" t="str">
        <f t="shared" si="1"/>
        <v xml:space="preserve"> </v>
      </c>
      <c r="C1312" s="79" t="str">
        <f t="shared" si="7"/>
        <v xml:space="preserve"> </v>
      </c>
      <c r="D1312" s="79" t="str">
        <f t="shared" si="5"/>
        <v xml:space="preserve"> </v>
      </c>
      <c r="E1312" s="79" t="str">
        <f t="shared" si="6"/>
        <v xml:space="preserve"> </v>
      </c>
    </row>
    <row r="1313" spans="1:5" ht="12.5">
      <c r="A1313" s="81" t="str">
        <f t="shared" si="0"/>
        <v xml:space="preserve"> </v>
      </c>
      <c r="B1313" s="81" t="str">
        <f t="shared" si="1"/>
        <v xml:space="preserve"> </v>
      </c>
      <c r="C1313" s="79" t="str">
        <f t="shared" si="7"/>
        <v xml:space="preserve"> </v>
      </c>
      <c r="D1313" s="79" t="str">
        <f t="shared" si="5"/>
        <v xml:space="preserve"> </v>
      </c>
      <c r="E1313" s="79" t="str">
        <f t="shared" si="6"/>
        <v xml:space="preserve"> </v>
      </c>
    </row>
    <row r="1314" spans="1:5" ht="12.5">
      <c r="A1314" s="81" t="str">
        <f t="shared" si="0"/>
        <v xml:space="preserve"> </v>
      </c>
      <c r="B1314" s="81" t="str">
        <f t="shared" si="1"/>
        <v xml:space="preserve"> </v>
      </c>
      <c r="C1314" s="79" t="str">
        <f t="shared" si="7"/>
        <v xml:space="preserve"> </v>
      </c>
      <c r="D1314" s="79" t="str">
        <f t="shared" si="5"/>
        <v xml:space="preserve"> </v>
      </c>
      <c r="E1314" s="79" t="str">
        <f t="shared" si="6"/>
        <v xml:space="preserve"> </v>
      </c>
    </row>
    <row r="1315" spans="1:5" ht="12.5">
      <c r="A1315" s="81" t="str">
        <f t="shared" si="0"/>
        <v xml:space="preserve"> </v>
      </c>
      <c r="B1315" s="81" t="str">
        <f t="shared" si="1"/>
        <v xml:space="preserve"> </v>
      </c>
      <c r="C1315" s="79" t="str">
        <f t="shared" si="7"/>
        <v xml:space="preserve"> </v>
      </c>
      <c r="D1315" s="79" t="str">
        <f t="shared" si="5"/>
        <v xml:space="preserve"> </v>
      </c>
      <c r="E1315" s="79" t="str">
        <f t="shared" si="6"/>
        <v xml:space="preserve"> </v>
      </c>
    </row>
    <row r="1316" spans="1:5" ht="12.5">
      <c r="A1316" s="81" t="str">
        <f t="shared" si="0"/>
        <v xml:space="preserve"> </v>
      </c>
      <c r="B1316" s="81" t="str">
        <f t="shared" si="1"/>
        <v xml:space="preserve"> </v>
      </c>
      <c r="C1316" s="79" t="str">
        <f t="shared" si="7"/>
        <v xml:space="preserve"> </v>
      </c>
      <c r="D1316" s="79" t="str">
        <f t="shared" si="5"/>
        <v xml:space="preserve"> </v>
      </c>
      <c r="E1316" s="79" t="str">
        <f t="shared" si="6"/>
        <v xml:space="preserve"> </v>
      </c>
    </row>
    <row r="1317" spans="1:5" ht="12.5">
      <c r="A1317" s="81" t="str">
        <f t="shared" si="0"/>
        <v xml:space="preserve"> </v>
      </c>
      <c r="B1317" s="81" t="str">
        <f t="shared" si="1"/>
        <v xml:space="preserve"> </v>
      </c>
      <c r="C1317" s="79" t="str">
        <f t="shared" si="7"/>
        <v xml:space="preserve"> </v>
      </c>
      <c r="D1317" s="79" t="str">
        <f t="shared" si="5"/>
        <v xml:space="preserve"> </v>
      </c>
      <c r="E1317" s="79" t="str">
        <f t="shared" si="6"/>
        <v xml:space="preserve"> </v>
      </c>
    </row>
    <row r="1318" spans="1:5" ht="12.5">
      <c r="A1318" s="81" t="str">
        <f t="shared" si="0"/>
        <v xml:space="preserve"> </v>
      </c>
      <c r="B1318" s="81" t="str">
        <f t="shared" si="1"/>
        <v xml:space="preserve"> </v>
      </c>
      <c r="C1318" s="79" t="str">
        <f t="shared" si="7"/>
        <v xml:space="preserve"> </v>
      </c>
      <c r="D1318" s="79" t="str">
        <f t="shared" si="5"/>
        <v xml:space="preserve"> </v>
      </c>
      <c r="E1318" s="79" t="str">
        <f t="shared" si="6"/>
        <v xml:space="preserve"> </v>
      </c>
    </row>
    <row r="1319" spans="1:5" ht="12.5">
      <c r="A1319" s="81" t="str">
        <f t="shared" si="0"/>
        <v xml:space="preserve"> </v>
      </c>
      <c r="B1319" s="81" t="str">
        <f t="shared" si="1"/>
        <v xml:space="preserve"> </v>
      </c>
      <c r="C1319" s="79" t="str">
        <f t="shared" si="7"/>
        <v xml:space="preserve"> </v>
      </c>
      <c r="D1319" s="79" t="str">
        <f t="shared" si="5"/>
        <v xml:space="preserve"> </v>
      </c>
      <c r="E1319" s="79" t="str">
        <f t="shared" si="6"/>
        <v xml:space="preserve"> </v>
      </c>
    </row>
    <row r="1320" spans="1:5" ht="12.5">
      <c r="A1320" s="81" t="str">
        <f t="shared" si="0"/>
        <v xml:space="preserve"> </v>
      </c>
      <c r="B1320" s="81" t="str">
        <f t="shared" si="1"/>
        <v xml:space="preserve"> </v>
      </c>
      <c r="C1320" s="79" t="str">
        <f t="shared" si="7"/>
        <v xml:space="preserve"> </v>
      </c>
      <c r="D1320" s="79" t="str">
        <f t="shared" si="5"/>
        <v xml:space="preserve"> </v>
      </c>
      <c r="E1320" s="79" t="str">
        <f t="shared" si="6"/>
        <v xml:space="preserve"> </v>
      </c>
    </row>
    <row r="1321" spans="1:5" ht="12.5">
      <c r="A1321" s="81" t="str">
        <f t="shared" si="0"/>
        <v xml:space="preserve"> </v>
      </c>
      <c r="B1321" s="81" t="str">
        <f t="shared" si="1"/>
        <v xml:space="preserve"> </v>
      </c>
      <c r="C1321" s="79" t="str">
        <f t="shared" si="7"/>
        <v xml:space="preserve"> </v>
      </c>
      <c r="D1321" s="79" t="str">
        <f t="shared" si="5"/>
        <v xml:space="preserve"> </v>
      </c>
      <c r="E1321" s="79" t="str">
        <f t="shared" si="6"/>
        <v xml:space="preserve"> </v>
      </c>
    </row>
    <row r="1322" spans="1:5" ht="12.5">
      <c r="A1322" s="81" t="str">
        <f t="shared" si="0"/>
        <v xml:space="preserve"> </v>
      </c>
      <c r="B1322" s="81" t="str">
        <f t="shared" si="1"/>
        <v xml:space="preserve"> </v>
      </c>
      <c r="C1322" s="79" t="str">
        <f t="shared" si="7"/>
        <v xml:space="preserve"> </v>
      </c>
      <c r="D1322" s="79" t="str">
        <f t="shared" si="5"/>
        <v xml:space="preserve"> </v>
      </c>
      <c r="E1322" s="79" t="str">
        <f t="shared" si="6"/>
        <v xml:space="preserve"> </v>
      </c>
    </row>
    <row r="1323" spans="1:5" ht="12.5">
      <c r="A1323" s="81" t="str">
        <f t="shared" si="0"/>
        <v xml:space="preserve"> </v>
      </c>
      <c r="B1323" s="81" t="str">
        <f t="shared" si="1"/>
        <v xml:space="preserve"> </v>
      </c>
      <c r="C1323" s="79" t="str">
        <f t="shared" si="7"/>
        <v xml:space="preserve"> </v>
      </c>
      <c r="D1323" s="79" t="str">
        <f t="shared" si="5"/>
        <v xml:space="preserve"> </v>
      </c>
      <c r="E1323" s="79" t="str">
        <f t="shared" si="6"/>
        <v xml:space="preserve"> </v>
      </c>
    </row>
    <row r="1324" spans="1:5" ht="12.5">
      <c r="A1324" s="81" t="str">
        <f t="shared" si="0"/>
        <v xml:space="preserve"> </v>
      </c>
      <c r="B1324" s="81" t="str">
        <f t="shared" si="1"/>
        <v xml:space="preserve"> </v>
      </c>
      <c r="C1324" s="79" t="str">
        <f t="shared" si="7"/>
        <v xml:space="preserve"> </v>
      </c>
      <c r="D1324" s="79" t="str">
        <f t="shared" si="5"/>
        <v xml:space="preserve"> </v>
      </c>
      <c r="E1324" s="79" t="str">
        <f t="shared" si="6"/>
        <v xml:space="preserve"> </v>
      </c>
    </row>
    <row r="1325" spans="1:5" ht="12.5">
      <c r="A1325" s="81" t="str">
        <f t="shared" si="0"/>
        <v xml:space="preserve"> </v>
      </c>
      <c r="B1325" s="81" t="str">
        <f t="shared" si="1"/>
        <v xml:space="preserve"> </v>
      </c>
      <c r="C1325" s="79" t="str">
        <f t="shared" si="7"/>
        <v xml:space="preserve"> </v>
      </c>
      <c r="D1325" s="79" t="str">
        <f t="shared" si="5"/>
        <v xml:space="preserve"> </v>
      </c>
      <c r="E1325" s="79" t="str">
        <f t="shared" si="6"/>
        <v xml:space="preserve"> </v>
      </c>
    </row>
    <row r="1326" spans="1:5" ht="12.5">
      <c r="A1326" s="81" t="str">
        <f t="shared" si="0"/>
        <v xml:space="preserve"> </v>
      </c>
      <c r="B1326" s="81" t="str">
        <f t="shared" si="1"/>
        <v xml:space="preserve"> </v>
      </c>
      <c r="C1326" s="79" t="str">
        <f t="shared" si="7"/>
        <v xml:space="preserve"> </v>
      </c>
      <c r="D1326" s="79" t="str">
        <f t="shared" si="5"/>
        <v xml:space="preserve"> </v>
      </c>
      <c r="E1326" s="79" t="str">
        <f t="shared" si="6"/>
        <v xml:space="preserve"> </v>
      </c>
    </row>
    <row r="1327" spans="1:5" ht="12.5">
      <c r="A1327" s="81" t="str">
        <f t="shared" si="0"/>
        <v xml:space="preserve"> </v>
      </c>
      <c r="B1327" s="81" t="str">
        <f t="shared" si="1"/>
        <v xml:space="preserve"> </v>
      </c>
      <c r="C1327" s="79" t="str">
        <f t="shared" si="7"/>
        <v xml:space="preserve"> </v>
      </c>
      <c r="D1327" s="79" t="str">
        <f t="shared" si="5"/>
        <v xml:space="preserve"> </v>
      </c>
      <c r="E1327" s="79" t="str">
        <f t="shared" si="6"/>
        <v xml:space="preserve"> </v>
      </c>
    </row>
    <row r="1328" spans="1:5" ht="12.5">
      <c r="A1328" s="81" t="str">
        <f t="shared" si="0"/>
        <v xml:space="preserve"> </v>
      </c>
      <c r="B1328" s="81" t="str">
        <f t="shared" si="1"/>
        <v xml:space="preserve"> </v>
      </c>
      <c r="C1328" s="79" t="str">
        <f t="shared" si="7"/>
        <v xml:space="preserve"> </v>
      </c>
      <c r="D1328" s="79" t="str">
        <f t="shared" si="5"/>
        <v xml:space="preserve"> </v>
      </c>
      <c r="E1328" s="79" t="str">
        <f t="shared" si="6"/>
        <v xml:space="preserve"> </v>
      </c>
    </row>
    <row r="1329" spans="1:5" ht="12.5">
      <c r="A1329" s="81" t="str">
        <f t="shared" si="0"/>
        <v xml:space="preserve"> </v>
      </c>
      <c r="B1329" s="81" t="str">
        <f t="shared" si="1"/>
        <v xml:space="preserve"> </v>
      </c>
      <c r="C1329" s="79" t="str">
        <f t="shared" si="7"/>
        <v xml:space="preserve"> </v>
      </c>
      <c r="D1329" s="79" t="str">
        <f t="shared" si="5"/>
        <v xml:space="preserve"> </v>
      </c>
      <c r="E1329" s="79" t="str">
        <f t="shared" si="6"/>
        <v xml:space="preserve"> </v>
      </c>
    </row>
    <row r="1330" spans="1:5" ht="12.5">
      <c r="A1330" s="81" t="str">
        <f t="shared" si="0"/>
        <v xml:space="preserve"> </v>
      </c>
      <c r="B1330" s="81" t="str">
        <f t="shared" si="1"/>
        <v xml:space="preserve"> </v>
      </c>
      <c r="C1330" s="79" t="str">
        <f t="shared" si="7"/>
        <v xml:space="preserve"> </v>
      </c>
      <c r="D1330" s="79" t="str">
        <f t="shared" si="5"/>
        <v xml:space="preserve"> </v>
      </c>
      <c r="E1330" s="79" t="str">
        <f t="shared" si="6"/>
        <v xml:space="preserve"> </v>
      </c>
    </row>
    <row r="1331" spans="1:5" ht="12.5">
      <c r="A1331" s="81" t="str">
        <f t="shared" si="0"/>
        <v xml:space="preserve"> </v>
      </c>
      <c r="B1331" s="81" t="str">
        <f t="shared" si="1"/>
        <v xml:space="preserve"> </v>
      </c>
      <c r="C1331" s="79" t="str">
        <f t="shared" si="7"/>
        <v xml:space="preserve"> </v>
      </c>
      <c r="D1331" s="79" t="str">
        <f t="shared" si="5"/>
        <v xml:space="preserve"> </v>
      </c>
      <c r="E1331" s="79" t="str">
        <f t="shared" si="6"/>
        <v xml:space="preserve"> </v>
      </c>
    </row>
    <row r="1332" spans="1:5" ht="12.5">
      <c r="A1332" s="81" t="str">
        <f t="shared" si="0"/>
        <v xml:space="preserve"> </v>
      </c>
      <c r="B1332" s="81" t="str">
        <f t="shared" si="1"/>
        <v xml:space="preserve"> </v>
      </c>
      <c r="C1332" s="79" t="str">
        <f t="shared" si="7"/>
        <v xml:space="preserve"> </v>
      </c>
      <c r="D1332" s="79" t="str">
        <f t="shared" si="5"/>
        <v xml:space="preserve"> </v>
      </c>
      <c r="E1332" s="79" t="str">
        <f t="shared" si="6"/>
        <v xml:space="preserve"> </v>
      </c>
    </row>
    <row r="1333" spans="1:5" ht="12.5">
      <c r="A1333" s="81" t="str">
        <f t="shared" si="0"/>
        <v xml:space="preserve"> </v>
      </c>
      <c r="B1333" s="81" t="str">
        <f t="shared" si="1"/>
        <v xml:space="preserve"> </v>
      </c>
      <c r="C1333" s="79" t="str">
        <f t="shared" si="7"/>
        <v xml:space="preserve"> </v>
      </c>
      <c r="D1333" s="79" t="str">
        <f t="shared" si="5"/>
        <v xml:space="preserve"> </v>
      </c>
      <c r="E1333" s="79" t="str">
        <f t="shared" si="6"/>
        <v xml:space="preserve"> </v>
      </c>
    </row>
    <row r="1334" spans="1:5" ht="12.5">
      <c r="A1334" s="81" t="str">
        <f t="shared" si="0"/>
        <v xml:space="preserve"> </v>
      </c>
      <c r="B1334" s="81" t="str">
        <f t="shared" si="1"/>
        <v xml:space="preserve"> </v>
      </c>
      <c r="C1334" s="79" t="str">
        <f t="shared" si="7"/>
        <v xml:space="preserve"> </v>
      </c>
      <c r="D1334" s="79" t="str">
        <f t="shared" si="5"/>
        <v xml:space="preserve"> </v>
      </c>
      <c r="E1334" s="79" t="str">
        <f t="shared" si="6"/>
        <v xml:space="preserve"> </v>
      </c>
    </row>
    <row r="1335" spans="1:5" ht="12.5">
      <c r="A1335" s="81" t="str">
        <f t="shared" si="0"/>
        <v xml:space="preserve"> </v>
      </c>
      <c r="B1335" s="81" t="str">
        <f t="shared" si="1"/>
        <v xml:space="preserve"> </v>
      </c>
      <c r="C1335" s="79" t="str">
        <f t="shared" si="7"/>
        <v xml:space="preserve"> </v>
      </c>
      <c r="D1335" s="79" t="str">
        <f t="shared" si="5"/>
        <v xml:space="preserve"> </v>
      </c>
      <c r="E1335" s="79" t="str">
        <f t="shared" si="6"/>
        <v xml:space="preserve"> </v>
      </c>
    </row>
    <row r="1336" spans="1:5" ht="12.5">
      <c r="A1336" s="81" t="str">
        <f t="shared" si="0"/>
        <v xml:space="preserve"> </v>
      </c>
      <c r="B1336" s="81" t="str">
        <f t="shared" si="1"/>
        <v xml:space="preserve"> </v>
      </c>
      <c r="C1336" s="79" t="str">
        <f t="shared" si="7"/>
        <v xml:space="preserve"> </v>
      </c>
      <c r="D1336" s="79" t="str">
        <f t="shared" si="5"/>
        <v xml:space="preserve"> </v>
      </c>
      <c r="E1336" s="79" t="str">
        <f t="shared" si="6"/>
        <v xml:space="preserve"> </v>
      </c>
    </row>
    <row r="1337" spans="1:5" ht="12.5">
      <c r="A1337" s="81" t="str">
        <f t="shared" si="0"/>
        <v xml:space="preserve"> </v>
      </c>
      <c r="B1337" s="81" t="str">
        <f t="shared" si="1"/>
        <v xml:space="preserve"> </v>
      </c>
      <c r="C1337" s="79" t="str">
        <f t="shared" si="7"/>
        <v xml:space="preserve"> </v>
      </c>
      <c r="D1337" s="79" t="str">
        <f t="shared" si="5"/>
        <v xml:space="preserve"> </v>
      </c>
      <c r="E1337" s="79" t="str">
        <f t="shared" si="6"/>
        <v xml:space="preserve"> </v>
      </c>
    </row>
    <row r="1338" spans="1:5" ht="12.5">
      <c r="A1338" s="81" t="str">
        <f t="shared" si="0"/>
        <v xml:space="preserve"> </v>
      </c>
      <c r="B1338" s="81" t="str">
        <f t="shared" si="1"/>
        <v xml:space="preserve"> </v>
      </c>
      <c r="C1338" s="79" t="str">
        <f t="shared" si="7"/>
        <v xml:space="preserve"> </v>
      </c>
      <c r="D1338" s="79" t="str">
        <f t="shared" si="5"/>
        <v xml:space="preserve"> </v>
      </c>
      <c r="E1338" s="79" t="str">
        <f t="shared" si="6"/>
        <v xml:space="preserve"> </v>
      </c>
    </row>
    <row r="1339" spans="1:5" ht="12.5">
      <c r="A1339" s="81" t="str">
        <f t="shared" si="0"/>
        <v xml:space="preserve"> </v>
      </c>
      <c r="B1339" s="81" t="str">
        <f t="shared" si="1"/>
        <v xml:space="preserve"> </v>
      </c>
      <c r="C1339" s="79" t="str">
        <f t="shared" si="7"/>
        <v xml:space="preserve"> </v>
      </c>
      <c r="D1339" s="79" t="str">
        <f t="shared" si="5"/>
        <v xml:space="preserve"> </v>
      </c>
      <c r="E1339" s="79" t="str">
        <f t="shared" si="6"/>
        <v xml:space="preserve"> </v>
      </c>
    </row>
    <row r="1340" spans="1:5" ht="12.5">
      <c r="A1340" s="81" t="str">
        <f t="shared" si="0"/>
        <v xml:space="preserve"> </v>
      </c>
      <c r="B1340" s="81" t="str">
        <f t="shared" si="1"/>
        <v xml:space="preserve"> </v>
      </c>
      <c r="C1340" s="79" t="str">
        <f t="shared" si="7"/>
        <v xml:space="preserve"> </v>
      </c>
      <c r="D1340" s="79" t="str">
        <f t="shared" si="5"/>
        <v xml:space="preserve"> </v>
      </c>
      <c r="E1340" s="79" t="str">
        <f t="shared" si="6"/>
        <v xml:space="preserve"> </v>
      </c>
    </row>
    <row r="1341" spans="1:5" ht="12.5">
      <c r="A1341" s="81" t="str">
        <f t="shared" si="0"/>
        <v xml:space="preserve"> </v>
      </c>
      <c r="B1341" s="81" t="str">
        <f t="shared" si="1"/>
        <v xml:space="preserve"> </v>
      </c>
      <c r="C1341" s="79" t="str">
        <f t="shared" si="7"/>
        <v xml:space="preserve"> </v>
      </c>
      <c r="D1341" s="79" t="str">
        <f t="shared" si="5"/>
        <v xml:space="preserve"> </v>
      </c>
      <c r="E1341" s="79" t="str">
        <f t="shared" si="6"/>
        <v xml:space="preserve"> </v>
      </c>
    </row>
    <row r="1342" spans="1:5" ht="12.5">
      <c r="A1342" s="81" t="str">
        <f t="shared" si="0"/>
        <v xml:space="preserve"> </v>
      </c>
      <c r="B1342" s="81" t="str">
        <f t="shared" si="1"/>
        <v xml:space="preserve"> </v>
      </c>
      <c r="C1342" s="79" t="str">
        <f t="shared" si="7"/>
        <v xml:space="preserve"> </v>
      </c>
      <c r="D1342" s="79" t="str">
        <f t="shared" si="5"/>
        <v xml:space="preserve"> </v>
      </c>
      <c r="E1342" s="79" t="str">
        <f t="shared" si="6"/>
        <v xml:space="preserve"> </v>
      </c>
    </row>
    <row r="1343" spans="1:5" ht="12.5">
      <c r="A1343" s="81" t="str">
        <f t="shared" si="0"/>
        <v xml:space="preserve"> </v>
      </c>
      <c r="B1343" s="81" t="str">
        <f t="shared" si="1"/>
        <v xml:space="preserve"> </v>
      </c>
      <c r="C1343" s="79" t="str">
        <f t="shared" si="7"/>
        <v xml:space="preserve"> </v>
      </c>
      <c r="D1343" s="79" t="str">
        <f t="shared" si="5"/>
        <v xml:space="preserve"> </v>
      </c>
      <c r="E1343" s="79" t="str">
        <f t="shared" si="6"/>
        <v xml:space="preserve"> </v>
      </c>
    </row>
    <row r="1344" spans="1:5" ht="12.5">
      <c r="A1344" s="81" t="str">
        <f t="shared" si="0"/>
        <v xml:space="preserve"> </v>
      </c>
      <c r="B1344" s="81" t="str">
        <f t="shared" si="1"/>
        <v xml:space="preserve"> </v>
      </c>
      <c r="C1344" s="79" t="str">
        <f t="shared" si="7"/>
        <v xml:space="preserve"> </v>
      </c>
      <c r="D1344" s="79" t="str">
        <f t="shared" si="5"/>
        <v xml:space="preserve"> </v>
      </c>
      <c r="E1344" s="79" t="str">
        <f t="shared" si="6"/>
        <v xml:space="preserve"> </v>
      </c>
    </row>
    <row r="1345" spans="1:5" ht="12.5">
      <c r="A1345" s="81" t="str">
        <f t="shared" si="0"/>
        <v xml:space="preserve"> </v>
      </c>
      <c r="B1345" s="81" t="str">
        <f t="shared" si="1"/>
        <v xml:space="preserve"> </v>
      </c>
      <c r="C1345" s="79" t="str">
        <f t="shared" si="7"/>
        <v xml:space="preserve"> </v>
      </c>
      <c r="D1345" s="79" t="str">
        <f t="shared" si="5"/>
        <v xml:space="preserve"> </v>
      </c>
      <c r="E1345" s="79" t="str">
        <f t="shared" si="6"/>
        <v xml:space="preserve"> </v>
      </c>
    </row>
    <row r="1346" spans="1:5" ht="12.5">
      <c r="A1346" s="81" t="str">
        <f t="shared" si="0"/>
        <v xml:space="preserve"> </v>
      </c>
      <c r="B1346" s="81" t="str">
        <f t="shared" si="1"/>
        <v xml:space="preserve"> </v>
      </c>
      <c r="C1346" s="79" t="str">
        <f t="shared" si="7"/>
        <v xml:space="preserve"> </v>
      </c>
      <c r="D1346" s="79" t="str">
        <f t="shared" si="5"/>
        <v xml:space="preserve"> </v>
      </c>
      <c r="E1346" s="79" t="str">
        <f t="shared" si="6"/>
        <v xml:space="preserve"> </v>
      </c>
    </row>
    <row r="1347" spans="1:5" ht="12.5">
      <c r="A1347" s="81" t="str">
        <f t="shared" si="0"/>
        <v xml:space="preserve"> </v>
      </c>
      <c r="B1347" s="81" t="str">
        <f t="shared" si="1"/>
        <v xml:space="preserve"> </v>
      </c>
      <c r="C1347" s="79" t="str">
        <f t="shared" si="7"/>
        <v xml:space="preserve"> </v>
      </c>
      <c r="D1347" s="79" t="str">
        <f t="shared" si="5"/>
        <v xml:space="preserve"> </v>
      </c>
      <c r="E1347" s="79" t="str">
        <f t="shared" si="6"/>
        <v xml:space="preserve"> </v>
      </c>
    </row>
    <row r="1348" spans="1:5" ht="12.5">
      <c r="A1348" s="81" t="str">
        <f t="shared" si="0"/>
        <v xml:space="preserve"> </v>
      </c>
      <c r="B1348" s="81" t="str">
        <f t="shared" si="1"/>
        <v xml:space="preserve"> </v>
      </c>
      <c r="C1348" s="79" t="str">
        <f t="shared" si="7"/>
        <v xml:space="preserve"> </v>
      </c>
      <c r="D1348" s="79" t="str">
        <f t="shared" si="5"/>
        <v xml:space="preserve"> </v>
      </c>
      <c r="E1348" s="79" t="str">
        <f t="shared" si="6"/>
        <v xml:space="preserve"> </v>
      </c>
    </row>
    <row r="1349" spans="1:5" ht="12.5">
      <c r="A1349" s="81" t="str">
        <f t="shared" si="0"/>
        <v xml:space="preserve"> </v>
      </c>
      <c r="B1349" s="81" t="str">
        <f t="shared" si="1"/>
        <v xml:space="preserve"> </v>
      </c>
      <c r="C1349" s="79" t="str">
        <f t="shared" si="7"/>
        <v xml:space="preserve"> </v>
      </c>
      <c r="D1349" s="79" t="str">
        <f t="shared" si="5"/>
        <v xml:space="preserve"> </v>
      </c>
      <c r="E1349" s="79" t="str">
        <f t="shared" si="6"/>
        <v xml:space="preserve"> </v>
      </c>
    </row>
    <row r="1350" spans="1:5" ht="12.5">
      <c r="A1350" s="81" t="str">
        <f t="shared" si="0"/>
        <v xml:space="preserve"> </v>
      </c>
      <c r="B1350" s="81" t="str">
        <f t="shared" si="1"/>
        <v xml:space="preserve"> </v>
      </c>
      <c r="C1350" s="79" t="str">
        <f t="shared" si="7"/>
        <v xml:space="preserve"> </v>
      </c>
      <c r="D1350" s="79" t="str">
        <f t="shared" si="5"/>
        <v xml:space="preserve"> </v>
      </c>
      <c r="E1350" s="79" t="str">
        <f t="shared" si="6"/>
        <v xml:space="preserve"> </v>
      </c>
    </row>
    <row r="1351" spans="1:5" ht="12.5">
      <c r="A1351" s="81" t="str">
        <f t="shared" si="0"/>
        <v xml:space="preserve"> </v>
      </c>
      <c r="B1351" s="81" t="str">
        <f t="shared" si="1"/>
        <v xml:space="preserve"> </v>
      </c>
      <c r="C1351" s="79" t="str">
        <f t="shared" si="7"/>
        <v xml:space="preserve"> </v>
      </c>
      <c r="D1351" s="79" t="str">
        <f t="shared" si="5"/>
        <v xml:space="preserve"> </v>
      </c>
      <c r="E1351" s="79" t="str">
        <f t="shared" si="6"/>
        <v xml:space="preserve"> </v>
      </c>
    </row>
    <row r="1352" spans="1:5" ht="12.5">
      <c r="A1352" s="81" t="str">
        <f t="shared" si="0"/>
        <v xml:space="preserve"> </v>
      </c>
      <c r="B1352" s="81" t="str">
        <f t="shared" si="1"/>
        <v xml:space="preserve"> </v>
      </c>
      <c r="C1352" s="79" t="str">
        <f t="shared" si="7"/>
        <v xml:space="preserve"> </v>
      </c>
      <c r="D1352" s="79" t="str">
        <f t="shared" si="5"/>
        <v xml:space="preserve"> </v>
      </c>
      <c r="E1352" s="79" t="str">
        <f t="shared" si="6"/>
        <v xml:space="preserve"> </v>
      </c>
    </row>
    <row r="1353" spans="1:5" ht="12.5">
      <c r="A1353" s="81" t="str">
        <f t="shared" si="0"/>
        <v xml:space="preserve"> </v>
      </c>
      <c r="B1353" s="81" t="str">
        <f t="shared" si="1"/>
        <v xml:space="preserve"> </v>
      </c>
      <c r="C1353" s="79" t="str">
        <f t="shared" si="7"/>
        <v xml:space="preserve"> </v>
      </c>
      <c r="D1353" s="79" t="str">
        <f t="shared" si="5"/>
        <v xml:space="preserve"> </v>
      </c>
      <c r="E1353" s="79" t="str">
        <f t="shared" si="6"/>
        <v xml:space="preserve"> </v>
      </c>
    </row>
    <row r="1354" spans="1:5" ht="12.5">
      <c r="A1354" s="81" t="str">
        <f t="shared" si="0"/>
        <v xml:space="preserve"> </v>
      </c>
      <c r="B1354" s="81" t="str">
        <f t="shared" si="1"/>
        <v xml:space="preserve"> </v>
      </c>
      <c r="C1354" s="79" t="str">
        <f t="shared" si="7"/>
        <v xml:space="preserve"> </v>
      </c>
      <c r="D1354" s="79" t="str">
        <f t="shared" si="5"/>
        <v xml:space="preserve"> </v>
      </c>
      <c r="E1354" s="79" t="str">
        <f t="shared" si="6"/>
        <v xml:space="preserve"> </v>
      </c>
    </row>
    <row r="1355" spans="1:5" ht="12.5">
      <c r="A1355" s="81" t="str">
        <f t="shared" si="0"/>
        <v xml:space="preserve"> </v>
      </c>
      <c r="B1355" s="81" t="str">
        <f t="shared" si="1"/>
        <v xml:space="preserve"> </v>
      </c>
      <c r="C1355" s="79" t="str">
        <f t="shared" si="7"/>
        <v xml:space="preserve"> </v>
      </c>
      <c r="D1355" s="79" t="str">
        <f t="shared" si="5"/>
        <v xml:space="preserve"> </v>
      </c>
      <c r="E1355" s="79" t="str">
        <f t="shared" si="6"/>
        <v xml:space="preserve"> </v>
      </c>
    </row>
    <row r="1356" spans="1:5" ht="12.5">
      <c r="A1356" s="81" t="str">
        <f t="shared" si="0"/>
        <v xml:space="preserve"> </v>
      </c>
      <c r="B1356" s="81" t="str">
        <f t="shared" si="1"/>
        <v xml:space="preserve"> </v>
      </c>
      <c r="C1356" s="79" t="str">
        <f t="shared" si="7"/>
        <v xml:space="preserve"> </v>
      </c>
      <c r="D1356" s="79" t="str">
        <f t="shared" si="5"/>
        <v xml:space="preserve"> </v>
      </c>
      <c r="E1356" s="79" t="str">
        <f t="shared" si="6"/>
        <v xml:space="preserve"> </v>
      </c>
    </row>
    <row r="1357" spans="1:5" ht="12.5">
      <c r="A1357" s="81" t="str">
        <f t="shared" si="0"/>
        <v xml:space="preserve"> </v>
      </c>
      <c r="B1357" s="81" t="str">
        <f t="shared" si="1"/>
        <v xml:space="preserve"> </v>
      </c>
      <c r="C1357" s="79" t="str">
        <f t="shared" si="7"/>
        <v xml:space="preserve"> </v>
      </c>
      <c r="D1357" s="79" t="str">
        <f t="shared" si="5"/>
        <v xml:space="preserve"> </v>
      </c>
      <c r="E1357" s="79" t="str">
        <f t="shared" si="6"/>
        <v xml:space="preserve"> </v>
      </c>
    </row>
    <row r="1358" spans="1:5" ht="12.5">
      <c r="A1358" s="81" t="str">
        <f t="shared" si="0"/>
        <v xml:space="preserve"> </v>
      </c>
      <c r="B1358" s="81" t="str">
        <f t="shared" si="1"/>
        <v xml:space="preserve"> </v>
      </c>
      <c r="C1358" s="79" t="str">
        <f t="shared" si="7"/>
        <v xml:space="preserve"> </v>
      </c>
      <c r="D1358" s="79" t="str">
        <f t="shared" si="5"/>
        <v xml:space="preserve"> </v>
      </c>
      <c r="E1358" s="79" t="str">
        <f t="shared" si="6"/>
        <v xml:space="preserve"> </v>
      </c>
    </row>
    <row r="1359" spans="1:5" ht="12.5">
      <c r="A1359" s="81" t="str">
        <f t="shared" si="0"/>
        <v xml:space="preserve"> </v>
      </c>
      <c r="B1359" s="81" t="str">
        <f t="shared" si="1"/>
        <v xml:space="preserve"> </v>
      </c>
      <c r="C1359" s="79" t="str">
        <f t="shared" si="7"/>
        <v xml:space="preserve"> </v>
      </c>
      <c r="D1359" s="79" t="str">
        <f t="shared" si="5"/>
        <v xml:space="preserve"> </v>
      </c>
      <c r="E1359" s="79" t="str">
        <f t="shared" si="6"/>
        <v xml:space="preserve"> </v>
      </c>
    </row>
    <row r="1360" spans="1:5" ht="12.5">
      <c r="A1360" s="81" t="str">
        <f t="shared" si="0"/>
        <v xml:space="preserve"> </v>
      </c>
      <c r="B1360" s="81" t="str">
        <f t="shared" si="1"/>
        <v xml:space="preserve"> </v>
      </c>
      <c r="C1360" s="79" t="str">
        <f t="shared" si="7"/>
        <v xml:space="preserve"> </v>
      </c>
      <c r="D1360" s="79" t="str">
        <f t="shared" si="5"/>
        <v xml:space="preserve"> </v>
      </c>
      <c r="E1360" s="79" t="str">
        <f t="shared" si="6"/>
        <v xml:space="preserve"> </v>
      </c>
    </row>
    <row r="1361" spans="1:5" ht="12.5">
      <c r="A1361" s="81" t="str">
        <f t="shared" si="0"/>
        <v xml:space="preserve"> </v>
      </c>
      <c r="B1361" s="81" t="str">
        <f t="shared" si="1"/>
        <v xml:space="preserve"> </v>
      </c>
      <c r="C1361" s="79" t="str">
        <f t="shared" si="7"/>
        <v xml:space="preserve"> </v>
      </c>
      <c r="D1361" s="79" t="str">
        <f t="shared" si="5"/>
        <v xml:space="preserve"> </v>
      </c>
      <c r="E1361" s="79" t="str">
        <f t="shared" si="6"/>
        <v xml:space="preserve"> </v>
      </c>
    </row>
    <row r="1362" spans="1:5" ht="12.5">
      <c r="A1362" s="81" t="str">
        <f t="shared" si="0"/>
        <v xml:space="preserve"> </v>
      </c>
      <c r="B1362" s="81" t="str">
        <f t="shared" si="1"/>
        <v xml:space="preserve"> </v>
      </c>
      <c r="C1362" s="79" t="str">
        <f t="shared" si="7"/>
        <v xml:space="preserve"> </v>
      </c>
      <c r="D1362" s="79" t="str">
        <f t="shared" si="5"/>
        <v xml:space="preserve"> </v>
      </c>
      <c r="E1362" s="79" t="str">
        <f t="shared" si="6"/>
        <v xml:space="preserve"> </v>
      </c>
    </row>
    <row r="1363" spans="1:5" ht="12.5">
      <c r="A1363" s="81" t="str">
        <f t="shared" si="0"/>
        <v xml:space="preserve"> </v>
      </c>
      <c r="B1363" s="81" t="str">
        <f t="shared" si="1"/>
        <v xml:space="preserve"> </v>
      </c>
      <c r="C1363" s="79" t="str">
        <f t="shared" si="7"/>
        <v xml:space="preserve"> </v>
      </c>
      <c r="D1363" s="79" t="str">
        <f t="shared" si="5"/>
        <v xml:space="preserve"> </v>
      </c>
      <c r="E1363" s="79" t="str">
        <f t="shared" si="6"/>
        <v xml:space="preserve"> </v>
      </c>
    </row>
    <row r="1364" spans="1:5" ht="12.5">
      <c r="A1364" s="81" t="str">
        <f t="shared" si="0"/>
        <v xml:space="preserve"> </v>
      </c>
      <c r="B1364" s="81" t="str">
        <f t="shared" si="1"/>
        <v xml:space="preserve"> </v>
      </c>
      <c r="C1364" s="79" t="str">
        <f t="shared" si="7"/>
        <v xml:space="preserve"> </v>
      </c>
      <c r="D1364" s="79" t="str">
        <f t="shared" si="5"/>
        <v xml:space="preserve"> </v>
      </c>
      <c r="E1364" s="79" t="str">
        <f t="shared" si="6"/>
        <v xml:space="preserve"> </v>
      </c>
    </row>
    <row r="1365" spans="1:5" ht="12.5">
      <c r="A1365" s="81" t="str">
        <f t="shared" si="0"/>
        <v xml:space="preserve"> </v>
      </c>
      <c r="B1365" s="81" t="str">
        <f t="shared" si="1"/>
        <v xml:space="preserve"> </v>
      </c>
      <c r="C1365" s="79" t="str">
        <f t="shared" si="7"/>
        <v xml:space="preserve"> </v>
      </c>
      <c r="D1365" s="79" t="str">
        <f t="shared" si="5"/>
        <v xml:space="preserve"> </v>
      </c>
      <c r="E1365" s="79" t="str">
        <f t="shared" si="6"/>
        <v xml:space="preserve"> </v>
      </c>
    </row>
    <row r="1366" spans="1:5" ht="12.5">
      <c r="A1366" s="81" t="str">
        <f t="shared" si="0"/>
        <v xml:space="preserve"> </v>
      </c>
      <c r="B1366" s="81" t="str">
        <f t="shared" si="1"/>
        <v xml:space="preserve"> </v>
      </c>
      <c r="C1366" s="79" t="str">
        <f t="shared" si="7"/>
        <v xml:space="preserve"> </v>
      </c>
      <c r="D1366" s="79" t="str">
        <f t="shared" si="5"/>
        <v xml:space="preserve"> </v>
      </c>
      <c r="E1366" s="79" t="str">
        <f t="shared" si="6"/>
        <v xml:space="preserve"> </v>
      </c>
    </row>
    <row r="1367" spans="1:5" ht="12.5">
      <c r="A1367" s="81" t="str">
        <f t="shared" si="0"/>
        <v xml:space="preserve"> </v>
      </c>
      <c r="B1367" s="81" t="str">
        <f t="shared" si="1"/>
        <v xml:space="preserve"> </v>
      </c>
      <c r="C1367" s="79" t="str">
        <f t="shared" si="7"/>
        <v xml:space="preserve"> </v>
      </c>
      <c r="D1367" s="79" t="str">
        <f t="shared" si="5"/>
        <v xml:space="preserve"> </v>
      </c>
      <c r="E1367" s="79" t="str">
        <f t="shared" si="6"/>
        <v xml:space="preserve"> </v>
      </c>
    </row>
    <row r="1368" spans="1:5" ht="12.5">
      <c r="A1368" s="81" t="str">
        <f t="shared" si="0"/>
        <v xml:space="preserve"> </v>
      </c>
      <c r="B1368" s="81" t="str">
        <f t="shared" si="1"/>
        <v xml:space="preserve"> </v>
      </c>
      <c r="C1368" s="79" t="str">
        <f t="shared" si="7"/>
        <v xml:space="preserve"> </v>
      </c>
      <c r="D1368" s="79" t="str">
        <f t="shared" si="5"/>
        <v xml:space="preserve"> </v>
      </c>
      <c r="E1368" s="79" t="str">
        <f t="shared" si="6"/>
        <v xml:space="preserve"> </v>
      </c>
    </row>
    <row r="1369" spans="1:5" ht="12.5">
      <c r="A1369" s="81" t="str">
        <f t="shared" si="0"/>
        <v xml:space="preserve"> </v>
      </c>
      <c r="B1369" s="81" t="str">
        <f t="shared" si="1"/>
        <v xml:space="preserve"> </v>
      </c>
      <c r="C1369" s="79" t="str">
        <f t="shared" si="7"/>
        <v xml:space="preserve"> </v>
      </c>
      <c r="D1369" s="79" t="str">
        <f t="shared" si="5"/>
        <v xml:space="preserve"> </v>
      </c>
      <c r="E1369" s="79" t="str">
        <f t="shared" si="6"/>
        <v xml:space="preserve"> </v>
      </c>
    </row>
    <row r="1370" spans="1:5" ht="12.5">
      <c r="A1370" s="81" t="str">
        <f t="shared" si="0"/>
        <v xml:space="preserve"> </v>
      </c>
      <c r="B1370" s="81" t="str">
        <f t="shared" si="1"/>
        <v xml:space="preserve"> </v>
      </c>
      <c r="C1370" s="79" t="str">
        <f t="shared" si="7"/>
        <v xml:space="preserve"> </v>
      </c>
      <c r="D1370" s="79" t="str">
        <f t="shared" si="5"/>
        <v xml:space="preserve"> </v>
      </c>
      <c r="E1370" s="79" t="str">
        <f t="shared" si="6"/>
        <v xml:space="preserve"> </v>
      </c>
    </row>
    <row r="1371" spans="1:5" ht="12.5">
      <c r="A1371" s="81" t="str">
        <f t="shared" si="0"/>
        <v xml:space="preserve"> </v>
      </c>
      <c r="B1371" s="81" t="str">
        <f t="shared" si="1"/>
        <v xml:space="preserve"> </v>
      </c>
      <c r="C1371" s="79" t="str">
        <f t="shared" si="7"/>
        <v xml:space="preserve"> </v>
      </c>
      <c r="D1371" s="79" t="str">
        <f t="shared" si="5"/>
        <v xml:space="preserve"> </v>
      </c>
      <c r="E1371" s="79" t="str">
        <f t="shared" si="6"/>
        <v xml:space="preserve"> </v>
      </c>
    </row>
    <row r="1372" spans="1:5" ht="12.5">
      <c r="A1372" s="81" t="str">
        <f t="shared" si="0"/>
        <v xml:space="preserve"> </v>
      </c>
      <c r="B1372" s="81" t="str">
        <f t="shared" si="1"/>
        <v xml:space="preserve"> </v>
      </c>
      <c r="C1372" s="79" t="str">
        <f t="shared" si="7"/>
        <v xml:space="preserve"> </v>
      </c>
      <c r="D1372" s="79" t="str">
        <f t="shared" si="5"/>
        <v xml:space="preserve"> </v>
      </c>
      <c r="E1372" s="79" t="str">
        <f t="shared" si="6"/>
        <v xml:space="preserve"> </v>
      </c>
    </row>
    <row r="1373" spans="1:5" ht="12.5">
      <c r="A1373" s="81" t="str">
        <f t="shared" si="0"/>
        <v xml:space="preserve"> </v>
      </c>
      <c r="B1373" s="81" t="str">
        <f t="shared" si="1"/>
        <v xml:space="preserve"> </v>
      </c>
      <c r="C1373" s="79" t="str">
        <f t="shared" si="7"/>
        <v xml:space="preserve"> </v>
      </c>
      <c r="D1373" s="79" t="str">
        <f t="shared" si="5"/>
        <v xml:space="preserve"> </v>
      </c>
      <c r="E1373" s="79" t="str">
        <f t="shared" si="6"/>
        <v xml:space="preserve"> </v>
      </c>
    </row>
    <row r="1374" spans="1:5" ht="12.5">
      <c r="A1374" s="81" t="str">
        <f t="shared" si="0"/>
        <v xml:space="preserve"> </v>
      </c>
      <c r="B1374" s="81" t="str">
        <f t="shared" si="1"/>
        <v xml:space="preserve"> </v>
      </c>
      <c r="C1374" s="79" t="str">
        <f t="shared" si="7"/>
        <v xml:space="preserve"> </v>
      </c>
      <c r="D1374" s="79" t="str">
        <f t="shared" si="5"/>
        <v xml:space="preserve"> </v>
      </c>
      <c r="E1374" s="79" t="str">
        <f t="shared" si="6"/>
        <v xml:space="preserve"> </v>
      </c>
    </row>
    <row r="1375" spans="1:5" ht="12.5">
      <c r="A1375" s="81" t="str">
        <f t="shared" si="0"/>
        <v xml:space="preserve"> </v>
      </c>
      <c r="B1375" s="81" t="str">
        <f t="shared" si="1"/>
        <v xml:space="preserve"> </v>
      </c>
      <c r="C1375" s="79" t="str">
        <f t="shared" si="7"/>
        <v xml:space="preserve"> </v>
      </c>
      <c r="D1375" s="79" t="str">
        <f t="shared" si="5"/>
        <v xml:space="preserve"> </v>
      </c>
      <c r="E1375" s="79" t="str">
        <f t="shared" si="6"/>
        <v xml:space="preserve"> </v>
      </c>
    </row>
    <row r="1376" spans="1:5" ht="12.5">
      <c r="A1376" s="81" t="str">
        <f t="shared" si="0"/>
        <v xml:space="preserve"> </v>
      </c>
      <c r="B1376" s="81" t="str">
        <f t="shared" si="1"/>
        <v xml:space="preserve"> </v>
      </c>
      <c r="C1376" s="79" t="str">
        <f t="shared" si="7"/>
        <v xml:space="preserve"> </v>
      </c>
      <c r="D1376" s="79" t="str">
        <f t="shared" si="5"/>
        <v xml:space="preserve"> </v>
      </c>
      <c r="E1376" s="79" t="str">
        <f t="shared" si="6"/>
        <v xml:space="preserve"> </v>
      </c>
    </row>
    <row r="1377" spans="1:5" ht="12.5">
      <c r="A1377" s="81" t="str">
        <f t="shared" si="0"/>
        <v xml:space="preserve"> </v>
      </c>
      <c r="B1377" s="81" t="str">
        <f t="shared" si="1"/>
        <v xml:space="preserve"> </v>
      </c>
      <c r="C1377" s="79" t="str">
        <f t="shared" si="7"/>
        <v xml:space="preserve"> </v>
      </c>
      <c r="D1377" s="79" t="str">
        <f t="shared" si="5"/>
        <v xml:space="preserve"> </v>
      </c>
      <c r="E1377" s="79" t="str">
        <f t="shared" si="6"/>
        <v xml:space="preserve"> </v>
      </c>
    </row>
    <row r="1378" spans="1:5" ht="12.5">
      <c r="A1378" s="81" t="str">
        <f t="shared" si="0"/>
        <v xml:space="preserve"> </v>
      </c>
      <c r="B1378" s="81" t="str">
        <f t="shared" si="1"/>
        <v xml:space="preserve"> </v>
      </c>
      <c r="C1378" s="79" t="str">
        <f t="shared" si="7"/>
        <v xml:space="preserve"> </v>
      </c>
      <c r="D1378" s="79" t="str">
        <f t="shared" si="5"/>
        <v xml:space="preserve"> </v>
      </c>
      <c r="E1378" s="79" t="str">
        <f t="shared" si="6"/>
        <v xml:space="preserve"> </v>
      </c>
    </row>
    <row r="1379" spans="1:5" ht="12.5">
      <c r="A1379" s="81" t="str">
        <f t="shared" si="0"/>
        <v xml:space="preserve"> </v>
      </c>
      <c r="B1379" s="81" t="str">
        <f t="shared" si="1"/>
        <v xml:space="preserve"> </v>
      </c>
      <c r="C1379" s="79" t="str">
        <f t="shared" si="7"/>
        <v xml:space="preserve"> </v>
      </c>
      <c r="D1379" s="79" t="str">
        <f t="shared" si="5"/>
        <v xml:space="preserve"> </v>
      </c>
      <c r="E1379" s="79" t="str">
        <f t="shared" si="6"/>
        <v xml:space="preserve"> </v>
      </c>
    </row>
    <row r="1380" spans="1:5" ht="12.5">
      <c r="A1380" s="81" t="str">
        <f t="shared" si="0"/>
        <v xml:space="preserve"> </v>
      </c>
      <c r="B1380" s="81" t="str">
        <f t="shared" si="1"/>
        <v xml:space="preserve"> </v>
      </c>
      <c r="C1380" s="79" t="str">
        <f t="shared" si="7"/>
        <v xml:space="preserve"> </v>
      </c>
      <c r="D1380" s="79" t="str">
        <f t="shared" si="5"/>
        <v xml:space="preserve"> </v>
      </c>
      <c r="E1380" s="79" t="str">
        <f t="shared" si="6"/>
        <v xml:space="preserve"> </v>
      </c>
    </row>
    <row r="1381" spans="1:5" ht="12.5">
      <c r="A1381" s="81" t="str">
        <f t="shared" si="0"/>
        <v xml:space="preserve"> </v>
      </c>
      <c r="B1381" s="81" t="str">
        <f t="shared" si="1"/>
        <v xml:space="preserve"> </v>
      </c>
      <c r="C1381" s="79" t="str">
        <f t="shared" si="7"/>
        <v xml:space="preserve"> </v>
      </c>
      <c r="D1381" s="79" t="str">
        <f t="shared" si="5"/>
        <v xml:space="preserve"> </v>
      </c>
      <c r="E1381" s="79" t="str">
        <f t="shared" si="6"/>
        <v xml:space="preserve"> </v>
      </c>
    </row>
    <row r="1382" spans="1:5" ht="12.5">
      <c r="A1382" s="81" t="str">
        <f t="shared" si="0"/>
        <v xml:space="preserve"> </v>
      </c>
      <c r="B1382" s="81" t="str">
        <f t="shared" si="1"/>
        <v xml:space="preserve"> </v>
      </c>
      <c r="C1382" s="79" t="str">
        <f t="shared" si="7"/>
        <v xml:space="preserve"> </v>
      </c>
      <c r="D1382" s="79" t="str">
        <f t="shared" si="5"/>
        <v xml:space="preserve"> </v>
      </c>
      <c r="E1382" s="79" t="str">
        <f t="shared" si="6"/>
        <v xml:space="preserve"> </v>
      </c>
    </row>
    <row r="1383" spans="1:5" ht="12.5">
      <c r="A1383" s="81" t="str">
        <f t="shared" si="0"/>
        <v xml:space="preserve"> </v>
      </c>
      <c r="B1383" s="81" t="str">
        <f t="shared" si="1"/>
        <v xml:space="preserve"> </v>
      </c>
      <c r="C1383" s="79" t="str">
        <f t="shared" si="7"/>
        <v xml:space="preserve"> </v>
      </c>
      <c r="D1383" s="79" t="str">
        <f t="shared" si="5"/>
        <v xml:space="preserve"> </v>
      </c>
      <c r="E1383" s="79" t="str">
        <f t="shared" si="6"/>
        <v xml:space="preserve"> </v>
      </c>
    </row>
    <row r="1384" spans="1:5" ht="12.5">
      <c r="A1384" s="81" t="str">
        <f t="shared" si="0"/>
        <v xml:space="preserve"> </v>
      </c>
      <c r="B1384" s="81" t="str">
        <f t="shared" si="1"/>
        <v xml:space="preserve"> </v>
      </c>
      <c r="C1384" s="79" t="str">
        <f t="shared" si="7"/>
        <v xml:space="preserve"> </v>
      </c>
      <c r="D1384" s="79" t="str">
        <f t="shared" si="5"/>
        <v xml:space="preserve"> </v>
      </c>
      <c r="E1384" s="79" t="str">
        <f t="shared" si="6"/>
        <v xml:space="preserve"> </v>
      </c>
    </row>
    <row r="1385" spans="1:5" ht="12.5">
      <c r="A1385" s="81" t="str">
        <f t="shared" si="0"/>
        <v xml:space="preserve"> </v>
      </c>
      <c r="B1385" s="81" t="str">
        <f t="shared" si="1"/>
        <v xml:space="preserve"> </v>
      </c>
      <c r="C1385" s="79" t="str">
        <f t="shared" si="7"/>
        <v xml:space="preserve"> </v>
      </c>
      <c r="D1385" s="79" t="str">
        <f t="shared" si="5"/>
        <v xml:space="preserve"> </v>
      </c>
      <c r="E1385" s="79" t="str">
        <f t="shared" si="6"/>
        <v xml:space="preserve"> </v>
      </c>
    </row>
    <row r="1386" spans="1:5" ht="12.5">
      <c r="A1386" s="81" t="str">
        <f t="shared" si="0"/>
        <v xml:space="preserve"> </v>
      </c>
      <c r="B1386" s="81" t="str">
        <f t="shared" si="1"/>
        <v xml:space="preserve"> </v>
      </c>
      <c r="C1386" s="79" t="str">
        <f t="shared" si="7"/>
        <v xml:space="preserve"> </v>
      </c>
      <c r="D1386" s="79" t="str">
        <f t="shared" si="5"/>
        <v xml:space="preserve"> </v>
      </c>
      <c r="E1386" s="79" t="str">
        <f t="shared" si="6"/>
        <v xml:space="preserve"> </v>
      </c>
    </row>
    <row r="1387" spans="1:5" ht="12.5">
      <c r="A1387" s="81" t="str">
        <f t="shared" si="0"/>
        <v xml:space="preserve"> </v>
      </c>
      <c r="B1387" s="81" t="str">
        <f t="shared" si="1"/>
        <v xml:space="preserve"> </v>
      </c>
      <c r="C1387" s="79" t="str">
        <f t="shared" si="7"/>
        <v xml:space="preserve"> </v>
      </c>
      <c r="D1387" s="79" t="str">
        <f t="shared" si="5"/>
        <v xml:space="preserve"> </v>
      </c>
      <c r="E1387" s="79" t="str">
        <f t="shared" si="6"/>
        <v xml:space="preserve"> </v>
      </c>
    </row>
    <row r="1388" spans="1:5" ht="12.5">
      <c r="A1388" s="81" t="str">
        <f t="shared" si="0"/>
        <v xml:space="preserve"> </v>
      </c>
      <c r="B1388" s="81" t="str">
        <f t="shared" si="1"/>
        <v xml:space="preserve"> </v>
      </c>
      <c r="C1388" s="79" t="str">
        <f t="shared" si="7"/>
        <v xml:space="preserve"> </v>
      </c>
      <c r="D1388" s="79" t="str">
        <f t="shared" si="5"/>
        <v xml:space="preserve"> </v>
      </c>
      <c r="E1388" s="79" t="str">
        <f t="shared" si="6"/>
        <v xml:space="preserve"> </v>
      </c>
    </row>
    <row r="1389" spans="1:5" ht="12.5">
      <c r="A1389" s="81" t="str">
        <f t="shared" si="0"/>
        <v xml:space="preserve"> </v>
      </c>
      <c r="B1389" s="81" t="str">
        <f t="shared" si="1"/>
        <v xml:space="preserve"> </v>
      </c>
      <c r="C1389" s="79" t="str">
        <f t="shared" si="7"/>
        <v xml:space="preserve"> </v>
      </c>
      <c r="D1389" s="79" t="str">
        <f t="shared" si="5"/>
        <v xml:space="preserve"> </v>
      </c>
      <c r="E1389" s="79" t="str">
        <f t="shared" si="6"/>
        <v xml:space="preserve"> </v>
      </c>
    </row>
    <row r="1390" spans="1:5" ht="12.5">
      <c r="A1390" s="81" t="str">
        <f t="shared" si="0"/>
        <v xml:space="preserve"> </v>
      </c>
      <c r="B1390" s="81" t="str">
        <f t="shared" si="1"/>
        <v xml:space="preserve"> </v>
      </c>
      <c r="C1390" s="79" t="str">
        <f t="shared" si="7"/>
        <v xml:space="preserve"> </v>
      </c>
      <c r="D1390" s="79" t="str">
        <f t="shared" si="5"/>
        <v xml:space="preserve"> </v>
      </c>
      <c r="E1390" s="79" t="str">
        <f t="shared" si="6"/>
        <v xml:space="preserve"> </v>
      </c>
    </row>
    <row r="1391" spans="1:5" ht="12.5">
      <c r="A1391" s="81" t="str">
        <f t="shared" si="0"/>
        <v xml:space="preserve"> </v>
      </c>
      <c r="B1391" s="81" t="str">
        <f t="shared" si="1"/>
        <v xml:space="preserve"> </v>
      </c>
      <c r="C1391" s="79" t="str">
        <f t="shared" si="7"/>
        <v xml:space="preserve"> </v>
      </c>
      <c r="D1391" s="79" t="str">
        <f t="shared" si="5"/>
        <v xml:space="preserve"> </v>
      </c>
      <c r="E1391" s="79" t="str">
        <f t="shared" si="6"/>
        <v xml:space="preserve"> </v>
      </c>
    </row>
    <row r="1392" spans="1:5" ht="12.5">
      <c r="A1392" s="81" t="str">
        <f t="shared" si="0"/>
        <v xml:space="preserve"> </v>
      </c>
      <c r="B1392" s="81" t="str">
        <f t="shared" si="1"/>
        <v xml:space="preserve"> </v>
      </c>
      <c r="C1392" s="79" t="str">
        <f t="shared" si="7"/>
        <v xml:space="preserve"> </v>
      </c>
      <c r="D1392" s="79" t="str">
        <f t="shared" si="5"/>
        <v xml:space="preserve"> </v>
      </c>
      <c r="E1392" s="79" t="str">
        <f t="shared" si="6"/>
        <v xml:space="preserve"> </v>
      </c>
    </row>
    <row r="1393" spans="1:5" ht="12.5">
      <c r="A1393" s="81" t="str">
        <f t="shared" si="0"/>
        <v xml:space="preserve"> </v>
      </c>
      <c r="B1393" s="81" t="str">
        <f t="shared" si="1"/>
        <v xml:space="preserve"> </v>
      </c>
      <c r="C1393" s="79" t="str">
        <f t="shared" si="7"/>
        <v xml:space="preserve"> </v>
      </c>
      <c r="D1393" s="79" t="str">
        <f t="shared" si="5"/>
        <v xml:space="preserve"> </v>
      </c>
      <c r="E1393" s="79" t="str">
        <f t="shared" si="6"/>
        <v xml:space="preserve"> </v>
      </c>
    </row>
    <row r="1394" spans="1:5" ht="12.5">
      <c r="A1394" s="81" t="str">
        <f t="shared" si="0"/>
        <v xml:space="preserve"> </v>
      </c>
      <c r="B1394" s="81" t="str">
        <f t="shared" si="1"/>
        <v xml:space="preserve"> </v>
      </c>
      <c r="C1394" s="79" t="str">
        <f t="shared" si="7"/>
        <v xml:space="preserve"> </v>
      </c>
      <c r="D1394" s="79" t="str">
        <f t="shared" si="5"/>
        <v xml:space="preserve"> </v>
      </c>
      <c r="E1394" s="79" t="str">
        <f t="shared" si="6"/>
        <v xml:space="preserve"> </v>
      </c>
    </row>
    <row r="1395" spans="1:5" ht="12.5">
      <c r="A1395" s="81" t="str">
        <f t="shared" si="0"/>
        <v xml:space="preserve"> </v>
      </c>
      <c r="B1395" s="81" t="str">
        <f t="shared" si="1"/>
        <v xml:space="preserve"> </v>
      </c>
      <c r="C1395" s="79" t="str">
        <f t="shared" si="7"/>
        <v xml:space="preserve"> </v>
      </c>
      <c r="D1395" s="79" t="str">
        <f t="shared" si="5"/>
        <v xml:space="preserve"> </v>
      </c>
      <c r="E1395" s="79" t="str">
        <f t="shared" si="6"/>
        <v xml:space="preserve"> </v>
      </c>
    </row>
    <row r="1396" spans="1:5" ht="12.5">
      <c r="A1396" s="81" t="str">
        <f t="shared" si="0"/>
        <v xml:space="preserve"> </v>
      </c>
      <c r="B1396" s="81" t="str">
        <f t="shared" si="1"/>
        <v xml:space="preserve"> </v>
      </c>
      <c r="C1396" s="79" t="str">
        <f t="shared" si="7"/>
        <v xml:space="preserve"> </v>
      </c>
      <c r="D1396" s="79" t="str">
        <f t="shared" si="5"/>
        <v xml:space="preserve"> </v>
      </c>
      <c r="E1396" s="79" t="str">
        <f t="shared" si="6"/>
        <v xml:space="preserve"> </v>
      </c>
    </row>
    <row r="1397" spans="1:5" ht="12.5">
      <c r="A1397" s="81" t="str">
        <f t="shared" si="0"/>
        <v xml:space="preserve"> </v>
      </c>
      <c r="B1397" s="81" t="str">
        <f t="shared" si="1"/>
        <v xml:space="preserve"> </v>
      </c>
      <c r="C1397" s="79" t="str">
        <f t="shared" si="7"/>
        <v xml:space="preserve"> </v>
      </c>
      <c r="D1397" s="79" t="str">
        <f t="shared" si="5"/>
        <v xml:space="preserve"> </v>
      </c>
      <c r="E1397" s="79" t="str">
        <f t="shared" si="6"/>
        <v xml:space="preserve"> </v>
      </c>
    </row>
    <row r="1398" spans="1:5" ht="12.5">
      <c r="A1398" s="81" t="str">
        <f t="shared" si="0"/>
        <v xml:space="preserve"> </v>
      </c>
      <c r="B1398" s="81" t="str">
        <f t="shared" si="1"/>
        <v xml:space="preserve"> </v>
      </c>
      <c r="C1398" s="79" t="str">
        <f t="shared" si="7"/>
        <v xml:space="preserve"> </v>
      </c>
      <c r="D1398" s="79" t="str">
        <f t="shared" si="5"/>
        <v xml:space="preserve"> </v>
      </c>
      <c r="E1398" s="79" t="str">
        <f t="shared" si="6"/>
        <v xml:space="preserve"> </v>
      </c>
    </row>
    <row r="1399" spans="1:5" ht="12.5">
      <c r="A1399" s="81" t="str">
        <f t="shared" si="0"/>
        <v xml:space="preserve"> </v>
      </c>
      <c r="B1399" s="81" t="str">
        <f t="shared" si="1"/>
        <v xml:space="preserve"> </v>
      </c>
      <c r="C1399" s="79" t="str">
        <f t="shared" si="7"/>
        <v xml:space="preserve"> </v>
      </c>
      <c r="D1399" s="79" t="str">
        <f t="shared" si="5"/>
        <v xml:space="preserve"> </v>
      </c>
      <c r="E1399" s="79" t="str">
        <f t="shared" si="6"/>
        <v xml:space="preserve"> </v>
      </c>
    </row>
    <row r="1400" spans="1:5" ht="12.5">
      <c r="A1400" s="81" t="str">
        <f t="shared" si="0"/>
        <v xml:space="preserve"> </v>
      </c>
      <c r="B1400" s="81" t="str">
        <f t="shared" si="1"/>
        <v xml:space="preserve"> </v>
      </c>
      <c r="C1400" s="79" t="str">
        <f t="shared" si="7"/>
        <v xml:space="preserve"> </v>
      </c>
      <c r="D1400" s="79" t="str">
        <f t="shared" si="5"/>
        <v xml:space="preserve"> </v>
      </c>
      <c r="E1400" s="79" t="str">
        <f t="shared" si="6"/>
        <v xml:space="preserve"> </v>
      </c>
    </row>
    <row r="1401" spans="1:5" ht="12.5">
      <c r="A1401" s="81" t="str">
        <f t="shared" si="0"/>
        <v xml:space="preserve"> </v>
      </c>
      <c r="B1401" s="81" t="str">
        <f t="shared" si="1"/>
        <v xml:space="preserve"> </v>
      </c>
      <c r="C1401" s="79" t="str">
        <f t="shared" si="7"/>
        <v xml:space="preserve"> </v>
      </c>
      <c r="D1401" s="79" t="str">
        <f t="shared" si="5"/>
        <v xml:space="preserve"> </v>
      </c>
      <c r="E1401" s="79" t="str">
        <f t="shared" si="6"/>
        <v xml:space="preserve"> </v>
      </c>
    </row>
    <row r="1402" spans="1:5" ht="12.5">
      <c r="A1402" s="81" t="str">
        <f t="shared" si="0"/>
        <v xml:space="preserve"> </v>
      </c>
      <c r="B1402" s="81" t="str">
        <f t="shared" si="1"/>
        <v xml:space="preserve"> </v>
      </c>
      <c r="C1402" s="79" t="str">
        <f t="shared" si="7"/>
        <v xml:space="preserve"> </v>
      </c>
      <c r="D1402" s="79" t="str">
        <f t="shared" si="5"/>
        <v xml:space="preserve"> </v>
      </c>
      <c r="E1402" s="79" t="str">
        <f t="shared" si="6"/>
        <v xml:space="preserve"> </v>
      </c>
    </row>
    <row r="1403" spans="1:5" ht="12.5">
      <c r="A1403" s="81" t="str">
        <f t="shared" si="0"/>
        <v xml:space="preserve"> </v>
      </c>
      <c r="B1403" s="81" t="str">
        <f t="shared" si="1"/>
        <v xml:space="preserve"> </v>
      </c>
      <c r="C1403" s="79" t="str">
        <f t="shared" si="7"/>
        <v xml:space="preserve"> </v>
      </c>
      <c r="D1403" s="79" t="str">
        <f t="shared" si="5"/>
        <v xml:space="preserve"> </v>
      </c>
      <c r="E1403" s="79" t="str">
        <f t="shared" si="6"/>
        <v xml:space="preserve"> </v>
      </c>
    </row>
    <row r="1404" spans="1:5" ht="12.5">
      <c r="A1404" s="81" t="str">
        <f t="shared" si="0"/>
        <v xml:space="preserve"> </v>
      </c>
      <c r="B1404" s="81" t="str">
        <f t="shared" si="1"/>
        <v xml:space="preserve"> </v>
      </c>
      <c r="C1404" s="79" t="str">
        <f t="shared" si="7"/>
        <v xml:space="preserve"> </v>
      </c>
      <c r="D1404" s="79" t="str">
        <f t="shared" si="5"/>
        <v xml:space="preserve"> </v>
      </c>
      <c r="E1404" s="79" t="str">
        <f t="shared" si="6"/>
        <v xml:space="preserve"> </v>
      </c>
    </row>
    <row r="1405" spans="1:5" ht="12.5">
      <c r="A1405" s="81" t="str">
        <f t="shared" si="0"/>
        <v xml:space="preserve"> </v>
      </c>
      <c r="B1405" s="81" t="str">
        <f t="shared" si="1"/>
        <v xml:space="preserve"> </v>
      </c>
      <c r="C1405" s="79" t="str">
        <f t="shared" si="7"/>
        <v xml:space="preserve"> </v>
      </c>
      <c r="D1405" s="79" t="str">
        <f t="shared" si="5"/>
        <v xml:space="preserve"> </v>
      </c>
      <c r="E1405" s="79" t="str">
        <f t="shared" si="6"/>
        <v xml:space="preserve"> </v>
      </c>
    </row>
    <row r="1406" spans="1:5" ht="12.5">
      <c r="A1406" s="81" t="str">
        <f t="shared" si="0"/>
        <v xml:space="preserve"> </v>
      </c>
      <c r="B1406" s="81" t="str">
        <f t="shared" si="1"/>
        <v xml:space="preserve"> </v>
      </c>
      <c r="C1406" s="79" t="str">
        <f t="shared" si="7"/>
        <v xml:space="preserve"> </v>
      </c>
      <c r="D1406" s="79" t="str">
        <f t="shared" si="5"/>
        <v xml:space="preserve"> </v>
      </c>
      <c r="E1406" s="79" t="str">
        <f t="shared" si="6"/>
        <v xml:space="preserve"> </v>
      </c>
    </row>
    <row r="1407" spans="1:5" ht="12.5">
      <c r="A1407" s="81" t="str">
        <f t="shared" si="0"/>
        <v xml:space="preserve"> </v>
      </c>
      <c r="B1407" s="81" t="str">
        <f t="shared" si="1"/>
        <v xml:space="preserve"> </v>
      </c>
      <c r="C1407" s="79" t="str">
        <f t="shared" si="7"/>
        <v xml:space="preserve"> </v>
      </c>
      <c r="D1407" s="79" t="str">
        <f t="shared" si="5"/>
        <v xml:space="preserve"> </v>
      </c>
      <c r="E1407" s="79" t="str">
        <f t="shared" si="6"/>
        <v xml:space="preserve"> </v>
      </c>
    </row>
    <row r="1408" spans="1:5" ht="12.5">
      <c r="A1408" s="81" t="str">
        <f t="shared" si="0"/>
        <v xml:space="preserve"> </v>
      </c>
      <c r="B1408" s="81" t="str">
        <f t="shared" si="1"/>
        <v xml:space="preserve"> </v>
      </c>
      <c r="C1408" s="79" t="str">
        <f t="shared" si="7"/>
        <v xml:space="preserve"> </v>
      </c>
      <c r="D1408" s="79" t="str">
        <f t="shared" si="5"/>
        <v xml:space="preserve"> </v>
      </c>
      <c r="E1408" s="79" t="str">
        <f t="shared" si="6"/>
        <v xml:space="preserve"> </v>
      </c>
    </row>
    <row r="1409" spans="1:5" ht="12.5">
      <c r="A1409" s="81" t="str">
        <f t="shared" si="0"/>
        <v xml:space="preserve"> </v>
      </c>
      <c r="B1409" s="81" t="str">
        <f t="shared" si="1"/>
        <v xml:space="preserve"> </v>
      </c>
      <c r="C1409" s="79" t="str">
        <f t="shared" si="7"/>
        <v xml:space="preserve"> </v>
      </c>
      <c r="D1409" s="79" t="str">
        <f t="shared" si="5"/>
        <v xml:space="preserve"> </v>
      </c>
      <c r="E1409" s="79" t="str">
        <f t="shared" si="6"/>
        <v xml:space="preserve"> </v>
      </c>
    </row>
    <row r="1410" spans="1:5" ht="12.5">
      <c r="A1410" s="81" t="str">
        <f t="shared" si="0"/>
        <v xml:space="preserve"> </v>
      </c>
      <c r="B1410" s="81" t="str">
        <f t="shared" si="1"/>
        <v xml:space="preserve"> </v>
      </c>
      <c r="C1410" s="79" t="str">
        <f t="shared" si="7"/>
        <v xml:space="preserve"> </v>
      </c>
      <c r="D1410" s="79" t="str">
        <f t="shared" si="5"/>
        <v xml:space="preserve"> </v>
      </c>
      <c r="E1410" s="79" t="str">
        <f t="shared" si="6"/>
        <v xml:space="preserve"> </v>
      </c>
    </row>
    <row r="1411" spans="1:5" ht="12.5">
      <c r="A1411" s="81" t="str">
        <f t="shared" si="0"/>
        <v xml:space="preserve"> </v>
      </c>
      <c r="B1411" s="81" t="str">
        <f t="shared" si="1"/>
        <v xml:space="preserve"> </v>
      </c>
      <c r="C1411" s="79" t="str">
        <f t="shared" si="7"/>
        <v xml:space="preserve"> </v>
      </c>
      <c r="D1411" s="79" t="str">
        <f t="shared" si="5"/>
        <v xml:space="preserve"> </v>
      </c>
      <c r="E1411" s="79" t="str">
        <f t="shared" si="6"/>
        <v xml:space="preserve"> </v>
      </c>
    </row>
    <row r="1412" spans="1:5" ht="12.5">
      <c r="A1412" s="81" t="str">
        <f t="shared" si="0"/>
        <v xml:space="preserve"> </v>
      </c>
      <c r="B1412" s="81" t="str">
        <f t="shared" si="1"/>
        <v xml:space="preserve"> </v>
      </c>
      <c r="C1412" s="79" t="str">
        <f t="shared" si="7"/>
        <v xml:space="preserve"> </v>
      </c>
      <c r="D1412" s="79" t="str">
        <f t="shared" si="5"/>
        <v xml:space="preserve"> </v>
      </c>
      <c r="E1412" s="79" t="str">
        <f t="shared" si="6"/>
        <v xml:space="preserve"> </v>
      </c>
    </row>
    <row r="1413" spans="1:5" ht="12.5">
      <c r="A1413" s="81" t="str">
        <f t="shared" si="0"/>
        <v xml:space="preserve"> </v>
      </c>
      <c r="B1413" s="81" t="str">
        <f t="shared" si="1"/>
        <v xml:space="preserve"> </v>
      </c>
      <c r="C1413" s="79" t="str">
        <f t="shared" si="7"/>
        <v xml:space="preserve"> </v>
      </c>
      <c r="D1413" s="79" t="str">
        <f t="shared" si="5"/>
        <v xml:space="preserve"> </v>
      </c>
      <c r="E1413" s="79" t="str">
        <f t="shared" si="6"/>
        <v xml:space="preserve"> </v>
      </c>
    </row>
    <row r="1414" spans="1:5" ht="12.5">
      <c r="A1414" s="81" t="str">
        <f t="shared" si="0"/>
        <v xml:space="preserve"> </v>
      </c>
      <c r="B1414" s="81" t="str">
        <f t="shared" si="1"/>
        <v xml:space="preserve"> </v>
      </c>
      <c r="C1414" s="79" t="str">
        <f t="shared" si="7"/>
        <v xml:space="preserve"> </v>
      </c>
      <c r="D1414" s="79" t="str">
        <f t="shared" si="5"/>
        <v xml:space="preserve"> </v>
      </c>
      <c r="E1414" s="79" t="str">
        <f t="shared" si="6"/>
        <v xml:space="preserve"> </v>
      </c>
    </row>
    <row r="1415" spans="1:5" ht="12.5">
      <c r="A1415" s="81" t="str">
        <f t="shared" si="0"/>
        <v xml:space="preserve"> </v>
      </c>
      <c r="B1415" s="81" t="str">
        <f t="shared" si="1"/>
        <v xml:space="preserve"> </v>
      </c>
      <c r="C1415" s="79" t="str">
        <f t="shared" si="7"/>
        <v xml:space="preserve"> </v>
      </c>
      <c r="D1415" s="79" t="str">
        <f t="shared" si="5"/>
        <v xml:space="preserve"> </v>
      </c>
      <c r="E1415" s="79" t="str">
        <f t="shared" si="6"/>
        <v xml:space="preserve"> </v>
      </c>
    </row>
    <row r="1416" spans="1:5" ht="12.5">
      <c r="A1416" s="81" t="str">
        <f t="shared" si="0"/>
        <v xml:space="preserve"> </v>
      </c>
      <c r="B1416" s="81" t="str">
        <f t="shared" si="1"/>
        <v xml:space="preserve"> </v>
      </c>
      <c r="C1416" s="79" t="str">
        <f t="shared" si="7"/>
        <v xml:space="preserve"> </v>
      </c>
      <c r="D1416" s="79" t="str">
        <f t="shared" si="5"/>
        <v xml:space="preserve"> </v>
      </c>
      <c r="E1416" s="79" t="str">
        <f t="shared" si="6"/>
        <v xml:space="preserve"> </v>
      </c>
    </row>
    <row r="1417" spans="1:5" ht="12.5">
      <c r="A1417" s="81" t="str">
        <f t="shared" si="0"/>
        <v xml:space="preserve"> </v>
      </c>
      <c r="B1417" s="81" t="str">
        <f t="shared" si="1"/>
        <v xml:space="preserve"> </v>
      </c>
      <c r="C1417" s="79" t="str">
        <f t="shared" si="7"/>
        <v xml:space="preserve"> </v>
      </c>
      <c r="D1417" s="79" t="str">
        <f t="shared" si="5"/>
        <v xml:space="preserve"> </v>
      </c>
      <c r="E1417" s="79" t="str">
        <f t="shared" si="6"/>
        <v xml:space="preserve"> </v>
      </c>
    </row>
    <row r="1418" spans="1:5" ht="12.5">
      <c r="A1418" s="81" t="str">
        <f t="shared" si="0"/>
        <v xml:space="preserve"> </v>
      </c>
      <c r="B1418" s="81" t="str">
        <f t="shared" si="1"/>
        <v xml:space="preserve"> </v>
      </c>
      <c r="C1418" s="79" t="str">
        <f t="shared" si="7"/>
        <v xml:space="preserve"> </v>
      </c>
      <c r="D1418" s="79" t="str">
        <f t="shared" si="5"/>
        <v xml:space="preserve"> </v>
      </c>
      <c r="E1418" s="79" t="str">
        <f t="shared" si="6"/>
        <v xml:space="preserve"> </v>
      </c>
    </row>
    <row r="1419" spans="1:5" ht="12.5">
      <c r="A1419" s="81" t="str">
        <f t="shared" si="0"/>
        <v xml:space="preserve"> </v>
      </c>
      <c r="B1419" s="81" t="str">
        <f t="shared" si="1"/>
        <v xml:space="preserve"> </v>
      </c>
      <c r="C1419" s="79" t="str">
        <f t="shared" si="7"/>
        <v xml:space="preserve"> </v>
      </c>
      <c r="D1419" s="79" t="str">
        <f t="shared" si="5"/>
        <v xml:space="preserve"> </v>
      </c>
      <c r="E1419" s="79" t="str">
        <f t="shared" si="6"/>
        <v xml:space="preserve"> </v>
      </c>
    </row>
    <row r="1420" spans="1:5" ht="12.5">
      <c r="A1420" s="81" t="str">
        <f t="shared" si="0"/>
        <v xml:space="preserve"> </v>
      </c>
      <c r="B1420" s="81" t="str">
        <f t="shared" si="1"/>
        <v xml:space="preserve"> </v>
      </c>
      <c r="C1420" s="79" t="str">
        <f t="shared" si="7"/>
        <v xml:space="preserve"> </v>
      </c>
      <c r="D1420" s="79" t="str">
        <f t="shared" si="5"/>
        <v xml:space="preserve"> </v>
      </c>
      <c r="E1420" s="79" t="str">
        <f t="shared" si="6"/>
        <v xml:space="preserve"> </v>
      </c>
    </row>
    <row r="1421" spans="1:5" ht="12.5">
      <c r="A1421" s="81" t="str">
        <f t="shared" si="0"/>
        <v xml:space="preserve"> </v>
      </c>
      <c r="B1421" s="81" t="str">
        <f t="shared" si="1"/>
        <v xml:space="preserve"> </v>
      </c>
      <c r="C1421" s="79" t="str">
        <f t="shared" si="7"/>
        <v xml:space="preserve"> </v>
      </c>
      <c r="D1421" s="79" t="str">
        <f t="shared" si="5"/>
        <v xml:space="preserve"> </v>
      </c>
      <c r="E1421" s="79" t="str">
        <f t="shared" si="6"/>
        <v xml:space="preserve"> </v>
      </c>
    </row>
    <row r="1422" spans="1:5" ht="12.5">
      <c r="A1422" s="81" t="str">
        <f t="shared" si="0"/>
        <v xml:space="preserve"> </v>
      </c>
      <c r="B1422" s="81" t="str">
        <f t="shared" si="1"/>
        <v xml:space="preserve"> </v>
      </c>
      <c r="C1422" s="79" t="str">
        <f t="shared" si="7"/>
        <v xml:space="preserve"> </v>
      </c>
      <c r="D1422" s="79" t="str">
        <f t="shared" si="5"/>
        <v xml:space="preserve"> </v>
      </c>
      <c r="E1422" s="79" t="str">
        <f t="shared" si="6"/>
        <v xml:space="preserve"> </v>
      </c>
    </row>
    <row r="1423" spans="1:5" ht="12.5">
      <c r="A1423" s="81" t="str">
        <f t="shared" si="0"/>
        <v xml:space="preserve"> </v>
      </c>
      <c r="B1423" s="81" t="str">
        <f t="shared" si="1"/>
        <v xml:space="preserve"> </v>
      </c>
      <c r="C1423" s="79" t="str">
        <f t="shared" si="7"/>
        <v xml:space="preserve"> </v>
      </c>
      <c r="D1423" s="79" t="str">
        <f t="shared" si="5"/>
        <v xml:space="preserve"> </v>
      </c>
      <c r="E1423" s="79" t="str">
        <f t="shared" si="6"/>
        <v xml:space="preserve"> </v>
      </c>
    </row>
    <row r="1424" spans="1:5" ht="12.5">
      <c r="A1424" s="81" t="str">
        <f t="shared" si="0"/>
        <v xml:space="preserve"> </v>
      </c>
      <c r="B1424" s="81" t="str">
        <f t="shared" si="1"/>
        <v xml:space="preserve"> </v>
      </c>
      <c r="C1424" s="79" t="str">
        <f t="shared" si="7"/>
        <v xml:space="preserve"> </v>
      </c>
      <c r="D1424" s="79" t="str">
        <f t="shared" si="5"/>
        <v xml:space="preserve"> </v>
      </c>
      <c r="E1424" s="79" t="str">
        <f t="shared" si="6"/>
        <v xml:space="preserve"> </v>
      </c>
    </row>
    <row r="1425" spans="1:5" ht="12.5">
      <c r="A1425" s="81" t="str">
        <f t="shared" si="0"/>
        <v xml:space="preserve"> </v>
      </c>
      <c r="B1425" s="81" t="str">
        <f t="shared" si="1"/>
        <v xml:space="preserve"> </v>
      </c>
      <c r="C1425" s="79" t="str">
        <f t="shared" si="7"/>
        <v xml:space="preserve"> </v>
      </c>
      <c r="D1425" s="79" t="str">
        <f t="shared" si="5"/>
        <v xml:space="preserve"> </v>
      </c>
      <c r="E1425" s="79" t="str">
        <f t="shared" si="6"/>
        <v xml:space="preserve"> </v>
      </c>
    </row>
    <row r="1426" spans="1:5" ht="12.5">
      <c r="A1426" s="81" t="str">
        <f t="shared" si="0"/>
        <v xml:space="preserve"> </v>
      </c>
      <c r="B1426" s="81" t="str">
        <f t="shared" si="1"/>
        <v xml:space="preserve"> </v>
      </c>
      <c r="C1426" s="79" t="str">
        <f t="shared" si="7"/>
        <v xml:space="preserve"> </v>
      </c>
      <c r="D1426" s="79" t="str">
        <f t="shared" si="5"/>
        <v xml:space="preserve"> </v>
      </c>
      <c r="E1426" s="79" t="str">
        <f t="shared" si="6"/>
        <v xml:space="preserve"> </v>
      </c>
    </row>
    <row r="1427" spans="1:5" ht="12.5">
      <c r="A1427" s="81" t="str">
        <f t="shared" si="0"/>
        <v xml:space="preserve"> </v>
      </c>
      <c r="B1427" s="81" t="str">
        <f t="shared" si="1"/>
        <v xml:space="preserve"> </v>
      </c>
      <c r="C1427" s="79" t="str">
        <f t="shared" si="7"/>
        <v xml:space="preserve"> </v>
      </c>
      <c r="D1427" s="79" t="str">
        <f t="shared" si="5"/>
        <v xml:space="preserve"> </v>
      </c>
      <c r="E1427" s="79" t="str">
        <f t="shared" si="6"/>
        <v xml:space="preserve"> </v>
      </c>
    </row>
    <row r="1428" spans="1:5" ht="12.5">
      <c r="A1428" s="81" t="str">
        <f t="shared" si="0"/>
        <v xml:space="preserve"> </v>
      </c>
      <c r="B1428" s="81" t="str">
        <f t="shared" si="1"/>
        <v xml:space="preserve"> </v>
      </c>
      <c r="C1428" s="79" t="str">
        <f t="shared" si="7"/>
        <v xml:space="preserve"> </v>
      </c>
      <c r="D1428" s="79" t="str">
        <f t="shared" si="5"/>
        <v xml:space="preserve"> </v>
      </c>
      <c r="E1428" s="79" t="str">
        <f t="shared" si="6"/>
        <v xml:space="preserve"> </v>
      </c>
    </row>
    <row r="1429" spans="1:5" ht="12.5">
      <c r="A1429" s="81" t="str">
        <f t="shared" si="0"/>
        <v xml:space="preserve"> </v>
      </c>
      <c r="B1429" s="81" t="str">
        <f t="shared" si="1"/>
        <v xml:space="preserve"> </v>
      </c>
      <c r="C1429" s="79" t="str">
        <f t="shared" si="7"/>
        <v xml:space="preserve"> </v>
      </c>
      <c r="D1429" s="79" t="str">
        <f t="shared" si="5"/>
        <v xml:space="preserve"> </v>
      </c>
      <c r="E1429" s="79" t="str">
        <f t="shared" si="6"/>
        <v xml:space="preserve"> </v>
      </c>
    </row>
    <row r="1430" spans="1:5" ht="12.5">
      <c r="A1430" s="81" t="str">
        <f t="shared" si="0"/>
        <v xml:space="preserve"> </v>
      </c>
      <c r="B1430" s="81" t="str">
        <f t="shared" si="1"/>
        <v xml:space="preserve"> </v>
      </c>
      <c r="C1430" s="79" t="str">
        <f t="shared" si="7"/>
        <v xml:space="preserve"> </v>
      </c>
      <c r="D1430" s="79" t="str">
        <f t="shared" si="5"/>
        <v xml:space="preserve"> </v>
      </c>
      <c r="E1430" s="79" t="str">
        <f t="shared" si="6"/>
        <v xml:space="preserve"> </v>
      </c>
    </row>
    <row r="1431" spans="1:5" ht="12.5">
      <c r="A1431" s="81" t="str">
        <f t="shared" si="0"/>
        <v xml:space="preserve"> </v>
      </c>
      <c r="B1431" s="81" t="str">
        <f t="shared" si="1"/>
        <v xml:space="preserve"> </v>
      </c>
      <c r="C1431" s="79" t="str">
        <f t="shared" si="7"/>
        <v xml:space="preserve"> </v>
      </c>
      <c r="D1431" s="79" t="str">
        <f t="shared" si="5"/>
        <v xml:space="preserve"> </v>
      </c>
      <c r="E1431" s="79" t="str">
        <f t="shared" si="6"/>
        <v xml:space="preserve"> </v>
      </c>
    </row>
    <row r="1432" spans="1:5" ht="12.5">
      <c r="A1432" s="81" t="str">
        <f t="shared" si="0"/>
        <v xml:space="preserve"> </v>
      </c>
      <c r="B1432" s="81" t="str">
        <f t="shared" si="1"/>
        <v xml:space="preserve"> </v>
      </c>
      <c r="C1432" s="79" t="str">
        <f t="shared" si="7"/>
        <v xml:space="preserve"> </v>
      </c>
      <c r="D1432" s="79" t="str">
        <f t="shared" si="5"/>
        <v xml:space="preserve"> </v>
      </c>
      <c r="E1432" s="79" t="str">
        <f t="shared" si="6"/>
        <v xml:space="preserve"> </v>
      </c>
    </row>
    <row r="1433" spans="1:5" ht="12.5">
      <c r="A1433" s="81" t="str">
        <f t="shared" si="0"/>
        <v xml:space="preserve"> </v>
      </c>
      <c r="B1433" s="81" t="str">
        <f t="shared" si="1"/>
        <v xml:space="preserve"> </v>
      </c>
      <c r="C1433" s="79" t="str">
        <f t="shared" si="7"/>
        <v xml:space="preserve"> </v>
      </c>
      <c r="D1433" s="79" t="str">
        <f t="shared" si="5"/>
        <v xml:space="preserve"> </v>
      </c>
      <c r="E1433" s="79" t="str">
        <f t="shared" si="6"/>
        <v xml:space="preserve"> </v>
      </c>
    </row>
    <row r="1434" spans="1:5" ht="12.5">
      <c r="A1434" s="81" t="str">
        <f t="shared" si="0"/>
        <v xml:space="preserve"> </v>
      </c>
      <c r="B1434" s="81" t="str">
        <f t="shared" si="1"/>
        <v xml:space="preserve"> </v>
      </c>
      <c r="C1434" s="79" t="str">
        <f t="shared" si="7"/>
        <v xml:space="preserve"> </v>
      </c>
      <c r="D1434" s="79" t="str">
        <f t="shared" si="5"/>
        <v xml:space="preserve"> </v>
      </c>
      <c r="E1434" s="79" t="str">
        <f t="shared" si="6"/>
        <v xml:space="preserve"> </v>
      </c>
    </row>
    <row r="1435" spans="1:5" ht="12.5">
      <c r="A1435" s="81" t="str">
        <f t="shared" si="0"/>
        <v xml:space="preserve"> </v>
      </c>
      <c r="B1435" s="81" t="str">
        <f t="shared" si="1"/>
        <v xml:space="preserve"> </v>
      </c>
      <c r="C1435" s="79" t="str">
        <f t="shared" si="7"/>
        <v xml:space="preserve"> </v>
      </c>
      <c r="D1435" s="79" t="str">
        <f t="shared" si="5"/>
        <v xml:space="preserve"> </v>
      </c>
      <c r="E1435" s="79" t="str">
        <f t="shared" si="6"/>
        <v xml:space="preserve"> </v>
      </c>
    </row>
    <row r="1436" spans="1:5" ht="12.5">
      <c r="A1436" s="81" t="str">
        <f t="shared" si="0"/>
        <v xml:space="preserve"> </v>
      </c>
      <c r="B1436" s="81" t="str">
        <f t="shared" si="1"/>
        <v xml:space="preserve"> </v>
      </c>
      <c r="C1436" s="79" t="str">
        <f t="shared" si="7"/>
        <v xml:space="preserve"> </v>
      </c>
      <c r="D1436" s="79" t="str">
        <f t="shared" si="5"/>
        <v xml:space="preserve"> </v>
      </c>
      <c r="E1436" s="79" t="str">
        <f t="shared" si="6"/>
        <v xml:space="preserve"> </v>
      </c>
    </row>
    <row r="1437" spans="1:5" ht="12.5">
      <c r="A1437" s="81" t="str">
        <f t="shared" si="0"/>
        <v xml:space="preserve"> </v>
      </c>
      <c r="B1437" s="81" t="str">
        <f t="shared" si="1"/>
        <v xml:space="preserve"> </v>
      </c>
      <c r="C1437" s="79" t="str">
        <f t="shared" si="7"/>
        <v xml:space="preserve"> </v>
      </c>
      <c r="D1437" s="79" t="str">
        <f t="shared" si="5"/>
        <v xml:space="preserve"> </v>
      </c>
      <c r="E1437" s="79" t="str">
        <f t="shared" si="6"/>
        <v xml:space="preserve"> </v>
      </c>
    </row>
    <row r="1438" spans="1:5" ht="12.5">
      <c r="A1438" s="81" t="str">
        <f t="shared" si="0"/>
        <v xml:space="preserve"> </v>
      </c>
      <c r="B1438" s="81" t="str">
        <f t="shared" si="1"/>
        <v xml:space="preserve"> </v>
      </c>
      <c r="C1438" s="79" t="str">
        <f t="shared" si="7"/>
        <v xml:space="preserve"> </v>
      </c>
      <c r="D1438" s="79" t="str">
        <f t="shared" si="5"/>
        <v xml:space="preserve"> </v>
      </c>
      <c r="E1438" s="79" t="str">
        <f t="shared" si="6"/>
        <v xml:space="preserve"> </v>
      </c>
    </row>
    <row r="1439" spans="1:5" ht="12.5">
      <c r="A1439" s="81" t="str">
        <f t="shared" si="0"/>
        <v xml:space="preserve"> </v>
      </c>
      <c r="B1439" s="81" t="str">
        <f t="shared" si="1"/>
        <v xml:space="preserve"> </v>
      </c>
      <c r="C1439" s="79" t="str">
        <f t="shared" si="7"/>
        <v xml:space="preserve"> </v>
      </c>
      <c r="D1439" s="79" t="str">
        <f t="shared" si="5"/>
        <v xml:space="preserve"> </v>
      </c>
      <c r="E1439" s="79" t="str">
        <f t="shared" si="6"/>
        <v xml:space="preserve"> </v>
      </c>
    </row>
    <row r="1440" spans="1:5" ht="12.5">
      <c r="A1440" s="81" t="str">
        <f t="shared" si="0"/>
        <v xml:space="preserve"> </v>
      </c>
      <c r="B1440" s="81" t="str">
        <f t="shared" si="1"/>
        <v xml:space="preserve"> </v>
      </c>
      <c r="C1440" s="79" t="str">
        <f t="shared" si="7"/>
        <v xml:space="preserve"> </v>
      </c>
      <c r="D1440" s="79" t="str">
        <f t="shared" si="5"/>
        <v xml:space="preserve"> </v>
      </c>
      <c r="E1440" s="79" t="str">
        <f t="shared" si="6"/>
        <v xml:space="preserve"> </v>
      </c>
    </row>
    <row r="1441" spans="1:5" ht="12.5">
      <c r="A1441" s="81" t="str">
        <f t="shared" si="0"/>
        <v xml:space="preserve"> </v>
      </c>
      <c r="B1441" s="81" t="str">
        <f t="shared" si="1"/>
        <v xml:space="preserve"> </v>
      </c>
      <c r="C1441" s="79" t="str">
        <f t="shared" si="7"/>
        <v xml:space="preserve"> </v>
      </c>
      <c r="D1441" s="79" t="str">
        <f t="shared" si="5"/>
        <v xml:space="preserve"> </v>
      </c>
      <c r="E1441" s="79" t="str">
        <f t="shared" si="6"/>
        <v xml:space="preserve"> </v>
      </c>
    </row>
    <row r="1442" spans="1:5" ht="12.5">
      <c r="A1442" s="81" t="str">
        <f t="shared" si="0"/>
        <v xml:space="preserve"> </v>
      </c>
      <c r="B1442" s="81" t="str">
        <f t="shared" si="1"/>
        <v xml:space="preserve"> </v>
      </c>
      <c r="C1442" s="79" t="str">
        <f t="shared" si="7"/>
        <v xml:space="preserve"> </v>
      </c>
      <c r="D1442" s="79" t="str">
        <f t="shared" si="5"/>
        <v xml:space="preserve"> </v>
      </c>
      <c r="E1442" s="79" t="str">
        <f t="shared" si="6"/>
        <v xml:space="preserve"> </v>
      </c>
    </row>
    <row r="1443" spans="1:5" ht="12.5">
      <c r="A1443" s="81" t="str">
        <f t="shared" si="0"/>
        <v xml:space="preserve"> </v>
      </c>
      <c r="B1443" s="81" t="str">
        <f t="shared" si="1"/>
        <v xml:space="preserve"> </v>
      </c>
      <c r="C1443" s="79" t="str">
        <f t="shared" si="7"/>
        <v xml:space="preserve"> </v>
      </c>
      <c r="D1443" s="79" t="str">
        <f t="shared" si="5"/>
        <v xml:space="preserve"> </v>
      </c>
      <c r="E1443" s="79" t="str">
        <f t="shared" si="6"/>
        <v xml:space="preserve"> </v>
      </c>
    </row>
    <row r="1444" spans="1:5" ht="12.5">
      <c r="A1444" s="81" t="str">
        <f t="shared" si="0"/>
        <v xml:space="preserve"> </v>
      </c>
      <c r="B1444" s="81" t="str">
        <f t="shared" si="1"/>
        <v xml:space="preserve"> </v>
      </c>
      <c r="C1444" s="79" t="str">
        <f t="shared" si="7"/>
        <v xml:space="preserve"> </v>
      </c>
      <c r="D1444" s="79" t="str">
        <f t="shared" si="5"/>
        <v xml:space="preserve"> </v>
      </c>
      <c r="E1444" s="79" t="str">
        <f t="shared" si="6"/>
        <v xml:space="preserve"> </v>
      </c>
    </row>
    <row r="1445" spans="1:5" ht="12.5">
      <c r="A1445" s="81" t="str">
        <f t="shared" si="0"/>
        <v xml:space="preserve"> </v>
      </c>
      <c r="B1445" s="81" t="str">
        <f t="shared" si="1"/>
        <v xml:space="preserve"> </v>
      </c>
      <c r="C1445" s="79" t="str">
        <f t="shared" si="7"/>
        <v xml:space="preserve"> </v>
      </c>
      <c r="D1445" s="79" t="str">
        <f t="shared" si="5"/>
        <v xml:space="preserve"> </v>
      </c>
      <c r="E1445" s="79" t="str">
        <f t="shared" si="6"/>
        <v xml:space="preserve"> </v>
      </c>
    </row>
    <row r="1446" spans="1:5" ht="12.5">
      <c r="A1446" s="81" t="str">
        <f t="shared" si="0"/>
        <v xml:space="preserve"> </v>
      </c>
      <c r="B1446" s="81" t="str">
        <f t="shared" si="1"/>
        <v xml:space="preserve"> </v>
      </c>
      <c r="C1446" s="79" t="str">
        <f t="shared" si="7"/>
        <v xml:space="preserve"> </v>
      </c>
      <c r="D1446" s="79" t="str">
        <f t="shared" si="5"/>
        <v xml:space="preserve"> </v>
      </c>
      <c r="E1446" s="79" t="str">
        <f t="shared" si="6"/>
        <v xml:space="preserve"> </v>
      </c>
    </row>
    <row r="1447" spans="1:5" ht="12.5">
      <c r="A1447" s="81" t="str">
        <f t="shared" si="0"/>
        <v xml:space="preserve"> </v>
      </c>
      <c r="B1447" s="81" t="str">
        <f t="shared" si="1"/>
        <v xml:space="preserve"> </v>
      </c>
      <c r="C1447" s="79" t="str">
        <f t="shared" si="7"/>
        <v xml:space="preserve"> </v>
      </c>
      <c r="D1447" s="79" t="str">
        <f t="shared" si="5"/>
        <v xml:space="preserve"> </v>
      </c>
      <c r="E1447" s="79" t="str">
        <f t="shared" si="6"/>
        <v xml:space="preserve"> </v>
      </c>
    </row>
    <row r="1448" spans="1:5" ht="12.5">
      <c r="A1448" s="81" t="str">
        <f t="shared" si="0"/>
        <v xml:space="preserve"> </v>
      </c>
      <c r="B1448" s="81" t="str">
        <f t="shared" si="1"/>
        <v xml:space="preserve"> </v>
      </c>
      <c r="C1448" s="79" t="str">
        <f t="shared" si="7"/>
        <v xml:space="preserve"> </v>
      </c>
      <c r="D1448" s="79" t="str">
        <f t="shared" si="5"/>
        <v xml:space="preserve"> </v>
      </c>
      <c r="E1448" s="79" t="str">
        <f t="shared" si="6"/>
        <v xml:space="preserve"> </v>
      </c>
    </row>
    <row r="1449" spans="1:5" ht="12.5">
      <c r="A1449" s="81" t="str">
        <f t="shared" si="0"/>
        <v xml:space="preserve"> </v>
      </c>
      <c r="B1449" s="81" t="str">
        <f t="shared" si="1"/>
        <v xml:space="preserve"> </v>
      </c>
      <c r="C1449" s="79" t="str">
        <f t="shared" si="7"/>
        <v xml:space="preserve"> </v>
      </c>
      <c r="D1449" s="79" t="str">
        <f t="shared" si="5"/>
        <v xml:space="preserve"> </v>
      </c>
      <c r="E1449" s="79" t="str">
        <f t="shared" si="6"/>
        <v xml:space="preserve"> </v>
      </c>
    </row>
    <row r="1450" spans="1:5" ht="12.5">
      <c r="A1450" s="81" t="str">
        <f t="shared" si="0"/>
        <v xml:space="preserve"> </v>
      </c>
      <c r="B1450" s="81" t="str">
        <f t="shared" si="1"/>
        <v xml:space="preserve"> </v>
      </c>
      <c r="C1450" s="79" t="str">
        <f t="shared" si="7"/>
        <v xml:space="preserve"> </v>
      </c>
      <c r="D1450" s="79" t="str">
        <f t="shared" si="5"/>
        <v xml:space="preserve"> </v>
      </c>
      <c r="E1450" s="79" t="str">
        <f t="shared" si="6"/>
        <v xml:space="preserve"> </v>
      </c>
    </row>
    <row r="1451" spans="1:5" ht="12.5">
      <c r="A1451" s="81" t="str">
        <f t="shared" si="0"/>
        <v xml:space="preserve"> </v>
      </c>
      <c r="B1451" s="81" t="str">
        <f t="shared" si="1"/>
        <v xml:space="preserve"> </v>
      </c>
      <c r="C1451" s="79" t="str">
        <f t="shared" si="7"/>
        <v xml:space="preserve"> </v>
      </c>
      <c r="D1451" s="79" t="str">
        <f t="shared" si="5"/>
        <v xml:space="preserve"> </v>
      </c>
      <c r="E1451" s="79" t="str">
        <f t="shared" si="6"/>
        <v xml:space="preserve"> </v>
      </c>
    </row>
    <row r="1452" spans="1:5" ht="12.5">
      <c r="A1452" s="81" t="str">
        <f t="shared" si="0"/>
        <v xml:space="preserve"> </v>
      </c>
      <c r="B1452" s="81" t="str">
        <f t="shared" si="1"/>
        <v xml:space="preserve"> </v>
      </c>
      <c r="C1452" s="79" t="str">
        <f t="shared" si="7"/>
        <v xml:space="preserve"> </v>
      </c>
      <c r="D1452" s="79" t="str">
        <f t="shared" si="5"/>
        <v xml:space="preserve"> </v>
      </c>
      <c r="E1452" s="79" t="str">
        <f t="shared" si="6"/>
        <v xml:space="preserve"> </v>
      </c>
    </row>
    <row r="1453" spans="1:5" ht="12.5">
      <c r="A1453" s="81" t="str">
        <f t="shared" si="0"/>
        <v xml:space="preserve"> </v>
      </c>
      <c r="B1453" s="81" t="str">
        <f t="shared" si="1"/>
        <v xml:space="preserve"> </v>
      </c>
      <c r="C1453" s="79" t="str">
        <f t="shared" si="7"/>
        <v xml:space="preserve"> </v>
      </c>
      <c r="D1453" s="79" t="str">
        <f t="shared" si="5"/>
        <v xml:space="preserve"> </v>
      </c>
      <c r="E1453" s="79" t="str">
        <f t="shared" si="6"/>
        <v xml:space="preserve"> </v>
      </c>
    </row>
    <row r="1454" spans="1:5" ht="12.5">
      <c r="A1454" s="81" t="str">
        <f t="shared" si="0"/>
        <v xml:space="preserve"> </v>
      </c>
      <c r="B1454" s="81" t="str">
        <f t="shared" si="1"/>
        <v xml:space="preserve"> </v>
      </c>
      <c r="C1454" s="79" t="str">
        <f t="shared" si="7"/>
        <v xml:space="preserve"> </v>
      </c>
      <c r="D1454" s="79" t="str">
        <f t="shared" si="5"/>
        <v xml:space="preserve"> </v>
      </c>
      <c r="E1454" s="79" t="str">
        <f t="shared" si="6"/>
        <v xml:space="preserve"> </v>
      </c>
    </row>
    <row r="1455" spans="1:5" ht="12.5">
      <c r="A1455" s="81" t="str">
        <f t="shared" si="0"/>
        <v xml:space="preserve"> </v>
      </c>
      <c r="B1455" s="81" t="str">
        <f t="shared" si="1"/>
        <v xml:space="preserve"> </v>
      </c>
      <c r="C1455" s="79" t="str">
        <f t="shared" si="7"/>
        <v xml:space="preserve"> </v>
      </c>
      <c r="D1455" s="79" t="str">
        <f t="shared" si="5"/>
        <v xml:space="preserve"> </v>
      </c>
      <c r="E1455" s="79" t="str">
        <f t="shared" si="6"/>
        <v xml:space="preserve"> </v>
      </c>
    </row>
    <row r="1456" spans="1:5" ht="12.5">
      <c r="A1456" s="81" t="str">
        <f t="shared" si="0"/>
        <v xml:space="preserve"> </v>
      </c>
      <c r="B1456" s="81" t="str">
        <f t="shared" si="1"/>
        <v xml:space="preserve"> </v>
      </c>
      <c r="C1456" s="79" t="str">
        <f t="shared" si="7"/>
        <v xml:space="preserve"> </v>
      </c>
      <c r="D1456" s="79" t="str">
        <f t="shared" si="5"/>
        <v xml:space="preserve"> </v>
      </c>
      <c r="E1456" s="79" t="str">
        <f t="shared" si="6"/>
        <v xml:space="preserve"> </v>
      </c>
    </row>
    <row r="1457" spans="1:5" ht="12.5">
      <c r="A1457" s="81" t="str">
        <f t="shared" si="0"/>
        <v xml:space="preserve"> </v>
      </c>
      <c r="B1457" s="81" t="str">
        <f t="shared" si="1"/>
        <v xml:space="preserve"> </v>
      </c>
      <c r="C1457" s="79" t="str">
        <f t="shared" si="7"/>
        <v xml:space="preserve"> </v>
      </c>
      <c r="D1457" s="79" t="str">
        <f t="shared" si="5"/>
        <v xml:space="preserve"> </v>
      </c>
      <c r="E1457" s="79" t="str">
        <f t="shared" si="6"/>
        <v xml:space="preserve"> </v>
      </c>
    </row>
    <row r="1458" spans="1:5" ht="12.5">
      <c r="A1458" s="81" t="str">
        <f t="shared" si="0"/>
        <v xml:space="preserve"> </v>
      </c>
      <c r="B1458" s="81" t="str">
        <f t="shared" si="1"/>
        <v xml:space="preserve"> </v>
      </c>
      <c r="C1458" s="79" t="str">
        <f t="shared" si="7"/>
        <v xml:space="preserve"> </v>
      </c>
      <c r="D1458" s="79" t="str">
        <f t="shared" si="5"/>
        <v xml:space="preserve"> </v>
      </c>
      <c r="E1458" s="79" t="str">
        <f t="shared" si="6"/>
        <v xml:space="preserve"> </v>
      </c>
    </row>
    <row r="1459" spans="1:5" ht="12.5">
      <c r="A1459" s="81" t="str">
        <f t="shared" si="0"/>
        <v xml:space="preserve"> </v>
      </c>
      <c r="B1459" s="81" t="str">
        <f t="shared" si="1"/>
        <v xml:space="preserve"> </v>
      </c>
      <c r="C1459" s="79" t="str">
        <f t="shared" si="7"/>
        <v xml:space="preserve"> </v>
      </c>
      <c r="D1459" s="79" t="str">
        <f t="shared" si="5"/>
        <v xml:space="preserve"> </v>
      </c>
      <c r="E1459" s="79" t="str">
        <f t="shared" si="6"/>
        <v xml:space="preserve"> </v>
      </c>
    </row>
    <row r="1460" spans="1:5" ht="12.5">
      <c r="A1460" s="81" t="str">
        <f t="shared" si="0"/>
        <v xml:space="preserve"> </v>
      </c>
      <c r="B1460" s="81" t="str">
        <f t="shared" si="1"/>
        <v xml:space="preserve"> </v>
      </c>
      <c r="C1460" s="79" t="str">
        <f t="shared" si="7"/>
        <v xml:space="preserve"> </v>
      </c>
      <c r="D1460" s="79" t="str">
        <f t="shared" si="5"/>
        <v xml:space="preserve"> </v>
      </c>
      <c r="E1460" s="79" t="str">
        <f t="shared" si="6"/>
        <v xml:space="preserve"> </v>
      </c>
    </row>
    <row r="1461" spans="1:5" ht="12.5">
      <c r="A1461" s="81" t="str">
        <f t="shared" si="0"/>
        <v xml:space="preserve"> </v>
      </c>
      <c r="B1461" s="81" t="str">
        <f t="shared" si="1"/>
        <v xml:space="preserve"> </v>
      </c>
      <c r="C1461" s="79" t="str">
        <f t="shared" si="7"/>
        <v xml:space="preserve"> </v>
      </c>
      <c r="D1461" s="79" t="str">
        <f t="shared" si="5"/>
        <v xml:space="preserve"> </v>
      </c>
      <c r="E1461" s="79" t="str">
        <f t="shared" si="6"/>
        <v xml:space="preserve"> </v>
      </c>
    </row>
    <row r="1462" spans="1:5" ht="12.5">
      <c r="A1462" s="81" t="str">
        <f t="shared" si="0"/>
        <v xml:space="preserve"> </v>
      </c>
      <c r="B1462" s="81" t="str">
        <f t="shared" si="1"/>
        <v xml:space="preserve"> </v>
      </c>
      <c r="C1462" s="79" t="str">
        <f t="shared" si="7"/>
        <v xml:space="preserve"> </v>
      </c>
      <c r="D1462" s="79" t="str">
        <f t="shared" si="5"/>
        <v xml:space="preserve"> </v>
      </c>
      <c r="E1462" s="79" t="str">
        <f t="shared" si="6"/>
        <v xml:space="preserve"> </v>
      </c>
    </row>
    <row r="1463" spans="1:5" ht="12.5">
      <c r="A1463" s="81" t="str">
        <f t="shared" si="0"/>
        <v xml:space="preserve"> </v>
      </c>
      <c r="B1463" s="81" t="str">
        <f t="shared" si="1"/>
        <v xml:space="preserve"> </v>
      </c>
      <c r="C1463" s="79" t="str">
        <f t="shared" si="7"/>
        <v xml:space="preserve"> </v>
      </c>
      <c r="D1463" s="79" t="str">
        <f t="shared" si="5"/>
        <v xml:space="preserve"> </v>
      </c>
      <c r="E1463" s="79" t="str">
        <f t="shared" si="6"/>
        <v xml:space="preserve"> </v>
      </c>
    </row>
    <row r="1464" spans="1:5" ht="12.5">
      <c r="A1464" s="81" t="str">
        <f t="shared" si="0"/>
        <v xml:space="preserve"> </v>
      </c>
      <c r="B1464" s="81" t="str">
        <f t="shared" si="1"/>
        <v xml:space="preserve"> </v>
      </c>
      <c r="C1464" s="79" t="str">
        <f t="shared" si="7"/>
        <v xml:space="preserve"> </v>
      </c>
      <c r="D1464" s="79" t="str">
        <f t="shared" si="5"/>
        <v xml:space="preserve"> </v>
      </c>
      <c r="E1464" s="79" t="str">
        <f t="shared" si="6"/>
        <v xml:space="preserve"> </v>
      </c>
    </row>
    <row r="1465" spans="1:5" ht="12.5">
      <c r="A1465" s="81" t="str">
        <f t="shared" si="0"/>
        <v xml:space="preserve"> </v>
      </c>
      <c r="B1465" s="81" t="str">
        <f t="shared" si="1"/>
        <v xml:space="preserve"> </v>
      </c>
      <c r="C1465" s="79" t="str">
        <f t="shared" si="7"/>
        <v xml:space="preserve"> </v>
      </c>
      <c r="D1465" s="79" t="str">
        <f t="shared" si="5"/>
        <v xml:space="preserve"> </v>
      </c>
      <c r="E1465" s="79" t="str">
        <f t="shared" si="6"/>
        <v xml:space="preserve"> </v>
      </c>
    </row>
    <row r="1466" spans="1:5" ht="12.5">
      <c r="A1466" s="81" t="str">
        <f t="shared" si="0"/>
        <v xml:space="preserve"> </v>
      </c>
      <c r="B1466" s="81" t="str">
        <f t="shared" si="1"/>
        <v xml:space="preserve"> </v>
      </c>
      <c r="C1466" s="79" t="str">
        <f t="shared" si="7"/>
        <v xml:space="preserve"> </v>
      </c>
      <c r="D1466" s="79" t="str">
        <f t="shared" si="5"/>
        <v xml:space="preserve"> </v>
      </c>
      <c r="E1466" s="79" t="str">
        <f t="shared" si="6"/>
        <v xml:space="preserve"> </v>
      </c>
    </row>
    <row r="1467" spans="1:5" ht="12.5">
      <c r="A1467" s="81" t="str">
        <f t="shared" si="0"/>
        <v xml:space="preserve"> </v>
      </c>
      <c r="B1467" s="81" t="str">
        <f t="shared" si="1"/>
        <v xml:space="preserve"> </v>
      </c>
      <c r="C1467" s="79" t="str">
        <f t="shared" si="7"/>
        <v xml:space="preserve"> </v>
      </c>
      <c r="D1467" s="79" t="str">
        <f t="shared" si="5"/>
        <v xml:space="preserve"> </v>
      </c>
      <c r="E1467" s="79" t="str">
        <f t="shared" si="6"/>
        <v xml:space="preserve"> </v>
      </c>
    </row>
    <row r="1468" spans="1:5" ht="12.5">
      <c r="A1468" s="81" t="str">
        <f t="shared" si="0"/>
        <v xml:space="preserve"> </v>
      </c>
      <c r="B1468" s="81" t="str">
        <f t="shared" si="1"/>
        <v xml:space="preserve"> </v>
      </c>
      <c r="C1468" s="79" t="str">
        <f t="shared" si="7"/>
        <v xml:space="preserve"> </v>
      </c>
      <c r="D1468" s="79" t="str">
        <f t="shared" si="5"/>
        <v xml:space="preserve"> </v>
      </c>
      <c r="E1468" s="79" t="str">
        <f t="shared" si="6"/>
        <v xml:space="preserve"> </v>
      </c>
    </row>
    <row r="1469" spans="1:5" ht="12.5">
      <c r="A1469" s="81" t="str">
        <f t="shared" si="0"/>
        <v xml:space="preserve"> </v>
      </c>
      <c r="B1469" s="81" t="str">
        <f t="shared" si="1"/>
        <v xml:space="preserve"> </v>
      </c>
      <c r="C1469" s="79" t="str">
        <f t="shared" si="7"/>
        <v xml:space="preserve"> </v>
      </c>
      <c r="D1469" s="79" t="str">
        <f t="shared" si="5"/>
        <v xml:space="preserve"> </v>
      </c>
      <c r="E1469" s="79" t="str">
        <f t="shared" si="6"/>
        <v xml:space="preserve"> </v>
      </c>
    </row>
    <row r="1470" spans="1:5" ht="12.5">
      <c r="A1470" s="81" t="str">
        <f t="shared" si="0"/>
        <v xml:space="preserve"> </v>
      </c>
      <c r="B1470" s="81" t="str">
        <f t="shared" si="1"/>
        <v xml:space="preserve"> </v>
      </c>
      <c r="C1470" s="79" t="str">
        <f t="shared" si="7"/>
        <v xml:space="preserve"> </v>
      </c>
      <c r="D1470" s="79" t="str">
        <f t="shared" si="5"/>
        <v xml:space="preserve"> </v>
      </c>
      <c r="E1470" s="79" t="str">
        <f t="shared" si="6"/>
        <v xml:space="preserve"> </v>
      </c>
    </row>
    <row r="1471" spans="1:5" ht="12.5">
      <c r="A1471" s="81" t="str">
        <f t="shared" si="0"/>
        <v xml:space="preserve"> </v>
      </c>
      <c r="B1471" s="81" t="str">
        <f t="shared" si="1"/>
        <v xml:space="preserve"> </v>
      </c>
      <c r="C1471" s="79" t="str">
        <f t="shared" si="7"/>
        <v xml:space="preserve"> </v>
      </c>
      <c r="D1471" s="79" t="str">
        <f t="shared" si="5"/>
        <v xml:space="preserve"> </v>
      </c>
      <c r="E1471" s="79" t="str">
        <f t="shared" si="6"/>
        <v xml:space="preserve"> </v>
      </c>
    </row>
    <row r="1472" spans="1:5" ht="12.5">
      <c r="A1472" s="81" t="str">
        <f t="shared" si="0"/>
        <v xml:space="preserve"> </v>
      </c>
      <c r="B1472" s="81" t="str">
        <f t="shared" si="1"/>
        <v xml:space="preserve"> </v>
      </c>
      <c r="C1472" s="79" t="str">
        <f t="shared" si="7"/>
        <v xml:space="preserve"> </v>
      </c>
      <c r="D1472" s="79" t="str">
        <f t="shared" si="5"/>
        <v xml:space="preserve"> </v>
      </c>
      <c r="E1472" s="79" t="str">
        <f t="shared" si="6"/>
        <v xml:space="preserve"> </v>
      </c>
    </row>
    <row r="1473" spans="1:5" ht="12.5">
      <c r="A1473" s="81" t="str">
        <f t="shared" si="0"/>
        <v xml:space="preserve"> </v>
      </c>
      <c r="B1473" s="81" t="str">
        <f t="shared" si="1"/>
        <v xml:space="preserve"> </v>
      </c>
      <c r="C1473" s="79" t="str">
        <f t="shared" si="7"/>
        <v xml:space="preserve"> </v>
      </c>
      <c r="D1473" s="79" t="str">
        <f t="shared" si="5"/>
        <v xml:space="preserve"> </v>
      </c>
      <c r="E1473" s="79" t="str">
        <f t="shared" si="6"/>
        <v xml:space="preserve"> </v>
      </c>
    </row>
    <row r="1474" spans="1:5" ht="12.5">
      <c r="A1474" s="81" t="str">
        <f t="shared" si="0"/>
        <v xml:space="preserve"> </v>
      </c>
      <c r="B1474" s="81" t="str">
        <f t="shared" si="1"/>
        <v xml:space="preserve"> </v>
      </c>
      <c r="C1474" s="79" t="str">
        <f t="shared" si="7"/>
        <v xml:space="preserve"> </v>
      </c>
      <c r="D1474" s="79" t="str">
        <f t="shared" si="5"/>
        <v xml:space="preserve"> </v>
      </c>
      <c r="E1474" s="79" t="str">
        <f t="shared" si="6"/>
        <v xml:space="preserve"> </v>
      </c>
    </row>
    <row r="1475" spans="1:5" ht="12.5">
      <c r="A1475" s="81" t="str">
        <f t="shared" si="0"/>
        <v xml:space="preserve"> </v>
      </c>
      <c r="B1475" s="81" t="str">
        <f t="shared" si="1"/>
        <v xml:space="preserve"> </v>
      </c>
      <c r="C1475" s="79" t="str">
        <f t="shared" si="7"/>
        <v xml:space="preserve"> </v>
      </c>
      <c r="D1475" s="79" t="str">
        <f t="shared" si="5"/>
        <v xml:space="preserve"> </v>
      </c>
      <c r="E1475" s="79" t="str">
        <f t="shared" si="6"/>
        <v xml:space="preserve"> </v>
      </c>
    </row>
    <row r="1476" spans="1:5" ht="12.5">
      <c r="A1476" s="81" t="str">
        <f t="shared" si="0"/>
        <v xml:space="preserve"> </v>
      </c>
      <c r="B1476" s="81" t="str">
        <f t="shared" si="1"/>
        <v xml:space="preserve"> </v>
      </c>
      <c r="C1476" s="79" t="str">
        <f t="shared" si="7"/>
        <v xml:space="preserve"> </v>
      </c>
      <c r="D1476" s="79" t="str">
        <f t="shared" si="5"/>
        <v xml:space="preserve"> </v>
      </c>
      <c r="E1476" s="79" t="str">
        <f t="shared" si="6"/>
        <v xml:space="preserve"> </v>
      </c>
    </row>
    <row r="1477" spans="1:5" ht="12.5">
      <c r="A1477" s="81" t="str">
        <f t="shared" si="0"/>
        <v xml:space="preserve"> </v>
      </c>
      <c r="B1477" s="81" t="str">
        <f t="shared" si="1"/>
        <v xml:space="preserve"> </v>
      </c>
      <c r="C1477" s="79" t="str">
        <f t="shared" si="7"/>
        <v xml:space="preserve"> </v>
      </c>
      <c r="D1477" s="79" t="str">
        <f t="shared" si="5"/>
        <v xml:space="preserve"> </v>
      </c>
      <c r="E1477" s="79" t="str">
        <f t="shared" si="6"/>
        <v xml:space="preserve"> </v>
      </c>
    </row>
    <row r="1478" spans="1:5" ht="12.5">
      <c r="A1478" s="81" t="str">
        <f t="shared" si="0"/>
        <v xml:space="preserve"> </v>
      </c>
      <c r="B1478" s="81" t="str">
        <f t="shared" si="1"/>
        <v xml:space="preserve"> </v>
      </c>
      <c r="C1478" s="79" t="str">
        <f t="shared" si="7"/>
        <v xml:space="preserve"> </v>
      </c>
      <c r="D1478" s="79" t="str">
        <f t="shared" si="5"/>
        <v xml:space="preserve"> </v>
      </c>
      <c r="E1478" s="79" t="str">
        <f t="shared" si="6"/>
        <v xml:space="preserve"> </v>
      </c>
    </row>
    <row r="1479" spans="1:5" ht="12.5">
      <c r="A1479" s="81" t="str">
        <f t="shared" si="0"/>
        <v xml:space="preserve"> </v>
      </c>
      <c r="B1479" s="81" t="str">
        <f t="shared" si="1"/>
        <v xml:space="preserve"> </v>
      </c>
      <c r="C1479" s="79" t="str">
        <f t="shared" si="7"/>
        <v xml:space="preserve"> </v>
      </c>
      <c r="D1479" s="79" t="str">
        <f t="shared" si="5"/>
        <v xml:space="preserve"> </v>
      </c>
      <c r="E1479" s="79" t="str">
        <f t="shared" si="6"/>
        <v xml:space="preserve"> </v>
      </c>
    </row>
    <row r="1480" spans="1:5" ht="12.5">
      <c r="A1480" s="81" t="str">
        <f t="shared" si="0"/>
        <v xml:space="preserve"> </v>
      </c>
      <c r="B1480" s="81" t="str">
        <f t="shared" si="1"/>
        <v xml:space="preserve"> </v>
      </c>
      <c r="C1480" s="79" t="str">
        <f t="shared" si="7"/>
        <v xml:space="preserve"> </v>
      </c>
      <c r="D1480" s="79" t="str">
        <f t="shared" si="5"/>
        <v xml:space="preserve"> </v>
      </c>
      <c r="E1480" s="79" t="str">
        <f t="shared" si="6"/>
        <v xml:space="preserve"> </v>
      </c>
    </row>
    <row r="1481" spans="1:5" ht="12.5">
      <c r="A1481" s="81" t="str">
        <f t="shared" si="0"/>
        <v xml:space="preserve"> </v>
      </c>
      <c r="B1481" s="81" t="str">
        <f t="shared" si="1"/>
        <v xml:space="preserve"> </v>
      </c>
      <c r="C1481" s="79" t="str">
        <f t="shared" si="7"/>
        <v xml:space="preserve"> </v>
      </c>
      <c r="D1481" s="79" t="str">
        <f t="shared" si="5"/>
        <v xml:space="preserve"> </v>
      </c>
      <c r="E1481" s="79" t="str">
        <f t="shared" si="6"/>
        <v xml:space="preserve"> </v>
      </c>
    </row>
    <row r="1482" spans="1:5" ht="12.5">
      <c r="A1482" s="81" t="str">
        <f t="shared" si="0"/>
        <v xml:space="preserve"> </v>
      </c>
      <c r="B1482" s="81" t="str">
        <f t="shared" si="1"/>
        <v xml:space="preserve"> </v>
      </c>
      <c r="C1482" s="79" t="str">
        <f t="shared" si="7"/>
        <v xml:space="preserve"> </v>
      </c>
      <c r="D1482" s="79" t="str">
        <f t="shared" si="5"/>
        <v xml:space="preserve"> </v>
      </c>
      <c r="E1482" s="79" t="str">
        <f t="shared" si="6"/>
        <v xml:space="preserve"> </v>
      </c>
    </row>
    <row r="1483" spans="1:5" ht="12.5">
      <c r="A1483" s="81" t="str">
        <f t="shared" si="0"/>
        <v xml:space="preserve"> </v>
      </c>
      <c r="B1483" s="81" t="str">
        <f t="shared" si="1"/>
        <v xml:space="preserve"> </v>
      </c>
      <c r="C1483" s="79" t="str">
        <f t="shared" si="7"/>
        <v xml:space="preserve"> </v>
      </c>
      <c r="D1483" s="79" t="str">
        <f t="shared" si="5"/>
        <v xml:space="preserve"> </v>
      </c>
      <c r="E1483" s="79" t="str">
        <f t="shared" si="6"/>
        <v xml:space="preserve"> </v>
      </c>
    </row>
    <row r="1484" spans="1:5" ht="12.5">
      <c r="A1484" s="81" t="str">
        <f t="shared" si="0"/>
        <v xml:space="preserve"> </v>
      </c>
      <c r="B1484" s="81" t="str">
        <f t="shared" si="1"/>
        <v xml:space="preserve"> </v>
      </c>
      <c r="C1484" s="79" t="str">
        <f t="shared" si="7"/>
        <v xml:space="preserve"> </v>
      </c>
      <c r="D1484" s="79" t="str">
        <f t="shared" si="5"/>
        <v xml:space="preserve"> </v>
      </c>
      <c r="E1484" s="79" t="str">
        <f t="shared" si="6"/>
        <v xml:space="preserve"> </v>
      </c>
    </row>
    <row r="1485" spans="1:5" ht="12.5">
      <c r="A1485" s="81" t="str">
        <f t="shared" si="0"/>
        <v xml:space="preserve"> </v>
      </c>
      <c r="B1485" s="81" t="str">
        <f t="shared" si="1"/>
        <v xml:space="preserve"> </v>
      </c>
      <c r="C1485" s="79" t="str">
        <f t="shared" si="7"/>
        <v xml:space="preserve"> </v>
      </c>
      <c r="D1485" s="79" t="str">
        <f t="shared" si="5"/>
        <v xml:space="preserve"> </v>
      </c>
      <c r="E1485" s="79" t="str">
        <f t="shared" si="6"/>
        <v xml:space="preserve"> </v>
      </c>
    </row>
    <row r="1486" spans="1:5" ht="12.5">
      <c r="A1486" s="81" t="str">
        <f t="shared" si="0"/>
        <v xml:space="preserve"> </v>
      </c>
      <c r="B1486" s="81" t="str">
        <f t="shared" si="1"/>
        <v xml:space="preserve"> </v>
      </c>
      <c r="C1486" s="79" t="str">
        <f t="shared" si="7"/>
        <v xml:space="preserve"> </v>
      </c>
      <c r="D1486" s="79" t="str">
        <f t="shared" si="5"/>
        <v xml:space="preserve"> </v>
      </c>
      <c r="E1486" s="79" t="str">
        <f t="shared" si="6"/>
        <v xml:space="preserve"> </v>
      </c>
    </row>
    <row r="1487" spans="1:5" ht="12.5">
      <c r="A1487" s="81" t="str">
        <f t="shared" si="0"/>
        <v xml:space="preserve"> </v>
      </c>
      <c r="B1487" s="81" t="str">
        <f t="shared" si="1"/>
        <v xml:space="preserve"> </v>
      </c>
      <c r="C1487" s="79" t="str">
        <f t="shared" si="7"/>
        <v xml:space="preserve"> </v>
      </c>
      <c r="D1487" s="79" t="str">
        <f t="shared" si="5"/>
        <v xml:space="preserve"> </v>
      </c>
      <c r="E1487" s="79" t="str">
        <f t="shared" si="6"/>
        <v xml:space="preserve"> </v>
      </c>
    </row>
    <row r="1488" spans="1:5" ht="12.5">
      <c r="A1488" s="81" t="str">
        <f t="shared" si="0"/>
        <v xml:space="preserve"> </v>
      </c>
      <c r="B1488" s="81" t="str">
        <f t="shared" si="1"/>
        <v xml:space="preserve"> </v>
      </c>
      <c r="C1488" s="79" t="str">
        <f t="shared" si="7"/>
        <v xml:space="preserve"> </v>
      </c>
      <c r="D1488" s="79" t="str">
        <f t="shared" si="5"/>
        <v xml:space="preserve"> </v>
      </c>
      <c r="E1488" s="79" t="str">
        <f t="shared" si="6"/>
        <v xml:space="preserve"> </v>
      </c>
    </row>
    <row r="1489" spans="1:5" ht="12.5">
      <c r="A1489" s="81" t="str">
        <f t="shared" si="0"/>
        <v xml:space="preserve"> </v>
      </c>
      <c r="B1489" s="81" t="str">
        <f t="shared" si="1"/>
        <v xml:space="preserve"> </v>
      </c>
      <c r="C1489" s="79" t="str">
        <f t="shared" si="7"/>
        <v xml:space="preserve"> </v>
      </c>
      <c r="D1489" s="79" t="str">
        <f t="shared" si="5"/>
        <v xml:space="preserve"> </v>
      </c>
      <c r="E1489" s="79" t="str">
        <f t="shared" si="6"/>
        <v xml:space="preserve"> </v>
      </c>
    </row>
    <row r="1490" spans="1:5" ht="12.5">
      <c r="A1490" s="81" t="str">
        <f t="shared" si="0"/>
        <v xml:space="preserve"> </v>
      </c>
      <c r="B1490" s="81" t="str">
        <f t="shared" si="1"/>
        <v xml:space="preserve"> </v>
      </c>
      <c r="C1490" s="79" t="str">
        <f t="shared" si="7"/>
        <v xml:space="preserve"> </v>
      </c>
      <c r="D1490" s="79" t="str">
        <f t="shared" si="5"/>
        <v xml:space="preserve"> </v>
      </c>
      <c r="E1490" s="79" t="str">
        <f t="shared" si="6"/>
        <v xml:space="preserve"> </v>
      </c>
    </row>
    <row r="1491" spans="1:5" ht="12.5">
      <c r="A1491" s="81" t="str">
        <f t="shared" si="0"/>
        <v xml:space="preserve"> </v>
      </c>
      <c r="B1491" s="81" t="str">
        <f t="shared" si="1"/>
        <v xml:space="preserve"> </v>
      </c>
      <c r="C1491" s="79" t="str">
        <f t="shared" si="7"/>
        <v xml:space="preserve"> </v>
      </c>
      <c r="D1491" s="79" t="str">
        <f t="shared" si="5"/>
        <v xml:space="preserve"> </v>
      </c>
      <c r="E1491" s="79" t="str">
        <f t="shared" si="6"/>
        <v xml:space="preserve"> </v>
      </c>
    </row>
    <row r="1492" spans="1:5" ht="12.5">
      <c r="A1492" s="81" t="str">
        <f t="shared" si="0"/>
        <v xml:space="preserve"> </v>
      </c>
      <c r="B1492" s="81" t="str">
        <f t="shared" si="1"/>
        <v xml:space="preserve"> </v>
      </c>
      <c r="C1492" s="79" t="str">
        <f t="shared" si="7"/>
        <v xml:space="preserve"> </v>
      </c>
      <c r="D1492" s="79" t="str">
        <f t="shared" si="5"/>
        <v xml:space="preserve"> </v>
      </c>
      <c r="E1492" s="79" t="str">
        <f t="shared" si="6"/>
        <v xml:space="preserve"> </v>
      </c>
    </row>
    <row r="1493" spans="1:5" ht="12.5">
      <c r="A1493" s="81" t="str">
        <f t="shared" si="0"/>
        <v xml:space="preserve"> </v>
      </c>
      <c r="B1493" s="81" t="str">
        <f t="shared" si="1"/>
        <v xml:space="preserve"> </v>
      </c>
      <c r="C1493" s="79" t="str">
        <f t="shared" si="7"/>
        <v xml:space="preserve"> </v>
      </c>
      <c r="D1493" s="79" t="str">
        <f t="shared" si="5"/>
        <v xml:space="preserve"> </v>
      </c>
      <c r="E1493" s="79" t="str">
        <f t="shared" si="6"/>
        <v xml:space="preserve"> </v>
      </c>
    </row>
    <row r="1494" spans="1:5" ht="12.5">
      <c r="A1494" s="81" t="str">
        <f t="shared" si="0"/>
        <v xml:space="preserve"> </v>
      </c>
      <c r="B1494" s="81" t="str">
        <f t="shared" si="1"/>
        <v xml:space="preserve"> </v>
      </c>
      <c r="C1494" s="79" t="str">
        <f t="shared" si="7"/>
        <v xml:space="preserve"> </v>
      </c>
      <c r="D1494" s="79" t="str">
        <f t="shared" si="5"/>
        <v xml:space="preserve"> </v>
      </c>
      <c r="E1494" s="79" t="str">
        <f t="shared" si="6"/>
        <v xml:space="preserve"> </v>
      </c>
    </row>
    <row r="1495" spans="1:5" ht="12.5">
      <c r="A1495" s="81" t="str">
        <f t="shared" si="0"/>
        <v xml:space="preserve"> </v>
      </c>
      <c r="B1495" s="81" t="str">
        <f t="shared" si="1"/>
        <v xml:space="preserve"> </v>
      </c>
      <c r="C1495" s="79" t="str">
        <f t="shared" si="7"/>
        <v xml:space="preserve"> </v>
      </c>
      <c r="D1495" s="79" t="str">
        <f t="shared" si="5"/>
        <v xml:space="preserve"> </v>
      </c>
      <c r="E1495" s="79" t="str">
        <f t="shared" si="6"/>
        <v xml:space="preserve"> </v>
      </c>
    </row>
    <row r="1496" spans="1:5" ht="12.5">
      <c r="A1496" s="81" t="str">
        <f t="shared" si="0"/>
        <v xml:space="preserve"> </v>
      </c>
      <c r="B1496" s="81" t="str">
        <f t="shared" si="1"/>
        <v xml:space="preserve"> </v>
      </c>
      <c r="C1496" s="79" t="str">
        <f t="shared" si="7"/>
        <v xml:space="preserve"> </v>
      </c>
      <c r="D1496" s="79" t="str">
        <f t="shared" si="5"/>
        <v xml:space="preserve"> </v>
      </c>
      <c r="E1496" s="79" t="str">
        <f t="shared" si="6"/>
        <v xml:space="preserve"> </v>
      </c>
    </row>
    <row r="1497" spans="1:5" ht="12.5">
      <c r="A1497" s="81" t="str">
        <f t="shared" si="0"/>
        <v xml:space="preserve"> </v>
      </c>
      <c r="B1497" s="81" t="str">
        <f t="shared" si="1"/>
        <v xml:space="preserve"> </v>
      </c>
      <c r="C1497" s="79" t="str">
        <f t="shared" si="7"/>
        <v xml:space="preserve"> </v>
      </c>
      <c r="D1497" s="79" t="str">
        <f t="shared" si="5"/>
        <v xml:space="preserve"> </v>
      </c>
      <c r="E1497" s="79" t="str">
        <f t="shared" si="6"/>
        <v xml:space="preserve"> </v>
      </c>
    </row>
    <row r="1498" spans="1:5" ht="12.5">
      <c r="A1498" s="81" t="str">
        <f t="shared" si="0"/>
        <v xml:space="preserve"> </v>
      </c>
      <c r="B1498" s="81" t="str">
        <f t="shared" si="1"/>
        <v xml:space="preserve"> </v>
      </c>
      <c r="C1498" s="79" t="str">
        <f t="shared" si="7"/>
        <v xml:space="preserve"> </v>
      </c>
      <c r="D1498" s="79" t="str">
        <f t="shared" si="5"/>
        <v xml:space="preserve"> </v>
      </c>
      <c r="E1498" s="79" t="str">
        <f t="shared" si="6"/>
        <v xml:space="preserve"> </v>
      </c>
    </row>
    <row r="1499" spans="1:5" ht="12.5">
      <c r="A1499" s="81" t="str">
        <f t="shared" si="0"/>
        <v xml:space="preserve"> </v>
      </c>
      <c r="B1499" s="81" t="str">
        <f t="shared" si="1"/>
        <v xml:space="preserve"> </v>
      </c>
      <c r="C1499" s="79" t="str">
        <f t="shared" si="7"/>
        <v xml:space="preserve"> </v>
      </c>
      <c r="D1499" s="79" t="str">
        <f t="shared" si="5"/>
        <v xml:space="preserve"> </v>
      </c>
      <c r="E1499" s="79" t="str">
        <f t="shared" si="6"/>
        <v xml:space="preserve"> </v>
      </c>
    </row>
    <row r="1500" spans="1:5" ht="12.5">
      <c r="A1500" s="81" t="str">
        <f t="shared" si="0"/>
        <v xml:space="preserve"> </v>
      </c>
      <c r="B1500" s="81" t="str">
        <f t="shared" si="1"/>
        <v xml:space="preserve"> </v>
      </c>
      <c r="C1500" s="79" t="str">
        <f t="shared" si="7"/>
        <v xml:space="preserve"> </v>
      </c>
      <c r="D1500" s="79" t="str">
        <f t="shared" si="5"/>
        <v xml:space="preserve"> </v>
      </c>
      <c r="E1500" s="79" t="str">
        <f t="shared" si="6"/>
        <v xml:space="preserve"> </v>
      </c>
    </row>
    <row r="1501" spans="1:5" ht="12.5">
      <c r="A1501" s="81" t="str">
        <f t="shared" si="0"/>
        <v xml:space="preserve"> </v>
      </c>
      <c r="B1501" s="81" t="str">
        <f t="shared" si="1"/>
        <v xml:space="preserve"> </v>
      </c>
      <c r="C1501" s="79" t="str">
        <f t="shared" si="7"/>
        <v xml:space="preserve"> </v>
      </c>
      <c r="D1501" s="79" t="str">
        <f t="shared" si="5"/>
        <v xml:space="preserve"> </v>
      </c>
      <c r="E1501" s="79" t="str">
        <f t="shared" si="6"/>
        <v xml:space="preserve"> </v>
      </c>
    </row>
    <row r="1502" spans="1:5" ht="12.5">
      <c r="A1502" s="81" t="str">
        <f t="shared" si="0"/>
        <v xml:space="preserve"> </v>
      </c>
      <c r="B1502" s="81" t="str">
        <f t="shared" si="1"/>
        <v xml:space="preserve"> </v>
      </c>
      <c r="C1502" s="79" t="str">
        <f t="shared" si="7"/>
        <v xml:space="preserve"> </v>
      </c>
      <c r="D1502" s="79" t="str">
        <f t="shared" si="5"/>
        <v xml:space="preserve"> </v>
      </c>
      <c r="E1502" s="79" t="str">
        <f t="shared" si="6"/>
        <v xml:space="preserve"> </v>
      </c>
    </row>
    <row r="1503" spans="1:5" ht="12.5">
      <c r="A1503" s="81" t="str">
        <f t="shared" si="0"/>
        <v xml:space="preserve"> </v>
      </c>
      <c r="B1503" s="81" t="str">
        <f t="shared" si="1"/>
        <v xml:space="preserve"> </v>
      </c>
      <c r="C1503" s="79" t="str">
        <f t="shared" si="7"/>
        <v xml:space="preserve"> </v>
      </c>
      <c r="D1503" s="79" t="str">
        <f t="shared" si="5"/>
        <v xml:space="preserve"> </v>
      </c>
      <c r="E1503" s="79" t="str">
        <f t="shared" si="6"/>
        <v xml:space="preserve"> </v>
      </c>
    </row>
    <row r="1504" spans="1:5" ht="12.5">
      <c r="A1504" s="81" t="str">
        <f t="shared" si="0"/>
        <v xml:space="preserve"> </v>
      </c>
      <c r="B1504" s="81" t="str">
        <f t="shared" si="1"/>
        <v xml:space="preserve"> </v>
      </c>
      <c r="C1504" s="79" t="str">
        <f t="shared" si="7"/>
        <v xml:space="preserve"> </v>
      </c>
      <c r="D1504" s="79" t="str">
        <f t="shared" si="5"/>
        <v xml:space="preserve"> </v>
      </c>
      <c r="E1504" s="79" t="str">
        <f t="shared" si="6"/>
        <v xml:space="preserve"> </v>
      </c>
    </row>
    <row r="1505" spans="1:5" ht="12.5">
      <c r="A1505" s="81" t="str">
        <f t="shared" si="0"/>
        <v xml:space="preserve"> </v>
      </c>
      <c r="B1505" s="81" t="str">
        <f t="shared" si="1"/>
        <v xml:space="preserve"> </v>
      </c>
      <c r="C1505" s="79" t="str">
        <f t="shared" si="7"/>
        <v xml:space="preserve"> </v>
      </c>
      <c r="D1505" s="79" t="str">
        <f t="shared" si="5"/>
        <v xml:space="preserve"> </v>
      </c>
      <c r="E1505" s="79" t="str">
        <f t="shared" si="6"/>
        <v xml:space="preserve"> </v>
      </c>
    </row>
    <row r="1506" spans="1:5" ht="12.5">
      <c r="A1506" s="81" t="str">
        <f t="shared" si="0"/>
        <v xml:space="preserve"> </v>
      </c>
      <c r="B1506" s="81" t="str">
        <f t="shared" si="1"/>
        <v xml:space="preserve"> </v>
      </c>
      <c r="C1506" s="79" t="str">
        <f t="shared" si="7"/>
        <v xml:space="preserve"> </v>
      </c>
      <c r="D1506" s="79" t="str">
        <f t="shared" si="5"/>
        <v xml:space="preserve"> </v>
      </c>
      <c r="E1506" s="79" t="str">
        <f t="shared" si="6"/>
        <v xml:space="preserve"> </v>
      </c>
    </row>
    <row r="1507" spans="1:5" ht="12.5">
      <c r="A1507" s="81" t="str">
        <f t="shared" si="0"/>
        <v xml:space="preserve"> </v>
      </c>
      <c r="B1507" s="81" t="str">
        <f t="shared" si="1"/>
        <v xml:space="preserve"> </v>
      </c>
      <c r="C1507" s="79" t="str">
        <f t="shared" si="7"/>
        <v xml:space="preserve"> </v>
      </c>
      <c r="D1507" s="79" t="str">
        <f t="shared" si="5"/>
        <v xml:space="preserve"> </v>
      </c>
      <c r="E1507" s="79" t="str">
        <f t="shared" si="6"/>
        <v xml:space="preserve"> </v>
      </c>
    </row>
    <row r="1508" spans="1:5" ht="12.5">
      <c r="A1508" s="81" t="str">
        <f t="shared" si="0"/>
        <v xml:space="preserve"> </v>
      </c>
      <c r="B1508" s="81" t="str">
        <f t="shared" si="1"/>
        <v xml:space="preserve"> </v>
      </c>
      <c r="C1508" s="79" t="str">
        <f t="shared" si="7"/>
        <v xml:space="preserve"> </v>
      </c>
      <c r="D1508" s="79" t="str">
        <f t="shared" si="5"/>
        <v xml:space="preserve"> </v>
      </c>
      <c r="E1508" s="79" t="str">
        <f t="shared" si="6"/>
        <v xml:space="preserve"> </v>
      </c>
    </row>
    <row r="1509" spans="1:5" ht="12.5">
      <c r="A1509" s="81" t="str">
        <f t="shared" si="0"/>
        <v xml:space="preserve"> </v>
      </c>
      <c r="B1509" s="81" t="str">
        <f t="shared" si="1"/>
        <v xml:space="preserve"> </v>
      </c>
      <c r="C1509" s="79" t="str">
        <f t="shared" si="7"/>
        <v xml:space="preserve"> </v>
      </c>
      <c r="D1509" s="79" t="str">
        <f t="shared" si="5"/>
        <v xml:space="preserve"> </v>
      </c>
      <c r="E1509" s="79" t="str">
        <f t="shared" si="6"/>
        <v xml:space="preserve"> </v>
      </c>
    </row>
    <row r="1510" spans="1:5" ht="12.5">
      <c r="A1510" s="81" t="str">
        <f t="shared" si="0"/>
        <v xml:space="preserve"> </v>
      </c>
      <c r="B1510" s="81" t="str">
        <f t="shared" si="1"/>
        <v xml:space="preserve"> </v>
      </c>
      <c r="C1510" s="79" t="str">
        <f t="shared" si="7"/>
        <v xml:space="preserve"> </v>
      </c>
      <c r="D1510" s="79" t="str">
        <f t="shared" si="5"/>
        <v xml:space="preserve"> </v>
      </c>
      <c r="E1510" s="79" t="str">
        <f t="shared" si="6"/>
        <v xml:space="preserve"> </v>
      </c>
    </row>
    <row r="1511" spans="1:5" ht="12.5">
      <c r="A1511" s="81" t="str">
        <f t="shared" si="0"/>
        <v xml:space="preserve"> </v>
      </c>
      <c r="B1511" s="81" t="str">
        <f t="shared" si="1"/>
        <v xml:space="preserve"> </v>
      </c>
      <c r="C1511" s="79" t="str">
        <f t="shared" si="7"/>
        <v xml:space="preserve"> </v>
      </c>
      <c r="D1511" s="79" t="str">
        <f t="shared" si="5"/>
        <v xml:space="preserve"> </v>
      </c>
      <c r="E1511" s="79" t="str">
        <f t="shared" si="6"/>
        <v xml:space="preserve"> </v>
      </c>
    </row>
    <row r="1512" spans="1:5" ht="12.5">
      <c r="A1512" s="81" t="str">
        <f t="shared" si="0"/>
        <v xml:space="preserve"> </v>
      </c>
      <c r="B1512" s="81" t="str">
        <f t="shared" si="1"/>
        <v xml:space="preserve"> </v>
      </c>
      <c r="C1512" s="79" t="str">
        <f t="shared" si="7"/>
        <v xml:space="preserve"> </v>
      </c>
      <c r="D1512" s="79" t="str">
        <f t="shared" si="5"/>
        <v xml:space="preserve"> </v>
      </c>
      <c r="E1512" s="79" t="str">
        <f t="shared" si="6"/>
        <v xml:space="preserve"> </v>
      </c>
    </row>
    <row r="1513" spans="1:5" ht="12.5">
      <c r="A1513" s="81" t="str">
        <f t="shared" si="0"/>
        <v xml:space="preserve"> </v>
      </c>
      <c r="B1513" s="81" t="str">
        <f t="shared" si="1"/>
        <v xml:space="preserve"> </v>
      </c>
      <c r="C1513" s="79" t="str">
        <f t="shared" si="7"/>
        <v xml:space="preserve"> </v>
      </c>
      <c r="D1513" s="79" t="str">
        <f t="shared" si="5"/>
        <v xml:space="preserve"> </v>
      </c>
      <c r="E1513" s="79" t="str">
        <f t="shared" si="6"/>
        <v xml:space="preserve"> </v>
      </c>
    </row>
    <row r="1514" spans="1:5" ht="12.5">
      <c r="A1514" s="81" t="str">
        <f t="shared" si="0"/>
        <v xml:space="preserve"> </v>
      </c>
      <c r="B1514" s="81" t="str">
        <f t="shared" si="1"/>
        <v xml:space="preserve"> </v>
      </c>
      <c r="C1514" s="79" t="str">
        <f t="shared" si="7"/>
        <v xml:space="preserve"> </v>
      </c>
      <c r="D1514" s="79" t="str">
        <f t="shared" si="5"/>
        <v xml:space="preserve"> </v>
      </c>
      <c r="E1514" s="79" t="str">
        <f t="shared" si="6"/>
        <v xml:space="preserve"> </v>
      </c>
    </row>
    <row r="1515" spans="1:5" ht="12.5">
      <c r="A1515" s="81" t="str">
        <f t="shared" si="0"/>
        <v xml:space="preserve"> </v>
      </c>
      <c r="B1515" s="81" t="str">
        <f t="shared" si="1"/>
        <v xml:space="preserve"> </v>
      </c>
      <c r="C1515" s="79" t="str">
        <f t="shared" si="7"/>
        <v xml:space="preserve"> </v>
      </c>
      <c r="D1515" s="79" t="str">
        <f t="shared" si="5"/>
        <v xml:space="preserve"> </v>
      </c>
      <c r="E1515" s="79" t="str">
        <f t="shared" si="6"/>
        <v xml:space="preserve"> </v>
      </c>
    </row>
    <row r="1516" spans="1:5" ht="12.5">
      <c r="A1516" s="81" t="str">
        <f t="shared" si="0"/>
        <v xml:space="preserve"> </v>
      </c>
      <c r="B1516" s="81" t="str">
        <f t="shared" si="1"/>
        <v xml:space="preserve"> </v>
      </c>
      <c r="C1516" s="79" t="str">
        <f t="shared" si="7"/>
        <v xml:space="preserve"> </v>
      </c>
      <c r="D1516" s="79" t="str">
        <f t="shared" si="5"/>
        <v xml:space="preserve"> </v>
      </c>
      <c r="E1516" s="79" t="str">
        <f t="shared" si="6"/>
        <v xml:space="preserve"> </v>
      </c>
    </row>
    <row r="1517" spans="1:5" ht="12.5">
      <c r="A1517" s="81" t="str">
        <f t="shared" si="0"/>
        <v xml:space="preserve"> </v>
      </c>
      <c r="B1517" s="81" t="str">
        <f t="shared" si="1"/>
        <v xml:space="preserve"> </v>
      </c>
      <c r="C1517" s="79" t="str">
        <f t="shared" si="7"/>
        <v xml:space="preserve"> </v>
      </c>
      <c r="D1517" s="79" t="str">
        <f t="shared" si="5"/>
        <v xml:space="preserve"> </v>
      </c>
      <c r="E1517" s="79" t="str">
        <f t="shared" si="6"/>
        <v xml:space="preserve"> </v>
      </c>
    </row>
    <row r="1518" spans="1:5" ht="12.5">
      <c r="A1518" s="81" t="str">
        <f t="shared" si="0"/>
        <v xml:space="preserve"> </v>
      </c>
      <c r="B1518" s="81" t="str">
        <f t="shared" si="1"/>
        <v xml:space="preserve"> </v>
      </c>
      <c r="C1518" s="79" t="str">
        <f t="shared" si="7"/>
        <v xml:space="preserve"> </v>
      </c>
      <c r="D1518" s="79" t="str">
        <f t="shared" si="5"/>
        <v xml:space="preserve"> </v>
      </c>
      <c r="E1518" s="79" t="str">
        <f t="shared" si="6"/>
        <v xml:space="preserve"> </v>
      </c>
    </row>
    <row r="1519" spans="1:5" ht="12.5">
      <c r="A1519" s="81" t="str">
        <f t="shared" si="0"/>
        <v xml:space="preserve"> </v>
      </c>
      <c r="B1519" s="81" t="str">
        <f t="shared" si="1"/>
        <v xml:space="preserve"> </v>
      </c>
      <c r="C1519" s="79" t="str">
        <f t="shared" si="7"/>
        <v xml:space="preserve"> </v>
      </c>
      <c r="D1519" s="79" t="str">
        <f t="shared" si="5"/>
        <v xml:space="preserve"> </v>
      </c>
      <c r="E1519" s="79" t="str">
        <f t="shared" si="6"/>
        <v xml:space="preserve"> </v>
      </c>
    </row>
    <row r="1520" spans="1:5" ht="12.5">
      <c r="A1520" s="81" t="str">
        <f t="shared" si="0"/>
        <v xml:space="preserve"> </v>
      </c>
      <c r="B1520" s="81" t="str">
        <f t="shared" si="1"/>
        <v xml:space="preserve"> </v>
      </c>
      <c r="C1520" s="79" t="str">
        <f t="shared" si="7"/>
        <v xml:space="preserve"> </v>
      </c>
      <c r="D1520" s="79" t="str">
        <f t="shared" si="5"/>
        <v xml:space="preserve"> </v>
      </c>
      <c r="E1520" s="79" t="str">
        <f t="shared" si="6"/>
        <v xml:space="preserve"> </v>
      </c>
    </row>
    <row r="1521" spans="1:5" ht="12.5">
      <c r="A1521" s="81" t="str">
        <f t="shared" si="0"/>
        <v xml:space="preserve"> </v>
      </c>
      <c r="B1521" s="81" t="str">
        <f t="shared" si="1"/>
        <v xml:space="preserve"> </v>
      </c>
      <c r="C1521" s="79" t="str">
        <f t="shared" si="7"/>
        <v xml:space="preserve"> </v>
      </c>
      <c r="D1521" s="79" t="str">
        <f t="shared" si="5"/>
        <v xml:space="preserve"> </v>
      </c>
      <c r="E1521" s="79" t="str">
        <f t="shared" si="6"/>
        <v xml:space="preserve"> </v>
      </c>
    </row>
    <row r="1522" spans="1:5" ht="12.5">
      <c r="A1522" s="81" t="str">
        <f t="shared" si="0"/>
        <v xml:space="preserve"> </v>
      </c>
      <c r="B1522" s="81" t="str">
        <f t="shared" si="1"/>
        <v xml:space="preserve"> </v>
      </c>
      <c r="C1522" s="79" t="str">
        <f t="shared" si="7"/>
        <v xml:space="preserve"> </v>
      </c>
      <c r="D1522" s="79" t="str">
        <f t="shared" si="5"/>
        <v xml:space="preserve"> </v>
      </c>
      <c r="E1522" s="79" t="str">
        <f t="shared" si="6"/>
        <v xml:space="preserve"> </v>
      </c>
    </row>
    <row r="1523" spans="1:5" ht="12.5">
      <c r="A1523" s="81" t="str">
        <f t="shared" si="0"/>
        <v xml:space="preserve"> </v>
      </c>
      <c r="B1523" s="81" t="str">
        <f t="shared" si="1"/>
        <v xml:space="preserve"> </v>
      </c>
      <c r="C1523" s="79" t="str">
        <f t="shared" si="7"/>
        <v xml:space="preserve"> </v>
      </c>
      <c r="D1523" s="79" t="str">
        <f t="shared" si="5"/>
        <v xml:space="preserve"> </v>
      </c>
      <c r="E1523" s="79" t="str">
        <f t="shared" si="6"/>
        <v xml:space="preserve"> </v>
      </c>
    </row>
    <row r="1524" spans="1:5" ht="12.5">
      <c r="A1524" s="81" t="str">
        <f t="shared" si="0"/>
        <v xml:space="preserve"> </v>
      </c>
      <c r="B1524" s="81" t="str">
        <f t="shared" si="1"/>
        <v xml:space="preserve"> </v>
      </c>
      <c r="C1524" s="79" t="str">
        <f t="shared" si="7"/>
        <v xml:space="preserve"> </v>
      </c>
      <c r="D1524" s="79" t="str">
        <f t="shared" si="5"/>
        <v xml:space="preserve"> </v>
      </c>
      <c r="E1524" s="79" t="str">
        <f t="shared" si="6"/>
        <v xml:space="preserve"> </v>
      </c>
    </row>
    <row r="1525" spans="1:5" ht="12.5">
      <c r="A1525" s="81" t="str">
        <f t="shared" si="0"/>
        <v xml:space="preserve"> </v>
      </c>
      <c r="B1525" s="81" t="str">
        <f t="shared" si="1"/>
        <v xml:space="preserve"> </v>
      </c>
      <c r="C1525" s="79" t="str">
        <f t="shared" si="7"/>
        <v xml:space="preserve"> </v>
      </c>
      <c r="D1525" s="79" t="str">
        <f t="shared" si="5"/>
        <v xml:space="preserve"> </v>
      </c>
      <c r="E1525" s="79" t="str">
        <f t="shared" si="6"/>
        <v xml:space="preserve"> </v>
      </c>
    </row>
    <row r="1526" spans="1:5" ht="12.5">
      <c r="A1526" s="81" t="str">
        <f t="shared" si="0"/>
        <v xml:space="preserve"> </v>
      </c>
      <c r="B1526" s="81" t="str">
        <f t="shared" si="1"/>
        <v xml:space="preserve"> </v>
      </c>
      <c r="C1526" s="79" t="str">
        <f t="shared" si="7"/>
        <v xml:space="preserve"> </v>
      </c>
      <c r="D1526" s="79" t="str">
        <f t="shared" si="5"/>
        <v xml:space="preserve"> </v>
      </c>
      <c r="E1526" s="79" t="str">
        <f t="shared" si="6"/>
        <v xml:space="preserve"> </v>
      </c>
    </row>
    <row r="1527" spans="1:5" ht="12.5">
      <c r="A1527" s="81" t="str">
        <f t="shared" si="0"/>
        <v xml:space="preserve"> </v>
      </c>
      <c r="B1527" s="81" t="str">
        <f t="shared" si="1"/>
        <v xml:space="preserve"> </v>
      </c>
      <c r="C1527" s="79" t="str">
        <f t="shared" si="7"/>
        <v xml:space="preserve"> </v>
      </c>
      <c r="D1527" s="79" t="str">
        <f t="shared" si="5"/>
        <v xml:space="preserve"> </v>
      </c>
      <c r="E1527" s="79" t="str">
        <f t="shared" si="6"/>
        <v xml:space="preserve"> </v>
      </c>
    </row>
    <row r="1528" spans="1:5" ht="12.5">
      <c r="A1528" s="81" t="str">
        <f t="shared" si="0"/>
        <v xml:space="preserve"> </v>
      </c>
      <c r="B1528" s="81" t="str">
        <f t="shared" si="1"/>
        <v xml:space="preserve"> </v>
      </c>
      <c r="C1528" s="79" t="str">
        <f t="shared" si="7"/>
        <v xml:space="preserve"> </v>
      </c>
      <c r="D1528" s="79" t="str">
        <f t="shared" si="5"/>
        <v xml:space="preserve"> </v>
      </c>
      <c r="E1528" s="79" t="str">
        <f t="shared" si="6"/>
        <v xml:space="preserve"> </v>
      </c>
    </row>
    <row r="1529" spans="1:5" ht="12.5">
      <c r="A1529" s="81" t="str">
        <f t="shared" si="0"/>
        <v xml:space="preserve"> </v>
      </c>
      <c r="B1529" s="81" t="str">
        <f t="shared" si="1"/>
        <v xml:space="preserve"> </v>
      </c>
      <c r="C1529" s="79" t="str">
        <f t="shared" si="7"/>
        <v xml:space="preserve"> </v>
      </c>
      <c r="D1529" s="79" t="str">
        <f t="shared" si="5"/>
        <v xml:space="preserve"> </v>
      </c>
      <c r="E1529" s="79" t="str">
        <f t="shared" si="6"/>
        <v xml:space="preserve"> </v>
      </c>
    </row>
    <row r="1530" spans="1:5" ht="12.5">
      <c r="A1530" s="81" t="str">
        <f t="shared" si="0"/>
        <v xml:space="preserve"> </v>
      </c>
      <c r="B1530" s="81" t="str">
        <f t="shared" si="1"/>
        <v xml:space="preserve"> </v>
      </c>
      <c r="C1530" s="79" t="str">
        <f t="shared" si="7"/>
        <v xml:space="preserve"> </v>
      </c>
      <c r="D1530" s="79" t="str">
        <f t="shared" si="5"/>
        <v xml:space="preserve"> </v>
      </c>
      <c r="E1530" s="79" t="str">
        <f t="shared" si="6"/>
        <v xml:space="preserve"> </v>
      </c>
    </row>
    <row r="1531" spans="1:5" ht="12.5">
      <c r="A1531" s="81" t="str">
        <f t="shared" si="0"/>
        <v xml:space="preserve"> </v>
      </c>
      <c r="B1531" s="81" t="str">
        <f t="shared" si="1"/>
        <v xml:space="preserve"> </v>
      </c>
      <c r="C1531" s="79" t="str">
        <f t="shared" si="7"/>
        <v xml:space="preserve"> </v>
      </c>
      <c r="D1531" s="79" t="str">
        <f t="shared" si="5"/>
        <v xml:space="preserve"> </v>
      </c>
      <c r="E1531" s="79" t="str">
        <f t="shared" si="6"/>
        <v xml:space="preserve"> </v>
      </c>
    </row>
    <row r="1532" spans="1:5" ht="12.5">
      <c r="A1532" s="81" t="str">
        <f t="shared" si="0"/>
        <v xml:space="preserve"> </v>
      </c>
      <c r="B1532" s="81" t="str">
        <f t="shared" si="1"/>
        <v xml:space="preserve"> </v>
      </c>
      <c r="C1532" s="79" t="str">
        <f t="shared" si="7"/>
        <v xml:space="preserve"> </v>
      </c>
      <c r="D1532" s="79" t="str">
        <f t="shared" si="5"/>
        <v xml:space="preserve"> </v>
      </c>
      <c r="E1532" s="79" t="str">
        <f t="shared" si="6"/>
        <v xml:space="preserve"> </v>
      </c>
    </row>
    <row r="1533" spans="1:5" ht="12.5">
      <c r="A1533" s="81" t="str">
        <f t="shared" si="0"/>
        <v xml:space="preserve"> </v>
      </c>
      <c r="B1533" s="81" t="str">
        <f t="shared" si="1"/>
        <v xml:space="preserve"> </v>
      </c>
      <c r="C1533" s="79" t="str">
        <f t="shared" si="7"/>
        <v xml:space="preserve"> </v>
      </c>
      <c r="D1533" s="79" t="str">
        <f t="shared" si="5"/>
        <v xml:space="preserve"> </v>
      </c>
      <c r="E1533" s="79" t="str">
        <f t="shared" si="6"/>
        <v xml:space="preserve"> </v>
      </c>
    </row>
    <row r="1534" spans="1:5" ht="12.5">
      <c r="A1534" s="81" t="str">
        <f t="shared" si="0"/>
        <v xml:space="preserve"> </v>
      </c>
      <c r="B1534" s="81" t="str">
        <f t="shared" si="1"/>
        <v xml:space="preserve"> </v>
      </c>
      <c r="C1534" s="79" t="str">
        <f t="shared" si="7"/>
        <v xml:space="preserve"> </v>
      </c>
      <c r="D1534" s="79" t="str">
        <f t="shared" si="5"/>
        <v xml:space="preserve"> </v>
      </c>
      <c r="E1534" s="79" t="str">
        <f t="shared" si="6"/>
        <v xml:space="preserve"> </v>
      </c>
    </row>
    <row r="1535" spans="1:5" ht="12.5">
      <c r="A1535" s="81" t="str">
        <f t="shared" si="0"/>
        <v xml:space="preserve"> </v>
      </c>
      <c r="B1535" s="81" t="str">
        <f t="shared" si="1"/>
        <v xml:space="preserve"> </v>
      </c>
      <c r="C1535" s="79" t="str">
        <f t="shared" si="7"/>
        <v xml:space="preserve"> </v>
      </c>
      <c r="D1535" s="79" t="str">
        <f t="shared" si="5"/>
        <v xml:space="preserve"> </v>
      </c>
      <c r="E1535" s="79" t="str">
        <f t="shared" si="6"/>
        <v xml:space="preserve"> </v>
      </c>
    </row>
    <row r="1536" spans="1:5" ht="12.5">
      <c r="A1536" s="81" t="str">
        <f t="shared" si="0"/>
        <v xml:space="preserve"> </v>
      </c>
      <c r="B1536" s="81" t="str">
        <f t="shared" si="1"/>
        <v xml:space="preserve"> </v>
      </c>
      <c r="C1536" s="79" t="str">
        <f t="shared" si="7"/>
        <v xml:space="preserve"> </v>
      </c>
      <c r="D1536" s="79" t="str">
        <f t="shared" si="5"/>
        <v xml:space="preserve"> </v>
      </c>
      <c r="E1536" s="79" t="str">
        <f t="shared" si="6"/>
        <v xml:space="preserve"> </v>
      </c>
    </row>
    <row r="1537" spans="1:5" ht="12.5">
      <c r="A1537" s="81" t="str">
        <f t="shared" si="0"/>
        <v xml:space="preserve"> </v>
      </c>
      <c r="B1537" s="81" t="str">
        <f t="shared" si="1"/>
        <v xml:space="preserve"> </v>
      </c>
      <c r="C1537" s="79" t="str">
        <f t="shared" si="7"/>
        <v xml:space="preserve"> </v>
      </c>
      <c r="D1537" s="79" t="str">
        <f t="shared" si="5"/>
        <v xml:space="preserve"> </v>
      </c>
      <c r="E1537" s="79" t="str">
        <f t="shared" si="6"/>
        <v xml:space="preserve"> </v>
      </c>
    </row>
    <row r="1538" spans="1:5" ht="12.5">
      <c r="A1538" s="81" t="str">
        <f t="shared" si="0"/>
        <v xml:space="preserve"> </v>
      </c>
      <c r="B1538" s="81" t="str">
        <f t="shared" si="1"/>
        <v xml:space="preserve"> </v>
      </c>
      <c r="C1538" s="79" t="str">
        <f t="shared" si="7"/>
        <v xml:space="preserve"> </v>
      </c>
      <c r="D1538" s="79" t="str">
        <f t="shared" si="5"/>
        <v xml:space="preserve"> </v>
      </c>
      <c r="E1538" s="79" t="str">
        <f t="shared" si="6"/>
        <v xml:space="preserve"> </v>
      </c>
    </row>
    <row r="1539" spans="1:5" ht="12.5">
      <c r="A1539" s="81" t="str">
        <f t="shared" si="0"/>
        <v xml:space="preserve"> </v>
      </c>
      <c r="B1539" s="81" t="str">
        <f t="shared" si="1"/>
        <v xml:space="preserve"> </v>
      </c>
      <c r="C1539" s="79" t="str">
        <f t="shared" si="7"/>
        <v xml:space="preserve"> </v>
      </c>
      <c r="D1539" s="79" t="str">
        <f t="shared" si="5"/>
        <v xml:space="preserve"> </v>
      </c>
      <c r="E1539" s="79" t="str">
        <f t="shared" si="6"/>
        <v xml:space="preserve"> </v>
      </c>
    </row>
    <row r="1540" spans="1:5" ht="12.5">
      <c r="A1540" s="81" t="str">
        <f t="shared" si="0"/>
        <v xml:space="preserve"> </v>
      </c>
      <c r="B1540" s="81" t="str">
        <f t="shared" si="1"/>
        <v xml:space="preserve"> </v>
      </c>
      <c r="C1540" s="79" t="str">
        <f t="shared" si="7"/>
        <v xml:space="preserve"> </v>
      </c>
      <c r="D1540" s="79" t="str">
        <f t="shared" si="5"/>
        <v xml:space="preserve"> </v>
      </c>
      <c r="E1540" s="79" t="str">
        <f t="shared" si="6"/>
        <v xml:space="preserve"> </v>
      </c>
    </row>
    <row r="1541" spans="1:5" ht="12.5">
      <c r="A1541" s="81" t="str">
        <f t="shared" si="0"/>
        <v xml:space="preserve"> </v>
      </c>
      <c r="B1541" s="81" t="str">
        <f t="shared" si="1"/>
        <v xml:space="preserve"> </v>
      </c>
      <c r="C1541" s="79" t="str">
        <f t="shared" si="7"/>
        <v xml:space="preserve"> </v>
      </c>
      <c r="D1541" s="79" t="str">
        <f t="shared" si="5"/>
        <v xml:space="preserve"> </v>
      </c>
      <c r="E1541" s="79" t="str">
        <f t="shared" si="6"/>
        <v xml:space="preserve"> </v>
      </c>
    </row>
    <row r="1542" spans="1:5" ht="12.5">
      <c r="A1542" s="81" t="str">
        <f t="shared" si="0"/>
        <v xml:space="preserve"> </v>
      </c>
      <c r="B1542" s="81" t="str">
        <f t="shared" si="1"/>
        <v xml:space="preserve"> </v>
      </c>
      <c r="C1542" s="79" t="str">
        <f t="shared" si="7"/>
        <v xml:space="preserve"> </v>
      </c>
      <c r="D1542" s="79" t="str">
        <f t="shared" si="5"/>
        <v xml:space="preserve"> </v>
      </c>
      <c r="E1542" s="79" t="str">
        <f t="shared" si="6"/>
        <v xml:space="preserve"> </v>
      </c>
    </row>
    <row r="1543" spans="1:5" ht="12.5">
      <c r="A1543" s="81" t="str">
        <f t="shared" si="0"/>
        <v xml:space="preserve"> </v>
      </c>
      <c r="B1543" s="81" t="str">
        <f t="shared" si="1"/>
        <v xml:space="preserve"> </v>
      </c>
      <c r="C1543" s="79" t="str">
        <f t="shared" si="7"/>
        <v xml:space="preserve"> </v>
      </c>
      <c r="D1543" s="79" t="str">
        <f t="shared" si="5"/>
        <v xml:space="preserve"> </v>
      </c>
      <c r="E1543" s="79" t="str">
        <f t="shared" si="6"/>
        <v xml:space="preserve"> </v>
      </c>
    </row>
    <row r="1544" spans="1:5" ht="12.5">
      <c r="A1544" s="81" t="str">
        <f t="shared" si="0"/>
        <v xml:space="preserve"> </v>
      </c>
      <c r="B1544" s="81" t="str">
        <f t="shared" si="1"/>
        <v xml:space="preserve"> </v>
      </c>
      <c r="C1544" s="79" t="str">
        <f t="shared" si="7"/>
        <v xml:space="preserve"> </v>
      </c>
      <c r="D1544" s="79" t="str">
        <f t="shared" si="5"/>
        <v xml:space="preserve"> </v>
      </c>
      <c r="E1544" s="79" t="str">
        <f t="shared" si="6"/>
        <v xml:space="preserve"> </v>
      </c>
    </row>
    <row r="1545" spans="1:5" ht="12.5">
      <c r="A1545" s="81" t="str">
        <f t="shared" si="0"/>
        <v xml:space="preserve"> </v>
      </c>
      <c r="B1545" s="81" t="str">
        <f t="shared" si="1"/>
        <v xml:space="preserve"> </v>
      </c>
      <c r="C1545" s="79" t="str">
        <f t="shared" si="7"/>
        <v xml:space="preserve"> </v>
      </c>
      <c r="D1545" s="79" t="str">
        <f t="shared" si="5"/>
        <v xml:space="preserve"> </v>
      </c>
      <c r="E1545" s="79" t="str">
        <f t="shared" si="6"/>
        <v xml:space="preserve"> </v>
      </c>
    </row>
    <row r="1546" spans="1:5" ht="12.5">
      <c r="A1546" s="81" t="str">
        <f t="shared" si="0"/>
        <v xml:space="preserve"> </v>
      </c>
      <c r="B1546" s="81" t="str">
        <f t="shared" si="1"/>
        <v xml:space="preserve"> </v>
      </c>
      <c r="C1546" s="79" t="str">
        <f t="shared" si="7"/>
        <v xml:space="preserve"> </v>
      </c>
      <c r="D1546" s="79" t="str">
        <f t="shared" si="5"/>
        <v xml:space="preserve"> </v>
      </c>
      <c r="E1546" s="79" t="str">
        <f t="shared" si="6"/>
        <v xml:space="preserve"> </v>
      </c>
    </row>
    <row r="1547" spans="1:5" ht="12.5">
      <c r="A1547" s="81" t="str">
        <f t="shared" si="0"/>
        <v xml:space="preserve"> </v>
      </c>
      <c r="B1547" s="81" t="str">
        <f t="shared" si="1"/>
        <v xml:space="preserve"> </v>
      </c>
      <c r="C1547" s="79" t="str">
        <f t="shared" si="7"/>
        <v xml:space="preserve"> </v>
      </c>
      <c r="D1547" s="79" t="str">
        <f t="shared" si="5"/>
        <v xml:space="preserve"> </v>
      </c>
      <c r="E1547" s="79" t="str">
        <f t="shared" si="6"/>
        <v xml:space="preserve"> </v>
      </c>
    </row>
    <row r="1548" spans="1:5" ht="12.5">
      <c r="A1548" s="81" t="str">
        <f t="shared" si="0"/>
        <v xml:space="preserve"> </v>
      </c>
      <c r="B1548" s="81" t="str">
        <f t="shared" si="1"/>
        <v xml:space="preserve"> </v>
      </c>
      <c r="C1548" s="79" t="str">
        <f t="shared" si="7"/>
        <v xml:space="preserve"> </v>
      </c>
      <c r="D1548" s="79" t="str">
        <f t="shared" si="5"/>
        <v xml:space="preserve"> </v>
      </c>
      <c r="E1548" s="79" t="str">
        <f t="shared" si="6"/>
        <v xml:space="preserve"> </v>
      </c>
    </row>
    <row r="1549" spans="1:5" ht="12.5">
      <c r="A1549" s="81" t="str">
        <f t="shared" si="0"/>
        <v xml:space="preserve"> </v>
      </c>
      <c r="B1549" s="81" t="str">
        <f t="shared" si="1"/>
        <v xml:space="preserve"> </v>
      </c>
      <c r="C1549" s="79" t="str">
        <f t="shared" si="7"/>
        <v xml:space="preserve"> </v>
      </c>
      <c r="D1549" s="79" t="str">
        <f t="shared" si="5"/>
        <v xml:space="preserve"> </v>
      </c>
      <c r="E1549" s="79" t="str">
        <f t="shared" si="6"/>
        <v xml:space="preserve"> </v>
      </c>
    </row>
    <row r="1550" spans="1:5" ht="12.5">
      <c r="A1550" s="81" t="str">
        <f t="shared" si="0"/>
        <v xml:space="preserve"> </v>
      </c>
      <c r="B1550" s="81" t="str">
        <f t="shared" si="1"/>
        <v xml:space="preserve"> </v>
      </c>
      <c r="C1550" s="79" t="str">
        <f t="shared" si="7"/>
        <v xml:space="preserve"> </v>
      </c>
      <c r="D1550" s="79" t="str">
        <f t="shared" si="5"/>
        <v xml:space="preserve"> </v>
      </c>
      <c r="E1550" s="79" t="str">
        <f t="shared" si="6"/>
        <v xml:space="preserve"> </v>
      </c>
    </row>
    <row r="1551" spans="1:5" ht="12.5">
      <c r="A1551" s="81" t="str">
        <f t="shared" si="0"/>
        <v xml:space="preserve"> </v>
      </c>
      <c r="B1551" s="81" t="str">
        <f t="shared" si="1"/>
        <v xml:space="preserve"> </v>
      </c>
      <c r="C1551" s="79" t="str">
        <f t="shared" si="7"/>
        <v xml:space="preserve"> </v>
      </c>
      <c r="D1551" s="79" t="str">
        <f t="shared" si="5"/>
        <v xml:space="preserve"> </v>
      </c>
      <c r="E1551" s="79" t="str">
        <f t="shared" si="6"/>
        <v xml:space="preserve"> </v>
      </c>
    </row>
    <row r="1552" spans="1:5" ht="12.5">
      <c r="A1552" s="81" t="str">
        <f t="shared" si="0"/>
        <v xml:space="preserve"> </v>
      </c>
      <c r="B1552" s="81" t="str">
        <f t="shared" si="1"/>
        <v xml:space="preserve"> </v>
      </c>
      <c r="C1552" s="79" t="str">
        <f t="shared" si="7"/>
        <v xml:space="preserve"> </v>
      </c>
      <c r="D1552" s="79" t="str">
        <f t="shared" si="5"/>
        <v xml:space="preserve"> </v>
      </c>
      <c r="E1552" s="79" t="str">
        <f t="shared" si="6"/>
        <v xml:space="preserve"> </v>
      </c>
    </row>
    <row r="1553" spans="1:5" ht="12.5">
      <c r="A1553" s="81" t="str">
        <f t="shared" si="0"/>
        <v xml:space="preserve"> </v>
      </c>
      <c r="B1553" s="81" t="str">
        <f t="shared" si="1"/>
        <v xml:space="preserve"> </v>
      </c>
      <c r="C1553" s="79" t="str">
        <f t="shared" si="7"/>
        <v xml:space="preserve"> </v>
      </c>
      <c r="D1553" s="79" t="str">
        <f t="shared" si="5"/>
        <v xml:space="preserve"> </v>
      </c>
      <c r="E1553" s="79" t="str">
        <f t="shared" si="6"/>
        <v xml:space="preserve"> </v>
      </c>
    </row>
    <row r="1554" spans="1:5" ht="12.5">
      <c r="A1554" s="81" t="str">
        <f t="shared" si="0"/>
        <v xml:space="preserve"> </v>
      </c>
      <c r="B1554" s="81" t="str">
        <f t="shared" si="1"/>
        <v xml:space="preserve"> </v>
      </c>
      <c r="C1554" s="79" t="str">
        <f t="shared" si="7"/>
        <v xml:space="preserve"> </v>
      </c>
      <c r="D1554" s="79" t="str">
        <f t="shared" si="5"/>
        <v xml:space="preserve"> </v>
      </c>
      <c r="E1554" s="79" t="str">
        <f t="shared" si="6"/>
        <v xml:space="preserve"> </v>
      </c>
    </row>
    <row r="1555" spans="1:5" ht="12.5">
      <c r="A1555" s="81" t="str">
        <f t="shared" si="0"/>
        <v xml:space="preserve"> </v>
      </c>
      <c r="B1555" s="81" t="str">
        <f t="shared" si="1"/>
        <v xml:space="preserve"> </v>
      </c>
      <c r="C1555" s="79" t="str">
        <f t="shared" si="7"/>
        <v xml:space="preserve"> </v>
      </c>
      <c r="D1555" s="79" t="str">
        <f t="shared" si="5"/>
        <v xml:space="preserve"> </v>
      </c>
      <c r="E1555" s="79" t="str">
        <f t="shared" si="6"/>
        <v xml:space="preserve"> </v>
      </c>
    </row>
    <row r="1556" spans="1:5" ht="12.5">
      <c r="A1556" s="81" t="str">
        <f t="shared" si="0"/>
        <v xml:space="preserve"> </v>
      </c>
      <c r="B1556" s="81" t="str">
        <f t="shared" si="1"/>
        <v xml:space="preserve"> </v>
      </c>
      <c r="C1556" s="79" t="str">
        <f t="shared" si="7"/>
        <v xml:space="preserve"> </v>
      </c>
      <c r="D1556" s="79" t="str">
        <f t="shared" si="5"/>
        <v xml:space="preserve"> </v>
      </c>
      <c r="E1556" s="79" t="str">
        <f t="shared" si="6"/>
        <v xml:space="preserve"> </v>
      </c>
    </row>
    <row r="1557" spans="1:5" ht="12.5">
      <c r="A1557" s="81" t="str">
        <f t="shared" si="0"/>
        <v xml:space="preserve"> </v>
      </c>
      <c r="B1557" s="81" t="str">
        <f t="shared" si="1"/>
        <v xml:space="preserve"> </v>
      </c>
      <c r="C1557" s="79" t="str">
        <f t="shared" si="7"/>
        <v xml:space="preserve"> </v>
      </c>
      <c r="D1557" s="79" t="str">
        <f t="shared" si="5"/>
        <v xml:space="preserve"> </v>
      </c>
      <c r="E1557" s="79" t="str">
        <f t="shared" si="6"/>
        <v xml:space="preserve"> </v>
      </c>
    </row>
    <row r="1558" spans="1:5" ht="12.5">
      <c r="A1558" s="81" t="str">
        <f t="shared" si="0"/>
        <v xml:space="preserve"> </v>
      </c>
      <c r="B1558" s="81" t="str">
        <f t="shared" si="1"/>
        <v xml:space="preserve"> </v>
      </c>
      <c r="C1558" s="79" t="str">
        <f t="shared" si="7"/>
        <v xml:space="preserve"> </v>
      </c>
      <c r="D1558" s="79" t="str">
        <f t="shared" si="5"/>
        <v xml:space="preserve"> </v>
      </c>
      <c r="E1558" s="79" t="str">
        <f t="shared" si="6"/>
        <v xml:space="preserve"> </v>
      </c>
    </row>
    <row r="1559" spans="1:5" ht="12.5">
      <c r="A1559" s="81" t="str">
        <f t="shared" si="0"/>
        <v xml:space="preserve"> </v>
      </c>
      <c r="B1559" s="81" t="str">
        <f t="shared" si="1"/>
        <v xml:space="preserve"> </v>
      </c>
      <c r="C1559" s="79" t="str">
        <f t="shared" si="7"/>
        <v xml:space="preserve"> </v>
      </c>
      <c r="D1559" s="79" t="str">
        <f t="shared" si="5"/>
        <v xml:space="preserve"> </v>
      </c>
      <c r="E1559" s="79" t="str">
        <f t="shared" si="6"/>
        <v xml:space="preserve"> </v>
      </c>
    </row>
    <row r="1560" spans="1:5" ht="12.5">
      <c r="A1560" s="81" t="str">
        <f t="shared" si="0"/>
        <v xml:space="preserve"> </v>
      </c>
      <c r="B1560" s="81" t="str">
        <f t="shared" si="1"/>
        <v xml:space="preserve"> </v>
      </c>
      <c r="C1560" s="79" t="str">
        <f t="shared" si="7"/>
        <v xml:space="preserve"> </v>
      </c>
      <c r="D1560" s="79" t="str">
        <f t="shared" si="5"/>
        <v xml:space="preserve"> </v>
      </c>
      <c r="E1560" s="79" t="str">
        <f t="shared" si="6"/>
        <v xml:space="preserve"> </v>
      </c>
    </row>
    <row r="1561" spans="1:5" ht="12.5">
      <c r="A1561" s="81" t="str">
        <f t="shared" si="0"/>
        <v xml:space="preserve"> </v>
      </c>
      <c r="B1561" s="81" t="str">
        <f t="shared" si="1"/>
        <v xml:space="preserve"> </v>
      </c>
      <c r="C1561" s="79" t="str">
        <f t="shared" si="7"/>
        <v xml:space="preserve"> </v>
      </c>
      <c r="D1561" s="79" t="str">
        <f t="shared" si="5"/>
        <v xml:space="preserve"> </v>
      </c>
      <c r="E1561" s="79" t="str">
        <f t="shared" si="6"/>
        <v xml:space="preserve"> </v>
      </c>
    </row>
    <row r="1562" spans="1:5" ht="12.5">
      <c r="A1562" s="81" t="str">
        <f t="shared" si="0"/>
        <v xml:space="preserve"> </v>
      </c>
      <c r="B1562" s="81" t="str">
        <f t="shared" si="1"/>
        <v xml:space="preserve"> </v>
      </c>
      <c r="C1562" s="79" t="str">
        <f t="shared" si="7"/>
        <v xml:space="preserve"> </v>
      </c>
      <c r="D1562" s="79" t="str">
        <f t="shared" si="5"/>
        <v xml:space="preserve"> </v>
      </c>
      <c r="E1562" s="79" t="str">
        <f t="shared" si="6"/>
        <v xml:space="preserve"> </v>
      </c>
    </row>
    <row r="1563" spans="1:5" ht="12.5">
      <c r="A1563" s="81" t="str">
        <f t="shared" si="0"/>
        <v xml:space="preserve"> </v>
      </c>
      <c r="B1563" s="81" t="str">
        <f t="shared" si="1"/>
        <v xml:space="preserve"> </v>
      </c>
      <c r="C1563" s="79" t="str">
        <f t="shared" si="7"/>
        <v xml:space="preserve"> </v>
      </c>
      <c r="D1563" s="79" t="str">
        <f t="shared" si="5"/>
        <v xml:space="preserve"> </v>
      </c>
      <c r="E1563" s="79" t="str">
        <f t="shared" si="6"/>
        <v xml:space="preserve"> </v>
      </c>
    </row>
    <row r="1564" spans="1:5" ht="12.5">
      <c r="A1564" s="81" t="str">
        <f t="shared" si="0"/>
        <v xml:space="preserve"> </v>
      </c>
      <c r="B1564" s="81" t="str">
        <f t="shared" si="1"/>
        <v xml:space="preserve"> </v>
      </c>
      <c r="C1564" s="79" t="str">
        <f t="shared" si="7"/>
        <v xml:space="preserve"> </v>
      </c>
      <c r="D1564" s="79" t="str">
        <f t="shared" si="5"/>
        <v xml:space="preserve"> </v>
      </c>
      <c r="E1564" s="79" t="str">
        <f t="shared" si="6"/>
        <v xml:space="preserve"> </v>
      </c>
    </row>
    <row r="1565" spans="1:5" ht="12.5">
      <c r="A1565" s="81" t="str">
        <f t="shared" si="0"/>
        <v xml:space="preserve"> </v>
      </c>
      <c r="B1565" s="81" t="str">
        <f t="shared" si="1"/>
        <v xml:space="preserve"> </v>
      </c>
      <c r="C1565" s="79" t="str">
        <f t="shared" si="7"/>
        <v xml:space="preserve"> </v>
      </c>
      <c r="D1565" s="79" t="str">
        <f t="shared" si="5"/>
        <v xml:space="preserve"> </v>
      </c>
      <c r="E1565" s="79" t="str">
        <f t="shared" si="6"/>
        <v xml:space="preserve"> </v>
      </c>
    </row>
    <row r="1566" spans="1:5" ht="12.5">
      <c r="A1566" s="81" t="str">
        <f t="shared" si="0"/>
        <v xml:space="preserve"> </v>
      </c>
      <c r="B1566" s="81" t="str">
        <f t="shared" si="1"/>
        <v xml:space="preserve"> </v>
      </c>
      <c r="C1566" s="79" t="str">
        <f t="shared" si="7"/>
        <v xml:space="preserve"> </v>
      </c>
      <c r="D1566" s="79" t="str">
        <f t="shared" si="5"/>
        <v xml:space="preserve"> </v>
      </c>
      <c r="E1566" s="79" t="str">
        <f t="shared" si="6"/>
        <v xml:space="preserve"> </v>
      </c>
    </row>
    <row r="1567" spans="1:5" ht="12.5">
      <c r="A1567" s="81" t="str">
        <f t="shared" si="0"/>
        <v xml:space="preserve"> </v>
      </c>
      <c r="B1567" s="81" t="str">
        <f t="shared" si="1"/>
        <v xml:space="preserve"> </v>
      </c>
      <c r="C1567" s="79" t="str">
        <f t="shared" si="7"/>
        <v xml:space="preserve"> </v>
      </c>
      <c r="D1567" s="79" t="str">
        <f t="shared" si="5"/>
        <v xml:space="preserve"> </v>
      </c>
      <c r="E1567" s="79" t="str">
        <f t="shared" si="6"/>
        <v xml:space="preserve"> </v>
      </c>
    </row>
    <row r="1568" spans="1:5" ht="12.5">
      <c r="A1568" s="81" t="str">
        <f t="shared" si="0"/>
        <v xml:space="preserve"> </v>
      </c>
      <c r="B1568" s="81" t="str">
        <f t="shared" si="1"/>
        <v xml:space="preserve"> </v>
      </c>
      <c r="C1568" s="79" t="str">
        <f t="shared" si="7"/>
        <v xml:space="preserve"> </v>
      </c>
      <c r="D1568" s="79" t="str">
        <f t="shared" si="5"/>
        <v xml:space="preserve"> </v>
      </c>
      <c r="E1568" s="79" t="str">
        <f t="shared" si="6"/>
        <v xml:space="preserve"> </v>
      </c>
    </row>
    <row r="1569" spans="1:5" ht="12.5">
      <c r="A1569" s="81" t="str">
        <f t="shared" si="0"/>
        <v xml:space="preserve"> </v>
      </c>
      <c r="B1569" s="81" t="str">
        <f t="shared" si="1"/>
        <v xml:space="preserve"> </v>
      </c>
      <c r="C1569" s="79" t="str">
        <f t="shared" si="7"/>
        <v xml:space="preserve"> </v>
      </c>
      <c r="D1569" s="79" t="str">
        <f t="shared" si="5"/>
        <v xml:space="preserve"> </v>
      </c>
      <c r="E1569" s="79" t="str">
        <f t="shared" si="6"/>
        <v xml:space="preserve"> </v>
      </c>
    </row>
    <row r="1570" spans="1:5" ht="12.5">
      <c r="A1570" s="81" t="str">
        <f t="shared" si="0"/>
        <v xml:space="preserve"> </v>
      </c>
      <c r="B1570" s="81" t="str">
        <f t="shared" si="1"/>
        <v xml:space="preserve"> </v>
      </c>
      <c r="C1570" s="79" t="str">
        <f t="shared" si="7"/>
        <v xml:space="preserve"> </v>
      </c>
      <c r="D1570" s="79" t="str">
        <f t="shared" si="5"/>
        <v xml:space="preserve"> </v>
      </c>
      <c r="E1570" s="79" t="str">
        <f t="shared" si="6"/>
        <v xml:space="preserve"> </v>
      </c>
    </row>
    <row r="1571" spans="1:5" ht="12.5">
      <c r="A1571" s="81" t="str">
        <f t="shared" si="0"/>
        <v xml:space="preserve"> </v>
      </c>
      <c r="B1571" s="81" t="str">
        <f t="shared" si="1"/>
        <v xml:space="preserve"> </v>
      </c>
      <c r="C1571" s="79" t="str">
        <f t="shared" si="7"/>
        <v xml:space="preserve"> </v>
      </c>
      <c r="D1571" s="79" t="str">
        <f t="shared" si="5"/>
        <v xml:space="preserve"> </v>
      </c>
      <c r="E1571" s="79" t="str">
        <f t="shared" si="6"/>
        <v xml:space="preserve"> </v>
      </c>
    </row>
    <row r="1572" spans="1:5" ht="12.5">
      <c r="A1572" s="81" t="str">
        <f t="shared" si="0"/>
        <v xml:space="preserve"> </v>
      </c>
      <c r="B1572" s="81" t="str">
        <f t="shared" si="1"/>
        <v xml:space="preserve"> </v>
      </c>
      <c r="C1572" s="79" t="str">
        <f t="shared" si="7"/>
        <v xml:space="preserve"> </v>
      </c>
      <c r="D1572" s="79" t="str">
        <f t="shared" si="5"/>
        <v xml:space="preserve"> </v>
      </c>
      <c r="E1572" s="79" t="str">
        <f t="shared" si="6"/>
        <v xml:space="preserve"> </v>
      </c>
    </row>
    <row r="1573" spans="1:5" ht="12.5">
      <c r="A1573" s="81" t="str">
        <f t="shared" si="0"/>
        <v xml:space="preserve"> </v>
      </c>
      <c r="B1573" s="81" t="str">
        <f t="shared" si="1"/>
        <v xml:space="preserve"> </v>
      </c>
      <c r="C1573" s="79" t="str">
        <f t="shared" si="7"/>
        <v xml:space="preserve"> </v>
      </c>
      <c r="D1573" s="79" t="str">
        <f t="shared" si="5"/>
        <v xml:space="preserve"> </v>
      </c>
      <c r="E1573" s="79" t="str">
        <f t="shared" si="6"/>
        <v xml:space="preserve"> </v>
      </c>
    </row>
    <row r="1574" spans="1:5" ht="12.5">
      <c r="A1574" s="81" t="str">
        <f t="shared" si="0"/>
        <v xml:space="preserve"> </v>
      </c>
      <c r="B1574" s="81" t="str">
        <f t="shared" si="1"/>
        <v xml:space="preserve"> </v>
      </c>
      <c r="C1574" s="79" t="str">
        <f t="shared" si="7"/>
        <v xml:space="preserve"> </v>
      </c>
      <c r="D1574" s="79" t="str">
        <f t="shared" si="5"/>
        <v xml:space="preserve"> </v>
      </c>
      <c r="E1574" s="79" t="str">
        <f t="shared" si="6"/>
        <v xml:space="preserve"> </v>
      </c>
    </row>
    <row r="1575" spans="1:5" ht="12.5">
      <c r="A1575" s="81" t="str">
        <f t="shared" si="0"/>
        <v xml:space="preserve"> </v>
      </c>
      <c r="B1575" s="81" t="str">
        <f t="shared" si="1"/>
        <v xml:space="preserve"> </v>
      </c>
      <c r="C1575" s="79" t="str">
        <f t="shared" si="7"/>
        <v xml:space="preserve"> </v>
      </c>
      <c r="D1575" s="79" t="str">
        <f t="shared" si="5"/>
        <v xml:space="preserve"> </v>
      </c>
      <c r="E1575" s="79" t="str">
        <f t="shared" si="6"/>
        <v xml:space="preserve"> </v>
      </c>
    </row>
    <row r="1576" spans="1:5" ht="12.5">
      <c r="A1576" s="81" t="str">
        <f t="shared" si="0"/>
        <v xml:space="preserve"> </v>
      </c>
      <c r="B1576" s="81" t="str">
        <f t="shared" si="1"/>
        <v xml:space="preserve"> </v>
      </c>
      <c r="C1576" s="79" t="str">
        <f t="shared" si="7"/>
        <v xml:space="preserve"> </v>
      </c>
      <c r="D1576" s="79" t="str">
        <f t="shared" si="5"/>
        <v xml:space="preserve"> </v>
      </c>
      <c r="E1576" s="79" t="str">
        <f t="shared" si="6"/>
        <v xml:space="preserve"> </v>
      </c>
    </row>
    <row r="1577" spans="1:5" ht="12.5">
      <c r="A1577" s="81" t="str">
        <f t="shared" si="0"/>
        <v xml:space="preserve"> </v>
      </c>
      <c r="B1577" s="81" t="str">
        <f t="shared" si="1"/>
        <v xml:space="preserve"> </v>
      </c>
      <c r="C1577" s="79" t="str">
        <f t="shared" si="7"/>
        <v xml:space="preserve"> </v>
      </c>
      <c r="D1577" s="79" t="str">
        <f t="shared" si="5"/>
        <v xml:space="preserve"> </v>
      </c>
      <c r="E1577" s="79" t="str">
        <f t="shared" si="6"/>
        <v xml:space="preserve"> </v>
      </c>
    </row>
    <row r="1578" spans="1:5" ht="12.5">
      <c r="A1578" s="81" t="str">
        <f t="shared" si="0"/>
        <v xml:space="preserve"> </v>
      </c>
      <c r="B1578" s="81" t="str">
        <f t="shared" si="1"/>
        <v xml:space="preserve"> </v>
      </c>
      <c r="C1578" s="79" t="str">
        <f t="shared" si="7"/>
        <v xml:space="preserve"> </v>
      </c>
      <c r="D1578" s="79" t="str">
        <f t="shared" si="5"/>
        <v xml:space="preserve"> </v>
      </c>
      <c r="E1578" s="79" t="str">
        <f t="shared" si="6"/>
        <v xml:space="preserve"> </v>
      </c>
    </row>
    <row r="1579" spans="1:5" ht="12.5">
      <c r="A1579" s="81" t="str">
        <f t="shared" si="0"/>
        <v xml:space="preserve"> </v>
      </c>
      <c r="B1579" s="81" t="str">
        <f t="shared" si="1"/>
        <v xml:space="preserve"> </v>
      </c>
      <c r="C1579" s="79" t="str">
        <f t="shared" si="7"/>
        <v xml:space="preserve"> </v>
      </c>
      <c r="D1579" s="79" t="str">
        <f t="shared" si="5"/>
        <v xml:space="preserve"> </v>
      </c>
      <c r="E1579" s="79" t="str">
        <f t="shared" si="6"/>
        <v xml:space="preserve"> </v>
      </c>
    </row>
    <row r="1580" spans="1:5" ht="12.5">
      <c r="A1580" s="81" t="str">
        <f t="shared" si="0"/>
        <v xml:space="preserve"> </v>
      </c>
      <c r="B1580" s="81" t="str">
        <f t="shared" si="1"/>
        <v xml:space="preserve"> </v>
      </c>
      <c r="C1580" s="79" t="str">
        <f t="shared" si="7"/>
        <v xml:space="preserve"> </v>
      </c>
      <c r="D1580" s="79" t="str">
        <f t="shared" si="5"/>
        <v xml:space="preserve"> </v>
      </c>
      <c r="E1580" s="79" t="str">
        <f t="shared" si="6"/>
        <v xml:space="preserve"> </v>
      </c>
    </row>
    <row r="1581" spans="1:5" ht="12.5">
      <c r="A1581" s="81" t="str">
        <f t="shared" si="0"/>
        <v xml:space="preserve"> </v>
      </c>
      <c r="B1581" s="81" t="str">
        <f t="shared" si="1"/>
        <v xml:space="preserve"> </v>
      </c>
      <c r="C1581" s="79" t="str">
        <f t="shared" si="7"/>
        <v xml:space="preserve"> </v>
      </c>
      <c r="D1581" s="79" t="str">
        <f t="shared" si="5"/>
        <v xml:space="preserve"> </v>
      </c>
      <c r="E1581" s="79" t="str">
        <f t="shared" si="6"/>
        <v xml:space="preserve"> </v>
      </c>
    </row>
    <row r="1582" spans="1:5" ht="12.5">
      <c r="A1582" s="81" t="str">
        <f t="shared" si="0"/>
        <v xml:space="preserve"> </v>
      </c>
      <c r="B1582" s="81" t="str">
        <f t="shared" si="1"/>
        <v xml:space="preserve"> </v>
      </c>
      <c r="C1582" s="79" t="str">
        <f t="shared" si="7"/>
        <v xml:space="preserve"> </v>
      </c>
      <c r="D1582" s="79" t="str">
        <f t="shared" si="5"/>
        <v xml:space="preserve"> </v>
      </c>
      <c r="E1582" s="79" t="str">
        <f t="shared" si="6"/>
        <v xml:space="preserve"> </v>
      </c>
    </row>
    <row r="1583" spans="1:5" ht="12.5">
      <c r="A1583" s="81" t="str">
        <f t="shared" si="0"/>
        <v xml:space="preserve"> </v>
      </c>
      <c r="B1583" s="81" t="str">
        <f t="shared" si="1"/>
        <v xml:space="preserve"> </v>
      </c>
      <c r="C1583" s="79" t="str">
        <f t="shared" si="7"/>
        <v xml:space="preserve"> </v>
      </c>
      <c r="D1583" s="79" t="str">
        <f t="shared" si="5"/>
        <v xml:space="preserve"> </v>
      </c>
      <c r="E1583" s="79" t="str">
        <f t="shared" si="6"/>
        <v xml:space="preserve"> </v>
      </c>
    </row>
    <row r="1584" spans="1:5" ht="12.5">
      <c r="A1584" s="81" t="str">
        <f t="shared" si="0"/>
        <v xml:space="preserve"> </v>
      </c>
      <c r="B1584" s="81" t="str">
        <f t="shared" si="1"/>
        <v xml:space="preserve"> </v>
      </c>
      <c r="C1584" s="79" t="str">
        <f t="shared" si="7"/>
        <v xml:space="preserve"> </v>
      </c>
      <c r="D1584" s="79" t="str">
        <f t="shared" si="5"/>
        <v xml:space="preserve"> </v>
      </c>
      <c r="E1584" s="79" t="str">
        <f t="shared" si="6"/>
        <v xml:space="preserve"> </v>
      </c>
    </row>
    <row r="1585" spans="1:5" ht="12.5">
      <c r="A1585" s="81" t="str">
        <f t="shared" si="0"/>
        <v xml:space="preserve"> </v>
      </c>
      <c r="B1585" s="81" t="str">
        <f t="shared" si="1"/>
        <v xml:space="preserve"> </v>
      </c>
      <c r="C1585" s="79" t="str">
        <f t="shared" si="7"/>
        <v xml:space="preserve"> </v>
      </c>
      <c r="D1585" s="79" t="str">
        <f t="shared" si="5"/>
        <v xml:space="preserve"> </v>
      </c>
      <c r="E1585" s="79" t="str">
        <f t="shared" si="6"/>
        <v xml:space="preserve"> </v>
      </c>
    </row>
    <row r="1586" spans="1:5" ht="12.5">
      <c r="A1586" s="81" t="str">
        <f t="shared" si="0"/>
        <v xml:space="preserve"> </v>
      </c>
      <c r="B1586" s="81" t="str">
        <f t="shared" si="1"/>
        <v xml:space="preserve"> </v>
      </c>
      <c r="C1586" s="79" t="str">
        <f t="shared" si="7"/>
        <v xml:space="preserve"> </v>
      </c>
      <c r="D1586" s="79" t="str">
        <f t="shared" si="5"/>
        <v xml:space="preserve"> </v>
      </c>
      <c r="E1586" s="79" t="str">
        <f t="shared" si="6"/>
        <v xml:space="preserve"> </v>
      </c>
    </row>
    <row r="1587" spans="1:5" ht="12.5">
      <c r="A1587" s="81" t="str">
        <f t="shared" si="0"/>
        <v xml:space="preserve"> </v>
      </c>
      <c r="B1587" s="81" t="str">
        <f t="shared" si="1"/>
        <v xml:space="preserve"> </v>
      </c>
      <c r="C1587" s="79" t="str">
        <f t="shared" si="7"/>
        <v xml:space="preserve"> </v>
      </c>
      <c r="D1587" s="79" t="str">
        <f t="shared" si="5"/>
        <v xml:space="preserve"> </v>
      </c>
      <c r="E1587" s="79" t="str">
        <f t="shared" si="6"/>
        <v xml:space="preserve"> </v>
      </c>
    </row>
    <row r="1588" spans="1:5" ht="12.5">
      <c r="A1588" s="81" t="str">
        <f t="shared" si="0"/>
        <v xml:space="preserve"> </v>
      </c>
      <c r="B1588" s="81" t="str">
        <f t="shared" si="1"/>
        <v xml:space="preserve"> </v>
      </c>
      <c r="C1588" s="79" t="str">
        <f t="shared" si="7"/>
        <v xml:space="preserve"> </v>
      </c>
      <c r="D1588" s="79" t="str">
        <f t="shared" si="5"/>
        <v xml:space="preserve"> </v>
      </c>
      <c r="E1588" s="79" t="str">
        <f t="shared" si="6"/>
        <v xml:space="preserve"> </v>
      </c>
    </row>
    <row r="1589" spans="1:5" ht="12.5">
      <c r="A1589" s="81" t="str">
        <f t="shared" si="0"/>
        <v xml:space="preserve"> </v>
      </c>
      <c r="B1589" s="81" t="str">
        <f t="shared" si="1"/>
        <v xml:space="preserve"> </v>
      </c>
      <c r="C1589" s="79" t="str">
        <f t="shared" si="7"/>
        <v xml:space="preserve"> </v>
      </c>
      <c r="D1589" s="79" t="str">
        <f t="shared" si="5"/>
        <v xml:space="preserve"> </v>
      </c>
      <c r="E1589" s="79" t="str">
        <f t="shared" si="6"/>
        <v xml:space="preserve"> </v>
      </c>
    </row>
    <row r="1590" spans="1:5" ht="12.5">
      <c r="A1590" s="81" t="str">
        <f t="shared" si="0"/>
        <v xml:space="preserve"> </v>
      </c>
      <c r="B1590" s="81" t="str">
        <f t="shared" si="1"/>
        <v xml:space="preserve"> </v>
      </c>
      <c r="C1590" s="79" t="str">
        <f t="shared" si="7"/>
        <v xml:space="preserve"> </v>
      </c>
      <c r="D1590" s="79" t="str">
        <f t="shared" si="5"/>
        <v xml:space="preserve"> </v>
      </c>
      <c r="E1590" s="79" t="str">
        <f t="shared" si="6"/>
        <v xml:space="preserve"> </v>
      </c>
    </row>
    <row r="1591" spans="1:5" ht="12.5">
      <c r="A1591" s="81" t="str">
        <f t="shared" si="0"/>
        <v xml:space="preserve"> </v>
      </c>
      <c r="B1591" s="81" t="str">
        <f t="shared" si="1"/>
        <v xml:space="preserve"> </v>
      </c>
      <c r="C1591" s="79" t="str">
        <f t="shared" si="7"/>
        <v xml:space="preserve"> </v>
      </c>
      <c r="D1591" s="79" t="str">
        <f t="shared" si="5"/>
        <v xml:space="preserve"> </v>
      </c>
      <c r="E1591" s="79" t="str">
        <f t="shared" si="6"/>
        <v xml:space="preserve"> </v>
      </c>
    </row>
    <row r="1592" spans="1:5" ht="12.5">
      <c r="A1592" s="81" t="str">
        <f t="shared" si="0"/>
        <v xml:space="preserve"> </v>
      </c>
      <c r="B1592" s="81" t="str">
        <f t="shared" si="1"/>
        <v xml:space="preserve"> </v>
      </c>
      <c r="C1592" s="79" t="str">
        <f t="shared" si="7"/>
        <v xml:space="preserve"> </v>
      </c>
      <c r="D1592" s="79" t="str">
        <f t="shared" si="5"/>
        <v xml:space="preserve"> </v>
      </c>
      <c r="E1592" s="79" t="str">
        <f t="shared" si="6"/>
        <v xml:space="preserve"> </v>
      </c>
    </row>
    <row r="1593" spans="1:5" ht="12.5">
      <c r="A1593" s="81" t="str">
        <f t="shared" si="0"/>
        <v xml:space="preserve"> </v>
      </c>
      <c r="B1593" s="81" t="str">
        <f t="shared" si="1"/>
        <v xml:space="preserve"> </v>
      </c>
      <c r="C1593" s="79" t="str">
        <f t="shared" si="7"/>
        <v xml:space="preserve"> </v>
      </c>
      <c r="D1593" s="79" t="str">
        <f t="shared" si="5"/>
        <v xml:space="preserve"> </v>
      </c>
      <c r="E1593" s="79" t="str">
        <f t="shared" si="6"/>
        <v xml:space="preserve"> </v>
      </c>
    </row>
    <row r="1594" spans="1:5" ht="12.5">
      <c r="A1594" s="81" t="str">
        <f t="shared" si="0"/>
        <v xml:space="preserve"> </v>
      </c>
      <c r="B1594" s="81" t="str">
        <f t="shared" si="1"/>
        <v xml:space="preserve"> </v>
      </c>
      <c r="C1594" s="79" t="str">
        <f t="shared" si="7"/>
        <v xml:space="preserve"> </v>
      </c>
      <c r="D1594" s="79" t="str">
        <f t="shared" si="5"/>
        <v xml:space="preserve"> </v>
      </c>
      <c r="E1594" s="79" t="str">
        <f t="shared" si="6"/>
        <v xml:space="preserve"> </v>
      </c>
    </row>
    <row r="1595" spans="1:5" ht="12.5">
      <c r="A1595" s="81" t="str">
        <f t="shared" si="0"/>
        <v xml:space="preserve"> </v>
      </c>
      <c r="B1595" s="81" t="str">
        <f t="shared" si="1"/>
        <v xml:space="preserve"> </v>
      </c>
      <c r="C1595" s="79" t="str">
        <f t="shared" si="7"/>
        <v xml:space="preserve"> </v>
      </c>
      <c r="D1595" s="79" t="str">
        <f t="shared" si="5"/>
        <v xml:space="preserve"> </v>
      </c>
      <c r="E1595" s="79" t="str">
        <f t="shared" si="6"/>
        <v xml:space="preserve"> </v>
      </c>
    </row>
    <row r="1596" spans="1:5" ht="12.5">
      <c r="A1596" s="81" t="str">
        <f t="shared" si="0"/>
        <v xml:space="preserve"> </v>
      </c>
      <c r="B1596" s="81" t="str">
        <f t="shared" si="1"/>
        <v xml:space="preserve"> </v>
      </c>
      <c r="C1596" s="79" t="str">
        <f t="shared" si="7"/>
        <v xml:space="preserve"> </v>
      </c>
      <c r="D1596" s="79" t="str">
        <f t="shared" si="5"/>
        <v xml:space="preserve"> </v>
      </c>
      <c r="E1596" s="79" t="str">
        <f t="shared" si="6"/>
        <v xml:space="preserve"> </v>
      </c>
    </row>
    <row r="1597" spans="1:5" ht="12.5">
      <c r="A1597" s="81" t="str">
        <f t="shared" si="0"/>
        <v xml:space="preserve"> </v>
      </c>
      <c r="B1597" s="81" t="str">
        <f t="shared" si="1"/>
        <v xml:space="preserve"> </v>
      </c>
      <c r="C1597" s="79" t="str">
        <f t="shared" si="7"/>
        <v xml:space="preserve"> </v>
      </c>
      <c r="D1597" s="79" t="str">
        <f t="shared" si="5"/>
        <v xml:space="preserve"> </v>
      </c>
      <c r="E1597" s="79" t="str">
        <f t="shared" si="6"/>
        <v xml:space="preserve"> </v>
      </c>
    </row>
    <row r="1598" spans="1:5" ht="12.5">
      <c r="A1598" s="81" t="str">
        <f t="shared" si="0"/>
        <v xml:space="preserve"> </v>
      </c>
      <c r="B1598" s="81" t="str">
        <f t="shared" si="1"/>
        <v xml:space="preserve"> </v>
      </c>
      <c r="C1598" s="79" t="str">
        <f t="shared" si="7"/>
        <v xml:space="preserve"> </v>
      </c>
      <c r="D1598" s="79" t="str">
        <f t="shared" si="5"/>
        <v xml:space="preserve"> </v>
      </c>
      <c r="E1598" s="79" t="str">
        <f t="shared" si="6"/>
        <v xml:space="preserve"> </v>
      </c>
    </row>
    <row r="1599" spans="1:5" ht="12.5">
      <c r="A1599" s="81" t="str">
        <f t="shared" si="0"/>
        <v xml:space="preserve"> </v>
      </c>
      <c r="B1599" s="81" t="str">
        <f t="shared" si="1"/>
        <v xml:space="preserve"> </v>
      </c>
      <c r="C1599" s="79" t="str">
        <f t="shared" si="7"/>
        <v xml:space="preserve"> </v>
      </c>
      <c r="D1599" s="79" t="str">
        <f t="shared" si="5"/>
        <v xml:space="preserve"> </v>
      </c>
      <c r="E1599" s="79" t="str">
        <f t="shared" si="6"/>
        <v xml:space="preserve"> </v>
      </c>
    </row>
    <row r="1600" spans="1:5" ht="12.5">
      <c r="A1600" s="81" t="str">
        <f t="shared" si="0"/>
        <v xml:space="preserve"> </v>
      </c>
      <c r="B1600" s="81" t="str">
        <f t="shared" si="1"/>
        <v xml:space="preserve"> </v>
      </c>
      <c r="C1600" s="79" t="str">
        <f t="shared" si="7"/>
        <v xml:space="preserve"> </v>
      </c>
      <c r="D1600" s="79" t="str">
        <f t="shared" si="5"/>
        <v xml:space="preserve"> </v>
      </c>
      <c r="E1600" s="79" t="str">
        <f t="shared" si="6"/>
        <v xml:space="preserve"> </v>
      </c>
    </row>
    <row r="1601" spans="1:5" ht="12.5">
      <c r="A1601" s="81" t="str">
        <f t="shared" si="0"/>
        <v xml:space="preserve"> </v>
      </c>
      <c r="B1601" s="81" t="str">
        <f t="shared" si="1"/>
        <v xml:space="preserve"> </v>
      </c>
      <c r="C1601" s="79" t="str">
        <f t="shared" si="7"/>
        <v xml:space="preserve"> </v>
      </c>
      <c r="D1601" s="79" t="str">
        <f t="shared" si="5"/>
        <v xml:space="preserve"> </v>
      </c>
      <c r="E1601" s="79" t="str">
        <f t="shared" si="6"/>
        <v xml:space="preserve"> </v>
      </c>
    </row>
    <row r="1602" spans="1:5" ht="12.5">
      <c r="A1602" s="81" t="str">
        <f t="shared" si="0"/>
        <v xml:space="preserve"> </v>
      </c>
      <c r="B1602" s="81" t="str">
        <f t="shared" si="1"/>
        <v xml:space="preserve"> </v>
      </c>
      <c r="C1602" s="79" t="str">
        <f t="shared" si="7"/>
        <v xml:space="preserve"> </v>
      </c>
      <c r="D1602" s="79" t="str">
        <f t="shared" si="5"/>
        <v xml:space="preserve"> </v>
      </c>
      <c r="E1602" s="79" t="str">
        <f t="shared" si="6"/>
        <v xml:space="preserve"> </v>
      </c>
    </row>
    <row r="1603" spans="1:5" ht="12.5">
      <c r="A1603" s="81" t="str">
        <f t="shared" si="0"/>
        <v xml:space="preserve"> </v>
      </c>
      <c r="B1603" s="81" t="str">
        <f t="shared" si="1"/>
        <v xml:space="preserve"> </v>
      </c>
      <c r="C1603" s="79" t="str">
        <f t="shared" si="7"/>
        <v xml:space="preserve"> </v>
      </c>
      <c r="D1603" s="79" t="str">
        <f t="shared" si="5"/>
        <v xml:space="preserve"> </v>
      </c>
      <c r="E1603" s="79" t="str">
        <f t="shared" si="6"/>
        <v xml:space="preserve"> </v>
      </c>
    </row>
    <row r="1604" spans="1:5" ht="12.5">
      <c r="A1604" s="81" t="str">
        <f t="shared" si="0"/>
        <v xml:space="preserve"> </v>
      </c>
      <c r="B1604" s="81" t="str">
        <f t="shared" si="1"/>
        <v xml:space="preserve"> </v>
      </c>
      <c r="C1604" s="79" t="str">
        <f t="shared" si="7"/>
        <v xml:space="preserve"> </v>
      </c>
      <c r="D1604" s="79" t="str">
        <f t="shared" si="5"/>
        <v xml:space="preserve"> </v>
      </c>
      <c r="E1604" s="79" t="str">
        <f t="shared" si="6"/>
        <v xml:space="preserve"> </v>
      </c>
    </row>
    <row r="1605" spans="1:5" ht="12.5">
      <c r="A1605" s="81" t="str">
        <f t="shared" si="0"/>
        <v xml:space="preserve"> </v>
      </c>
      <c r="B1605" s="81" t="str">
        <f t="shared" si="1"/>
        <v xml:space="preserve"> </v>
      </c>
      <c r="C1605" s="79" t="str">
        <f t="shared" si="7"/>
        <v xml:space="preserve"> </v>
      </c>
      <c r="D1605" s="79" t="str">
        <f t="shared" si="5"/>
        <v xml:space="preserve"> </v>
      </c>
      <c r="E1605" s="79" t="str">
        <f t="shared" si="6"/>
        <v xml:space="preserve"> </v>
      </c>
    </row>
    <row r="1606" spans="1:5" ht="12.5">
      <c r="A1606" s="81" t="str">
        <f t="shared" si="0"/>
        <v xml:space="preserve"> </v>
      </c>
      <c r="B1606" s="81" t="str">
        <f t="shared" si="1"/>
        <v xml:space="preserve"> </v>
      </c>
      <c r="C1606" s="79" t="str">
        <f t="shared" si="7"/>
        <v xml:space="preserve"> </v>
      </c>
      <c r="D1606" s="79" t="str">
        <f t="shared" si="5"/>
        <v xml:space="preserve"> </v>
      </c>
      <c r="E1606" s="79" t="str">
        <f t="shared" si="6"/>
        <v xml:space="preserve"> </v>
      </c>
    </row>
    <row r="1607" spans="1:5" ht="12.5">
      <c r="A1607" s="81" t="str">
        <f t="shared" si="0"/>
        <v xml:space="preserve"> </v>
      </c>
      <c r="B1607" s="81" t="str">
        <f t="shared" si="1"/>
        <v xml:space="preserve"> </v>
      </c>
      <c r="C1607" s="79" t="str">
        <f t="shared" si="7"/>
        <v xml:space="preserve"> </v>
      </c>
      <c r="D1607" s="79" t="str">
        <f t="shared" si="5"/>
        <v xml:space="preserve"> </v>
      </c>
      <c r="E1607" s="79" t="str">
        <f t="shared" si="6"/>
        <v xml:space="preserve"> </v>
      </c>
    </row>
    <row r="1608" spans="1:5" ht="12.5">
      <c r="A1608" s="81" t="str">
        <f t="shared" si="0"/>
        <v xml:space="preserve"> </v>
      </c>
      <c r="B1608" s="81" t="str">
        <f t="shared" si="1"/>
        <v xml:space="preserve"> </v>
      </c>
      <c r="C1608" s="79" t="str">
        <f t="shared" si="7"/>
        <v xml:space="preserve"> </v>
      </c>
      <c r="D1608" s="79" t="str">
        <f t="shared" si="5"/>
        <v xml:space="preserve"> </v>
      </c>
      <c r="E1608" s="79" t="str">
        <f t="shared" si="6"/>
        <v xml:space="preserve"> </v>
      </c>
    </row>
    <row r="1609" spans="1:5" ht="12.5">
      <c r="A1609" s="81" t="str">
        <f t="shared" si="0"/>
        <v xml:space="preserve"> </v>
      </c>
      <c r="B1609" s="81" t="str">
        <f t="shared" si="1"/>
        <v xml:space="preserve"> </v>
      </c>
      <c r="C1609" s="79" t="str">
        <f t="shared" si="7"/>
        <v xml:space="preserve"> </v>
      </c>
      <c r="D1609" s="79" t="str">
        <f t="shared" si="5"/>
        <v xml:space="preserve"> </v>
      </c>
      <c r="E1609" s="79" t="str">
        <f t="shared" si="6"/>
        <v xml:space="preserve"> </v>
      </c>
    </row>
    <row r="1610" spans="1:5" ht="12.5">
      <c r="A1610" s="81" t="str">
        <f t="shared" si="0"/>
        <v xml:space="preserve"> </v>
      </c>
      <c r="B1610" s="81" t="str">
        <f t="shared" si="1"/>
        <v xml:space="preserve"> </v>
      </c>
      <c r="C1610" s="79" t="str">
        <f t="shared" si="7"/>
        <v xml:space="preserve"> </v>
      </c>
      <c r="D1610" s="79" t="str">
        <f t="shared" si="5"/>
        <v xml:space="preserve"> </v>
      </c>
      <c r="E1610" s="79" t="str">
        <f t="shared" si="6"/>
        <v xml:space="preserve"> </v>
      </c>
    </row>
    <row r="1611" spans="1:5" ht="12.5">
      <c r="A1611" s="81" t="str">
        <f t="shared" si="0"/>
        <v xml:space="preserve"> </v>
      </c>
      <c r="B1611" s="81" t="str">
        <f t="shared" si="1"/>
        <v xml:space="preserve"> </v>
      </c>
      <c r="C1611" s="79" t="str">
        <f t="shared" si="7"/>
        <v xml:space="preserve"> </v>
      </c>
      <c r="D1611" s="79" t="str">
        <f t="shared" si="5"/>
        <v xml:space="preserve"> </v>
      </c>
      <c r="E1611" s="79" t="str">
        <f t="shared" si="6"/>
        <v xml:space="preserve"> </v>
      </c>
    </row>
    <row r="1612" spans="1:5" ht="12.5">
      <c r="A1612" s="81" t="str">
        <f t="shared" si="0"/>
        <v xml:space="preserve"> </v>
      </c>
      <c r="B1612" s="81" t="str">
        <f t="shared" si="1"/>
        <v xml:space="preserve"> </v>
      </c>
      <c r="C1612" s="79" t="str">
        <f t="shared" si="7"/>
        <v xml:space="preserve"> </v>
      </c>
      <c r="D1612" s="79" t="str">
        <f t="shared" si="5"/>
        <v xml:space="preserve"> </v>
      </c>
      <c r="E1612" s="79" t="str">
        <f t="shared" si="6"/>
        <v xml:space="preserve"> </v>
      </c>
    </row>
    <row r="1613" spans="1:5" ht="12.5">
      <c r="A1613" s="81" t="str">
        <f t="shared" si="0"/>
        <v xml:space="preserve"> </v>
      </c>
      <c r="B1613" s="81" t="str">
        <f t="shared" si="1"/>
        <v xml:space="preserve"> </v>
      </c>
      <c r="C1613" s="79" t="str">
        <f t="shared" si="7"/>
        <v xml:space="preserve"> </v>
      </c>
      <c r="D1613" s="79" t="str">
        <f t="shared" si="5"/>
        <v xml:space="preserve"> </v>
      </c>
      <c r="E1613" s="79" t="str">
        <f t="shared" si="6"/>
        <v xml:space="preserve"> </v>
      </c>
    </row>
    <row r="1614" spans="1:5" ht="12.5">
      <c r="A1614" s="81" t="str">
        <f t="shared" si="0"/>
        <v xml:space="preserve"> </v>
      </c>
      <c r="B1614" s="81" t="str">
        <f t="shared" si="1"/>
        <v xml:space="preserve"> </v>
      </c>
      <c r="C1614" s="79" t="str">
        <f t="shared" si="7"/>
        <v xml:space="preserve"> </v>
      </c>
      <c r="D1614" s="79" t="str">
        <f t="shared" si="5"/>
        <v xml:space="preserve"> </v>
      </c>
      <c r="E1614" s="79" t="str">
        <f t="shared" si="6"/>
        <v xml:space="preserve"> </v>
      </c>
    </row>
    <row r="1615" spans="1:5" ht="12.5">
      <c r="A1615" s="81" t="str">
        <f t="shared" si="0"/>
        <v xml:space="preserve"> </v>
      </c>
      <c r="B1615" s="81" t="str">
        <f t="shared" si="1"/>
        <v xml:space="preserve"> </v>
      </c>
      <c r="C1615" s="79" t="str">
        <f t="shared" si="7"/>
        <v xml:space="preserve"> </v>
      </c>
      <c r="D1615" s="79" t="str">
        <f t="shared" si="5"/>
        <v xml:space="preserve"> </v>
      </c>
      <c r="E1615" s="79" t="str">
        <f t="shared" si="6"/>
        <v xml:space="preserve"> </v>
      </c>
    </row>
    <row r="1616" spans="1:5" ht="12.5">
      <c r="A1616" s="81" t="str">
        <f t="shared" si="0"/>
        <v xml:space="preserve"> </v>
      </c>
      <c r="B1616" s="81" t="str">
        <f t="shared" si="1"/>
        <v xml:space="preserve"> </v>
      </c>
      <c r="C1616" s="79" t="str">
        <f t="shared" si="7"/>
        <v xml:space="preserve"> </v>
      </c>
      <c r="D1616" s="79" t="str">
        <f t="shared" si="5"/>
        <v xml:space="preserve"> </v>
      </c>
      <c r="E1616" s="79" t="str">
        <f t="shared" si="6"/>
        <v xml:space="preserve"> </v>
      </c>
    </row>
    <row r="1617" spans="1:5" ht="12.5">
      <c r="A1617" s="81" t="str">
        <f t="shared" si="0"/>
        <v xml:space="preserve"> </v>
      </c>
      <c r="B1617" s="81" t="str">
        <f t="shared" si="1"/>
        <v xml:space="preserve"> </v>
      </c>
      <c r="C1617" s="79" t="str">
        <f t="shared" si="7"/>
        <v xml:space="preserve"> </v>
      </c>
      <c r="D1617" s="79" t="str">
        <f t="shared" si="5"/>
        <v xml:space="preserve"> </v>
      </c>
      <c r="E1617" s="79" t="str">
        <f t="shared" si="6"/>
        <v xml:space="preserve"> </v>
      </c>
    </row>
    <row r="1618" spans="1:5" ht="12.5">
      <c r="A1618" s="81" t="str">
        <f t="shared" si="0"/>
        <v xml:space="preserve"> </v>
      </c>
      <c r="B1618" s="81" t="str">
        <f t="shared" si="1"/>
        <v xml:space="preserve"> </v>
      </c>
      <c r="C1618" s="79" t="str">
        <f t="shared" si="7"/>
        <v xml:space="preserve"> </v>
      </c>
      <c r="D1618" s="79" t="str">
        <f t="shared" si="5"/>
        <v xml:space="preserve"> </v>
      </c>
      <c r="E1618" s="79" t="str">
        <f t="shared" si="6"/>
        <v xml:space="preserve"> </v>
      </c>
    </row>
    <row r="1619" spans="1:5" ht="12.5">
      <c r="A1619" s="81" t="str">
        <f t="shared" si="0"/>
        <v xml:space="preserve"> </v>
      </c>
      <c r="B1619" s="81" t="str">
        <f t="shared" si="1"/>
        <v xml:space="preserve"> </v>
      </c>
      <c r="C1619" s="79" t="str">
        <f t="shared" si="7"/>
        <v xml:space="preserve"> </v>
      </c>
      <c r="D1619" s="79" t="str">
        <f t="shared" si="5"/>
        <v xml:space="preserve"> </v>
      </c>
      <c r="E1619" s="79" t="str">
        <f t="shared" si="6"/>
        <v xml:space="preserve"> </v>
      </c>
    </row>
    <row r="1620" spans="1:5" ht="12.5">
      <c r="A1620" s="81" t="str">
        <f t="shared" si="0"/>
        <v xml:space="preserve"> </v>
      </c>
      <c r="B1620" s="81" t="str">
        <f t="shared" si="1"/>
        <v xml:space="preserve"> </v>
      </c>
      <c r="C1620" s="79" t="str">
        <f t="shared" si="7"/>
        <v xml:space="preserve"> </v>
      </c>
      <c r="D1620" s="79" t="str">
        <f t="shared" si="5"/>
        <v xml:space="preserve"> </v>
      </c>
      <c r="E1620" s="79" t="str">
        <f t="shared" si="6"/>
        <v xml:space="preserve"> </v>
      </c>
    </row>
    <row r="1621" spans="1:5" ht="12.5">
      <c r="A1621" s="81" t="str">
        <f t="shared" si="0"/>
        <v xml:space="preserve"> </v>
      </c>
      <c r="B1621" s="81" t="str">
        <f t="shared" si="1"/>
        <v xml:space="preserve"> </v>
      </c>
      <c r="C1621" s="79" t="str">
        <f t="shared" si="7"/>
        <v xml:space="preserve"> </v>
      </c>
      <c r="D1621" s="79" t="str">
        <f t="shared" si="5"/>
        <v xml:space="preserve"> </v>
      </c>
      <c r="E1621" s="79" t="str">
        <f t="shared" si="6"/>
        <v xml:space="preserve"> </v>
      </c>
    </row>
    <row r="1622" spans="1:5" ht="12.5">
      <c r="A1622" s="81" t="str">
        <f t="shared" si="0"/>
        <v xml:space="preserve"> </v>
      </c>
      <c r="B1622" s="81" t="str">
        <f t="shared" si="1"/>
        <v xml:space="preserve"> </v>
      </c>
      <c r="C1622" s="79" t="str">
        <f t="shared" si="7"/>
        <v xml:space="preserve"> </v>
      </c>
      <c r="D1622" s="79" t="str">
        <f t="shared" si="5"/>
        <v xml:space="preserve"> </v>
      </c>
      <c r="E1622" s="79" t="str">
        <f t="shared" si="6"/>
        <v xml:space="preserve"> </v>
      </c>
    </row>
    <row r="1623" spans="1:5" ht="12.5">
      <c r="A1623" s="81" t="str">
        <f t="shared" si="0"/>
        <v xml:space="preserve"> </v>
      </c>
      <c r="B1623" s="81" t="str">
        <f t="shared" si="1"/>
        <v xml:space="preserve"> </v>
      </c>
      <c r="C1623" s="79" t="str">
        <f t="shared" si="7"/>
        <v xml:space="preserve"> </v>
      </c>
      <c r="D1623" s="79" t="str">
        <f t="shared" si="5"/>
        <v xml:space="preserve"> </v>
      </c>
      <c r="E1623" s="79" t="str">
        <f t="shared" si="6"/>
        <v xml:space="preserve"> </v>
      </c>
    </row>
    <row r="1624" spans="1:5" ht="12.5">
      <c r="A1624" s="81" t="str">
        <f t="shared" si="0"/>
        <v xml:space="preserve"> </v>
      </c>
      <c r="B1624" s="81" t="str">
        <f t="shared" si="1"/>
        <v xml:space="preserve"> </v>
      </c>
      <c r="C1624" s="79" t="str">
        <f t="shared" si="7"/>
        <v xml:space="preserve"> </v>
      </c>
      <c r="D1624" s="79" t="str">
        <f t="shared" si="5"/>
        <v xml:space="preserve"> </v>
      </c>
      <c r="E1624" s="79" t="str">
        <f t="shared" si="6"/>
        <v xml:space="preserve"> </v>
      </c>
    </row>
    <row r="1625" spans="1:5" ht="12.5">
      <c r="A1625" s="81" t="str">
        <f t="shared" si="0"/>
        <v xml:space="preserve"> </v>
      </c>
      <c r="B1625" s="81" t="str">
        <f t="shared" si="1"/>
        <v xml:space="preserve"> </v>
      </c>
      <c r="C1625" s="79" t="str">
        <f t="shared" si="7"/>
        <v xml:space="preserve"> </v>
      </c>
      <c r="D1625" s="79" t="str">
        <f t="shared" si="5"/>
        <v xml:space="preserve"> </v>
      </c>
      <c r="E1625" s="79" t="str">
        <f t="shared" si="6"/>
        <v xml:space="preserve"> </v>
      </c>
    </row>
    <row r="1626" spans="1:5" ht="12.5">
      <c r="A1626" s="81" t="str">
        <f t="shared" si="0"/>
        <v xml:space="preserve"> </v>
      </c>
      <c r="B1626" s="81" t="str">
        <f t="shared" si="1"/>
        <v xml:space="preserve"> </v>
      </c>
      <c r="C1626" s="79" t="str">
        <f t="shared" si="7"/>
        <v xml:space="preserve"> </v>
      </c>
      <c r="D1626" s="79" t="str">
        <f t="shared" si="5"/>
        <v xml:space="preserve"> </v>
      </c>
      <c r="E1626" s="79" t="str">
        <f t="shared" si="6"/>
        <v xml:space="preserve"> </v>
      </c>
    </row>
    <row r="1627" spans="1:5" ht="12.5">
      <c r="A1627" s="81" t="str">
        <f t="shared" si="0"/>
        <v xml:space="preserve"> </v>
      </c>
      <c r="B1627" s="81" t="str">
        <f t="shared" si="1"/>
        <v xml:space="preserve"> </v>
      </c>
      <c r="C1627" s="79" t="str">
        <f t="shared" si="7"/>
        <v xml:space="preserve"> </v>
      </c>
      <c r="D1627" s="79" t="str">
        <f t="shared" si="5"/>
        <v xml:space="preserve"> </v>
      </c>
      <c r="E1627" s="79" t="str">
        <f t="shared" si="6"/>
        <v xml:space="preserve"> </v>
      </c>
    </row>
    <row r="1628" spans="1:5" ht="12.5">
      <c r="A1628" s="81" t="str">
        <f t="shared" si="0"/>
        <v xml:space="preserve"> </v>
      </c>
      <c r="B1628" s="81" t="str">
        <f t="shared" si="1"/>
        <v xml:space="preserve"> </v>
      </c>
      <c r="C1628" s="79" t="str">
        <f t="shared" si="7"/>
        <v xml:space="preserve"> </v>
      </c>
      <c r="D1628" s="79" t="str">
        <f t="shared" si="5"/>
        <v xml:space="preserve"> </v>
      </c>
      <c r="E1628" s="79" t="str">
        <f t="shared" si="6"/>
        <v xml:space="preserve"> </v>
      </c>
    </row>
    <row r="1629" spans="1:5" ht="12.5">
      <c r="A1629" s="81" t="str">
        <f t="shared" si="0"/>
        <v xml:space="preserve"> </v>
      </c>
      <c r="B1629" s="81" t="str">
        <f t="shared" si="1"/>
        <v xml:space="preserve"> </v>
      </c>
      <c r="C1629" s="79" t="str">
        <f t="shared" si="7"/>
        <v xml:space="preserve"> </v>
      </c>
      <c r="D1629" s="79" t="str">
        <f t="shared" si="5"/>
        <v xml:space="preserve"> </v>
      </c>
      <c r="E1629" s="79" t="str">
        <f t="shared" si="6"/>
        <v xml:space="preserve"> </v>
      </c>
    </row>
    <row r="1630" spans="1:5" ht="12.5">
      <c r="A1630" s="81" t="str">
        <f t="shared" si="0"/>
        <v xml:space="preserve"> </v>
      </c>
      <c r="B1630" s="81" t="str">
        <f t="shared" si="1"/>
        <v xml:space="preserve"> </v>
      </c>
      <c r="C1630" s="79" t="str">
        <f t="shared" si="7"/>
        <v xml:space="preserve"> </v>
      </c>
      <c r="D1630" s="79" t="str">
        <f t="shared" si="5"/>
        <v xml:space="preserve"> </v>
      </c>
      <c r="E1630" s="79" t="str">
        <f t="shared" si="6"/>
        <v xml:space="preserve"> </v>
      </c>
    </row>
    <row r="1631" spans="1:5" ht="12.5">
      <c r="A1631" s="81" t="str">
        <f t="shared" si="0"/>
        <v xml:space="preserve"> </v>
      </c>
      <c r="B1631" s="81" t="str">
        <f t="shared" si="1"/>
        <v xml:space="preserve"> </v>
      </c>
      <c r="C1631" s="79" t="str">
        <f t="shared" si="7"/>
        <v xml:space="preserve"> </v>
      </c>
      <c r="D1631" s="79" t="str">
        <f t="shared" si="5"/>
        <v xml:space="preserve"> </v>
      </c>
      <c r="E1631" s="79" t="str">
        <f t="shared" si="6"/>
        <v xml:space="preserve"> </v>
      </c>
    </row>
    <row r="1632" spans="1:5" ht="12.5">
      <c r="A1632" s="81" t="str">
        <f t="shared" si="0"/>
        <v xml:space="preserve"> </v>
      </c>
      <c r="B1632" s="81" t="str">
        <f t="shared" si="1"/>
        <v xml:space="preserve"> </v>
      </c>
      <c r="C1632" s="79" t="str">
        <f t="shared" si="7"/>
        <v xml:space="preserve"> </v>
      </c>
      <c r="D1632" s="79" t="str">
        <f t="shared" si="5"/>
        <v xml:space="preserve"> </v>
      </c>
      <c r="E1632" s="79" t="str">
        <f t="shared" si="6"/>
        <v xml:space="preserve"> </v>
      </c>
    </row>
    <row r="1633" spans="1:5" ht="12.5">
      <c r="A1633" s="81" t="str">
        <f t="shared" si="0"/>
        <v xml:space="preserve"> </v>
      </c>
      <c r="B1633" s="81" t="str">
        <f t="shared" si="1"/>
        <v xml:space="preserve"> </v>
      </c>
      <c r="C1633" s="79" t="str">
        <f t="shared" si="7"/>
        <v xml:space="preserve"> </v>
      </c>
      <c r="D1633" s="79" t="str">
        <f t="shared" si="5"/>
        <v xml:space="preserve"> </v>
      </c>
      <c r="E1633" s="79" t="str">
        <f t="shared" si="6"/>
        <v xml:space="preserve"> </v>
      </c>
    </row>
    <row r="1634" spans="1:5" ht="12.5">
      <c r="A1634" s="81" t="str">
        <f t="shared" si="0"/>
        <v xml:space="preserve"> </v>
      </c>
      <c r="B1634" s="81" t="str">
        <f t="shared" si="1"/>
        <v xml:space="preserve"> </v>
      </c>
      <c r="C1634" s="79" t="str">
        <f t="shared" si="7"/>
        <v xml:space="preserve"> </v>
      </c>
      <c r="D1634" s="79" t="str">
        <f t="shared" si="5"/>
        <v xml:space="preserve"> </v>
      </c>
      <c r="E1634" s="79" t="str">
        <f t="shared" si="6"/>
        <v xml:space="preserve"> </v>
      </c>
    </row>
    <row r="1635" spans="1:5" ht="12.5">
      <c r="A1635" s="81" t="str">
        <f t="shared" si="0"/>
        <v xml:space="preserve"> </v>
      </c>
      <c r="B1635" s="81" t="str">
        <f t="shared" si="1"/>
        <v xml:space="preserve"> </v>
      </c>
      <c r="C1635" s="79" t="str">
        <f t="shared" si="7"/>
        <v xml:space="preserve"> </v>
      </c>
      <c r="D1635" s="79" t="str">
        <f t="shared" si="5"/>
        <v xml:space="preserve"> </v>
      </c>
      <c r="E1635" s="79" t="str">
        <f t="shared" si="6"/>
        <v xml:space="preserve"> </v>
      </c>
    </row>
    <row r="1636" spans="1:5" ht="12.5">
      <c r="A1636" s="81" t="str">
        <f t="shared" si="0"/>
        <v xml:space="preserve"> </v>
      </c>
      <c r="B1636" s="81" t="str">
        <f t="shared" si="1"/>
        <v xml:space="preserve"> </v>
      </c>
      <c r="C1636" s="79" t="str">
        <f t="shared" si="7"/>
        <v xml:space="preserve"> </v>
      </c>
      <c r="D1636" s="79" t="str">
        <f t="shared" si="5"/>
        <v xml:space="preserve"> </v>
      </c>
      <c r="E1636" s="79" t="str">
        <f t="shared" si="6"/>
        <v xml:space="preserve"> </v>
      </c>
    </row>
    <row r="1637" spans="1:5" ht="12.5">
      <c r="A1637" s="81" t="str">
        <f t="shared" si="0"/>
        <v xml:space="preserve"> </v>
      </c>
      <c r="B1637" s="81" t="str">
        <f t="shared" si="1"/>
        <v xml:space="preserve"> </v>
      </c>
      <c r="C1637" s="79" t="str">
        <f t="shared" si="7"/>
        <v xml:space="preserve"> </v>
      </c>
      <c r="D1637" s="79" t="str">
        <f t="shared" si="5"/>
        <v xml:space="preserve"> </v>
      </c>
      <c r="E1637" s="79" t="str">
        <f t="shared" si="6"/>
        <v xml:space="preserve"> </v>
      </c>
    </row>
    <row r="1638" spans="1:5" ht="12.5">
      <c r="A1638" s="81" t="str">
        <f t="shared" si="0"/>
        <v xml:space="preserve"> </v>
      </c>
      <c r="B1638" s="81" t="str">
        <f t="shared" si="1"/>
        <v xml:space="preserve"> </v>
      </c>
      <c r="C1638" s="79" t="str">
        <f t="shared" si="7"/>
        <v xml:space="preserve"> </v>
      </c>
      <c r="D1638" s="79" t="str">
        <f t="shared" si="5"/>
        <v xml:space="preserve"> </v>
      </c>
      <c r="E1638" s="79" t="str">
        <f t="shared" si="6"/>
        <v xml:space="preserve"> </v>
      </c>
    </row>
    <row r="1639" spans="1:5" ht="12.5">
      <c r="A1639" s="81" t="str">
        <f t="shared" si="0"/>
        <v xml:space="preserve"> </v>
      </c>
      <c r="B1639" s="81" t="str">
        <f t="shared" si="1"/>
        <v xml:space="preserve"> </v>
      </c>
      <c r="C1639" s="79" t="str">
        <f t="shared" si="7"/>
        <v xml:space="preserve"> </v>
      </c>
      <c r="D1639" s="79" t="str">
        <f t="shared" si="5"/>
        <v xml:space="preserve"> </v>
      </c>
      <c r="E1639" s="79" t="str">
        <f t="shared" si="6"/>
        <v xml:space="preserve"> </v>
      </c>
    </row>
    <row r="1640" spans="1:5" ht="12.5">
      <c r="A1640" s="81" t="str">
        <f t="shared" si="0"/>
        <v xml:space="preserve"> </v>
      </c>
      <c r="B1640" s="81" t="str">
        <f t="shared" si="1"/>
        <v xml:space="preserve"> </v>
      </c>
      <c r="C1640" s="79" t="str">
        <f t="shared" si="7"/>
        <v xml:space="preserve"> </v>
      </c>
      <c r="D1640" s="79" t="str">
        <f t="shared" si="5"/>
        <v xml:space="preserve"> </v>
      </c>
      <c r="E1640" s="79" t="str">
        <f t="shared" si="6"/>
        <v xml:space="preserve"> </v>
      </c>
    </row>
    <row r="1641" spans="1:5" ht="12.5">
      <c r="A1641" s="81" t="str">
        <f t="shared" si="0"/>
        <v xml:space="preserve"> </v>
      </c>
      <c r="B1641" s="81" t="str">
        <f t="shared" si="1"/>
        <v xml:space="preserve"> </v>
      </c>
      <c r="C1641" s="79" t="str">
        <f t="shared" si="7"/>
        <v xml:space="preserve"> </v>
      </c>
      <c r="D1641" s="79" t="str">
        <f t="shared" si="5"/>
        <v xml:space="preserve"> </v>
      </c>
      <c r="E1641" s="79" t="str">
        <f t="shared" si="6"/>
        <v xml:space="preserve"> </v>
      </c>
    </row>
    <row r="1642" spans="1:5" ht="12.5">
      <c r="A1642" s="81" t="str">
        <f t="shared" si="0"/>
        <v xml:space="preserve"> </v>
      </c>
      <c r="B1642" s="81" t="str">
        <f t="shared" si="1"/>
        <v xml:space="preserve"> </v>
      </c>
      <c r="C1642" s="79" t="str">
        <f t="shared" si="7"/>
        <v xml:space="preserve"> </v>
      </c>
      <c r="D1642" s="79" t="str">
        <f t="shared" si="5"/>
        <v xml:space="preserve"> </v>
      </c>
      <c r="E1642" s="79" t="str">
        <f t="shared" si="6"/>
        <v xml:space="preserve"> </v>
      </c>
    </row>
    <row r="1643" spans="1:5" ht="12.5">
      <c r="A1643" s="81" t="str">
        <f t="shared" si="0"/>
        <v xml:space="preserve"> </v>
      </c>
      <c r="B1643" s="81" t="str">
        <f t="shared" si="1"/>
        <v xml:space="preserve"> </v>
      </c>
      <c r="C1643" s="79" t="str">
        <f t="shared" si="7"/>
        <v xml:space="preserve"> </v>
      </c>
      <c r="D1643" s="79" t="str">
        <f t="shared" si="5"/>
        <v xml:space="preserve"> </v>
      </c>
      <c r="E1643" s="79" t="str">
        <f t="shared" si="6"/>
        <v xml:space="preserve"> </v>
      </c>
    </row>
    <row r="1644" spans="1:5" ht="12.5">
      <c r="A1644" s="81" t="str">
        <f t="shared" si="0"/>
        <v xml:space="preserve"> </v>
      </c>
      <c r="B1644" s="81" t="str">
        <f t="shared" si="1"/>
        <v xml:space="preserve"> </v>
      </c>
      <c r="C1644" s="79" t="str">
        <f t="shared" si="7"/>
        <v xml:space="preserve"> </v>
      </c>
      <c r="D1644" s="79" t="str">
        <f t="shared" si="5"/>
        <v xml:space="preserve"> </v>
      </c>
      <c r="E1644" s="79" t="str">
        <f t="shared" si="6"/>
        <v xml:space="preserve"> </v>
      </c>
    </row>
    <row r="1645" spans="1:5" ht="12.5">
      <c r="A1645" s="81" t="str">
        <f t="shared" si="0"/>
        <v xml:space="preserve"> </v>
      </c>
      <c r="B1645" s="81" t="str">
        <f t="shared" si="1"/>
        <v xml:space="preserve"> </v>
      </c>
      <c r="C1645" s="79" t="str">
        <f t="shared" si="7"/>
        <v xml:space="preserve"> </v>
      </c>
      <c r="D1645" s="79" t="str">
        <f t="shared" si="5"/>
        <v xml:space="preserve"> </v>
      </c>
      <c r="E1645" s="79" t="str">
        <f t="shared" si="6"/>
        <v xml:space="preserve"> </v>
      </c>
    </row>
    <row r="1646" spans="1:5" ht="12.5">
      <c r="A1646" s="81" t="str">
        <f t="shared" si="0"/>
        <v xml:space="preserve"> </v>
      </c>
      <c r="B1646" s="81" t="str">
        <f t="shared" si="1"/>
        <v xml:space="preserve"> </v>
      </c>
      <c r="C1646" s="79" t="str">
        <f t="shared" si="7"/>
        <v xml:space="preserve"> </v>
      </c>
      <c r="D1646" s="79" t="str">
        <f t="shared" si="5"/>
        <v xml:space="preserve"> </v>
      </c>
      <c r="E1646" s="79" t="str">
        <f t="shared" si="6"/>
        <v xml:space="preserve"> </v>
      </c>
    </row>
    <row r="1647" spans="1:5" ht="12.5">
      <c r="A1647" s="81" t="str">
        <f t="shared" si="0"/>
        <v xml:space="preserve"> </v>
      </c>
      <c r="B1647" s="81" t="str">
        <f t="shared" si="1"/>
        <v xml:space="preserve"> </v>
      </c>
      <c r="C1647" s="79" t="str">
        <f t="shared" si="7"/>
        <v xml:space="preserve"> </v>
      </c>
      <c r="D1647" s="79" t="str">
        <f t="shared" si="5"/>
        <v xml:space="preserve"> </v>
      </c>
      <c r="E1647" s="79" t="str">
        <f t="shared" si="6"/>
        <v xml:space="preserve"> </v>
      </c>
    </row>
    <row r="1648" spans="1:5" ht="12.5">
      <c r="A1648" s="81" t="str">
        <f t="shared" si="0"/>
        <v xml:space="preserve"> </v>
      </c>
      <c r="B1648" s="81" t="str">
        <f t="shared" si="1"/>
        <v xml:space="preserve"> </v>
      </c>
      <c r="C1648" s="79" t="str">
        <f t="shared" si="7"/>
        <v xml:space="preserve"> </v>
      </c>
      <c r="D1648" s="79" t="str">
        <f t="shared" si="5"/>
        <v xml:space="preserve"> </v>
      </c>
      <c r="E1648" s="79" t="str">
        <f t="shared" si="6"/>
        <v xml:space="preserve"> </v>
      </c>
    </row>
    <row r="1649" spans="1:5" ht="12.5">
      <c r="A1649" s="81" t="str">
        <f t="shared" si="0"/>
        <v xml:space="preserve"> </v>
      </c>
      <c r="B1649" s="81" t="str">
        <f t="shared" si="1"/>
        <v xml:space="preserve"> </v>
      </c>
      <c r="C1649" s="79" t="str">
        <f t="shared" si="7"/>
        <v xml:space="preserve"> </v>
      </c>
      <c r="D1649" s="79" t="str">
        <f t="shared" si="5"/>
        <v xml:space="preserve"> </v>
      </c>
      <c r="E1649" s="79" t="str">
        <f t="shared" si="6"/>
        <v xml:space="preserve"> </v>
      </c>
    </row>
    <row r="1650" spans="1:5" ht="12.5">
      <c r="A1650" s="81" t="str">
        <f t="shared" si="0"/>
        <v xml:space="preserve"> </v>
      </c>
      <c r="B1650" s="81" t="str">
        <f t="shared" si="1"/>
        <v xml:space="preserve"> </v>
      </c>
      <c r="C1650" s="79" t="str">
        <f t="shared" si="7"/>
        <v xml:space="preserve"> </v>
      </c>
      <c r="D1650" s="79" t="str">
        <f t="shared" si="5"/>
        <v xml:space="preserve"> </v>
      </c>
      <c r="E1650" s="79" t="str">
        <f t="shared" si="6"/>
        <v xml:space="preserve"> </v>
      </c>
    </row>
    <row r="1651" spans="1:5" ht="12.5">
      <c r="A1651" s="81" t="str">
        <f t="shared" si="0"/>
        <v xml:space="preserve"> </v>
      </c>
      <c r="B1651" s="81" t="str">
        <f t="shared" si="1"/>
        <v xml:space="preserve"> </v>
      </c>
      <c r="C1651" s="79" t="str">
        <f t="shared" si="7"/>
        <v xml:space="preserve"> </v>
      </c>
      <c r="D1651" s="79" t="str">
        <f t="shared" si="5"/>
        <v xml:space="preserve"> </v>
      </c>
      <c r="E1651" s="79" t="str">
        <f t="shared" si="6"/>
        <v xml:space="preserve"> </v>
      </c>
    </row>
    <row r="1652" spans="1:5" ht="12.5">
      <c r="A1652" s="81" t="str">
        <f t="shared" si="0"/>
        <v xml:space="preserve"> </v>
      </c>
      <c r="B1652" s="81" t="str">
        <f t="shared" si="1"/>
        <v xml:space="preserve"> </v>
      </c>
      <c r="C1652" s="79" t="str">
        <f t="shared" si="7"/>
        <v xml:space="preserve"> </v>
      </c>
      <c r="D1652" s="79" t="str">
        <f t="shared" si="5"/>
        <v xml:space="preserve"> </v>
      </c>
      <c r="E1652" s="79" t="str">
        <f t="shared" si="6"/>
        <v xml:space="preserve"> </v>
      </c>
    </row>
    <row r="1653" spans="1:5" ht="12.5">
      <c r="A1653" s="81" t="str">
        <f t="shared" si="0"/>
        <v xml:space="preserve"> </v>
      </c>
      <c r="B1653" s="81" t="str">
        <f t="shared" si="1"/>
        <v xml:space="preserve"> </v>
      </c>
      <c r="C1653" s="79" t="str">
        <f t="shared" si="7"/>
        <v xml:space="preserve"> </v>
      </c>
      <c r="D1653" s="79" t="str">
        <f t="shared" si="5"/>
        <v xml:space="preserve"> </v>
      </c>
      <c r="E1653" s="79" t="str">
        <f t="shared" si="6"/>
        <v xml:space="preserve"> </v>
      </c>
    </row>
    <row r="1654" spans="1:5" ht="12.5">
      <c r="A1654" s="81" t="str">
        <f t="shared" si="0"/>
        <v xml:space="preserve"> </v>
      </c>
      <c r="B1654" s="81" t="str">
        <f t="shared" si="1"/>
        <v xml:space="preserve"> </v>
      </c>
      <c r="C1654" s="79" t="str">
        <f t="shared" si="7"/>
        <v xml:space="preserve"> </v>
      </c>
      <c r="D1654" s="79" t="str">
        <f t="shared" si="5"/>
        <v xml:space="preserve"> </v>
      </c>
      <c r="E1654" s="79" t="str">
        <f t="shared" si="6"/>
        <v xml:space="preserve"> </v>
      </c>
    </row>
    <row r="1655" spans="1:5" ht="12.5">
      <c r="A1655" s="81" t="str">
        <f t="shared" si="0"/>
        <v xml:space="preserve"> </v>
      </c>
      <c r="B1655" s="81" t="str">
        <f t="shared" si="1"/>
        <v xml:space="preserve"> </v>
      </c>
      <c r="C1655" s="79" t="str">
        <f t="shared" si="7"/>
        <v xml:space="preserve"> </v>
      </c>
      <c r="D1655" s="79" t="str">
        <f t="shared" si="5"/>
        <v xml:space="preserve"> </v>
      </c>
      <c r="E1655" s="79" t="str">
        <f t="shared" si="6"/>
        <v xml:space="preserve"> </v>
      </c>
    </row>
    <row r="1656" spans="1:5" ht="12.5">
      <c r="A1656" s="81" t="str">
        <f t="shared" si="0"/>
        <v xml:space="preserve"> </v>
      </c>
      <c r="B1656" s="81" t="str">
        <f t="shared" si="1"/>
        <v xml:space="preserve"> </v>
      </c>
      <c r="C1656" s="79" t="str">
        <f t="shared" si="7"/>
        <v xml:space="preserve"> </v>
      </c>
      <c r="D1656" s="79" t="str">
        <f t="shared" si="5"/>
        <v xml:space="preserve"> </v>
      </c>
      <c r="E1656" s="79" t="str">
        <f t="shared" si="6"/>
        <v xml:space="preserve"> </v>
      </c>
    </row>
    <row r="1657" spans="1:5" ht="12.5">
      <c r="A1657" s="81" t="str">
        <f t="shared" si="0"/>
        <v xml:space="preserve"> </v>
      </c>
      <c r="B1657" s="81" t="str">
        <f t="shared" si="1"/>
        <v xml:space="preserve"> </v>
      </c>
      <c r="C1657" s="79" t="str">
        <f t="shared" si="7"/>
        <v xml:space="preserve"> </v>
      </c>
      <c r="D1657" s="79" t="str">
        <f t="shared" si="5"/>
        <v xml:space="preserve"> </v>
      </c>
      <c r="E1657" s="79" t="str">
        <f t="shared" si="6"/>
        <v xml:space="preserve"> </v>
      </c>
    </row>
    <row r="1658" spans="1:5" ht="12.5">
      <c r="A1658" s="81" t="str">
        <f t="shared" si="0"/>
        <v xml:space="preserve"> </v>
      </c>
      <c r="B1658" s="81" t="str">
        <f t="shared" si="1"/>
        <v xml:space="preserve"> </v>
      </c>
      <c r="C1658" s="79" t="str">
        <f t="shared" si="7"/>
        <v xml:space="preserve"> </v>
      </c>
      <c r="D1658" s="79" t="str">
        <f t="shared" si="5"/>
        <v xml:space="preserve"> </v>
      </c>
      <c r="E1658" s="79" t="str">
        <f t="shared" si="6"/>
        <v xml:space="preserve"> </v>
      </c>
    </row>
    <row r="1659" spans="1:5" ht="12.5">
      <c r="A1659" s="81" t="str">
        <f t="shared" si="0"/>
        <v xml:space="preserve"> </v>
      </c>
      <c r="B1659" s="81" t="str">
        <f t="shared" si="1"/>
        <v xml:space="preserve"> </v>
      </c>
      <c r="C1659" s="79" t="str">
        <f t="shared" si="7"/>
        <v xml:space="preserve"> </v>
      </c>
      <c r="D1659" s="79" t="str">
        <f t="shared" si="5"/>
        <v xml:space="preserve"> </v>
      </c>
      <c r="E1659" s="79" t="str">
        <f t="shared" si="6"/>
        <v xml:space="preserve"> </v>
      </c>
    </row>
    <row r="1660" spans="1:5" ht="12.5">
      <c r="A1660" s="81" t="str">
        <f t="shared" si="0"/>
        <v xml:space="preserve"> </v>
      </c>
      <c r="B1660" s="81" t="str">
        <f t="shared" si="1"/>
        <v xml:space="preserve"> </v>
      </c>
      <c r="C1660" s="79" t="str">
        <f t="shared" si="7"/>
        <v xml:space="preserve"> </v>
      </c>
      <c r="D1660" s="79" t="str">
        <f t="shared" si="5"/>
        <v xml:space="preserve"> </v>
      </c>
      <c r="E1660" s="79" t="str">
        <f t="shared" si="6"/>
        <v xml:space="preserve"> </v>
      </c>
    </row>
    <row r="1661" spans="1:5" ht="12.5">
      <c r="A1661" s="81" t="str">
        <f t="shared" si="0"/>
        <v xml:space="preserve"> </v>
      </c>
      <c r="B1661" s="81" t="str">
        <f t="shared" si="1"/>
        <v xml:space="preserve"> </v>
      </c>
      <c r="C1661" s="79" t="str">
        <f t="shared" si="7"/>
        <v xml:space="preserve"> </v>
      </c>
      <c r="D1661" s="79" t="str">
        <f t="shared" si="5"/>
        <v xml:space="preserve"> </v>
      </c>
      <c r="E1661" s="79" t="str">
        <f t="shared" si="6"/>
        <v xml:space="preserve"> </v>
      </c>
    </row>
    <row r="1662" spans="1:5" ht="12.5">
      <c r="A1662" s="81" t="str">
        <f t="shared" si="0"/>
        <v xml:space="preserve"> </v>
      </c>
      <c r="B1662" s="81" t="str">
        <f t="shared" si="1"/>
        <v xml:space="preserve"> </v>
      </c>
      <c r="C1662" s="79" t="str">
        <f t="shared" si="7"/>
        <v xml:space="preserve"> </v>
      </c>
      <c r="D1662" s="79" t="str">
        <f t="shared" si="5"/>
        <v xml:space="preserve"> </v>
      </c>
      <c r="E1662" s="79" t="str">
        <f t="shared" si="6"/>
        <v xml:space="preserve"> </v>
      </c>
    </row>
    <row r="1663" spans="1:5" ht="12.5">
      <c r="A1663" s="81" t="str">
        <f t="shared" si="0"/>
        <v xml:space="preserve"> </v>
      </c>
      <c r="B1663" s="81" t="str">
        <f t="shared" si="1"/>
        <v xml:space="preserve"> </v>
      </c>
      <c r="C1663" s="79" t="str">
        <f t="shared" si="7"/>
        <v xml:space="preserve"> </v>
      </c>
      <c r="D1663" s="79" t="str">
        <f t="shared" si="5"/>
        <v xml:space="preserve"> </v>
      </c>
      <c r="E1663" s="79" t="str">
        <f t="shared" si="6"/>
        <v xml:space="preserve"> </v>
      </c>
    </row>
    <row r="1664" spans="1:5" ht="12.5">
      <c r="A1664" s="81" t="str">
        <f t="shared" si="0"/>
        <v xml:space="preserve"> </v>
      </c>
      <c r="B1664" s="81" t="str">
        <f t="shared" si="1"/>
        <v xml:space="preserve"> </v>
      </c>
      <c r="C1664" s="79" t="str">
        <f t="shared" si="7"/>
        <v xml:space="preserve"> </v>
      </c>
      <c r="D1664" s="79" t="str">
        <f t="shared" si="5"/>
        <v xml:space="preserve"> </v>
      </c>
      <c r="E1664" s="79" t="str">
        <f t="shared" si="6"/>
        <v xml:space="preserve"> </v>
      </c>
    </row>
    <row r="1665" spans="1:5" ht="12.5">
      <c r="A1665" s="81" t="str">
        <f t="shared" si="0"/>
        <v xml:space="preserve"> </v>
      </c>
      <c r="B1665" s="81" t="str">
        <f t="shared" si="1"/>
        <v xml:space="preserve"> </v>
      </c>
      <c r="C1665" s="79" t="str">
        <f t="shared" si="7"/>
        <v xml:space="preserve"> </v>
      </c>
      <c r="D1665" s="79" t="str">
        <f t="shared" si="5"/>
        <v xml:space="preserve"> </v>
      </c>
      <c r="E1665" s="79" t="str">
        <f t="shared" si="6"/>
        <v xml:space="preserve"> </v>
      </c>
    </row>
    <row r="1666" spans="1:5" ht="12.5">
      <c r="A1666" s="81" t="str">
        <f t="shared" si="0"/>
        <v xml:space="preserve"> </v>
      </c>
      <c r="B1666" s="81" t="str">
        <f t="shared" si="1"/>
        <v xml:space="preserve"> </v>
      </c>
      <c r="C1666" s="79" t="str">
        <f t="shared" si="7"/>
        <v xml:space="preserve"> </v>
      </c>
      <c r="D1666" s="79" t="str">
        <f t="shared" si="5"/>
        <v xml:space="preserve"> </v>
      </c>
      <c r="E1666" s="79" t="str">
        <f t="shared" si="6"/>
        <v xml:space="preserve"> </v>
      </c>
    </row>
    <row r="1667" spans="1:5" ht="12.5">
      <c r="A1667" s="81" t="str">
        <f t="shared" si="0"/>
        <v xml:space="preserve"> </v>
      </c>
      <c r="B1667" s="81" t="str">
        <f t="shared" si="1"/>
        <v xml:space="preserve"> </v>
      </c>
      <c r="C1667" s="79" t="str">
        <f t="shared" si="7"/>
        <v xml:space="preserve"> </v>
      </c>
      <c r="D1667" s="79" t="str">
        <f t="shared" si="5"/>
        <v xml:space="preserve"> </v>
      </c>
      <c r="E1667" s="79" t="str">
        <f t="shared" si="6"/>
        <v xml:space="preserve"> </v>
      </c>
    </row>
    <row r="1668" spans="1:5" ht="12.5">
      <c r="A1668" s="81" t="str">
        <f t="shared" si="0"/>
        <v xml:space="preserve"> </v>
      </c>
      <c r="B1668" s="81" t="str">
        <f t="shared" si="1"/>
        <v xml:space="preserve"> </v>
      </c>
      <c r="C1668" s="79" t="str">
        <f t="shared" si="7"/>
        <v xml:space="preserve"> </v>
      </c>
      <c r="D1668" s="79" t="str">
        <f t="shared" si="5"/>
        <v xml:space="preserve"> </v>
      </c>
      <c r="E1668" s="79" t="str">
        <f t="shared" si="6"/>
        <v xml:space="preserve"> </v>
      </c>
    </row>
    <row r="1669" spans="1:5" ht="12.5">
      <c r="A1669" s="81" t="str">
        <f t="shared" si="0"/>
        <v xml:space="preserve"> </v>
      </c>
      <c r="B1669" s="81" t="str">
        <f t="shared" si="1"/>
        <v xml:space="preserve"> </v>
      </c>
      <c r="C1669" s="79" t="str">
        <f t="shared" si="7"/>
        <v xml:space="preserve"> </v>
      </c>
      <c r="D1669" s="79" t="str">
        <f t="shared" si="5"/>
        <v xml:space="preserve"> </v>
      </c>
      <c r="E1669" s="79" t="str">
        <f t="shared" si="6"/>
        <v xml:space="preserve"> </v>
      </c>
    </row>
    <row r="1670" spans="1:5" ht="12.5">
      <c r="A1670" s="81" t="str">
        <f t="shared" si="0"/>
        <v xml:space="preserve"> </v>
      </c>
      <c r="B1670" s="81" t="str">
        <f t="shared" si="1"/>
        <v xml:space="preserve"> </v>
      </c>
      <c r="C1670" s="79" t="str">
        <f t="shared" si="7"/>
        <v xml:space="preserve"> </v>
      </c>
      <c r="D1670" s="79" t="str">
        <f t="shared" si="5"/>
        <v xml:space="preserve"> </v>
      </c>
      <c r="E1670" s="79" t="str">
        <f t="shared" si="6"/>
        <v xml:space="preserve"> </v>
      </c>
    </row>
    <row r="1671" spans="1:5" ht="12.5">
      <c r="A1671" s="81" t="str">
        <f t="shared" si="0"/>
        <v xml:space="preserve"> </v>
      </c>
      <c r="B1671" s="81" t="str">
        <f t="shared" si="1"/>
        <v xml:space="preserve"> </v>
      </c>
      <c r="C1671" s="79" t="str">
        <f t="shared" si="7"/>
        <v xml:space="preserve"> </v>
      </c>
      <c r="D1671" s="79" t="str">
        <f t="shared" si="5"/>
        <v xml:space="preserve"> </v>
      </c>
      <c r="E1671" s="79" t="str">
        <f t="shared" si="6"/>
        <v xml:space="preserve"> </v>
      </c>
    </row>
    <row r="1672" spans="1:5" ht="12.5">
      <c r="A1672" s="81" t="str">
        <f t="shared" si="0"/>
        <v xml:space="preserve"> </v>
      </c>
      <c r="B1672" s="81" t="str">
        <f t="shared" si="1"/>
        <v xml:space="preserve"> </v>
      </c>
      <c r="C1672" s="79" t="str">
        <f t="shared" si="7"/>
        <v xml:space="preserve"> </v>
      </c>
      <c r="D1672" s="79" t="str">
        <f t="shared" si="5"/>
        <v xml:space="preserve"> </v>
      </c>
      <c r="E1672" s="79" t="str">
        <f t="shared" si="6"/>
        <v xml:space="preserve"> </v>
      </c>
    </row>
    <row r="1673" spans="1:5" ht="12.5">
      <c r="A1673" s="81" t="str">
        <f t="shared" si="0"/>
        <v xml:space="preserve"> </v>
      </c>
      <c r="B1673" s="81" t="str">
        <f t="shared" si="1"/>
        <v xml:space="preserve"> </v>
      </c>
      <c r="C1673" s="79" t="str">
        <f t="shared" si="7"/>
        <v xml:space="preserve"> </v>
      </c>
      <c r="D1673" s="79" t="str">
        <f t="shared" si="5"/>
        <v xml:space="preserve"> </v>
      </c>
      <c r="E1673" s="79" t="str">
        <f t="shared" si="6"/>
        <v xml:space="preserve"> </v>
      </c>
    </row>
    <row r="1674" spans="1:5" ht="12.5">
      <c r="A1674" s="81" t="str">
        <f t="shared" si="0"/>
        <v xml:space="preserve"> </v>
      </c>
      <c r="B1674" s="81" t="str">
        <f t="shared" si="1"/>
        <v xml:space="preserve"> </v>
      </c>
      <c r="C1674" s="79" t="str">
        <f t="shared" si="7"/>
        <v xml:space="preserve"> </v>
      </c>
      <c r="D1674" s="79" t="str">
        <f t="shared" si="5"/>
        <v xml:space="preserve"> </v>
      </c>
      <c r="E1674" s="79" t="str">
        <f t="shared" si="6"/>
        <v xml:space="preserve"> </v>
      </c>
    </row>
    <row r="1675" spans="1:5" ht="12.5">
      <c r="A1675" s="81" t="str">
        <f t="shared" si="0"/>
        <v xml:space="preserve"> </v>
      </c>
      <c r="B1675" s="81" t="str">
        <f t="shared" si="1"/>
        <v xml:space="preserve"> </v>
      </c>
      <c r="C1675" s="79" t="str">
        <f t="shared" si="7"/>
        <v xml:space="preserve"> </v>
      </c>
      <c r="D1675" s="79" t="str">
        <f t="shared" si="5"/>
        <v xml:space="preserve"> </v>
      </c>
      <c r="E1675" s="79" t="str">
        <f t="shared" si="6"/>
        <v xml:space="preserve"> </v>
      </c>
    </row>
    <row r="1676" spans="1:5" ht="12.5">
      <c r="A1676" s="81" t="str">
        <f t="shared" si="0"/>
        <v xml:space="preserve"> </v>
      </c>
      <c r="B1676" s="81" t="str">
        <f t="shared" si="1"/>
        <v xml:space="preserve"> </v>
      </c>
      <c r="C1676" s="79" t="str">
        <f t="shared" si="7"/>
        <v xml:space="preserve"> </v>
      </c>
      <c r="D1676" s="79" t="str">
        <f t="shared" si="5"/>
        <v xml:space="preserve"> </v>
      </c>
      <c r="E1676" s="79" t="str">
        <f t="shared" si="6"/>
        <v xml:space="preserve"> </v>
      </c>
    </row>
    <row r="1677" spans="1:5" ht="12.5">
      <c r="A1677" s="81" t="str">
        <f t="shared" si="0"/>
        <v xml:space="preserve"> </v>
      </c>
      <c r="B1677" s="81" t="str">
        <f t="shared" si="1"/>
        <v xml:space="preserve"> </v>
      </c>
      <c r="C1677" s="79" t="str">
        <f t="shared" si="7"/>
        <v xml:space="preserve"> </v>
      </c>
      <c r="D1677" s="79" t="str">
        <f t="shared" si="5"/>
        <v xml:space="preserve"> </v>
      </c>
      <c r="E1677" s="79" t="str">
        <f t="shared" si="6"/>
        <v xml:space="preserve"> </v>
      </c>
    </row>
    <row r="1678" spans="1:5" ht="12.5">
      <c r="A1678" s="81" t="str">
        <f t="shared" si="0"/>
        <v xml:space="preserve"> </v>
      </c>
      <c r="B1678" s="81" t="str">
        <f t="shared" si="1"/>
        <v xml:space="preserve"> </v>
      </c>
      <c r="C1678" s="79" t="str">
        <f t="shared" si="7"/>
        <v xml:space="preserve"> </v>
      </c>
      <c r="D1678" s="79" t="str">
        <f t="shared" si="5"/>
        <v xml:space="preserve"> </v>
      </c>
      <c r="E1678" s="79" t="str">
        <f t="shared" si="6"/>
        <v xml:space="preserve"> </v>
      </c>
    </row>
    <row r="1679" spans="1:5" ht="12.5">
      <c r="A1679" s="81" t="str">
        <f t="shared" si="0"/>
        <v xml:space="preserve"> </v>
      </c>
      <c r="B1679" s="81" t="str">
        <f t="shared" si="1"/>
        <v xml:space="preserve"> </v>
      </c>
      <c r="C1679" s="79" t="str">
        <f t="shared" si="7"/>
        <v xml:space="preserve"> </v>
      </c>
      <c r="D1679" s="79" t="str">
        <f t="shared" si="5"/>
        <v xml:space="preserve"> </v>
      </c>
      <c r="E1679" s="79" t="str">
        <f t="shared" si="6"/>
        <v xml:space="preserve"> </v>
      </c>
    </row>
    <row r="1680" spans="1:5" ht="12.5">
      <c r="A1680" s="81" t="str">
        <f t="shared" si="0"/>
        <v xml:space="preserve"> </v>
      </c>
      <c r="B1680" s="81" t="str">
        <f t="shared" si="1"/>
        <v xml:space="preserve"> </v>
      </c>
      <c r="C1680" s="79" t="str">
        <f t="shared" si="7"/>
        <v xml:space="preserve"> </v>
      </c>
      <c r="D1680" s="79" t="str">
        <f t="shared" si="5"/>
        <v xml:space="preserve"> </v>
      </c>
      <c r="E1680" s="79" t="str">
        <f t="shared" si="6"/>
        <v xml:space="preserve"> </v>
      </c>
    </row>
    <row r="1681" spans="1:5" ht="12.5">
      <c r="A1681" s="81" t="str">
        <f t="shared" si="0"/>
        <v xml:space="preserve"> </v>
      </c>
      <c r="B1681" s="81" t="str">
        <f t="shared" si="1"/>
        <v xml:space="preserve"> </v>
      </c>
      <c r="C1681" s="79" t="str">
        <f t="shared" si="7"/>
        <v xml:space="preserve"> </v>
      </c>
      <c r="D1681" s="79" t="str">
        <f t="shared" si="5"/>
        <v xml:space="preserve"> </v>
      </c>
      <c r="E1681" s="79" t="str">
        <f t="shared" si="6"/>
        <v xml:space="preserve"> </v>
      </c>
    </row>
    <row r="1682" spans="1:5" ht="12.5">
      <c r="A1682" s="81" t="str">
        <f t="shared" si="0"/>
        <v xml:space="preserve"> </v>
      </c>
      <c r="B1682" s="81" t="str">
        <f t="shared" si="1"/>
        <v xml:space="preserve"> </v>
      </c>
      <c r="C1682" s="79" t="str">
        <f t="shared" si="7"/>
        <v xml:space="preserve"> </v>
      </c>
      <c r="D1682" s="79" t="str">
        <f t="shared" si="5"/>
        <v xml:space="preserve"> </v>
      </c>
      <c r="E1682" s="79" t="str">
        <f t="shared" si="6"/>
        <v xml:space="preserve"> </v>
      </c>
    </row>
    <row r="1683" spans="1:5" ht="12.5">
      <c r="A1683" s="81" t="str">
        <f t="shared" si="0"/>
        <v xml:space="preserve"> </v>
      </c>
      <c r="B1683" s="81" t="str">
        <f t="shared" si="1"/>
        <v xml:space="preserve"> </v>
      </c>
      <c r="C1683" s="79" t="str">
        <f t="shared" si="7"/>
        <v xml:space="preserve"> </v>
      </c>
      <c r="D1683" s="79" t="str">
        <f t="shared" si="5"/>
        <v xml:space="preserve"> </v>
      </c>
      <c r="E1683" s="79" t="str">
        <f t="shared" si="6"/>
        <v xml:space="preserve"> </v>
      </c>
    </row>
    <row r="1684" spans="1:5" ht="12.5">
      <c r="A1684" s="81" t="str">
        <f t="shared" si="0"/>
        <v xml:space="preserve"> </v>
      </c>
      <c r="B1684" s="81" t="str">
        <f t="shared" si="1"/>
        <v xml:space="preserve"> </v>
      </c>
      <c r="C1684" s="79" t="str">
        <f t="shared" si="7"/>
        <v xml:space="preserve"> </v>
      </c>
      <c r="D1684" s="79" t="str">
        <f t="shared" si="5"/>
        <v xml:space="preserve"> </v>
      </c>
      <c r="E1684" s="79" t="str">
        <f t="shared" si="6"/>
        <v xml:space="preserve"> </v>
      </c>
    </row>
    <row r="1685" spans="1:5" ht="12.5">
      <c r="A1685" s="81" t="str">
        <f t="shared" si="0"/>
        <v xml:space="preserve"> </v>
      </c>
      <c r="B1685" s="81" t="str">
        <f t="shared" si="1"/>
        <v xml:space="preserve"> </v>
      </c>
      <c r="C1685" s="79" t="str">
        <f t="shared" si="7"/>
        <v xml:space="preserve"> </v>
      </c>
      <c r="D1685" s="79" t="str">
        <f t="shared" si="5"/>
        <v xml:space="preserve"> </v>
      </c>
      <c r="E1685" s="79" t="str">
        <f t="shared" si="6"/>
        <v xml:space="preserve"> </v>
      </c>
    </row>
    <row r="1686" spans="1:5" ht="12.5">
      <c r="A1686" s="81" t="str">
        <f t="shared" si="0"/>
        <v xml:space="preserve"> </v>
      </c>
      <c r="B1686" s="81" t="str">
        <f t="shared" si="1"/>
        <v xml:space="preserve"> </v>
      </c>
      <c r="C1686" s="79" t="str">
        <f t="shared" si="7"/>
        <v xml:space="preserve"> </v>
      </c>
      <c r="D1686" s="79" t="str">
        <f t="shared" si="5"/>
        <v xml:space="preserve"> </v>
      </c>
      <c r="E1686" s="79" t="str">
        <f t="shared" si="6"/>
        <v xml:space="preserve"> </v>
      </c>
    </row>
    <row r="1687" spans="1:5" ht="12.5">
      <c r="A1687" s="81" t="str">
        <f t="shared" si="0"/>
        <v xml:space="preserve"> </v>
      </c>
      <c r="B1687" s="81" t="str">
        <f t="shared" si="1"/>
        <v xml:space="preserve"> </v>
      </c>
      <c r="C1687" s="79" t="str">
        <f t="shared" si="7"/>
        <v xml:space="preserve"> </v>
      </c>
      <c r="D1687" s="79" t="str">
        <f t="shared" si="5"/>
        <v xml:space="preserve"> </v>
      </c>
      <c r="E1687" s="79" t="str">
        <f t="shared" si="6"/>
        <v xml:space="preserve"> </v>
      </c>
    </row>
    <row r="1688" spans="1:5" ht="12.5">
      <c r="A1688" s="81" t="str">
        <f t="shared" si="0"/>
        <v xml:space="preserve"> </v>
      </c>
      <c r="B1688" s="81" t="str">
        <f t="shared" si="1"/>
        <v xml:space="preserve"> </v>
      </c>
      <c r="C1688" s="79" t="str">
        <f t="shared" si="7"/>
        <v xml:space="preserve"> </v>
      </c>
      <c r="D1688" s="79" t="str">
        <f t="shared" si="5"/>
        <v xml:space="preserve"> </v>
      </c>
      <c r="E1688" s="79" t="str">
        <f t="shared" si="6"/>
        <v xml:space="preserve"> </v>
      </c>
    </row>
    <row r="1689" spans="1:5" ht="12.5">
      <c r="A1689" s="81" t="str">
        <f t="shared" si="0"/>
        <v xml:space="preserve"> </v>
      </c>
      <c r="B1689" s="81" t="str">
        <f t="shared" si="1"/>
        <v xml:space="preserve"> </v>
      </c>
      <c r="C1689" s="79" t="str">
        <f t="shared" si="7"/>
        <v xml:space="preserve"> </v>
      </c>
      <c r="D1689" s="79" t="str">
        <f t="shared" si="5"/>
        <v xml:space="preserve"> </v>
      </c>
      <c r="E1689" s="79" t="str">
        <f t="shared" si="6"/>
        <v xml:space="preserve"> </v>
      </c>
    </row>
    <row r="1690" spans="1:5" ht="12.5">
      <c r="A1690" s="81" t="str">
        <f t="shared" si="0"/>
        <v xml:space="preserve"> </v>
      </c>
      <c r="B1690" s="81" t="str">
        <f t="shared" si="1"/>
        <v xml:space="preserve"> </v>
      </c>
      <c r="C1690" s="79" t="str">
        <f t="shared" si="7"/>
        <v xml:space="preserve"> </v>
      </c>
      <c r="D1690" s="79" t="str">
        <f t="shared" si="5"/>
        <v xml:space="preserve"> </v>
      </c>
      <c r="E1690" s="79" t="str">
        <f t="shared" si="6"/>
        <v xml:space="preserve"> </v>
      </c>
    </row>
    <row r="1691" spans="1:5" ht="12.5">
      <c r="A1691" s="81" t="str">
        <f t="shared" si="0"/>
        <v xml:space="preserve"> </v>
      </c>
      <c r="B1691" s="81" t="str">
        <f t="shared" si="1"/>
        <v xml:space="preserve"> </v>
      </c>
      <c r="C1691" s="79" t="str">
        <f t="shared" si="7"/>
        <v xml:space="preserve"> </v>
      </c>
      <c r="D1691" s="79" t="str">
        <f t="shared" si="5"/>
        <v xml:space="preserve"> </v>
      </c>
      <c r="E1691" s="79" t="str">
        <f t="shared" si="6"/>
        <v xml:space="preserve"> </v>
      </c>
    </row>
    <row r="1692" spans="1:5" ht="12.5">
      <c r="A1692" s="81" t="str">
        <f t="shared" si="0"/>
        <v xml:space="preserve"> </v>
      </c>
      <c r="B1692" s="81" t="str">
        <f t="shared" si="1"/>
        <v xml:space="preserve"> </v>
      </c>
      <c r="C1692" s="79" t="str">
        <f t="shared" si="7"/>
        <v xml:space="preserve"> </v>
      </c>
      <c r="D1692" s="79" t="str">
        <f t="shared" si="5"/>
        <v xml:space="preserve"> </v>
      </c>
      <c r="E1692" s="79" t="str">
        <f t="shared" si="6"/>
        <v xml:space="preserve"> </v>
      </c>
    </row>
    <row r="1693" spans="1:5" ht="12.5">
      <c r="A1693" s="81" t="str">
        <f t="shared" si="0"/>
        <v xml:space="preserve"> </v>
      </c>
      <c r="B1693" s="81" t="str">
        <f t="shared" si="1"/>
        <v xml:space="preserve"> </v>
      </c>
      <c r="C1693" s="79" t="str">
        <f t="shared" si="7"/>
        <v xml:space="preserve"> </v>
      </c>
      <c r="D1693" s="79" t="str">
        <f t="shared" si="5"/>
        <v xml:space="preserve"> </v>
      </c>
      <c r="E1693" s="79" t="str">
        <f t="shared" si="6"/>
        <v xml:space="preserve"> </v>
      </c>
    </row>
    <row r="1694" spans="1:5" ht="12.5">
      <c r="A1694" s="81" t="str">
        <f t="shared" si="0"/>
        <v xml:space="preserve"> </v>
      </c>
      <c r="B1694" s="81" t="str">
        <f t="shared" si="1"/>
        <v xml:space="preserve"> </v>
      </c>
      <c r="C1694" s="79" t="str">
        <f t="shared" si="7"/>
        <v xml:space="preserve"> </v>
      </c>
      <c r="D1694" s="79" t="str">
        <f t="shared" si="5"/>
        <v xml:space="preserve"> </v>
      </c>
      <c r="E1694" s="79" t="str">
        <f t="shared" si="6"/>
        <v xml:space="preserve"> </v>
      </c>
    </row>
    <row r="1695" spans="1:5" ht="12.5">
      <c r="A1695" s="81" t="str">
        <f t="shared" si="0"/>
        <v xml:space="preserve"> </v>
      </c>
      <c r="B1695" s="81" t="str">
        <f t="shared" si="1"/>
        <v xml:space="preserve"> </v>
      </c>
      <c r="C1695" s="79" t="str">
        <f t="shared" si="7"/>
        <v xml:space="preserve"> </v>
      </c>
      <c r="D1695" s="79" t="str">
        <f t="shared" si="5"/>
        <v xml:space="preserve"> </v>
      </c>
      <c r="E1695" s="79" t="str">
        <f t="shared" si="6"/>
        <v xml:space="preserve"> </v>
      </c>
    </row>
    <row r="1696" spans="1:5" ht="12.5">
      <c r="A1696" s="81" t="str">
        <f t="shared" si="0"/>
        <v xml:space="preserve"> </v>
      </c>
      <c r="B1696" s="81" t="str">
        <f t="shared" si="1"/>
        <v xml:space="preserve"> </v>
      </c>
      <c r="C1696" s="79" t="str">
        <f t="shared" si="7"/>
        <v xml:space="preserve"> </v>
      </c>
      <c r="D1696" s="79" t="str">
        <f t="shared" si="5"/>
        <v xml:space="preserve"> </v>
      </c>
      <c r="E1696" s="79" t="str">
        <f t="shared" si="6"/>
        <v xml:space="preserve"> </v>
      </c>
    </row>
    <row r="1697" spans="1:5" ht="12.5">
      <c r="A1697" s="81" t="str">
        <f t="shared" si="0"/>
        <v xml:space="preserve"> </v>
      </c>
      <c r="B1697" s="81" t="str">
        <f t="shared" si="1"/>
        <v xml:space="preserve"> </v>
      </c>
      <c r="C1697" s="79" t="str">
        <f t="shared" si="7"/>
        <v xml:space="preserve"> </v>
      </c>
      <c r="D1697" s="79" t="str">
        <f t="shared" si="5"/>
        <v xml:space="preserve"> </v>
      </c>
      <c r="E1697" s="79" t="str">
        <f t="shared" si="6"/>
        <v xml:space="preserve"> </v>
      </c>
    </row>
    <row r="1698" spans="1:5" ht="12.5">
      <c r="A1698" s="81" t="str">
        <f t="shared" si="0"/>
        <v xml:space="preserve"> </v>
      </c>
      <c r="B1698" s="81" t="str">
        <f t="shared" si="1"/>
        <v xml:space="preserve"> </v>
      </c>
      <c r="C1698" s="79" t="str">
        <f t="shared" si="7"/>
        <v xml:space="preserve"> </v>
      </c>
      <c r="D1698" s="79" t="str">
        <f t="shared" si="5"/>
        <v xml:space="preserve"> </v>
      </c>
      <c r="E1698" s="79" t="str">
        <f t="shared" si="6"/>
        <v xml:space="preserve"> </v>
      </c>
    </row>
    <row r="1699" spans="1:5" ht="12.5">
      <c r="A1699" s="81" t="str">
        <f t="shared" si="0"/>
        <v xml:space="preserve"> </v>
      </c>
      <c r="B1699" s="81" t="str">
        <f t="shared" si="1"/>
        <v xml:space="preserve"> </v>
      </c>
      <c r="C1699" s="79" t="str">
        <f t="shared" si="7"/>
        <v xml:space="preserve"> </v>
      </c>
      <c r="D1699" s="79" t="str">
        <f t="shared" si="5"/>
        <v xml:space="preserve"> </v>
      </c>
      <c r="E1699" s="79" t="str">
        <f t="shared" si="6"/>
        <v xml:space="preserve"> </v>
      </c>
    </row>
    <row r="1700" spans="1:5" ht="12.5">
      <c r="A1700" s="81" t="str">
        <f t="shared" si="0"/>
        <v xml:space="preserve"> </v>
      </c>
      <c r="B1700" s="81" t="str">
        <f t="shared" si="1"/>
        <v xml:space="preserve"> </v>
      </c>
      <c r="C1700" s="79" t="str">
        <f t="shared" si="7"/>
        <v xml:space="preserve"> </v>
      </c>
      <c r="D1700" s="79" t="str">
        <f t="shared" si="5"/>
        <v xml:space="preserve"> </v>
      </c>
      <c r="E1700" s="79" t="str">
        <f t="shared" si="6"/>
        <v xml:space="preserve"> </v>
      </c>
    </row>
    <row r="1701" spans="1:5" ht="12.5">
      <c r="A1701" s="81" t="str">
        <f t="shared" si="0"/>
        <v xml:space="preserve"> </v>
      </c>
      <c r="B1701" s="81" t="str">
        <f t="shared" si="1"/>
        <v xml:space="preserve"> </v>
      </c>
      <c r="C1701" s="79" t="str">
        <f t="shared" si="7"/>
        <v xml:space="preserve"> </v>
      </c>
      <c r="D1701" s="79" t="str">
        <f t="shared" si="5"/>
        <v xml:space="preserve"> </v>
      </c>
      <c r="E1701" s="79" t="str">
        <f t="shared" si="6"/>
        <v xml:space="preserve"> </v>
      </c>
    </row>
    <row r="1702" spans="1:5" ht="12.5">
      <c r="A1702" s="81" t="str">
        <f t="shared" si="0"/>
        <v xml:space="preserve"> </v>
      </c>
      <c r="B1702" s="81" t="str">
        <f t="shared" si="1"/>
        <v xml:space="preserve"> </v>
      </c>
      <c r="C1702" s="79" t="str">
        <f t="shared" si="7"/>
        <v xml:space="preserve"> </v>
      </c>
      <c r="D1702" s="79" t="str">
        <f t="shared" si="5"/>
        <v xml:space="preserve"> </v>
      </c>
      <c r="E1702" s="79" t="str">
        <f t="shared" si="6"/>
        <v xml:space="preserve"> </v>
      </c>
    </row>
    <row r="1703" spans="1:5" ht="12.5">
      <c r="A1703" s="81" t="str">
        <f t="shared" si="0"/>
        <v xml:space="preserve"> </v>
      </c>
      <c r="B1703" s="81" t="str">
        <f t="shared" si="1"/>
        <v xml:space="preserve"> </v>
      </c>
      <c r="C1703" s="79" t="str">
        <f t="shared" si="7"/>
        <v xml:space="preserve"> </v>
      </c>
      <c r="D1703" s="79" t="str">
        <f t="shared" si="5"/>
        <v xml:space="preserve"> </v>
      </c>
      <c r="E1703" s="79" t="str">
        <f t="shared" si="6"/>
        <v xml:space="preserve"> </v>
      </c>
    </row>
    <row r="1704" spans="1:5" ht="12.5">
      <c r="A1704" s="81" t="str">
        <f t="shared" si="0"/>
        <v xml:space="preserve"> </v>
      </c>
      <c r="B1704" s="81" t="str">
        <f t="shared" si="1"/>
        <v xml:space="preserve"> </v>
      </c>
      <c r="C1704" s="79" t="str">
        <f t="shared" si="7"/>
        <v xml:space="preserve"> </v>
      </c>
      <c r="D1704" s="79" t="str">
        <f t="shared" si="5"/>
        <v xml:space="preserve"> </v>
      </c>
      <c r="E1704" s="79" t="str">
        <f t="shared" si="6"/>
        <v xml:space="preserve"> </v>
      </c>
    </row>
    <row r="1705" spans="1:5" ht="12.5">
      <c r="A1705" s="81" t="str">
        <f t="shared" si="0"/>
        <v xml:space="preserve"> </v>
      </c>
      <c r="B1705" s="81" t="str">
        <f t="shared" si="1"/>
        <v xml:space="preserve"> </v>
      </c>
      <c r="C1705" s="79" t="str">
        <f t="shared" si="7"/>
        <v xml:space="preserve"> </v>
      </c>
      <c r="D1705" s="79" t="str">
        <f t="shared" si="5"/>
        <v xml:space="preserve"> </v>
      </c>
      <c r="E1705" s="79" t="str">
        <f t="shared" si="6"/>
        <v xml:space="preserve"> </v>
      </c>
    </row>
    <row r="1706" spans="1:5" ht="12.5">
      <c r="A1706" s="81" t="str">
        <f t="shared" si="0"/>
        <v xml:space="preserve"> </v>
      </c>
      <c r="B1706" s="81" t="str">
        <f t="shared" si="1"/>
        <v xml:space="preserve"> </v>
      </c>
      <c r="C1706" s="79" t="str">
        <f t="shared" si="7"/>
        <v xml:space="preserve"> </v>
      </c>
      <c r="D1706" s="79" t="str">
        <f t="shared" si="5"/>
        <v xml:space="preserve"> </v>
      </c>
      <c r="E1706" s="79" t="str">
        <f t="shared" si="6"/>
        <v xml:space="preserve"> </v>
      </c>
    </row>
    <row r="1707" spans="1:5" ht="12.5">
      <c r="A1707" s="81" t="str">
        <f t="shared" si="0"/>
        <v xml:space="preserve"> </v>
      </c>
      <c r="B1707" s="81" t="str">
        <f t="shared" si="1"/>
        <v xml:space="preserve"> </v>
      </c>
      <c r="C1707" s="79" t="str">
        <f t="shared" si="7"/>
        <v xml:space="preserve"> </v>
      </c>
      <c r="D1707" s="79" t="str">
        <f t="shared" si="5"/>
        <v xml:space="preserve"> </v>
      </c>
      <c r="E1707" s="79" t="str">
        <f t="shared" si="6"/>
        <v xml:space="preserve"> </v>
      </c>
    </row>
    <row r="1708" spans="1:5" ht="12.5">
      <c r="A1708" s="81" t="str">
        <f t="shared" si="0"/>
        <v xml:space="preserve"> </v>
      </c>
      <c r="B1708" s="81" t="str">
        <f t="shared" si="1"/>
        <v xml:space="preserve"> </v>
      </c>
      <c r="C1708" s="79" t="str">
        <f t="shared" si="7"/>
        <v xml:space="preserve"> </v>
      </c>
      <c r="D1708" s="79" t="str">
        <f t="shared" si="5"/>
        <v xml:space="preserve"> </v>
      </c>
      <c r="E1708" s="79" t="str">
        <f t="shared" si="6"/>
        <v xml:space="preserve"> </v>
      </c>
    </row>
    <row r="1709" spans="1:5" ht="12.5">
      <c r="A1709" s="81" t="str">
        <f t="shared" si="0"/>
        <v xml:space="preserve"> </v>
      </c>
      <c r="B1709" s="81" t="str">
        <f t="shared" si="1"/>
        <v xml:space="preserve"> </v>
      </c>
      <c r="C1709" s="79" t="str">
        <f t="shared" si="7"/>
        <v xml:space="preserve"> </v>
      </c>
      <c r="D1709" s="79" t="str">
        <f t="shared" si="5"/>
        <v xml:space="preserve"> </v>
      </c>
      <c r="E1709" s="79" t="str">
        <f t="shared" si="6"/>
        <v xml:space="preserve"> </v>
      </c>
    </row>
    <row r="1710" spans="1:5" ht="12.5">
      <c r="A1710" s="81" t="str">
        <f t="shared" si="0"/>
        <v xml:space="preserve"> </v>
      </c>
      <c r="B1710" s="81" t="str">
        <f t="shared" si="1"/>
        <v xml:space="preserve"> </v>
      </c>
      <c r="C1710" s="79" t="str">
        <f t="shared" si="7"/>
        <v xml:space="preserve"> </v>
      </c>
      <c r="D1710" s="79" t="str">
        <f t="shared" si="5"/>
        <v xml:space="preserve"> </v>
      </c>
      <c r="E1710" s="79" t="str">
        <f t="shared" si="6"/>
        <v xml:space="preserve"> </v>
      </c>
    </row>
    <row r="1711" spans="1:5" ht="12.5">
      <c r="A1711" s="81" t="str">
        <f t="shared" si="0"/>
        <v xml:space="preserve"> </v>
      </c>
      <c r="B1711" s="81" t="str">
        <f t="shared" si="1"/>
        <v xml:space="preserve"> </v>
      </c>
      <c r="C1711" s="79" t="str">
        <f t="shared" si="7"/>
        <v xml:space="preserve"> </v>
      </c>
      <c r="D1711" s="79" t="str">
        <f t="shared" si="5"/>
        <v xml:space="preserve"> </v>
      </c>
      <c r="E1711" s="79" t="str">
        <f t="shared" si="6"/>
        <v xml:space="preserve"> </v>
      </c>
    </row>
    <row r="1712" spans="1:5" ht="12.5">
      <c r="A1712" s="81" t="str">
        <f t="shared" si="0"/>
        <v xml:space="preserve"> </v>
      </c>
      <c r="B1712" s="81" t="str">
        <f t="shared" si="1"/>
        <v xml:space="preserve"> </v>
      </c>
      <c r="C1712" s="79" t="str">
        <f t="shared" si="7"/>
        <v xml:space="preserve"> </v>
      </c>
      <c r="D1712" s="79" t="str">
        <f t="shared" si="5"/>
        <v xml:space="preserve"> </v>
      </c>
      <c r="E1712" s="79" t="str">
        <f t="shared" si="6"/>
        <v xml:space="preserve"> </v>
      </c>
    </row>
    <row r="1713" spans="1:5" ht="12.5">
      <c r="A1713" s="81" t="str">
        <f t="shared" si="0"/>
        <v xml:space="preserve"> </v>
      </c>
      <c r="B1713" s="81" t="str">
        <f t="shared" si="1"/>
        <v xml:space="preserve"> </v>
      </c>
      <c r="C1713" s="79" t="str">
        <f t="shared" si="7"/>
        <v xml:space="preserve"> </v>
      </c>
      <c r="D1713" s="79" t="str">
        <f t="shared" si="5"/>
        <v xml:space="preserve"> </v>
      </c>
      <c r="E1713" s="79" t="str">
        <f t="shared" si="6"/>
        <v xml:space="preserve"> </v>
      </c>
    </row>
    <row r="1714" spans="1:5" ht="12.5">
      <c r="A1714" s="81" t="str">
        <f t="shared" si="0"/>
        <v xml:space="preserve"> </v>
      </c>
      <c r="B1714" s="81" t="str">
        <f t="shared" si="1"/>
        <v xml:space="preserve"> </v>
      </c>
      <c r="C1714" s="79" t="str">
        <f t="shared" si="7"/>
        <v xml:space="preserve"> </v>
      </c>
      <c r="D1714" s="79" t="str">
        <f t="shared" si="5"/>
        <v xml:space="preserve"> </v>
      </c>
      <c r="E1714" s="79" t="str">
        <f t="shared" si="6"/>
        <v xml:space="preserve"> </v>
      </c>
    </row>
    <row r="1715" spans="1:5" ht="12.5">
      <c r="A1715" s="81" t="str">
        <f t="shared" si="0"/>
        <v xml:space="preserve"> </v>
      </c>
      <c r="B1715" s="81" t="str">
        <f t="shared" si="1"/>
        <v xml:space="preserve"> </v>
      </c>
      <c r="C1715" s="79" t="str">
        <f t="shared" si="7"/>
        <v xml:space="preserve"> </v>
      </c>
      <c r="D1715" s="79" t="str">
        <f t="shared" si="5"/>
        <v xml:space="preserve"> </v>
      </c>
      <c r="E1715" s="79" t="str">
        <f t="shared" si="6"/>
        <v xml:space="preserve"> </v>
      </c>
    </row>
    <row r="1716" spans="1:5" ht="12.5">
      <c r="A1716" s="81" t="str">
        <f t="shared" si="0"/>
        <v xml:space="preserve"> </v>
      </c>
      <c r="B1716" s="81" t="str">
        <f t="shared" si="1"/>
        <v xml:space="preserve"> </v>
      </c>
      <c r="C1716" s="79" t="str">
        <f t="shared" si="7"/>
        <v xml:space="preserve"> </v>
      </c>
      <c r="D1716" s="79" t="str">
        <f t="shared" si="5"/>
        <v xml:space="preserve"> </v>
      </c>
      <c r="E1716" s="79" t="str">
        <f t="shared" si="6"/>
        <v xml:space="preserve"> </v>
      </c>
    </row>
    <row r="1717" spans="1:5" ht="12.5">
      <c r="A1717" s="81" t="str">
        <f t="shared" si="0"/>
        <v xml:space="preserve"> </v>
      </c>
      <c r="B1717" s="81" t="str">
        <f t="shared" si="1"/>
        <v xml:space="preserve"> </v>
      </c>
      <c r="C1717" s="79" t="str">
        <f t="shared" si="7"/>
        <v xml:space="preserve"> </v>
      </c>
      <c r="D1717" s="79" t="str">
        <f t="shared" si="5"/>
        <v xml:space="preserve"> </v>
      </c>
      <c r="E1717" s="79" t="str">
        <f t="shared" si="6"/>
        <v xml:space="preserve"> </v>
      </c>
    </row>
    <row r="1718" spans="1:5" ht="12.5">
      <c r="A1718" s="81" t="str">
        <f t="shared" si="0"/>
        <v xml:space="preserve"> </v>
      </c>
      <c r="B1718" s="81" t="str">
        <f t="shared" si="1"/>
        <v xml:space="preserve"> </v>
      </c>
      <c r="C1718" s="79" t="str">
        <f t="shared" si="7"/>
        <v xml:space="preserve"> </v>
      </c>
      <c r="D1718" s="79" t="str">
        <f t="shared" si="5"/>
        <v xml:space="preserve"> </v>
      </c>
      <c r="E1718" s="79" t="str">
        <f t="shared" si="6"/>
        <v xml:space="preserve"> </v>
      </c>
    </row>
    <row r="1719" spans="1:5" ht="12.5">
      <c r="A1719" s="81" t="str">
        <f t="shared" si="0"/>
        <v xml:space="preserve"> </v>
      </c>
      <c r="B1719" s="81" t="str">
        <f t="shared" si="1"/>
        <v xml:space="preserve"> </v>
      </c>
      <c r="C1719" s="79" t="str">
        <f t="shared" si="7"/>
        <v xml:space="preserve"> </v>
      </c>
      <c r="D1719" s="79" t="str">
        <f t="shared" si="5"/>
        <v xml:space="preserve"> </v>
      </c>
      <c r="E1719" s="79" t="str">
        <f t="shared" si="6"/>
        <v xml:space="preserve"> </v>
      </c>
    </row>
    <row r="1720" spans="1:5" ht="12.5">
      <c r="A1720" s="81" t="str">
        <f t="shared" si="0"/>
        <v xml:space="preserve"> </v>
      </c>
      <c r="B1720" s="81" t="str">
        <f t="shared" si="1"/>
        <v xml:space="preserve"> </v>
      </c>
      <c r="C1720" s="79" t="str">
        <f t="shared" si="7"/>
        <v xml:space="preserve"> </v>
      </c>
      <c r="D1720" s="79" t="str">
        <f t="shared" si="5"/>
        <v xml:space="preserve"> </v>
      </c>
      <c r="E1720" s="79" t="str">
        <f t="shared" si="6"/>
        <v xml:space="preserve"> </v>
      </c>
    </row>
    <row r="1721" spans="1:5" ht="12.5">
      <c r="A1721" s="81" t="str">
        <f t="shared" si="0"/>
        <v xml:space="preserve"> </v>
      </c>
      <c r="B1721" s="81" t="str">
        <f t="shared" si="1"/>
        <v xml:space="preserve"> </v>
      </c>
      <c r="C1721" s="79" t="str">
        <f t="shared" si="7"/>
        <v xml:space="preserve"> </v>
      </c>
      <c r="D1721" s="79" t="str">
        <f t="shared" si="5"/>
        <v xml:space="preserve"> </v>
      </c>
      <c r="E1721" s="79" t="str">
        <f t="shared" si="6"/>
        <v xml:space="preserve"> </v>
      </c>
    </row>
    <row r="1722" spans="1:5" ht="12.5">
      <c r="A1722" s="81" t="str">
        <f t="shared" si="0"/>
        <v xml:space="preserve"> </v>
      </c>
      <c r="B1722" s="81" t="str">
        <f t="shared" si="1"/>
        <v xml:space="preserve"> </v>
      </c>
      <c r="C1722" s="79" t="str">
        <f t="shared" si="7"/>
        <v xml:space="preserve"> </v>
      </c>
      <c r="D1722" s="79" t="str">
        <f t="shared" si="5"/>
        <v xml:space="preserve"> </v>
      </c>
      <c r="E1722" s="79" t="str">
        <f t="shared" si="6"/>
        <v xml:space="preserve"> </v>
      </c>
    </row>
    <row r="1723" spans="1:5" ht="12.5">
      <c r="A1723" s="81" t="str">
        <f t="shared" si="0"/>
        <v xml:space="preserve"> </v>
      </c>
      <c r="B1723" s="81" t="str">
        <f t="shared" si="1"/>
        <v xml:space="preserve"> </v>
      </c>
      <c r="C1723" s="79" t="str">
        <f t="shared" si="7"/>
        <v xml:space="preserve"> </v>
      </c>
      <c r="D1723" s="79" t="str">
        <f t="shared" si="5"/>
        <v xml:space="preserve"> </v>
      </c>
      <c r="E1723" s="79" t="str">
        <f t="shared" si="6"/>
        <v xml:space="preserve"> </v>
      </c>
    </row>
    <row r="1724" spans="1:5" ht="12.5">
      <c r="A1724" s="81" t="str">
        <f t="shared" si="0"/>
        <v xml:space="preserve"> </v>
      </c>
      <c r="B1724" s="81" t="str">
        <f t="shared" si="1"/>
        <v xml:space="preserve"> </v>
      </c>
      <c r="C1724" s="79" t="str">
        <f t="shared" si="7"/>
        <v xml:space="preserve"> </v>
      </c>
      <c r="D1724" s="79" t="str">
        <f t="shared" si="5"/>
        <v xml:space="preserve"> </v>
      </c>
      <c r="E1724" s="79" t="str">
        <f t="shared" si="6"/>
        <v xml:space="preserve"> </v>
      </c>
    </row>
    <row r="1725" spans="1:5" ht="12.5">
      <c r="A1725" s="81" t="str">
        <f t="shared" si="0"/>
        <v xml:space="preserve"> </v>
      </c>
      <c r="B1725" s="81" t="str">
        <f t="shared" si="1"/>
        <v xml:space="preserve"> </v>
      </c>
      <c r="C1725" s="79" t="str">
        <f t="shared" si="7"/>
        <v xml:space="preserve"> </v>
      </c>
      <c r="D1725" s="79" t="str">
        <f t="shared" si="5"/>
        <v xml:space="preserve"> </v>
      </c>
      <c r="E1725" s="79" t="str">
        <f t="shared" si="6"/>
        <v xml:space="preserve"> </v>
      </c>
    </row>
    <row r="1726" spans="1:5" ht="12.5">
      <c r="A1726" s="81" t="str">
        <f t="shared" si="0"/>
        <v xml:space="preserve"> </v>
      </c>
      <c r="B1726" s="81" t="str">
        <f t="shared" si="1"/>
        <v xml:space="preserve"> </v>
      </c>
      <c r="C1726" s="79" t="str">
        <f t="shared" si="7"/>
        <v xml:space="preserve"> </v>
      </c>
      <c r="D1726" s="79" t="str">
        <f t="shared" si="5"/>
        <v xml:space="preserve"> </v>
      </c>
      <c r="E1726" s="79" t="str">
        <f t="shared" si="6"/>
        <v xml:space="preserve"> </v>
      </c>
    </row>
    <row r="1727" spans="1:5" ht="12.5">
      <c r="A1727" s="81" t="str">
        <f t="shared" si="0"/>
        <v xml:space="preserve"> </v>
      </c>
      <c r="B1727" s="81" t="str">
        <f t="shared" si="1"/>
        <v xml:space="preserve"> </v>
      </c>
      <c r="C1727" s="79" t="str">
        <f t="shared" si="7"/>
        <v xml:space="preserve"> </v>
      </c>
      <c r="D1727" s="79" t="str">
        <f t="shared" si="5"/>
        <v xml:space="preserve"> </v>
      </c>
      <c r="E1727" s="79" t="str">
        <f t="shared" si="6"/>
        <v xml:space="preserve"> </v>
      </c>
    </row>
    <row r="1728" spans="1:5" ht="12.5">
      <c r="A1728" s="81" t="str">
        <f t="shared" si="0"/>
        <v xml:space="preserve"> </v>
      </c>
      <c r="B1728" s="81" t="str">
        <f t="shared" si="1"/>
        <v xml:space="preserve"> </v>
      </c>
      <c r="C1728" s="79" t="str">
        <f t="shared" si="7"/>
        <v xml:space="preserve"> </v>
      </c>
      <c r="D1728" s="79" t="str">
        <f t="shared" si="5"/>
        <v xml:space="preserve"> </v>
      </c>
      <c r="E1728" s="79" t="str">
        <f t="shared" si="6"/>
        <v xml:space="preserve"> </v>
      </c>
    </row>
    <row r="1729" spans="1:5" ht="12.5">
      <c r="A1729" s="81" t="str">
        <f t="shared" si="0"/>
        <v xml:space="preserve"> </v>
      </c>
      <c r="B1729" s="81" t="str">
        <f t="shared" si="1"/>
        <v xml:space="preserve"> </v>
      </c>
      <c r="C1729" s="79" t="str">
        <f t="shared" si="7"/>
        <v xml:space="preserve"> </v>
      </c>
      <c r="D1729" s="79" t="str">
        <f t="shared" si="5"/>
        <v xml:space="preserve"> </v>
      </c>
      <c r="E1729" s="79" t="str">
        <f t="shared" si="6"/>
        <v xml:space="preserve"> </v>
      </c>
    </row>
    <row r="1730" spans="1:5" ht="12.5">
      <c r="A1730" s="81" t="str">
        <f t="shared" si="0"/>
        <v xml:space="preserve"> </v>
      </c>
      <c r="B1730" s="81" t="str">
        <f t="shared" si="1"/>
        <v xml:space="preserve"> </v>
      </c>
      <c r="C1730" s="79" t="str">
        <f t="shared" si="7"/>
        <v xml:space="preserve"> </v>
      </c>
      <c r="D1730" s="79" t="str">
        <f t="shared" si="5"/>
        <v xml:space="preserve"> </v>
      </c>
      <c r="E1730" s="79" t="str">
        <f t="shared" si="6"/>
        <v xml:space="preserve"> </v>
      </c>
    </row>
    <row r="1731" spans="1:5" ht="12.5">
      <c r="A1731" s="81" t="str">
        <f t="shared" si="0"/>
        <v xml:space="preserve"> </v>
      </c>
      <c r="B1731" s="81" t="str">
        <f t="shared" si="1"/>
        <v xml:space="preserve"> </v>
      </c>
      <c r="C1731" s="79" t="str">
        <f t="shared" si="7"/>
        <v xml:space="preserve"> </v>
      </c>
      <c r="D1731" s="79" t="str">
        <f t="shared" si="5"/>
        <v xml:space="preserve"> </v>
      </c>
      <c r="E1731" s="79" t="str">
        <f t="shared" si="6"/>
        <v xml:space="preserve"> </v>
      </c>
    </row>
    <row r="1732" spans="1:5" ht="12.5">
      <c r="A1732" s="81" t="str">
        <f t="shared" si="0"/>
        <v xml:space="preserve"> </v>
      </c>
      <c r="B1732" s="81" t="str">
        <f t="shared" si="1"/>
        <v xml:space="preserve"> </v>
      </c>
      <c r="C1732" s="79" t="str">
        <f t="shared" si="7"/>
        <v xml:space="preserve"> </v>
      </c>
      <c r="D1732" s="79" t="str">
        <f t="shared" si="5"/>
        <v xml:space="preserve"> </v>
      </c>
      <c r="E1732" s="79" t="str">
        <f t="shared" si="6"/>
        <v xml:space="preserve"> </v>
      </c>
    </row>
    <row r="1733" spans="1:5" ht="12.5">
      <c r="A1733" s="81" t="str">
        <f t="shared" si="0"/>
        <v xml:space="preserve"> </v>
      </c>
      <c r="B1733" s="81" t="str">
        <f t="shared" si="1"/>
        <v xml:space="preserve"> </v>
      </c>
      <c r="C1733" s="79" t="str">
        <f t="shared" si="7"/>
        <v xml:space="preserve"> </v>
      </c>
      <c r="D1733" s="79" t="str">
        <f t="shared" si="5"/>
        <v xml:space="preserve"> </v>
      </c>
      <c r="E1733" s="79" t="str">
        <f t="shared" si="6"/>
        <v xml:space="preserve"> </v>
      </c>
    </row>
    <row r="1734" spans="1:5" ht="12.5">
      <c r="A1734" s="81" t="str">
        <f t="shared" si="0"/>
        <v xml:space="preserve"> </v>
      </c>
      <c r="B1734" s="81" t="str">
        <f t="shared" si="1"/>
        <v xml:space="preserve"> </v>
      </c>
      <c r="C1734" s="79" t="str">
        <f t="shared" si="7"/>
        <v xml:space="preserve"> </v>
      </c>
      <c r="D1734" s="79" t="str">
        <f t="shared" si="5"/>
        <v xml:space="preserve"> </v>
      </c>
      <c r="E1734" s="79" t="str">
        <f t="shared" si="6"/>
        <v xml:space="preserve"> </v>
      </c>
    </row>
    <row r="1735" spans="1:5" ht="12.5">
      <c r="A1735" s="81" t="str">
        <f t="shared" si="0"/>
        <v xml:space="preserve"> </v>
      </c>
      <c r="B1735" s="81" t="str">
        <f t="shared" si="1"/>
        <v xml:space="preserve"> </v>
      </c>
      <c r="C1735" s="79" t="str">
        <f t="shared" si="7"/>
        <v xml:space="preserve"> </v>
      </c>
      <c r="D1735" s="79" t="str">
        <f t="shared" si="5"/>
        <v xml:space="preserve"> </v>
      </c>
      <c r="E1735" s="79" t="str">
        <f t="shared" si="6"/>
        <v xml:space="preserve"> </v>
      </c>
    </row>
    <row r="1736" spans="1:5" ht="12.5">
      <c r="A1736" s="81" t="str">
        <f t="shared" si="0"/>
        <v xml:space="preserve"> </v>
      </c>
      <c r="B1736" s="81" t="str">
        <f t="shared" si="1"/>
        <v xml:space="preserve"> </v>
      </c>
      <c r="C1736" s="79" t="str">
        <f t="shared" si="7"/>
        <v xml:space="preserve"> </v>
      </c>
      <c r="D1736" s="79" t="str">
        <f t="shared" si="5"/>
        <v xml:space="preserve"> </v>
      </c>
      <c r="E1736" s="79" t="str">
        <f t="shared" si="6"/>
        <v xml:space="preserve"> </v>
      </c>
    </row>
    <row r="1737" spans="1:5" ht="12.5">
      <c r="A1737" s="81" t="str">
        <f t="shared" si="0"/>
        <v xml:space="preserve"> </v>
      </c>
      <c r="B1737" s="81" t="str">
        <f t="shared" si="1"/>
        <v xml:space="preserve"> </v>
      </c>
      <c r="C1737" s="79" t="str">
        <f t="shared" si="7"/>
        <v xml:space="preserve"> </v>
      </c>
      <c r="D1737" s="79" t="str">
        <f t="shared" si="5"/>
        <v xml:space="preserve"> </v>
      </c>
      <c r="E1737" s="79" t="str">
        <f t="shared" si="6"/>
        <v xml:space="preserve"> </v>
      </c>
    </row>
    <row r="1738" spans="1:5" ht="12.5">
      <c r="A1738" s="81" t="str">
        <f t="shared" si="0"/>
        <v xml:space="preserve"> </v>
      </c>
      <c r="B1738" s="81" t="str">
        <f t="shared" si="1"/>
        <v xml:space="preserve"> </v>
      </c>
      <c r="C1738" s="79" t="str">
        <f t="shared" si="7"/>
        <v xml:space="preserve"> </v>
      </c>
      <c r="D1738" s="79" t="str">
        <f t="shared" si="5"/>
        <v xml:space="preserve"> </v>
      </c>
      <c r="E1738" s="79" t="str">
        <f t="shared" si="6"/>
        <v xml:space="preserve"> </v>
      </c>
    </row>
    <row r="1739" spans="1:5" ht="12.5">
      <c r="A1739" s="81" t="str">
        <f t="shared" si="0"/>
        <v xml:space="preserve"> </v>
      </c>
      <c r="B1739" s="81" t="str">
        <f t="shared" si="1"/>
        <v xml:space="preserve"> </v>
      </c>
      <c r="C1739" s="79" t="str">
        <f t="shared" si="7"/>
        <v xml:space="preserve"> </v>
      </c>
      <c r="D1739" s="79" t="str">
        <f t="shared" si="5"/>
        <v xml:space="preserve"> </v>
      </c>
      <c r="E1739" s="79" t="str">
        <f t="shared" si="6"/>
        <v xml:space="preserve"> </v>
      </c>
    </row>
    <row r="1740" spans="1:5" ht="12.5">
      <c r="A1740" s="81" t="str">
        <f t="shared" si="0"/>
        <v xml:space="preserve"> </v>
      </c>
      <c r="B1740" s="81" t="str">
        <f t="shared" si="1"/>
        <v xml:space="preserve"> </v>
      </c>
      <c r="C1740" s="79" t="str">
        <f t="shared" si="7"/>
        <v xml:space="preserve"> </v>
      </c>
      <c r="D1740" s="79" t="str">
        <f t="shared" si="5"/>
        <v xml:space="preserve"> </v>
      </c>
      <c r="E1740" s="79" t="str">
        <f t="shared" si="6"/>
        <v xml:space="preserve"> </v>
      </c>
    </row>
    <row r="1741" spans="1:5" ht="12.5">
      <c r="A1741" s="81" t="str">
        <f t="shared" si="0"/>
        <v xml:space="preserve"> </v>
      </c>
      <c r="B1741" s="81" t="str">
        <f t="shared" si="1"/>
        <v xml:space="preserve"> </v>
      </c>
      <c r="C1741" s="79" t="str">
        <f t="shared" si="7"/>
        <v xml:space="preserve"> </v>
      </c>
      <c r="D1741" s="79" t="str">
        <f t="shared" si="5"/>
        <v xml:space="preserve"> </v>
      </c>
      <c r="E1741" s="79" t="str">
        <f t="shared" si="6"/>
        <v xml:space="preserve"> </v>
      </c>
    </row>
    <row r="1742" spans="1:5" ht="12.5">
      <c r="A1742" s="81" t="str">
        <f t="shared" si="0"/>
        <v xml:space="preserve"> </v>
      </c>
      <c r="B1742" s="81" t="str">
        <f t="shared" si="1"/>
        <v xml:space="preserve"> </v>
      </c>
      <c r="C1742" s="79" t="str">
        <f t="shared" si="7"/>
        <v xml:space="preserve"> </v>
      </c>
      <c r="D1742" s="79" t="str">
        <f t="shared" si="5"/>
        <v xml:space="preserve"> </v>
      </c>
      <c r="E1742" s="79" t="str">
        <f t="shared" si="6"/>
        <v xml:space="preserve"> </v>
      </c>
    </row>
    <row r="1743" spans="1:5" ht="12.5">
      <c r="A1743" s="81" t="str">
        <f t="shared" si="0"/>
        <v xml:space="preserve"> </v>
      </c>
      <c r="B1743" s="81" t="str">
        <f t="shared" si="1"/>
        <v xml:space="preserve"> </v>
      </c>
      <c r="C1743" s="79" t="str">
        <f t="shared" si="7"/>
        <v xml:space="preserve"> </v>
      </c>
      <c r="D1743" s="79" t="str">
        <f t="shared" si="5"/>
        <v xml:space="preserve"> </v>
      </c>
      <c r="E1743" s="79" t="str">
        <f t="shared" si="6"/>
        <v xml:space="preserve"> </v>
      </c>
    </row>
    <row r="1744" spans="1:5" ht="12.5">
      <c r="A1744" s="81" t="str">
        <f t="shared" si="0"/>
        <v xml:space="preserve"> </v>
      </c>
      <c r="B1744" s="81" t="str">
        <f t="shared" si="1"/>
        <v xml:space="preserve"> </v>
      </c>
      <c r="C1744" s="79" t="str">
        <f t="shared" si="7"/>
        <v xml:space="preserve"> </v>
      </c>
      <c r="D1744" s="79" t="str">
        <f t="shared" si="5"/>
        <v xml:space="preserve"> </v>
      </c>
      <c r="E1744" s="79" t="str">
        <f t="shared" si="6"/>
        <v xml:space="preserve"> </v>
      </c>
    </row>
    <row r="1745" spans="1:5" ht="12.5">
      <c r="A1745" s="81" t="str">
        <f t="shared" si="0"/>
        <v xml:space="preserve"> </v>
      </c>
      <c r="B1745" s="81" t="str">
        <f t="shared" si="1"/>
        <v xml:space="preserve"> </v>
      </c>
      <c r="C1745" s="79" t="str">
        <f t="shared" si="7"/>
        <v xml:space="preserve"> </v>
      </c>
      <c r="D1745" s="79" t="str">
        <f t="shared" si="5"/>
        <v xml:space="preserve"> </v>
      </c>
      <c r="E1745" s="79" t="str">
        <f t="shared" si="6"/>
        <v xml:space="preserve"> </v>
      </c>
    </row>
    <row r="1746" spans="1:5" ht="12.5">
      <c r="A1746" s="81" t="str">
        <f t="shared" si="0"/>
        <v xml:space="preserve"> </v>
      </c>
      <c r="B1746" s="81" t="str">
        <f t="shared" si="1"/>
        <v xml:space="preserve"> </v>
      </c>
      <c r="C1746" s="79" t="str">
        <f t="shared" si="7"/>
        <v xml:space="preserve"> </v>
      </c>
      <c r="D1746" s="79" t="str">
        <f t="shared" si="5"/>
        <v xml:space="preserve"> </v>
      </c>
      <c r="E1746" s="79" t="str">
        <f t="shared" si="6"/>
        <v xml:space="preserve"> </v>
      </c>
    </row>
    <row r="1747" spans="1:5" ht="12.5">
      <c r="A1747" s="81" t="str">
        <f t="shared" si="0"/>
        <v xml:space="preserve"> </v>
      </c>
      <c r="B1747" s="81" t="str">
        <f t="shared" si="1"/>
        <v xml:space="preserve"> </v>
      </c>
      <c r="C1747" s="79" t="str">
        <f t="shared" si="7"/>
        <v xml:space="preserve"> </v>
      </c>
      <c r="D1747" s="79" t="str">
        <f t="shared" si="5"/>
        <v xml:space="preserve"> </v>
      </c>
      <c r="E1747" s="79" t="str">
        <f t="shared" si="6"/>
        <v xml:space="preserve"> </v>
      </c>
    </row>
    <row r="1748" spans="1:5" ht="12.5">
      <c r="A1748" s="81" t="str">
        <f t="shared" si="0"/>
        <v xml:space="preserve"> </v>
      </c>
      <c r="B1748" s="81" t="str">
        <f t="shared" si="1"/>
        <v xml:space="preserve"> </v>
      </c>
      <c r="C1748" s="79" t="str">
        <f t="shared" si="7"/>
        <v xml:space="preserve"> </v>
      </c>
      <c r="D1748" s="79" t="str">
        <f t="shared" si="5"/>
        <v xml:space="preserve"> </v>
      </c>
      <c r="E1748" s="79" t="str">
        <f t="shared" si="6"/>
        <v xml:space="preserve"> </v>
      </c>
    </row>
    <row r="1749" spans="1:5" ht="12.5">
      <c r="A1749" s="81" t="str">
        <f t="shared" si="0"/>
        <v xml:space="preserve"> </v>
      </c>
      <c r="B1749" s="81" t="str">
        <f t="shared" si="1"/>
        <v xml:space="preserve"> </v>
      </c>
      <c r="C1749" s="79" t="str">
        <f t="shared" si="7"/>
        <v xml:space="preserve"> </v>
      </c>
      <c r="D1749" s="79" t="str">
        <f t="shared" si="5"/>
        <v xml:space="preserve"> </v>
      </c>
      <c r="E1749" s="79" t="str">
        <f t="shared" si="6"/>
        <v xml:space="preserve"> </v>
      </c>
    </row>
    <row r="1750" spans="1:5" ht="12.5">
      <c r="A1750" s="81" t="str">
        <f t="shared" si="0"/>
        <v xml:space="preserve"> </v>
      </c>
      <c r="B1750" s="81" t="str">
        <f t="shared" si="1"/>
        <v xml:space="preserve"> </v>
      </c>
      <c r="C1750" s="79" t="str">
        <f t="shared" si="7"/>
        <v xml:space="preserve"> </v>
      </c>
      <c r="D1750" s="79" t="str">
        <f t="shared" si="5"/>
        <v xml:space="preserve"> </v>
      </c>
      <c r="E1750" s="79" t="str">
        <f t="shared" si="6"/>
        <v xml:space="preserve"> </v>
      </c>
    </row>
    <row r="1751" spans="1:5" ht="12.5">
      <c r="A1751" s="81" t="str">
        <f t="shared" si="0"/>
        <v xml:space="preserve"> </v>
      </c>
      <c r="B1751" s="81" t="str">
        <f t="shared" si="1"/>
        <v xml:space="preserve"> </v>
      </c>
      <c r="C1751" s="79" t="str">
        <f t="shared" si="7"/>
        <v xml:space="preserve"> </v>
      </c>
      <c r="D1751" s="79" t="str">
        <f t="shared" si="5"/>
        <v xml:space="preserve"> </v>
      </c>
      <c r="E1751" s="79" t="str">
        <f t="shared" si="6"/>
        <v xml:space="preserve"> </v>
      </c>
    </row>
    <row r="1752" spans="1:5" ht="12.5">
      <c r="A1752" s="81" t="str">
        <f t="shared" si="0"/>
        <v xml:space="preserve"> </v>
      </c>
      <c r="B1752" s="81" t="str">
        <f t="shared" si="1"/>
        <v xml:space="preserve"> </v>
      </c>
      <c r="C1752" s="79" t="str">
        <f t="shared" si="7"/>
        <v xml:space="preserve"> </v>
      </c>
      <c r="D1752" s="79" t="str">
        <f t="shared" si="5"/>
        <v xml:space="preserve"> </v>
      </c>
      <c r="E1752" s="79" t="str">
        <f t="shared" si="6"/>
        <v xml:space="preserve"> </v>
      </c>
    </row>
    <row r="1753" spans="1:5" ht="12.5">
      <c r="A1753" s="81" t="str">
        <f t="shared" si="0"/>
        <v xml:space="preserve"> </v>
      </c>
      <c r="B1753" s="81" t="str">
        <f t="shared" si="1"/>
        <v xml:space="preserve"> </v>
      </c>
      <c r="C1753" s="79" t="str">
        <f t="shared" si="7"/>
        <v xml:space="preserve"> </v>
      </c>
      <c r="D1753" s="79" t="str">
        <f t="shared" si="5"/>
        <v xml:space="preserve"> </v>
      </c>
      <c r="E1753" s="79" t="str">
        <f t="shared" si="6"/>
        <v xml:space="preserve"> </v>
      </c>
    </row>
    <row r="1754" spans="1:5" ht="12.5">
      <c r="A1754" s="81" t="str">
        <f t="shared" si="0"/>
        <v xml:space="preserve"> </v>
      </c>
      <c r="B1754" s="81" t="str">
        <f t="shared" si="1"/>
        <v xml:space="preserve"> </v>
      </c>
      <c r="C1754" s="79" t="str">
        <f t="shared" si="7"/>
        <v xml:space="preserve"> </v>
      </c>
      <c r="D1754" s="79" t="str">
        <f t="shared" si="5"/>
        <v xml:space="preserve"> </v>
      </c>
      <c r="E1754" s="79" t="str">
        <f t="shared" si="6"/>
        <v xml:space="preserve"> </v>
      </c>
    </row>
    <row r="1755" spans="1:5" ht="12.5">
      <c r="A1755" s="81" t="str">
        <f t="shared" si="0"/>
        <v xml:space="preserve"> </v>
      </c>
      <c r="B1755" s="81" t="str">
        <f t="shared" si="1"/>
        <v xml:space="preserve"> </v>
      </c>
      <c r="C1755" s="79" t="str">
        <f t="shared" si="7"/>
        <v xml:space="preserve"> </v>
      </c>
      <c r="D1755" s="79" t="str">
        <f t="shared" si="5"/>
        <v xml:space="preserve"> </v>
      </c>
      <c r="E1755" s="79" t="str">
        <f t="shared" si="6"/>
        <v xml:space="preserve"> </v>
      </c>
    </row>
    <row r="1756" spans="1:5" ht="12.5">
      <c r="A1756" s="81" t="str">
        <f t="shared" si="0"/>
        <v xml:space="preserve"> </v>
      </c>
      <c r="B1756" s="81" t="str">
        <f t="shared" si="1"/>
        <v xml:space="preserve"> </v>
      </c>
      <c r="C1756" s="79" t="str">
        <f t="shared" si="7"/>
        <v xml:space="preserve"> </v>
      </c>
      <c r="D1756" s="79" t="str">
        <f t="shared" si="5"/>
        <v xml:space="preserve"> </v>
      </c>
      <c r="E1756" s="79" t="str">
        <f t="shared" si="6"/>
        <v xml:space="preserve"> </v>
      </c>
    </row>
    <row r="1757" spans="1:5" ht="12.5">
      <c r="A1757" s="81" t="str">
        <f t="shared" si="0"/>
        <v xml:space="preserve"> </v>
      </c>
      <c r="B1757" s="81" t="str">
        <f t="shared" si="1"/>
        <v xml:space="preserve"> </v>
      </c>
      <c r="C1757" s="79" t="str">
        <f t="shared" si="7"/>
        <v xml:space="preserve"> </v>
      </c>
      <c r="D1757" s="79" t="str">
        <f t="shared" si="5"/>
        <v xml:space="preserve"> </v>
      </c>
      <c r="E1757" s="79" t="str">
        <f t="shared" si="6"/>
        <v xml:space="preserve"> </v>
      </c>
    </row>
    <row r="1758" spans="1:5" ht="12.5">
      <c r="A1758" s="81" t="str">
        <f t="shared" si="0"/>
        <v xml:space="preserve"> </v>
      </c>
      <c r="B1758" s="81" t="str">
        <f t="shared" si="1"/>
        <v xml:space="preserve"> </v>
      </c>
      <c r="C1758" s="79" t="str">
        <f t="shared" si="7"/>
        <v xml:space="preserve"> </v>
      </c>
      <c r="D1758" s="79" t="str">
        <f t="shared" si="5"/>
        <v xml:space="preserve"> </v>
      </c>
      <c r="E1758" s="79" t="str">
        <f t="shared" si="6"/>
        <v xml:space="preserve"> </v>
      </c>
    </row>
    <row r="1759" spans="1:5" ht="12.5">
      <c r="A1759" s="81" t="str">
        <f t="shared" si="0"/>
        <v xml:space="preserve"> </v>
      </c>
      <c r="B1759" s="81" t="str">
        <f t="shared" si="1"/>
        <v xml:space="preserve"> </v>
      </c>
      <c r="C1759" s="79" t="str">
        <f t="shared" si="7"/>
        <v xml:space="preserve"> </v>
      </c>
      <c r="D1759" s="79" t="str">
        <f t="shared" si="5"/>
        <v xml:space="preserve"> </v>
      </c>
      <c r="E1759" s="79" t="str">
        <f t="shared" si="6"/>
        <v xml:space="preserve"> </v>
      </c>
    </row>
    <row r="1760" spans="1:5" ht="12.5">
      <c r="A1760" s="81" t="str">
        <f t="shared" si="0"/>
        <v xml:space="preserve"> </v>
      </c>
      <c r="B1760" s="81" t="str">
        <f t="shared" si="1"/>
        <v xml:space="preserve"> </v>
      </c>
      <c r="C1760" s="79" t="str">
        <f t="shared" si="7"/>
        <v xml:space="preserve"> </v>
      </c>
      <c r="D1760" s="79" t="str">
        <f t="shared" si="5"/>
        <v xml:space="preserve"> </v>
      </c>
      <c r="E1760" s="79" t="str">
        <f t="shared" si="6"/>
        <v xml:space="preserve"> </v>
      </c>
    </row>
    <row r="1761" spans="1:5" ht="12.5">
      <c r="A1761" s="81" t="str">
        <f t="shared" si="0"/>
        <v xml:space="preserve"> </v>
      </c>
      <c r="B1761" s="81" t="str">
        <f t="shared" si="1"/>
        <v xml:space="preserve"> </v>
      </c>
      <c r="C1761" s="79" t="str">
        <f t="shared" si="7"/>
        <v xml:space="preserve"> </v>
      </c>
      <c r="D1761" s="79" t="str">
        <f t="shared" si="5"/>
        <v xml:space="preserve"> </v>
      </c>
      <c r="E1761" s="79" t="str">
        <f t="shared" si="6"/>
        <v xml:space="preserve"> </v>
      </c>
    </row>
    <row r="1762" spans="1:5" ht="12.5">
      <c r="A1762" s="81" t="str">
        <f t="shared" si="0"/>
        <v xml:space="preserve"> </v>
      </c>
      <c r="B1762" s="81" t="str">
        <f t="shared" si="1"/>
        <v xml:space="preserve"> </v>
      </c>
      <c r="C1762" s="79" t="str">
        <f t="shared" si="7"/>
        <v xml:space="preserve"> </v>
      </c>
      <c r="D1762" s="79" t="str">
        <f t="shared" si="5"/>
        <v xml:space="preserve"> </v>
      </c>
      <c r="E1762" s="79" t="str">
        <f t="shared" si="6"/>
        <v xml:space="preserve"> </v>
      </c>
    </row>
    <row r="1763" spans="1:5" ht="12.5">
      <c r="A1763" s="81" t="str">
        <f t="shared" si="0"/>
        <v xml:space="preserve"> </v>
      </c>
      <c r="B1763" s="81" t="str">
        <f t="shared" si="1"/>
        <v xml:space="preserve"> </v>
      </c>
      <c r="C1763" s="79" t="str">
        <f t="shared" si="7"/>
        <v xml:space="preserve"> </v>
      </c>
      <c r="D1763" s="79" t="str">
        <f t="shared" si="5"/>
        <v xml:space="preserve"> </v>
      </c>
      <c r="E1763" s="79" t="str">
        <f t="shared" si="6"/>
        <v xml:space="preserve"> </v>
      </c>
    </row>
    <row r="1764" spans="1:5" ht="12.5">
      <c r="A1764" s="81" t="str">
        <f t="shared" si="0"/>
        <v xml:space="preserve"> </v>
      </c>
      <c r="B1764" s="81" t="str">
        <f t="shared" si="1"/>
        <v xml:space="preserve"> </v>
      </c>
      <c r="C1764" s="79" t="str">
        <f t="shared" si="7"/>
        <v xml:space="preserve"> </v>
      </c>
      <c r="D1764" s="79" t="str">
        <f t="shared" si="5"/>
        <v xml:space="preserve"> </v>
      </c>
      <c r="E1764" s="79" t="str">
        <f t="shared" si="6"/>
        <v xml:space="preserve"> </v>
      </c>
    </row>
    <row r="1765" spans="1:5" ht="12.5">
      <c r="A1765" s="81" t="str">
        <f t="shared" si="0"/>
        <v xml:space="preserve"> </v>
      </c>
      <c r="B1765" s="81" t="str">
        <f t="shared" si="1"/>
        <v xml:space="preserve"> </v>
      </c>
      <c r="C1765" s="79" t="str">
        <f t="shared" si="7"/>
        <v xml:space="preserve"> </v>
      </c>
      <c r="D1765" s="79" t="str">
        <f t="shared" si="5"/>
        <v xml:space="preserve"> </v>
      </c>
      <c r="E1765" s="79" t="str">
        <f t="shared" si="6"/>
        <v xml:space="preserve"> </v>
      </c>
    </row>
    <row r="1766" spans="1:5" ht="12.5">
      <c r="A1766" s="81" t="str">
        <f t="shared" si="0"/>
        <v xml:space="preserve"> </v>
      </c>
      <c r="B1766" s="81" t="str">
        <f t="shared" si="1"/>
        <v xml:space="preserve"> </v>
      </c>
      <c r="C1766" s="79" t="str">
        <f t="shared" si="7"/>
        <v xml:space="preserve"> </v>
      </c>
      <c r="D1766" s="79" t="str">
        <f t="shared" si="5"/>
        <v xml:space="preserve"> </v>
      </c>
      <c r="E1766" s="79" t="str">
        <f t="shared" si="6"/>
        <v xml:space="preserve"> </v>
      </c>
    </row>
    <row r="1767" spans="1:5" ht="12.5">
      <c r="A1767" s="81" t="str">
        <f t="shared" si="0"/>
        <v xml:space="preserve"> </v>
      </c>
      <c r="B1767" s="81" t="str">
        <f t="shared" si="1"/>
        <v xml:space="preserve"> </v>
      </c>
      <c r="C1767" s="79" t="str">
        <f t="shared" si="7"/>
        <v xml:space="preserve"> </v>
      </c>
      <c r="D1767" s="79" t="str">
        <f t="shared" si="5"/>
        <v xml:space="preserve"> </v>
      </c>
      <c r="E1767" s="79" t="str">
        <f t="shared" si="6"/>
        <v xml:space="preserve"> </v>
      </c>
    </row>
    <row r="1768" spans="1:5" ht="12.5">
      <c r="A1768" s="81" t="str">
        <f t="shared" si="0"/>
        <v xml:space="preserve"> </v>
      </c>
      <c r="B1768" s="81" t="str">
        <f t="shared" si="1"/>
        <v xml:space="preserve"> </v>
      </c>
      <c r="C1768" s="79" t="str">
        <f t="shared" si="7"/>
        <v xml:space="preserve"> </v>
      </c>
      <c r="D1768" s="79" t="str">
        <f t="shared" si="5"/>
        <v xml:space="preserve"> </v>
      </c>
      <c r="E1768" s="79" t="str">
        <f t="shared" si="6"/>
        <v xml:space="preserve"> </v>
      </c>
    </row>
    <row r="1769" spans="1:5" ht="12.5">
      <c r="A1769" s="81" t="str">
        <f t="shared" si="0"/>
        <v xml:space="preserve"> </v>
      </c>
      <c r="B1769" s="81" t="str">
        <f t="shared" si="1"/>
        <v xml:space="preserve"> </v>
      </c>
      <c r="C1769" s="79" t="str">
        <f t="shared" si="7"/>
        <v xml:space="preserve"> </v>
      </c>
      <c r="D1769" s="79" t="str">
        <f t="shared" si="5"/>
        <v xml:space="preserve"> </v>
      </c>
      <c r="E1769" s="79" t="str">
        <f t="shared" si="6"/>
        <v xml:space="preserve"> </v>
      </c>
    </row>
    <row r="1770" spans="1:5" ht="12.5">
      <c r="A1770" s="81" t="str">
        <f t="shared" si="0"/>
        <v xml:space="preserve"> </v>
      </c>
      <c r="B1770" s="81" t="str">
        <f t="shared" si="1"/>
        <v xml:space="preserve"> </v>
      </c>
      <c r="C1770" s="79" t="str">
        <f t="shared" si="7"/>
        <v xml:space="preserve"> </v>
      </c>
      <c r="D1770" s="79" t="str">
        <f t="shared" si="5"/>
        <v xml:space="preserve"> </v>
      </c>
      <c r="E1770" s="79" t="str">
        <f t="shared" si="6"/>
        <v xml:space="preserve"> </v>
      </c>
    </row>
    <row r="1771" spans="1:5" ht="12.5">
      <c r="A1771" s="81" t="str">
        <f t="shared" si="0"/>
        <v xml:space="preserve"> </v>
      </c>
      <c r="B1771" s="81" t="str">
        <f t="shared" si="1"/>
        <v xml:space="preserve"> </v>
      </c>
      <c r="C1771" s="79" t="str">
        <f t="shared" si="7"/>
        <v xml:space="preserve"> </v>
      </c>
      <c r="D1771" s="79" t="str">
        <f t="shared" si="5"/>
        <v xml:space="preserve"> </v>
      </c>
      <c r="E1771" s="79" t="str">
        <f t="shared" si="6"/>
        <v xml:space="preserve"> </v>
      </c>
    </row>
    <row r="1772" spans="1:5" ht="12.5">
      <c r="A1772" s="81" t="str">
        <f t="shared" si="0"/>
        <v xml:space="preserve"> </v>
      </c>
      <c r="B1772" s="81" t="str">
        <f t="shared" si="1"/>
        <v xml:space="preserve"> </v>
      </c>
      <c r="C1772" s="79" t="str">
        <f t="shared" si="7"/>
        <v xml:space="preserve"> </v>
      </c>
      <c r="D1772" s="79" t="str">
        <f t="shared" si="5"/>
        <v xml:space="preserve"> </v>
      </c>
      <c r="E1772" s="79" t="str">
        <f t="shared" si="6"/>
        <v xml:space="preserve"> </v>
      </c>
    </row>
    <row r="1773" spans="1:5" ht="12.5">
      <c r="A1773" s="81" t="str">
        <f t="shared" si="0"/>
        <v xml:space="preserve"> </v>
      </c>
      <c r="B1773" s="81" t="str">
        <f t="shared" si="1"/>
        <v xml:space="preserve"> </v>
      </c>
      <c r="C1773" s="79" t="str">
        <f t="shared" si="7"/>
        <v xml:space="preserve"> </v>
      </c>
      <c r="D1773" s="79" t="str">
        <f t="shared" si="5"/>
        <v xml:space="preserve"> </v>
      </c>
      <c r="E1773" s="79" t="str">
        <f t="shared" si="6"/>
        <v xml:space="preserve"> </v>
      </c>
    </row>
    <row r="1774" spans="1:5" ht="12.5">
      <c r="A1774" s="81" t="str">
        <f t="shared" si="0"/>
        <v xml:space="preserve"> </v>
      </c>
      <c r="B1774" s="81" t="str">
        <f t="shared" si="1"/>
        <v xml:space="preserve"> </v>
      </c>
      <c r="C1774" s="79" t="str">
        <f t="shared" si="7"/>
        <v xml:space="preserve"> </v>
      </c>
      <c r="D1774" s="79" t="str">
        <f t="shared" si="5"/>
        <v xml:space="preserve"> </v>
      </c>
      <c r="E1774" s="79" t="str">
        <f t="shared" si="6"/>
        <v xml:space="preserve"> </v>
      </c>
    </row>
    <row r="1775" spans="1:5" ht="12.5">
      <c r="A1775" s="81" t="str">
        <f t="shared" si="0"/>
        <v xml:space="preserve"> </v>
      </c>
      <c r="B1775" s="81" t="str">
        <f t="shared" si="1"/>
        <v xml:space="preserve"> </v>
      </c>
      <c r="C1775" s="79" t="str">
        <f t="shared" si="7"/>
        <v xml:space="preserve"> </v>
      </c>
      <c r="D1775" s="79" t="str">
        <f t="shared" si="5"/>
        <v xml:space="preserve"> </v>
      </c>
      <c r="E1775" s="79" t="str">
        <f t="shared" si="6"/>
        <v xml:space="preserve"> </v>
      </c>
    </row>
    <row r="1776" spans="1:5" ht="12.5">
      <c r="A1776" s="81" t="str">
        <f t="shared" si="0"/>
        <v xml:space="preserve"> </v>
      </c>
      <c r="B1776" s="81" t="str">
        <f t="shared" si="1"/>
        <v xml:space="preserve"> </v>
      </c>
      <c r="C1776" s="79" t="str">
        <f t="shared" si="7"/>
        <v xml:space="preserve"> </v>
      </c>
      <c r="D1776" s="79" t="str">
        <f t="shared" si="5"/>
        <v xml:space="preserve"> </v>
      </c>
      <c r="E1776" s="79" t="str">
        <f t="shared" si="6"/>
        <v xml:space="preserve"> </v>
      </c>
    </row>
    <row r="1777" spans="1:5" ht="12.5">
      <c r="A1777" s="81" t="str">
        <f t="shared" si="0"/>
        <v xml:space="preserve"> </v>
      </c>
      <c r="B1777" s="81" t="str">
        <f t="shared" si="1"/>
        <v xml:space="preserve"> </v>
      </c>
      <c r="C1777" s="79" t="str">
        <f t="shared" si="7"/>
        <v xml:space="preserve"> </v>
      </c>
      <c r="D1777" s="79" t="str">
        <f t="shared" si="5"/>
        <v xml:space="preserve"> </v>
      </c>
      <c r="E1777" s="79" t="str">
        <f t="shared" si="6"/>
        <v xml:space="preserve"> </v>
      </c>
    </row>
    <row r="1778" spans="1:5" ht="12.5">
      <c r="A1778" s="81" t="str">
        <f t="shared" si="0"/>
        <v xml:space="preserve"> </v>
      </c>
      <c r="B1778" s="81" t="str">
        <f t="shared" si="1"/>
        <v xml:space="preserve"> </v>
      </c>
      <c r="C1778" s="79" t="str">
        <f t="shared" si="7"/>
        <v xml:space="preserve"> </v>
      </c>
      <c r="D1778" s="79" t="str">
        <f t="shared" si="5"/>
        <v xml:space="preserve"> </v>
      </c>
      <c r="E1778" s="79" t="str">
        <f t="shared" si="6"/>
        <v xml:space="preserve"> </v>
      </c>
    </row>
    <row r="1779" spans="1:5" ht="12.5">
      <c r="A1779" s="81" t="str">
        <f t="shared" si="0"/>
        <v xml:space="preserve"> </v>
      </c>
      <c r="B1779" s="81" t="str">
        <f t="shared" si="1"/>
        <v xml:space="preserve"> </v>
      </c>
      <c r="C1779" s="79" t="str">
        <f t="shared" si="7"/>
        <v xml:space="preserve"> </v>
      </c>
      <c r="D1779" s="79" t="str">
        <f t="shared" si="5"/>
        <v xml:space="preserve"> </v>
      </c>
      <c r="E1779" s="79" t="str">
        <f t="shared" si="6"/>
        <v xml:space="preserve"> </v>
      </c>
    </row>
    <row r="1780" spans="1:5" ht="12.5">
      <c r="A1780" s="81" t="str">
        <f t="shared" si="0"/>
        <v xml:space="preserve"> </v>
      </c>
      <c r="B1780" s="81" t="str">
        <f t="shared" si="1"/>
        <v xml:space="preserve"> </v>
      </c>
      <c r="C1780" s="79" t="str">
        <f t="shared" si="7"/>
        <v xml:space="preserve"> </v>
      </c>
      <c r="D1780" s="79" t="str">
        <f t="shared" si="5"/>
        <v xml:space="preserve"> </v>
      </c>
      <c r="E1780" s="79" t="str">
        <f t="shared" si="6"/>
        <v xml:space="preserve"> </v>
      </c>
    </row>
    <row r="1781" spans="1:5" ht="12.5">
      <c r="A1781" s="81" t="str">
        <f t="shared" si="0"/>
        <v xml:space="preserve"> </v>
      </c>
      <c r="B1781" s="81" t="str">
        <f t="shared" si="1"/>
        <v xml:space="preserve"> </v>
      </c>
      <c r="C1781" s="79" t="str">
        <f t="shared" si="7"/>
        <v xml:space="preserve"> </v>
      </c>
      <c r="D1781" s="79" t="str">
        <f t="shared" si="5"/>
        <v xml:space="preserve"> </v>
      </c>
      <c r="E1781" s="79" t="str">
        <f t="shared" si="6"/>
        <v xml:space="preserve"> </v>
      </c>
    </row>
    <row r="1782" spans="1:5" ht="12.5">
      <c r="A1782" s="81" t="str">
        <f t="shared" si="0"/>
        <v xml:space="preserve"> </v>
      </c>
      <c r="B1782" s="81" t="str">
        <f t="shared" si="1"/>
        <v xml:space="preserve"> </v>
      </c>
      <c r="C1782" s="79" t="str">
        <f t="shared" si="7"/>
        <v xml:space="preserve"> </v>
      </c>
      <c r="D1782" s="79" t="str">
        <f t="shared" si="5"/>
        <v xml:space="preserve"> </v>
      </c>
      <c r="E1782" s="79" t="str">
        <f t="shared" si="6"/>
        <v xml:space="preserve"> </v>
      </c>
    </row>
    <row r="1783" spans="1:5" ht="12.5">
      <c r="A1783" s="81" t="str">
        <f t="shared" si="0"/>
        <v xml:space="preserve"> </v>
      </c>
      <c r="B1783" s="81" t="str">
        <f t="shared" si="1"/>
        <v xml:space="preserve"> </v>
      </c>
      <c r="C1783" s="79" t="str">
        <f t="shared" si="7"/>
        <v xml:space="preserve"> </v>
      </c>
      <c r="D1783" s="79" t="str">
        <f t="shared" si="5"/>
        <v xml:space="preserve"> </v>
      </c>
      <c r="E1783" s="79" t="str">
        <f t="shared" si="6"/>
        <v xml:space="preserve"> </v>
      </c>
    </row>
    <row r="1784" spans="1:5" ht="12.5">
      <c r="A1784" s="81" t="str">
        <f t="shared" si="0"/>
        <v xml:space="preserve"> </v>
      </c>
      <c r="B1784" s="81" t="str">
        <f t="shared" si="1"/>
        <v xml:space="preserve"> </v>
      </c>
      <c r="C1784" s="79" t="str">
        <f t="shared" si="7"/>
        <v xml:space="preserve"> </v>
      </c>
      <c r="D1784" s="79" t="str">
        <f t="shared" si="5"/>
        <v xml:space="preserve"> </v>
      </c>
      <c r="E1784" s="79" t="str">
        <f t="shared" si="6"/>
        <v xml:space="preserve"> </v>
      </c>
    </row>
    <row r="1785" spans="1:5" ht="12.5">
      <c r="A1785" s="81" t="str">
        <f t="shared" si="0"/>
        <v xml:space="preserve"> </v>
      </c>
      <c r="B1785" s="81" t="str">
        <f t="shared" si="1"/>
        <v xml:space="preserve"> </v>
      </c>
      <c r="C1785" s="79" t="str">
        <f t="shared" si="7"/>
        <v xml:space="preserve"> </v>
      </c>
      <c r="D1785" s="79" t="str">
        <f t="shared" si="5"/>
        <v xml:space="preserve"> </v>
      </c>
      <c r="E1785" s="79" t="str">
        <f t="shared" si="6"/>
        <v xml:space="preserve"> </v>
      </c>
    </row>
    <row r="1786" spans="1:5" ht="12.5">
      <c r="A1786" s="81" t="str">
        <f t="shared" si="0"/>
        <v xml:space="preserve"> </v>
      </c>
      <c r="B1786" s="81" t="str">
        <f t="shared" si="1"/>
        <v xml:space="preserve"> </v>
      </c>
      <c r="C1786" s="79" t="str">
        <f t="shared" si="7"/>
        <v xml:space="preserve"> </v>
      </c>
      <c r="D1786" s="79" t="str">
        <f t="shared" si="5"/>
        <v xml:space="preserve"> </v>
      </c>
      <c r="E1786" s="79" t="str">
        <f t="shared" si="6"/>
        <v xml:space="preserve"> </v>
      </c>
    </row>
    <row r="1787" spans="1:5" ht="12.5">
      <c r="A1787" s="81" t="str">
        <f t="shared" si="0"/>
        <v xml:space="preserve"> </v>
      </c>
      <c r="B1787" s="81" t="str">
        <f t="shared" si="1"/>
        <v xml:space="preserve"> </v>
      </c>
      <c r="C1787" s="79" t="str">
        <f t="shared" si="7"/>
        <v xml:space="preserve"> </v>
      </c>
      <c r="D1787" s="79" t="str">
        <f t="shared" si="5"/>
        <v xml:space="preserve"> </v>
      </c>
      <c r="E1787" s="79" t="str">
        <f t="shared" si="6"/>
        <v xml:space="preserve"> </v>
      </c>
    </row>
    <row r="1788" spans="1:5" ht="12.5">
      <c r="A1788" s="81" t="str">
        <f t="shared" si="0"/>
        <v xml:space="preserve"> </v>
      </c>
      <c r="B1788" s="81" t="str">
        <f t="shared" si="1"/>
        <v xml:space="preserve"> </v>
      </c>
      <c r="C1788" s="79" t="str">
        <f t="shared" si="7"/>
        <v xml:space="preserve"> </v>
      </c>
      <c r="D1788" s="79" t="str">
        <f t="shared" si="5"/>
        <v xml:space="preserve"> </v>
      </c>
      <c r="E1788" s="79" t="str">
        <f t="shared" si="6"/>
        <v xml:space="preserve"> </v>
      </c>
    </row>
    <row r="1789" spans="1:5" ht="12.5">
      <c r="A1789" s="81" t="str">
        <f t="shared" si="0"/>
        <v xml:space="preserve"> </v>
      </c>
      <c r="B1789" s="81" t="str">
        <f t="shared" si="1"/>
        <v xml:space="preserve"> </v>
      </c>
      <c r="C1789" s="79" t="str">
        <f t="shared" si="7"/>
        <v xml:space="preserve"> </v>
      </c>
      <c r="D1789" s="79" t="str">
        <f t="shared" si="5"/>
        <v xml:space="preserve"> </v>
      </c>
      <c r="E1789" s="79" t="str">
        <f t="shared" si="6"/>
        <v xml:space="preserve"> </v>
      </c>
    </row>
    <row r="1790" spans="1:5" ht="12.5">
      <c r="A1790" s="81" t="str">
        <f t="shared" si="0"/>
        <v xml:space="preserve"> </v>
      </c>
      <c r="B1790" s="81" t="str">
        <f t="shared" si="1"/>
        <v xml:space="preserve"> </v>
      </c>
      <c r="C1790" s="79" t="str">
        <f t="shared" si="7"/>
        <v xml:space="preserve"> </v>
      </c>
      <c r="D1790" s="79" t="str">
        <f t="shared" si="5"/>
        <v xml:space="preserve"> </v>
      </c>
      <c r="E1790" s="79" t="str">
        <f t="shared" si="6"/>
        <v xml:space="preserve"> </v>
      </c>
    </row>
    <row r="1791" spans="1:5" ht="12.5">
      <c r="A1791" s="81" t="str">
        <f t="shared" si="0"/>
        <v xml:space="preserve"> </v>
      </c>
      <c r="B1791" s="81" t="str">
        <f t="shared" si="1"/>
        <v xml:space="preserve"> </v>
      </c>
      <c r="C1791" s="79" t="str">
        <f t="shared" si="7"/>
        <v xml:space="preserve"> </v>
      </c>
      <c r="D1791" s="79" t="str">
        <f t="shared" si="5"/>
        <v xml:space="preserve"> </v>
      </c>
      <c r="E1791" s="79" t="str">
        <f t="shared" si="6"/>
        <v xml:space="preserve"> </v>
      </c>
    </row>
    <row r="1792" spans="1:5" ht="12.5">
      <c r="A1792" s="81" t="str">
        <f t="shared" si="0"/>
        <v xml:space="preserve"> </v>
      </c>
      <c r="B1792" s="81" t="str">
        <f t="shared" si="1"/>
        <v xml:space="preserve"> </v>
      </c>
      <c r="C1792" s="79" t="str">
        <f t="shared" si="7"/>
        <v xml:space="preserve"> </v>
      </c>
      <c r="D1792" s="79" t="str">
        <f t="shared" si="5"/>
        <v xml:space="preserve"> </v>
      </c>
      <c r="E1792" s="79" t="str">
        <f t="shared" si="6"/>
        <v xml:space="preserve"> </v>
      </c>
    </row>
    <row r="1793" spans="1:5" ht="12.5">
      <c r="A1793" s="81" t="str">
        <f t="shared" si="0"/>
        <v xml:space="preserve"> </v>
      </c>
      <c r="B1793" s="81" t="str">
        <f t="shared" si="1"/>
        <v xml:space="preserve"> </v>
      </c>
      <c r="C1793" s="79" t="str">
        <f t="shared" si="7"/>
        <v xml:space="preserve"> </v>
      </c>
      <c r="D1793" s="79" t="str">
        <f t="shared" si="5"/>
        <v xml:space="preserve"> </v>
      </c>
      <c r="E1793" s="79" t="str">
        <f t="shared" si="6"/>
        <v xml:space="preserve"> </v>
      </c>
    </row>
    <row r="1794" spans="1:5" ht="12.5">
      <c r="A1794" s="81" t="str">
        <f t="shared" si="0"/>
        <v xml:space="preserve"> </v>
      </c>
      <c r="B1794" s="81" t="str">
        <f t="shared" si="1"/>
        <v xml:space="preserve"> </v>
      </c>
      <c r="C1794" s="79" t="str">
        <f t="shared" si="7"/>
        <v xml:space="preserve"> </v>
      </c>
      <c r="D1794" s="79" t="str">
        <f t="shared" si="5"/>
        <v xml:space="preserve"> </v>
      </c>
      <c r="E1794" s="79" t="str">
        <f t="shared" si="6"/>
        <v xml:space="preserve"> </v>
      </c>
    </row>
    <row r="1795" spans="1:5" ht="12.5">
      <c r="A1795" s="81" t="str">
        <f t="shared" si="0"/>
        <v xml:space="preserve"> </v>
      </c>
      <c r="B1795" s="81" t="str">
        <f t="shared" si="1"/>
        <v xml:space="preserve"> </v>
      </c>
      <c r="C1795" s="79" t="str">
        <f t="shared" si="7"/>
        <v xml:space="preserve"> </v>
      </c>
      <c r="D1795" s="79" t="str">
        <f t="shared" si="5"/>
        <v xml:space="preserve"> </v>
      </c>
      <c r="E1795" s="79" t="str">
        <f t="shared" si="6"/>
        <v xml:space="preserve"> </v>
      </c>
    </row>
    <row r="1796" spans="1:5" ht="12.5">
      <c r="A1796" s="81" t="str">
        <f t="shared" si="0"/>
        <v xml:space="preserve"> </v>
      </c>
      <c r="B1796" s="81" t="str">
        <f t="shared" si="1"/>
        <v xml:space="preserve"> </v>
      </c>
      <c r="C1796" s="79" t="str">
        <f t="shared" si="7"/>
        <v xml:space="preserve"> </v>
      </c>
      <c r="D1796" s="79" t="str">
        <f t="shared" si="5"/>
        <v xml:space="preserve"> </v>
      </c>
      <c r="E1796" s="79" t="str">
        <f t="shared" si="6"/>
        <v xml:space="preserve"> </v>
      </c>
    </row>
    <row r="1797" spans="1:5" ht="12.5">
      <c r="A1797" s="81" t="str">
        <f t="shared" si="0"/>
        <v xml:space="preserve"> </v>
      </c>
      <c r="B1797" s="81" t="str">
        <f t="shared" si="1"/>
        <v xml:space="preserve"> </v>
      </c>
      <c r="C1797" s="79" t="str">
        <f t="shared" si="7"/>
        <v xml:space="preserve"> </v>
      </c>
      <c r="D1797" s="79" t="str">
        <f t="shared" si="5"/>
        <v xml:space="preserve"> </v>
      </c>
      <c r="E1797" s="79" t="str">
        <f t="shared" si="6"/>
        <v xml:space="preserve"> </v>
      </c>
    </row>
    <row r="1798" spans="1:5" ht="12.5">
      <c r="A1798" s="81" t="str">
        <f t="shared" si="0"/>
        <v xml:space="preserve"> </v>
      </c>
      <c r="B1798" s="81" t="str">
        <f t="shared" si="1"/>
        <v xml:space="preserve"> </v>
      </c>
      <c r="C1798" s="79" t="str">
        <f t="shared" si="7"/>
        <v xml:space="preserve"> </v>
      </c>
      <c r="D1798" s="79" t="str">
        <f t="shared" si="5"/>
        <v xml:space="preserve"> </v>
      </c>
      <c r="E1798" s="79" t="str">
        <f t="shared" si="6"/>
        <v xml:space="preserve"> </v>
      </c>
    </row>
    <row r="1799" spans="1:5" ht="12.5">
      <c r="A1799" s="81" t="str">
        <f t="shared" si="0"/>
        <v xml:space="preserve"> </v>
      </c>
      <c r="B1799" s="81" t="str">
        <f t="shared" si="1"/>
        <v xml:space="preserve"> </v>
      </c>
      <c r="C1799" s="79" t="str">
        <f t="shared" si="7"/>
        <v xml:space="preserve"> </v>
      </c>
      <c r="D1799" s="79" t="str">
        <f t="shared" si="5"/>
        <v xml:space="preserve"> </v>
      </c>
      <c r="E1799" s="79" t="str">
        <f t="shared" si="6"/>
        <v xml:space="preserve"> </v>
      </c>
    </row>
    <row r="1800" spans="1:5" ht="12.5">
      <c r="A1800" s="81" t="str">
        <f t="shared" si="0"/>
        <v xml:space="preserve"> </v>
      </c>
      <c r="B1800" s="81" t="str">
        <f t="shared" si="1"/>
        <v xml:space="preserve"> </v>
      </c>
      <c r="C1800" s="79" t="str">
        <f t="shared" si="7"/>
        <v xml:space="preserve"> </v>
      </c>
      <c r="D1800" s="79" t="str">
        <f t="shared" si="5"/>
        <v xml:space="preserve"> </v>
      </c>
      <c r="E1800" s="79" t="str">
        <f t="shared" si="6"/>
        <v xml:space="preserve"> </v>
      </c>
    </row>
    <row r="1801" spans="1:5" ht="12.5">
      <c r="A1801" s="81" t="str">
        <f t="shared" si="0"/>
        <v xml:space="preserve"> </v>
      </c>
      <c r="B1801" s="81" t="str">
        <f t="shared" si="1"/>
        <v xml:space="preserve"> </v>
      </c>
      <c r="C1801" s="79" t="str">
        <f t="shared" si="7"/>
        <v xml:space="preserve"> </v>
      </c>
      <c r="D1801" s="79" t="str">
        <f t="shared" si="5"/>
        <v xml:space="preserve"> </v>
      </c>
      <c r="E1801" s="79" t="str">
        <f t="shared" si="6"/>
        <v xml:space="preserve"> </v>
      </c>
    </row>
    <row r="1802" spans="1:5" ht="12.5">
      <c r="A1802" s="81" t="str">
        <f t="shared" si="0"/>
        <v xml:space="preserve"> </v>
      </c>
      <c r="B1802" s="81" t="str">
        <f t="shared" si="1"/>
        <v xml:space="preserve"> </v>
      </c>
      <c r="C1802" s="79" t="str">
        <f t="shared" si="7"/>
        <v xml:space="preserve"> </v>
      </c>
      <c r="D1802" s="79" t="str">
        <f t="shared" si="5"/>
        <v xml:space="preserve"> </v>
      </c>
      <c r="E1802" s="79" t="str">
        <f t="shared" si="6"/>
        <v xml:space="preserve"> </v>
      </c>
    </row>
    <row r="1803" spans="1:5" ht="12.5">
      <c r="A1803" s="81" t="str">
        <f t="shared" si="0"/>
        <v xml:space="preserve"> </v>
      </c>
      <c r="B1803" s="81" t="str">
        <f t="shared" si="1"/>
        <v xml:space="preserve"> </v>
      </c>
      <c r="C1803" s="79" t="str">
        <f t="shared" si="7"/>
        <v xml:space="preserve"> </v>
      </c>
      <c r="D1803" s="79" t="str">
        <f t="shared" si="5"/>
        <v xml:space="preserve"> </v>
      </c>
      <c r="E1803" s="79" t="str">
        <f t="shared" si="6"/>
        <v xml:space="preserve"> </v>
      </c>
    </row>
    <row r="1804" spans="1:5" ht="12.5">
      <c r="A1804" s="81" t="str">
        <f t="shared" si="0"/>
        <v xml:space="preserve"> </v>
      </c>
      <c r="B1804" s="81" t="str">
        <f t="shared" si="1"/>
        <v xml:space="preserve"> </v>
      </c>
      <c r="C1804" s="79" t="str">
        <f t="shared" si="7"/>
        <v xml:space="preserve"> </v>
      </c>
      <c r="D1804" s="79" t="str">
        <f t="shared" si="5"/>
        <v xml:space="preserve"> </v>
      </c>
      <c r="E1804" s="79" t="str">
        <f t="shared" si="6"/>
        <v xml:space="preserve"> </v>
      </c>
    </row>
    <row r="1805" spans="1:5" ht="12.5">
      <c r="A1805" s="81" t="str">
        <f t="shared" si="0"/>
        <v xml:space="preserve"> </v>
      </c>
      <c r="B1805" s="81" t="str">
        <f t="shared" si="1"/>
        <v xml:space="preserve"> </v>
      </c>
      <c r="C1805" s="79" t="str">
        <f t="shared" si="7"/>
        <v xml:space="preserve"> </v>
      </c>
      <c r="D1805" s="79" t="str">
        <f t="shared" si="5"/>
        <v xml:space="preserve"> </v>
      </c>
      <c r="E1805" s="79" t="str">
        <f t="shared" si="6"/>
        <v xml:space="preserve"> </v>
      </c>
    </row>
    <row r="1806" spans="1:5" ht="12.5">
      <c r="A1806" s="81" t="str">
        <f t="shared" si="0"/>
        <v xml:space="preserve"> </v>
      </c>
      <c r="B1806" s="81" t="str">
        <f t="shared" si="1"/>
        <v xml:space="preserve"> </v>
      </c>
      <c r="C1806" s="79" t="str">
        <f t="shared" si="7"/>
        <v xml:space="preserve"> </v>
      </c>
      <c r="D1806" s="79" t="str">
        <f t="shared" si="5"/>
        <v xml:space="preserve"> </v>
      </c>
      <c r="E1806" s="79" t="str">
        <f t="shared" si="6"/>
        <v xml:space="preserve"> </v>
      </c>
    </row>
    <row r="1807" spans="1:5" ht="12.5">
      <c r="A1807" s="81" t="str">
        <f t="shared" si="0"/>
        <v xml:space="preserve"> </v>
      </c>
      <c r="B1807" s="81" t="str">
        <f t="shared" si="1"/>
        <v xml:space="preserve"> </v>
      </c>
      <c r="C1807" s="79" t="str">
        <f t="shared" si="7"/>
        <v xml:space="preserve"> </v>
      </c>
      <c r="D1807" s="79" t="str">
        <f t="shared" si="5"/>
        <v xml:space="preserve"> </v>
      </c>
      <c r="E1807" s="79" t="str">
        <f t="shared" si="6"/>
        <v xml:space="preserve"> </v>
      </c>
    </row>
    <row r="1808" spans="1:5" ht="12.5">
      <c r="A1808" s="81" t="str">
        <f t="shared" si="0"/>
        <v xml:space="preserve"> </v>
      </c>
      <c r="B1808" s="81" t="str">
        <f t="shared" si="1"/>
        <v xml:space="preserve"> </v>
      </c>
      <c r="C1808" s="79" t="str">
        <f t="shared" si="7"/>
        <v xml:space="preserve"> </v>
      </c>
      <c r="D1808" s="79" t="str">
        <f t="shared" si="5"/>
        <v xml:space="preserve"> </v>
      </c>
      <c r="E1808" s="79" t="str">
        <f t="shared" si="6"/>
        <v xml:space="preserve"> </v>
      </c>
    </row>
    <row r="1809" spans="1:5" ht="12.5">
      <c r="A1809" s="81" t="str">
        <f t="shared" si="0"/>
        <v xml:space="preserve"> </v>
      </c>
      <c r="B1809" s="81" t="str">
        <f t="shared" si="1"/>
        <v xml:space="preserve"> </v>
      </c>
      <c r="C1809" s="79" t="str">
        <f t="shared" si="7"/>
        <v xml:space="preserve"> </v>
      </c>
      <c r="D1809" s="79" t="str">
        <f t="shared" si="5"/>
        <v xml:space="preserve"> </v>
      </c>
      <c r="E1809" s="79" t="str">
        <f t="shared" si="6"/>
        <v xml:space="preserve"> </v>
      </c>
    </row>
    <row r="1810" spans="1:5" ht="12.5">
      <c r="A1810" s="81" t="str">
        <f t="shared" si="0"/>
        <v xml:space="preserve"> </v>
      </c>
      <c r="B1810" s="81" t="str">
        <f t="shared" si="1"/>
        <v xml:space="preserve"> </v>
      </c>
      <c r="C1810" s="79" t="str">
        <f t="shared" si="7"/>
        <v xml:space="preserve"> </v>
      </c>
      <c r="D1810" s="79" t="str">
        <f t="shared" si="5"/>
        <v xml:space="preserve"> </v>
      </c>
      <c r="E1810" s="79" t="str">
        <f t="shared" si="6"/>
        <v xml:space="preserve"> </v>
      </c>
    </row>
    <row r="1811" spans="1:5" ht="12.5">
      <c r="A1811" s="81" t="str">
        <f t="shared" si="0"/>
        <v xml:space="preserve"> </v>
      </c>
      <c r="B1811" s="81" t="str">
        <f t="shared" si="1"/>
        <v xml:space="preserve"> </v>
      </c>
      <c r="C1811" s="79" t="str">
        <f t="shared" si="7"/>
        <v xml:space="preserve"> </v>
      </c>
      <c r="D1811" s="79" t="str">
        <f t="shared" si="5"/>
        <v xml:space="preserve"> </v>
      </c>
      <c r="E1811" s="79" t="str">
        <f t="shared" si="6"/>
        <v xml:space="preserve"> </v>
      </c>
    </row>
    <row r="1812" spans="1:5" ht="12.5">
      <c r="A1812" s="81" t="str">
        <f t="shared" si="0"/>
        <v xml:space="preserve"> </v>
      </c>
      <c r="B1812" s="81" t="str">
        <f t="shared" si="1"/>
        <v xml:space="preserve"> </v>
      </c>
      <c r="C1812" s="79" t="str">
        <f t="shared" si="7"/>
        <v xml:space="preserve"> </v>
      </c>
      <c r="D1812" s="79" t="str">
        <f t="shared" si="5"/>
        <v xml:space="preserve"> </v>
      </c>
      <c r="E1812" s="79" t="str">
        <f t="shared" si="6"/>
        <v xml:space="preserve"> </v>
      </c>
    </row>
    <row r="1813" spans="1:5" ht="12.5">
      <c r="A1813" s="81" t="str">
        <f t="shared" si="0"/>
        <v xml:space="preserve"> </v>
      </c>
      <c r="B1813" s="81" t="str">
        <f t="shared" si="1"/>
        <v xml:space="preserve"> </v>
      </c>
      <c r="C1813" s="79" t="str">
        <f t="shared" si="7"/>
        <v xml:space="preserve"> </v>
      </c>
      <c r="D1813" s="79" t="str">
        <f t="shared" si="5"/>
        <v xml:space="preserve"> </v>
      </c>
      <c r="E1813" s="79" t="str">
        <f t="shared" si="6"/>
        <v xml:space="preserve"> </v>
      </c>
    </row>
    <row r="1814" spans="1:5" ht="12.5">
      <c r="A1814" s="81" t="str">
        <f t="shared" si="0"/>
        <v xml:space="preserve"> </v>
      </c>
      <c r="B1814" s="81" t="str">
        <f t="shared" si="1"/>
        <v xml:space="preserve"> </v>
      </c>
      <c r="C1814" s="79" t="str">
        <f t="shared" si="7"/>
        <v xml:space="preserve"> </v>
      </c>
      <c r="D1814" s="79" t="str">
        <f t="shared" si="5"/>
        <v xml:space="preserve"> </v>
      </c>
      <c r="E1814" s="79" t="str">
        <f t="shared" si="6"/>
        <v xml:space="preserve"> </v>
      </c>
    </row>
    <row r="1815" spans="1:5" ht="12.5">
      <c r="A1815" s="81" t="str">
        <f t="shared" si="0"/>
        <v xml:space="preserve"> </v>
      </c>
      <c r="B1815" s="81" t="str">
        <f t="shared" si="1"/>
        <v xml:space="preserve"> </v>
      </c>
      <c r="C1815" s="79" t="str">
        <f t="shared" si="7"/>
        <v xml:space="preserve"> </v>
      </c>
      <c r="D1815" s="79" t="str">
        <f t="shared" si="5"/>
        <v xml:space="preserve"> </v>
      </c>
      <c r="E1815" s="79" t="str">
        <f t="shared" si="6"/>
        <v xml:space="preserve"> </v>
      </c>
    </row>
    <row r="1816" spans="1:5" ht="12.5">
      <c r="A1816" s="81" t="str">
        <f t="shared" si="0"/>
        <v xml:space="preserve"> </v>
      </c>
      <c r="B1816" s="81" t="str">
        <f t="shared" si="1"/>
        <v xml:space="preserve"> </v>
      </c>
      <c r="C1816" s="79" t="str">
        <f t="shared" si="7"/>
        <v xml:space="preserve"> </v>
      </c>
      <c r="D1816" s="79" t="str">
        <f t="shared" si="5"/>
        <v xml:space="preserve"> </v>
      </c>
      <c r="E1816" s="79" t="str">
        <f t="shared" si="6"/>
        <v xml:space="preserve"> </v>
      </c>
    </row>
    <row r="1817" spans="1:5" ht="12.5">
      <c r="A1817" s="81" t="str">
        <f t="shared" si="0"/>
        <v xml:space="preserve"> </v>
      </c>
      <c r="B1817" s="81" t="str">
        <f t="shared" si="1"/>
        <v xml:space="preserve"> </v>
      </c>
      <c r="C1817" s="79" t="str">
        <f t="shared" si="7"/>
        <v xml:space="preserve"> </v>
      </c>
      <c r="D1817" s="79" t="str">
        <f t="shared" si="5"/>
        <v xml:space="preserve"> </v>
      </c>
      <c r="E1817" s="79" t="str">
        <f t="shared" si="6"/>
        <v xml:space="preserve"> </v>
      </c>
    </row>
    <row r="1818" spans="1:5" ht="12.5">
      <c r="A1818" s="81" t="str">
        <f t="shared" si="0"/>
        <v xml:space="preserve"> </v>
      </c>
      <c r="B1818" s="81" t="str">
        <f t="shared" si="1"/>
        <v xml:space="preserve"> </v>
      </c>
      <c r="C1818" s="79" t="str">
        <f t="shared" si="7"/>
        <v xml:space="preserve"> </v>
      </c>
      <c r="D1818" s="79" t="str">
        <f t="shared" si="5"/>
        <v xml:space="preserve"> </v>
      </c>
      <c r="E1818" s="79" t="str">
        <f t="shared" si="6"/>
        <v xml:space="preserve"> </v>
      </c>
    </row>
    <row r="1819" spans="1:5" ht="12.5">
      <c r="A1819" s="81" t="str">
        <f t="shared" si="0"/>
        <v xml:space="preserve"> </v>
      </c>
      <c r="B1819" s="81" t="str">
        <f t="shared" si="1"/>
        <v xml:space="preserve"> </v>
      </c>
      <c r="C1819" s="79" t="str">
        <f t="shared" si="7"/>
        <v xml:space="preserve"> </v>
      </c>
      <c r="D1819" s="79" t="str">
        <f t="shared" si="5"/>
        <v xml:space="preserve"> </v>
      </c>
      <c r="E1819" s="79" t="str">
        <f t="shared" si="6"/>
        <v xml:space="preserve"> </v>
      </c>
    </row>
    <row r="1820" spans="1:5" ht="12.5">
      <c r="A1820" s="81" t="str">
        <f t="shared" si="0"/>
        <v xml:space="preserve"> </v>
      </c>
      <c r="B1820" s="81" t="str">
        <f t="shared" si="1"/>
        <v xml:space="preserve"> </v>
      </c>
      <c r="C1820" s="79" t="str">
        <f t="shared" si="7"/>
        <v xml:space="preserve"> </v>
      </c>
      <c r="D1820" s="79" t="str">
        <f t="shared" si="5"/>
        <v xml:space="preserve"> </v>
      </c>
      <c r="E1820" s="79" t="str">
        <f t="shared" si="6"/>
        <v xml:space="preserve"> </v>
      </c>
    </row>
    <row r="1821" spans="1:5" ht="12.5">
      <c r="A1821" s="81" t="str">
        <f t="shared" si="0"/>
        <v xml:space="preserve"> </v>
      </c>
      <c r="B1821" s="81" t="str">
        <f t="shared" si="1"/>
        <v xml:space="preserve"> </v>
      </c>
      <c r="C1821" s="79" t="str">
        <f t="shared" si="7"/>
        <v xml:space="preserve"> </v>
      </c>
      <c r="D1821" s="79" t="str">
        <f t="shared" si="5"/>
        <v xml:space="preserve"> </v>
      </c>
      <c r="E1821" s="79" t="str">
        <f t="shared" si="6"/>
        <v xml:space="preserve"> </v>
      </c>
    </row>
    <row r="1822" spans="1:5" ht="12.5">
      <c r="A1822" s="81" t="str">
        <f t="shared" si="0"/>
        <v xml:space="preserve"> </v>
      </c>
      <c r="B1822" s="81" t="str">
        <f t="shared" si="1"/>
        <v xml:space="preserve"> </v>
      </c>
      <c r="C1822" s="79" t="str">
        <f t="shared" si="7"/>
        <v xml:space="preserve"> </v>
      </c>
      <c r="D1822" s="79" t="str">
        <f t="shared" si="5"/>
        <v xml:space="preserve"> </v>
      </c>
      <c r="E1822" s="79" t="str">
        <f t="shared" si="6"/>
        <v xml:space="preserve"> </v>
      </c>
    </row>
    <row r="1823" spans="1:5" ht="12.5">
      <c r="A1823" s="81" t="str">
        <f t="shared" si="0"/>
        <v xml:space="preserve"> </v>
      </c>
      <c r="B1823" s="81" t="str">
        <f t="shared" si="1"/>
        <v xml:space="preserve"> </v>
      </c>
      <c r="C1823" s="79" t="str">
        <f t="shared" si="7"/>
        <v xml:space="preserve"> </v>
      </c>
      <c r="D1823" s="79" t="str">
        <f t="shared" si="5"/>
        <v xml:space="preserve"> </v>
      </c>
      <c r="E1823" s="79" t="str">
        <f t="shared" si="6"/>
        <v xml:space="preserve"> </v>
      </c>
    </row>
    <row r="1824" spans="1:5" ht="12.5">
      <c r="A1824" s="81" t="str">
        <f t="shared" si="0"/>
        <v xml:space="preserve"> </v>
      </c>
      <c r="B1824" s="81" t="str">
        <f t="shared" si="1"/>
        <v xml:space="preserve"> </v>
      </c>
      <c r="C1824" s="79" t="str">
        <f t="shared" si="7"/>
        <v xml:space="preserve"> </v>
      </c>
      <c r="D1824" s="79" t="str">
        <f t="shared" si="5"/>
        <v xml:space="preserve"> </v>
      </c>
      <c r="E1824" s="79" t="str">
        <f t="shared" si="6"/>
        <v xml:space="preserve"> </v>
      </c>
    </row>
    <row r="1825" spans="1:5" ht="12.5">
      <c r="A1825" s="81" t="str">
        <f t="shared" si="0"/>
        <v xml:space="preserve"> </v>
      </c>
      <c r="B1825" s="81" t="str">
        <f t="shared" si="1"/>
        <v xml:space="preserve"> </v>
      </c>
      <c r="C1825" s="79" t="str">
        <f t="shared" si="7"/>
        <v xml:space="preserve"> </v>
      </c>
      <c r="D1825" s="79" t="str">
        <f t="shared" si="5"/>
        <v xml:space="preserve"> </v>
      </c>
      <c r="E1825" s="79" t="str">
        <f t="shared" si="6"/>
        <v xml:space="preserve"> </v>
      </c>
    </row>
    <row r="1826" spans="1:5" ht="12.5">
      <c r="A1826" s="81" t="str">
        <f t="shared" si="0"/>
        <v xml:space="preserve"> </v>
      </c>
      <c r="B1826" s="81" t="str">
        <f t="shared" si="1"/>
        <v xml:space="preserve"> </v>
      </c>
      <c r="C1826" s="79" t="str">
        <f t="shared" si="7"/>
        <v xml:space="preserve"> </v>
      </c>
      <c r="D1826" s="79" t="str">
        <f t="shared" si="5"/>
        <v xml:space="preserve"> </v>
      </c>
      <c r="E1826" s="79" t="str">
        <f t="shared" si="6"/>
        <v xml:space="preserve"> </v>
      </c>
    </row>
    <row r="1827" spans="1:5" ht="12.5">
      <c r="A1827" s="81" t="str">
        <f t="shared" si="0"/>
        <v xml:space="preserve"> </v>
      </c>
      <c r="B1827" s="81" t="str">
        <f t="shared" si="1"/>
        <v xml:space="preserve"> </v>
      </c>
      <c r="C1827" s="79" t="str">
        <f t="shared" si="7"/>
        <v xml:space="preserve"> </v>
      </c>
      <c r="D1827" s="79" t="str">
        <f t="shared" si="5"/>
        <v xml:space="preserve"> </v>
      </c>
      <c r="E1827" s="79" t="str">
        <f t="shared" si="6"/>
        <v xml:space="preserve"> </v>
      </c>
    </row>
    <row r="1828" spans="1:5" ht="12.5">
      <c r="A1828" s="81" t="str">
        <f t="shared" si="0"/>
        <v xml:space="preserve"> </v>
      </c>
      <c r="B1828" s="81" t="str">
        <f t="shared" si="1"/>
        <v xml:space="preserve"> </v>
      </c>
      <c r="C1828" s="79" t="str">
        <f t="shared" si="7"/>
        <v xml:space="preserve"> </v>
      </c>
      <c r="D1828" s="79" t="str">
        <f t="shared" si="5"/>
        <v xml:space="preserve"> </v>
      </c>
      <c r="E1828" s="79" t="str">
        <f t="shared" si="6"/>
        <v xml:space="preserve"> </v>
      </c>
    </row>
    <row r="1829" spans="1:5" ht="12.5">
      <c r="A1829" s="81" t="str">
        <f t="shared" si="0"/>
        <v xml:space="preserve"> </v>
      </c>
      <c r="B1829" s="81" t="str">
        <f t="shared" si="1"/>
        <v xml:space="preserve"> </v>
      </c>
      <c r="C1829" s="79" t="str">
        <f t="shared" si="7"/>
        <v xml:space="preserve"> </v>
      </c>
      <c r="D1829" s="79" t="str">
        <f t="shared" si="5"/>
        <v xml:space="preserve"> </v>
      </c>
      <c r="E1829" s="79" t="str">
        <f t="shared" si="6"/>
        <v xml:space="preserve"> </v>
      </c>
    </row>
    <row r="1830" spans="1:5" ht="12.5">
      <c r="A1830" s="81" t="str">
        <f t="shared" si="0"/>
        <v xml:space="preserve"> </v>
      </c>
      <c r="B1830" s="81" t="str">
        <f t="shared" si="1"/>
        <v xml:space="preserve"> </v>
      </c>
      <c r="C1830" s="79" t="str">
        <f t="shared" si="7"/>
        <v xml:space="preserve"> </v>
      </c>
      <c r="D1830" s="79" t="str">
        <f t="shared" si="5"/>
        <v xml:space="preserve"> </v>
      </c>
      <c r="E1830" s="79" t="str">
        <f t="shared" si="6"/>
        <v xml:space="preserve"> </v>
      </c>
    </row>
    <row r="1831" spans="1:5" ht="12.5">
      <c r="A1831" s="81" t="str">
        <f t="shared" si="0"/>
        <v xml:space="preserve"> </v>
      </c>
      <c r="B1831" s="81" t="str">
        <f t="shared" si="1"/>
        <v xml:space="preserve"> </v>
      </c>
      <c r="C1831" s="79" t="str">
        <f t="shared" si="7"/>
        <v xml:space="preserve"> </v>
      </c>
      <c r="D1831" s="79" t="str">
        <f t="shared" si="5"/>
        <v xml:space="preserve"> </v>
      </c>
      <c r="E1831" s="79" t="str">
        <f t="shared" si="6"/>
        <v xml:space="preserve"> </v>
      </c>
    </row>
    <row r="1832" spans="1:5" ht="12.5">
      <c r="A1832" s="81" t="str">
        <f t="shared" si="0"/>
        <v xml:space="preserve"> </v>
      </c>
      <c r="B1832" s="81" t="str">
        <f t="shared" si="1"/>
        <v xml:space="preserve"> </v>
      </c>
      <c r="C1832" s="79" t="str">
        <f t="shared" si="7"/>
        <v xml:space="preserve"> </v>
      </c>
      <c r="D1832" s="79" t="str">
        <f t="shared" si="5"/>
        <v xml:space="preserve"> </v>
      </c>
      <c r="E1832" s="79" t="str">
        <f t="shared" si="6"/>
        <v xml:space="preserve"> </v>
      </c>
    </row>
    <row r="1833" spans="1:5" ht="12.5">
      <c r="A1833" s="81" t="str">
        <f t="shared" si="0"/>
        <v xml:space="preserve"> </v>
      </c>
      <c r="B1833" s="81" t="str">
        <f t="shared" si="1"/>
        <v xml:space="preserve"> </v>
      </c>
      <c r="C1833" s="79" t="str">
        <f t="shared" si="7"/>
        <v xml:space="preserve"> </v>
      </c>
      <c r="D1833" s="79" t="str">
        <f t="shared" si="5"/>
        <v xml:space="preserve"> </v>
      </c>
      <c r="E1833" s="79" t="str">
        <f t="shared" si="6"/>
        <v xml:space="preserve"> </v>
      </c>
    </row>
    <row r="1834" spans="1:5" ht="12.5">
      <c r="A1834" s="81" t="str">
        <f t="shared" si="0"/>
        <v xml:space="preserve"> </v>
      </c>
      <c r="B1834" s="81" t="str">
        <f t="shared" si="1"/>
        <v xml:space="preserve"> </v>
      </c>
      <c r="C1834" s="79" t="str">
        <f t="shared" si="7"/>
        <v xml:space="preserve"> </v>
      </c>
      <c r="D1834" s="79" t="str">
        <f t="shared" si="5"/>
        <v xml:space="preserve"> </v>
      </c>
      <c r="E1834" s="79" t="str">
        <f t="shared" si="6"/>
        <v xml:space="preserve"> </v>
      </c>
    </row>
    <row r="1835" spans="1:5" ht="12.5">
      <c r="A1835" s="81" t="str">
        <f t="shared" si="0"/>
        <v xml:space="preserve"> </v>
      </c>
      <c r="B1835" s="81" t="str">
        <f t="shared" si="1"/>
        <v xml:space="preserve"> </v>
      </c>
      <c r="C1835" s="79" t="str">
        <f t="shared" si="7"/>
        <v xml:space="preserve"> </v>
      </c>
      <c r="D1835" s="79" t="str">
        <f t="shared" si="5"/>
        <v xml:space="preserve"> </v>
      </c>
      <c r="E1835" s="79" t="str">
        <f t="shared" si="6"/>
        <v xml:space="preserve"> </v>
      </c>
    </row>
    <row r="1836" spans="1:5" ht="12.5">
      <c r="A1836" s="81" t="str">
        <f t="shared" si="0"/>
        <v xml:space="preserve"> </v>
      </c>
      <c r="B1836" s="81" t="str">
        <f t="shared" si="1"/>
        <v xml:space="preserve"> </v>
      </c>
      <c r="C1836" s="79" t="str">
        <f t="shared" si="7"/>
        <v xml:space="preserve"> </v>
      </c>
      <c r="D1836" s="79" t="str">
        <f t="shared" si="5"/>
        <v xml:space="preserve"> </v>
      </c>
      <c r="E1836" s="79" t="str">
        <f t="shared" si="6"/>
        <v xml:space="preserve"> </v>
      </c>
    </row>
    <row r="1837" spans="1:5" ht="12.5">
      <c r="A1837" s="81" t="str">
        <f t="shared" si="0"/>
        <v xml:space="preserve"> </v>
      </c>
      <c r="B1837" s="81" t="str">
        <f t="shared" si="1"/>
        <v xml:space="preserve"> </v>
      </c>
      <c r="C1837" s="79" t="str">
        <f t="shared" si="7"/>
        <v xml:space="preserve"> </v>
      </c>
      <c r="D1837" s="79" t="str">
        <f t="shared" si="5"/>
        <v xml:space="preserve"> </v>
      </c>
      <c r="E1837" s="79" t="str">
        <f t="shared" si="6"/>
        <v xml:space="preserve"> </v>
      </c>
    </row>
    <row r="1838" spans="1:5" ht="12.5">
      <c r="A1838" s="81" t="str">
        <f t="shared" si="0"/>
        <v xml:space="preserve"> </v>
      </c>
      <c r="B1838" s="81" t="str">
        <f t="shared" si="1"/>
        <v xml:space="preserve"> </v>
      </c>
      <c r="C1838" s="79" t="str">
        <f t="shared" si="7"/>
        <v xml:space="preserve"> </v>
      </c>
      <c r="D1838" s="79" t="str">
        <f t="shared" si="5"/>
        <v xml:space="preserve"> </v>
      </c>
      <c r="E1838" s="79" t="str">
        <f t="shared" si="6"/>
        <v xml:space="preserve"> </v>
      </c>
    </row>
    <row r="1839" spans="1:5" ht="12.5">
      <c r="A1839" s="81" t="str">
        <f t="shared" si="0"/>
        <v xml:space="preserve"> </v>
      </c>
      <c r="B1839" s="81" t="str">
        <f t="shared" si="1"/>
        <v xml:space="preserve"> </v>
      </c>
      <c r="C1839" s="79" t="str">
        <f t="shared" si="7"/>
        <v xml:space="preserve"> </v>
      </c>
      <c r="D1839" s="79" t="str">
        <f t="shared" si="5"/>
        <v xml:space="preserve"> </v>
      </c>
      <c r="E1839" s="79" t="str">
        <f t="shared" si="6"/>
        <v xml:space="preserve"> </v>
      </c>
    </row>
    <row r="1840" spans="1:5" ht="12.5">
      <c r="A1840" s="81" t="str">
        <f t="shared" si="0"/>
        <v xml:space="preserve"> </v>
      </c>
      <c r="B1840" s="81" t="str">
        <f t="shared" si="1"/>
        <v xml:space="preserve"> </v>
      </c>
      <c r="C1840" s="79" t="str">
        <f t="shared" si="7"/>
        <v xml:space="preserve"> </v>
      </c>
      <c r="D1840" s="79" t="str">
        <f t="shared" si="5"/>
        <v xml:space="preserve"> </v>
      </c>
      <c r="E1840" s="79" t="str">
        <f t="shared" si="6"/>
        <v xml:space="preserve"> </v>
      </c>
    </row>
    <row r="1841" spans="1:5" ht="12.5">
      <c r="A1841" s="81" t="str">
        <f t="shared" si="0"/>
        <v xml:space="preserve"> </v>
      </c>
      <c r="B1841" s="81" t="str">
        <f t="shared" si="1"/>
        <v xml:space="preserve"> </v>
      </c>
      <c r="C1841" s="79" t="str">
        <f t="shared" si="7"/>
        <v xml:space="preserve"> </v>
      </c>
      <c r="D1841" s="79" t="str">
        <f t="shared" si="5"/>
        <v xml:space="preserve"> </v>
      </c>
      <c r="E1841" s="79" t="str">
        <f t="shared" si="6"/>
        <v xml:space="preserve"> </v>
      </c>
    </row>
    <row r="1842" spans="1:5" ht="12.5">
      <c r="A1842" s="81" t="str">
        <f t="shared" si="0"/>
        <v xml:space="preserve"> </v>
      </c>
      <c r="B1842" s="81" t="str">
        <f t="shared" si="1"/>
        <v xml:space="preserve"> </v>
      </c>
      <c r="C1842" s="79" t="str">
        <f t="shared" si="7"/>
        <v xml:space="preserve"> </v>
      </c>
      <c r="D1842" s="79" t="str">
        <f t="shared" si="5"/>
        <v xml:space="preserve"> </v>
      </c>
      <c r="E1842" s="79" t="str">
        <f t="shared" si="6"/>
        <v xml:space="preserve"> </v>
      </c>
    </row>
    <row r="1843" spans="1:5" ht="12.5">
      <c r="A1843" s="81" t="str">
        <f t="shared" si="0"/>
        <v xml:space="preserve"> </v>
      </c>
      <c r="B1843" s="81" t="str">
        <f t="shared" si="1"/>
        <v xml:space="preserve"> </v>
      </c>
      <c r="C1843" s="79" t="str">
        <f t="shared" si="7"/>
        <v xml:space="preserve"> </v>
      </c>
      <c r="D1843" s="79" t="str">
        <f t="shared" si="5"/>
        <v xml:space="preserve"> </v>
      </c>
      <c r="E1843" s="79" t="str">
        <f t="shared" si="6"/>
        <v xml:space="preserve"> </v>
      </c>
    </row>
    <row r="1844" spans="1:5" ht="12.5">
      <c r="A1844" s="81" t="str">
        <f t="shared" si="0"/>
        <v xml:space="preserve"> </v>
      </c>
      <c r="B1844" s="81" t="str">
        <f t="shared" si="1"/>
        <v xml:space="preserve"> </v>
      </c>
      <c r="C1844" s="79" t="str">
        <f t="shared" si="7"/>
        <v xml:space="preserve"> </v>
      </c>
      <c r="D1844" s="79" t="str">
        <f t="shared" si="5"/>
        <v xml:space="preserve"> </v>
      </c>
      <c r="E1844" s="79" t="str">
        <f t="shared" si="6"/>
        <v xml:space="preserve"> </v>
      </c>
    </row>
    <row r="1845" spans="1:5" ht="12.5">
      <c r="A1845" s="81" t="str">
        <f t="shared" si="0"/>
        <v xml:space="preserve"> </v>
      </c>
      <c r="B1845" s="81" t="str">
        <f t="shared" si="1"/>
        <v xml:space="preserve"> </v>
      </c>
      <c r="C1845" s="79" t="str">
        <f t="shared" si="7"/>
        <v xml:space="preserve"> </v>
      </c>
      <c r="D1845" s="79" t="str">
        <f t="shared" si="5"/>
        <v xml:space="preserve"> </v>
      </c>
      <c r="E1845" s="79" t="str">
        <f t="shared" si="6"/>
        <v xml:space="preserve"> </v>
      </c>
    </row>
    <row r="1846" spans="1:5" ht="12.5">
      <c r="A1846" s="81" t="str">
        <f t="shared" si="0"/>
        <v xml:space="preserve"> </v>
      </c>
      <c r="B1846" s="81" t="str">
        <f t="shared" si="1"/>
        <v xml:space="preserve"> </v>
      </c>
      <c r="C1846" s="79" t="str">
        <f t="shared" si="7"/>
        <v xml:space="preserve"> </v>
      </c>
      <c r="D1846" s="79" t="str">
        <f t="shared" si="5"/>
        <v xml:space="preserve"> </v>
      </c>
      <c r="E1846" s="79" t="str">
        <f t="shared" si="6"/>
        <v xml:space="preserve"> </v>
      </c>
    </row>
    <row r="1847" spans="1:5" ht="12.5">
      <c r="A1847" s="81" t="str">
        <f t="shared" si="0"/>
        <v xml:space="preserve"> </v>
      </c>
      <c r="B1847" s="81" t="str">
        <f t="shared" si="1"/>
        <v xml:space="preserve"> </v>
      </c>
      <c r="C1847" s="79" t="str">
        <f t="shared" si="7"/>
        <v xml:space="preserve"> </v>
      </c>
      <c r="D1847" s="79" t="str">
        <f t="shared" si="5"/>
        <v xml:space="preserve"> </v>
      </c>
      <c r="E1847" s="79" t="str">
        <f t="shared" si="6"/>
        <v xml:space="preserve"> </v>
      </c>
    </row>
    <row r="1848" spans="1:5" ht="12.5">
      <c r="A1848" s="81" t="str">
        <f t="shared" si="0"/>
        <v xml:space="preserve"> </v>
      </c>
      <c r="B1848" s="81" t="str">
        <f t="shared" si="1"/>
        <v xml:space="preserve"> </v>
      </c>
      <c r="C1848" s="79" t="str">
        <f t="shared" si="7"/>
        <v xml:space="preserve"> </v>
      </c>
      <c r="D1848" s="79" t="str">
        <f t="shared" si="5"/>
        <v xml:space="preserve"> </v>
      </c>
      <c r="E1848" s="79" t="str">
        <f t="shared" si="6"/>
        <v xml:space="preserve"> </v>
      </c>
    </row>
    <row r="1849" spans="1:5" ht="12.5">
      <c r="A1849" s="81" t="str">
        <f t="shared" si="0"/>
        <v xml:space="preserve"> </v>
      </c>
      <c r="B1849" s="81" t="str">
        <f t="shared" si="1"/>
        <v xml:space="preserve"> </v>
      </c>
      <c r="C1849" s="79" t="str">
        <f t="shared" si="7"/>
        <v xml:space="preserve"> </v>
      </c>
      <c r="D1849" s="79" t="str">
        <f t="shared" si="5"/>
        <v xml:space="preserve"> </v>
      </c>
      <c r="E1849" s="79" t="str">
        <f t="shared" si="6"/>
        <v xml:space="preserve"> </v>
      </c>
    </row>
    <row r="1850" spans="1:5" ht="12.5">
      <c r="A1850" s="81" t="str">
        <f t="shared" si="0"/>
        <v xml:space="preserve"> </v>
      </c>
      <c r="B1850" s="81" t="str">
        <f t="shared" si="1"/>
        <v xml:space="preserve"> </v>
      </c>
      <c r="C1850" s="79" t="str">
        <f t="shared" si="7"/>
        <v xml:space="preserve"> </v>
      </c>
      <c r="D1850" s="79" t="str">
        <f t="shared" si="5"/>
        <v xml:space="preserve"> </v>
      </c>
      <c r="E1850" s="79" t="str">
        <f t="shared" si="6"/>
        <v xml:space="preserve"> </v>
      </c>
    </row>
    <row r="1851" spans="1:5" ht="12.5">
      <c r="A1851" s="81" t="str">
        <f t="shared" si="0"/>
        <v xml:space="preserve"> </v>
      </c>
      <c r="B1851" s="81" t="str">
        <f t="shared" si="1"/>
        <v xml:space="preserve"> </v>
      </c>
      <c r="C1851" s="79" t="str">
        <f t="shared" si="7"/>
        <v xml:space="preserve"> </v>
      </c>
      <c r="D1851" s="79" t="str">
        <f t="shared" si="5"/>
        <v xml:space="preserve"> </v>
      </c>
      <c r="E1851" s="79" t="str">
        <f t="shared" si="6"/>
        <v xml:space="preserve"> </v>
      </c>
    </row>
    <row r="1852" spans="1:5" ht="12.5">
      <c r="A1852" s="81" t="str">
        <f t="shared" si="0"/>
        <v xml:space="preserve"> </v>
      </c>
      <c r="B1852" s="81" t="str">
        <f t="shared" si="1"/>
        <v xml:space="preserve"> </v>
      </c>
      <c r="C1852" s="79" t="str">
        <f t="shared" si="7"/>
        <v xml:space="preserve"> </v>
      </c>
      <c r="D1852" s="79" t="str">
        <f t="shared" si="5"/>
        <v xml:space="preserve"> </v>
      </c>
      <c r="E1852" s="79" t="str">
        <f t="shared" si="6"/>
        <v xml:space="preserve"> </v>
      </c>
    </row>
    <row r="1853" spans="1:5" ht="12.5">
      <c r="A1853" s="81" t="str">
        <f t="shared" si="0"/>
        <v xml:space="preserve"> </v>
      </c>
      <c r="B1853" s="81" t="str">
        <f t="shared" si="1"/>
        <v xml:space="preserve"> </v>
      </c>
      <c r="C1853" s="79" t="str">
        <f t="shared" si="7"/>
        <v xml:space="preserve"> </v>
      </c>
      <c r="D1853" s="79" t="str">
        <f t="shared" si="5"/>
        <v xml:space="preserve"> </v>
      </c>
      <c r="E1853" s="79" t="str">
        <f t="shared" si="6"/>
        <v xml:space="preserve"> </v>
      </c>
    </row>
    <row r="1854" spans="1:5" ht="12.5">
      <c r="A1854" s="81" t="str">
        <f t="shared" si="0"/>
        <v xml:space="preserve"> </v>
      </c>
      <c r="B1854" s="81" t="str">
        <f t="shared" si="1"/>
        <v xml:space="preserve"> </v>
      </c>
      <c r="C1854" s="79" t="str">
        <f t="shared" si="7"/>
        <v xml:space="preserve"> </v>
      </c>
      <c r="D1854" s="79" t="str">
        <f t="shared" si="5"/>
        <v xml:space="preserve"> </v>
      </c>
      <c r="E1854" s="79" t="str">
        <f t="shared" si="6"/>
        <v xml:space="preserve"> </v>
      </c>
    </row>
    <row r="1855" spans="1:5" ht="12.5">
      <c r="A1855" s="81" t="str">
        <f t="shared" si="0"/>
        <v xml:space="preserve"> </v>
      </c>
      <c r="B1855" s="81" t="str">
        <f t="shared" si="1"/>
        <v xml:space="preserve"> </v>
      </c>
      <c r="C1855" s="79" t="str">
        <f t="shared" si="7"/>
        <v xml:space="preserve"> </v>
      </c>
      <c r="D1855" s="79" t="str">
        <f t="shared" si="5"/>
        <v xml:space="preserve"> </v>
      </c>
      <c r="E1855" s="79" t="str">
        <f t="shared" si="6"/>
        <v xml:space="preserve"> </v>
      </c>
    </row>
    <row r="1856" spans="1:5" ht="12.5">
      <c r="A1856" s="81" t="str">
        <f t="shared" si="0"/>
        <v xml:space="preserve"> </v>
      </c>
      <c r="B1856" s="81" t="str">
        <f t="shared" si="1"/>
        <v xml:space="preserve"> </v>
      </c>
      <c r="C1856" s="79" t="str">
        <f t="shared" si="7"/>
        <v xml:space="preserve"> </v>
      </c>
      <c r="D1856" s="79" t="str">
        <f t="shared" si="5"/>
        <v xml:space="preserve"> </v>
      </c>
      <c r="E1856" s="79" t="str">
        <f t="shared" si="6"/>
        <v xml:space="preserve"> </v>
      </c>
    </row>
    <row r="1857" spans="1:5" ht="12.5">
      <c r="A1857" s="81" t="str">
        <f t="shared" si="0"/>
        <v xml:space="preserve"> </v>
      </c>
      <c r="B1857" s="81" t="str">
        <f t="shared" si="1"/>
        <v xml:space="preserve"> </v>
      </c>
      <c r="C1857" s="79" t="str">
        <f t="shared" si="7"/>
        <v xml:space="preserve"> </v>
      </c>
      <c r="D1857" s="79" t="str">
        <f t="shared" si="5"/>
        <v xml:space="preserve"> </v>
      </c>
      <c r="E1857" s="79" t="str">
        <f t="shared" si="6"/>
        <v xml:space="preserve"> </v>
      </c>
    </row>
    <row r="1858" spans="1:5" ht="12.5">
      <c r="A1858" s="81" t="str">
        <f t="shared" si="0"/>
        <v xml:space="preserve"> </v>
      </c>
      <c r="B1858" s="81" t="str">
        <f t="shared" si="1"/>
        <v xml:space="preserve"> </v>
      </c>
      <c r="C1858" s="79" t="str">
        <f t="shared" si="7"/>
        <v xml:space="preserve"> </v>
      </c>
      <c r="D1858" s="79" t="str">
        <f t="shared" si="5"/>
        <v xml:space="preserve"> </v>
      </c>
      <c r="E1858" s="79" t="str">
        <f t="shared" si="6"/>
        <v xml:space="preserve"> </v>
      </c>
    </row>
    <row r="1859" spans="1:5" ht="12.5">
      <c r="A1859" s="81" t="str">
        <f t="shared" si="0"/>
        <v xml:space="preserve"> </v>
      </c>
      <c r="B1859" s="81" t="str">
        <f t="shared" si="1"/>
        <v xml:space="preserve"> </v>
      </c>
      <c r="C1859" s="79" t="str">
        <f t="shared" si="7"/>
        <v xml:space="preserve"> </v>
      </c>
      <c r="D1859" s="79" t="str">
        <f t="shared" si="5"/>
        <v xml:space="preserve"> </v>
      </c>
      <c r="E1859" s="79" t="str">
        <f t="shared" si="6"/>
        <v xml:space="preserve"> </v>
      </c>
    </row>
    <row r="1860" spans="1:5" ht="12.5">
      <c r="A1860" s="81" t="str">
        <f t="shared" si="0"/>
        <v xml:space="preserve"> </v>
      </c>
      <c r="B1860" s="81" t="str">
        <f t="shared" si="1"/>
        <v xml:space="preserve"> </v>
      </c>
      <c r="C1860" s="79" t="str">
        <f t="shared" si="7"/>
        <v xml:space="preserve"> </v>
      </c>
      <c r="D1860" s="79" t="str">
        <f t="shared" si="5"/>
        <v xml:space="preserve"> </v>
      </c>
      <c r="E1860" s="79" t="str">
        <f t="shared" si="6"/>
        <v xml:space="preserve"> </v>
      </c>
    </row>
    <row r="1861" spans="1:5" ht="12.5">
      <c r="A1861" s="81" t="str">
        <f t="shared" si="0"/>
        <v xml:space="preserve"> </v>
      </c>
      <c r="B1861" s="81" t="str">
        <f t="shared" si="1"/>
        <v xml:space="preserve"> </v>
      </c>
      <c r="C1861" s="79" t="str">
        <f t="shared" si="7"/>
        <v xml:space="preserve"> </v>
      </c>
      <c r="D1861" s="79" t="str">
        <f t="shared" si="5"/>
        <v xml:space="preserve"> </v>
      </c>
      <c r="E1861" s="79" t="str">
        <f t="shared" si="6"/>
        <v xml:space="preserve"> </v>
      </c>
    </row>
    <row r="1862" spans="1:5" ht="12.5">
      <c r="A1862" s="81" t="str">
        <f t="shared" si="0"/>
        <v xml:space="preserve"> </v>
      </c>
      <c r="B1862" s="81" t="str">
        <f t="shared" si="1"/>
        <v xml:space="preserve"> </v>
      </c>
      <c r="C1862" s="79" t="str">
        <f t="shared" si="7"/>
        <v xml:space="preserve"> </v>
      </c>
      <c r="D1862" s="79" t="str">
        <f t="shared" si="5"/>
        <v xml:space="preserve"> </v>
      </c>
      <c r="E1862" s="79" t="str">
        <f t="shared" si="6"/>
        <v xml:space="preserve"> </v>
      </c>
    </row>
    <row r="1863" spans="1:5" ht="12.5">
      <c r="A1863" s="81" t="str">
        <f t="shared" si="0"/>
        <v xml:space="preserve"> </v>
      </c>
      <c r="B1863" s="81" t="str">
        <f t="shared" si="1"/>
        <v xml:space="preserve"> </v>
      </c>
      <c r="C1863" s="79" t="str">
        <f t="shared" si="7"/>
        <v xml:space="preserve"> </v>
      </c>
      <c r="D1863" s="79" t="str">
        <f t="shared" si="5"/>
        <v xml:space="preserve"> </v>
      </c>
      <c r="E1863" s="79" t="str">
        <f t="shared" si="6"/>
        <v xml:space="preserve"> </v>
      </c>
    </row>
    <row r="1864" spans="1:5" ht="12.5">
      <c r="A1864" s="81" t="str">
        <f t="shared" si="0"/>
        <v xml:space="preserve"> </v>
      </c>
      <c r="B1864" s="81" t="str">
        <f t="shared" si="1"/>
        <v xml:space="preserve"> </v>
      </c>
      <c r="C1864" s="79" t="str">
        <f t="shared" si="7"/>
        <v xml:space="preserve"> </v>
      </c>
      <c r="D1864" s="79" t="str">
        <f t="shared" si="5"/>
        <v xml:space="preserve"> </v>
      </c>
      <c r="E1864" s="79" t="str">
        <f t="shared" si="6"/>
        <v xml:space="preserve"> </v>
      </c>
    </row>
    <row r="1865" spans="1:5" ht="12.5">
      <c r="A1865" s="81" t="str">
        <f t="shared" si="0"/>
        <v xml:space="preserve"> </v>
      </c>
      <c r="B1865" s="81" t="str">
        <f t="shared" si="1"/>
        <v xml:space="preserve"> </v>
      </c>
      <c r="C1865" s="79" t="str">
        <f t="shared" si="7"/>
        <v xml:space="preserve"> </v>
      </c>
      <c r="D1865" s="79" t="str">
        <f t="shared" si="5"/>
        <v xml:space="preserve"> </v>
      </c>
      <c r="E1865" s="79" t="str">
        <f t="shared" si="6"/>
        <v xml:space="preserve"> </v>
      </c>
    </row>
    <row r="1866" spans="1:5" ht="12.5">
      <c r="A1866" s="81" t="str">
        <f t="shared" si="0"/>
        <v xml:space="preserve"> </v>
      </c>
      <c r="B1866" s="81" t="str">
        <f t="shared" si="1"/>
        <v xml:space="preserve"> </v>
      </c>
      <c r="C1866" s="79" t="str">
        <f t="shared" si="7"/>
        <v xml:space="preserve"> </v>
      </c>
      <c r="D1866" s="79" t="str">
        <f t="shared" si="5"/>
        <v xml:space="preserve"> </v>
      </c>
      <c r="E1866" s="79" t="str">
        <f t="shared" si="6"/>
        <v xml:space="preserve"> </v>
      </c>
    </row>
    <row r="1867" spans="1:5" ht="12.5">
      <c r="A1867" s="81" t="str">
        <f t="shared" si="0"/>
        <v xml:space="preserve"> </v>
      </c>
      <c r="B1867" s="81" t="str">
        <f t="shared" si="1"/>
        <v xml:space="preserve"> </v>
      </c>
      <c r="C1867" s="79" t="str">
        <f t="shared" si="7"/>
        <v xml:space="preserve"> </v>
      </c>
      <c r="D1867" s="79" t="str">
        <f t="shared" si="5"/>
        <v xml:space="preserve"> </v>
      </c>
      <c r="E1867" s="79" t="str">
        <f t="shared" si="6"/>
        <v xml:space="preserve"> </v>
      </c>
    </row>
    <row r="1868" spans="1:5" ht="12.5">
      <c r="A1868" s="81" t="str">
        <f t="shared" si="0"/>
        <v xml:space="preserve"> </v>
      </c>
      <c r="B1868" s="81" t="str">
        <f t="shared" si="1"/>
        <v xml:space="preserve"> </v>
      </c>
      <c r="C1868" s="79" t="str">
        <f t="shared" si="7"/>
        <v xml:space="preserve"> </v>
      </c>
      <c r="D1868" s="79" t="str">
        <f t="shared" si="5"/>
        <v xml:space="preserve"> </v>
      </c>
      <c r="E1868" s="79" t="str">
        <f t="shared" si="6"/>
        <v xml:space="preserve"> </v>
      </c>
    </row>
    <row r="1869" spans="1:5" ht="12.5">
      <c r="A1869" s="81" t="str">
        <f t="shared" si="0"/>
        <v xml:space="preserve"> </v>
      </c>
      <c r="B1869" s="81" t="str">
        <f t="shared" si="1"/>
        <v xml:space="preserve"> </v>
      </c>
      <c r="C1869" s="79" t="str">
        <f t="shared" si="7"/>
        <v xml:space="preserve"> </v>
      </c>
      <c r="D1869" s="79" t="str">
        <f t="shared" si="5"/>
        <v xml:space="preserve"> </v>
      </c>
      <c r="E1869" s="79" t="str">
        <f t="shared" si="6"/>
        <v xml:space="preserve"> </v>
      </c>
    </row>
    <row r="1870" spans="1:5" ht="12.5">
      <c r="A1870" s="81" t="str">
        <f t="shared" si="0"/>
        <v xml:space="preserve"> </v>
      </c>
      <c r="B1870" s="81" t="str">
        <f t="shared" si="1"/>
        <v xml:space="preserve"> </v>
      </c>
      <c r="C1870" s="79" t="str">
        <f t="shared" si="7"/>
        <v xml:space="preserve"> </v>
      </c>
      <c r="D1870" s="79" t="str">
        <f t="shared" si="5"/>
        <v xml:space="preserve"> </v>
      </c>
      <c r="E1870" s="79" t="str">
        <f t="shared" si="6"/>
        <v xml:space="preserve"> </v>
      </c>
    </row>
    <row r="1871" spans="1:5" ht="12.5">
      <c r="A1871" s="81" t="str">
        <f t="shared" si="0"/>
        <v xml:space="preserve"> </v>
      </c>
      <c r="B1871" s="81" t="str">
        <f t="shared" si="1"/>
        <v xml:space="preserve"> </v>
      </c>
      <c r="C1871" s="79" t="str">
        <f t="shared" si="7"/>
        <v xml:space="preserve"> </v>
      </c>
      <c r="D1871" s="79" t="str">
        <f t="shared" si="5"/>
        <v xml:space="preserve"> </v>
      </c>
      <c r="E1871" s="79" t="str">
        <f t="shared" si="6"/>
        <v xml:space="preserve"> </v>
      </c>
    </row>
    <row r="1872" spans="1:5" ht="12.5">
      <c r="A1872" s="81" t="str">
        <f t="shared" si="0"/>
        <v xml:space="preserve"> </v>
      </c>
      <c r="B1872" s="81" t="str">
        <f t="shared" si="1"/>
        <v xml:space="preserve"> </v>
      </c>
      <c r="C1872" s="79" t="str">
        <f t="shared" si="7"/>
        <v xml:space="preserve"> </v>
      </c>
      <c r="D1872" s="79" t="str">
        <f t="shared" si="5"/>
        <v xml:space="preserve"> </v>
      </c>
      <c r="E1872" s="79" t="str">
        <f t="shared" si="6"/>
        <v xml:space="preserve"> </v>
      </c>
    </row>
    <row r="1873" spans="1:5" ht="12.5">
      <c r="A1873" s="81" t="str">
        <f t="shared" si="0"/>
        <v xml:space="preserve"> </v>
      </c>
      <c r="B1873" s="81" t="str">
        <f t="shared" si="1"/>
        <v xml:space="preserve"> </v>
      </c>
      <c r="C1873" s="79" t="str">
        <f t="shared" si="7"/>
        <v xml:space="preserve"> </v>
      </c>
      <c r="D1873" s="79" t="str">
        <f t="shared" si="5"/>
        <v xml:space="preserve"> </v>
      </c>
      <c r="E1873" s="79" t="str">
        <f t="shared" si="6"/>
        <v xml:space="preserve"> </v>
      </c>
    </row>
    <row r="1874" spans="1:5" ht="12.5">
      <c r="A1874" s="81" t="str">
        <f t="shared" si="0"/>
        <v xml:space="preserve"> </v>
      </c>
      <c r="B1874" s="81" t="str">
        <f t="shared" si="1"/>
        <v xml:space="preserve"> </v>
      </c>
      <c r="C1874" s="79" t="str">
        <f t="shared" si="7"/>
        <v xml:space="preserve"> </v>
      </c>
      <c r="D1874" s="79" t="str">
        <f t="shared" si="5"/>
        <v xml:space="preserve"> </v>
      </c>
      <c r="E1874" s="79" t="str">
        <f t="shared" si="6"/>
        <v xml:space="preserve"> </v>
      </c>
    </row>
    <row r="1875" spans="1:5" ht="12.5">
      <c r="A1875" s="81" t="str">
        <f t="shared" si="0"/>
        <v xml:space="preserve"> </v>
      </c>
      <c r="B1875" s="81" t="str">
        <f t="shared" si="1"/>
        <v xml:space="preserve"> </v>
      </c>
      <c r="C1875" s="79" t="str">
        <f t="shared" si="7"/>
        <v xml:space="preserve"> </v>
      </c>
      <c r="D1875" s="79" t="str">
        <f t="shared" si="5"/>
        <v xml:space="preserve"> </v>
      </c>
      <c r="E1875" s="79" t="str">
        <f t="shared" si="6"/>
        <v xml:space="preserve"> </v>
      </c>
    </row>
    <row r="1876" spans="1:5" ht="12.5">
      <c r="A1876" s="81" t="str">
        <f t="shared" si="0"/>
        <v xml:space="preserve"> </v>
      </c>
      <c r="B1876" s="81" t="str">
        <f t="shared" si="1"/>
        <v xml:space="preserve"> </v>
      </c>
      <c r="C1876" s="79" t="str">
        <f t="shared" si="7"/>
        <v xml:space="preserve"> </v>
      </c>
      <c r="D1876" s="79" t="str">
        <f t="shared" si="5"/>
        <v xml:space="preserve"> </v>
      </c>
      <c r="E1876" s="79" t="str">
        <f t="shared" si="6"/>
        <v xml:space="preserve"> </v>
      </c>
    </row>
    <row r="1877" spans="1:5" ht="12.5">
      <c r="A1877" s="81" t="str">
        <f t="shared" si="0"/>
        <v xml:space="preserve"> </v>
      </c>
      <c r="B1877" s="81" t="str">
        <f t="shared" si="1"/>
        <v xml:space="preserve"> </v>
      </c>
      <c r="C1877" s="79" t="str">
        <f t="shared" si="7"/>
        <v xml:space="preserve"> </v>
      </c>
      <c r="D1877" s="79" t="str">
        <f t="shared" si="5"/>
        <v xml:space="preserve"> </v>
      </c>
      <c r="E1877" s="79" t="str">
        <f t="shared" si="6"/>
        <v xml:space="preserve"> </v>
      </c>
    </row>
    <row r="1878" spans="1:5" ht="12.5">
      <c r="A1878" s="81" t="str">
        <f t="shared" si="0"/>
        <v xml:space="preserve"> </v>
      </c>
      <c r="B1878" s="81" t="str">
        <f t="shared" si="1"/>
        <v xml:space="preserve"> </v>
      </c>
      <c r="C1878" s="79" t="str">
        <f t="shared" si="7"/>
        <v xml:space="preserve"> </v>
      </c>
      <c r="D1878" s="79" t="str">
        <f t="shared" si="5"/>
        <v xml:space="preserve"> </v>
      </c>
      <c r="E1878" s="79" t="str">
        <f t="shared" si="6"/>
        <v xml:space="preserve"> </v>
      </c>
    </row>
    <row r="1879" spans="1:5" ht="12.5">
      <c r="A1879" s="81" t="str">
        <f t="shared" si="0"/>
        <v xml:space="preserve"> </v>
      </c>
      <c r="B1879" s="81" t="str">
        <f t="shared" si="1"/>
        <v xml:space="preserve"> </v>
      </c>
      <c r="C1879" s="79" t="str">
        <f t="shared" si="7"/>
        <v xml:space="preserve"> </v>
      </c>
      <c r="D1879" s="79" t="str">
        <f t="shared" si="5"/>
        <v xml:space="preserve"> </v>
      </c>
      <c r="E1879" s="79" t="str">
        <f t="shared" si="6"/>
        <v xml:space="preserve"> </v>
      </c>
    </row>
    <row r="1880" spans="1:5" ht="12.5">
      <c r="A1880" s="81" t="str">
        <f t="shared" si="0"/>
        <v xml:space="preserve"> </v>
      </c>
      <c r="B1880" s="81" t="str">
        <f t="shared" si="1"/>
        <v xml:space="preserve"> </v>
      </c>
      <c r="C1880" s="79" t="str">
        <f t="shared" si="7"/>
        <v xml:space="preserve"> </v>
      </c>
      <c r="D1880" s="79" t="str">
        <f t="shared" si="5"/>
        <v xml:space="preserve"> </v>
      </c>
      <c r="E1880" s="79" t="str">
        <f t="shared" si="6"/>
        <v xml:space="preserve"> </v>
      </c>
    </row>
    <row r="1881" spans="1:5" ht="12.5">
      <c r="A1881" s="81" t="str">
        <f t="shared" si="0"/>
        <v xml:space="preserve"> </v>
      </c>
      <c r="B1881" s="81" t="str">
        <f t="shared" si="1"/>
        <v xml:space="preserve"> </v>
      </c>
      <c r="C1881" s="79" t="str">
        <f t="shared" si="7"/>
        <v xml:space="preserve"> </v>
      </c>
      <c r="D1881" s="79" t="str">
        <f t="shared" si="5"/>
        <v xml:space="preserve"> </v>
      </c>
      <c r="E1881" s="79" t="str">
        <f t="shared" si="6"/>
        <v xml:space="preserve"> </v>
      </c>
    </row>
    <row r="1882" spans="1:5" ht="12.5">
      <c r="A1882" s="81" t="str">
        <f t="shared" si="0"/>
        <v xml:space="preserve"> </v>
      </c>
      <c r="B1882" s="81" t="str">
        <f t="shared" si="1"/>
        <v xml:space="preserve"> </v>
      </c>
      <c r="C1882" s="79" t="str">
        <f t="shared" si="7"/>
        <v xml:space="preserve"> </v>
      </c>
      <c r="D1882" s="79" t="str">
        <f t="shared" si="5"/>
        <v xml:space="preserve"> </v>
      </c>
      <c r="E1882" s="79" t="str">
        <f t="shared" si="6"/>
        <v xml:space="preserve"> </v>
      </c>
    </row>
    <row r="1883" spans="1:5" ht="12.5">
      <c r="A1883" s="81" t="str">
        <f t="shared" si="0"/>
        <v xml:space="preserve"> </v>
      </c>
      <c r="B1883" s="81" t="str">
        <f t="shared" si="1"/>
        <v xml:space="preserve"> </v>
      </c>
      <c r="C1883" s="79" t="str">
        <f t="shared" si="7"/>
        <v xml:space="preserve"> </v>
      </c>
      <c r="D1883" s="79" t="str">
        <f t="shared" si="5"/>
        <v xml:space="preserve"> </v>
      </c>
      <c r="E1883" s="79" t="str">
        <f t="shared" si="6"/>
        <v xml:space="preserve"> </v>
      </c>
    </row>
    <row r="1884" spans="1:5" ht="12.5">
      <c r="A1884" s="81" t="str">
        <f t="shared" si="0"/>
        <v xml:space="preserve"> </v>
      </c>
      <c r="B1884" s="81" t="str">
        <f t="shared" si="1"/>
        <v xml:space="preserve"> </v>
      </c>
      <c r="C1884" s="79" t="str">
        <f t="shared" si="7"/>
        <v xml:space="preserve"> </v>
      </c>
      <c r="D1884" s="79" t="str">
        <f t="shared" si="5"/>
        <v xml:space="preserve"> </v>
      </c>
      <c r="E1884" s="79" t="str">
        <f t="shared" si="6"/>
        <v xml:space="preserve"> </v>
      </c>
    </row>
    <row r="1885" spans="1:5" ht="12.5">
      <c r="A1885" s="81" t="str">
        <f t="shared" si="0"/>
        <v xml:space="preserve"> </v>
      </c>
      <c r="B1885" s="81" t="str">
        <f t="shared" si="1"/>
        <v xml:space="preserve"> </v>
      </c>
      <c r="C1885" s="79" t="str">
        <f t="shared" si="7"/>
        <v xml:space="preserve"> </v>
      </c>
      <c r="D1885" s="79" t="str">
        <f t="shared" si="5"/>
        <v xml:space="preserve"> </v>
      </c>
      <c r="E1885" s="79" t="str">
        <f t="shared" si="6"/>
        <v xml:space="preserve"> </v>
      </c>
    </row>
    <row r="1886" spans="1:5" ht="12.5">
      <c r="A1886" s="81" t="str">
        <f t="shared" si="0"/>
        <v xml:space="preserve"> </v>
      </c>
      <c r="B1886" s="81" t="str">
        <f t="shared" si="1"/>
        <v xml:space="preserve"> </v>
      </c>
      <c r="C1886" s="79" t="str">
        <f t="shared" si="7"/>
        <v xml:space="preserve"> </v>
      </c>
      <c r="D1886" s="79" t="str">
        <f t="shared" si="5"/>
        <v xml:space="preserve"> </v>
      </c>
      <c r="E1886" s="79" t="str">
        <f t="shared" si="6"/>
        <v xml:space="preserve"> </v>
      </c>
    </row>
    <row r="1887" spans="1:5" ht="12.5">
      <c r="A1887" s="81" t="str">
        <f t="shared" si="0"/>
        <v xml:space="preserve"> </v>
      </c>
      <c r="B1887" s="81" t="str">
        <f t="shared" si="1"/>
        <v xml:space="preserve"> </v>
      </c>
      <c r="C1887" s="79" t="str">
        <f t="shared" si="7"/>
        <v xml:space="preserve"> </v>
      </c>
      <c r="D1887" s="79" t="str">
        <f t="shared" si="5"/>
        <v xml:space="preserve"> </v>
      </c>
      <c r="E1887" s="79" t="str">
        <f t="shared" si="6"/>
        <v xml:space="preserve"> </v>
      </c>
    </row>
    <row r="1888" spans="1:5" ht="12.5">
      <c r="A1888" s="81" t="str">
        <f t="shared" si="0"/>
        <v xml:space="preserve"> </v>
      </c>
      <c r="B1888" s="81" t="str">
        <f t="shared" si="1"/>
        <v xml:space="preserve"> </v>
      </c>
      <c r="C1888" s="79" t="str">
        <f t="shared" si="7"/>
        <v xml:space="preserve"> </v>
      </c>
      <c r="D1888" s="79" t="str">
        <f t="shared" si="5"/>
        <v xml:space="preserve"> </v>
      </c>
      <c r="E1888" s="79" t="str">
        <f t="shared" si="6"/>
        <v xml:space="preserve"> </v>
      </c>
    </row>
    <row r="1889" spans="1:5" ht="12.5">
      <c r="A1889" s="81" t="str">
        <f t="shared" si="0"/>
        <v xml:space="preserve"> </v>
      </c>
      <c r="B1889" s="81" t="str">
        <f t="shared" si="1"/>
        <v xml:space="preserve"> </v>
      </c>
      <c r="C1889" s="79" t="str">
        <f t="shared" si="7"/>
        <v xml:space="preserve"> </v>
      </c>
      <c r="D1889" s="79" t="str">
        <f t="shared" si="5"/>
        <v xml:space="preserve"> </v>
      </c>
      <c r="E1889" s="79" t="str">
        <f t="shared" si="6"/>
        <v xml:space="preserve"> </v>
      </c>
    </row>
    <row r="1890" spans="1:5" ht="12.5">
      <c r="A1890" s="81" t="str">
        <f t="shared" si="0"/>
        <v xml:space="preserve"> </v>
      </c>
      <c r="B1890" s="81" t="str">
        <f t="shared" si="1"/>
        <v xml:space="preserve"> </v>
      </c>
      <c r="C1890" s="79" t="str">
        <f t="shared" si="7"/>
        <v xml:space="preserve"> </v>
      </c>
      <c r="D1890" s="79" t="str">
        <f t="shared" si="5"/>
        <v xml:space="preserve"> </v>
      </c>
      <c r="E1890" s="79" t="str">
        <f t="shared" si="6"/>
        <v xml:space="preserve"> </v>
      </c>
    </row>
    <row r="1891" spans="1:5" ht="12.5">
      <c r="A1891" s="81" t="str">
        <f t="shared" si="0"/>
        <v xml:space="preserve"> </v>
      </c>
      <c r="B1891" s="81" t="str">
        <f t="shared" si="1"/>
        <v xml:space="preserve"> </v>
      </c>
      <c r="C1891" s="79" t="str">
        <f t="shared" si="7"/>
        <v xml:space="preserve"> </v>
      </c>
      <c r="D1891" s="79" t="str">
        <f t="shared" si="5"/>
        <v xml:space="preserve"> </v>
      </c>
      <c r="E1891" s="79" t="str">
        <f t="shared" si="6"/>
        <v xml:space="preserve"> </v>
      </c>
    </row>
    <row r="1892" spans="1:5" ht="12.5">
      <c r="A1892" s="81" t="str">
        <f t="shared" si="0"/>
        <v xml:space="preserve"> </v>
      </c>
      <c r="B1892" s="81" t="str">
        <f t="shared" si="1"/>
        <v xml:space="preserve"> </v>
      </c>
      <c r="C1892" s="79" t="str">
        <f t="shared" si="7"/>
        <v xml:space="preserve"> </v>
      </c>
      <c r="D1892" s="79" t="str">
        <f t="shared" si="5"/>
        <v xml:space="preserve"> </v>
      </c>
      <c r="E1892" s="79" t="str">
        <f t="shared" si="6"/>
        <v xml:space="preserve"> </v>
      </c>
    </row>
    <row r="1893" spans="1:5" ht="12.5">
      <c r="A1893" s="81" t="str">
        <f t="shared" si="0"/>
        <v xml:space="preserve"> </v>
      </c>
      <c r="B1893" s="81" t="str">
        <f t="shared" si="1"/>
        <v xml:space="preserve"> </v>
      </c>
      <c r="C1893" s="79" t="str">
        <f t="shared" si="7"/>
        <v xml:space="preserve"> </v>
      </c>
      <c r="D1893" s="79" t="str">
        <f t="shared" si="5"/>
        <v xml:space="preserve"> </v>
      </c>
      <c r="E1893" s="79" t="str">
        <f t="shared" si="6"/>
        <v xml:space="preserve"> </v>
      </c>
    </row>
    <row r="1894" spans="1:5" ht="12.5">
      <c r="A1894" s="81" t="str">
        <f t="shared" si="0"/>
        <v xml:space="preserve"> </v>
      </c>
      <c r="B1894" s="81" t="str">
        <f t="shared" si="1"/>
        <v xml:space="preserve"> </v>
      </c>
      <c r="C1894" s="79" t="str">
        <f t="shared" si="7"/>
        <v xml:space="preserve"> </v>
      </c>
      <c r="D1894" s="79" t="str">
        <f t="shared" si="5"/>
        <v xml:space="preserve"> </v>
      </c>
      <c r="E1894" s="79" t="str">
        <f t="shared" si="6"/>
        <v xml:space="preserve"> </v>
      </c>
    </row>
    <row r="1895" spans="1:5" ht="12.5">
      <c r="A1895" s="81" t="str">
        <f t="shared" si="0"/>
        <v xml:space="preserve"> </v>
      </c>
      <c r="B1895" s="81" t="str">
        <f t="shared" si="1"/>
        <v xml:space="preserve"> </v>
      </c>
      <c r="C1895" s="79" t="str">
        <f t="shared" si="7"/>
        <v xml:space="preserve"> </v>
      </c>
      <c r="D1895" s="79" t="str">
        <f t="shared" si="5"/>
        <v xml:space="preserve"> </v>
      </c>
      <c r="E1895" s="79" t="str">
        <f t="shared" si="6"/>
        <v xml:space="preserve"> </v>
      </c>
    </row>
    <row r="1896" spans="1:5" ht="12.5">
      <c r="A1896" s="81" t="str">
        <f t="shared" si="0"/>
        <v xml:space="preserve"> </v>
      </c>
      <c r="B1896" s="81" t="str">
        <f t="shared" si="1"/>
        <v xml:space="preserve"> </v>
      </c>
      <c r="C1896" s="79" t="str">
        <f t="shared" si="7"/>
        <v xml:space="preserve"> </v>
      </c>
      <c r="D1896" s="79" t="str">
        <f t="shared" si="5"/>
        <v xml:space="preserve"> </v>
      </c>
      <c r="E1896" s="79" t="str">
        <f t="shared" si="6"/>
        <v xml:space="preserve"> </v>
      </c>
    </row>
    <row r="1897" spans="1:5" ht="12.5">
      <c r="A1897" s="81" t="str">
        <f t="shared" si="0"/>
        <v xml:space="preserve"> </v>
      </c>
      <c r="B1897" s="81" t="str">
        <f t="shared" si="1"/>
        <v xml:space="preserve"> </v>
      </c>
      <c r="C1897" s="79" t="str">
        <f t="shared" si="7"/>
        <v xml:space="preserve"> </v>
      </c>
      <c r="D1897" s="79" t="str">
        <f t="shared" si="5"/>
        <v xml:space="preserve"> </v>
      </c>
      <c r="E1897" s="79" t="str">
        <f t="shared" si="6"/>
        <v xml:space="preserve"> </v>
      </c>
    </row>
    <row r="1898" spans="1:5" ht="12.5">
      <c r="A1898" s="81" t="str">
        <f t="shared" si="0"/>
        <v xml:space="preserve"> </v>
      </c>
      <c r="B1898" s="81" t="str">
        <f t="shared" si="1"/>
        <v xml:space="preserve"> </v>
      </c>
      <c r="C1898" s="79" t="str">
        <f t="shared" si="7"/>
        <v xml:space="preserve"> </v>
      </c>
      <c r="D1898" s="79" t="str">
        <f t="shared" si="5"/>
        <v xml:space="preserve"> </v>
      </c>
      <c r="E1898" s="79" t="str">
        <f t="shared" si="6"/>
        <v xml:space="preserve"> </v>
      </c>
    </row>
    <row r="1899" spans="1:5" ht="12.5">
      <c r="A1899" s="81" t="str">
        <f t="shared" si="0"/>
        <v xml:space="preserve"> </v>
      </c>
      <c r="B1899" s="81" t="str">
        <f t="shared" si="1"/>
        <v xml:space="preserve"> </v>
      </c>
      <c r="C1899" s="79" t="str">
        <f t="shared" si="7"/>
        <v xml:space="preserve"> </v>
      </c>
      <c r="D1899" s="79" t="str">
        <f t="shared" si="5"/>
        <v xml:space="preserve"> </v>
      </c>
      <c r="E1899" s="79" t="str">
        <f t="shared" si="6"/>
        <v xml:space="preserve"> </v>
      </c>
    </row>
    <row r="1900" spans="1:5" ht="12.5">
      <c r="A1900" s="81" t="str">
        <f t="shared" si="0"/>
        <v xml:space="preserve"> </v>
      </c>
      <c r="B1900" s="81" t="str">
        <f t="shared" si="1"/>
        <v xml:space="preserve"> </v>
      </c>
      <c r="C1900" s="79" t="str">
        <f t="shared" si="7"/>
        <v xml:space="preserve"> </v>
      </c>
      <c r="D1900" s="79" t="str">
        <f t="shared" si="5"/>
        <v xml:space="preserve"> </v>
      </c>
      <c r="E1900" s="79" t="str">
        <f t="shared" si="6"/>
        <v xml:space="preserve"> </v>
      </c>
    </row>
    <row r="1901" spans="1:5" ht="12.5">
      <c r="A1901" s="81" t="str">
        <f t="shared" si="0"/>
        <v xml:space="preserve"> </v>
      </c>
      <c r="B1901" s="81" t="str">
        <f t="shared" si="1"/>
        <v xml:space="preserve"> </v>
      </c>
      <c r="C1901" s="79" t="str">
        <f t="shared" si="7"/>
        <v xml:space="preserve"> </v>
      </c>
      <c r="D1901" s="79" t="str">
        <f t="shared" si="5"/>
        <v xml:space="preserve"> </v>
      </c>
      <c r="E1901" s="79" t="str">
        <f t="shared" si="6"/>
        <v xml:space="preserve"> </v>
      </c>
    </row>
    <row r="1902" spans="1:5" ht="12.5">
      <c r="A1902" s="81" t="str">
        <f t="shared" si="0"/>
        <v xml:space="preserve"> </v>
      </c>
      <c r="B1902" s="81" t="str">
        <f t="shared" si="1"/>
        <v xml:space="preserve"> </v>
      </c>
      <c r="C1902" s="79" t="str">
        <f t="shared" si="7"/>
        <v xml:space="preserve"> </v>
      </c>
      <c r="D1902" s="79" t="str">
        <f t="shared" si="5"/>
        <v xml:space="preserve"> </v>
      </c>
      <c r="E1902" s="79" t="str">
        <f t="shared" si="6"/>
        <v xml:space="preserve"> </v>
      </c>
    </row>
    <row r="1903" spans="1:5" ht="12.5">
      <c r="A1903" s="81" t="str">
        <f t="shared" si="0"/>
        <v xml:space="preserve"> </v>
      </c>
      <c r="B1903" s="81" t="str">
        <f t="shared" si="1"/>
        <v xml:space="preserve"> </v>
      </c>
      <c r="C1903" s="79" t="str">
        <f t="shared" si="7"/>
        <v xml:space="preserve"> </v>
      </c>
      <c r="D1903" s="79" t="str">
        <f t="shared" si="5"/>
        <v xml:space="preserve"> </v>
      </c>
      <c r="E1903" s="79" t="str">
        <f t="shared" si="6"/>
        <v xml:space="preserve"> </v>
      </c>
    </row>
    <row r="1904" spans="1:5" ht="12.5">
      <c r="A1904" s="81" t="str">
        <f t="shared" si="0"/>
        <v xml:space="preserve"> </v>
      </c>
      <c r="B1904" s="81" t="str">
        <f t="shared" si="1"/>
        <v xml:space="preserve"> </v>
      </c>
      <c r="C1904" s="79" t="str">
        <f t="shared" si="7"/>
        <v xml:space="preserve"> </v>
      </c>
      <c r="D1904" s="79" t="str">
        <f t="shared" si="5"/>
        <v xml:space="preserve"> </v>
      </c>
      <c r="E1904" s="79" t="str">
        <f t="shared" si="6"/>
        <v xml:space="preserve"> </v>
      </c>
    </row>
    <row r="1905" spans="1:5" ht="12.5">
      <c r="A1905" s="81" t="str">
        <f t="shared" si="0"/>
        <v xml:space="preserve"> </v>
      </c>
      <c r="B1905" s="81" t="str">
        <f t="shared" si="1"/>
        <v xml:space="preserve"> </v>
      </c>
      <c r="C1905" s="79" t="str">
        <f t="shared" si="7"/>
        <v xml:space="preserve"> </v>
      </c>
      <c r="D1905" s="79" t="str">
        <f t="shared" si="5"/>
        <v xml:space="preserve"> </v>
      </c>
      <c r="E1905" s="79" t="str">
        <f t="shared" si="6"/>
        <v xml:space="preserve"> </v>
      </c>
    </row>
    <row r="1906" spans="1:5" ht="12.5">
      <c r="A1906" s="81" t="str">
        <f t="shared" si="0"/>
        <v xml:space="preserve"> </v>
      </c>
      <c r="B1906" s="81" t="str">
        <f t="shared" si="1"/>
        <v xml:space="preserve"> </v>
      </c>
      <c r="C1906" s="79" t="str">
        <f t="shared" si="7"/>
        <v xml:space="preserve"> </v>
      </c>
      <c r="D1906" s="79" t="str">
        <f t="shared" si="5"/>
        <v xml:space="preserve"> </v>
      </c>
      <c r="E1906" s="79" t="str">
        <f t="shared" si="6"/>
        <v xml:space="preserve"> </v>
      </c>
    </row>
    <row r="1907" spans="1:5" ht="12.5">
      <c r="A1907" s="81" t="str">
        <f t="shared" si="0"/>
        <v xml:space="preserve"> </v>
      </c>
      <c r="B1907" s="81" t="str">
        <f t="shared" si="1"/>
        <v xml:space="preserve"> </v>
      </c>
      <c r="C1907" s="79" t="str">
        <f t="shared" si="7"/>
        <v xml:space="preserve"> </v>
      </c>
      <c r="D1907" s="79" t="str">
        <f t="shared" si="5"/>
        <v xml:space="preserve"> </v>
      </c>
      <c r="E1907" s="79" t="str">
        <f t="shared" si="6"/>
        <v xml:space="preserve"> </v>
      </c>
    </row>
    <row r="1908" spans="1:5" ht="12.5">
      <c r="A1908" s="81" t="str">
        <f t="shared" si="0"/>
        <v xml:space="preserve"> </v>
      </c>
      <c r="B1908" s="81" t="str">
        <f t="shared" si="1"/>
        <v xml:space="preserve"> </v>
      </c>
      <c r="C1908" s="79" t="str">
        <f t="shared" si="7"/>
        <v xml:space="preserve"> </v>
      </c>
      <c r="D1908" s="79" t="str">
        <f t="shared" si="5"/>
        <v xml:space="preserve"> </v>
      </c>
      <c r="E1908" s="79" t="str">
        <f t="shared" si="6"/>
        <v xml:space="preserve"> </v>
      </c>
    </row>
    <row r="1909" spans="1:5" ht="12.5">
      <c r="A1909" s="81" t="str">
        <f t="shared" si="0"/>
        <v xml:space="preserve"> </v>
      </c>
      <c r="B1909" s="81" t="str">
        <f t="shared" si="1"/>
        <v xml:space="preserve"> </v>
      </c>
      <c r="C1909" s="79" t="str">
        <f t="shared" si="7"/>
        <v xml:space="preserve"> </v>
      </c>
      <c r="D1909" s="79" t="str">
        <f t="shared" si="5"/>
        <v xml:space="preserve"> </v>
      </c>
      <c r="E1909" s="79" t="str">
        <f t="shared" si="6"/>
        <v xml:space="preserve"> </v>
      </c>
    </row>
    <row r="1910" spans="1:5" ht="12.5">
      <c r="A1910" s="81" t="str">
        <f t="shared" si="0"/>
        <v xml:space="preserve"> </v>
      </c>
      <c r="B1910" s="81" t="str">
        <f t="shared" si="1"/>
        <v xml:space="preserve"> </v>
      </c>
      <c r="C1910" s="79" t="str">
        <f t="shared" si="7"/>
        <v xml:space="preserve"> </v>
      </c>
      <c r="D1910" s="79" t="str">
        <f t="shared" si="5"/>
        <v xml:space="preserve"> </v>
      </c>
      <c r="E1910" s="79" t="str">
        <f t="shared" si="6"/>
        <v xml:space="preserve"> </v>
      </c>
    </row>
    <row r="1911" spans="1:5" ht="12.5">
      <c r="A1911" s="81" t="str">
        <f t="shared" si="0"/>
        <v xml:space="preserve"> </v>
      </c>
      <c r="B1911" s="81" t="str">
        <f t="shared" si="1"/>
        <v xml:space="preserve"> </v>
      </c>
      <c r="C1911" s="79" t="str">
        <f t="shared" si="7"/>
        <v xml:space="preserve"> </v>
      </c>
      <c r="D1911" s="79" t="str">
        <f t="shared" si="5"/>
        <v xml:space="preserve"> </v>
      </c>
      <c r="E1911" s="79" t="str">
        <f t="shared" si="6"/>
        <v xml:space="preserve"> </v>
      </c>
    </row>
    <row r="1912" spans="1:5" ht="12.5">
      <c r="A1912" s="81" t="str">
        <f t="shared" si="0"/>
        <v xml:space="preserve"> </v>
      </c>
      <c r="B1912" s="81" t="str">
        <f t="shared" si="1"/>
        <v xml:space="preserve"> </v>
      </c>
      <c r="C1912" s="79" t="str">
        <f t="shared" si="7"/>
        <v xml:space="preserve"> </v>
      </c>
      <c r="D1912" s="79" t="str">
        <f t="shared" si="5"/>
        <v xml:space="preserve"> </v>
      </c>
      <c r="E1912" s="79" t="str">
        <f t="shared" si="6"/>
        <v xml:space="preserve"> </v>
      </c>
    </row>
    <row r="1913" spans="1:5" ht="12.5">
      <c r="A1913" s="81" t="str">
        <f t="shared" si="0"/>
        <v xml:space="preserve"> </v>
      </c>
      <c r="B1913" s="81" t="str">
        <f t="shared" si="1"/>
        <v xml:space="preserve"> </v>
      </c>
      <c r="C1913" s="79" t="str">
        <f t="shared" si="7"/>
        <v xml:space="preserve"> </v>
      </c>
      <c r="D1913" s="79" t="str">
        <f t="shared" si="5"/>
        <v xml:space="preserve"> </v>
      </c>
      <c r="E1913" s="79" t="str">
        <f t="shared" si="6"/>
        <v xml:space="preserve"> </v>
      </c>
    </row>
    <row r="1914" spans="1:5" ht="12.5">
      <c r="A1914" s="81" t="str">
        <f t="shared" si="0"/>
        <v xml:space="preserve"> </v>
      </c>
      <c r="B1914" s="81" t="str">
        <f t="shared" si="1"/>
        <v xml:space="preserve"> </v>
      </c>
      <c r="C1914" s="79" t="str">
        <f t="shared" si="7"/>
        <v xml:space="preserve"> </v>
      </c>
      <c r="D1914" s="79" t="str">
        <f t="shared" si="5"/>
        <v xml:space="preserve"> </v>
      </c>
      <c r="E1914" s="79" t="str">
        <f t="shared" si="6"/>
        <v xml:space="preserve"> </v>
      </c>
    </row>
    <row r="1915" spans="1:5" ht="12.5">
      <c r="A1915" s="81" t="str">
        <f t="shared" si="0"/>
        <v xml:space="preserve"> </v>
      </c>
      <c r="B1915" s="81" t="str">
        <f t="shared" si="1"/>
        <v xml:space="preserve"> </v>
      </c>
      <c r="C1915" s="79" t="str">
        <f t="shared" si="7"/>
        <v xml:space="preserve"> </v>
      </c>
      <c r="D1915" s="79" t="str">
        <f t="shared" si="5"/>
        <v xml:space="preserve"> </v>
      </c>
      <c r="E1915" s="79" t="str">
        <f t="shared" si="6"/>
        <v xml:space="preserve"> </v>
      </c>
    </row>
    <row r="1916" spans="1:5" ht="12.5">
      <c r="A1916" s="81" t="str">
        <f t="shared" si="0"/>
        <v xml:space="preserve"> </v>
      </c>
      <c r="B1916" s="81" t="str">
        <f t="shared" si="1"/>
        <v xml:space="preserve"> </v>
      </c>
      <c r="C1916" s="79" t="str">
        <f t="shared" si="7"/>
        <v xml:space="preserve"> </v>
      </c>
      <c r="D1916" s="79" t="str">
        <f t="shared" si="5"/>
        <v xml:space="preserve"> </v>
      </c>
      <c r="E1916" s="79" t="str">
        <f t="shared" si="6"/>
        <v xml:space="preserve"> </v>
      </c>
    </row>
    <row r="1917" spans="1:5" ht="12.5">
      <c r="A1917" s="81" t="str">
        <f t="shared" si="0"/>
        <v xml:space="preserve"> </v>
      </c>
      <c r="B1917" s="81" t="str">
        <f t="shared" si="1"/>
        <v xml:space="preserve"> </v>
      </c>
      <c r="C1917" s="79" t="str">
        <f t="shared" si="7"/>
        <v xml:space="preserve"> </v>
      </c>
      <c r="D1917" s="79" t="str">
        <f t="shared" si="5"/>
        <v xml:space="preserve"> </v>
      </c>
      <c r="E1917" s="79" t="str">
        <f t="shared" si="6"/>
        <v xml:space="preserve"> </v>
      </c>
    </row>
    <row r="1918" spans="1:5" ht="12.5">
      <c r="A1918" s="81" t="str">
        <f t="shared" si="0"/>
        <v xml:space="preserve"> </v>
      </c>
      <c r="B1918" s="81" t="str">
        <f t="shared" si="1"/>
        <v xml:space="preserve"> </v>
      </c>
      <c r="C1918" s="79" t="str">
        <f t="shared" si="7"/>
        <v xml:space="preserve"> </v>
      </c>
      <c r="D1918" s="79" t="str">
        <f t="shared" si="5"/>
        <v xml:space="preserve"> </v>
      </c>
      <c r="E1918" s="79" t="str">
        <f t="shared" si="6"/>
        <v xml:space="preserve"> </v>
      </c>
    </row>
    <row r="1919" spans="1:5" ht="12.5">
      <c r="A1919" s="81" t="str">
        <f t="shared" si="0"/>
        <v xml:space="preserve"> </v>
      </c>
      <c r="B1919" s="81" t="str">
        <f t="shared" si="1"/>
        <v xml:space="preserve"> </v>
      </c>
      <c r="C1919" s="79" t="str">
        <f t="shared" si="7"/>
        <v xml:space="preserve"> </v>
      </c>
      <c r="D1919" s="79" t="str">
        <f t="shared" si="5"/>
        <v xml:space="preserve"> </v>
      </c>
      <c r="E1919" s="79" t="str">
        <f t="shared" si="6"/>
        <v xml:space="preserve"> </v>
      </c>
    </row>
    <row r="1920" spans="1:5" ht="12.5">
      <c r="A1920" s="81" t="str">
        <f t="shared" si="0"/>
        <v xml:space="preserve"> </v>
      </c>
      <c r="B1920" s="81" t="str">
        <f t="shared" si="1"/>
        <v xml:space="preserve"> </v>
      </c>
      <c r="C1920" s="79" t="str">
        <f t="shared" si="7"/>
        <v xml:space="preserve"> </v>
      </c>
      <c r="D1920" s="79" t="str">
        <f t="shared" si="5"/>
        <v xml:space="preserve"> </v>
      </c>
      <c r="E1920" s="79" t="str">
        <f t="shared" si="6"/>
        <v xml:space="preserve"> </v>
      </c>
    </row>
    <row r="1921" spans="1:5" ht="12.5">
      <c r="A1921" s="81" t="str">
        <f t="shared" si="0"/>
        <v xml:space="preserve"> </v>
      </c>
      <c r="B1921" s="81" t="str">
        <f t="shared" si="1"/>
        <v xml:space="preserve"> </v>
      </c>
      <c r="C1921" s="79" t="str">
        <f t="shared" si="7"/>
        <v xml:space="preserve"> </v>
      </c>
      <c r="D1921" s="79" t="str">
        <f t="shared" si="5"/>
        <v xml:space="preserve"> </v>
      </c>
      <c r="E1921" s="79" t="str">
        <f t="shared" si="6"/>
        <v xml:space="preserve"> </v>
      </c>
    </row>
    <row r="1922" spans="1:5" ht="12.5">
      <c r="A1922" s="81" t="str">
        <f t="shared" si="0"/>
        <v xml:space="preserve"> </v>
      </c>
      <c r="B1922" s="81" t="str">
        <f t="shared" si="1"/>
        <v xml:space="preserve"> </v>
      </c>
      <c r="C1922" s="79" t="str">
        <f t="shared" si="7"/>
        <v xml:space="preserve"> </v>
      </c>
      <c r="D1922" s="79" t="str">
        <f t="shared" si="5"/>
        <v xml:space="preserve"> </v>
      </c>
      <c r="E1922" s="79" t="str">
        <f t="shared" si="6"/>
        <v xml:space="preserve"> </v>
      </c>
    </row>
    <row r="1923" spans="1:5" ht="12.5">
      <c r="A1923" s="81" t="str">
        <f t="shared" si="0"/>
        <v xml:space="preserve"> </v>
      </c>
      <c r="B1923" s="81" t="str">
        <f t="shared" si="1"/>
        <v xml:space="preserve"> </v>
      </c>
      <c r="C1923" s="79" t="str">
        <f t="shared" si="7"/>
        <v xml:space="preserve"> </v>
      </c>
      <c r="D1923" s="79" t="str">
        <f t="shared" si="5"/>
        <v xml:space="preserve"> </v>
      </c>
      <c r="E1923" s="79" t="str">
        <f t="shared" si="6"/>
        <v xml:space="preserve"> </v>
      </c>
    </row>
    <row r="1924" spans="1:5" ht="12.5">
      <c r="A1924" s="81" t="str">
        <f t="shared" si="0"/>
        <v xml:space="preserve"> </v>
      </c>
      <c r="B1924" s="81" t="str">
        <f t="shared" si="1"/>
        <v xml:space="preserve"> </v>
      </c>
      <c r="C1924" s="79" t="str">
        <f t="shared" si="7"/>
        <v xml:space="preserve"> </v>
      </c>
      <c r="D1924" s="79" t="str">
        <f t="shared" si="5"/>
        <v xml:space="preserve"> </v>
      </c>
      <c r="E1924" s="79" t="str">
        <f t="shared" si="6"/>
        <v xml:space="preserve"> </v>
      </c>
    </row>
    <row r="1925" spans="1:5" ht="12.5">
      <c r="A1925" s="81" t="str">
        <f t="shared" si="0"/>
        <v xml:space="preserve"> </v>
      </c>
      <c r="B1925" s="81" t="str">
        <f t="shared" si="1"/>
        <v xml:space="preserve"> </v>
      </c>
      <c r="C1925" s="79" t="str">
        <f t="shared" si="7"/>
        <v xml:space="preserve"> </v>
      </c>
      <c r="D1925" s="79" t="str">
        <f t="shared" si="5"/>
        <v xml:space="preserve"> </v>
      </c>
      <c r="E1925" s="79" t="str">
        <f t="shared" si="6"/>
        <v xml:space="preserve"> </v>
      </c>
    </row>
    <row r="1926" spans="1:5" ht="12.5">
      <c r="A1926" s="81" t="str">
        <f t="shared" si="0"/>
        <v xml:space="preserve"> </v>
      </c>
      <c r="B1926" s="81" t="str">
        <f t="shared" si="1"/>
        <v xml:space="preserve"> </v>
      </c>
      <c r="C1926" s="79" t="str">
        <f t="shared" si="7"/>
        <v xml:space="preserve"> </v>
      </c>
      <c r="D1926" s="79" t="str">
        <f t="shared" si="5"/>
        <v xml:space="preserve"> </v>
      </c>
      <c r="E1926" s="79" t="str">
        <f t="shared" si="6"/>
        <v xml:space="preserve"> </v>
      </c>
    </row>
    <row r="1927" spans="1:5" ht="12.5">
      <c r="A1927" s="81" t="str">
        <f t="shared" si="0"/>
        <v xml:space="preserve"> </v>
      </c>
      <c r="B1927" s="81" t="str">
        <f t="shared" si="1"/>
        <v xml:space="preserve"> </v>
      </c>
      <c r="C1927" s="79" t="str">
        <f t="shared" si="7"/>
        <v xml:space="preserve"> </v>
      </c>
      <c r="D1927" s="79" t="str">
        <f t="shared" si="5"/>
        <v xml:space="preserve"> </v>
      </c>
      <c r="E1927" s="79" t="str">
        <f t="shared" si="6"/>
        <v xml:space="preserve"> </v>
      </c>
    </row>
    <row r="1928" spans="1:5" ht="12.5">
      <c r="A1928" s="81" t="str">
        <f t="shared" si="0"/>
        <v xml:space="preserve"> </v>
      </c>
      <c r="B1928" s="81" t="str">
        <f t="shared" si="1"/>
        <v xml:space="preserve"> </v>
      </c>
      <c r="C1928" s="79" t="str">
        <f t="shared" si="7"/>
        <v xml:space="preserve"> </v>
      </c>
      <c r="D1928" s="79" t="str">
        <f t="shared" si="5"/>
        <v xml:space="preserve"> </v>
      </c>
      <c r="E1928" s="79" t="str">
        <f t="shared" si="6"/>
        <v xml:space="preserve"> </v>
      </c>
    </row>
    <row r="1929" spans="1:5" ht="12.5">
      <c r="A1929" s="81" t="str">
        <f t="shared" si="0"/>
        <v xml:space="preserve"> </v>
      </c>
      <c r="B1929" s="81" t="str">
        <f t="shared" si="1"/>
        <v xml:space="preserve"> </v>
      </c>
      <c r="C1929" s="79" t="str">
        <f t="shared" si="7"/>
        <v xml:space="preserve"> </v>
      </c>
      <c r="D1929" s="79" t="str">
        <f t="shared" si="5"/>
        <v xml:space="preserve"> </v>
      </c>
      <c r="E1929" s="79" t="str">
        <f t="shared" si="6"/>
        <v xml:space="preserve"> </v>
      </c>
    </row>
    <row r="1930" spans="1:5" ht="12.5">
      <c r="A1930" s="81" t="str">
        <f t="shared" si="0"/>
        <v xml:space="preserve"> </v>
      </c>
      <c r="B1930" s="81" t="str">
        <f t="shared" si="1"/>
        <v xml:space="preserve"> </v>
      </c>
      <c r="C1930" s="79" t="str">
        <f t="shared" si="7"/>
        <v xml:space="preserve"> </v>
      </c>
      <c r="D1930" s="79" t="str">
        <f t="shared" si="5"/>
        <v xml:space="preserve"> </v>
      </c>
      <c r="E1930" s="79" t="str">
        <f t="shared" si="6"/>
        <v xml:space="preserve"> </v>
      </c>
    </row>
    <row r="1931" spans="1:5" ht="12.5">
      <c r="A1931" s="81" t="str">
        <f t="shared" si="0"/>
        <v xml:space="preserve"> </v>
      </c>
      <c r="B1931" s="81" t="str">
        <f t="shared" si="1"/>
        <v xml:space="preserve"> </v>
      </c>
      <c r="C1931" s="79" t="str">
        <f t="shared" si="7"/>
        <v xml:space="preserve"> </v>
      </c>
      <c r="D1931" s="79" t="str">
        <f t="shared" si="5"/>
        <v xml:space="preserve"> </v>
      </c>
      <c r="E1931" s="79" t="str">
        <f t="shared" si="6"/>
        <v xml:space="preserve"> </v>
      </c>
    </row>
    <row r="1932" spans="1:5" ht="12.5">
      <c r="A1932" s="81" t="str">
        <f t="shared" si="0"/>
        <v xml:space="preserve"> </v>
      </c>
      <c r="B1932" s="81" t="str">
        <f t="shared" si="1"/>
        <v xml:space="preserve"> </v>
      </c>
      <c r="C1932" s="79" t="str">
        <f t="shared" si="7"/>
        <v xml:space="preserve"> </v>
      </c>
      <c r="D1932" s="79" t="str">
        <f t="shared" si="5"/>
        <v xml:space="preserve"> </v>
      </c>
      <c r="E1932" s="79" t="str">
        <f t="shared" si="6"/>
        <v xml:space="preserve"> </v>
      </c>
    </row>
    <row r="1933" spans="1:5" ht="12.5">
      <c r="A1933" s="81" t="str">
        <f t="shared" si="0"/>
        <v xml:space="preserve"> </v>
      </c>
      <c r="B1933" s="81" t="str">
        <f t="shared" si="1"/>
        <v xml:space="preserve"> </v>
      </c>
      <c r="C1933" s="79" t="str">
        <f t="shared" si="7"/>
        <v xml:space="preserve"> </v>
      </c>
      <c r="D1933" s="79" t="str">
        <f t="shared" si="5"/>
        <v xml:space="preserve"> </v>
      </c>
      <c r="E1933" s="79" t="str">
        <f t="shared" si="6"/>
        <v xml:space="preserve"> </v>
      </c>
    </row>
    <row r="1934" spans="1:5" ht="12.5">
      <c r="A1934" s="81" t="str">
        <f t="shared" si="0"/>
        <v xml:space="preserve"> </v>
      </c>
      <c r="B1934" s="81" t="str">
        <f t="shared" si="1"/>
        <v xml:space="preserve"> </v>
      </c>
      <c r="C1934" s="79" t="str">
        <f t="shared" si="7"/>
        <v xml:space="preserve"> </v>
      </c>
      <c r="D1934" s="79" t="str">
        <f t="shared" si="5"/>
        <v xml:space="preserve"> </v>
      </c>
      <c r="E1934" s="79" t="str">
        <f t="shared" si="6"/>
        <v xml:space="preserve"> </v>
      </c>
    </row>
    <row r="1935" spans="1:5" ht="12.5">
      <c r="A1935" s="81" t="str">
        <f t="shared" si="0"/>
        <v xml:space="preserve"> </v>
      </c>
      <c r="B1935" s="81" t="str">
        <f t="shared" si="1"/>
        <v xml:space="preserve"> </v>
      </c>
      <c r="C1935" s="79" t="str">
        <f t="shared" si="7"/>
        <v xml:space="preserve"> </v>
      </c>
      <c r="D1935" s="79" t="str">
        <f t="shared" si="5"/>
        <v xml:space="preserve"> </v>
      </c>
      <c r="E1935" s="79" t="str">
        <f t="shared" si="6"/>
        <v xml:space="preserve"> </v>
      </c>
    </row>
    <row r="1936" spans="1:5" ht="12.5">
      <c r="A1936" s="81" t="str">
        <f t="shared" si="0"/>
        <v xml:space="preserve"> </v>
      </c>
      <c r="B1936" s="81" t="str">
        <f t="shared" si="1"/>
        <v xml:space="preserve"> </v>
      </c>
      <c r="C1936" s="79" t="str">
        <f t="shared" si="7"/>
        <v xml:space="preserve"> </v>
      </c>
      <c r="D1936" s="79" t="str">
        <f t="shared" si="5"/>
        <v xml:space="preserve"> </v>
      </c>
      <c r="E1936" s="79" t="str">
        <f t="shared" si="6"/>
        <v xml:space="preserve"> </v>
      </c>
    </row>
    <row r="1937" spans="1:5" ht="12.5">
      <c r="A1937" s="81" t="str">
        <f t="shared" si="0"/>
        <v xml:space="preserve"> </v>
      </c>
      <c r="B1937" s="81" t="str">
        <f t="shared" si="1"/>
        <v xml:space="preserve"> </v>
      </c>
      <c r="C1937" s="79" t="str">
        <f t="shared" si="7"/>
        <v xml:space="preserve"> </v>
      </c>
      <c r="D1937" s="79" t="str">
        <f t="shared" si="5"/>
        <v xml:space="preserve"> </v>
      </c>
      <c r="E1937" s="79" t="str">
        <f t="shared" si="6"/>
        <v xml:space="preserve"> </v>
      </c>
    </row>
    <row r="1938" spans="1:5" ht="12.5">
      <c r="A1938" s="81" t="str">
        <f t="shared" si="0"/>
        <v xml:space="preserve"> </v>
      </c>
      <c r="B1938" s="81" t="str">
        <f t="shared" si="1"/>
        <v xml:space="preserve"> </v>
      </c>
      <c r="C1938" s="79" t="str">
        <f t="shared" si="7"/>
        <v xml:space="preserve"> </v>
      </c>
      <c r="D1938" s="79" t="str">
        <f t="shared" si="5"/>
        <v xml:space="preserve"> </v>
      </c>
      <c r="E1938" s="79" t="str">
        <f t="shared" si="6"/>
        <v xml:space="preserve"> </v>
      </c>
    </row>
    <row r="1939" spans="1:5" ht="12.5">
      <c r="A1939" s="81" t="str">
        <f t="shared" si="0"/>
        <v xml:space="preserve"> </v>
      </c>
      <c r="B1939" s="81" t="str">
        <f t="shared" si="1"/>
        <v xml:space="preserve"> </v>
      </c>
      <c r="C1939" s="79" t="str">
        <f t="shared" si="7"/>
        <v xml:space="preserve"> </v>
      </c>
      <c r="D1939" s="79" t="str">
        <f t="shared" si="5"/>
        <v xml:space="preserve"> </v>
      </c>
      <c r="E1939" s="79" t="str">
        <f t="shared" si="6"/>
        <v xml:space="preserve"> </v>
      </c>
    </row>
    <row r="1940" spans="1:5" ht="12.5">
      <c r="A1940" s="81" t="str">
        <f t="shared" si="0"/>
        <v xml:space="preserve"> </v>
      </c>
      <c r="B1940" s="81" t="str">
        <f t="shared" si="1"/>
        <v xml:space="preserve"> </v>
      </c>
      <c r="C1940" s="79" t="str">
        <f t="shared" si="7"/>
        <v xml:space="preserve"> </v>
      </c>
      <c r="D1940" s="79" t="str">
        <f t="shared" si="5"/>
        <v xml:space="preserve"> </v>
      </c>
      <c r="E1940" s="79" t="str">
        <f t="shared" si="6"/>
        <v xml:space="preserve"> </v>
      </c>
    </row>
    <row r="1941" spans="1:5" ht="12.5">
      <c r="A1941" s="81" t="str">
        <f t="shared" si="0"/>
        <v xml:space="preserve"> </v>
      </c>
      <c r="B1941" s="81" t="str">
        <f t="shared" si="1"/>
        <v xml:space="preserve"> </v>
      </c>
      <c r="C1941" s="79" t="str">
        <f t="shared" si="7"/>
        <v xml:space="preserve"> </v>
      </c>
      <c r="D1941" s="79" t="str">
        <f t="shared" si="5"/>
        <v xml:space="preserve"> </v>
      </c>
      <c r="E1941" s="79" t="str">
        <f t="shared" si="6"/>
        <v xml:space="preserve"> </v>
      </c>
    </row>
    <row r="1942" spans="1:5" ht="12.5">
      <c r="A1942" s="81" t="str">
        <f t="shared" si="0"/>
        <v xml:space="preserve"> </v>
      </c>
      <c r="B1942" s="81" t="str">
        <f t="shared" si="1"/>
        <v xml:space="preserve"> </v>
      </c>
      <c r="C1942" s="79" t="str">
        <f t="shared" si="7"/>
        <v xml:space="preserve"> </v>
      </c>
      <c r="D1942" s="79" t="str">
        <f t="shared" si="5"/>
        <v xml:space="preserve"> </v>
      </c>
      <c r="E1942" s="79" t="str">
        <f t="shared" si="6"/>
        <v xml:space="preserve"> </v>
      </c>
    </row>
    <row r="1943" spans="1:5" ht="12.5">
      <c r="A1943" s="81" t="str">
        <f t="shared" si="0"/>
        <v xml:space="preserve"> </v>
      </c>
      <c r="B1943" s="81" t="str">
        <f t="shared" si="1"/>
        <v xml:space="preserve"> </v>
      </c>
      <c r="C1943" s="79" t="str">
        <f t="shared" si="7"/>
        <v xml:space="preserve"> </v>
      </c>
      <c r="D1943" s="79" t="str">
        <f t="shared" si="5"/>
        <v xml:space="preserve"> </v>
      </c>
      <c r="E1943" s="79" t="str">
        <f t="shared" si="6"/>
        <v xml:space="preserve"> </v>
      </c>
    </row>
    <row r="1944" spans="1:5" ht="12.5">
      <c r="A1944" s="81" t="str">
        <f t="shared" si="0"/>
        <v xml:space="preserve"> </v>
      </c>
      <c r="B1944" s="81" t="str">
        <f t="shared" si="1"/>
        <v xml:space="preserve"> </v>
      </c>
      <c r="C1944" s="79" t="str">
        <f t="shared" si="7"/>
        <v xml:space="preserve"> </v>
      </c>
      <c r="D1944" s="79" t="str">
        <f t="shared" si="5"/>
        <v xml:space="preserve"> </v>
      </c>
      <c r="E1944" s="79" t="str">
        <f t="shared" si="6"/>
        <v xml:space="preserve"> </v>
      </c>
    </row>
    <row r="1945" spans="1:5" ht="12.5">
      <c r="A1945" s="81" t="str">
        <f t="shared" si="0"/>
        <v xml:space="preserve"> </v>
      </c>
      <c r="B1945" s="81" t="str">
        <f t="shared" si="1"/>
        <v xml:space="preserve"> </v>
      </c>
      <c r="C1945" s="79" t="str">
        <f t="shared" si="7"/>
        <v xml:space="preserve"> </v>
      </c>
      <c r="D1945" s="79" t="str">
        <f t="shared" si="5"/>
        <v xml:space="preserve"> </v>
      </c>
      <c r="E1945" s="79" t="str">
        <f t="shared" si="6"/>
        <v xml:space="preserve"> </v>
      </c>
    </row>
    <row r="1946" spans="1:5" ht="12.5">
      <c r="A1946" s="81" t="str">
        <f t="shared" si="0"/>
        <v xml:space="preserve"> </v>
      </c>
      <c r="B1946" s="81" t="str">
        <f t="shared" si="1"/>
        <v xml:space="preserve"> </v>
      </c>
      <c r="C1946" s="79" t="str">
        <f t="shared" si="7"/>
        <v xml:space="preserve"> </v>
      </c>
      <c r="D1946" s="79" t="str">
        <f t="shared" si="5"/>
        <v xml:space="preserve"> </v>
      </c>
      <c r="E1946" s="79" t="str">
        <f t="shared" si="6"/>
        <v xml:space="preserve"> </v>
      </c>
    </row>
    <row r="1947" spans="1:5" ht="12.5">
      <c r="A1947" s="81" t="str">
        <f t="shared" si="0"/>
        <v xml:space="preserve"> </v>
      </c>
      <c r="B1947" s="81" t="str">
        <f t="shared" si="1"/>
        <v xml:space="preserve"> </v>
      </c>
      <c r="C1947" s="79" t="str">
        <f t="shared" si="7"/>
        <v xml:space="preserve"> </v>
      </c>
      <c r="D1947" s="79" t="str">
        <f t="shared" si="5"/>
        <v xml:space="preserve"> </v>
      </c>
      <c r="E1947" s="79" t="str">
        <f t="shared" si="6"/>
        <v xml:space="preserve"> </v>
      </c>
    </row>
    <row r="1948" spans="1:5" ht="12.5">
      <c r="A1948" s="81" t="str">
        <f t="shared" si="0"/>
        <v xml:space="preserve"> </v>
      </c>
      <c r="B1948" s="81" t="str">
        <f t="shared" si="1"/>
        <v xml:space="preserve"> </v>
      </c>
      <c r="C1948" s="79" t="str">
        <f t="shared" si="7"/>
        <v xml:space="preserve"> </v>
      </c>
      <c r="D1948" s="79" t="str">
        <f t="shared" si="5"/>
        <v xml:space="preserve"> </v>
      </c>
      <c r="E1948" s="79" t="str">
        <f t="shared" si="6"/>
        <v xml:space="preserve"> </v>
      </c>
    </row>
    <row r="1949" spans="1:5" ht="12.5">
      <c r="A1949" s="81" t="str">
        <f t="shared" si="0"/>
        <v xml:space="preserve"> </v>
      </c>
      <c r="B1949" s="81" t="str">
        <f t="shared" si="1"/>
        <v xml:space="preserve"> </v>
      </c>
      <c r="C1949" s="79" t="str">
        <f t="shared" si="7"/>
        <v xml:space="preserve"> </v>
      </c>
      <c r="D1949" s="79" t="str">
        <f t="shared" si="5"/>
        <v xml:space="preserve"> </v>
      </c>
      <c r="E1949" s="79" t="str">
        <f t="shared" si="6"/>
        <v xml:space="preserve"> </v>
      </c>
    </row>
    <row r="1950" spans="1:5" ht="12.5">
      <c r="A1950" s="81" t="str">
        <f t="shared" si="0"/>
        <v xml:space="preserve"> </v>
      </c>
      <c r="B1950" s="81" t="str">
        <f t="shared" si="1"/>
        <v xml:space="preserve"> </v>
      </c>
      <c r="C1950" s="79" t="str">
        <f t="shared" si="7"/>
        <v xml:space="preserve"> </v>
      </c>
      <c r="D1950" s="79" t="str">
        <f t="shared" si="5"/>
        <v xml:space="preserve"> </v>
      </c>
      <c r="E1950" s="79" t="str">
        <f t="shared" si="6"/>
        <v xml:space="preserve"> </v>
      </c>
    </row>
    <row r="1951" spans="1:5" ht="12.5">
      <c r="A1951" s="81" t="str">
        <f t="shared" si="0"/>
        <v xml:space="preserve"> </v>
      </c>
      <c r="B1951" s="81" t="str">
        <f t="shared" si="1"/>
        <v xml:space="preserve"> </v>
      </c>
      <c r="C1951" s="79" t="str">
        <f t="shared" si="7"/>
        <v xml:space="preserve"> </v>
      </c>
      <c r="D1951" s="79" t="str">
        <f t="shared" si="5"/>
        <v xml:space="preserve"> </v>
      </c>
      <c r="E1951" s="79" t="str">
        <f t="shared" si="6"/>
        <v xml:space="preserve"> </v>
      </c>
    </row>
    <row r="1952" spans="1:5" ht="12.5">
      <c r="A1952" s="81" t="str">
        <f t="shared" si="0"/>
        <v xml:space="preserve"> </v>
      </c>
      <c r="B1952" s="81" t="str">
        <f t="shared" si="1"/>
        <v xml:space="preserve"> </v>
      </c>
      <c r="C1952" s="79" t="str">
        <f t="shared" si="7"/>
        <v xml:space="preserve"> </v>
      </c>
      <c r="D1952" s="79" t="str">
        <f t="shared" si="5"/>
        <v xml:space="preserve"> </v>
      </c>
      <c r="E1952" s="79" t="str">
        <f t="shared" si="6"/>
        <v xml:space="preserve"> </v>
      </c>
    </row>
    <row r="1953" spans="1:5" ht="12.5">
      <c r="A1953" s="81" t="str">
        <f t="shared" si="0"/>
        <v xml:space="preserve"> </v>
      </c>
      <c r="B1953" s="81" t="str">
        <f t="shared" si="1"/>
        <v xml:space="preserve"> </v>
      </c>
      <c r="C1953" s="79" t="str">
        <f t="shared" si="7"/>
        <v xml:space="preserve"> </v>
      </c>
      <c r="D1953" s="79" t="str">
        <f t="shared" si="5"/>
        <v xml:space="preserve"> </v>
      </c>
      <c r="E1953" s="79" t="str">
        <f t="shared" si="6"/>
        <v xml:space="preserve"> </v>
      </c>
    </row>
    <row r="1954" spans="1:5" ht="12.5">
      <c r="A1954" s="81" t="str">
        <f t="shared" si="0"/>
        <v xml:space="preserve"> </v>
      </c>
      <c r="B1954" s="81" t="str">
        <f t="shared" si="1"/>
        <v xml:space="preserve"> </v>
      </c>
      <c r="C1954" s="79" t="str">
        <f t="shared" si="7"/>
        <v xml:space="preserve"> </v>
      </c>
      <c r="D1954" s="79" t="str">
        <f t="shared" si="5"/>
        <v xml:space="preserve"> </v>
      </c>
      <c r="E1954" s="79" t="str">
        <f t="shared" si="6"/>
        <v xml:space="preserve"> </v>
      </c>
    </row>
    <row r="1955" spans="1:5" ht="12.5">
      <c r="A1955" s="81" t="str">
        <f t="shared" si="0"/>
        <v xml:space="preserve"> </v>
      </c>
      <c r="B1955" s="81" t="str">
        <f t="shared" si="1"/>
        <v xml:space="preserve"> </v>
      </c>
      <c r="C1955" s="79" t="str">
        <f t="shared" si="7"/>
        <v xml:space="preserve"> </v>
      </c>
      <c r="D1955" s="79" t="str">
        <f t="shared" si="5"/>
        <v xml:space="preserve"> </v>
      </c>
      <c r="E1955" s="79" t="str">
        <f t="shared" si="6"/>
        <v xml:space="preserve"> </v>
      </c>
    </row>
    <row r="1956" spans="1:5" ht="12.5">
      <c r="A1956" s="81" t="str">
        <f t="shared" si="0"/>
        <v xml:space="preserve"> </v>
      </c>
      <c r="B1956" s="81" t="str">
        <f t="shared" si="1"/>
        <v xml:space="preserve"> </v>
      </c>
      <c r="C1956" s="79" t="str">
        <f t="shared" si="7"/>
        <v xml:space="preserve"> </v>
      </c>
      <c r="D1956" s="79" t="str">
        <f t="shared" si="5"/>
        <v xml:space="preserve"> </v>
      </c>
      <c r="E1956" s="79" t="str">
        <f t="shared" si="6"/>
        <v xml:space="preserve"> </v>
      </c>
    </row>
    <row r="1957" spans="1:5" ht="12.5">
      <c r="A1957" s="81" t="str">
        <f t="shared" si="0"/>
        <v xml:space="preserve"> </v>
      </c>
      <c r="B1957" s="81" t="str">
        <f t="shared" si="1"/>
        <v xml:space="preserve"> </v>
      </c>
      <c r="C1957" s="79" t="str">
        <f t="shared" si="7"/>
        <v xml:space="preserve"> </v>
      </c>
      <c r="D1957" s="79" t="str">
        <f t="shared" si="5"/>
        <v xml:space="preserve"> </v>
      </c>
      <c r="E1957" s="79" t="str">
        <f t="shared" si="6"/>
        <v xml:space="preserve"> </v>
      </c>
    </row>
    <row r="1958" spans="1:5" ht="12.5">
      <c r="A1958" s="81" t="str">
        <f t="shared" si="0"/>
        <v xml:space="preserve"> </v>
      </c>
      <c r="B1958" s="81" t="str">
        <f t="shared" si="1"/>
        <v xml:space="preserve"> </v>
      </c>
      <c r="C1958" s="79" t="str">
        <f t="shared" si="7"/>
        <v xml:space="preserve"> </v>
      </c>
      <c r="D1958" s="79" t="str">
        <f t="shared" si="5"/>
        <v xml:space="preserve"> </v>
      </c>
      <c r="E1958" s="79" t="str">
        <f t="shared" si="6"/>
        <v xml:space="preserve"> </v>
      </c>
    </row>
    <row r="1959" spans="1:5" ht="12.5">
      <c r="A1959" s="81" t="str">
        <f t="shared" si="0"/>
        <v xml:space="preserve"> </v>
      </c>
      <c r="B1959" s="81" t="str">
        <f t="shared" si="1"/>
        <v xml:space="preserve"> </v>
      </c>
      <c r="C1959" s="79" t="str">
        <f t="shared" si="7"/>
        <v xml:space="preserve"> </v>
      </c>
      <c r="D1959" s="79" t="str">
        <f t="shared" si="5"/>
        <v xml:space="preserve"> </v>
      </c>
      <c r="E1959" s="79" t="str">
        <f t="shared" si="6"/>
        <v xml:space="preserve"> </v>
      </c>
    </row>
    <row r="1960" spans="1:5" ht="12.5">
      <c r="A1960" s="81" t="str">
        <f t="shared" si="0"/>
        <v xml:space="preserve"> </v>
      </c>
      <c r="B1960" s="81" t="str">
        <f t="shared" si="1"/>
        <v xml:space="preserve"> </v>
      </c>
      <c r="C1960" s="79" t="str">
        <f t="shared" si="7"/>
        <v xml:space="preserve"> </v>
      </c>
      <c r="D1960" s="79" t="str">
        <f t="shared" si="5"/>
        <v xml:space="preserve"> </v>
      </c>
      <c r="E1960" s="79" t="str">
        <f t="shared" si="6"/>
        <v xml:space="preserve"> </v>
      </c>
    </row>
    <row r="1961" spans="1:5" ht="12.5">
      <c r="A1961" s="81" t="str">
        <f t="shared" si="0"/>
        <v xml:space="preserve"> </v>
      </c>
      <c r="B1961" s="81" t="str">
        <f t="shared" si="1"/>
        <v xml:space="preserve"> </v>
      </c>
      <c r="C1961" s="79" t="str">
        <f t="shared" si="7"/>
        <v xml:space="preserve"> </v>
      </c>
      <c r="D1961" s="79" t="str">
        <f t="shared" si="5"/>
        <v xml:space="preserve"> </v>
      </c>
      <c r="E1961" s="79" t="str">
        <f t="shared" si="6"/>
        <v xml:space="preserve"> </v>
      </c>
    </row>
    <row r="1962" spans="1:5" ht="12.5">
      <c r="A1962" s="81" t="str">
        <f t="shared" si="0"/>
        <v xml:space="preserve"> </v>
      </c>
      <c r="B1962" s="81" t="str">
        <f t="shared" si="1"/>
        <v xml:space="preserve"> </v>
      </c>
      <c r="C1962" s="79" t="str">
        <f t="shared" si="7"/>
        <v xml:space="preserve"> </v>
      </c>
      <c r="D1962" s="79" t="str">
        <f t="shared" si="5"/>
        <v xml:space="preserve"> </v>
      </c>
      <c r="E1962" s="79" t="str">
        <f t="shared" si="6"/>
        <v xml:space="preserve"> </v>
      </c>
    </row>
    <row r="1963" spans="1:5" ht="12.5">
      <c r="A1963" s="81" t="str">
        <f t="shared" si="0"/>
        <v xml:space="preserve"> </v>
      </c>
      <c r="B1963" s="81" t="str">
        <f t="shared" si="1"/>
        <v xml:space="preserve"> </v>
      </c>
      <c r="C1963" s="79" t="str">
        <f t="shared" si="7"/>
        <v xml:space="preserve"> </v>
      </c>
      <c r="D1963" s="79" t="str">
        <f t="shared" si="5"/>
        <v xml:space="preserve"> </v>
      </c>
      <c r="E1963" s="79" t="str">
        <f t="shared" si="6"/>
        <v xml:space="preserve"> </v>
      </c>
    </row>
    <row r="1964" spans="1:5" ht="12.5">
      <c r="A1964" s="81" t="str">
        <f t="shared" si="0"/>
        <v xml:space="preserve"> </v>
      </c>
      <c r="B1964" s="81" t="str">
        <f t="shared" si="1"/>
        <v xml:space="preserve"> </v>
      </c>
      <c r="C1964" s="79" t="str">
        <f t="shared" si="7"/>
        <v xml:space="preserve"> </v>
      </c>
      <c r="D1964" s="79" t="str">
        <f t="shared" si="5"/>
        <v xml:space="preserve"> </v>
      </c>
      <c r="E1964" s="79" t="str">
        <f t="shared" si="6"/>
        <v xml:space="preserve"> </v>
      </c>
    </row>
    <row r="1965" spans="1:5" ht="12.5">
      <c r="A1965" s="81" t="str">
        <f t="shared" si="0"/>
        <v xml:space="preserve"> </v>
      </c>
      <c r="B1965" s="81" t="str">
        <f t="shared" si="1"/>
        <v xml:space="preserve"> </v>
      </c>
      <c r="C1965" s="79" t="str">
        <f t="shared" si="7"/>
        <v xml:space="preserve"> </v>
      </c>
      <c r="D1965" s="79" t="str">
        <f t="shared" si="5"/>
        <v xml:space="preserve"> </v>
      </c>
      <c r="E1965" s="79" t="str">
        <f t="shared" si="6"/>
        <v xml:space="preserve"> </v>
      </c>
    </row>
    <row r="1966" spans="1:5" ht="12.5">
      <c r="A1966" s="81" t="str">
        <f t="shared" si="0"/>
        <v xml:space="preserve"> </v>
      </c>
      <c r="B1966" s="81" t="str">
        <f t="shared" si="1"/>
        <v xml:space="preserve"> </v>
      </c>
      <c r="C1966" s="79" t="str">
        <f t="shared" si="7"/>
        <v xml:space="preserve"> </v>
      </c>
      <c r="D1966" s="79" t="str">
        <f t="shared" si="5"/>
        <v xml:space="preserve"> </v>
      </c>
      <c r="E1966" s="79" t="str">
        <f t="shared" si="6"/>
        <v xml:space="preserve"> </v>
      </c>
    </row>
    <row r="1967" spans="1:5" ht="12.5">
      <c r="A1967" s="81" t="str">
        <f t="shared" si="0"/>
        <v xml:space="preserve"> </v>
      </c>
      <c r="B1967" s="81" t="str">
        <f t="shared" si="1"/>
        <v xml:space="preserve"> </v>
      </c>
      <c r="C1967" s="79" t="str">
        <f t="shared" si="7"/>
        <v xml:space="preserve"> </v>
      </c>
      <c r="D1967" s="79" t="str">
        <f t="shared" si="5"/>
        <v xml:space="preserve"> </v>
      </c>
      <c r="E1967" s="79" t="str">
        <f t="shared" si="6"/>
        <v xml:space="preserve"> </v>
      </c>
    </row>
    <row r="1968" spans="1:5" ht="12.5">
      <c r="A1968" s="81" t="str">
        <f t="shared" si="0"/>
        <v xml:space="preserve"> </v>
      </c>
      <c r="B1968" s="81" t="str">
        <f t="shared" si="1"/>
        <v xml:space="preserve"> </v>
      </c>
      <c r="C1968" s="79" t="str">
        <f t="shared" si="7"/>
        <v xml:space="preserve"> </v>
      </c>
      <c r="D1968" s="79" t="str">
        <f t="shared" si="5"/>
        <v xml:space="preserve"> </v>
      </c>
      <c r="E1968" s="79" t="str">
        <f t="shared" si="6"/>
        <v xml:space="preserve"> </v>
      </c>
    </row>
    <row r="1969" spans="1:5" ht="12.5">
      <c r="A1969" s="81" t="str">
        <f t="shared" si="0"/>
        <v xml:space="preserve"> </v>
      </c>
      <c r="B1969" s="81" t="str">
        <f t="shared" si="1"/>
        <v xml:space="preserve"> </v>
      </c>
      <c r="C1969" s="79" t="str">
        <f t="shared" si="7"/>
        <v xml:space="preserve"> </v>
      </c>
      <c r="D1969" s="79" t="str">
        <f t="shared" si="5"/>
        <v xml:space="preserve"> </v>
      </c>
      <c r="E1969" s="79" t="str">
        <f t="shared" si="6"/>
        <v xml:space="preserve"> </v>
      </c>
    </row>
    <row r="1970" spans="1:5" ht="12.5">
      <c r="A1970" s="81" t="str">
        <f t="shared" si="0"/>
        <v xml:space="preserve"> </v>
      </c>
      <c r="B1970" s="81" t="str">
        <f t="shared" si="1"/>
        <v xml:space="preserve"> </v>
      </c>
      <c r="C1970" s="79" t="str">
        <f t="shared" si="7"/>
        <v xml:space="preserve"> </v>
      </c>
      <c r="D1970" s="79" t="str">
        <f t="shared" si="5"/>
        <v xml:space="preserve"> </v>
      </c>
      <c r="E1970" s="79" t="str">
        <f t="shared" si="6"/>
        <v xml:space="preserve"> </v>
      </c>
    </row>
    <row r="1971" spans="1:5" ht="12.5">
      <c r="A1971" s="81" t="str">
        <f t="shared" si="0"/>
        <v xml:space="preserve"> </v>
      </c>
      <c r="B1971" s="81" t="str">
        <f t="shared" si="1"/>
        <v xml:space="preserve"> </v>
      </c>
      <c r="C1971" s="79" t="str">
        <f t="shared" si="7"/>
        <v xml:space="preserve"> </v>
      </c>
      <c r="D1971" s="79" t="str">
        <f t="shared" si="5"/>
        <v xml:space="preserve"> </v>
      </c>
      <c r="E1971" s="79" t="str">
        <f t="shared" si="6"/>
        <v xml:space="preserve"> </v>
      </c>
    </row>
    <row r="1972" spans="1:5" ht="12.5">
      <c r="A1972" s="81" t="str">
        <f t="shared" si="0"/>
        <v xml:space="preserve"> </v>
      </c>
      <c r="B1972" s="81" t="str">
        <f t="shared" si="1"/>
        <v xml:space="preserve"> </v>
      </c>
      <c r="C1972" s="79" t="str">
        <f t="shared" si="7"/>
        <v xml:space="preserve"> </v>
      </c>
      <c r="D1972" s="79" t="str">
        <f t="shared" si="5"/>
        <v xml:space="preserve"> </v>
      </c>
      <c r="E1972" s="79" t="str">
        <f t="shared" si="6"/>
        <v xml:space="preserve"> </v>
      </c>
    </row>
    <row r="1973" spans="1:5" ht="12.5">
      <c r="A1973" s="81" t="str">
        <f t="shared" si="0"/>
        <v xml:space="preserve"> </v>
      </c>
      <c r="B1973" s="81" t="str">
        <f t="shared" si="1"/>
        <v xml:space="preserve"> </v>
      </c>
      <c r="C1973" s="79" t="str">
        <f t="shared" si="7"/>
        <v xml:space="preserve"> </v>
      </c>
      <c r="D1973" s="79" t="str">
        <f t="shared" si="5"/>
        <v xml:space="preserve"> </v>
      </c>
      <c r="E1973" s="79" t="str">
        <f t="shared" si="6"/>
        <v xml:space="preserve"> </v>
      </c>
    </row>
    <row r="1974" spans="1:5" ht="12.5">
      <c r="A1974" s="81" t="str">
        <f t="shared" si="0"/>
        <v xml:space="preserve"> </v>
      </c>
      <c r="B1974" s="81" t="str">
        <f t="shared" si="1"/>
        <v xml:space="preserve"> </v>
      </c>
      <c r="C1974" s="79" t="str">
        <f t="shared" si="7"/>
        <v xml:space="preserve"> </v>
      </c>
      <c r="D1974" s="79" t="str">
        <f t="shared" si="5"/>
        <v xml:space="preserve"> </v>
      </c>
      <c r="E1974" s="79" t="str">
        <f t="shared" si="6"/>
        <v xml:space="preserve"> </v>
      </c>
    </row>
    <row r="1975" spans="1:5" ht="12.5">
      <c r="A1975" s="81" t="str">
        <f t="shared" si="0"/>
        <v xml:space="preserve"> </v>
      </c>
      <c r="B1975" s="81" t="str">
        <f t="shared" si="1"/>
        <v xml:space="preserve"> </v>
      </c>
      <c r="C1975" s="79" t="str">
        <f t="shared" si="7"/>
        <v xml:space="preserve"> </v>
      </c>
      <c r="D1975" s="79" t="str">
        <f t="shared" si="5"/>
        <v xml:space="preserve"> </v>
      </c>
      <c r="E1975" s="79" t="str">
        <f t="shared" si="6"/>
        <v xml:space="preserve"> </v>
      </c>
    </row>
    <row r="1976" spans="1:5" ht="12.5">
      <c r="A1976" s="81" t="str">
        <f t="shared" si="0"/>
        <v xml:space="preserve"> </v>
      </c>
      <c r="B1976" s="81" t="str">
        <f t="shared" si="1"/>
        <v xml:space="preserve"> </v>
      </c>
      <c r="C1976" s="79" t="str">
        <f t="shared" si="7"/>
        <v xml:space="preserve"> </v>
      </c>
      <c r="D1976" s="79" t="str">
        <f t="shared" si="5"/>
        <v xml:space="preserve"> </v>
      </c>
      <c r="E1976" s="79" t="str">
        <f t="shared" si="6"/>
        <v xml:space="preserve"> </v>
      </c>
    </row>
    <row r="1977" spans="1:5" ht="12.5">
      <c r="A1977" s="81" t="str">
        <f t="shared" si="0"/>
        <v xml:space="preserve"> </v>
      </c>
      <c r="B1977" s="81" t="str">
        <f t="shared" si="1"/>
        <v xml:space="preserve"> </v>
      </c>
      <c r="C1977" s="79" t="str">
        <f t="shared" si="7"/>
        <v xml:space="preserve"> </v>
      </c>
      <c r="D1977" s="79" t="str">
        <f t="shared" si="5"/>
        <v xml:space="preserve"> </v>
      </c>
      <c r="E1977" s="79" t="str">
        <f t="shared" si="6"/>
        <v xml:space="preserve"> </v>
      </c>
    </row>
    <row r="1978" spans="1:5" ht="12.5">
      <c r="A1978" s="81" t="str">
        <f t="shared" si="0"/>
        <v xml:space="preserve"> </v>
      </c>
      <c r="B1978" s="81" t="str">
        <f t="shared" si="1"/>
        <v xml:space="preserve"> </v>
      </c>
      <c r="C1978" s="79" t="str">
        <f t="shared" si="7"/>
        <v xml:space="preserve"> </v>
      </c>
      <c r="D1978" s="79" t="str">
        <f t="shared" si="5"/>
        <v xml:space="preserve"> </v>
      </c>
      <c r="E1978" s="79" t="str">
        <f t="shared" si="6"/>
        <v xml:space="preserve"> </v>
      </c>
    </row>
    <row r="1979" spans="1:5" ht="12.5">
      <c r="A1979" s="81" t="str">
        <f t="shared" si="0"/>
        <v xml:space="preserve"> </v>
      </c>
      <c r="B1979" s="81" t="str">
        <f t="shared" si="1"/>
        <v xml:space="preserve"> </v>
      </c>
      <c r="C1979" s="79" t="str">
        <f t="shared" si="7"/>
        <v xml:space="preserve"> </v>
      </c>
      <c r="D1979" s="79" t="str">
        <f t="shared" si="5"/>
        <v xml:space="preserve"> </v>
      </c>
      <c r="E1979" s="79" t="str">
        <f t="shared" si="6"/>
        <v xml:space="preserve"> </v>
      </c>
    </row>
    <row r="1980" spans="1:5" ht="12.5">
      <c r="A1980" s="81" t="str">
        <f t="shared" si="0"/>
        <v xml:space="preserve"> </v>
      </c>
      <c r="B1980" s="81" t="str">
        <f t="shared" si="1"/>
        <v xml:space="preserve"> </v>
      </c>
      <c r="C1980" s="79" t="str">
        <f t="shared" si="7"/>
        <v xml:space="preserve"> </v>
      </c>
      <c r="D1980" s="79" t="str">
        <f t="shared" si="5"/>
        <v xml:space="preserve"> </v>
      </c>
      <c r="E1980" s="79" t="str">
        <f t="shared" si="6"/>
        <v xml:space="preserve"> </v>
      </c>
    </row>
    <row r="1981" spans="1:5" ht="12.5">
      <c r="A1981" s="81" t="str">
        <f t="shared" si="0"/>
        <v xml:space="preserve"> </v>
      </c>
      <c r="B1981" s="81" t="str">
        <f t="shared" si="1"/>
        <v xml:space="preserve"> </v>
      </c>
      <c r="C1981" s="79" t="str">
        <f t="shared" si="7"/>
        <v xml:space="preserve"> </v>
      </c>
      <c r="D1981" s="79" t="str">
        <f t="shared" si="5"/>
        <v xml:space="preserve"> </v>
      </c>
      <c r="E1981" s="79" t="str">
        <f t="shared" si="6"/>
        <v xml:space="preserve"> </v>
      </c>
    </row>
    <row r="1982" spans="1:5" ht="12.5">
      <c r="A1982" s="81" t="str">
        <f t="shared" si="0"/>
        <v xml:space="preserve"> </v>
      </c>
      <c r="B1982" s="81" t="str">
        <f t="shared" si="1"/>
        <v xml:space="preserve"> </v>
      </c>
      <c r="C1982" s="79" t="str">
        <f t="shared" si="7"/>
        <v xml:space="preserve"> </v>
      </c>
      <c r="D1982" s="79" t="str">
        <f t="shared" si="5"/>
        <v xml:space="preserve"> </v>
      </c>
      <c r="E1982" s="79" t="str">
        <f t="shared" si="6"/>
        <v xml:space="preserve"> </v>
      </c>
    </row>
    <row r="1983" spans="1:5" ht="12.5">
      <c r="A1983" s="81" t="str">
        <f t="shared" si="0"/>
        <v xml:space="preserve"> </v>
      </c>
      <c r="B1983" s="81" t="str">
        <f t="shared" si="1"/>
        <v xml:space="preserve"> </v>
      </c>
      <c r="C1983" s="79" t="str">
        <f t="shared" si="7"/>
        <v xml:space="preserve"> </v>
      </c>
      <c r="D1983" s="79" t="str">
        <f t="shared" si="5"/>
        <v xml:space="preserve"> </v>
      </c>
      <c r="E1983" s="79" t="str">
        <f t="shared" si="6"/>
        <v xml:space="preserve"> </v>
      </c>
    </row>
    <row r="1984" spans="1:5" ht="12.5">
      <c r="A1984" s="81" t="str">
        <f t="shared" si="0"/>
        <v xml:space="preserve"> </v>
      </c>
      <c r="B1984" s="81" t="str">
        <f t="shared" si="1"/>
        <v xml:space="preserve"> </v>
      </c>
      <c r="C1984" s="79" t="str">
        <f t="shared" si="7"/>
        <v xml:space="preserve"> </v>
      </c>
      <c r="D1984" s="79" t="str">
        <f t="shared" si="5"/>
        <v xml:space="preserve"> </v>
      </c>
      <c r="E1984" s="79" t="str">
        <f t="shared" si="6"/>
        <v xml:space="preserve"> </v>
      </c>
    </row>
    <row r="1985" spans="1:5" ht="12.5">
      <c r="A1985" s="81" t="str">
        <f t="shared" si="0"/>
        <v xml:space="preserve"> </v>
      </c>
      <c r="B1985" s="81" t="str">
        <f t="shared" si="1"/>
        <v xml:space="preserve"> </v>
      </c>
      <c r="C1985" s="79" t="str">
        <f t="shared" si="7"/>
        <v xml:space="preserve"> </v>
      </c>
      <c r="D1985" s="79" t="str">
        <f t="shared" si="5"/>
        <v xml:space="preserve"> </v>
      </c>
      <c r="E1985" s="79" t="str">
        <f t="shared" si="6"/>
        <v xml:space="preserve"> </v>
      </c>
    </row>
    <row r="1986" spans="1:5" ht="12.5">
      <c r="A1986" s="81" t="str">
        <f t="shared" si="0"/>
        <v xml:space="preserve"> </v>
      </c>
      <c r="B1986" s="81" t="str">
        <f t="shared" si="1"/>
        <v xml:space="preserve"> </v>
      </c>
      <c r="C1986" s="79" t="str">
        <f t="shared" si="7"/>
        <v xml:space="preserve"> </v>
      </c>
      <c r="D1986" s="79" t="str">
        <f t="shared" si="5"/>
        <v xml:space="preserve"> </v>
      </c>
      <c r="E1986" s="79" t="str">
        <f t="shared" si="6"/>
        <v xml:space="preserve"> </v>
      </c>
    </row>
    <row r="1987" spans="1:5" ht="12.5">
      <c r="A1987" s="81" t="str">
        <f t="shared" si="0"/>
        <v xml:space="preserve"> </v>
      </c>
      <c r="B1987" s="81" t="str">
        <f t="shared" si="1"/>
        <v xml:space="preserve"> </v>
      </c>
      <c r="C1987" s="79" t="str">
        <f t="shared" si="7"/>
        <v xml:space="preserve"> </v>
      </c>
      <c r="D1987" s="79" t="str">
        <f t="shared" si="5"/>
        <v xml:space="preserve"> </v>
      </c>
      <c r="E1987" s="79" t="str">
        <f t="shared" si="6"/>
        <v xml:space="preserve"> </v>
      </c>
    </row>
    <row r="1988" spans="1:5" ht="12.5">
      <c r="A1988" s="81" t="str">
        <f t="shared" si="0"/>
        <v xml:space="preserve"> </v>
      </c>
      <c r="B1988" s="81" t="str">
        <f t="shared" si="1"/>
        <v xml:space="preserve"> </v>
      </c>
      <c r="C1988" s="79" t="str">
        <f t="shared" si="7"/>
        <v xml:space="preserve"> </v>
      </c>
      <c r="D1988" s="79" t="str">
        <f t="shared" si="5"/>
        <v xml:space="preserve"> </v>
      </c>
      <c r="E1988" s="79" t="str">
        <f t="shared" si="6"/>
        <v xml:space="preserve"> </v>
      </c>
    </row>
    <row r="1989" spans="1:5" ht="12.5">
      <c r="A1989" s="81" t="str">
        <f t="shared" si="0"/>
        <v xml:space="preserve"> </v>
      </c>
      <c r="B1989" s="81" t="str">
        <f t="shared" si="1"/>
        <v xml:space="preserve"> </v>
      </c>
      <c r="C1989" s="79" t="str">
        <f t="shared" si="7"/>
        <v xml:space="preserve"> </v>
      </c>
      <c r="D1989" s="79" t="str">
        <f t="shared" si="5"/>
        <v xml:space="preserve"> </v>
      </c>
      <c r="E1989" s="79" t="str">
        <f t="shared" si="6"/>
        <v xml:space="preserve"> </v>
      </c>
    </row>
    <row r="1990" spans="1:5" ht="12.5">
      <c r="A1990" s="81" t="str">
        <f t="shared" si="0"/>
        <v xml:space="preserve"> </v>
      </c>
      <c r="B1990" s="81" t="str">
        <f t="shared" si="1"/>
        <v xml:space="preserve"> </v>
      </c>
      <c r="C1990" s="79" t="str">
        <f t="shared" si="7"/>
        <v xml:space="preserve"> </v>
      </c>
      <c r="D1990" s="79" t="str">
        <f t="shared" si="5"/>
        <v xml:space="preserve"> </v>
      </c>
      <c r="E1990" s="79" t="str">
        <f t="shared" si="6"/>
        <v xml:space="preserve"> </v>
      </c>
    </row>
    <row r="1991" spans="1:5" ht="12.5">
      <c r="A1991" s="81" t="str">
        <f t="shared" si="0"/>
        <v xml:space="preserve"> </v>
      </c>
      <c r="B1991" s="81" t="str">
        <f t="shared" si="1"/>
        <v xml:space="preserve"> </v>
      </c>
      <c r="C1991" s="79" t="str">
        <f t="shared" si="7"/>
        <v xml:space="preserve"> </v>
      </c>
      <c r="D1991" s="79" t="str">
        <f t="shared" si="5"/>
        <v xml:space="preserve"> </v>
      </c>
      <c r="E1991" s="79" t="str">
        <f t="shared" si="6"/>
        <v xml:space="preserve"> </v>
      </c>
    </row>
    <row r="1992" spans="1:5" ht="12.5">
      <c r="A1992" s="81" t="str">
        <f t="shared" si="0"/>
        <v xml:space="preserve"> </v>
      </c>
      <c r="B1992" s="81" t="str">
        <f t="shared" si="1"/>
        <v xml:space="preserve"> </v>
      </c>
      <c r="C1992" s="79" t="str">
        <f t="shared" si="7"/>
        <v xml:space="preserve"> </v>
      </c>
      <c r="D1992" s="79" t="str">
        <f t="shared" si="5"/>
        <v xml:space="preserve"> </v>
      </c>
      <c r="E1992" s="79" t="str">
        <f t="shared" si="6"/>
        <v xml:space="preserve"> </v>
      </c>
    </row>
    <row r="1993" spans="1:5" ht="12.5">
      <c r="A1993" s="81" t="str">
        <f t="shared" si="0"/>
        <v xml:space="preserve"> </v>
      </c>
      <c r="B1993" s="81" t="str">
        <f t="shared" si="1"/>
        <v xml:space="preserve"> </v>
      </c>
      <c r="C1993" s="79" t="str">
        <f t="shared" si="7"/>
        <v xml:space="preserve"> </v>
      </c>
      <c r="D1993" s="79" t="str">
        <f t="shared" si="5"/>
        <v xml:space="preserve"> </v>
      </c>
      <c r="E1993" s="79" t="str">
        <f t="shared" si="6"/>
        <v xml:space="preserve"> </v>
      </c>
    </row>
    <row r="1994" spans="1:5" ht="12.5">
      <c r="A1994" s="81" t="str">
        <f t="shared" si="0"/>
        <v xml:space="preserve"> </v>
      </c>
      <c r="B1994" s="81" t="str">
        <f t="shared" si="1"/>
        <v xml:space="preserve"> </v>
      </c>
      <c r="C1994" s="79" t="str">
        <f t="shared" si="7"/>
        <v xml:space="preserve"> </v>
      </c>
      <c r="D1994" s="79" t="str">
        <f t="shared" si="5"/>
        <v xml:space="preserve"> </v>
      </c>
      <c r="E1994" s="79" t="str">
        <f t="shared" si="6"/>
        <v xml:space="preserve"> </v>
      </c>
    </row>
    <row r="1995" spans="1:5" ht="12.5">
      <c r="A1995" s="81" t="str">
        <f t="shared" si="0"/>
        <v xml:space="preserve"> </v>
      </c>
      <c r="B1995" s="81" t="str">
        <f t="shared" si="1"/>
        <v xml:space="preserve"> </v>
      </c>
      <c r="C1995" s="79" t="str">
        <f t="shared" si="7"/>
        <v xml:space="preserve"> </v>
      </c>
      <c r="D1995" s="79" t="str">
        <f t="shared" si="5"/>
        <v xml:space="preserve"> </v>
      </c>
      <c r="E1995" s="79" t="str">
        <f t="shared" si="6"/>
        <v xml:space="preserve"> </v>
      </c>
    </row>
    <row r="1996" spans="1:5" ht="12.5">
      <c r="A1996" s="81" t="str">
        <f t="shared" si="0"/>
        <v xml:space="preserve"> </v>
      </c>
      <c r="B1996" s="81" t="str">
        <f t="shared" si="1"/>
        <v xml:space="preserve"> </v>
      </c>
      <c r="C1996" s="79" t="str">
        <f t="shared" si="7"/>
        <v xml:space="preserve"> </v>
      </c>
      <c r="D1996" s="79" t="str">
        <f t="shared" si="5"/>
        <v xml:space="preserve"> </v>
      </c>
      <c r="E1996" s="79" t="str">
        <f t="shared" si="6"/>
        <v xml:space="preserve"> </v>
      </c>
    </row>
    <row r="1997" spans="1:5" ht="12.5">
      <c r="A1997" s="81" t="str">
        <f t="shared" si="0"/>
        <v xml:space="preserve"> </v>
      </c>
      <c r="B1997" s="81" t="str">
        <f t="shared" si="1"/>
        <v xml:space="preserve"> </v>
      </c>
      <c r="C1997" s="79" t="str">
        <f t="shared" si="7"/>
        <v xml:space="preserve"> </v>
      </c>
      <c r="D1997" s="79" t="str">
        <f t="shared" si="5"/>
        <v xml:space="preserve"> </v>
      </c>
      <c r="E1997" s="79" t="str">
        <f t="shared" si="6"/>
        <v xml:space="preserve"> </v>
      </c>
    </row>
    <row r="1998" spans="1:5" ht="12.5">
      <c r="A1998" s="81" t="str">
        <f t="shared" si="0"/>
        <v xml:space="preserve"> </v>
      </c>
      <c r="B1998" s="81" t="str">
        <f t="shared" si="1"/>
        <v xml:space="preserve"> </v>
      </c>
      <c r="C1998" s="79" t="str">
        <f t="shared" si="7"/>
        <v xml:space="preserve"> </v>
      </c>
      <c r="D1998" s="79" t="str">
        <f t="shared" si="5"/>
        <v xml:space="preserve"> </v>
      </c>
      <c r="E1998" s="79" t="str">
        <f t="shared" si="6"/>
        <v xml:space="preserve"> </v>
      </c>
    </row>
    <row r="1999" spans="1:5" ht="12.5">
      <c r="A1999" s="81" t="str">
        <f t="shared" si="0"/>
        <v xml:space="preserve"> </v>
      </c>
      <c r="B1999" s="81" t="str">
        <f t="shared" si="1"/>
        <v xml:space="preserve"> </v>
      </c>
      <c r="C1999" s="79" t="str">
        <f t="shared" si="7"/>
        <v xml:space="preserve"> </v>
      </c>
      <c r="D1999" s="79" t="str">
        <f t="shared" si="5"/>
        <v xml:space="preserve"> </v>
      </c>
      <c r="E1999" s="79" t="str">
        <f t="shared" si="6"/>
        <v xml:space="preserve"> </v>
      </c>
    </row>
    <row r="2000" spans="1:5" ht="12.5">
      <c r="A2000" s="81" t="str">
        <f t="shared" si="0"/>
        <v xml:space="preserve"> </v>
      </c>
      <c r="B2000" s="81" t="str">
        <f t="shared" si="1"/>
        <v xml:space="preserve"> </v>
      </c>
      <c r="C2000" s="79" t="str">
        <f t="shared" si="7"/>
        <v xml:space="preserve"> </v>
      </c>
      <c r="D2000" s="79" t="str">
        <f t="shared" si="5"/>
        <v xml:space="preserve"> </v>
      </c>
      <c r="E2000" s="79" t="str">
        <f t="shared" si="6"/>
        <v xml:space="preserve"> </v>
      </c>
    </row>
    <row r="2001" spans="1:5" ht="12.5">
      <c r="A2001" s="81" t="str">
        <f t="shared" si="0"/>
        <v xml:space="preserve"> </v>
      </c>
      <c r="B2001" s="81" t="str">
        <f t="shared" si="1"/>
        <v xml:space="preserve"> </v>
      </c>
      <c r="C2001" s="79" t="str">
        <f t="shared" si="7"/>
        <v xml:space="preserve"> </v>
      </c>
      <c r="D2001" s="79" t="str">
        <f t="shared" si="5"/>
        <v xml:space="preserve"> </v>
      </c>
      <c r="E2001" s="79" t="str">
        <f t="shared" si="6"/>
        <v xml:space="preserve"> </v>
      </c>
    </row>
    <row r="2002" spans="1:5" ht="12.5">
      <c r="A2002" s="81" t="str">
        <f t="shared" si="0"/>
        <v xml:space="preserve"> </v>
      </c>
      <c r="B2002" s="81" t="str">
        <f t="shared" si="1"/>
        <v xml:space="preserve"> </v>
      </c>
      <c r="C2002" s="79" t="str">
        <f t="shared" si="7"/>
        <v xml:space="preserve"> </v>
      </c>
      <c r="D2002" s="79" t="str">
        <f t="shared" si="5"/>
        <v xml:space="preserve"> </v>
      </c>
      <c r="E2002" s="79" t="str">
        <f t="shared" si="6"/>
        <v xml:space="preserve"> </v>
      </c>
    </row>
    <row r="2003" spans="1:5" ht="12.5">
      <c r="A2003" s="81" t="str">
        <f t="shared" si="0"/>
        <v xml:space="preserve"> </v>
      </c>
      <c r="B2003" s="81" t="str">
        <f t="shared" si="1"/>
        <v xml:space="preserve"> </v>
      </c>
      <c r="C2003" s="79" t="str">
        <f t="shared" si="7"/>
        <v xml:space="preserve"> </v>
      </c>
      <c r="D2003" s="79" t="str">
        <f t="shared" si="5"/>
        <v xml:space="preserve"> </v>
      </c>
      <c r="E2003" s="79" t="str">
        <f t="shared" si="6"/>
        <v xml:space="preserve"> </v>
      </c>
    </row>
    <row r="2004" spans="1:5" ht="12.5">
      <c r="A2004" s="81" t="str">
        <f t="shared" si="0"/>
        <v xml:space="preserve"> </v>
      </c>
      <c r="B2004" s="81" t="str">
        <f t="shared" si="1"/>
        <v xml:space="preserve"> </v>
      </c>
      <c r="C2004" s="79" t="str">
        <f t="shared" si="7"/>
        <v xml:space="preserve"> </v>
      </c>
      <c r="D2004" s="79" t="str">
        <f t="shared" si="5"/>
        <v xml:space="preserve"> </v>
      </c>
      <c r="E2004" s="79" t="str">
        <f t="shared" si="6"/>
        <v xml:space="preserve"> </v>
      </c>
    </row>
    <row r="2005" spans="1:5" ht="12.5">
      <c r="A2005" s="81" t="str">
        <f t="shared" si="0"/>
        <v xml:space="preserve"> </v>
      </c>
      <c r="B2005" s="81" t="str">
        <f t="shared" si="1"/>
        <v xml:space="preserve"> </v>
      </c>
      <c r="C2005" s="79" t="str">
        <f t="shared" si="7"/>
        <v xml:space="preserve"> </v>
      </c>
      <c r="D2005" s="79" t="str">
        <f t="shared" si="5"/>
        <v xml:space="preserve"> </v>
      </c>
      <c r="E2005" s="79" t="str">
        <f t="shared" si="6"/>
        <v xml:space="preserve"> </v>
      </c>
    </row>
    <row r="2006" spans="1:5" ht="12.5">
      <c r="A2006" s="81" t="str">
        <f t="shared" si="0"/>
        <v xml:space="preserve"> </v>
      </c>
      <c r="B2006" s="81" t="str">
        <f t="shared" si="1"/>
        <v xml:space="preserve"> </v>
      </c>
      <c r="C2006" s="79" t="str">
        <f t="shared" si="7"/>
        <v xml:space="preserve"> </v>
      </c>
      <c r="D2006" s="79" t="str">
        <f t="shared" si="5"/>
        <v xml:space="preserve"> </v>
      </c>
      <c r="E2006" s="79" t="str">
        <f t="shared" si="6"/>
        <v xml:space="preserve"> </v>
      </c>
    </row>
    <row r="2007" spans="1:5" ht="12.5">
      <c r="A2007" s="81" t="str">
        <f t="shared" si="0"/>
        <v xml:space="preserve"> </v>
      </c>
      <c r="B2007" s="81" t="str">
        <f t="shared" si="1"/>
        <v xml:space="preserve"> </v>
      </c>
      <c r="C2007" s="79" t="str">
        <f t="shared" si="7"/>
        <v xml:space="preserve"> </v>
      </c>
      <c r="D2007" s="79" t="str">
        <f t="shared" si="5"/>
        <v xml:space="preserve"> </v>
      </c>
      <c r="E2007" s="79" t="str">
        <f t="shared" si="6"/>
        <v xml:space="preserve"> </v>
      </c>
    </row>
    <row r="2008" spans="1:5" ht="12.5">
      <c r="A2008" s="81" t="str">
        <f t="shared" si="0"/>
        <v xml:space="preserve"> </v>
      </c>
      <c r="B2008" s="81" t="str">
        <f t="shared" si="1"/>
        <v xml:space="preserve"> </v>
      </c>
      <c r="C2008" s="79" t="str">
        <f t="shared" si="7"/>
        <v xml:space="preserve"> </v>
      </c>
      <c r="D2008" s="79" t="str">
        <f t="shared" si="5"/>
        <v xml:space="preserve"> </v>
      </c>
      <c r="E2008" s="79" t="str">
        <f t="shared" si="6"/>
        <v xml:space="preserve"> </v>
      </c>
    </row>
    <row r="2009" spans="1:5" ht="12.5">
      <c r="A2009" s="81" t="str">
        <f t="shared" si="0"/>
        <v xml:space="preserve"> </v>
      </c>
      <c r="B2009" s="81" t="str">
        <f t="shared" si="1"/>
        <v xml:space="preserve"> </v>
      </c>
      <c r="C2009" s="79" t="str">
        <f t="shared" si="7"/>
        <v xml:space="preserve"> </v>
      </c>
      <c r="D2009" s="79" t="str">
        <f t="shared" si="5"/>
        <v xml:space="preserve"> </v>
      </c>
      <c r="E2009" s="79" t="str">
        <f t="shared" si="6"/>
        <v xml:space="preserve"> </v>
      </c>
    </row>
    <row r="2010" spans="1:5" ht="12.5">
      <c r="A2010" s="81" t="str">
        <f t="shared" si="0"/>
        <v xml:space="preserve"> </v>
      </c>
      <c r="B2010" s="81" t="str">
        <f t="shared" si="1"/>
        <v xml:space="preserve"> </v>
      </c>
      <c r="C2010" s="79" t="str">
        <f t="shared" si="7"/>
        <v xml:space="preserve"> </v>
      </c>
      <c r="D2010" s="79" t="str">
        <f t="shared" si="5"/>
        <v xml:space="preserve"> </v>
      </c>
      <c r="E2010" s="79" t="str">
        <f t="shared" si="6"/>
        <v xml:space="preserve"> </v>
      </c>
    </row>
    <row r="2011" spans="1:5" ht="12.5">
      <c r="A2011" s="81" t="str">
        <f t="shared" si="0"/>
        <v xml:space="preserve"> </v>
      </c>
      <c r="B2011" s="81" t="str">
        <f t="shared" si="1"/>
        <v xml:space="preserve"> </v>
      </c>
      <c r="C2011" s="79" t="str">
        <f t="shared" si="7"/>
        <v xml:space="preserve"> </v>
      </c>
      <c r="D2011" s="79" t="str">
        <f t="shared" si="5"/>
        <v xml:space="preserve"> </v>
      </c>
      <c r="E2011" s="79" t="str">
        <f t="shared" si="6"/>
        <v xml:space="preserve"> </v>
      </c>
    </row>
    <row r="2012" spans="1:5" ht="12.5">
      <c r="A2012" s="81" t="str">
        <f t="shared" si="0"/>
        <v xml:space="preserve"> </v>
      </c>
      <c r="B2012" s="81" t="str">
        <f t="shared" si="1"/>
        <v xml:space="preserve"> </v>
      </c>
      <c r="C2012" s="79" t="str">
        <f t="shared" si="7"/>
        <v xml:space="preserve"> </v>
      </c>
      <c r="D2012" s="79" t="str">
        <f t="shared" si="5"/>
        <v xml:space="preserve"> </v>
      </c>
      <c r="E2012" s="79" t="str">
        <f t="shared" si="6"/>
        <v xml:space="preserve"> </v>
      </c>
    </row>
    <row r="2013" spans="1:5" ht="12.5">
      <c r="A2013" s="81" t="str">
        <f t="shared" si="0"/>
        <v xml:space="preserve"> </v>
      </c>
      <c r="B2013" s="81" t="str">
        <f t="shared" si="1"/>
        <v xml:space="preserve"> </v>
      </c>
      <c r="C2013" s="79" t="str">
        <f t="shared" si="7"/>
        <v xml:space="preserve"> </v>
      </c>
      <c r="D2013" s="79" t="str">
        <f t="shared" si="5"/>
        <v xml:space="preserve"> </v>
      </c>
      <c r="E2013" s="79" t="str">
        <f t="shared" si="6"/>
        <v xml:space="preserve"> </v>
      </c>
    </row>
    <row r="2014" spans="1:5" ht="12.5">
      <c r="A2014" s="81" t="str">
        <f t="shared" si="0"/>
        <v xml:space="preserve"> </v>
      </c>
      <c r="B2014" s="81" t="str">
        <f t="shared" si="1"/>
        <v xml:space="preserve"> </v>
      </c>
      <c r="C2014" s="79" t="str">
        <f t="shared" si="7"/>
        <v xml:space="preserve"> </v>
      </c>
      <c r="D2014" s="79" t="str">
        <f t="shared" si="5"/>
        <v xml:space="preserve"> </v>
      </c>
      <c r="E2014" s="79" t="str">
        <f t="shared" si="6"/>
        <v xml:space="preserve"> </v>
      </c>
    </row>
    <row r="2015" spans="1:5" ht="12.5">
      <c r="A2015" s="81" t="str">
        <f t="shared" si="0"/>
        <v xml:space="preserve"> </v>
      </c>
      <c r="B2015" s="81" t="str">
        <f t="shared" si="1"/>
        <v xml:space="preserve"> </v>
      </c>
      <c r="C2015" s="79" t="str">
        <f t="shared" si="7"/>
        <v xml:space="preserve"> </v>
      </c>
      <c r="D2015" s="79" t="str">
        <f t="shared" si="5"/>
        <v xml:space="preserve"> </v>
      </c>
      <c r="E2015" s="79" t="str">
        <f t="shared" si="6"/>
        <v xml:space="preserve"> </v>
      </c>
    </row>
    <row r="2016" spans="1:5" ht="12.5">
      <c r="A2016" s="81" t="str">
        <f t="shared" si="0"/>
        <v xml:space="preserve"> </v>
      </c>
      <c r="B2016" s="81" t="str">
        <f t="shared" si="1"/>
        <v xml:space="preserve"> </v>
      </c>
      <c r="C2016" s="79" t="str">
        <f t="shared" si="7"/>
        <v xml:space="preserve"> </v>
      </c>
      <c r="D2016" s="79" t="str">
        <f t="shared" si="5"/>
        <v xml:space="preserve"> </v>
      </c>
      <c r="E2016" s="79" t="str">
        <f t="shared" si="6"/>
        <v xml:space="preserve"> </v>
      </c>
    </row>
    <row r="2017" spans="1:5" ht="12.5">
      <c r="A2017" s="81" t="str">
        <f t="shared" si="0"/>
        <v xml:space="preserve"> </v>
      </c>
      <c r="B2017" s="81" t="str">
        <f t="shared" si="1"/>
        <v xml:space="preserve"> </v>
      </c>
      <c r="C2017" s="79" t="str">
        <f t="shared" si="7"/>
        <v xml:space="preserve"> </v>
      </c>
      <c r="D2017" s="79" t="str">
        <f t="shared" si="5"/>
        <v xml:space="preserve"> </v>
      </c>
      <c r="E2017" s="79" t="str">
        <f t="shared" si="6"/>
        <v xml:space="preserve"> </v>
      </c>
    </row>
    <row r="2018" spans="1:5" ht="12.5">
      <c r="A2018" s="81" t="str">
        <f t="shared" si="0"/>
        <v xml:space="preserve"> </v>
      </c>
      <c r="B2018" s="81" t="str">
        <f t="shared" si="1"/>
        <v xml:space="preserve"> </v>
      </c>
      <c r="C2018" s="79" t="str">
        <f t="shared" si="7"/>
        <v xml:space="preserve"> </v>
      </c>
      <c r="D2018" s="79" t="str">
        <f t="shared" si="5"/>
        <v xml:space="preserve"> </v>
      </c>
      <c r="E2018" s="79" t="str">
        <f t="shared" si="6"/>
        <v xml:space="preserve"> </v>
      </c>
    </row>
    <row r="2019" spans="1:5" ht="12.5">
      <c r="A2019" s="81" t="str">
        <f t="shared" si="0"/>
        <v xml:space="preserve"> </v>
      </c>
      <c r="B2019" s="81" t="str">
        <f t="shared" si="1"/>
        <v xml:space="preserve"> </v>
      </c>
      <c r="C2019" s="79" t="str">
        <f t="shared" si="7"/>
        <v xml:space="preserve"> </v>
      </c>
      <c r="D2019" s="79" t="str">
        <f t="shared" si="5"/>
        <v xml:space="preserve"> </v>
      </c>
      <c r="E2019" s="79" t="str">
        <f t="shared" si="6"/>
        <v xml:space="preserve"> </v>
      </c>
    </row>
    <row r="2020" spans="1:5" ht="12.5">
      <c r="A2020" s="81" t="str">
        <f t="shared" si="0"/>
        <v xml:space="preserve"> </v>
      </c>
      <c r="B2020" s="81" t="str">
        <f t="shared" si="1"/>
        <v xml:space="preserve"> </v>
      </c>
      <c r="C2020" s="79" t="str">
        <f t="shared" si="7"/>
        <v xml:space="preserve"> </v>
      </c>
      <c r="D2020" s="79" t="str">
        <f t="shared" si="5"/>
        <v xml:space="preserve"> </v>
      </c>
      <c r="E2020" s="79" t="str">
        <f t="shared" si="6"/>
        <v xml:space="preserve"> </v>
      </c>
    </row>
    <row r="2021" spans="1:5" ht="12.5">
      <c r="A2021" s="81" t="str">
        <f t="shared" si="0"/>
        <v xml:space="preserve"> </v>
      </c>
      <c r="B2021" s="81" t="str">
        <f t="shared" si="1"/>
        <v xml:space="preserve"> </v>
      </c>
      <c r="C2021" s="79" t="str">
        <f t="shared" si="7"/>
        <v xml:space="preserve"> </v>
      </c>
      <c r="D2021" s="79" t="str">
        <f t="shared" si="5"/>
        <v xml:space="preserve"> </v>
      </c>
      <c r="E2021" s="79" t="str">
        <f t="shared" si="6"/>
        <v xml:space="preserve"> </v>
      </c>
    </row>
    <row r="2022" spans="1:5" ht="12.5">
      <c r="A2022" s="81" t="str">
        <f t="shared" si="0"/>
        <v xml:space="preserve"> </v>
      </c>
      <c r="B2022" s="81" t="str">
        <f t="shared" si="1"/>
        <v xml:space="preserve"> </v>
      </c>
      <c r="C2022" s="79" t="str">
        <f t="shared" si="7"/>
        <v xml:space="preserve"> </v>
      </c>
      <c r="D2022" s="79" t="str">
        <f t="shared" si="5"/>
        <v xml:space="preserve"> </v>
      </c>
      <c r="E2022" s="79" t="str">
        <f t="shared" si="6"/>
        <v xml:space="preserve"> </v>
      </c>
    </row>
    <row r="2023" spans="1:5" ht="12.5">
      <c r="A2023" s="81" t="str">
        <f t="shared" si="0"/>
        <v xml:space="preserve"> </v>
      </c>
      <c r="B2023" s="81" t="str">
        <f t="shared" si="1"/>
        <v xml:space="preserve"> </v>
      </c>
      <c r="C2023" s="79" t="str">
        <f t="shared" si="7"/>
        <v xml:space="preserve"> </v>
      </c>
      <c r="D2023" s="79" t="str">
        <f t="shared" si="5"/>
        <v xml:space="preserve"> </v>
      </c>
      <c r="E2023" s="79" t="str">
        <f t="shared" si="6"/>
        <v xml:space="preserve"> </v>
      </c>
    </row>
    <row r="2024" spans="1:5" ht="12.5">
      <c r="A2024" s="81" t="str">
        <f t="shared" si="0"/>
        <v xml:space="preserve"> </v>
      </c>
      <c r="B2024" s="81" t="str">
        <f t="shared" si="1"/>
        <v xml:space="preserve"> </v>
      </c>
      <c r="C2024" s="79" t="str">
        <f t="shared" si="7"/>
        <v xml:space="preserve"> </v>
      </c>
      <c r="D2024" s="79" t="str">
        <f t="shared" si="5"/>
        <v xml:space="preserve"> </v>
      </c>
      <c r="E2024" s="79" t="str">
        <f t="shared" si="6"/>
        <v xml:space="preserve"> </v>
      </c>
    </row>
    <row r="2025" spans="1:5" ht="12.5">
      <c r="A2025" s="81" t="str">
        <f t="shared" si="0"/>
        <v xml:space="preserve"> </v>
      </c>
      <c r="B2025" s="81" t="str">
        <f t="shared" si="1"/>
        <v xml:space="preserve"> </v>
      </c>
      <c r="C2025" s="79" t="str">
        <f t="shared" si="7"/>
        <v xml:space="preserve"> </v>
      </c>
      <c r="D2025" s="79" t="str">
        <f t="shared" si="5"/>
        <v xml:space="preserve"> </v>
      </c>
      <c r="E2025" s="79" t="str">
        <f t="shared" si="6"/>
        <v xml:space="preserve"> </v>
      </c>
    </row>
    <row r="2026" spans="1:5" ht="12.5">
      <c r="A2026" s="81" t="str">
        <f t="shared" si="0"/>
        <v xml:space="preserve"> </v>
      </c>
      <c r="B2026" s="81" t="str">
        <f t="shared" si="1"/>
        <v xml:space="preserve"> </v>
      </c>
      <c r="C2026" s="79" t="str">
        <f t="shared" si="7"/>
        <v xml:space="preserve"> </v>
      </c>
      <c r="D2026" s="79" t="str">
        <f t="shared" si="5"/>
        <v xml:space="preserve"> </v>
      </c>
      <c r="E2026" s="79" t="str">
        <f t="shared" si="6"/>
        <v xml:space="preserve"> </v>
      </c>
    </row>
    <row r="2027" spans="1:5" ht="12.5">
      <c r="A2027" s="81" t="str">
        <f t="shared" si="0"/>
        <v xml:space="preserve"> </v>
      </c>
      <c r="B2027" s="81" t="str">
        <f t="shared" si="1"/>
        <v xml:space="preserve"> </v>
      </c>
      <c r="C2027" s="79" t="str">
        <f t="shared" si="7"/>
        <v xml:space="preserve"> </v>
      </c>
      <c r="D2027" s="79" t="str">
        <f t="shared" si="5"/>
        <v xml:space="preserve"> </v>
      </c>
      <c r="E2027" s="79" t="str">
        <f t="shared" si="6"/>
        <v xml:space="preserve"> </v>
      </c>
    </row>
    <row r="2028" spans="1:5" ht="12.5">
      <c r="A2028" s="81" t="str">
        <f t="shared" si="0"/>
        <v xml:space="preserve"> </v>
      </c>
      <c r="B2028" s="81" t="str">
        <f t="shared" si="1"/>
        <v xml:space="preserve"> </v>
      </c>
      <c r="C2028" s="79" t="str">
        <f t="shared" si="7"/>
        <v xml:space="preserve"> </v>
      </c>
      <c r="D2028" s="79" t="str">
        <f t="shared" si="5"/>
        <v xml:space="preserve"> </v>
      </c>
      <c r="E2028" s="79" t="str">
        <f t="shared" si="6"/>
        <v xml:space="preserve"> </v>
      </c>
    </row>
    <row r="2029" spans="1:5" ht="12.5">
      <c r="A2029" s="81" t="str">
        <f t="shared" si="0"/>
        <v xml:space="preserve"> </v>
      </c>
      <c r="B2029" s="81" t="str">
        <f t="shared" si="1"/>
        <v xml:space="preserve"> </v>
      </c>
      <c r="C2029" s="79" t="str">
        <f t="shared" si="7"/>
        <v xml:space="preserve"> </v>
      </c>
      <c r="D2029" s="79" t="str">
        <f t="shared" si="5"/>
        <v xml:space="preserve"> </v>
      </c>
      <c r="E2029" s="79" t="str">
        <f t="shared" si="6"/>
        <v xml:space="preserve"> </v>
      </c>
    </row>
    <row r="2030" spans="1:5" ht="12.5">
      <c r="A2030" s="81" t="str">
        <f t="shared" si="0"/>
        <v xml:space="preserve"> </v>
      </c>
      <c r="B2030" s="81" t="str">
        <f t="shared" si="1"/>
        <v xml:space="preserve"> </v>
      </c>
      <c r="C2030" s="79" t="str">
        <f t="shared" si="7"/>
        <v xml:space="preserve"> </v>
      </c>
      <c r="D2030" s="79" t="str">
        <f t="shared" si="5"/>
        <v xml:space="preserve"> </v>
      </c>
      <c r="E2030" s="79" t="str">
        <f t="shared" si="6"/>
        <v xml:space="preserve"> </v>
      </c>
    </row>
    <row r="2031" spans="1:5" ht="12.5">
      <c r="A2031" s="81" t="str">
        <f t="shared" si="0"/>
        <v xml:space="preserve"> </v>
      </c>
      <c r="B2031" s="81" t="str">
        <f t="shared" si="1"/>
        <v xml:space="preserve"> </v>
      </c>
      <c r="C2031" s="79" t="str">
        <f t="shared" si="7"/>
        <v xml:space="preserve"> </v>
      </c>
      <c r="D2031" s="79" t="str">
        <f t="shared" si="5"/>
        <v xml:space="preserve"> </v>
      </c>
      <c r="E2031" s="79" t="str">
        <f t="shared" si="6"/>
        <v xml:space="preserve"> </v>
      </c>
    </row>
    <row r="2032" spans="1:5" ht="12.5">
      <c r="A2032" s="81" t="str">
        <f t="shared" si="0"/>
        <v xml:space="preserve"> </v>
      </c>
      <c r="B2032" s="81" t="str">
        <f t="shared" si="1"/>
        <v xml:space="preserve"> </v>
      </c>
      <c r="C2032" s="79" t="str">
        <f t="shared" si="7"/>
        <v xml:space="preserve"> </v>
      </c>
      <c r="D2032" s="79" t="str">
        <f t="shared" si="5"/>
        <v xml:space="preserve"> </v>
      </c>
      <c r="E2032" s="79" t="str">
        <f t="shared" si="6"/>
        <v xml:space="preserve"> </v>
      </c>
    </row>
    <row r="2033" spans="1:5" ht="12.5">
      <c r="A2033" s="81" t="str">
        <f t="shared" si="0"/>
        <v xml:space="preserve"> </v>
      </c>
      <c r="B2033" s="81" t="str">
        <f t="shared" si="1"/>
        <v xml:space="preserve"> </v>
      </c>
      <c r="C2033" s="79" t="str">
        <f t="shared" si="7"/>
        <v xml:space="preserve"> </v>
      </c>
      <c r="D2033" s="79" t="str">
        <f t="shared" si="5"/>
        <v xml:space="preserve"> </v>
      </c>
      <c r="E2033" s="79" t="str">
        <f t="shared" si="6"/>
        <v xml:space="preserve"> </v>
      </c>
    </row>
    <row r="2034" spans="1:5" ht="12.5">
      <c r="A2034" s="81" t="str">
        <f t="shared" si="0"/>
        <v xml:space="preserve"> </v>
      </c>
      <c r="B2034" s="81" t="str">
        <f t="shared" si="1"/>
        <v xml:space="preserve"> </v>
      </c>
      <c r="C2034" s="79" t="str">
        <f t="shared" si="7"/>
        <v xml:space="preserve"> </v>
      </c>
      <c r="D2034" s="79" t="str">
        <f t="shared" si="5"/>
        <v xml:space="preserve"> </v>
      </c>
      <c r="E2034" s="79" t="str">
        <f t="shared" si="6"/>
        <v xml:space="preserve"> </v>
      </c>
    </row>
    <row r="2035" spans="1:5" ht="12.5">
      <c r="A2035" s="81" t="str">
        <f t="shared" si="0"/>
        <v xml:space="preserve"> </v>
      </c>
      <c r="B2035" s="81" t="str">
        <f t="shared" si="1"/>
        <v xml:space="preserve"> </v>
      </c>
      <c r="C2035" s="79" t="str">
        <f t="shared" si="7"/>
        <v xml:space="preserve"> </v>
      </c>
      <c r="D2035" s="79" t="str">
        <f t="shared" si="5"/>
        <v xml:space="preserve"> </v>
      </c>
      <c r="E2035" s="79" t="str">
        <f t="shared" si="6"/>
        <v xml:space="preserve"> </v>
      </c>
    </row>
    <row r="2036" spans="1:5" ht="12.5">
      <c r="A2036" s="81" t="str">
        <f t="shared" si="0"/>
        <v xml:space="preserve"> </v>
      </c>
      <c r="B2036" s="81" t="str">
        <f t="shared" si="1"/>
        <v xml:space="preserve"> </v>
      </c>
      <c r="C2036" s="79" t="str">
        <f t="shared" si="7"/>
        <v xml:space="preserve"> </v>
      </c>
      <c r="D2036" s="79" t="str">
        <f t="shared" si="5"/>
        <v xml:space="preserve"> </v>
      </c>
      <c r="E2036" s="79" t="str">
        <f t="shared" si="6"/>
        <v xml:space="preserve"> </v>
      </c>
    </row>
    <row r="2037" spans="1:5" ht="12.5">
      <c r="A2037" s="81" t="str">
        <f t="shared" si="0"/>
        <v xml:space="preserve"> </v>
      </c>
      <c r="B2037" s="81" t="str">
        <f t="shared" si="1"/>
        <v xml:space="preserve"> </v>
      </c>
      <c r="C2037" s="79" t="str">
        <f t="shared" si="7"/>
        <v xml:space="preserve"> </v>
      </c>
      <c r="D2037" s="79" t="str">
        <f t="shared" si="5"/>
        <v xml:space="preserve"> </v>
      </c>
      <c r="E2037" s="79" t="str">
        <f t="shared" si="6"/>
        <v xml:space="preserve"> </v>
      </c>
    </row>
    <row r="2038" spans="1:5" ht="12.5">
      <c r="A2038" s="81" t="str">
        <f t="shared" si="0"/>
        <v xml:space="preserve"> </v>
      </c>
      <c r="B2038" s="81" t="str">
        <f t="shared" si="1"/>
        <v xml:space="preserve"> </v>
      </c>
      <c r="C2038" s="79" t="str">
        <f t="shared" si="7"/>
        <v xml:space="preserve"> </v>
      </c>
      <c r="D2038" s="79" t="str">
        <f t="shared" si="5"/>
        <v xml:space="preserve"> </v>
      </c>
      <c r="E2038" s="79" t="str">
        <f t="shared" si="6"/>
        <v xml:space="preserve"> </v>
      </c>
    </row>
    <row r="2039" spans="1:5" ht="12.5">
      <c r="A2039" s="81" t="str">
        <f t="shared" si="0"/>
        <v xml:space="preserve"> </v>
      </c>
      <c r="B2039" s="81" t="str">
        <f t="shared" si="1"/>
        <v xml:space="preserve"> </v>
      </c>
      <c r="C2039" s="79" t="str">
        <f t="shared" si="7"/>
        <v xml:space="preserve"> </v>
      </c>
      <c r="D2039" s="79" t="str">
        <f t="shared" si="5"/>
        <v xml:space="preserve"> </v>
      </c>
      <c r="E2039" s="79" t="str">
        <f t="shared" si="6"/>
        <v xml:space="preserve"> </v>
      </c>
    </row>
    <row r="2040" spans="1:5" ht="12.5">
      <c r="A2040" s="81" t="str">
        <f t="shared" si="0"/>
        <v xml:space="preserve"> </v>
      </c>
      <c r="B2040" s="81" t="str">
        <f t="shared" si="1"/>
        <v xml:space="preserve"> </v>
      </c>
      <c r="C2040" s="79" t="str">
        <f t="shared" si="7"/>
        <v xml:space="preserve"> </v>
      </c>
      <c r="D2040" s="79" t="str">
        <f t="shared" si="5"/>
        <v xml:space="preserve"> </v>
      </c>
      <c r="E2040" s="79" t="str">
        <f t="shared" si="6"/>
        <v xml:space="preserve"> </v>
      </c>
    </row>
    <row r="2041" spans="1:5" ht="12.5">
      <c r="A2041" s="81" t="str">
        <f t="shared" si="0"/>
        <v xml:space="preserve"> </v>
      </c>
      <c r="B2041" s="81" t="str">
        <f t="shared" si="1"/>
        <v xml:space="preserve"> </v>
      </c>
      <c r="C2041" s="79" t="str">
        <f t="shared" si="7"/>
        <v xml:space="preserve"> </v>
      </c>
      <c r="D2041" s="79" t="str">
        <f t="shared" si="5"/>
        <v xml:space="preserve"> </v>
      </c>
      <c r="E2041" s="79" t="str">
        <f t="shared" si="6"/>
        <v xml:space="preserve"> </v>
      </c>
    </row>
    <row r="2042" spans="1:5" ht="12.5">
      <c r="A2042" s="81" t="str">
        <f t="shared" si="0"/>
        <v xml:space="preserve"> </v>
      </c>
      <c r="B2042" s="81" t="str">
        <f t="shared" si="1"/>
        <v xml:space="preserve"> </v>
      </c>
      <c r="C2042" s="79" t="str">
        <f t="shared" si="7"/>
        <v xml:space="preserve"> </v>
      </c>
      <c r="D2042" s="79" t="str">
        <f t="shared" si="5"/>
        <v xml:space="preserve"> </v>
      </c>
      <c r="E2042" s="79" t="str">
        <f t="shared" si="6"/>
        <v xml:space="preserve"> </v>
      </c>
    </row>
    <row r="2043" spans="1:5" ht="12.5">
      <c r="A2043" s="81" t="str">
        <f t="shared" si="0"/>
        <v xml:space="preserve"> </v>
      </c>
      <c r="B2043" s="81" t="str">
        <f t="shared" si="1"/>
        <v xml:space="preserve"> </v>
      </c>
      <c r="C2043" s="79" t="str">
        <f t="shared" si="7"/>
        <v xml:space="preserve"> </v>
      </c>
      <c r="D2043" s="79" t="str">
        <f t="shared" si="5"/>
        <v xml:space="preserve"> </v>
      </c>
      <c r="E2043" s="79" t="str">
        <f t="shared" si="6"/>
        <v xml:space="preserve"> </v>
      </c>
    </row>
    <row r="2044" spans="1:5" ht="12.5">
      <c r="A2044" s="81" t="str">
        <f t="shared" si="0"/>
        <v xml:space="preserve"> </v>
      </c>
      <c r="B2044" s="81" t="str">
        <f t="shared" si="1"/>
        <v xml:space="preserve"> </v>
      </c>
      <c r="C2044" s="79" t="str">
        <f t="shared" si="7"/>
        <v xml:space="preserve"> </v>
      </c>
      <c r="D2044" s="79" t="str">
        <f t="shared" si="5"/>
        <v xml:space="preserve"> </v>
      </c>
      <c r="E2044" s="79" t="str">
        <f t="shared" si="6"/>
        <v xml:space="preserve"> </v>
      </c>
    </row>
    <row r="2045" spans="1:5" ht="12.5">
      <c r="A2045" s="81" t="str">
        <f t="shared" si="0"/>
        <v xml:space="preserve"> </v>
      </c>
      <c r="B2045" s="81" t="str">
        <f t="shared" si="1"/>
        <v xml:space="preserve"> </v>
      </c>
      <c r="C2045" s="79" t="str">
        <f t="shared" si="7"/>
        <v xml:space="preserve"> </v>
      </c>
      <c r="D2045" s="79" t="str">
        <f t="shared" si="5"/>
        <v xml:space="preserve"> </v>
      </c>
      <c r="E2045" s="79" t="str">
        <f t="shared" si="6"/>
        <v xml:space="preserve"> </v>
      </c>
    </row>
    <row r="2046" spans="1:5" ht="12.5">
      <c r="A2046" s="81" t="str">
        <f t="shared" si="0"/>
        <v xml:space="preserve"> </v>
      </c>
      <c r="B2046" s="81" t="str">
        <f t="shared" si="1"/>
        <v xml:space="preserve"> </v>
      </c>
      <c r="C2046" s="79" t="str">
        <f t="shared" si="7"/>
        <v xml:space="preserve"> </v>
      </c>
      <c r="D2046" s="79" t="str">
        <f t="shared" si="5"/>
        <v xml:space="preserve"> </v>
      </c>
      <c r="E2046" s="79" t="str">
        <f t="shared" si="6"/>
        <v xml:space="preserve"> </v>
      </c>
    </row>
    <row r="2047" spans="1:5" ht="12.5">
      <c r="A2047" s="81" t="str">
        <f t="shared" si="0"/>
        <v xml:space="preserve"> </v>
      </c>
      <c r="B2047" s="81" t="str">
        <f t="shared" si="1"/>
        <v xml:space="preserve"> </v>
      </c>
      <c r="C2047" s="79" t="str">
        <f t="shared" si="7"/>
        <v xml:space="preserve"> </v>
      </c>
      <c r="D2047" s="79" t="str">
        <f t="shared" si="5"/>
        <v xml:space="preserve"> </v>
      </c>
      <c r="E2047" s="79" t="str">
        <f t="shared" si="6"/>
        <v xml:space="preserve"> </v>
      </c>
    </row>
    <row r="2048" spans="1:5" ht="12.5">
      <c r="A2048" s="81" t="str">
        <f t="shared" si="0"/>
        <v xml:space="preserve"> </v>
      </c>
      <c r="B2048" s="81" t="str">
        <f t="shared" si="1"/>
        <v xml:space="preserve"> </v>
      </c>
      <c r="C2048" s="79" t="str">
        <f t="shared" si="7"/>
        <v xml:space="preserve"> </v>
      </c>
      <c r="D2048" s="79" t="str">
        <f t="shared" si="5"/>
        <v xml:space="preserve"> </v>
      </c>
      <c r="E2048" s="79" t="str">
        <f t="shared" si="6"/>
        <v xml:space="preserve"> </v>
      </c>
    </row>
    <row r="2049" spans="1:5" ht="12.5">
      <c r="A2049" s="81" t="str">
        <f t="shared" si="0"/>
        <v xml:space="preserve"> </v>
      </c>
      <c r="B2049" s="81" t="str">
        <f t="shared" si="1"/>
        <v xml:space="preserve"> </v>
      </c>
      <c r="C2049" s="79" t="str">
        <f t="shared" si="7"/>
        <v xml:space="preserve"> </v>
      </c>
      <c r="D2049" s="79" t="str">
        <f t="shared" si="5"/>
        <v xml:space="preserve"> </v>
      </c>
      <c r="E2049" s="79" t="str">
        <f t="shared" si="6"/>
        <v xml:space="preserve"> </v>
      </c>
    </row>
    <row r="2050" spans="1:5" ht="12.5">
      <c r="A2050" s="81" t="str">
        <f t="shared" si="0"/>
        <v xml:space="preserve"> </v>
      </c>
      <c r="B2050" s="81" t="str">
        <f t="shared" si="1"/>
        <v xml:space="preserve"> </v>
      </c>
      <c r="C2050" s="79" t="str">
        <f t="shared" si="7"/>
        <v xml:space="preserve"> </v>
      </c>
      <c r="D2050" s="79" t="str">
        <f t="shared" si="5"/>
        <v xml:space="preserve"> </v>
      </c>
      <c r="E2050" s="79" t="str">
        <f t="shared" si="6"/>
        <v xml:space="preserve"> </v>
      </c>
    </row>
    <row r="2051" spans="1:5" ht="12.5">
      <c r="A2051" s="81" t="str">
        <f t="shared" si="0"/>
        <v xml:space="preserve"> </v>
      </c>
      <c r="B2051" s="81" t="str">
        <f t="shared" si="1"/>
        <v xml:space="preserve"> </v>
      </c>
      <c r="C2051" s="79" t="str">
        <f t="shared" si="7"/>
        <v xml:space="preserve"> </v>
      </c>
      <c r="D2051" s="79" t="str">
        <f t="shared" si="5"/>
        <v xml:space="preserve"> </v>
      </c>
      <c r="E2051" s="79" t="str">
        <f t="shared" si="6"/>
        <v xml:space="preserve"> </v>
      </c>
    </row>
    <row r="2052" spans="1:5" ht="12.5">
      <c r="A2052" s="81" t="str">
        <f t="shared" si="0"/>
        <v xml:space="preserve"> </v>
      </c>
      <c r="B2052" s="81" t="str">
        <f t="shared" si="1"/>
        <v xml:space="preserve"> </v>
      </c>
      <c r="C2052" s="79" t="str">
        <f t="shared" si="7"/>
        <v xml:space="preserve"> </v>
      </c>
      <c r="D2052" s="79" t="str">
        <f t="shared" si="5"/>
        <v xml:space="preserve"> </v>
      </c>
      <c r="E2052" s="79" t="str">
        <f t="shared" si="6"/>
        <v xml:space="preserve"> </v>
      </c>
    </row>
    <row r="2053" spans="1:5" ht="12.5">
      <c r="A2053" s="81" t="str">
        <f t="shared" si="0"/>
        <v xml:space="preserve"> </v>
      </c>
      <c r="B2053" s="81" t="str">
        <f t="shared" si="1"/>
        <v xml:space="preserve"> </v>
      </c>
      <c r="C2053" s="79" t="str">
        <f t="shared" si="7"/>
        <v xml:space="preserve"> </v>
      </c>
      <c r="D2053" s="79" t="str">
        <f t="shared" si="5"/>
        <v xml:space="preserve"> </v>
      </c>
      <c r="E2053" s="79" t="str">
        <f t="shared" si="6"/>
        <v xml:space="preserve"> </v>
      </c>
    </row>
    <row r="2054" spans="1:5" ht="12.5">
      <c r="A2054" s="81" t="str">
        <f t="shared" si="0"/>
        <v xml:space="preserve"> </v>
      </c>
      <c r="B2054" s="81" t="str">
        <f t="shared" si="1"/>
        <v xml:space="preserve"> </v>
      </c>
      <c r="C2054" s="79" t="str">
        <f t="shared" si="7"/>
        <v xml:space="preserve"> </v>
      </c>
      <c r="D2054" s="79" t="str">
        <f t="shared" si="5"/>
        <v xml:space="preserve"> </v>
      </c>
      <c r="E2054" s="79" t="str">
        <f t="shared" si="6"/>
        <v xml:space="preserve"> </v>
      </c>
    </row>
    <row r="2055" spans="1:5" ht="12.5">
      <c r="A2055" s="81" t="str">
        <f t="shared" si="0"/>
        <v xml:space="preserve"> </v>
      </c>
      <c r="B2055" s="81" t="str">
        <f t="shared" si="1"/>
        <v xml:space="preserve"> </v>
      </c>
      <c r="C2055" s="79" t="str">
        <f t="shared" si="7"/>
        <v xml:space="preserve"> </v>
      </c>
      <c r="D2055" s="79" t="str">
        <f t="shared" si="5"/>
        <v xml:space="preserve"> </v>
      </c>
      <c r="E2055" s="79" t="str">
        <f t="shared" si="6"/>
        <v xml:space="preserve"> </v>
      </c>
    </row>
    <row r="2056" spans="1:5" ht="12.5">
      <c r="A2056" s="81" t="str">
        <f t="shared" si="0"/>
        <v xml:space="preserve"> </v>
      </c>
      <c r="B2056" s="81" t="str">
        <f t="shared" si="1"/>
        <v xml:space="preserve"> </v>
      </c>
      <c r="C2056" s="79" t="str">
        <f t="shared" si="7"/>
        <v xml:space="preserve"> </v>
      </c>
      <c r="D2056" s="79" t="str">
        <f t="shared" si="5"/>
        <v xml:space="preserve"> </v>
      </c>
      <c r="E2056" s="79" t="str">
        <f t="shared" si="6"/>
        <v xml:space="preserve"> </v>
      </c>
    </row>
    <row r="2057" spans="1:5" ht="12.5">
      <c r="A2057" s="81" t="str">
        <f t="shared" si="0"/>
        <v xml:space="preserve"> </v>
      </c>
      <c r="B2057" s="81" t="str">
        <f t="shared" si="1"/>
        <v xml:space="preserve"> </v>
      </c>
      <c r="C2057" s="79" t="str">
        <f t="shared" si="7"/>
        <v xml:space="preserve"> </v>
      </c>
      <c r="D2057" s="79" t="str">
        <f t="shared" si="5"/>
        <v xml:space="preserve"> </v>
      </c>
      <c r="E2057" s="79" t="str">
        <f t="shared" si="6"/>
        <v xml:space="preserve"> </v>
      </c>
    </row>
    <row r="2058" spans="1:5" ht="12.5">
      <c r="A2058" s="81" t="str">
        <f t="shared" si="0"/>
        <v xml:space="preserve"> </v>
      </c>
      <c r="B2058" s="81" t="str">
        <f t="shared" si="1"/>
        <v xml:space="preserve"> </v>
      </c>
      <c r="C2058" s="79" t="str">
        <f t="shared" si="7"/>
        <v xml:space="preserve"> </v>
      </c>
      <c r="D2058" s="79" t="str">
        <f t="shared" si="5"/>
        <v xml:space="preserve"> </v>
      </c>
      <c r="E2058" s="79" t="str">
        <f t="shared" si="6"/>
        <v xml:space="preserve"> </v>
      </c>
    </row>
    <row r="2059" spans="1:5" ht="12.5">
      <c r="A2059" s="81" t="str">
        <f t="shared" si="0"/>
        <v xml:space="preserve"> </v>
      </c>
      <c r="B2059" s="81" t="str">
        <f t="shared" si="1"/>
        <v xml:space="preserve"> </v>
      </c>
      <c r="C2059" s="79" t="str">
        <f t="shared" si="7"/>
        <v xml:space="preserve"> </v>
      </c>
      <c r="D2059" s="79" t="str">
        <f t="shared" si="5"/>
        <v xml:space="preserve"> </v>
      </c>
      <c r="E2059" s="79" t="str">
        <f t="shared" si="6"/>
        <v xml:space="preserve"> </v>
      </c>
    </row>
    <row r="2060" spans="1:5" ht="12.5">
      <c r="A2060" s="81" t="str">
        <f t="shared" si="0"/>
        <v xml:space="preserve"> </v>
      </c>
      <c r="B2060" s="81" t="str">
        <f t="shared" si="1"/>
        <v xml:space="preserve"> </v>
      </c>
      <c r="C2060" s="79" t="str">
        <f t="shared" si="7"/>
        <v xml:space="preserve"> </v>
      </c>
      <c r="D2060" s="79" t="str">
        <f t="shared" si="5"/>
        <v xml:space="preserve"> </v>
      </c>
      <c r="E2060" s="79" t="str">
        <f t="shared" si="6"/>
        <v xml:space="preserve"> </v>
      </c>
    </row>
    <row r="2061" spans="1:5" ht="12.5">
      <c r="A2061" s="81" t="str">
        <f t="shared" si="0"/>
        <v xml:space="preserve"> </v>
      </c>
      <c r="B2061" s="81" t="str">
        <f t="shared" si="1"/>
        <v xml:space="preserve"> </v>
      </c>
      <c r="C2061" s="79" t="str">
        <f t="shared" si="7"/>
        <v xml:space="preserve"> </v>
      </c>
      <c r="D2061" s="79" t="str">
        <f t="shared" si="5"/>
        <v xml:space="preserve"> </v>
      </c>
      <c r="E2061" s="79" t="str">
        <f t="shared" si="6"/>
        <v xml:space="preserve"> </v>
      </c>
    </row>
    <row r="2062" spans="1:5" ht="12.5">
      <c r="A2062" s="81" t="str">
        <f t="shared" si="0"/>
        <v xml:space="preserve"> </v>
      </c>
      <c r="B2062" s="81" t="str">
        <f t="shared" si="1"/>
        <v xml:space="preserve"> </v>
      </c>
      <c r="C2062" s="79" t="str">
        <f t="shared" si="7"/>
        <v xml:space="preserve"> </v>
      </c>
      <c r="D2062" s="79" t="str">
        <f t="shared" si="5"/>
        <v xml:space="preserve"> </v>
      </c>
      <c r="E2062" s="79" t="str">
        <f t="shared" si="6"/>
        <v xml:space="preserve"> </v>
      </c>
    </row>
    <row r="2063" spans="1:5" ht="12.5">
      <c r="A2063" s="81" t="str">
        <f t="shared" si="0"/>
        <v xml:space="preserve"> </v>
      </c>
      <c r="B2063" s="81" t="str">
        <f t="shared" si="1"/>
        <v xml:space="preserve"> </v>
      </c>
      <c r="C2063" s="79" t="str">
        <f t="shared" si="7"/>
        <v xml:space="preserve"> </v>
      </c>
      <c r="D2063" s="79" t="str">
        <f t="shared" si="5"/>
        <v xml:space="preserve"> </v>
      </c>
      <c r="E2063" s="79" t="str">
        <f t="shared" si="6"/>
        <v xml:space="preserve"> </v>
      </c>
    </row>
    <row r="2064" spans="1:5" ht="12.5">
      <c r="A2064" s="81" t="str">
        <f t="shared" si="0"/>
        <v xml:space="preserve"> </v>
      </c>
      <c r="B2064" s="81" t="str">
        <f t="shared" si="1"/>
        <v xml:space="preserve"> </v>
      </c>
      <c r="C2064" s="79" t="str">
        <f t="shared" si="7"/>
        <v xml:space="preserve"> </v>
      </c>
      <c r="D2064" s="79" t="str">
        <f t="shared" si="5"/>
        <v xml:space="preserve"> </v>
      </c>
      <c r="E2064" s="79" t="str">
        <f t="shared" si="6"/>
        <v xml:space="preserve"> </v>
      </c>
    </row>
    <row r="2065" spans="1:5" ht="12.5">
      <c r="A2065" s="81" t="str">
        <f t="shared" si="0"/>
        <v xml:space="preserve"> </v>
      </c>
      <c r="B2065" s="81" t="str">
        <f t="shared" si="1"/>
        <v xml:space="preserve"> </v>
      </c>
      <c r="C2065" s="79" t="str">
        <f t="shared" si="7"/>
        <v xml:space="preserve"> </v>
      </c>
      <c r="D2065" s="79" t="str">
        <f t="shared" si="5"/>
        <v xml:space="preserve"> </v>
      </c>
      <c r="E2065" s="79" t="str">
        <f t="shared" si="6"/>
        <v xml:space="preserve"> </v>
      </c>
    </row>
    <row r="2066" spans="1:5" ht="12.5">
      <c r="A2066" s="81" t="str">
        <f t="shared" si="0"/>
        <v xml:space="preserve"> </v>
      </c>
      <c r="B2066" s="81" t="str">
        <f t="shared" si="1"/>
        <v xml:space="preserve"> </v>
      </c>
      <c r="C2066" s="79" t="str">
        <f t="shared" si="7"/>
        <v xml:space="preserve"> </v>
      </c>
      <c r="D2066" s="79" t="str">
        <f t="shared" si="5"/>
        <v xml:space="preserve"> </v>
      </c>
      <c r="E2066" s="79" t="str">
        <f t="shared" si="6"/>
        <v xml:space="preserve"> </v>
      </c>
    </row>
    <row r="2067" spans="1:5" ht="12.5">
      <c r="A2067" s="81" t="str">
        <f t="shared" si="0"/>
        <v xml:space="preserve"> </v>
      </c>
      <c r="B2067" s="81" t="str">
        <f t="shared" si="1"/>
        <v xml:space="preserve"> </v>
      </c>
      <c r="C2067" s="79" t="str">
        <f t="shared" si="7"/>
        <v xml:space="preserve"> </v>
      </c>
      <c r="D2067" s="79" t="str">
        <f t="shared" si="5"/>
        <v xml:space="preserve"> </v>
      </c>
      <c r="E2067" s="79" t="str">
        <f t="shared" si="6"/>
        <v xml:space="preserve"> </v>
      </c>
    </row>
    <row r="2068" spans="1:5" ht="12.5">
      <c r="A2068" s="81" t="str">
        <f t="shared" si="0"/>
        <v xml:space="preserve"> </v>
      </c>
      <c r="B2068" s="81" t="str">
        <f t="shared" si="1"/>
        <v xml:space="preserve"> </v>
      </c>
      <c r="C2068" s="79" t="str">
        <f t="shared" si="7"/>
        <v xml:space="preserve"> </v>
      </c>
      <c r="D2068" s="79" t="str">
        <f t="shared" si="5"/>
        <v xml:space="preserve"> </v>
      </c>
      <c r="E2068" s="79" t="str">
        <f t="shared" si="6"/>
        <v xml:space="preserve"> </v>
      </c>
    </row>
    <row r="2069" spans="1:5" ht="12.5">
      <c r="A2069" s="81" t="str">
        <f t="shared" si="0"/>
        <v xml:space="preserve"> </v>
      </c>
      <c r="B2069" s="81" t="str">
        <f t="shared" si="1"/>
        <v xml:space="preserve"> </v>
      </c>
      <c r="C2069" s="79" t="str">
        <f t="shared" si="7"/>
        <v xml:space="preserve"> </v>
      </c>
      <c r="D2069" s="79" t="str">
        <f t="shared" si="5"/>
        <v xml:space="preserve"> </v>
      </c>
      <c r="E2069" s="79" t="str">
        <f t="shared" si="6"/>
        <v xml:space="preserve"> </v>
      </c>
    </row>
    <row r="2070" spans="1:5" ht="12.5">
      <c r="A2070" s="81" t="str">
        <f t="shared" si="0"/>
        <v xml:space="preserve"> </v>
      </c>
      <c r="B2070" s="81" t="str">
        <f t="shared" si="1"/>
        <v xml:space="preserve"> </v>
      </c>
      <c r="C2070" s="79" t="str">
        <f t="shared" si="7"/>
        <v xml:space="preserve"> </v>
      </c>
      <c r="D2070" s="79" t="str">
        <f t="shared" si="5"/>
        <v xml:space="preserve"> </v>
      </c>
      <c r="E2070" s="79" t="str">
        <f t="shared" si="6"/>
        <v xml:space="preserve"> </v>
      </c>
    </row>
    <row r="2071" spans="1:5" ht="12.5">
      <c r="A2071" s="81" t="str">
        <f t="shared" si="0"/>
        <v xml:space="preserve"> </v>
      </c>
      <c r="B2071" s="81" t="str">
        <f t="shared" si="1"/>
        <v xml:space="preserve"> </v>
      </c>
      <c r="C2071" s="79" t="str">
        <f t="shared" si="7"/>
        <v xml:space="preserve"> </v>
      </c>
      <c r="D2071" s="79" t="str">
        <f t="shared" si="5"/>
        <v xml:space="preserve"> </v>
      </c>
      <c r="E2071" s="79" t="str">
        <f t="shared" si="6"/>
        <v xml:space="preserve"> </v>
      </c>
    </row>
    <row r="2072" spans="1:5" ht="12.5">
      <c r="A2072" s="81" t="str">
        <f t="shared" si="0"/>
        <v xml:space="preserve"> </v>
      </c>
      <c r="B2072" s="81" t="str">
        <f t="shared" si="1"/>
        <v xml:space="preserve"> </v>
      </c>
      <c r="C2072" s="79" t="str">
        <f t="shared" si="7"/>
        <v xml:space="preserve"> </v>
      </c>
      <c r="D2072" s="79" t="str">
        <f t="shared" si="5"/>
        <v xml:space="preserve"> </v>
      </c>
      <c r="E2072" s="79" t="str">
        <f t="shared" si="6"/>
        <v xml:space="preserve"> </v>
      </c>
    </row>
    <row r="2073" spans="1:5" ht="12.5">
      <c r="A2073" s="81" t="str">
        <f t="shared" si="0"/>
        <v xml:space="preserve"> </v>
      </c>
      <c r="B2073" s="81" t="str">
        <f t="shared" si="1"/>
        <v xml:space="preserve"> </v>
      </c>
      <c r="C2073" s="79" t="str">
        <f t="shared" si="7"/>
        <v xml:space="preserve"> </v>
      </c>
      <c r="D2073" s="79" t="str">
        <f t="shared" si="5"/>
        <v xml:space="preserve"> </v>
      </c>
      <c r="E2073" s="79" t="str">
        <f t="shared" si="6"/>
        <v xml:space="preserve"> </v>
      </c>
    </row>
    <row r="2074" spans="1:5" ht="12.5">
      <c r="A2074" s="81" t="str">
        <f t="shared" si="0"/>
        <v xml:space="preserve"> </v>
      </c>
      <c r="B2074" s="81" t="str">
        <f t="shared" si="1"/>
        <v xml:space="preserve"> </v>
      </c>
      <c r="C2074" s="79" t="str">
        <f t="shared" si="7"/>
        <v xml:space="preserve"> </v>
      </c>
      <c r="D2074" s="79" t="str">
        <f t="shared" si="5"/>
        <v xml:space="preserve"> </v>
      </c>
      <c r="E2074" s="79" t="str">
        <f t="shared" si="6"/>
        <v xml:space="preserve"> </v>
      </c>
    </row>
    <row r="2075" spans="1:5" ht="12.5">
      <c r="A2075" s="81" t="str">
        <f t="shared" si="0"/>
        <v xml:space="preserve"> </v>
      </c>
      <c r="B2075" s="81" t="str">
        <f t="shared" si="1"/>
        <v xml:space="preserve"> </v>
      </c>
      <c r="C2075" s="79" t="str">
        <f t="shared" si="7"/>
        <v xml:space="preserve"> </v>
      </c>
      <c r="D2075" s="79" t="str">
        <f t="shared" si="5"/>
        <v xml:space="preserve"> </v>
      </c>
      <c r="E2075" s="79" t="str">
        <f t="shared" si="6"/>
        <v xml:space="preserve"> </v>
      </c>
    </row>
    <row r="2076" spans="1:5" ht="12.5">
      <c r="A2076" s="81" t="str">
        <f t="shared" si="0"/>
        <v xml:space="preserve"> </v>
      </c>
      <c r="B2076" s="81" t="str">
        <f t="shared" si="1"/>
        <v xml:space="preserve"> </v>
      </c>
      <c r="C2076" s="79" t="str">
        <f t="shared" si="7"/>
        <v xml:space="preserve"> </v>
      </c>
      <c r="D2076" s="79" t="str">
        <f t="shared" si="5"/>
        <v xml:space="preserve"> </v>
      </c>
      <c r="E2076" s="79" t="str">
        <f t="shared" si="6"/>
        <v xml:space="preserve"> </v>
      </c>
    </row>
    <row r="2077" spans="1:5" ht="12.5">
      <c r="A2077" s="81" t="str">
        <f t="shared" si="0"/>
        <v xml:space="preserve"> </v>
      </c>
      <c r="B2077" s="81" t="str">
        <f t="shared" si="1"/>
        <v xml:space="preserve"> </v>
      </c>
      <c r="C2077" s="79" t="str">
        <f t="shared" si="7"/>
        <v xml:space="preserve"> </v>
      </c>
      <c r="D2077" s="79" t="str">
        <f t="shared" si="5"/>
        <v xml:space="preserve"> </v>
      </c>
      <c r="E2077" s="79" t="str">
        <f t="shared" si="6"/>
        <v xml:space="preserve"> </v>
      </c>
    </row>
    <row r="2078" spans="1:5" ht="12.5">
      <c r="A2078" s="81" t="str">
        <f t="shared" si="0"/>
        <v xml:space="preserve"> </v>
      </c>
      <c r="B2078" s="81" t="str">
        <f t="shared" si="1"/>
        <v xml:space="preserve"> </v>
      </c>
      <c r="C2078" s="79" t="str">
        <f t="shared" si="7"/>
        <v xml:space="preserve"> </v>
      </c>
      <c r="D2078" s="79" t="str">
        <f t="shared" si="5"/>
        <v xml:space="preserve"> </v>
      </c>
      <c r="E2078" s="79" t="str">
        <f t="shared" si="6"/>
        <v xml:space="preserve"> </v>
      </c>
    </row>
    <row r="2079" spans="1:5" ht="12.5">
      <c r="A2079" s="81" t="str">
        <f t="shared" si="0"/>
        <v xml:space="preserve"> </v>
      </c>
      <c r="B2079" s="81" t="str">
        <f t="shared" si="1"/>
        <v xml:space="preserve"> </v>
      </c>
      <c r="C2079" s="79" t="str">
        <f t="shared" si="7"/>
        <v xml:space="preserve"> </v>
      </c>
      <c r="D2079" s="79" t="str">
        <f t="shared" si="5"/>
        <v xml:space="preserve"> </v>
      </c>
      <c r="E2079" s="79" t="str">
        <f t="shared" si="6"/>
        <v xml:space="preserve"> </v>
      </c>
    </row>
    <row r="2080" spans="1:5" ht="12.5">
      <c r="A2080" s="81" t="str">
        <f t="shared" si="0"/>
        <v xml:space="preserve"> </v>
      </c>
      <c r="B2080" s="81" t="str">
        <f t="shared" si="1"/>
        <v xml:space="preserve"> </v>
      </c>
      <c r="C2080" s="79" t="str">
        <f t="shared" si="7"/>
        <v xml:space="preserve"> </v>
      </c>
      <c r="D2080" s="79" t="str">
        <f t="shared" si="5"/>
        <v xml:space="preserve"> </v>
      </c>
      <c r="E2080" s="79" t="str">
        <f t="shared" si="6"/>
        <v xml:space="preserve"> </v>
      </c>
    </row>
    <row r="2081" spans="1:5" ht="12.5">
      <c r="A2081" s="81" t="str">
        <f t="shared" si="0"/>
        <v xml:space="preserve"> </v>
      </c>
      <c r="B2081" s="81" t="str">
        <f t="shared" si="1"/>
        <v xml:space="preserve"> </v>
      </c>
      <c r="C2081" s="79" t="str">
        <f t="shared" si="7"/>
        <v xml:space="preserve"> </v>
      </c>
      <c r="D2081" s="79" t="str">
        <f t="shared" si="5"/>
        <v xml:space="preserve"> </v>
      </c>
      <c r="E2081" s="79" t="str">
        <f t="shared" si="6"/>
        <v xml:space="preserve"> </v>
      </c>
    </row>
    <row r="2082" spans="1:5" ht="12.5">
      <c r="A2082" s="81" t="str">
        <f t="shared" si="0"/>
        <v xml:space="preserve"> </v>
      </c>
      <c r="B2082" s="81" t="str">
        <f t="shared" si="1"/>
        <v xml:space="preserve"> </v>
      </c>
      <c r="C2082" s="79" t="str">
        <f t="shared" si="7"/>
        <v xml:space="preserve"> </v>
      </c>
      <c r="D2082" s="79" t="str">
        <f t="shared" si="5"/>
        <v xml:space="preserve"> </v>
      </c>
      <c r="E2082" s="79" t="str">
        <f t="shared" si="6"/>
        <v xml:space="preserve"> </v>
      </c>
    </row>
    <row r="2083" spans="1:5" ht="12.5">
      <c r="A2083" s="81" t="str">
        <f t="shared" si="0"/>
        <v xml:space="preserve"> </v>
      </c>
      <c r="B2083" s="81" t="str">
        <f t="shared" si="1"/>
        <v xml:space="preserve"> </v>
      </c>
      <c r="C2083" s="79" t="str">
        <f t="shared" si="7"/>
        <v xml:space="preserve"> </v>
      </c>
      <c r="D2083" s="79" t="str">
        <f t="shared" si="5"/>
        <v xml:space="preserve"> </v>
      </c>
      <c r="E2083" s="79" t="str">
        <f t="shared" si="6"/>
        <v xml:space="preserve"> </v>
      </c>
    </row>
    <row r="2084" spans="1:5" ht="12.5">
      <c r="A2084" s="81" t="str">
        <f t="shared" si="0"/>
        <v xml:space="preserve"> </v>
      </c>
      <c r="B2084" s="81" t="str">
        <f t="shared" si="1"/>
        <v xml:space="preserve"> </v>
      </c>
      <c r="C2084" s="79" t="str">
        <f t="shared" si="7"/>
        <v xml:space="preserve"> </v>
      </c>
      <c r="D2084" s="79" t="str">
        <f t="shared" si="5"/>
        <v xml:space="preserve"> </v>
      </c>
      <c r="E2084" s="79" t="str">
        <f t="shared" si="6"/>
        <v xml:space="preserve"> </v>
      </c>
    </row>
    <row r="2085" spans="1:5" ht="12.5">
      <c r="A2085" s="81" t="str">
        <f t="shared" si="0"/>
        <v xml:space="preserve"> </v>
      </c>
      <c r="B2085" s="81" t="str">
        <f t="shared" si="1"/>
        <v xml:space="preserve"> </v>
      </c>
      <c r="C2085" s="79" t="str">
        <f t="shared" si="7"/>
        <v xml:space="preserve"> </v>
      </c>
      <c r="D2085" s="79" t="str">
        <f t="shared" si="5"/>
        <v xml:space="preserve"> </v>
      </c>
      <c r="E2085" s="79" t="str">
        <f t="shared" si="6"/>
        <v xml:space="preserve"> </v>
      </c>
    </row>
    <row r="2086" spans="1:5" ht="12.5">
      <c r="A2086" s="81" t="str">
        <f t="shared" si="0"/>
        <v xml:space="preserve"> </v>
      </c>
      <c r="B2086" s="81" t="str">
        <f t="shared" si="1"/>
        <v xml:space="preserve"> </v>
      </c>
      <c r="C2086" s="79" t="str">
        <f t="shared" si="7"/>
        <v xml:space="preserve"> </v>
      </c>
      <c r="D2086" s="79" t="str">
        <f t="shared" si="5"/>
        <v xml:space="preserve"> </v>
      </c>
      <c r="E2086" s="79" t="str">
        <f t="shared" si="6"/>
        <v xml:space="preserve"> </v>
      </c>
    </row>
    <row r="2087" spans="1:5" ht="12.5">
      <c r="A2087" s="81" t="str">
        <f t="shared" si="0"/>
        <v xml:space="preserve"> </v>
      </c>
      <c r="B2087" s="81" t="str">
        <f t="shared" si="1"/>
        <v xml:space="preserve"> </v>
      </c>
      <c r="C2087" s="79" t="str">
        <f t="shared" si="7"/>
        <v xml:space="preserve"> </v>
      </c>
      <c r="D2087" s="79" t="str">
        <f t="shared" si="5"/>
        <v xml:space="preserve"> </v>
      </c>
      <c r="E2087" s="79" t="str">
        <f t="shared" si="6"/>
        <v xml:space="preserve"> </v>
      </c>
    </row>
    <row r="2088" spans="1:5" ht="12.5">
      <c r="A2088" s="81" t="str">
        <f t="shared" si="0"/>
        <v xml:space="preserve"> </v>
      </c>
      <c r="B2088" s="81" t="str">
        <f t="shared" si="1"/>
        <v xml:space="preserve"> </v>
      </c>
      <c r="C2088" s="79" t="str">
        <f t="shared" si="7"/>
        <v xml:space="preserve"> </v>
      </c>
      <c r="D2088" s="79" t="str">
        <f t="shared" si="5"/>
        <v xml:space="preserve"> </v>
      </c>
      <c r="E2088" s="79" t="str">
        <f t="shared" si="6"/>
        <v xml:space="preserve"> </v>
      </c>
    </row>
    <row r="2089" spans="1:5" ht="12.5">
      <c r="A2089" s="81" t="str">
        <f t="shared" si="0"/>
        <v xml:space="preserve"> </v>
      </c>
      <c r="B2089" s="81" t="str">
        <f t="shared" si="1"/>
        <v xml:space="preserve"> </v>
      </c>
      <c r="C2089" s="79" t="str">
        <f t="shared" si="7"/>
        <v xml:space="preserve"> </v>
      </c>
      <c r="D2089" s="79" t="str">
        <f t="shared" si="5"/>
        <v xml:space="preserve"> </v>
      </c>
      <c r="E2089" s="79" t="str">
        <f t="shared" si="6"/>
        <v xml:space="preserve"> </v>
      </c>
    </row>
    <row r="2090" spans="1:5" ht="12.5">
      <c r="A2090" s="81" t="str">
        <f t="shared" si="0"/>
        <v xml:space="preserve"> </v>
      </c>
      <c r="B2090" s="81" t="str">
        <f t="shared" si="1"/>
        <v xml:space="preserve"> </v>
      </c>
      <c r="C2090" s="79" t="str">
        <f t="shared" si="7"/>
        <v xml:space="preserve"> </v>
      </c>
      <c r="D2090" s="79" t="str">
        <f t="shared" si="5"/>
        <v xml:space="preserve"> </v>
      </c>
      <c r="E2090" s="79" t="str">
        <f t="shared" si="6"/>
        <v xml:space="preserve"> </v>
      </c>
    </row>
    <row r="2091" spans="1:5" ht="12.5">
      <c r="A2091" s="81" t="str">
        <f t="shared" si="0"/>
        <v xml:space="preserve"> </v>
      </c>
      <c r="B2091" s="81" t="str">
        <f t="shared" si="1"/>
        <v xml:space="preserve"> </v>
      </c>
      <c r="C2091" s="79" t="str">
        <f t="shared" si="7"/>
        <v xml:space="preserve"> </v>
      </c>
      <c r="D2091" s="79" t="str">
        <f t="shared" si="5"/>
        <v xml:space="preserve"> </v>
      </c>
      <c r="E2091" s="79" t="str">
        <f t="shared" si="6"/>
        <v xml:space="preserve"> </v>
      </c>
    </row>
    <row r="2092" spans="1:5" ht="12.5">
      <c r="A2092" s="81" t="str">
        <f t="shared" si="0"/>
        <v xml:space="preserve"> </v>
      </c>
      <c r="B2092" s="81" t="str">
        <f t="shared" si="1"/>
        <v xml:space="preserve"> </v>
      </c>
      <c r="C2092" s="79" t="str">
        <f t="shared" si="7"/>
        <v xml:space="preserve"> </v>
      </c>
      <c r="D2092" s="79" t="str">
        <f t="shared" si="5"/>
        <v xml:space="preserve"> </v>
      </c>
      <c r="E2092" s="79" t="str">
        <f t="shared" si="6"/>
        <v xml:space="preserve"> </v>
      </c>
    </row>
    <row r="2093" spans="1:5" ht="12.5">
      <c r="A2093" s="81" t="str">
        <f t="shared" si="0"/>
        <v xml:space="preserve"> </v>
      </c>
      <c r="B2093" s="81" t="str">
        <f t="shared" si="1"/>
        <v xml:space="preserve"> </v>
      </c>
      <c r="C2093" s="79" t="str">
        <f t="shared" si="7"/>
        <v xml:space="preserve"> </v>
      </c>
      <c r="D2093" s="79" t="str">
        <f t="shared" si="5"/>
        <v xml:space="preserve"> </v>
      </c>
      <c r="E2093" s="79" t="str">
        <f t="shared" si="6"/>
        <v xml:space="preserve"> </v>
      </c>
    </row>
    <row r="2094" spans="1:5" ht="12.5">
      <c r="A2094" s="81" t="str">
        <f t="shared" si="0"/>
        <v xml:space="preserve"> </v>
      </c>
      <c r="B2094" s="81" t="str">
        <f t="shared" si="1"/>
        <v xml:space="preserve"> </v>
      </c>
      <c r="C2094" s="79" t="str">
        <f t="shared" si="7"/>
        <v xml:space="preserve"> </v>
      </c>
      <c r="D2094" s="79" t="str">
        <f t="shared" si="5"/>
        <v xml:space="preserve"> </v>
      </c>
      <c r="E2094" s="79" t="str">
        <f t="shared" si="6"/>
        <v xml:space="preserve"> </v>
      </c>
    </row>
    <row r="2095" spans="1:5" ht="12.5">
      <c r="A2095" s="81" t="str">
        <f t="shared" si="0"/>
        <v xml:space="preserve"> </v>
      </c>
      <c r="B2095" s="81" t="str">
        <f t="shared" si="1"/>
        <v xml:space="preserve"> </v>
      </c>
      <c r="C2095" s="79" t="str">
        <f t="shared" si="7"/>
        <v xml:space="preserve"> </v>
      </c>
      <c r="D2095" s="79" t="str">
        <f t="shared" si="5"/>
        <v xml:space="preserve"> </v>
      </c>
      <c r="E2095" s="79" t="str">
        <f t="shared" si="6"/>
        <v xml:space="preserve"> </v>
      </c>
    </row>
    <row r="2096" spans="1:5" ht="12.5">
      <c r="A2096" s="81" t="str">
        <f t="shared" si="0"/>
        <v xml:space="preserve"> </v>
      </c>
      <c r="B2096" s="81" t="str">
        <f t="shared" si="1"/>
        <v xml:space="preserve"> </v>
      </c>
      <c r="C2096" s="79" t="str">
        <f t="shared" si="7"/>
        <v xml:space="preserve"> </v>
      </c>
      <c r="D2096" s="79" t="str">
        <f t="shared" si="5"/>
        <v xml:space="preserve"> </v>
      </c>
      <c r="E2096" s="79" t="str">
        <f t="shared" si="6"/>
        <v xml:space="preserve"> </v>
      </c>
    </row>
    <row r="2097" spans="1:5" ht="12.5">
      <c r="A2097" s="81" t="str">
        <f t="shared" si="0"/>
        <v xml:space="preserve"> </v>
      </c>
      <c r="B2097" s="81" t="str">
        <f t="shared" si="1"/>
        <v xml:space="preserve"> </v>
      </c>
      <c r="C2097" s="79" t="str">
        <f t="shared" si="7"/>
        <v xml:space="preserve"> </v>
      </c>
      <c r="D2097" s="79" t="str">
        <f t="shared" si="5"/>
        <v xml:space="preserve"> </v>
      </c>
      <c r="E2097" s="79" t="str">
        <f t="shared" si="6"/>
        <v xml:space="preserve"> </v>
      </c>
    </row>
    <row r="2098" spans="1:5" ht="12.5">
      <c r="A2098" s="81" t="str">
        <f t="shared" si="0"/>
        <v xml:space="preserve"> </v>
      </c>
      <c r="B2098" s="81" t="str">
        <f t="shared" si="1"/>
        <v xml:space="preserve"> </v>
      </c>
      <c r="C2098" s="79" t="str">
        <f t="shared" si="7"/>
        <v xml:space="preserve"> </v>
      </c>
      <c r="D2098" s="79" t="str">
        <f t="shared" si="5"/>
        <v xml:space="preserve"> </v>
      </c>
      <c r="E2098" s="79" t="str">
        <f t="shared" si="6"/>
        <v xml:space="preserve"> </v>
      </c>
    </row>
    <row r="2099" spans="1:5" ht="12.5">
      <c r="A2099" s="81" t="str">
        <f t="shared" si="0"/>
        <v xml:space="preserve"> </v>
      </c>
      <c r="B2099" s="81" t="str">
        <f t="shared" si="1"/>
        <v xml:space="preserve"> </v>
      </c>
      <c r="C2099" s="79" t="str">
        <f t="shared" si="7"/>
        <v xml:space="preserve"> </v>
      </c>
      <c r="D2099" s="79" t="str">
        <f t="shared" si="5"/>
        <v xml:space="preserve"> </v>
      </c>
      <c r="E2099" s="79" t="str">
        <f t="shared" si="6"/>
        <v xml:space="preserve"> </v>
      </c>
    </row>
    <row r="2100" spans="1:5" ht="12.5">
      <c r="A2100" s="81" t="str">
        <f t="shared" si="0"/>
        <v xml:space="preserve"> </v>
      </c>
      <c r="B2100" s="81" t="str">
        <f t="shared" si="1"/>
        <v xml:space="preserve"> </v>
      </c>
      <c r="C2100" s="79" t="str">
        <f t="shared" si="7"/>
        <v xml:space="preserve"> </v>
      </c>
      <c r="D2100" s="79" t="str">
        <f t="shared" si="5"/>
        <v xml:space="preserve"> </v>
      </c>
      <c r="E2100" s="79" t="str">
        <f t="shared" si="6"/>
        <v xml:space="preserve"> </v>
      </c>
    </row>
    <row r="2101" spans="1:5" ht="12.5">
      <c r="A2101" s="81" t="str">
        <f t="shared" si="0"/>
        <v xml:space="preserve"> </v>
      </c>
      <c r="B2101" s="81" t="str">
        <f t="shared" si="1"/>
        <v xml:space="preserve"> </v>
      </c>
      <c r="C2101" s="79" t="str">
        <f t="shared" si="7"/>
        <v xml:space="preserve"> </v>
      </c>
      <c r="D2101" s="79" t="str">
        <f t="shared" si="5"/>
        <v xml:space="preserve"> </v>
      </c>
      <c r="E2101" s="79" t="str">
        <f t="shared" si="6"/>
        <v xml:space="preserve"> </v>
      </c>
    </row>
    <row r="2102" spans="1:5" ht="12.5">
      <c r="A2102" s="81" t="str">
        <f t="shared" si="0"/>
        <v xml:space="preserve"> </v>
      </c>
      <c r="B2102" s="81" t="str">
        <f t="shared" si="1"/>
        <v xml:space="preserve"> </v>
      </c>
      <c r="C2102" s="79" t="str">
        <f t="shared" si="7"/>
        <v xml:space="preserve"> </v>
      </c>
      <c r="D2102" s="79" t="str">
        <f t="shared" si="5"/>
        <v xml:space="preserve"> </v>
      </c>
      <c r="E2102" s="79" t="str">
        <f t="shared" si="6"/>
        <v xml:space="preserve"> </v>
      </c>
    </row>
    <row r="2103" spans="1:5" ht="12.5">
      <c r="A2103" s="81" t="str">
        <f t="shared" si="0"/>
        <v xml:space="preserve"> </v>
      </c>
      <c r="B2103" s="81" t="str">
        <f t="shared" si="1"/>
        <v xml:space="preserve"> </v>
      </c>
      <c r="C2103" s="79" t="str">
        <f t="shared" si="7"/>
        <v xml:space="preserve"> </v>
      </c>
      <c r="D2103" s="79" t="str">
        <f t="shared" si="5"/>
        <v xml:space="preserve"> </v>
      </c>
      <c r="E2103" s="79" t="str">
        <f t="shared" si="6"/>
        <v xml:space="preserve"> </v>
      </c>
    </row>
    <row r="2104" spans="1:5" ht="12.5">
      <c r="A2104" s="81" t="str">
        <f t="shared" si="0"/>
        <v xml:space="preserve"> </v>
      </c>
      <c r="B2104" s="81" t="str">
        <f t="shared" si="1"/>
        <v xml:space="preserve"> </v>
      </c>
      <c r="C2104" s="79" t="str">
        <f t="shared" si="7"/>
        <v xml:space="preserve"> </v>
      </c>
      <c r="D2104" s="79" t="str">
        <f t="shared" si="5"/>
        <v xml:space="preserve"> </v>
      </c>
      <c r="E2104" s="79" t="str">
        <f t="shared" si="6"/>
        <v xml:space="preserve"> </v>
      </c>
    </row>
    <row r="2105" spans="1:5" ht="12.5">
      <c r="A2105" s="81" t="str">
        <f t="shared" si="0"/>
        <v xml:space="preserve"> </v>
      </c>
      <c r="B2105" s="81" t="str">
        <f t="shared" si="1"/>
        <v xml:space="preserve"> </v>
      </c>
      <c r="C2105" s="79" t="str">
        <f t="shared" si="7"/>
        <v xml:space="preserve"> </v>
      </c>
      <c r="D2105" s="79" t="str">
        <f t="shared" si="5"/>
        <v xml:space="preserve"> </v>
      </c>
      <c r="E2105" s="79" t="str">
        <f t="shared" si="6"/>
        <v xml:space="preserve"> </v>
      </c>
    </row>
    <row r="2106" spans="1:5" ht="12.5">
      <c r="A2106" s="81" t="str">
        <f t="shared" si="0"/>
        <v xml:space="preserve"> </v>
      </c>
      <c r="B2106" s="81" t="str">
        <f t="shared" si="1"/>
        <v xml:space="preserve"> </v>
      </c>
      <c r="C2106" s="79" t="str">
        <f t="shared" si="7"/>
        <v xml:space="preserve"> </v>
      </c>
      <c r="D2106" s="79" t="str">
        <f t="shared" si="5"/>
        <v xml:space="preserve"> </v>
      </c>
      <c r="E2106" s="79" t="str">
        <f t="shared" si="6"/>
        <v xml:space="preserve"> </v>
      </c>
    </row>
    <row r="2107" spans="1:5" ht="12.5">
      <c r="A2107" s="81" t="str">
        <f t="shared" si="0"/>
        <v xml:space="preserve"> </v>
      </c>
      <c r="B2107" s="81" t="str">
        <f t="shared" si="1"/>
        <v xml:space="preserve"> </v>
      </c>
      <c r="C2107" s="79" t="str">
        <f t="shared" si="7"/>
        <v xml:space="preserve"> </v>
      </c>
      <c r="D2107" s="79" t="str">
        <f t="shared" si="5"/>
        <v xml:space="preserve"> </v>
      </c>
      <c r="E2107" s="79" t="str">
        <f t="shared" si="6"/>
        <v xml:space="preserve"> </v>
      </c>
    </row>
    <row r="2108" spans="1:5" ht="12.5">
      <c r="A2108" s="81" t="str">
        <f t="shared" si="0"/>
        <v xml:space="preserve"> </v>
      </c>
      <c r="B2108" s="81" t="str">
        <f t="shared" si="1"/>
        <v xml:space="preserve"> </v>
      </c>
      <c r="C2108" s="79" t="str">
        <f t="shared" si="7"/>
        <v xml:space="preserve"> </v>
      </c>
      <c r="D2108" s="79" t="str">
        <f t="shared" si="5"/>
        <v xml:space="preserve"> </v>
      </c>
      <c r="E2108" s="79" t="str">
        <f t="shared" si="6"/>
        <v xml:space="preserve"> </v>
      </c>
    </row>
    <row r="2109" spans="1:5" ht="12.5">
      <c r="A2109" s="81" t="str">
        <f t="shared" si="0"/>
        <v xml:space="preserve"> </v>
      </c>
      <c r="B2109" s="81" t="str">
        <f t="shared" si="1"/>
        <v xml:space="preserve"> </v>
      </c>
      <c r="C2109" s="79" t="str">
        <f t="shared" si="7"/>
        <v xml:space="preserve"> </v>
      </c>
      <c r="D2109" s="79" t="str">
        <f t="shared" si="5"/>
        <v xml:space="preserve"> </v>
      </c>
      <c r="E2109" s="79" t="str">
        <f t="shared" si="6"/>
        <v xml:space="preserve"> </v>
      </c>
    </row>
    <row r="2110" spans="1:5" ht="12.5">
      <c r="A2110" s="81" t="str">
        <f t="shared" si="0"/>
        <v xml:space="preserve"> </v>
      </c>
      <c r="B2110" s="81" t="str">
        <f t="shared" si="1"/>
        <v xml:space="preserve"> </v>
      </c>
      <c r="C2110" s="79" t="str">
        <f t="shared" si="7"/>
        <v xml:space="preserve"> </v>
      </c>
      <c r="D2110" s="79" t="str">
        <f t="shared" si="5"/>
        <v xml:space="preserve"> </v>
      </c>
      <c r="E2110" s="79" t="str">
        <f t="shared" si="6"/>
        <v xml:space="preserve"> </v>
      </c>
    </row>
    <row r="2111" spans="1:5" ht="12.5">
      <c r="A2111" s="81" t="str">
        <f t="shared" si="0"/>
        <v xml:space="preserve"> </v>
      </c>
      <c r="B2111" s="81" t="str">
        <f t="shared" si="1"/>
        <v xml:space="preserve"> </v>
      </c>
      <c r="C2111" s="79" t="str">
        <f t="shared" si="7"/>
        <v xml:space="preserve"> </v>
      </c>
      <c r="D2111" s="79" t="str">
        <f t="shared" si="5"/>
        <v xml:space="preserve"> </v>
      </c>
      <c r="E2111" s="79" t="str">
        <f t="shared" si="6"/>
        <v xml:space="preserve"> </v>
      </c>
    </row>
    <row r="2112" spans="1:5" ht="12.5">
      <c r="A2112" s="81" t="str">
        <f t="shared" si="0"/>
        <v xml:space="preserve"> </v>
      </c>
      <c r="B2112" s="81" t="str">
        <f t="shared" si="1"/>
        <v xml:space="preserve"> </v>
      </c>
      <c r="C2112" s="79" t="str">
        <f t="shared" si="7"/>
        <v xml:space="preserve"> </v>
      </c>
      <c r="D2112" s="79" t="str">
        <f t="shared" si="5"/>
        <v xml:space="preserve"> </v>
      </c>
      <c r="E2112" s="79" t="str">
        <f t="shared" si="6"/>
        <v xml:space="preserve"> </v>
      </c>
    </row>
    <row r="2113" spans="1:5" ht="12.5">
      <c r="A2113" s="81" t="str">
        <f t="shared" si="0"/>
        <v xml:space="preserve"> </v>
      </c>
      <c r="B2113" s="81" t="str">
        <f t="shared" si="1"/>
        <v xml:space="preserve"> </v>
      </c>
      <c r="C2113" s="79" t="str">
        <f t="shared" si="7"/>
        <v xml:space="preserve"> </v>
      </c>
      <c r="D2113" s="79" t="str">
        <f t="shared" si="5"/>
        <v xml:space="preserve"> </v>
      </c>
      <c r="E2113" s="79" t="str">
        <f t="shared" si="6"/>
        <v xml:space="preserve"> </v>
      </c>
    </row>
    <row r="2114" spans="1:5" ht="12.5">
      <c r="A2114" s="81" t="str">
        <f t="shared" si="0"/>
        <v xml:space="preserve"> </v>
      </c>
      <c r="B2114" s="81" t="str">
        <f t="shared" si="1"/>
        <v xml:space="preserve"> </v>
      </c>
      <c r="C2114" s="79" t="str">
        <f t="shared" si="7"/>
        <v xml:space="preserve"> </v>
      </c>
      <c r="D2114" s="79" t="str">
        <f t="shared" si="5"/>
        <v xml:space="preserve"> </v>
      </c>
      <c r="E2114" s="79" t="str">
        <f t="shared" si="6"/>
        <v xml:space="preserve"> </v>
      </c>
    </row>
    <row r="2115" spans="1:5" ht="12.5">
      <c r="A2115" s="81" t="str">
        <f t="shared" si="0"/>
        <v xml:space="preserve"> </v>
      </c>
      <c r="B2115" s="81" t="str">
        <f t="shared" si="1"/>
        <v xml:space="preserve"> </v>
      </c>
      <c r="C2115" s="79" t="str">
        <f t="shared" si="7"/>
        <v xml:space="preserve"> </v>
      </c>
      <c r="D2115" s="79" t="str">
        <f t="shared" si="5"/>
        <v xml:space="preserve"> </v>
      </c>
      <c r="E2115" s="79" t="str">
        <f t="shared" si="6"/>
        <v xml:space="preserve"> </v>
      </c>
    </row>
    <row r="2116" spans="1:5" ht="12.5">
      <c r="A2116" s="81" t="str">
        <f t="shared" si="0"/>
        <v xml:space="preserve"> </v>
      </c>
      <c r="B2116" s="81" t="str">
        <f t="shared" si="1"/>
        <v xml:space="preserve"> </v>
      </c>
      <c r="C2116" s="79" t="str">
        <f t="shared" si="7"/>
        <v xml:space="preserve"> </v>
      </c>
      <c r="D2116" s="79" t="str">
        <f t="shared" si="5"/>
        <v xml:space="preserve"> </v>
      </c>
      <c r="E2116" s="79" t="str">
        <f t="shared" si="6"/>
        <v xml:space="preserve"> </v>
      </c>
    </row>
    <row r="2117" spans="1:5" ht="12.5">
      <c r="A2117" s="81" t="str">
        <f t="shared" si="0"/>
        <v xml:space="preserve"> </v>
      </c>
      <c r="B2117" s="81" t="str">
        <f t="shared" si="1"/>
        <v xml:space="preserve"> </v>
      </c>
      <c r="C2117" s="79" t="str">
        <f t="shared" si="7"/>
        <v xml:space="preserve"> </v>
      </c>
      <c r="D2117" s="79" t="str">
        <f t="shared" si="5"/>
        <v xml:space="preserve"> </v>
      </c>
      <c r="E2117" s="79" t="str">
        <f t="shared" si="6"/>
        <v xml:space="preserve"> </v>
      </c>
    </row>
    <row r="2118" spans="1:5" ht="12.5">
      <c r="A2118" s="81" t="str">
        <f t="shared" si="0"/>
        <v xml:space="preserve"> </v>
      </c>
      <c r="B2118" s="81" t="str">
        <f t="shared" si="1"/>
        <v xml:space="preserve"> </v>
      </c>
      <c r="C2118" s="79" t="str">
        <f t="shared" si="7"/>
        <v xml:space="preserve"> </v>
      </c>
      <c r="D2118" s="79" t="str">
        <f t="shared" si="5"/>
        <v xml:space="preserve"> </v>
      </c>
      <c r="E2118" s="79" t="str">
        <f t="shared" si="6"/>
        <v xml:space="preserve"> </v>
      </c>
    </row>
    <row r="2119" spans="1:5" ht="12.5">
      <c r="A2119" s="81" t="str">
        <f t="shared" si="0"/>
        <v xml:space="preserve"> </v>
      </c>
      <c r="B2119" s="81" t="str">
        <f t="shared" si="1"/>
        <v xml:space="preserve"> </v>
      </c>
      <c r="C2119" s="79" t="str">
        <f t="shared" si="7"/>
        <v xml:space="preserve"> </v>
      </c>
      <c r="D2119" s="79" t="str">
        <f t="shared" si="5"/>
        <v xml:space="preserve"> </v>
      </c>
      <c r="E2119" s="79" t="str">
        <f t="shared" si="6"/>
        <v xml:space="preserve"> </v>
      </c>
    </row>
    <row r="2120" spans="1:5" ht="12.5">
      <c r="A2120" s="81" t="str">
        <f t="shared" si="0"/>
        <v xml:space="preserve"> </v>
      </c>
      <c r="B2120" s="81" t="str">
        <f t="shared" si="1"/>
        <v xml:space="preserve"> </v>
      </c>
      <c r="C2120" s="79" t="str">
        <f t="shared" si="7"/>
        <v xml:space="preserve"> </v>
      </c>
      <c r="D2120" s="79" t="str">
        <f t="shared" si="5"/>
        <v xml:space="preserve"> </v>
      </c>
      <c r="E2120" s="79" t="str">
        <f t="shared" si="6"/>
        <v xml:space="preserve"> </v>
      </c>
    </row>
    <row r="2121" spans="1:5" ht="12.5">
      <c r="A2121" s="81" t="str">
        <f t="shared" si="0"/>
        <v xml:space="preserve"> </v>
      </c>
      <c r="B2121" s="81" t="str">
        <f t="shared" si="1"/>
        <v xml:space="preserve"> </v>
      </c>
      <c r="C2121" s="79" t="str">
        <f t="shared" si="7"/>
        <v xml:space="preserve"> </v>
      </c>
      <c r="D2121" s="79" t="str">
        <f t="shared" si="5"/>
        <v xml:space="preserve"> </v>
      </c>
      <c r="E2121" s="79" t="str">
        <f t="shared" si="6"/>
        <v xml:space="preserve"> </v>
      </c>
    </row>
    <row r="2122" spans="1:5" ht="12.5">
      <c r="A2122" s="81" t="str">
        <f t="shared" si="0"/>
        <v xml:space="preserve"> </v>
      </c>
      <c r="B2122" s="81" t="str">
        <f t="shared" si="1"/>
        <v xml:space="preserve"> </v>
      </c>
      <c r="C2122" s="79" t="str">
        <f t="shared" si="7"/>
        <v xml:space="preserve"> </v>
      </c>
      <c r="D2122" s="79" t="str">
        <f t="shared" si="5"/>
        <v xml:space="preserve"> </v>
      </c>
      <c r="E2122" s="79" t="str">
        <f t="shared" si="6"/>
        <v xml:space="preserve"> </v>
      </c>
    </row>
    <row r="2123" spans="1:5" ht="12.5">
      <c r="A2123" s="81" t="str">
        <f t="shared" si="0"/>
        <v xml:space="preserve"> </v>
      </c>
      <c r="B2123" s="81" t="str">
        <f t="shared" si="1"/>
        <v xml:space="preserve"> </v>
      </c>
      <c r="C2123" s="79" t="str">
        <f t="shared" si="7"/>
        <v xml:space="preserve"> </v>
      </c>
      <c r="D2123" s="79" t="str">
        <f t="shared" si="5"/>
        <v xml:space="preserve"> </v>
      </c>
      <c r="E2123" s="79" t="str">
        <f t="shared" si="6"/>
        <v xml:space="preserve"> </v>
      </c>
    </row>
    <row r="2124" spans="1:5" ht="12.5">
      <c r="A2124" s="81" t="str">
        <f t="shared" si="0"/>
        <v xml:space="preserve"> </v>
      </c>
      <c r="B2124" s="81" t="str">
        <f t="shared" si="1"/>
        <v xml:space="preserve"> </v>
      </c>
      <c r="C2124" s="79" t="str">
        <f t="shared" si="7"/>
        <v xml:space="preserve"> </v>
      </c>
      <c r="D2124" s="79" t="str">
        <f t="shared" si="5"/>
        <v xml:space="preserve"> </v>
      </c>
      <c r="E2124" s="79" t="str">
        <f t="shared" si="6"/>
        <v xml:space="preserve"> </v>
      </c>
    </row>
    <row r="2125" spans="1:5" ht="12.5">
      <c r="A2125" s="81" t="str">
        <f t="shared" si="0"/>
        <v xml:space="preserve"> </v>
      </c>
      <c r="B2125" s="81" t="str">
        <f t="shared" si="1"/>
        <v xml:space="preserve"> </v>
      </c>
      <c r="C2125" s="79" t="str">
        <f t="shared" si="7"/>
        <v xml:space="preserve"> </v>
      </c>
      <c r="D2125" s="79" t="str">
        <f t="shared" si="5"/>
        <v xml:space="preserve"> </v>
      </c>
      <c r="E2125" s="79" t="str">
        <f t="shared" si="6"/>
        <v xml:space="preserve"> </v>
      </c>
    </row>
    <row r="2126" spans="1:5" ht="12.5">
      <c r="A2126" s="81" t="str">
        <f t="shared" si="0"/>
        <v xml:space="preserve"> </v>
      </c>
      <c r="B2126" s="81" t="str">
        <f t="shared" si="1"/>
        <v xml:space="preserve"> </v>
      </c>
      <c r="C2126" s="79" t="str">
        <f t="shared" si="7"/>
        <v xml:space="preserve"> </v>
      </c>
      <c r="D2126" s="79" t="str">
        <f t="shared" si="5"/>
        <v xml:space="preserve"> </v>
      </c>
      <c r="E2126" s="79" t="str">
        <f t="shared" si="6"/>
        <v xml:space="preserve"> </v>
      </c>
    </row>
    <row r="2127" spans="1:5" ht="12.5">
      <c r="A2127" s="81" t="str">
        <f t="shared" si="0"/>
        <v xml:space="preserve"> </v>
      </c>
      <c r="B2127" s="81" t="str">
        <f t="shared" si="1"/>
        <v xml:space="preserve"> </v>
      </c>
      <c r="C2127" s="79" t="str">
        <f t="shared" si="7"/>
        <v xml:space="preserve"> </v>
      </c>
      <c r="D2127" s="79" t="str">
        <f t="shared" si="5"/>
        <v xml:space="preserve"> </v>
      </c>
      <c r="E2127" s="79" t="str">
        <f t="shared" si="6"/>
        <v xml:space="preserve"> </v>
      </c>
    </row>
    <row r="2128" spans="1:5" ht="12.5">
      <c r="A2128" s="81" t="str">
        <f t="shared" si="0"/>
        <v xml:space="preserve"> </v>
      </c>
      <c r="B2128" s="81" t="str">
        <f t="shared" si="1"/>
        <v xml:space="preserve"> </v>
      </c>
      <c r="C2128" s="79" t="str">
        <f t="shared" si="7"/>
        <v xml:space="preserve"> </v>
      </c>
      <c r="D2128" s="79" t="str">
        <f t="shared" si="5"/>
        <v xml:space="preserve"> </v>
      </c>
      <c r="E2128" s="79" t="str">
        <f t="shared" si="6"/>
        <v xml:space="preserve"> </v>
      </c>
    </row>
    <row r="2129" spans="1:5" ht="12.5">
      <c r="A2129" s="81" t="str">
        <f t="shared" si="0"/>
        <v xml:space="preserve"> </v>
      </c>
      <c r="B2129" s="81" t="str">
        <f t="shared" si="1"/>
        <v xml:space="preserve"> </v>
      </c>
      <c r="C2129" s="79" t="str">
        <f t="shared" si="7"/>
        <v xml:space="preserve"> </v>
      </c>
      <c r="D2129" s="79" t="str">
        <f t="shared" si="5"/>
        <v xml:space="preserve"> </v>
      </c>
      <c r="E2129" s="79" t="str">
        <f t="shared" si="6"/>
        <v xml:space="preserve"> </v>
      </c>
    </row>
    <row r="2130" spans="1:5" ht="12.5">
      <c r="A2130" s="81" t="str">
        <f t="shared" si="0"/>
        <v xml:space="preserve"> </v>
      </c>
      <c r="B2130" s="81" t="str">
        <f t="shared" si="1"/>
        <v xml:space="preserve"> </v>
      </c>
      <c r="C2130" s="79" t="str">
        <f t="shared" si="7"/>
        <v xml:space="preserve"> </v>
      </c>
      <c r="D2130" s="79" t="str">
        <f t="shared" si="5"/>
        <v xml:space="preserve"> </v>
      </c>
      <c r="E2130" s="79" t="str">
        <f t="shared" si="6"/>
        <v xml:space="preserve"> </v>
      </c>
    </row>
    <row r="2131" spans="1:5" ht="12.5">
      <c r="A2131" s="81" t="str">
        <f t="shared" si="0"/>
        <v xml:space="preserve"> </v>
      </c>
      <c r="B2131" s="81" t="str">
        <f t="shared" si="1"/>
        <v xml:space="preserve"> </v>
      </c>
      <c r="C2131" s="79" t="str">
        <f t="shared" si="7"/>
        <v xml:space="preserve"> </v>
      </c>
      <c r="D2131" s="79" t="str">
        <f t="shared" si="5"/>
        <v xml:space="preserve"> </v>
      </c>
      <c r="E2131" s="79" t="str">
        <f t="shared" si="6"/>
        <v xml:space="preserve"> </v>
      </c>
    </row>
    <row r="2132" spans="1:5" ht="12.5">
      <c r="A2132" s="81" t="str">
        <f t="shared" si="0"/>
        <v xml:space="preserve"> </v>
      </c>
      <c r="B2132" s="81" t="str">
        <f t="shared" si="1"/>
        <v xml:space="preserve"> </v>
      </c>
      <c r="C2132" s="79" t="str">
        <f t="shared" si="7"/>
        <v xml:space="preserve"> </v>
      </c>
      <c r="D2132" s="79" t="str">
        <f t="shared" si="5"/>
        <v xml:space="preserve"> </v>
      </c>
      <c r="E2132" s="79" t="str">
        <f t="shared" si="6"/>
        <v xml:space="preserve"> </v>
      </c>
    </row>
    <row r="2133" spans="1:5" ht="12.5">
      <c r="A2133" s="81" t="str">
        <f t="shared" si="0"/>
        <v xml:space="preserve"> </v>
      </c>
      <c r="B2133" s="81" t="str">
        <f t="shared" si="1"/>
        <v xml:space="preserve"> </v>
      </c>
      <c r="C2133" s="79" t="str">
        <f t="shared" si="7"/>
        <v xml:space="preserve"> </v>
      </c>
      <c r="D2133" s="79" t="str">
        <f t="shared" si="5"/>
        <v xml:space="preserve"> </v>
      </c>
      <c r="E2133" s="79" t="str">
        <f t="shared" si="6"/>
        <v xml:space="preserve"> </v>
      </c>
    </row>
    <row r="2134" spans="1:5" ht="12.5">
      <c r="A2134" s="81" t="str">
        <f t="shared" si="0"/>
        <v xml:space="preserve"> </v>
      </c>
      <c r="B2134" s="81" t="str">
        <f t="shared" si="1"/>
        <v xml:space="preserve"> </v>
      </c>
      <c r="C2134" s="79" t="str">
        <f t="shared" si="7"/>
        <v xml:space="preserve"> </v>
      </c>
      <c r="D2134" s="79" t="str">
        <f t="shared" si="5"/>
        <v xml:space="preserve"> </v>
      </c>
      <c r="E2134" s="79" t="str">
        <f t="shared" si="6"/>
        <v xml:space="preserve"> </v>
      </c>
    </row>
    <row r="2135" spans="1:5" ht="12.5">
      <c r="A2135" s="81" t="str">
        <f t="shared" si="0"/>
        <v xml:space="preserve"> </v>
      </c>
      <c r="B2135" s="81" t="str">
        <f t="shared" si="1"/>
        <v xml:space="preserve"> </v>
      </c>
      <c r="C2135" s="79" t="str">
        <f t="shared" si="7"/>
        <v xml:space="preserve"> </v>
      </c>
      <c r="D2135" s="79" t="str">
        <f t="shared" si="5"/>
        <v xml:space="preserve"> </v>
      </c>
      <c r="E2135" s="79" t="str">
        <f t="shared" si="6"/>
        <v xml:space="preserve"> </v>
      </c>
    </row>
    <row r="2136" spans="1:5" ht="12.5">
      <c r="A2136" s="81" t="str">
        <f t="shared" si="0"/>
        <v xml:space="preserve"> </v>
      </c>
      <c r="B2136" s="81" t="str">
        <f t="shared" si="1"/>
        <v xml:space="preserve"> </v>
      </c>
      <c r="C2136" s="79" t="str">
        <f t="shared" si="7"/>
        <v xml:space="preserve"> </v>
      </c>
      <c r="D2136" s="79" t="str">
        <f t="shared" si="5"/>
        <v xml:space="preserve"> </v>
      </c>
      <c r="E2136" s="79" t="str">
        <f t="shared" si="6"/>
        <v xml:space="preserve"> </v>
      </c>
    </row>
    <row r="2137" spans="1:5" ht="12.5">
      <c r="A2137" s="81" t="str">
        <f t="shared" si="0"/>
        <v xml:space="preserve"> </v>
      </c>
      <c r="B2137" s="81" t="str">
        <f t="shared" si="1"/>
        <v xml:space="preserve"> </v>
      </c>
      <c r="C2137" s="79" t="str">
        <f t="shared" si="7"/>
        <v xml:space="preserve"> </v>
      </c>
      <c r="D2137" s="79" t="str">
        <f t="shared" si="5"/>
        <v xml:space="preserve"> </v>
      </c>
      <c r="E2137" s="79" t="str">
        <f t="shared" si="6"/>
        <v xml:space="preserve"> </v>
      </c>
    </row>
    <row r="2138" spans="1:5" ht="12.5">
      <c r="A2138" s="81" t="str">
        <f t="shared" si="0"/>
        <v xml:space="preserve"> </v>
      </c>
      <c r="B2138" s="81" t="str">
        <f t="shared" si="1"/>
        <v xml:space="preserve"> </v>
      </c>
      <c r="C2138" s="79" t="str">
        <f t="shared" si="7"/>
        <v xml:space="preserve"> </v>
      </c>
      <c r="D2138" s="79" t="str">
        <f t="shared" si="5"/>
        <v xml:space="preserve"> </v>
      </c>
      <c r="E2138" s="79" t="str">
        <f t="shared" si="6"/>
        <v xml:space="preserve"> </v>
      </c>
    </row>
    <row r="2139" spans="1:5" ht="12.5">
      <c r="A2139" s="81" t="str">
        <f t="shared" si="0"/>
        <v xml:space="preserve"> </v>
      </c>
      <c r="B2139" s="81" t="str">
        <f t="shared" si="1"/>
        <v xml:space="preserve"> </v>
      </c>
      <c r="C2139" s="79" t="str">
        <f t="shared" si="7"/>
        <v xml:space="preserve"> </v>
      </c>
      <c r="D2139" s="79" t="str">
        <f t="shared" si="5"/>
        <v xml:space="preserve"> </v>
      </c>
      <c r="E2139" s="79" t="str">
        <f t="shared" si="6"/>
        <v xml:space="preserve"> </v>
      </c>
    </row>
    <row r="2140" spans="1:5" ht="12.5">
      <c r="A2140" s="81" t="str">
        <f t="shared" si="0"/>
        <v xml:space="preserve"> </v>
      </c>
      <c r="B2140" s="81" t="str">
        <f t="shared" si="1"/>
        <v xml:space="preserve"> </v>
      </c>
      <c r="C2140" s="79" t="str">
        <f t="shared" si="7"/>
        <v xml:space="preserve"> </v>
      </c>
      <c r="D2140" s="79" t="str">
        <f t="shared" si="5"/>
        <v xml:space="preserve"> </v>
      </c>
      <c r="E2140" s="79" t="str">
        <f t="shared" si="6"/>
        <v xml:space="preserve"> </v>
      </c>
    </row>
    <row r="2141" spans="1:5" ht="12.5">
      <c r="A2141" s="81" t="str">
        <f t="shared" si="0"/>
        <v xml:space="preserve"> </v>
      </c>
      <c r="B2141" s="81" t="str">
        <f t="shared" si="1"/>
        <v xml:space="preserve"> </v>
      </c>
      <c r="C2141" s="79" t="str">
        <f t="shared" si="7"/>
        <v xml:space="preserve"> </v>
      </c>
      <c r="D2141" s="79" t="str">
        <f t="shared" si="5"/>
        <v xml:space="preserve"> </v>
      </c>
      <c r="E2141" s="79" t="str">
        <f t="shared" si="6"/>
        <v xml:space="preserve"> </v>
      </c>
    </row>
    <row r="2142" spans="1:5" ht="12.5">
      <c r="A2142" s="81" t="str">
        <f t="shared" si="0"/>
        <v xml:space="preserve"> </v>
      </c>
      <c r="B2142" s="81" t="str">
        <f t="shared" si="1"/>
        <v xml:space="preserve"> </v>
      </c>
      <c r="C2142" s="79" t="str">
        <f t="shared" si="7"/>
        <v xml:space="preserve"> </v>
      </c>
      <c r="D2142" s="79" t="str">
        <f t="shared" si="5"/>
        <v xml:space="preserve"> </v>
      </c>
      <c r="E2142" s="79" t="str">
        <f t="shared" si="6"/>
        <v xml:space="preserve"> </v>
      </c>
    </row>
    <row r="2143" spans="1:5" ht="12.5">
      <c r="A2143" s="81" t="str">
        <f t="shared" si="0"/>
        <v xml:space="preserve"> </v>
      </c>
      <c r="B2143" s="81" t="str">
        <f t="shared" si="1"/>
        <v xml:space="preserve"> </v>
      </c>
      <c r="C2143" s="79" t="str">
        <f t="shared" si="7"/>
        <v xml:space="preserve"> </v>
      </c>
      <c r="D2143" s="79" t="str">
        <f t="shared" si="5"/>
        <v xml:space="preserve"> </v>
      </c>
      <c r="E2143" s="79" t="str">
        <f t="shared" si="6"/>
        <v xml:space="preserve"> </v>
      </c>
    </row>
    <row r="2144" spans="1:5" ht="12.5">
      <c r="A2144" s="81" t="str">
        <f t="shared" si="0"/>
        <v xml:space="preserve"> </v>
      </c>
      <c r="B2144" s="81" t="str">
        <f t="shared" si="1"/>
        <v xml:space="preserve"> </v>
      </c>
      <c r="C2144" s="79" t="str">
        <f t="shared" si="7"/>
        <v xml:space="preserve"> </v>
      </c>
      <c r="D2144" s="79" t="str">
        <f t="shared" si="5"/>
        <v xml:space="preserve"> </v>
      </c>
      <c r="E2144" s="79" t="str">
        <f t="shared" si="6"/>
        <v xml:space="preserve"> </v>
      </c>
    </row>
    <row r="2145" spans="1:5" ht="12.5">
      <c r="A2145" s="81" t="str">
        <f t="shared" si="0"/>
        <v xml:space="preserve"> </v>
      </c>
      <c r="B2145" s="81" t="str">
        <f t="shared" si="1"/>
        <v xml:space="preserve"> </v>
      </c>
      <c r="C2145" s="79" t="str">
        <f t="shared" si="7"/>
        <v xml:space="preserve"> </v>
      </c>
      <c r="D2145" s="79" t="str">
        <f t="shared" si="5"/>
        <v xml:space="preserve"> </v>
      </c>
      <c r="E2145" s="79" t="str">
        <f t="shared" si="6"/>
        <v xml:space="preserve"> </v>
      </c>
    </row>
    <row r="2146" spans="1:5" ht="12.5">
      <c r="A2146" s="81" t="str">
        <f t="shared" si="0"/>
        <v xml:space="preserve"> </v>
      </c>
      <c r="B2146" s="81" t="str">
        <f t="shared" si="1"/>
        <v xml:space="preserve"> </v>
      </c>
      <c r="C2146" s="79" t="str">
        <f t="shared" si="7"/>
        <v xml:space="preserve"> </v>
      </c>
      <c r="D2146" s="79" t="str">
        <f t="shared" si="5"/>
        <v xml:space="preserve"> </v>
      </c>
      <c r="E2146" s="79" t="str">
        <f t="shared" si="6"/>
        <v xml:space="preserve"> </v>
      </c>
    </row>
    <row r="2147" spans="1:5" ht="12.5">
      <c r="A2147" s="81" t="str">
        <f t="shared" si="0"/>
        <v xml:space="preserve"> </v>
      </c>
      <c r="B2147" s="81" t="str">
        <f t="shared" si="1"/>
        <v xml:space="preserve"> </v>
      </c>
      <c r="C2147" s="79" t="str">
        <f t="shared" si="7"/>
        <v xml:space="preserve"> </v>
      </c>
      <c r="D2147" s="79" t="str">
        <f t="shared" si="5"/>
        <v xml:space="preserve"> </v>
      </c>
      <c r="E2147" s="79" t="str">
        <f t="shared" si="6"/>
        <v xml:space="preserve"> </v>
      </c>
    </row>
    <row r="2148" spans="1:5" ht="12.5">
      <c r="A2148" s="81" t="str">
        <f t="shared" si="0"/>
        <v xml:space="preserve"> </v>
      </c>
      <c r="B2148" s="81" t="str">
        <f t="shared" si="1"/>
        <v xml:space="preserve"> </v>
      </c>
      <c r="C2148" s="79" t="str">
        <f t="shared" si="7"/>
        <v xml:space="preserve"> </v>
      </c>
      <c r="D2148" s="79" t="str">
        <f t="shared" si="5"/>
        <v xml:space="preserve"> </v>
      </c>
      <c r="E2148" s="79" t="str">
        <f t="shared" si="6"/>
        <v xml:space="preserve"> </v>
      </c>
    </row>
    <row r="2149" spans="1:5" ht="12.5">
      <c r="A2149" s="81" t="str">
        <f t="shared" si="0"/>
        <v xml:space="preserve"> </v>
      </c>
      <c r="B2149" s="81" t="str">
        <f t="shared" si="1"/>
        <v xml:space="preserve"> </v>
      </c>
      <c r="C2149" s="79" t="str">
        <f t="shared" si="7"/>
        <v xml:space="preserve"> </v>
      </c>
      <c r="D2149" s="79" t="str">
        <f t="shared" si="5"/>
        <v xml:space="preserve"> </v>
      </c>
      <c r="E2149" s="79" t="str">
        <f t="shared" si="6"/>
        <v xml:space="preserve"> </v>
      </c>
    </row>
    <row r="2150" spans="1:5" ht="12.5">
      <c r="A2150" s="81" t="str">
        <f t="shared" si="0"/>
        <v xml:space="preserve"> </v>
      </c>
      <c r="B2150" s="81" t="str">
        <f t="shared" si="1"/>
        <v xml:space="preserve"> </v>
      </c>
      <c r="C2150" s="79" t="str">
        <f t="shared" si="7"/>
        <v xml:space="preserve"> </v>
      </c>
      <c r="D2150" s="79" t="str">
        <f t="shared" si="5"/>
        <v xml:space="preserve"> </v>
      </c>
      <c r="E2150" s="79" t="str">
        <f t="shared" si="6"/>
        <v xml:space="preserve"> </v>
      </c>
    </row>
    <row r="2151" spans="1:5" ht="12.5">
      <c r="A2151" s="81" t="str">
        <f t="shared" si="0"/>
        <v xml:space="preserve"> </v>
      </c>
      <c r="B2151" s="81" t="str">
        <f t="shared" si="1"/>
        <v xml:space="preserve"> </v>
      </c>
      <c r="C2151" s="79" t="str">
        <f t="shared" si="7"/>
        <v xml:space="preserve"> </v>
      </c>
      <c r="D2151" s="79" t="str">
        <f t="shared" si="5"/>
        <v xml:space="preserve"> </v>
      </c>
      <c r="E2151" s="79" t="str">
        <f t="shared" si="6"/>
        <v xml:space="preserve"> </v>
      </c>
    </row>
    <row r="2152" spans="1:5" ht="12.5">
      <c r="A2152" s="81" t="str">
        <f t="shared" si="0"/>
        <v xml:space="preserve"> </v>
      </c>
      <c r="B2152" s="81" t="str">
        <f t="shared" si="1"/>
        <v xml:space="preserve"> </v>
      </c>
      <c r="C2152" s="79" t="str">
        <f t="shared" si="7"/>
        <v xml:space="preserve"> </v>
      </c>
      <c r="D2152" s="79" t="str">
        <f t="shared" si="5"/>
        <v xml:space="preserve"> </v>
      </c>
      <c r="E2152" s="79" t="str">
        <f t="shared" si="6"/>
        <v xml:space="preserve"> </v>
      </c>
    </row>
    <row r="2153" spans="1:5" ht="12.5">
      <c r="A2153" s="81" t="str">
        <f t="shared" si="0"/>
        <v xml:space="preserve"> </v>
      </c>
      <c r="B2153" s="81" t="str">
        <f t="shared" si="1"/>
        <v xml:space="preserve"> </v>
      </c>
      <c r="C2153" s="79" t="str">
        <f t="shared" si="7"/>
        <v xml:space="preserve"> </v>
      </c>
      <c r="D2153" s="79" t="str">
        <f t="shared" si="5"/>
        <v xml:space="preserve"> </v>
      </c>
      <c r="E2153" s="79" t="str">
        <f t="shared" si="6"/>
        <v xml:space="preserve"> </v>
      </c>
    </row>
    <row r="2154" spans="1:5" ht="12.5">
      <c r="A2154" s="81" t="str">
        <f t="shared" si="0"/>
        <v xml:space="preserve"> </v>
      </c>
      <c r="B2154" s="81" t="str">
        <f t="shared" si="1"/>
        <v xml:space="preserve"> </v>
      </c>
      <c r="C2154" s="79" t="str">
        <f t="shared" si="7"/>
        <v xml:space="preserve"> </v>
      </c>
      <c r="D2154" s="79" t="str">
        <f t="shared" si="5"/>
        <v xml:space="preserve"> </v>
      </c>
      <c r="E2154" s="79" t="str">
        <f t="shared" si="6"/>
        <v xml:space="preserve"> </v>
      </c>
    </row>
    <row r="2155" spans="1:5" ht="12.5">
      <c r="A2155" s="81" t="str">
        <f t="shared" si="0"/>
        <v xml:space="preserve"> </v>
      </c>
      <c r="B2155" s="81" t="str">
        <f t="shared" si="1"/>
        <v xml:space="preserve"> </v>
      </c>
      <c r="C2155" s="79" t="str">
        <f t="shared" si="7"/>
        <v xml:space="preserve"> </v>
      </c>
      <c r="D2155" s="79" t="str">
        <f t="shared" si="5"/>
        <v xml:space="preserve"> </v>
      </c>
      <c r="E2155" s="79" t="str">
        <f t="shared" si="6"/>
        <v xml:space="preserve"> </v>
      </c>
    </row>
    <row r="2156" spans="1:5" ht="12.5">
      <c r="A2156" s="81" t="str">
        <f t="shared" si="0"/>
        <v xml:space="preserve"> </v>
      </c>
      <c r="B2156" s="81" t="str">
        <f t="shared" si="1"/>
        <v xml:space="preserve"> </v>
      </c>
      <c r="C2156" s="79" t="str">
        <f t="shared" si="7"/>
        <v xml:space="preserve"> </v>
      </c>
      <c r="D2156" s="79" t="str">
        <f t="shared" si="5"/>
        <v xml:space="preserve"> </v>
      </c>
      <c r="E2156" s="79" t="str">
        <f t="shared" si="6"/>
        <v xml:space="preserve"> </v>
      </c>
    </row>
    <row r="2157" spans="1:5" ht="12.5">
      <c r="A2157" s="81" t="str">
        <f t="shared" si="0"/>
        <v xml:space="preserve"> </v>
      </c>
      <c r="B2157" s="81" t="str">
        <f t="shared" si="1"/>
        <v xml:space="preserve"> </v>
      </c>
      <c r="C2157" s="79" t="str">
        <f t="shared" si="7"/>
        <v xml:space="preserve"> </v>
      </c>
      <c r="D2157" s="79" t="str">
        <f t="shared" si="5"/>
        <v xml:space="preserve"> </v>
      </c>
      <c r="E2157" s="79" t="str">
        <f t="shared" si="6"/>
        <v xml:space="preserve"> </v>
      </c>
    </row>
    <row r="2158" spans="1:5" ht="12.5">
      <c r="A2158" s="81" t="str">
        <f t="shared" si="0"/>
        <v xml:space="preserve"> </v>
      </c>
      <c r="B2158" s="81" t="str">
        <f t="shared" si="1"/>
        <v xml:space="preserve"> </v>
      </c>
      <c r="C2158" s="79" t="str">
        <f t="shared" si="7"/>
        <v xml:space="preserve"> </v>
      </c>
      <c r="D2158" s="79" t="str">
        <f t="shared" si="5"/>
        <v xml:space="preserve"> </v>
      </c>
      <c r="E2158" s="79" t="str">
        <f t="shared" si="6"/>
        <v xml:space="preserve"> </v>
      </c>
    </row>
    <row r="2159" spans="1:5" ht="12.5">
      <c r="A2159" s="81" t="str">
        <f t="shared" si="0"/>
        <v xml:space="preserve"> </v>
      </c>
      <c r="B2159" s="81" t="str">
        <f t="shared" si="1"/>
        <v xml:space="preserve"> </v>
      </c>
      <c r="C2159" s="79" t="str">
        <f t="shared" si="7"/>
        <v xml:space="preserve"> </v>
      </c>
      <c r="D2159" s="79" t="str">
        <f t="shared" si="5"/>
        <v xml:space="preserve"> </v>
      </c>
      <c r="E2159" s="79" t="str">
        <f t="shared" si="6"/>
        <v xml:space="preserve"> </v>
      </c>
    </row>
    <row r="2160" spans="1:5" ht="12.5">
      <c r="A2160" s="81" t="str">
        <f t="shared" si="0"/>
        <v xml:space="preserve"> </v>
      </c>
      <c r="B2160" s="81" t="str">
        <f t="shared" si="1"/>
        <v xml:space="preserve"> </v>
      </c>
      <c r="C2160" s="79" t="str">
        <f t="shared" si="7"/>
        <v xml:space="preserve"> </v>
      </c>
      <c r="D2160" s="79" t="str">
        <f t="shared" si="5"/>
        <v xml:space="preserve"> </v>
      </c>
      <c r="E2160" s="79" t="str">
        <f t="shared" si="6"/>
        <v xml:space="preserve"> </v>
      </c>
    </row>
    <row r="2161" spans="1:5" ht="12.5">
      <c r="A2161" s="81" t="str">
        <f t="shared" si="0"/>
        <v xml:space="preserve"> </v>
      </c>
      <c r="B2161" s="81" t="str">
        <f t="shared" si="1"/>
        <v xml:space="preserve"> </v>
      </c>
      <c r="C2161" s="79" t="str">
        <f t="shared" si="7"/>
        <v xml:space="preserve"> </v>
      </c>
      <c r="D2161" s="79" t="str">
        <f t="shared" si="5"/>
        <v xml:space="preserve"> </v>
      </c>
      <c r="E2161" s="79" t="str">
        <f t="shared" si="6"/>
        <v xml:space="preserve"> </v>
      </c>
    </row>
    <row r="2162" spans="1:5" ht="12.5">
      <c r="A2162" s="81" t="str">
        <f t="shared" si="0"/>
        <v xml:space="preserve"> </v>
      </c>
      <c r="B2162" s="81" t="str">
        <f t="shared" si="1"/>
        <v xml:space="preserve"> </v>
      </c>
      <c r="C2162" s="79" t="str">
        <f t="shared" si="7"/>
        <v xml:space="preserve"> </v>
      </c>
      <c r="D2162" s="79" t="str">
        <f t="shared" si="5"/>
        <v xml:space="preserve"> </v>
      </c>
      <c r="E2162" s="79" t="str">
        <f t="shared" si="6"/>
        <v xml:space="preserve"> </v>
      </c>
    </row>
    <row r="2163" spans="1:5" ht="12.5">
      <c r="A2163" s="81" t="str">
        <f t="shared" si="0"/>
        <v xml:space="preserve"> </v>
      </c>
      <c r="B2163" s="81" t="str">
        <f t="shared" si="1"/>
        <v xml:space="preserve"> </v>
      </c>
      <c r="C2163" s="79" t="str">
        <f t="shared" si="7"/>
        <v xml:space="preserve"> </v>
      </c>
      <c r="D2163" s="79" t="str">
        <f t="shared" si="5"/>
        <v xml:space="preserve"> </v>
      </c>
      <c r="E2163" s="79" t="str">
        <f t="shared" si="6"/>
        <v xml:space="preserve"> </v>
      </c>
    </row>
    <row r="2164" spans="1:5" ht="12.5">
      <c r="A2164" s="81" t="str">
        <f t="shared" si="0"/>
        <v xml:space="preserve"> </v>
      </c>
      <c r="B2164" s="81" t="str">
        <f t="shared" si="1"/>
        <v xml:space="preserve"> </v>
      </c>
      <c r="C2164" s="79" t="str">
        <f t="shared" si="7"/>
        <v xml:space="preserve"> </v>
      </c>
      <c r="D2164" s="79" t="str">
        <f t="shared" si="5"/>
        <v xml:space="preserve"> </v>
      </c>
      <c r="E2164" s="79" t="str">
        <f t="shared" si="6"/>
        <v xml:space="preserve"> </v>
      </c>
    </row>
    <row r="2165" spans="1:5" ht="12.5">
      <c r="A2165" s="81" t="str">
        <f t="shared" si="0"/>
        <v xml:space="preserve"> </v>
      </c>
      <c r="B2165" s="81" t="str">
        <f t="shared" si="1"/>
        <v xml:space="preserve"> </v>
      </c>
      <c r="C2165" s="79" t="str">
        <f t="shared" si="7"/>
        <v xml:space="preserve"> </v>
      </c>
      <c r="D2165" s="79" t="str">
        <f t="shared" si="5"/>
        <v xml:space="preserve"> </v>
      </c>
      <c r="E2165" s="79" t="str">
        <f t="shared" si="6"/>
        <v xml:space="preserve"> </v>
      </c>
    </row>
    <row r="2166" spans="1:5" ht="12.5">
      <c r="A2166" s="81" t="str">
        <f t="shared" si="0"/>
        <v xml:space="preserve"> </v>
      </c>
      <c r="B2166" s="81" t="str">
        <f t="shared" si="1"/>
        <v xml:space="preserve"> </v>
      </c>
      <c r="C2166" s="79" t="str">
        <f t="shared" si="7"/>
        <v xml:space="preserve"> </v>
      </c>
      <c r="D2166" s="79" t="str">
        <f t="shared" si="5"/>
        <v xml:space="preserve"> </v>
      </c>
      <c r="E2166" s="79" t="str">
        <f t="shared" si="6"/>
        <v xml:space="preserve"> </v>
      </c>
    </row>
    <row r="2167" spans="1:5" ht="12.5">
      <c r="A2167" s="81" t="str">
        <f t="shared" si="0"/>
        <v xml:space="preserve"> </v>
      </c>
      <c r="B2167" s="81" t="str">
        <f t="shared" si="1"/>
        <v xml:space="preserve"> </v>
      </c>
      <c r="C2167" s="79" t="str">
        <f t="shared" si="7"/>
        <v xml:space="preserve"> </v>
      </c>
      <c r="D2167" s="79" t="str">
        <f t="shared" si="5"/>
        <v xml:space="preserve"> </v>
      </c>
      <c r="E2167" s="79" t="str">
        <f t="shared" si="6"/>
        <v xml:space="preserve"> </v>
      </c>
    </row>
    <row r="2168" spans="1:5" ht="12.5">
      <c r="A2168" s="81" t="str">
        <f t="shared" si="0"/>
        <v xml:space="preserve"> </v>
      </c>
      <c r="B2168" s="81" t="str">
        <f t="shared" si="1"/>
        <v xml:space="preserve"> </v>
      </c>
      <c r="C2168" s="79" t="str">
        <f t="shared" si="7"/>
        <v xml:space="preserve"> </v>
      </c>
      <c r="D2168" s="79" t="str">
        <f t="shared" si="5"/>
        <v xml:space="preserve"> </v>
      </c>
      <c r="E2168" s="79" t="str">
        <f t="shared" si="6"/>
        <v xml:space="preserve"> </v>
      </c>
    </row>
    <row r="2169" spans="1:5" ht="12.5">
      <c r="A2169" s="81" t="str">
        <f t="shared" si="0"/>
        <v xml:space="preserve"> </v>
      </c>
      <c r="B2169" s="81" t="str">
        <f t="shared" si="1"/>
        <v xml:space="preserve"> </v>
      </c>
      <c r="C2169" s="79" t="str">
        <f t="shared" si="7"/>
        <v xml:space="preserve"> </v>
      </c>
      <c r="D2169" s="79" t="str">
        <f t="shared" si="5"/>
        <v xml:space="preserve"> </v>
      </c>
      <c r="E2169" s="79" t="str">
        <f t="shared" si="6"/>
        <v xml:space="preserve"> </v>
      </c>
    </row>
    <row r="2170" spans="1:5" ht="12.5">
      <c r="A2170" s="81" t="str">
        <f t="shared" si="0"/>
        <v xml:space="preserve"> </v>
      </c>
      <c r="B2170" s="81" t="str">
        <f t="shared" si="1"/>
        <v xml:space="preserve"> </v>
      </c>
      <c r="C2170" s="79" t="str">
        <f t="shared" si="7"/>
        <v xml:space="preserve"> </v>
      </c>
      <c r="D2170" s="79" t="str">
        <f t="shared" si="5"/>
        <v xml:space="preserve"> </v>
      </c>
      <c r="E2170" s="79" t="str">
        <f t="shared" si="6"/>
        <v xml:space="preserve"> </v>
      </c>
    </row>
    <row r="2171" spans="1:5" ht="12.5">
      <c r="A2171" s="81" t="str">
        <f t="shared" si="0"/>
        <v xml:space="preserve"> </v>
      </c>
      <c r="B2171" s="81" t="str">
        <f t="shared" si="1"/>
        <v xml:space="preserve"> </v>
      </c>
      <c r="C2171" s="79" t="str">
        <f t="shared" si="7"/>
        <v xml:space="preserve"> </v>
      </c>
      <c r="D2171" s="79" t="str">
        <f t="shared" si="5"/>
        <v xml:space="preserve"> </v>
      </c>
      <c r="E2171" s="79" t="str">
        <f t="shared" si="6"/>
        <v xml:space="preserve"> </v>
      </c>
    </row>
    <row r="2172" spans="1:5" ht="12.5">
      <c r="A2172" s="81" t="str">
        <f t="shared" si="0"/>
        <v xml:space="preserve"> </v>
      </c>
      <c r="B2172" s="81" t="str">
        <f t="shared" si="1"/>
        <v xml:space="preserve"> </v>
      </c>
      <c r="C2172" s="79" t="str">
        <f t="shared" si="7"/>
        <v xml:space="preserve"> </v>
      </c>
      <c r="D2172" s="79" t="str">
        <f t="shared" si="5"/>
        <v xml:space="preserve"> </v>
      </c>
      <c r="E2172" s="79" t="str">
        <f t="shared" si="6"/>
        <v xml:space="preserve"> </v>
      </c>
    </row>
    <row r="2173" spans="1:5" ht="12.5">
      <c r="A2173" s="81" t="str">
        <f t="shared" si="0"/>
        <v xml:space="preserve"> </v>
      </c>
      <c r="B2173" s="81" t="str">
        <f t="shared" si="1"/>
        <v xml:space="preserve"> </v>
      </c>
      <c r="C2173" s="79" t="str">
        <f t="shared" si="7"/>
        <v xml:space="preserve"> </v>
      </c>
      <c r="D2173" s="79" t="str">
        <f t="shared" si="5"/>
        <v xml:space="preserve"> </v>
      </c>
      <c r="E2173" s="79" t="str">
        <f t="shared" si="6"/>
        <v xml:space="preserve"> </v>
      </c>
    </row>
    <row r="2174" spans="1:5" ht="12.5">
      <c r="A2174" s="81" t="str">
        <f t="shared" si="0"/>
        <v xml:space="preserve"> </v>
      </c>
      <c r="B2174" s="81" t="str">
        <f t="shared" si="1"/>
        <v xml:space="preserve"> </v>
      </c>
      <c r="C2174" s="79" t="str">
        <f t="shared" si="7"/>
        <v xml:space="preserve"> </v>
      </c>
      <c r="D2174" s="79" t="str">
        <f t="shared" si="5"/>
        <v xml:space="preserve"> </v>
      </c>
      <c r="E2174" s="79" t="str">
        <f t="shared" si="6"/>
        <v xml:space="preserve"> </v>
      </c>
    </row>
    <row r="2175" spans="1:5" ht="12.5">
      <c r="A2175" s="81" t="str">
        <f t="shared" si="0"/>
        <v xml:space="preserve"> </v>
      </c>
      <c r="B2175" s="81" t="str">
        <f t="shared" si="1"/>
        <v xml:space="preserve"> </v>
      </c>
      <c r="C2175" s="79" t="str">
        <f t="shared" si="7"/>
        <v xml:space="preserve"> </v>
      </c>
      <c r="D2175" s="79" t="str">
        <f t="shared" si="5"/>
        <v xml:space="preserve"> </v>
      </c>
      <c r="E2175" s="79" t="str">
        <f t="shared" si="6"/>
        <v xml:space="preserve"> </v>
      </c>
    </row>
    <row r="2176" spans="1:5" ht="12.5">
      <c r="A2176" s="81" t="str">
        <f t="shared" si="0"/>
        <v xml:space="preserve"> </v>
      </c>
      <c r="B2176" s="81" t="str">
        <f t="shared" si="1"/>
        <v xml:space="preserve"> </v>
      </c>
      <c r="C2176" s="79" t="str">
        <f t="shared" si="7"/>
        <v xml:space="preserve"> </v>
      </c>
      <c r="D2176" s="79" t="str">
        <f t="shared" si="5"/>
        <v xml:space="preserve"> </v>
      </c>
      <c r="E2176" s="79" t="str">
        <f t="shared" si="6"/>
        <v xml:space="preserve"> </v>
      </c>
    </row>
    <row r="2177" spans="1:5" ht="12.5">
      <c r="A2177" s="81" t="str">
        <f t="shared" si="0"/>
        <v xml:space="preserve"> </v>
      </c>
      <c r="B2177" s="81" t="str">
        <f t="shared" si="1"/>
        <v xml:space="preserve"> </v>
      </c>
      <c r="C2177" s="79" t="str">
        <f t="shared" si="7"/>
        <v xml:space="preserve"> </v>
      </c>
      <c r="D2177" s="79" t="str">
        <f t="shared" si="5"/>
        <v xml:space="preserve"> </v>
      </c>
      <c r="E2177" s="79" t="str">
        <f t="shared" si="6"/>
        <v xml:space="preserve"> </v>
      </c>
    </row>
    <row r="2178" spans="1:5" ht="12.5">
      <c r="A2178" s="81" t="str">
        <f t="shared" si="0"/>
        <v xml:space="preserve"> </v>
      </c>
      <c r="B2178" s="81" t="str">
        <f t="shared" si="1"/>
        <v xml:space="preserve"> </v>
      </c>
      <c r="C2178" s="79" t="str">
        <f t="shared" si="7"/>
        <v xml:space="preserve"> </v>
      </c>
      <c r="D2178" s="79" t="str">
        <f t="shared" si="5"/>
        <v xml:space="preserve"> </v>
      </c>
      <c r="E2178" s="79" t="str">
        <f t="shared" si="6"/>
        <v xml:space="preserve"> </v>
      </c>
    </row>
    <row r="2179" spans="1:5" ht="12.5">
      <c r="A2179" s="81" t="str">
        <f t="shared" si="0"/>
        <v xml:space="preserve"> </v>
      </c>
      <c r="B2179" s="81" t="str">
        <f t="shared" si="1"/>
        <v xml:space="preserve"> </v>
      </c>
      <c r="C2179" s="79" t="str">
        <f t="shared" si="7"/>
        <v xml:space="preserve"> </v>
      </c>
      <c r="D2179" s="79" t="str">
        <f t="shared" si="5"/>
        <v xml:space="preserve"> </v>
      </c>
      <c r="E2179" s="79" t="str">
        <f t="shared" si="6"/>
        <v xml:space="preserve"> </v>
      </c>
    </row>
    <row r="2180" spans="1:5" ht="12.5">
      <c r="A2180" s="81" t="str">
        <f t="shared" si="0"/>
        <v xml:space="preserve"> </v>
      </c>
      <c r="B2180" s="81" t="str">
        <f t="shared" si="1"/>
        <v xml:space="preserve"> </v>
      </c>
      <c r="C2180" s="79" t="str">
        <f t="shared" si="7"/>
        <v xml:space="preserve"> </v>
      </c>
      <c r="D2180" s="79" t="str">
        <f t="shared" si="5"/>
        <v xml:space="preserve"> </v>
      </c>
      <c r="E2180" s="79" t="str">
        <f t="shared" si="6"/>
        <v xml:space="preserve"> </v>
      </c>
    </row>
    <row r="2181" spans="1:5" ht="12.5">
      <c r="A2181" s="81" t="str">
        <f t="shared" si="0"/>
        <v xml:space="preserve"> </v>
      </c>
      <c r="B2181" s="81" t="str">
        <f t="shared" si="1"/>
        <v xml:space="preserve"> </v>
      </c>
      <c r="C2181" s="79" t="str">
        <f t="shared" si="7"/>
        <v xml:space="preserve"> </v>
      </c>
      <c r="D2181" s="79" t="str">
        <f t="shared" si="5"/>
        <v xml:space="preserve"> </v>
      </c>
      <c r="E2181" s="79" t="str">
        <f t="shared" si="6"/>
        <v xml:space="preserve"> </v>
      </c>
    </row>
    <row r="2182" spans="1:5" ht="12.5">
      <c r="A2182" s="81" t="str">
        <f t="shared" si="0"/>
        <v xml:space="preserve"> </v>
      </c>
      <c r="B2182" s="81" t="str">
        <f t="shared" si="1"/>
        <v xml:space="preserve"> </v>
      </c>
      <c r="C2182" s="79" t="str">
        <f t="shared" si="7"/>
        <v xml:space="preserve"> </v>
      </c>
      <c r="D2182" s="79" t="str">
        <f t="shared" si="5"/>
        <v xml:space="preserve"> </v>
      </c>
      <c r="E2182" s="79" t="str">
        <f t="shared" si="6"/>
        <v xml:space="preserve"> </v>
      </c>
    </row>
    <row r="2183" spans="1:5" ht="12.5">
      <c r="A2183" s="81" t="str">
        <f t="shared" si="0"/>
        <v xml:space="preserve"> </v>
      </c>
      <c r="B2183" s="81" t="str">
        <f t="shared" si="1"/>
        <v xml:space="preserve"> </v>
      </c>
      <c r="C2183" s="79" t="str">
        <f t="shared" si="7"/>
        <v xml:space="preserve"> </v>
      </c>
      <c r="D2183" s="79" t="str">
        <f t="shared" si="5"/>
        <v xml:space="preserve"> </v>
      </c>
      <c r="E2183" s="79" t="str">
        <f t="shared" si="6"/>
        <v xml:space="preserve"> </v>
      </c>
    </row>
    <row r="2184" spans="1:5" ht="12.5">
      <c r="A2184" s="81" t="str">
        <f t="shared" si="0"/>
        <v xml:space="preserve"> </v>
      </c>
      <c r="B2184" s="81" t="str">
        <f t="shared" si="1"/>
        <v xml:space="preserve"> </v>
      </c>
      <c r="C2184" s="79" t="str">
        <f t="shared" si="7"/>
        <v xml:space="preserve"> </v>
      </c>
      <c r="D2184" s="79" t="str">
        <f t="shared" si="5"/>
        <v xml:space="preserve"> </v>
      </c>
      <c r="E2184" s="79" t="str">
        <f t="shared" si="6"/>
        <v xml:space="preserve"> </v>
      </c>
    </row>
    <row r="2185" spans="1:5" ht="12.5">
      <c r="A2185" s="81" t="str">
        <f t="shared" si="0"/>
        <v xml:space="preserve"> </v>
      </c>
      <c r="B2185" s="81" t="str">
        <f t="shared" si="1"/>
        <v xml:space="preserve"> </v>
      </c>
      <c r="C2185" s="79" t="str">
        <f t="shared" si="7"/>
        <v xml:space="preserve"> </v>
      </c>
      <c r="D2185" s="79" t="str">
        <f t="shared" si="5"/>
        <v xml:space="preserve"> </v>
      </c>
      <c r="E2185" s="79" t="str">
        <f t="shared" si="6"/>
        <v xml:space="preserve"> </v>
      </c>
    </row>
    <row r="2186" spans="1:5" ht="12.5">
      <c r="A2186" s="81" t="str">
        <f t="shared" si="0"/>
        <v xml:space="preserve"> </v>
      </c>
      <c r="B2186" s="81" t="str">
        <f t="shared" si="1"/>
        <v xml:space="preserve"> </v>
      </c>
      <c r="C2186" s="79" t="str">
        <f t="shared" si="7"/>
        <v xml:space="preserve"> </v>
      </c>
      <c r="D2186" s="79" t="str">
        <f t="shared" si="5"/>
        <v xml:space="preserve"> </v>
      </c>
      <c r="E2186" s="79" t="str">
        <f t="shared" si="6"/>
        <v xml:space="preserve"> </v>
      </c>
    </row>
    <row r="2187" spans="1:5" ht="12.5">
      <c r="A2187" s="81" t="str">
        <f t="shared" si="0"/>
        <v xml:space="preserve"> </v>
      </c>
      <c r="B2187" s="81" t="str">
        <f t="shared" si="1"/>
        <v xml:space="preserve"> </v>
      </c>
      <c r="C2187" s="79" t="str">
        <f t="shared" si="7"/>
        <v xml:space="preserve"> </v>
      </c>
      <c r="D2187" s="79" t="str">
        <f t="shared" si="5"/>
        <v xml:space="preserve"> </v>
      </c>
      <c r="E2187" s="79" t="str">
        <f t="shared" si="6"/>
        <v xml:space="preserve"> </v>
      </c>
    </row>
    <row r="2188" spans="1:5" ht="12.5">
      <c r="A2188" s="81" t="str">
        <f t="shared" si="0"/>
        <v xml:space="preserve"> </v>
      </c>
      <c r="B2188" s="81" t="str">
        <f t="shared" si="1"/>
        <v xml:space="preserve"> </v>
      </c>
      <c r="C2188" s="79" t="str">
        <f t="shared" si="7"/>
        <v xml:space="preserve"> </v>
      </c>
      <c r="D2188" s="79" t="str">
        <f t="shared" si="5"/>
        <v xml:space="preserve"> </v>
      </c>
      <c r="E2188" s="79" t="str">
        <f t="shared" si="6"/>
        <v xml:space="preserve"> </v>
      </c>
    </row>
    <row r="2189" spans="1:5" ht="12.5">
      <c r="A2189" s="81" t="str">
        <f t="shared" si="0"/>
        <v xml:space="preserve"> </v>
      </c>
      <c r="B2189" s="81" t="str">
        <f t="shared" si="1"/>
        <v xml:space="preserve"> </v>
      </c>
      <c r="C2189" s="79" t="str">
        <f t="shared" si="7"/>
        <v xml:space="preserve"> </v>
      </c>
      <c r="D2189" s="79" t="str">
        <f t="shared" si="5"/>
        <v xml:space="preserve"> </v>
      </c>
      <c r="E2189" s="79" t="str">
        <f t="shared" si="6"/>
        <v xml:space="preserve"> </v>
      </c>
    </row>
    <row r="2190" spans="1:5" ht="12.5">
      <c r="A2190" s="81" t="str">
        <f t="shared" si="0"/>
        <v xml:space="preserve"> </v>
      </c>
      <c r="B2190" s="81" t="str">
        <f t="shared" si="1"/>
        <v xml:space="preserve"> </v>
      </c>
      <c r="C2190" s="79" t="str">
        <f t="shared" si="7"/>
        <v xml:space="preserve"> </v>
      </c>
      <c r="D2190" s="79" t="str">
        <f t="shared" si="5"/>
        <v xml:space="preserve"> </v>
      </c>
      <c r="E2190" s="79" t="str">
        <f t="shared" si="6"/>
        <v xml:space="preserve"> </v>
      </c>
    </row>
    <row r="2191" spans="1:5" ht="12.5">
      <c r="A2191" s="81" t="str">
        <f t="shared" si="0"/>
        <v xml:space="preserve"> </v>
      </c>
      <c r="B2191" s="81" t="str">
        <f t="shared" si="1"/>
        <v xml:space="preserve"> </v>
      </c>
      <c r="C2191" s="79" t="str">
        <f t="shared" si="7"/>
        <v xml:space="preserve"> </v>
      </c>
      <c r="D2191" s="79" t="str">
        <f t="shared" si="5"/>
        <v xml:space="preserve"> </v>
      </c>
      <c r="E2191" s="79" t="str">
        <f t="shared" si="6"/>
        <v xml:space="preserve"> </v>
      </c>
    </row>
    <row r="2192" spans="1:5" ht="12.5">
      <c r="A2192" s="81" t="str">
        <f t="shared" si="0"/>
        <v xml:space="preserve"> </v>
      </c>
      <c r="B2192" s="81" t="str">
        <f t="shared" si="1"/>
        <v xml:space="preserve"> </v>
      </c>
      <c r="C2192" s="79" t="str">
        <f t="shared" si="7"/>
        <v xml:space="preserve"> </v>
      </c>
      <c r="D2192" s="79" t="str">
        <f t="shared" si="5"/>
        <v xml:space="preserve"> </v>
      </c>
      <c r="E2192" s="79" t="str">
        <f t="shared" si="6"/>
        <v xml:space="preserve"> </v>
      </c>
    </row>
    <row r="2193" spans="1:5" ht="12.5">
      <c r="A2193" s="81" t="str">
        <f t="shared" si="0"/>
        <v xml:space="preserve"> </v>
      </c>
      <c r="B2193" s="81" t="str">
        <f t="shared" si="1"/>
        <v xml:space="preserve"> </v>
      </c>
      <c r="C2193" s="79" t="str">
        <f t="shared" si="7"/>
        <v xml:space="preserve"> </v>
      </c>
      <c r="D2193" s="79" t="str">
        <f t="shared" si="5"/>
        <v xml:space="preserve"> </v>
      </c>
      <c r="E2193" s="79" t="str">
        <f t="shared" si="6"/>
        <v xml:space="preserve"> </v>
      </c>
    </row>
    <row r="2194" spans="1:5" ht="12.5">
      <c r="A2194" s="81" t="str">
        <f t="shared" si="0"/>
        <v xml:space="preserve"> </v>
      </c>
      <c r="B2194" s="81" t="str">
        <f t="shared" si="1"/>
        <v xml:space="preserve"> </v>
      </c>
      <c r="C2194" s="79" t="str">
        <f t="shared" si="7"/>
        <v xml:space="preserve"> </v>
      </c>
      <c r="D2194" s="79" t="str">
        <f t="shared" si="5"/>
        <v xml:space="preserve"> </v>
      </c>
      <c r="E2194" s="79" t="str">
        <f t="shared" si="6"/>
        <v xml:space="preserve"> </v>
      </c>
    </row>
    <row r="2195" spans="1:5" ht="12.5">
      <c r="A2195" s="81" t="str">
        <f t="shared" si="0"/>
        <v xml:space="preserve"> </v>
      </c>
      <c r="B2195" s="81" t="str">
        <f t="shared" si="1"/>
        <v xml:space="preserve"> </v>
      </c>
      <c r="C2195" s="79" t="str">
        <f t="shared" si="7"/>
        <v xml:space="preserve"> </v>
      </c>
      <c r="D2195" s="79" t="str">
        <f t="shared" si="5"/>
        <v xml:space="preserve"> </v>
      </c>
      <c r="E2195" s="79" t="str">
        <f t="shared" si="6"/>
        <v xml:space="preserve"> </v>
      </c>
    </row>
    <row r="2196" spans="1:5" ht="12.5">
      <c r="A2196" s="81" t="str">
        <f t="shared" si="0"/>
        <v xml:space="preserve"> </v>
      </c>
      <c r="B2196" s="81" t="str">
        <f t="shared" si="1"/>
        <v xml:space="preserve"> </v>
      </c>
      <c r="C2196" s="79" t="str">
        <f t="shared" si="7"/>
        <v xml:space="preserve"> </v>
      </c>
      <c r="D2196" s="79" t="str">
        <f t="shared" si="5"/>
        <v xml:space="preserve"> </v>
      </c>
      <c r="E2196" s="79" t="str">
        <f t="shared" si="6"/>
        <v xml:space="preserve"> </v>
      </c>
    </row>
    <row r="2197" spans="1:5" ht="12.5">
      <c r="A2197" s="81" t="str">
        <f t="shared" si="0"/>
        <v xml:space="preserve"> </v>
      </c>
      <c r="B2197" s="81" t="str">
        <f t="shared" si="1"/>
        <v xml:space="preserve"> </v>
      </c>
      <c r="C2197" s="79" t="str">
        <f t="shared" si="7"/>
        <v xml:space="preserve"> </v>
      </c>
      <c r="D2197" s="79" t="str">
        <f t="shared" si="5"/>
        <v xml:space="preserve"> </v>
      </c>
      <c r="E2197" s="79" t="str">
        <f t="shared" si="6"/>
        <v xml:space="preserve"> </v>
      </c>
    </row>
    <row r="2198" spans="1:5" ht="12.5">
      <c r="A2198" s="81" t="str">
        <f t="shared" si="0"/>
        <v xml:space="preserve"> </v>
      </c>
      <c r="B2198" s="81" t="str">
        <f t="shared" si="1"/>
        <v xml:space="preserve"> </v>
      </c>
      <c r="C2198" s="79" t="str">
        <f t="shared" si="7"/>
        <v xml:space="preserve"> </v>
      </c>
      <c r="D2198" s="79" t="str">
        <f t="shared" si="5"/>
        <v xml:space="preserve"> </v>
      </c>
      <c r="E2198" s="79" t="str">
        <f t="shared" si="6"/>
        <v xml:space="preserve"> </v>
      </c>
    </row>
    <row r="2199" spans="1:5" ht="12.5">
      <c r="A2199" s="81" t="str">
        <f t="shared" si="0"/>
        <v xml:space="preserve"> </v>
      </c>
      <c r="B2199" s="81" t="str">
        <f t="shared" si="1"/>
        <v xml:space="preserve"> </v>
      </c>
      <c r="C2199" s="79" t="str">
        <f t="shared" si="7"/>
        <v xml:space="preserve"> </v>
      </c>
      <c r="D2199" s="79" t="str">
        <f t="shared" si="5"/>
        <v xml:space="preserve"> </v>
      </c>
      <c r="E2199" s="79" t="str">
        <f t="shared" si="6"/>
        <v xml:space="preserve"> </v>
      </c>
    </row>
    <row r="2200" spans="1:5" ht="12.5">
      <c r="A2200" s="81" t="str">
        <f t="shared" si="0"/>
        <v xml:space="preserve"> </v>
      </c>
      <c r="B2200" s="81" t="str">
        <f t="shared" si="1"/>
        <v xml:space="preserve"> </v>
      </c>
      <c r="C2200" s="79" t="str">
        <f t="shared" si="7"/>
        <v xml:space="preserve"> </v>
      </c>
      <c r="D2200" s="79" t="str">
        <f t="shared" si="5"/>
        <v xml:space="preserve"> </v>
      </c>
      <c r="E2200" s="79" t="str">
        <f t="shared" si="6"/>
        <v xml:space="preserve"> </v>
      </c>
    </row>
    <row r="2201" spans="1:5" ht="12.5">
      <c r="A2201" s="81" t="str">
        <f t="shared" si="0"/>
        <v xml:space="preserve"> </v>
      </c>
      <c r="B2201" s="81" t="str">
        <f t="shared" si="1"/>
        <v xml:space="preserve"> </v>
      </c>
      <c r="C2201" s="79" t="str">
        <f t="shared" si="7"/>
        <v xml:space="preserve"> </v>
      </c>
      <c r="D2201" s="79" t="str">
        <f t="shared" si="5"/>
        <v xml:space="preserve"> </v>
      </c>
      <c r="E2201" s="79" t="str">
        <f t="shared" si="6"/>
        <v xml:space="preserve"> </v>
      </c>
    </row>
    <row r="2202" spans="1:5" ht="12.5">
      <c r="A2202" s="81" t="str">
        <f t="shared" si="0"/>
        <v xml:space="preserve"> </v>
      </c>
      <c r="B2202" s="81" t="str">
        <f t="shared" si="1"/>
        <v xml:space="preserve"> </v>
      </c>
      <c r="C2202" s="79" t="str">
        <f t="shared" si="7"/>
        <v xml:space="preserve"> </v>
      </c>
      <c r="D2202" s="79" t="str">
        <f t="shared" si="5"/>
        <v xml:space="preserve"> </v>
      </c>
      <c r="E2202" s="79" t="str">
        <f t="shared" si="6"/>
        <v xml:space="preserve"> </v>
      </c>
    </row>
    <row r="2203" spans="1:5" ht="12.5">
      <c r="A2203" s="81" t="str">
        <f t="shared" si="0"/>
        <v xml:space="preserve"> </v>
      </c>
      <c r="B2203" s="81" t="str">
        <f t="shared" si="1"/>
        <v xml:space="preserve"> </v>
      </c>
      <c r="C2203" s="79" t="str">
        <f t="shared" si="7"/>
        <v xml:space="preserve"> </v>
      </c>
      <c r="D2203" s="79" t="str">
        <f t="shared" si="5"/>
        <v xml:space="preserve"> </v>
      </c>
      <c r="E2203" s="79" t="str">
        <f t="shared" si="6"/>
        <v xml:space="preserve"> </v>
      </c>
    </row>
    <row r="2204" spans="1:5" ht="12.5">
      <c r="A2204" s="81" t="str">
        <f t="shared" si="0"/>
        <v xml:space="preserve"> </v>
      </c>
      <c r="B2204" s="81" t="str">
        <f t="shared" si="1"/>
        <v xml:space="preserve"> </v>
      </c>
      <c r="C2204" s="79" t="str">
        <f t="shared" si="7"/>
        <v xml:space="preserve"> </v>
      </c>
      <c r="D2204" s="79" t="str">
        <f t="shared" si="5"/>
        <v xml:space="preserve"> </v>
      </c>
      <c r="E2204" s="79" t="str">
        <f t="shared" si="6"/>
        <v xml:space="preserve"> </v>
      </c>
    </row>
    <row r="2205" spans="1:5" ht="12.5">
      <c r="A2205" s="81" t="str">
        <f t="shared" si="0"/>
        <v xml:space="preserve"> </v>
      </c>
      <c r="B2205" s="81" t="str">
        <f t="shared" si="1"/>
        <v xml:space="preserve"> </v>
      </c>
      <c r="C2205" s="79" t="str">
        <f t="shared" si="7"/>
        <v xml:space="preserve"> </v>
      </c>
      <c r="D2205" s="79" t="str">
        <f t="shared" si="5"/>
        <v xml:space="preserve"> </v>
      </c>
      <c r="E2205" s="79" t="str">
        <f t="shared" si="6"/>
        <v xml:space="preserve"> </v>
      </c>
    </row>
    <row r="2206" spans="1:5" ht="12.5">
      <c r="A2206" s="81" t="str">
        <f t="shared" si="0"/>
        <v xml:space="preserve"> </v>
      </c>
      <c r="B2206" s="81" t="str">
        <f t="shared" si="1"/>
        <v xml:space="preserve"> </v>
      </c>
      <c r="C2206" s="79" t="str">
        <f t="shared" si="7"/>
        <v xml:space="preserve"> </v>
      </c>
      <c r="D2206" s="79" t="str">
        <f t="shared" si="5"/>
        <v xml:space="preserve"> </v>
      </c>
      <c r="E2206" s="79" t="str">
        <f t="shared" si="6"/>
        <v xml:space="preserve"> </v>
      </c>
    </row>
    <row r="2207" spans="1:5" ht="12.5">
      <c r="A2207" s="81" t="str">
        <f t="shared" si="0"/>
        <v xml:space="preserve"> </v>
      </c>
      <c r="B2207" s="81" t="str">
        <f t="shared" si="1"/>
        <v xml:space="preserve"> </v>
      </c>
      <c r="C2207" s="79" t="str">
        <f t="shared" si="7"/>
        <v xml:space="preserve"> </v>
      </c>
      <c r="D2207" s="79" t="str">
        <f t="shared" si="5"/>
        <v xml:space="preserve"> </v>
      </c>
      <c r="E2207" s="79" t="str">
        <f t="shared" si="6"/>
        <v xml:space="preserve"> </v>
      </c>
    </row>
    <row r="2208" spans="1:5" ht="12.5">
      <c r="A2208" s="81" t="str">
        <f t="shared" si="0"/>
        <v xml:space="preserve"> </v>
      </c>
      <c r="B2208" s="81" t="str">
        <f t="shared" si="1"/>
        <v xml:space="preserve"> </v>
      </c>
      <c r="C2208" s="79" t="str">
        <f t="shared" si="7"/>
        <v xml:space="preserve"> </v>
      </c>
      <c r="D2208" s="79" t="str">
        <f t="shared" si="5"/>
        <v xml:space="preserve"> </v>
      </c>
      <c r="E2208" s="79" t="str">
        <f t="shared" si="6"/>
        <v xml:space="preserve"> </v>
      </c>
    </row>
    <row r="2209" spans="1:5" ht="12.5">
      <c r="A2209" s="81" t="str">
        <f t="shared" si="0"/>
        <v xml:space="preserve"> </v>
      </c>
      <c r="B2209" s="81" t="str">
        <f t="shared" si="1"/>
        <v xml:space="preserve"> </v>
      </c>
      <c r="C2209" s="79" t="str">
        <f t="shared" si="7"/>
        <v xml:space="preserve"> </v>
      </c>
      <c r="D2209" s="79" t="str">
        <f t="shared" si="5"/>
        <v xml:space="preserve"> </v>
      </c>
      <c r="E2209" s="79" t="str">
        <f t="shared" si="6"/>
        <v xml:space="preserve"> </v>
      </c>
    </row>
    <row r="2210" spans="1:5" ht="12.5">
      <c r="A2210" s="81" t="str">
        <f t="shared" si="0"/>
        <v xml:space="preserve"> </v>
      </c>
      <c r="B2210" s="81" t="str">
        <f t="shared" si="1"/>
        <v xml:space="preserve"> </v>
      </c>
      <c r="C2210" s="79" t="str">
        <f t="shared" si="7"/>
        <v xml:space="preserve"> </v>
      </c>
      <c r="D2210" s="79" t="str">
        <f t="shared" si="5"/>
        <v xml:space="preserve"> </v>
      </c>
      <c r="E2210" s="79" t="str">
        <f t="shared" si="6"/>
        <v xml:space="preserve"> </v>
      </c>
    </row>
    <row r="2211" spans="1:5" ht="12.5">
      <c r="A2211" s="81" t="str">
        <f t="shared" si="0"/>
        <v xml:space="preserve"> </v>
      </c>
      <c r="B2211" s="81" t="str">
        <f t="shared" si="1"/>
        <v xml:space="preserve"> </v>
      </c>
      <c r="C2211" s="79" t="str">
        <f t="shared" si="7"/>
        <v xml:space="preserve"> </v>
      </c>
      <c r="D2211" s="79" t="str">
        <f t="shared" si="5"/>
        <v xml:space="preserve"> </v>
      </c>
      <c r="E2211" s="79" t="str">
        <f t="shared" si="6"/>
        <v xml:space="preserve"> </v>
      </c>
    </row>
    <row r="2212" spans="1:5" ht="12.5">
      <c r="A2212" s="81" t="str">
        <f t="shared" si="0"/>
        <v xml:space="preserve"> </v>
      </c>
      <c r="B2212" s="81" t="str">
        <f t="shared" si="1"/>
        <v xml:space="preserve"> </v>
      </c>
      <c r="C2212" s="79" t="str">
        <f t="shared" si="7"/>
        <v xml:space="preserve"> </v>
      </c>
      <c r="D2212" s="79" t="str">
        <f t="shared" si="5"/>
        <v xml:space="preserve"> </v>
      </c>
      <c r="E2212" s="79" t="str">
        <f t="shared" si="6"/>
        <v xml:space="preserve"> </v>
      </c>
    </row>
    <row r="2213" spans="1:5" ht="12.5">
      <c r="A2213" s="81" t="str">
        <f t="shared" si="0"/>
        <v xml:space="preserve"> </v>
      </c>
      <c r="B2213" s="81" t="str">
        <f t="shared" si="1"/>
        <v xml:space="preserve"> </v>
      </c>
      <c r="C2213" s="79" t="str">
        <f t="shared" si="7"/>
        <v xml:space="preserve"> </v>
      </c>
      <c r="D2213" s="79" t="str">
        <f t="shared" si="5"/>
        <v xml:space="preserve"> </v>
      </c>
      <c r="E2213" s="79" t="str">
        <f t="shared" si="6"/>
        <v xml:space="preserve"> </v>
      </c>
    </row>
    <row r="2214" spans="1:5" ht="12.5">
      <c r="A2214" s="81" t="str">
        <f t="shared" si="0"/>
        <v xml:space="preserve"> </v>
      </c>
      <c r="B2214" s="81" t="str">
        <f t="shared" si="1"/>
        <v xml:space="preserve"> </v>
      </c>
      <c r="C2214" s="79" t="str">
        <f t="shared" si="7"/>
        <v xml:space="preserve"> </v>
      </c>
      <c r="D2214" s="79" t="str">
        <f t="shared" si="5"/>
        <v xml:space="preserve"> </v>
      </c>
      <c r="E2214" s="79" t="str">
        <f t="shared" si="6"/>
        <v xml:space="preserve"> </v>
      </c>
    </row>
    <row r="2215" spans="1:5" ht="12.5">
      <c r="A2215" s="81" t="str">
        <f t="shared" si="0"/>
        <v xml:space="preserve"> </v>
      </c>
      <c r="B2215" s="81" t="str">
        <f t="shared" si="1"/>
        <v xml:space="preserve"> </v>
      </c>
      <c r="C2215" s="79" t="str">
        <f t="shared" si="7"/>
        <v xml:space="preserve"> </v>
      </c>
      <c r="D2215" s="79" t="str">
        <f t="shared" si="5"/>
        <v xml:space="preserve"> </v>
      </c>
      <c r="E2215" s="79" t="str">
        <f t="shared" si="6"/>
        <v xml:space="preserve"> </v>
      </c>
    </row>
    <row r="2216" spans="1:5" ht="12.5">
      <c r="A2216" s="81" t="str">
        <f t="shared" si="0"/>
        <v xml:space="preserve"> </v>
      </c>
      <c r="B2216" s="81" t="str">
        <f t="shared" si="1"/>
        <v xml:space="preserve"> </v>
      </c>
      <c r="C2216" s="79" t="str">
        <f t="shared" si="7"/>
        <v xml:space="preserve"> </v>
      </c>
      <c r="D2216" s="79" t="str">
        <f t="shared" si="5"/>
        <v xml:space="preserve"> </v>
      </c>
      <c r="E2216" s="79" t="str">
        <f t="shared" si="6"/>
        <v xml:space="preserve"> </v>
      </c>
    </row>
    <row r="2217" spans="1:5" ht="12.5">
      <c r="A2217" s="81" t="str">
        <f t="shared" si="0"/>
        <v xml:space="preserve"> </v>
      </c>
      <c r="B2217" s="81" t="str">
        <f t="shared" si="1"/>
        <v xml:space="preserve"> </v>
      </c>
      <c r="C2217" s="79" t="str">
        <f t="shared" si="7"/>
        <v xml:space="preserve"> </v>
      </c>
      <c r="D2217" s="79" t="str">
        <f t="shared" si="5"/>
        <v xml:space="preserve"> </v>
      </c>
      <c r="E2217" s="79" t="str">
        <f t="shared" si="6"/>
        <v xml:space="preserve"> </v>
      </c>
    </row>
    <row r="2218" spans="1:5" ht="12.5">
      <c r="A2218" s="81" t="str">
        <f t="shared" si="0"/>
        <v xml:space="preserve"> </v>
      </c>
      <c r="B2218" s="81" t="str">
        <f t="shared" si="1"/>
        <v xml:space="preserve"> </v>
      </c>
      <c r="C2218" s="79" t="str">
        <f t="shared" si="7"/>
        <v xml:space="preserve"> </v>
      </c>
      <c r="D2218" s="79" t="str">
        <f t="shared" si="5"/>
        <v xml:space="preserve"> </v>
      </c>
      <c r="E2218" s="79" t="str">
        <f t="shared" si="6"/>
        <v xml:space="preserve"> </v>
      </c>
    </row>
    <row r="2219" spans="1:5" ht="12.5">
      <c r="A2219" s="81" t="str">
        <f t="shared" si="0"/>
        <v xml:space="preserve"> </v>
      </c>
      <c r="B2219" s="81" t="str">
        <f t="shared" si="1"/>
        <v xml:space="preserve"> </v>
      </c>
      <c r="C2219" s="79" t="str">
        <f t="shared" si="7"/>
        <v xml:space="preserve"> </v>
      </c>
      <c r="D2219" s="79" t="str">
        <f t="shared" si="5"/>
        <v xml:space="preserve"> </v>
      </c>
      <c r="E2219" s="79" t="str">
        <f t="shared" si="6"/>
        <v xml:space="preserve"> </v>
      </c>
    </row>
    <row r="2220" spans="1:5" ht="12.5">
      <c r="A2220" s="81" t="str">
        <f t="shared" si="0"/>
        <v xml:space="preserve"> </v>
      </c>
      <c r="B2220" s="81" t="str">
        <f t="shared" si="1"/>
        <v xml:space="preserve"> </v>
      </c>
      <c r="C2220" s="79" t="str">
        <f t="shared" si="7"/>
        <v xml:space="preserve"> </v>
      </c>
      <c r="D2220" s="79" t="str">
        <f t="shared" si="5"/>
        <v xml:space="preserve"> </v>
      </c>
      <c r="E2220" s="79" t="str">
        <f t="shared" si="6"/>
        <v xml:space="preserve"> </v>
      </c>
    </row>
    <row r="2221" spans="1:5" ht="12.5">
      <c r="A2221" s="81" t="str">
        <f t="shared" si="0"/>
        <v xml:space="preserve"> </v>
      </c>
      <c r="B2221" s="81" t="str">
        <f t="shared" si="1"/>
        <v xml:space="preserve"> </v>
      </c>
      <c r="C2221" s="79" t="str">
        <f t="shared" si="7"/>
        <v xml:space="preserve"> </v>
      </c>
      <c r="D2221" s="79" t="str">
        <f t="shared" si="5"/>
        <v xml:space="preserve"> </v>
      </c>
      <c r="E2221" s="79" t="str">
        <f t="shared" si="6"/>
        <v xml:space="preserve"> </v>
      </c>
    </row>
    <row r="2222" spans="1:5" ht="12.5">
      <c r="A2222" s="81" t="str">
        <f t="shared" si="0"/>
        <v xml:space="preserve"> </v>
      </c>
      <c r="B2222" s="81" t="str">
        <f t="shared" si="1"/>
        <v xml:space="preserve"> </v>
      </c>
      <c r="C2222" s="79" t="str">
        <f t="shared" si="7"/>
        <v xml:space="preserve"> </v>
      </c>
      <c r="D2222" s="79" t="str">
        <f t="shared" si="5"/>
        <v xml:space="preserve"> </v>
      </c>
      <c r="E2222" s="79" t="str">
        <f t="shared" si="6"/>
        <v xml:space="preserve"> </v>
      </c>
    </row>
    <row r="2223" spans="1:5" ht="12.5">
      <c r="A2223" s="81" t="str">
        <f t="shared" si="0"/>
        <v xml:space="preserve"> </v>
      </c>
      <c r="B2223" s="81" t="str">
        <f t="shared" si="1"/>
        <v xml:space="preserve"> </v>
      </c>
      <c r="C2223" s="79" t="str">
        <f t="shared" si="7"/>
        <v xml:space="preserve"> </v>
      </c>
      <c r="D2223" s="79" t="str">
        <f t="shared" si="5"/>
        <v xml:space="preserve"> </v>
      </c>
      <c r="E2223" s="79" t="str">
        <f t="shared" si="6"/>
        <v xml:space="preserve"> </v>
      </c>
    </row>
    <row r="2224" spans="1:5" ht="12.5">
      <c r="A2224" s="81" t="str">
        <f t="shared" si="0"/>
        <v xml:space="preserve"> </v>
      </c>
      <c r="B2224" s="81" t="str">
        <f t="shared" si="1"/>
        <v xml:space="preserve"> </v>
      </c>
      <c r="C2224" s="79" t="str">
        <f t="shared" si="7"/>
        <v xml:space="preserve"> </v>
      </c>
      <c r="D2224" s="79" t="str">
        <f t="shared" si="5"/>
        <v xml:space="preserve"> </v>
      </c>
      <c r="E2224" s="79" t="str">
        <f t="shared" si="6"/>
        <v xml:space="preserve"> </v>
      </c>
    </row>
    <row r="2225" spans="1:5" ht="12.5">
      <c r="A2225" s="81" t="str">
        <f t="shared" si="0"/>
        <v xml:space="preserve"> </v>
      </c>
      <c r="B2225" s="81" t="str">
        <f t="shared" si="1"/>
        <v xml:space="preserve"> </v>
      </c>
      <c r="C2225" s="79" t="str">
        <f t="shared" si="7"/>
        <v xml:space="preserve"> </v>
      </c>
      <c r="D2225" s="79" t="str">
        <f t="shared" si="5"/>
        <v xml:space="preserve"> </v>
      </c>
      <c r="E2225" s="79" t="str">
        <f t="shared" si="6"/>
        <v xml:space="preserve"> </v>
      </c>
    </row>
    <row r="2226" spans="1:5" ht="12.5">
      <c r="A2226" s="81" t="str">
        <f t="shared" si="0"/>
        <v xml:space="preserve"> </v>
      </c>
      <c r="B2226" s="81" t="str">
        <f t="shared" si="1"/>
        <v xml:space="preserve"> </v>
      </c>
      <c r="C2226" s="79" t="str">
        <f t="shared" si="7"/>
        <v xml:space="preserve"> </v>
      </c>
      <c r="D2226" s="79" t="str">
        <f t="shared" si="5"/>
        <v xml:space="preserve"> </v>
      </c>
      <c r="E2226" s="79" t="str">
        <f t="shared" si="6"/>
        <v xml:space="preserve"> </v>
      </c>
    </row>
    <row r="2227" spans="1:5" ht="12.5">
      <c r="A2227" s="81" t="str">
        <f t="shared" si="0"/>
        <v xml:space="preserve"> </v>
      </c>
      <c r="B2227" s="81" t="str">
        <f t="shared" si="1"/>
        <v xml:space="preserve"> </v>
      </c>
      <c r="C2227" s="79" t="str">
        <f t="shared" si="7"/>
        <v xml:space="preserve"> </v>
      </c>
      <c r="D2227" s="79" t="str">
        <f t="shared" si="5"/>
        <v xml:space="preserve"> </v>
      </c>
      <c r="E2227" s="79" t="str">
        <f t="shared" si="6"/>
        <v xml:space="preserve"> </v>
      </c>
    </row>
    <row r="2228" spans="1:5" ht="12.5">
      <c r="A2228" s="81" t="str">
        <f t="shared" si="0"/>
        <v xml:space="preserve"> </v>
      </c>
      <c r="B2228" s="81" t="str">
        <f t="shared" si="1"/>
        <v xml:space="preserve"> </v>
      </c>
      <c r="C2228" s="79" t="str">
        <f t="shared" si="7"/>
        <v xml:space="preserve"> </v>
      </c>
      <c r="D2228" s="79" t="str">
        <f t="shared" si="5"/>
        <v xml:space="preserve"> </v>
      </c>
      <c r="E2228" s="79" t="str">
        <f t="shared" si="6"/>
        <v xml:space="preserve"> </v>
      </c>
    </row>
    <row r="2229" spans="1:5" ht="12.5">
      <c r="A2229" s="81" t="str">
        <f t="shared" si="0"/>
        <v xml:space="preserve"> </v>
      </c>
      <c r="B2229" s="81" t="str">
        <f t="shared" si="1"/>
        <v xml:space="preserve"> </v>
      </c>
      <c r="C2229" s="79" t="str">
        <f t="shared" si="7"/>
        <v xml:space="preserve"> </v>
      </c>
      <c r="D2229" s="79" t="str">
        <f t="shared" si="5"/>
        <v xml:space="preserve"> </v>
      </c>
      <c r="E2229" s="79" t="str">
        <f t="shared" si="6"/>
        <v xml:space="preserve"> </v>
      </c>
    </row>
    <row r="2230" spans="1:5" ht="12.5">
      <c r="A2230" s="81" t="str">
        <f t="shared" si="0"/>
        <v xml:space="preserve"> </v>
      </c>
      <c r="B2230" s="81" t="str">
        <f t="shared" si="1"/>
        <v xml:space="preserve"> </v>
      </c>
      <c r="C2230" s="79" t="str">
        <f t="shared" si="7"/>
        <v xml:space="preserve"> </v>
      </c>
      <c r="D2230" s="79" t="str">
        <f t="shared" si="5"/>
        <v xml:space="preserve"> </v>
      </c>
      <c r="E2230" s="79" t="str">
        <f t="shared" si="6"/>
        <v xml:space="preserve"> </v>
      </c>
    </row>
    <row r="2231" spans="1:5" ht="12.5">
      <c r="A2231" s="81" t="str">
        <f t="shared" si="0"/>
        <v xml:space="preserve"> </v>
      </c>
      <c r="B2231" s="81" t="str">
        <f t="shared" si="1"/>
        <v xml:space="preserve"> </v>
      </c>
      <c r="C2231" s="79" t="str">
        <f t="shared" si="7"/>
        <v xml:space="preserve"> </v>
      </c>
      <c r="D2231" s="79" t="str">
        <f t="shared" si="5"/>
        <v xml:space="preserve"> </v>
      </c>
      <c r="E2231" s="79" t="str">
        <f t="shared" si="6"/>
        <v xml:space="preserve"> </v>
      </c>
    </row>
    <row r="2232" spans="1:5" ht="12.5">
      <c r="A2232" s="81" t="str">
        <f t="shared" si="0"/>
        <v xml:space="preserve"> </v>
      </c>
      <c r="B2232" s="81" t="str">
        <f t="shared" si="1"/>
        <v xml:space="preserve"> </v>
      </c>
      <c r="C2232" s="79" t="str">
        <f t="shared" si="7"/>
        <v xml:space="preserve"> </v>
      </c>
      <c r="D2232" s="79" t="str">
        <f t="shared" si="5"/>
        <v xml:space="preserve"> </v>
      </c>
      <c r="E2232" s="79" t="str">
        <f t="shared" si="6"/>
        <v xml:space="preserve"> </v>
      </c>
    </row>
    <row r="2233" spans="1:5" ht="12.5">
      <c r="A2233" s="81" t="str">
        <f t="shared" si="0"/>
        <v xml:space="preserve"> </v>
      </c>
      <c r="B2233" s="81" t="str">
        <f t="shared" si="1"/>
        <v xml:space="preserve"> </v>
      </c>
      <c r="C2233" s="79" t="str">
        <f t="shared" si="7"/>
        <v xml:space="preserve"> </v>
      </c>
      <c r="D2233" s="79" t="str">
        <f t="shared" si="5"/>
        <v xml:space="preserve"> </v>
      </c>
      <c r="E2233" s="79" t="str">
        <f t="shared" si="6"/>
        <v xml:space="preserve"> </v>
      </c>
    </row>
    <row r="2234" spans="1:5" ht="12.5">
      <c r="A2234" s="81" t="str">
        <f t="shared" si="0"/>
        <v xml:space="preserve"> </v>
      </c>
      <c r="B2234" s="81" t="str">
        <f t="shared" si="1"/>
        <v xml:space="preserve"> </v>
      </c>
      <c r="C2234" s="79" t="str">
        <f t="shared" si="7"/>
        <v xml:space="preserve"> </v>
      </c>
      <c r="D2234" s="79" t="str">
        <f t="shared" si="5"/>
        <v xml:space="preserve"> </v>
      </c>
      <c r="E2234" s="79" t="str">
        <f t="shared" si="6"/>
        <v xml:space="preserve"> </v>
      </c>
    </row>
    <row r="2235" spans="1:5" ht="12.5">
      <c r="A2235" s="81" t="str">
        <f t="shared" si="0"/>
        <v xml:space="preserve"> </v>
      </c>
      <c r="B2235" s="81" t="str">
        <f t="shared" si="1"/>
        <v xml:space="preserve"> </v>
      </c>
      <c r="C2235" s="79" t="str">
        <f t="shared" si="7"/>
        <v xml:space="preserve"> </v>
      </c>
      <c r="D2235" s="79" t="str">
        <f t="shared" si="5"/>
        <v xml:space="preserve"> </v>
      </c>
      <c r="E2235" s="79" t="str">
        <f t="shared" si="6"/>
        <v xml:space="preserve"> </v>
      </c>
    </row>
    <row r="2236" spans="1:5" ht="12.5">
      <c r="A2236" s="81" t="str">
        <f t="shared" si="0"/>
        <v xml:space="preserve"> </v>
      </c>
      <c r="B2236" s="81" t="str">
        <f t="shared" si="1"/>
        <v xml:space="preserve"> </v>
      </c>
      <c r="C2236" s="79" t="str">
        <f t="shared" si="7"/>
        <v xml:space="preserve"> </v>
      </c>
      <c r="D2236" s="79" t="str">
        <f t="shared" si="5"/>
        <v xml:space="preserve"> </v>
      </c>
      <c r="E2236" s="79" t="str">
        <f t="shared" si="6"/>
        <v xml:space="preserve"> </v>
      </c>
    </row>
    <row r="2237" spans="1:5" ht="12.5">
      <c r="A2237" s="81" t="str">
        <f t="shared" si="0"/>
        <v xml:space="preserve"> </v>
      </c>
      <c r="B2237" s="81" t="str">
        <f t="shared" si="1"/>
        <v xml:space="preserve"> </v>
      </c>
      <c r="C2237" s="79" t="str">
        <f t="shared" si="7"/>
        <v xml:space="preserve"> </v>
      </c>
      <c r="D2237" s="79" t="str">
        <f t="shared" si="5"/>
        <v xml:space="preserve"> </v>
      </c>
      <c r="E2237" s="79" t="str">
        <f t="shared" si="6"/>
        <v xml:space="preserve"> </v>
      </c>
    </row>
    <row r="2238" spans="1:5" ht="12.5">
      <c r="A2238" s="81" t="str">
        <f t="shared" si="0"/>
        <v xml:space="preserve"> </v>
      </c>
      <c r="B2238" s="81" t="str">
        <f t="shared" si="1"/>
        <v xml:space="preserve"> </v>
      </c>
      <c r="C2238" s="79" t="str">
        <f t="shared" si="7"/>
        <v xml:space="preserve"> </v>
      </c>
      <c r="D2238" s="79" t="str">
        <f t="shared" si="5"/>
        <v xml:space="preserve"> </v>
      </c>
      <c r="E2238" s="79" t="str">
        <f t="shared" si="6"/>
        <v xml:space="preserve"> </v>
      </c>
    </row>
    <row r="2239" spans="1:5" ht="12.5">
      <c r="A2239" s="81" t="str">
        <f t="shared" si="0"/>
        <v xml:space="preserve"> </v>
      </c>
      <c r="B2239" s="81" t="str">
        <f t="shared" si="1"/>
        <v xml:space="preserve"> </v>
      </c>
      <c r="C2239" s="79" t="str">
        <f t="shared" si="7"/>
        <v xml:space="preserve"> </v>
      </c>
      <c r="D2239" s="79" t="str">
        <f t="shared" si="5"/>
        <v xml:space="preserve"> </v>
      </c>
      <c r="E2239" s="79" t="str">
        <f t="shared" si="6"/>
        <v xml:space="preserve"> </v>
      </c>
    </row>
    <row r="2240" spans="1:5" ht="12.5">
      <c r="A2240" s="81" t="str">
        <f t="shared" si="0"/>
        <v xml:space="preserve"> </v>
      </c>
      <c r="B2240" s="81" t="str">
        <f t="shared" si="1"/>
        <v xml:space="preserve"> </v>
      </c>
      <c r="C2240" s="79" t="str">
        <f t="shared" si="7"/>
        <v xml:space="preserve"> </v>
      </c>
      <c r="D2240" s="79" t="str">
        <f t="shared" si="5"/>
        <v xml:space="preserve"> </v>
      </c>
      <c r="E2240" s="79" t="str">
        <f t="shared" si="6"/>
        <v xml:space="preserve"> </v>
      </c>
    </row>
    <row r="2241" spans="1:5" ht="12.5">
      <c r="A2241" s="81" t="str">
        <f t="shared" si="0"/>
        <v xml:space="preserve"> </v>
      </c>
      <c r="B2241" s="81" t="str">
        <f t="shared" si="1"/>
        <v xml:space="preserve"> </v>
      </c>
      <c r="C2241" s="79" t="str">
        <f t="shared" si="7"/>
        <v xml:space="preserve"> </v>
      </c>
      <c r="D2241" s="79" t="str">
        <f t="shared" si="5"/>
        <v xml:space="preserve"> </v>
      </c>
      <c r="E2241" s="79" t="str">
        <f t="shared" si="6"/>
        <v xml:space="preserve"> </v>
      </c>
    </row>
    <row r="2242" spans="1:5" ht="12.5">
      <c r="A2242" s="81" t="str">
        <f t="shared" si="0"/>
        <v xml:space="preserve"> </v>
      </c>
      <c r="B2242" s="81" t="str">
        <f t="shared" si="1"/>
        <v xml:space="preserve"> </v>
      </c>
      <c r="C2242" s="79" t="str">
        <f t="shared" si="7"/>
        <v xml:space="preserve"> </v>
      </c>
      <c r="D2242" s="79" t="str">
        <f t="shared" si="5"/>
        <v xml:space="preserve"> </v>
      </c>
      <c r="E2242" s="79" t="str">
        <f t="shared" si="6"/>
        <v xml:space="preserve"> </v>
      </c>
    </row>
    <row r="2243" spans="1:5" ht="12.5">
      <c r="A2243" s="81" t="str">
        <f t="shared" si="0"/>
        <v xml:space="preserve"> </v>
      </c>
      <c r="B2243" s="81" t="str">
        <f t="shared" si="1"/>
        <v xml:space="preserve"> </v>
      </c>
      <c r="C2243" s="79" t="str">
        <f t="shared" si="7"/>
        <v xml:space="preserve"> </v>
      </c>
      <c r="D2243" s="79" t="str">
        <f t="shared" si="5"/>
        <v xml:space="preserve"> </v>
      </c>
      <c r="E2243" s="79" t="str">
        <f t="shared" si="6"/>
        <v xml:space="preserve"> </v>
      </c>
    </row>
    <row r="2244" spans="1:5" ht="12.5">
      <c r="A2244" s="81" t="str">
        <f t="shared" si="0"/>
        <v xml:space="preserve"> </v>
      </c>
      <c r="B2244" s="81" t="str">
        <f t="shared" si="1"/>
        <v xml:space="preserve"> </v>
      </c>
      <c r="C2244" s="79" t="str">
        <f t="shared" si="7"/>
        <v xml:space="preserve"> </v>
      </c>
      <c r="D2244" s="79" t="str">
        <f t="shared" si="5"/>
        <v xml:space="preserve"> </v>
      </c>
      <c r="E2244" s="79" t="str">
        <f t="shared" si="6"/>
        <v xml:space="preserve"> </v>
      </c>
    </row>
    <row r="2245" spans="1:5" ht="12.5">
      <c r="A2245" s="81" t="str">
        <f t="shared" si="0"/>
        <v xml:space="preserve"> </v>
      </c>
      <c r="B2245" s="81" t="str">
        <f t="shared" si="1"/>
        <v xml:space="preserve"> </v>
      </c>
      <c r="C2245" s="79" t="str">
        <f t="shared" si="7"/>
        <v xml:space="preserve"> </v>
      </c>
      <c r="D2245" s="79" t="str">
        <f t="shared" si="5"/>
        <v xml:space="preserve"> </v>
      </c>
      <c r="E2245" s="79" t="str">
        <f t="shared" si="6"/>
        <v xml:space="preserve"> </v>
      </c>
    </row>
    <row r="2246" spans="1:5" ht="12.5">
      <c r="A2246" s="81" t="str">
        <f t="shared" si="0"/>
        <v xml:space="preserve"> </v>
      </c>
      <c r="B2246" s="81" t="str">
        <f t="shared" si="1"/>
        <v xml:space="preserve"> </v>
      </c>
      <c r="C2246" s="79" t="str">
        <f t="shared" si="7"/>
        <v xml:space="preserve"> </v>
      </c>
      <c r="D2246" s="79" t="str">
        <f t="shared" si="5"/>
        <v xml:space="preserve"> </v>
      </c>
      <c r="E2246" s="79" t="str">
        <f t="shared" si="6"/>
        <v xml:space="preserve"> </v>
      </c>
    </row>
    <row r="2247" spans="1:5" ht="12.5">
      <c r="A2247" s="81" t="str">
        <f t="shared" si="0"/>
        <v xml:space="preserve"> </v>
      </c>
      <c r="B2247" s="81" t="str">
        <f t="shared" si="1"/>
        <v xml:space="preserve"> </v>
      </c>
      <c r="C2247" s="79" t="str">
        <f t="shared" si="7"/>
        <v xml:space="preserve"> </v>
      </c>
      <c r="D2247" s="79" t="str">
        <f t="shared" si="5"/>
        <v xml:space="preserve"> </v>
      </c>
      <c r="E2247" s="79" t="str">
        <f t="shared" si="6"/>
        <v xml:space="preserve"> </v>
      </c>
    </row>
    <row r="2248" spans="1:5" ht="12.5">
      <c r="A2248" s="81" t="str">
        <f t="shared" si="0"/>
        <v xml:space="preserve"> </v>
      </c>
      <c r="B2248" s="81" t="str">
        <f t="shared" si="1"/>
        <v xml:space="preserve"> </v>
      </c>
      <c r="C2248" s="79" t="str">
        <f t="shared" si="7"/>
        <v xml:space="preserve"> </v>
      </c>
      <c r="D2248" s="79" t="str">
        <f t="shared" si="5"/>
        <v xml:space="preserve"> </v>
      </c>
      <c r="E2248" s="79" t="str">
        <f t="shared" si="6"/>
        <v xml:space="preserve"> </v>
      </c>
    </row>
    <row r="2249" spans="1:5" ht="12.5">
      <c r="A2249" s="81" t="str">
        <f t="shared" si="0"/>
        <v xml:space="preserve"> </v>
      </c>
      <c r="B2249" s="81" t="str">
        <f t="shared" si="1"/>
        <v xml:space="preserve"> </v>
      </c>
      <c r="C2249" s="79" t="str">
        <f t="shared" si="7"/>
        <v xml:space="preserve"> </v>
      </c>
      <c r="D2249" s="79" t="str">
        <f t="shared" si="5"/>
        <v xml:space="preserve"> </v>
      </c>
      <c r="E2249" s="79" t="str">
        <f t="shared" si="6"/>
        <v xml:space="preserve"> </v>
      </c>
    </row>
    <row r="2250" spans="1:5" ht="12.5">
      <c r="A2250" s="81" t="str">
        <f t="shared" si="0"/>
        <v xml:space="preserve"> </v>
      </c>
      <c r="B2250" s="81" t="str">
        <f t="shared" si="1"/>
        <v xml:space="preserve"> </v>
      </c>
      <c r="C2250" s="79" t="str">
        <f t="shared" si="7"/>
        <v xml:space="preserve"> </v>
      </c>
      <c r="D2250" s="79" t="str">
        <f t="shared" si="5"/>
        <v xml:space="preserve"> </v>
      </c>
      <c r="E2250" s="79" t="str">
        <f t="shared" si="6"/>
        <v xml:space="preserve"> </v>
      </c>
    </row>
    <row r="2251" spans="1:5" ht="12.5">
      <c r="A2251" s="81" t="str">
        <f t="shared" si="0"/>
        <v xml:space="preserve"> </v>
      </c>
      <c r="B2251" s="81" t="str">
        <f t="shared" si="1"/>
        <v xml:space="preserve"> </v>
      </c>
      <c r="C2251" s="79" t="str">
        <f t="shared" si="7"/>
        <v xml:space="preserve"> </v>
      </c>
      <c r="D2251" s="79" t="str">
        <f t="shared" si="5"/>
        <v xml:space="preserve"> </v>
      </c>
      <c r="E2251" s="79" t="str">
        <f t="shared" si="6"/>
        <v xml:space="preserve"> </v>
      </c>
    </row>
    <row r="2252" spans="1:5" ht="12.5">
      <c r="A2252" s="81" t="str">
        <f t="shared" si="0"/>
        <v xml:space="preserve"> </v>
      </c>
      <c r="B2252" s="81" t="str">
        <f t="shared" si="1"/>
        <v xml:space="preserve"> </v>
      </c>
      <c r="C2252" s="79" t="str">
        <f t="shared" si="7"/>
        <v xml:space="preserve"> </v>
      </c>
      <c r="D2252" s="79" t="str">
        <f t="shared" si="5"/>
        <v xml:space="preserve"> </v>
      </c>
      <c r="E2252" s="79" t="str">
        <f t="shared" si="6"/>
        <v xml:space="preserve"> </v>
      </c>
    </row>
    <row r="2253" spans="1:5" ht="12.5">
      <c r="A2253" s="81" t="str">
        <f t="shared" si="0"/>
        <v xml:space="preserve"> </v>
      </c>
      <c r="B2253" s="81" t="str">
        <f t="shared" si="1"/>
        <v xml:space="preserve"> </v>
      </c>
      <c r="C2253" s="79" t="str">
        <f t="shared" si="7"/>
        <v xml:space="preserve"> </v>
      </c>
      <c r="D2253" s="79" t="str">
        <f t="shared" si="5"/>
        <v xml:space="preserve"> </v>
      </c>
      <c r="E2253" s="79" t="str">
        <f t="shared" si="6"/>
        <v xml:space="preserve"> </v>
      </c>
    </row>
    <row r="2254" spans="1:5" ht="12.5">
      <c r="A2254" s="81" t="str">
        <f t="shared" si="0"/>
        <v xml:space="preserve"> </v>
      </c>
      <c r="B2254" s="81" t="str">
        <f t="shared" si="1"/>
        <v xml:space="preserve"> </v>
      </c>
      <c r="C2254" s="79" t="str">
        <f t="shared" si="7"/>
        <v xml:space="preserve"> </v>
      </c>
      <c r="D2254" s="79" t="str">
        <f t="shared" si="5"/>
        <v xml:space="preserve"> </v>
      </c>
      <c r="E2254" s="79" t="str">
        <f t="shared" si="6"/>
        <v xml:space="preserve"> </v>
      </c>
    </row>
    <row r="2255" spans="1:5" ht="12.5">
      <c r="A2255" s="81" t="str">
        <f t="shared" si="0"/>
        <v xml:space="preserve"> </v>
      </c>
      <c r="B2255" s="81" t="str">
        <f t="shared" si="1"/>
        <v xml:space="preserve"> </v>
      </c>
      <c r="C2255" s="79" t="str">
        <f t="shared" si="7"/>
        <v xml:space="preserve"> </v>
      </c>
      <c r="D2255" s="79" t="str">
        <f t="shared" si="5"/>
        <v xml:space="preserve"> </v>
      </c>
      <c r="E2255" s="79" t="str">
        <f t="shared" si="6"/>
        <v xml:space="preserve"> </v>
      </c>
    </row>
    <row r="2256" spans="1:5" ht="12.5">
      <c r="A2256" s="81" t="str">
        <f t="shared" si="0"/>
        <v xml:space="preserve"> </v>
      </c>
      <c r="B2256" s="81" t="str">
        <f t="shared" si="1"/>
        <v xml:space="preserve"> </v>
      </c>
      <c r="C2256" s="79" t="str">
        <f t="shared" si="7"/>
        <v xml:space="preserve"> </v>
      </c>
      <c r="D2256" s="79" t="str">
        <f t="shared" si="5"/>
        <v xml:space="preserve"> </v>
      </c>
      <c r="E2256" s="79" t="str">
        <f t="shared" si="6"/>
        <v xml:space="preserve"> </v>
      </c>
    </row>
    <row r="2257" spans="1:5" ht="12.5">
      <c r="A2257" s="81" t="str">
        <f t="shared" si="0"/>
        <v xml:space="preserve"> </v>
      </c>
      <c r="B2257" s="81" t="str">
        <f t="shared" si="1"/>
        <v xml:space="preserve"> </v>
      </c>
      <c r="C2257" s="79" t="str">
        <f t="shared" si="7"/>
        <v xml:space="preserve"> </v>
      </c>
      <c r="D2257" s="79" t="str">
        <f t="shared" si="5"/>
        <v xml:space="preserve"> </v>
      </c>
      <c r="E2257" s="79" t="str">
        <f t="shared" si="6"/>
        <v xml:space="preserve"> </v>
      </c>
    </row>
    <row r="2258" spans="1:5" ht="12.5">
      <c r="A2258" s="81" t="str">
        <f t="shared" si="0"/>
        <v xml:space="preserve"> </v>
      </c>
      <c r="B2258" s="81" t="str">
        <f t="shared" si="1"/>
        <v xml:space="preserve"> </v>
      </c>
      <c r="C2258" s="79" t="str">
        <f t="shared" si="7"/>
        <v xml:space="preserve"> </v>
      </c>
      <c r="D2258" s="79" t="str">
        <f t="shared" si="5"/>
        <v xml:space="preserve"> </v>
      </c>
      <c r="E2258" s="79" t="str">
        <f t="shared" si="6"/>
        <v xml:space="preserve"> </v>
      </c>
    </row>
    <row r="2259" spans="1:5" ht="12.5">
      <c r="A2259" s="81" t="str">
        <f t="shared" si="0"/>
        <v xml:space="preserve"> </v>
      </c>
      <c r="B2259" s="81" t="str">
        <f t="shared" si="1"/>
        <v xml:space="preserve"> </v>
      </c>
      <c r="C2259" s="79" t="str">
        <f t="shared" si="7"/>
        <v xml:space="preserve"> </v>
      </c>
      <c r="D2259" s="79" t="str">
        <f t="shared" si="5"/>
        <v xml:space="preserve"> </v>
      </c>
      <c r="E2259" s="79" t="str">
        <f t="shared" si="6"/>
        <v xml:space="preserve"> </v>
      </c>
    </row>
    <row r="2260" spans="1:5" ht="12.5">
      <c r="A2260" s="81" t="str">
        <f t="shared" si="0"/>
        <v xml:space="preserve"> </v>
      </c>
      <c r="B2260" s="81" t="str">
        <f t="shared" si="1"/>
        <v xml:space="preserve"> </v>
      </c>
      <c r="C2260" s="79" t="str">
        <f t="shared" si="7"/>
        <v xml:space="preserve"> </v>
      </c>
      <c r="D2260" s="79" t="str">
        <f t="shared" si="5"/>
        <v xml:space="preserve"> </v>
      </c>
      <c r="E2260" s="79" t="str">
        <f t="shared" si="6"/>
        <v xml:space="preserve"> </v>
      </c>
    </row>
    <row r="2261" spans="1:5" ht="12.5">
      <c r="A2261" s="81" t="str">
        <f t="shared" si="0"/>
        <v xml:space="preserve"> </v>
      </c>
      <c r="B2261" s="81" t="str">
        <f t="shared" si="1"/>
        <v xml:space="preserve"> </v>
      </c>
      <c r="C2261" s="79" t="str">
        <f t="shared" si="7"/>
        <v xml:space="preserve"> </v>
      </c>
      <c r="D2261" s="79" t="str">
        <f t="shared" si="5"/>
        <v xml:space="preserve"> </v>
      </c>
      <c r="E2261" s="79" t="str">
        <f t="shared" si="6"/>
        <v xml:space="preserve"> </v>
      </c>
    </row>
    <row r="2262" spans="1:5" ht="12.5">
      <c r="A2262" s="81" t="str">
        <f t="shared" si="0"/>
        <v xml:space="preserve"> </v>
      </c>
      <c r="B2262" s="81" t="str">
        <f t="shared" si="1"/>
        <v xml:space="preserve"> </v>
      </c>
      <c r="C2262" s="79" t="str">
        <f t="shared" si="7"/>
        <v xml:space="preserve"> </v>
      </c>
      <c r="D2262" s="79" t="str">
        <f t="shared" si="5"/>
        <v xml:space="preserve"> </v>
      </c>
      <c r="E2262" s="79" t="str">
        <f t="shared" si="6"/>
        <v xml:space="preserve"> </v>
      </c>
    </row>
    <row r="2263" spans="1:5" ht="12.5">
      <c r="A2263" s="81" t="str">
        <f t="shared" si="0"/>
        <v xml:space="preserve"> </v>
      </c>
      <c r="B2263" s="81" t="str">
        <f t="shared" si="1"/>
        <v xml:space="preserve"> </v>
      </c>
      <c r="C2263" s="79" t="str">
        <f t="shared" si="7"/>
        <v xml:space="preserve"> </v>
      </c>
      <c r="D2263" s="79" t="str">
        <f t="shared" si="5"/>
        <v xml:space="preserve"> </v>
      </c>
      <c r="E2263" s="79" t="str">
        <f t="shared" si="6"/>
        <v xml:space="preserve"> </v>
      </c>
    </row>
    <row r="2264" spans="1:5" ht="12.5">
      <c r="A2264" s="81" t="str">
        <f t="shared" si="0"/>
        <v xml:space="preserve"> </v>
      </c>
      <c r="B2264" s="81" t="str">
        <f t="shared" si="1"/>
        <v xml:space="preserve"> </v>
      </c>
      <c r="C2264" s="79" t="str">
        <f t="shared" si="7"/>
        <v xml:space="preserve"> </v>
      </c>
      <c r="D2264" s="79" t="str">
        <f t="shared" si="5"/>
        <v xml:space="preserve"> </v>
      </c>
      <c r="E2264" s="79" t="str">
        <f t="shared" si="6"/>
        <v xml:space="preserve"> </v>
      </c>
    </row>
    <row r="2265" spans="1:5" ht="12.5">
      <c r="A2265" s="81" t="str">
        <f t="shared" si="0"/>
        <v xml:space="preserve"> </v>
      </c>
      <c r="B2265" s="81" t="str">
        <f t="shared" si="1"/>
        <v xml:space="preserve"> </v>
      </c>
      <c r="C2265" s="79" t="str">
        <f t="shared" si="7"/>
        <v xml:space="preserve"> </v>
      </c>
      <c r="D2265" s="79" t="str">
        <f t="shared" si="5"/>
        <v xml:space="preserve"> </v>
      </c>
      <c r="E2265" s="79" t="str">
        <f t="shared" si="6"/>
        <v xml:space="preserve"> </v>
      </c>
    </row>
    <row r="2266" spans="1:5" ht="12.5">
      <c r="A2266" s="81" t="str">
        <f t="shared" si="0"/>
        <v xml:space="preserve"> </v>
      </c>
      <c r="B2266" s="81" t="str">
        <f t="shared" si="1"/>
        <v xml:space="preserve"> </v>
      </c>
      <c r="C2266" s="79" t="str">
        <f t="shared" si="7"/>
        <v xml:space="preserve"> </v>
      </c>
      <c r="D2266" s="79" t="str">
        <f t="shared" si="5"/>
        <v xml:space="preserve"> </v>
      </c>
      <c r="E2266" s="79" t="str">
        <f t="shared" si="6"/>
        <v xml:space="preserve"> </v>
      </c>
    </row>
    <row r="2267" spans="1:5" ht="12.5">
      <c r="A2267" s="81" t="str">
        <f t="shared" si="0"/>
        <v xml:space="preserve"> </v>
      </c>
      <c r="B2267" s="81" t="str">
        <f t="shared" si="1"/>
        <v xml:space="preserve"> </v>
      </c>
      <c r="C2267" s="79" t="str">
        <f t="shared" si="7"/>
        <v xml:space="preserve"> </v>
      </c>
      <c r="D2267" s="79" t="str">
        <f t="shared" si="5"/>
        <v xml:space="preserve"> </v>
      </c>
      <c r="E2267" s="79" t="str">
        <f t="shared" si="6"/>
        <v xml:space="preserve"> </v>
      </c>
    </row>
    <row r="2268" spans="1:5" ht="12.5">
      <c r="A2268" s="81" t="str">
        <f t="shared" si="0"/>
        <v xml:space="preserve"> </v>
      </c>
      <c r="B2268" s="81" t="str">
        <f t="shared" si="1"/>
        <v xml:space="preserve"> </v>
      </c>
      <c r="C2268" s="79" t="str">
        <f t="shared" si="7"/>
        <v xml:space="preserve"> </v>
      </c>
      <c r="D2268" s="79" t="str">
        <f t="shared" si="5"/>
        <v xml:space="preserve"> </v>
      </c>
      <c r="E2268" s="79" t="str">
        <f t="shared" si="6"/>
        <v xml:space="preserve"> </v>
      </c>
    </row>
    <row r="2269" spans="1:5" ht="12.5">
      <c r="A2269" s="81" t="str">
        <f t="shared" si="0"/>
        <v xml:space="preserve"> </v>
      </c>
      <c r="B2269" s="81" t="str">
        <f t="shared" si="1"/>
        <v xml:space="preserve"> </v>
      </c>
      <c r="C2269" s="79" t="str">
        <f t="shared" si="7"/>
        <v xml:space="preserve"> </v>
      </c>
      <c r="D2269" s="79" t="str">
        <f t="shared" si="5"/>
        <v xml:space="preserve"> </v>
      </c>
      <c r="E2269" s="79" t="str">
        <f t="shared" si="6"/>
        <v xml:space="preserve"> </v>
      </c>
    </row>
    <row r="2270" spans="1:5" ht="12.5">
      <c r="A2270" s="81" t="str">
        <f t="shared" si="0"/>
        <v xml:space="preserve"> </v>
      </c>
      <c r="B2270" s="81" t="str">
        <f t="shared" si="1"/>
        <v xml:space="preserve"> </v>
      </c>
      <c r="C2270" s="79" t="str">
        <f t="shared" si="7"/>
        <v xml:space="preserve"> </v>
      </c>
      <c r="D2270" s="79" t="str">
        <f t="shared" si="5"/>
        <v xml:space="preserve"> </v>
      </c>
      <c r="E2270" s="79" t="str">
        <f t="shared" si="6"/>
        <v xml:space="preserve"> </v>
      </c>
    </row>
    <row r="2271" spans="1:5" ht="12.5">
      <c r="A2271" s="81" t="str">
        <f t="shared" si="0"/>
        <v xml:space="preserve"> </v>
      </c>
      <c r="B2271" s="81" t="str">
        <f t="shared" si="1"/>
        <v xml:space="preserve"> </v>
      </c>
      <c r="C2271" s="79" t="str">
        <f t="shared" si="7"/>
        <v xml:space="preserve"> </v>
      </c>
      <c r="D2271" s="79" t="str">
        <f t="shared" si="5"/>
        <v xml:space="preserve"> </v>
      </c>
      <c r="E2271" s="79" t="str">
        <f t="shared" si="6"/>
        <v xml:space="preserve"> </v>
      </c>
    </row>
    <row r="2272" spans="1:5" ht="12.5">
      <c r="A2272" s="81" t="str">
        <f t="shared" si="0"/>
        <v xml:space="preserve"> </v>
      </c>
      <c r="B2272" s="81" t="str">
        <f t="shared" si="1"/>
        <v xml:space="preserve"> </v>
      </c>
      <c r="C2272" s="79" t="str">
        <f t="shared" si="7"/>
        <v xml:space="preserve"> </v>
      </c>
      <c r="D2272" s="79" t="str">
        <f t="shared" si="5"/>
        <v xml:space="preserve"> </v>
      </c>
      <c r="E2272" s="79" t="str">
        <f t="shared" si="6"/>
        <v xml:space="preserve"> </v>
      </c>
    </row>
    <row r="2273" spans="1:5" ht="12.5">
      <c r="A2273" s="81" t="str">
        <f t="shared" si="0"/>
        <v xml:space="preserve"> </v>
      </c>
      <c r="B2273" s="81" t="str">
        <f t="shared" si="1"/>
        <v xml:space="preserve"> </v>
      </c>
      <c r="C2273" s="79" t="str">
        <f t="shared" si="7"/>
        <v xml:space="preserve"> </v>
      </c>
      <c r="D2273" s="79" t="str">
        <f t="shared" si="5"/>
        <v xml:space="preserve"> </v>
      </c>
      <c r="E2273" s="79" t="str">
        <f t="shared" si="6"/>
        <v xml:space="preserve"> </v>
      </c>
    </row>
    <row r="2274" spans="1:5" ht="12.5">
      <c r="A2274" s="81" t="str">
        <f t="shared" si="0"/>
        <v xml:space="preserve"> </v>
      </c>
      <c r="B2274" s="81" t="str">
        <f t="shared" si="1"/>
        <v xml:space="preserve"> </v>
      </c>
      <c r="C2274" s="79" t="str">
        <f t="shared" si="7"/>
        <v xml:space="preserve"> </v>
      </c>
      <c r="D2274" s="79" t="str">
        <f t="shared" si="5"/>
        <v xml:space="preserve"> </v>
      </c>
      <c r="E2274" s="79" t="str">
        <f t="shared" si="6"/>
        <v xml:space="preserve"> </v>
      </c>
    </row>
    <row r="2275" spans="1:5" ht="12.5">
      <c r="A2275" s="81" t="str">
        <f t="shared" si="0"/>
        <v xml:space="preserve"> </v>
      </c>
      <c r="B2275" s="81" t="str">
        <f t="shared" si="1"/>
        <v xml:space="preserve"> </v>
      </c>
      <c r="C2275" s="79" t="str">
        <f t="shared" si="7"/>
        <v xml:space="preserve"> </v>
      </c>
      <c r="D2275" s="79" t="str">
        <f t="shared" si="5"/>
        <v xml:space="preserve"> </v>
      </c>
      <c r="E2275" s="79" t="str">
        <f t="shared" si="6"/>
        <v xml:space="preserve"> </v>
      </c>
    </row>
    <row r="2276" spans="1:5" ht="12.5">
      <c r="A2276" s="81" t="str">
        <f t="shared" si="0"/>
        <v xml:space="preserve"> </v>
      </c>
      <c r="B2276" s="81" t="str">
        <f t="shared" si="1"/>
        <v xml:space="preserve"> </v>
      </c>
      <c r="C2276" s="79" t="str">
        <f t="shared" si="7"/>
        <v xml:space="preserve"> </v>
      </c>
      <c r="D2276" s="79" t="str">
        <f t="shared" si="5"/>
        <v xml:space="preserve"> </v>
      </c>
      <c r="E2276" s="79" t="str">
        <f t="shared" si="6"/>
        <v xml:space="preserve"> </v>
      </c>
    </row>
    <row r="2277" spans="1:5" ht="12.5">
      <c r="A2277" s="81" t="str">
        <f t="shared" si="0"/>
        <v xml:space="preserve"> </v>
      </c>
      <c r="B2277" s="81" t="str">
        <f t="shared" si="1"/>
        <v xml:space="preserve"> </v>
      </c>
      <c r="C2277" s="79" t="str">
        <f t="shared" si="7"/>
        <v xml:space="preserve"> </v>
      </c>
      <c r="D2277" s="79" t="str">
        <f t="shared" si="5"/>
        <v xml:space="preserve"> </v>
      </c>
      <c r="E2277" s="79" t="str">
        <f t="shared" si="6"/>
        <v xml:space="preserve"> </v>
      </c>
    </row>
    <row r="2278" spans="1:5" ht="12.5">
      <c r="A2278" s="81" t="str">
        <f t="shared" si="0"/>
        <v xml:space="preserve"> </v>
      </c>
      <c r="B2278" s="81" t="str">
        <f t="shared" si="1"/>
        <v xml:space="preserve"> </v>
      </c>
      <c r="C2278" s="79" t="str">
        <f t="shared" si="7"/>
        <v xml:space="preserve"> </v>
      </c>
      <c r="D2278" s="79" t="str">
        <f t="shared" si="5"/>
        <v xml:space="preserve"> </v>
      </c>
      <c r="E2278" s="79" t="str">
        <f t="shared" si="6"/>
        <v xml:space="preserve"> </v>
      </c>
    </row>
    <row r="2279" spans="1:5" ht="12.5">
      <c r="A2279" s="81" t="str">
        <f t="shared" si="0"/>
        <v xml:space="preserve"> </v>
      </c>
      <c r="B2279" s="81" t="str">
        <f t="shared" si="1"/>
        <v xml:space="preserve"> </v>
      </c>
      <c r="C2279" s="79" t="str">
        <f t="shared" si="7"/>
        <v xml:space="preserve"> </v>
      </c>
      <c r="D2279" s="79" t="str">
        <f t="shared" si="5"/>
        <v xml:space="preserve"> </v>
      </c>
      <c r="E2279" s="79" t="str">
        <f t="shared" si="6"/>
        <v xml:space="preserve"> </v>
      </c>
    </row>
    <row r="2280" spans="1:5" ht="12.5">
      <c r="A2280" s="81" t="str">
        <f t="shared" si="0"/>
        <v xml:space="preserve"> </v>
      </c>
      <c r="B2280" s="81" t="str">
        <f t="shared" si="1"/>
        <v xml:space="preserve"> </v>
      </c>
      <c r="C2280" s="79" t="str">
        <f t="shared" si="7"/>
        <v xml:space="preserve"> </v>
      </c>
      <c r="D2280" s="79" t="str">
        <f t="shared" si="5"/>
        <v xml:space="preserve"> </v>
      </c>
      <c r="E2280" s="79" t="str">
        <f t="shared" si="6"/>
        <v xml:space="preserve"> </v>
      </c>
    </row>
    <row r="2281" spans="1:5" ht="12.5">
      <c r="A2281" s="81" t="str">
        <f t="shared" si="0"/>
        <v xml:space="preserve"> </v>
      </c>
      <c r="B2281" s="81" t="str">
        <f t="shared" si="1"/>
        <v xml:space="preserve"> </v>
      </c>
      <c r="C2281" s="79" t="str">
        <f t="shared" si="7"/>
        <v xml:space="preserve"> </v>
      </c>
      <c r="D2281" s="79" t="str">
        <f t="shared" si="5"/>
        <v xml:space="preserve"> </v>
      </c>
      <c r="E2281" s="79" t="str">
        <f t="shared" si="6"/>
        <v xml:space="preserve"> </v>
      </c>
    </row>
    <row r="2282" spans="1:5" ht="12.5">
      <c r="A2282" s="81" t="str">
        <f t="shared" si="0"/>
        <v xml:space="preserve"> </v>
      </c>
      <c r="B2282" s="81" t="str">
        <f t="shared" si="1"/>
        <v xml:space="preserve"> </v>
      </c>
      <c r="C2282" s="79" t="str">
        <f t="shared" si="7"/>
        <v xml:space="preserve"> </v>
      </c>
      <c r="D2282" s="79" t="str">
        <f t="shared" si="5"/>
        <v xml:space="preserve"> </v>
      </c>
      <c r="E2282" s="79" t="str">
        <f t="shared" si="6"/>
        <v xml:space="preserve"> </v>
      </c>
    </row>
    <row r="2283" spans="1:5" ht="12.5">
      <c r="A2283" s="81" t="str">
        <f t="shared" si="0"/>
        <v xml:space="preserve"> </v>
      </c>
      <c r="B2283" s="81" t="str">
        <f t="shared" si="1"/>
        <v xml:space="preserve"> </v>
      </c>
      <c r="C2283" s="79" t="str">
        <f t="shared" si="7"/>
        <v xml:space="preserve"> </v>
      </c>
      <c r="D2283" s="79" t="str">
        <f t="shared" si="5"/>
        <v xml:space="preserve"> </v>
      </c>
      <c r="E2283" s="79" t="str">
        <f t="shared" si="6"/>
        <v xml:space="preserve"> </v>
      </c>
    </row>
    <row r="2284" spans="1:5" ht="12.5">
      <c r="A2284" s="81" t="str">
        <f t="shared" si="0"/>
        <v xml:space="preserve"> </v>
      </c>
      <c r="B2284" s="81" t="str">
        <f t="shared" si="1"/>
        <v xml:space="preserve"> </v>
      </c>
      <c r="C2284" s="79" t="str">
        <f t="shared" si="7"/>
        <v xml:space="preserve"> </v>
      </c>
      <c r="D2284" s="79" t="str">
        <f t="shared" si="5"/>
        <v xml:space="preserve"> </v>
      </c>
      <c r="E2284" s="79" t="str">
        <f t="shared" si="6"/>
        <v xml:space="preserve"> </v>
      </c>
    </row>
    <row r="2285" spans="1:5" ht="12.5">
      <c r="A2285" s="81" t="str">
        <f t="shared" si="0"/>
        <v xml:space="preserve"> </v>
      </c>
      <c r="B2285" s="81" t="str">
        <f t="shared" si="1"/>
        <v xml:space="preserve"> </v>
      </c>
      <c r="C2285" s="79" t="str">
        <f t="shared" si="7"/>
        <v xml:space="preserve"> </v>
      </c>
      <c r="D2285" s="79" t="str">
        <f t="shared" si="5"/>
        <v xml:space="preserve"> </v>
      </c>
      <c r="E2285" s="79" t="str">
        <f t="shared" si="6"/>
        <v xml:space="preserve"> </v>
      </c>
    </row>
    <row r="2286" spans="1:5" ht="12.5">
      <c r="A2286" s="81" t="str">
        <f t="shared" si="0"/>
        <v xml:space="preserve"> </v>
      </c>
      <c r="B2286" s="81" t="str">
        <f t="shared" si="1"/>
        <v xml:space="preserve"> </v>
      </c>
      <c r="C2286" s="79" t="str">
        <f t="shared" si="7"/>
        <v xml:space="preserve"> </v>
      </c>
      <c r="D2286" s="79" t="str">
        <f t="shared" si="5"/>
        <v xml:space="preserve"> </v>
      </c>
      <c r="E2286" s="79" t="str">
        <f t="shared" si="6"/>
        <v xml:space="preserve"> </v>
      </c>
    </row>
    <row r="2287" spans="1:5" ht="12.5">
      <c r="A2287" s="81" t="str">
        <f t="shared" si="0"/>
        <v xml:space="preserve"> </v>
      </c>
      <c r="B2287" s="81" t="str">
        <f t="shared" si="1"/>
        <v xml:space="preserve"> </v>
      </c>
      <c r="C2287" s="79" t="str">
        <f t="shared" si="7"/>
        <v xml:space="preserve"> </v>
      </c>
      <c r="D2287" s="79" t="str">
        <f t="shared" si="5"/>
        <v xml:space="preserve"> </v>
      </c>
      <c r="E2287" s="79" t="str">
        <f t="shared" si="6"/>
        <v xml:space="preserve"> </v>
      </c>
    </row>
    <row r="2288" spans="1:5" ht="12.5">
      <c r="A2288" s="81" t="str">
        <f t="shared" si="0"/>
        <v xml:space="preserve"> </v>
      </c>
      <c r="B2288" s="81" t="str">
        <f t="shared" si="1"/>
        <v xml:space="preserve"> </v>
      </c>
      <c r="C2288" s="79" t="str">
        <f t="shared" si="7"/>
        <v xml:space="preserve"> </v>
      </c>
      <c r="D2288" s="79" t="str">
        <f t="shared" si="5"/>
        <v xml:space="preserve"> </v>
      </c>
      <c r="E2288" s="79" t="str">
        <f t="shared" si="6"/>
        <v xml:space="preserve"> </v>
      </c>
    </row>
    <row r="2289" spans="1:5" ht="12.5">
      <c r="A2289" s="81" t="str">
        <f t="shared" si="0"/>
        <v xml:space="preserve"> </v>
      </c>
      <c r="B2289" s="81" t="str">
        <f t="shared" si="1"/>
        <v xml:space="preserve"> </v>
      </c>
      <c r="C2289" s="79" t="str">
        <f t="shared" si="7"/>
        <v xml:space="preserve"> </v>
      </c>
      <c r="D2289" s="79" t="str">
        <f t="shared" si="5"/>
        <v xml:space="preserve"> </v>
      </c>
      <c r="E2289" s="79" t="str">
        <f t="shared" si="6"/>
        <v xml:space="preserve"> </v>
      </c>
    </row>
    <row r="2290" spans="1:5" ht="12.5">
      <c r="A2290" s="81" t="str">
        <f t="shared" si="0"/>
        <v xml:space="preserve"> </v>
      </c>
      <c r="B2290" s="81" t="str">
        <f t="shared" si="1"/>
        <v xml:space="preserve"> </v>
      </c>
      <c r="C2290" s="79" t="str">
        <f t="shared" si="7"/>
        <v xml:space="preserve"> </v>
      </c>
      <c r="D2290" s="79" t="str">
        <f t="shared" si="5"/>
        <v xml:space="preserve"> </v>
      </c>
      <c r="E2290" s="79" t="str">
        <f t="shared" si="6"/>
        <v xml:space="preserve"> </v>
      </c>
    </row>
    <row r="2291" spans="1:5" ht="12.5">
      <c r="A2291" s="81" t="str">
        <f t="shared" si="0"/>
        <v xml:space="preserve"> </v>
      </c>
      <c r="B2291" s="81" t="str">
        <f t="shared" si="1"/>
        <v xml:space="preserve"> </v>
      </c>
      <c r="C2291" s="79" t="str">
        <f t="shared" si="7"/>
        <v xml:space="preserve"> </v>
      </c>
      <c r="D2291" s="79" t="str">
        <f t="shared" si="5"/>
        <v xml:space="preserve"> </v>
      </c>
      <c r="E2291" s="79" t="str">
        <f t="shared" si="6"/>
        <v xml:space="preserve"> </v>
      </c>
    </row>
    <row r="2292" spans="1:5" ht="12.5">
      <c r="A2292" s="81" t="str">
        <f t="shared" si="0"/>
        <v xml:space="preserve"> </v>
      </c>
      <c r="B2292" s="81" t="str">
        <f t="shared" si="1"/>
        <v xml:space="preserve"> </v>
      </c>
      <c r="C2292" s="79" t="str">
        <f t="shared" si="7"/>
        <v xml:space="preserve"> </v>
      </c>
      <c r="D2292" s="79" t="str">
        <f t="shared" si="5"/>
        <v xml:space="preserve"> </v>
      </c>
      <c r="E2292" s="79" t="str">
        <f t="shared" si="6"/>
        <v xml:space="preserve"> </v>
      </c>
    </row>
    <row r="2293" spans="1:5" ht="12.5">
      <c r="A2293" s="81" t="str">
        <f t="shared" si="0"/>
        <v xml:space="preserve"> </v>
      </c>
      <c r="B2293" s="81" t="str">
        <f t="shared" si="1"/>
        <v xml:space="preserve"> </v>
      </c>
      <c r="C2293" s="79" t="str">
        <f t="shared" si="7"/>
        <v xml:space="preserve"> </v>
      </c>
      <c r="D2293" s="79" t="str">
        <f t="shared" si="5"/>
        <v xml:space="preserve"> </v>
      </c>
      <c r="E2293" s="79" t="str">
        <f t="shared" si="6"/>
        <v xml:space="preserve"> </v>
      </c>
    </row>
    <row r="2294" spans="1:5" ht="12.5">
      <c r="A2294" s="81" t="str">
        <f t="shared" si="0"/>
        <v xml:space="preserve"> </v>
      </c>
      <c r="B2294" s="81" t="str">
        <f t="shared" si="1"/>
        <v xml:space="preserve"> </v>
      </c>
      <c r="C2294" s="79" t="str">
        <f t="shared" si="7"/>
        <v xml:space="preserve"> </v>
      </c>
      <c r="D2294" s="79" t="str">
        <f t="shared" si="5"/>
        <v xml:space="preserve"> </v>
      </c>
      <c r="E2294" s="79" t="str">
        <f t="shared" si="6"/>
        <v xml:space="preserve"> </v>
      </c>
    </row>
    <row r="2295" spans="1:5" ht="12.5">
      <c r="A2295" s="81" t="str">
        <f t="shared" si="0"/>
        <v xml:space="preserve"> </v>
      </c>
      <c r="B2295" s="81" t="str">
        <f t="shared" si="1"/>
        <v xml:space="preserve"> </v>
      </c>
      <c r="C2295" s="79" t="str">
        <f t="shared" si="7"/>
        <v xml:space="preserve"> </v>
      </c>
      <c r="D2295" s="79" t="str">
        <f t="shared" si="5"/>
        <v xml:space="preserve"> </v>
      </c>
      <c r="E2295" s="79" t="str">
        <f t="shared" si="6"/>
        <v xml:space="preserve"> </v>
      </c>
    </row>
    <row r="2296" spans="1:5" ht="12.5">
      <c r="A2296" s="81" t="str">
        <f t="shared" si="0"/>
        <v xml:space="preserve"> </v>
      </c>
      <c r="B2296" s="81" t="str">
        <f t="shared" si="1"/>
        <v xml:space="preserve"> </v>
      </c>
      <c r="C2296" s="79" t="str">
        <f t="shared" si="7"/>
        <v xml:space="preserve"> </v>
      </c>
      <c r="D2296" s="79" t="str">
        <f t="shared" si="5"/>
        <v xml:space="preserve"> </v>
      </c>
      <c r="E2296" s="79" t="str">
        <f t="shared" si="6"/>
        <v xml:space="preserve"> </v>
      </c>
    </row>
    <row r="2297" spans="1:5" ht="12.5">
      <c r="A2297" s="81" t="str">
        <f t="shared" si="0"/>
        <v xml:space="preserve"> </v>
      </c>
      <c r="B2297" s="81" t="str">
        <f t="shared" si="1"/>
        <v xml:space="preserve"> </v>
      </c>
      <c r="C2297" s="79" t="str">
        <f t="shared" si="7"/>
        <v xml:space="preserve"> </v>
      </c>
      <c r="D2297" s="79" t="str">
        <f t="shared" si="5"/>
        <v xml:space="preserve"> </v>
      </c>
      <c r="E2297" s="79" t="str">
        <f t="shared" si="6"/>
        <v xml:space="preserve"> </v>
      </c>
    </row>
    <row r="2298" spans="1:5" ht="12.5">
      <c r="A2298" s="81" t="str">
        <f t="shared" si="0"/>
        <v xml:space="preserve"> </v>
      </c>
      <c r="B2298" s="81" t="str">
        <f t="shared" si="1"/>
        <v xml:space="preserve"> </v>
      </c>
      <c r="C2298" s="79" t="str">
        <f t="shared" si="7"/>
        <v xml:space="preserve"> </v>
      </c>
      <c r="D2298" s="79" t="str">
        <f t="shared" si="5"/>
        <v xml:space="preserve"> </v>
      </c>
      <c r="E2298" s="79" t="str">
        <f t="shared" si="6"/>
        <v xml:space="preserve"> </v>
      </c>
    </row>
    <row r="2299" spans="1:5" ht="12.5">
      <c r="A2299" s="81" t="str">
        <f t="shared" si="0"/>
        <v xml:space="preserve"> </v>
      </c>
      <c r="B2299" s="81" t="str">
        <f t="shared" si="1"/>
        <v xml:space="preserve"> </v>
      </c>
      <c r="C2299" s="79" t="str">
        <f t="shared" si="7"/>
        <v xml:space="preserve"> </v>
      </c>
      <c r="D2299" s="79" t="str">
        <f t="shared" si="5"/>
        <v xml:space="preserve"> </v>
      </c>
      <c r="E2299" s="79" t="str">
        <f t="shared" si="6"/>
        <v xml:space="preserve"> </v>
      </c>
    </row>
    <row r="2300" spans="1:5" ht="12.5">
      <c r="A2300" s="81" t="str">
        <f t="shared" si="0"/>
        <v xml:space="preserve"> </v>
      </c>
      <c r="B2300" s="81" t="str">
        <f t="shared" si="1"/>
        <v xml:space="preserve"> </v>
      </c>
      <c r="C2300" s="79" t="str">
        <f t="shared" si="7"/>
        <v xml:space="preserve"> </v>
      </c>
      <c r="D2300" s="79" t="str">
        <f t="shared" si="5"/>
        <v xml:space="preserve"> </v>
      </c>
      <c r="E2300" s="79" t="str">
        <f t="shared" si="6"/>
        <v xml:space="preserve"> </v>
      </c>
    </row>
    <row r="2301" spans="1:5" ht="12.5">
      <c r="A2301" s="81" t="str">
        <f t="shared" si="0"/>
        <v xml:space="preserve"> </v>
      </c>
      <c r="B2301" s="81" t="str">
        <f t="shared" si="1"/>
        <v xml:space="preserve"> </v>
      </c>
      <c r="C2301" s="79" t="str">
        <f t="shared" si="7"/>
        <v xml:space="preserve"> </v>
      </c>
      <c r="D2301" s="79" t="str">
        <f t="shared" si="5"/>
        <v xml:space="preserve"> </v>
      </c>
      <c r="E2301" s="79" t="str">
        <f t="shared" si="6"/>
        <v xml:space="preserve"> </v>
      </c>
    </row>
    <row r="2302" spans="1:5" ht="12.5">
      <c r="A2302" s="81" t="str">
        <f t="shared" si="0"/>
        <v xml:space="preserve"> </v>
      </c>
      <c r="B2302" s="81" t="str">
        <f t="shared" si="1"/>
        <v xml:space="preserve"> </v>
      </c>
      <c r="C2302" s="79" t="str">
        <f t="shared" si="7"/>
        <v xml:space="preserve"> </v>
      </c>
      <c r="D2302" s="79" t="str">
        <f t="shared" si="5"/>
        <v xml:space="preserve"> </v>
      </c>
      <c r="E2302" s="79" t="str">
        <f t="shared" si="6"/>
        <v xml:space="preserve"> </v>
      </c>
    </row>
    <row r="2303" spans="1:5" ht="12.5">
      <c r="A2303" s="81" t="str">
        <f t="shared" si="0"/>
        <v xml:space="preserve"> </v>
      </c>
      <c r="B2303" s="81" t="str">
        <f t="shared" si="1"/>
        <v xml:space="preserve"> </v>
      </c>
      <c r="C2303" s="79" t="str">
        <f t="shared" si="7"/>
        <v xml:space="preserve"> </v>
      </c>
      <c r="D2303" s="79" t="str">
        <f t="shared" si="5"/>
        <v xml:space="preserve"> </v>
      </c>
      <c r="E2303" s="79" t="str">
        <f t="shared" si="6"/>
        <v xml:space="preserve"> </v>
      </c>
    </row>
    <row r="2304" spans="1:5" ht="12.5">
      <c r="A2304" s="81" t="str">
        <f t="shared" si="0"/>
        <v xml:space="preserve"> </v>
      </c>
      <c r="B2304" s="81" t="str">
        <f t="shared" si="1"/>
        <v xml:space="preserve"> </v>
      </c>
      <c r="C2304" s="79" t="str">
        <f t="shared" si="7"/>
        <v xml:space="preserve"> </v>
      </c>
      <c r="D2304" s="79" t="str">
        <f t="shared" si="5"/>
        <v xml:space="preserve"> </v>
      </c>
      <c r="E2304" s="79" t="str">
        <f t="shared" si="6"/>
        <v xml:space="preserve"> </v>
      </c>
    </row>
    <row r="2305" spans="1:5" ht="12.5">
      <c r="A2305" s="81" t="str">
        <f t="shared" si="0"/>
        <v xml:space="preserve"> </v>
      </c>
      <c r="B2305" s="81" t="str">
        <f t="shared" si="1"/>
        <v xml:space="preserve"> </v>
      </c>
      <c r="C2305" s="79" t="str">
        <f t="shared" si="7"/>
        <v xml:space="preserve"> </v>
      </c>
      <c r="D2305" s="79" t="str">
        <f t="shared" si="5"/>
        <v xml:space="preserve"> </v>
      </c>
      <c r="E2305" s="79" t="str">
        <f t="shared" si="6"/>
        <v xml:space="preserve"> </v>
      </c>
    </row>
    <row r="2306" spans="1:5" ht="12.5">
      <c r="A2306" s="81" t="str">
        <f t="shared" si="0"/>
        <v xml:space="preserve"> </v>
      </c>
      <c r="B2306" s="81" t="str">
        <f t="shared" si="1"/>
        <v xml:space="preserve"> </v>
      </c>
      <c r="C2306" s="79" t="str">
        <f t="shared" si="7"/>
        <v xml:space="preserve"> </v>
      </c>
      <c r="D2306" s="79" t="str">
        <f t="shared" si="5"/>
        <v xml:space="preserve"> </v>
      </c>
      <c r="E2306" s="79" t="str">
        <f t="shared" si="6"/>
        <v xml:space="preserve"> </v>
      </c>
    </row>
    <row r="2307" spans="1:5" ht="12.5">
      <c r="A2307" s="81" t="str">
        <f t="shared" si="0"/>
        <v xml:space="preserve"> </v>
      </c>
      <c r="B2307" s="81" t="str">
        <f t="shared" si="1"/>
        <v xml:space="preserve"> </v>
      </c>
      <c r="C2307" s="79" t="str">
        <f t="shared" si="7"/>
        <v xml:space="preserve"> </v>
      </c>
      <c r="D2307" s="79" t="str">
        <f t="shared" si="5"/>
        <v xml:space="preserve"> </v>
      </c>
      <c r="E2307" s="79" t="str">
        <f t="shared" si="6"/>
        <v xml:space="preserve"> </v>
      </c>
    </row>
    <row r="2308" spans="1:5" ht="12.5">
      <c r="A2308" s="81" t="str">
        <f t="shared" si="0"/>
        <v xml:space="preserve"> </v>
      </c>
      <c r="B2308" s="81" t="str">
        <f t="shared" si="1"/>
        <v xml:space="preserve"> </v>
      </c>
      <c r="C2308" s="79" t="str">
        <f t="shared" si="7"/>
        <v xml:space="preserve"> </v>
      </c>
      <c r="D2308" s="79" t="str">
        <f t="shared" si="5"/>
        <v xml:space="preserve"> </v>
      </c>
      <c r="E2308" s="79" t="str">
        <f t="shared" si="6"/>
        <v xml:space="preserve"> </v>
      </c>
    </row>
    <row r="2309" spans="1:5" ht="12.5">
      <c r="A2309" s="81" t="str">
        <f t="shared" si="0"/>
        <v xml:space="preserve"> </v>
      </c>
      <c r="B2309" s="81" t="str">
        <f t="shared" si="1"/>
        <v xml:space="preserve"> </v>
      </c>
      <c r="C2309" s="79" t="str">
        <f t="shared" si="7"/>
        <v xml:space="preserve"> </v>
      </c>
      <c r="D2309" s="79" t="str">
        <f t="shared" si="5"/>
        <v xml:space="preserve"> </v>
      </c>
      <c r="E2309" s="79" t="str">
        <f t="shared" si="6"/>
        <v xml:space="preserve"> </v>
      </c>
    </row>
    <row r="2310" spans="1:5" ht="12.5">
      <c r="A2310" s="81" t="str">
        <f t="shared" si="0"/>
        <v xml:space="preserve"> </v>
      </c>
      <c r="B2310" s="81" t="str">
        <f t="shared" si="1"/>
        <v xml:space="preserve"> </v>
      </c>
      <c r="C2310" s="79" t="str">
        <f t="shared" si="7"/>
        <v xml:space="preserve"> </v>
      </c>
      <c r="D2310" s="79" t="str">
        <f t="shared" si="5"/>
        <v xml:space="preserve"> </v>
      </c>
      <c r="E2310" s="79" t="str">
        <f t="shared" si="6"/>
        <v xml:space="preserve"> </v>
      </c>
    </row>
    <row r="2311" spans="1:5" ht="12.5">
      <c r="A2311" s="81" t="str">
        <f t="shared" si="0"/>
        <v xml:space="preserve"> </v>
      </c>
      <c r="B2311" s="81" t="str">
        <f t="shared" si="1"/>
        <v xml:space="preserve"> </v>
      </c>
      <c r="C2311" s="79" t="str">
        <f t="shared" si="7"/>
        <v xml:space="preserve"> </v>
      </c>
      <c r="D2311" s="79" t="str">
        <f t="shared" si="5"/>
        <v xml:space="preserve"> </v>
      </c>
      <c r="E2311" s="79" t="str">
        <f t="shared" si="6"/>
        <v xml:space="preserve"> </v>
      </c>
    </row>
    <row r="2312" spans="1:5" ht="12.5">
      <c r="A2312" s="81" t="str">
        <f t="shared" si="0"/>
        <v xml:space="preserve"> </v>
      </c>
      <c r="B2312" s="81" t="str">
        <f t="shared" si="1"/>
        <v xml:space="preserve"> </v>
      </c>
      <c r="C2312" s="79" t="str">
        <f t="shared" si="7"/>
        <v xml:space="preserve"> </v>
      </c>
      <c r="D2312" s="79" t="str">
        <f t="shared" si="5"/>
        <v xml:space="preserve"> </v>
      </c>
      <c r="E2312" s="79" t="str">
        <f t="shared" si="6"/>
        <v xml:space="preserve"> </v>
      </c>
    </row>
    <row r="2313" spans="1:5" ht="12.5">
      <c r="A2313" s="81" t="str">
        <f t="shared" si="0"/>
        <v xml:space="preserve"> </v>
      </c>
      <c r="B2313" s="81" t="str">
        <f t="shared" si="1"/>
        <v xml:space="preserve"> </v>
      </c>
      <c r="C2313" s="79" t="str">
        <f t="shared" si="7"/>
        <v xml:space="preserve"> </v>
      </c>
      <c r="D2313" s="79" t="str">
        <f t="shared" si="5"/>
        <v xml:space="preserve"> </v>
      </c>
      <c r="E2313" s="79" t="str">
        <f t="shared" si="6"/>
        <v xml:space="preserve"> </v>
      </c>
    </row>
    <row r="2314" spans="1:5" ht="12.5">
      <c r="A2314" s="81" t="str">
        <f t="shared" si="0"/>
        <v xml:space="preserve"> </v>
      </c>
      <c r="B2314" s="81" t="str">
        <f t="shared" si="1"/>
        <v xml:space="preserve"> </v>
      </c>
      <c r="C2314" s="79" t="str">
        <f t="shared" si="7"/>
        <v xml:space="preserve"> </v>
      </c>
      <c r="D2314" s="79" t="str">
        <f t="shared" si="5"/>
        <v xml:space="preserve"> </v>
      </c>
      <c r="E2314" s="79" t="str">
        <f t="shared" si="6"/>
        <v xml:space="preserve"> </v>
      </c>
    </row>
    <row r="2315" spans="1:5" ht="12.5">
      <c r="A2315" s="81" t="str">
        <f t="shared" si="0"/>
        <v xml:space="preserve"> </v>
      </c>
      <c r="B2315" s="81" t="str">
        <f t="shared" si="1"/>
        <v xml:space="preserve"> </v>
      </c>
      <c r="C2315" s="79" t="str">
        <f t="shared" si="7"/>
        <v xml:space="preserve"> </v>
      </c>
      <c r="D2315" s="79" t="str">
        <f t="shared" si="5"/>
        <v xml:space="preserve"> </v>
      </c>
      <c r="E2315" s="79" t="str">
        <f t="shared" si="6"/>
        <v xml:space="preserve"> </v>
      </c>
    </row>
    <row r="2316" spans="1:5" ht="12.5">
      <c r="A2316" s="81" t="str">
        <f t="shared" si="0"/>
        <v xml:space="preserve"> </v>
      </c>
      <c r="B2316" s="81" t="str">
        <f t="shared" si="1"/>
        <v xml:space="preserve"> </v>
      </c>
      <c r="C2316" s="79" t="str">
        <f t="shared" si="7"/>
        <v xml:space="preserve"> </v>
      </c>
      <c r="D2316" s="79" t="str">
        <f t="shared" si="5"/>
        <v xml:space="preserve"> </v>
      </c>
      <c r="E2316" s="79" t="str">
        <f t="shared" si="6"/>
        <v xml:space="preserve"> </v>
      </c>
    </row>
    <row r="2317" spans="1:5" ht="12.5">
      <c r="A2317" s="81" t="str">
        <f t="shared" si="0"/>
        <v xml:space="preserve"> </v>
      </c>
      <c r="B2317" s="81" t="str">
        <f t="shared" si="1"/>
        <v xml:space="preserve"> </v>
      </c>
      <c r="C2317" s="79" t="str">
        <f t="shared" si="7"/>
        <v xml:space="preserve"> </v>
      </c>
      <c r="D2317" s="79" t="str">
        <f t="shared" si="5"/>
        <v xml:space="preserve"> </v>
      </c>
      <c r="E2317" s="79" t="str">
        <f t="shared" si="6"/>
        <v xml:space="preserve"> </v>
      </c>
    </row>
    <row r="2318" spans="1:5" ht="12.5">
      <c r="A2318" s="81" t="str">
        <f t="shared" si="0"/>
        <v xml:space="preserve"> </v>
      </c>
      <c r="B2318" s="81" t="str">
        <f t="shared" si="1"/>
        <v xml:space="preserve"> </v>
      </c>
      <c r="C2318" s="79" t="str">
        <f t="shared" si="7"/>
        <v xml:space="preserve"> </v>
      </c>
      <c r="D2318" s="79" t="str">
        <f t="shared" si="5"/>
        <v xml:space="preserve"> </v>
      </c>
      <c r="E2318" s="79" t="str">
        <f t="shared" si="6"/>
        <v xml:space="preserve"> </v>
      </c>
    </row>
    <row r="2319" spans="1:5" ht="12.5">
      <c r="A2319" s="81" t="str">
        <f t="shared" si="0"/>
        <v xml:space="preserve"> </v>
      </c>
      <c r="B2319" s="81" t="str">
        <f t="shared" si="1"/>
        <v xml:space="preserve"> </v>
      </c>
      <c r="C2319" s="79" t="str">
        <f t="shared" si="7"/>
        <v xml:space="preserve"> </v>
      </c>
      <c r="D2319" s="79" t="str">
        <f t="shared" si="5"/>
        <v xml:space="preserve"> </v>
      </c>
      <c r="E2319" s="79" t="str">
        <f t="shared" si="6"/>
        <v xml:space="preserve"> </v>
      </c>
    </row>
    <row r="2320" spans="1:5" ht="12.5">
      <c r="A2320" s="81" t="str">
        <f t="shared" si="0"/>
        <v xml:space="preserve"> </v>
      </c>
      <c r="B2320" s="81" t="str">
        <f t="shared" si="1"/>
        <v xml:space="preserve"> </v>
      </c>
      <c r="C2320" s="79" t="str">
        <f t="shared" si="7"/>
        <v xml:space="preserve"> </v>
      </c>
      <c r="D2320" s="79" t="str">
        <f t="shared" si="5"/>
        <v xml:space="preserve"> </v>
      </c>
      <c r="E2320" s="79" t="str">
        <f t="shared" si="6"/>
        <v xml:space="preserve"> </v>
      </c>
    </row>
    <row r="2321" spans="1:5" ht="12.5">
      <c r="A2321" s="81" t="str">
        <f t="shared" si="0"/>
        <v xml:space="preserve"> </v>
      </c>
      <c r="B2321" s="81" t="str">
        <f t="shared" si="1"/>
        <v xml:space="preserve"> </v>
      </c>
      <c r="C2321" s="79" t="str">
        <f t="shared" si="7"/>
        <v xml:space="preserve"> </v>
      </c>
      <c r="D2321" s="79" t="str">
        <f t="shared" si="5"/>
        <v xml:space="preserve"> </v>
      </c>
      <c r="E2321" s="79" t="str">
        <f t="shared" si="6"/>
        <v xml:space="preserve"> </v>
      </c>
    </row>
    <row r="2322" spans="1:5" ht="12.5">
      <c r="A2322" s="81" t="str">
        <f t="shared" si="0"/>
        <v xml:space="preserve"> </v>
      </c>
      <c r="B2322" s="81" t="str">
        <f t="shared" si="1"/>
        <v xml:space="preserve"> </v>
      </c>
      <c r="C2322" s="79" t="str">
        <f t="shared" si="7"/>
        <v xml:space="preserve"> </v>
      </c>
      <c r="D2322" s="79" t="str">
        <f t="shared" si="5"/>
        <v xml:space="preserve"> </v>
      </c>
      <c r="E2322" s="79" t="str">
        <f t="shared" si="6"/>
        <v xml:space="preserve"> </v>
      </c>
    </row>
    <row r="2323" spans="1:5" ht="12.5">
      <c r="A2323" s="81" t="str">
        <f t="shared" si="0"/>
        <v xml:space="preserve"> </v>
      </c>
      <c r="B2323" s="81" t="str">
        <f t="shared" si="1"/>
        <v xml:space="preserve"> </v>
      </c>
      <c r="C2323" s="79" t="str">
        <f t="shared" si="7"/>
        <v xml:space="preserve"> </v>
      </c>
      <c r="D2323" s="79" t="str">
        <f t="shared" si="5"/>
        <v xml:space="preserve"> </v>
      </c>
      <c r="E2323" s="79" t="str">
        <f t="shared" si="6"/>
        <v xml:space="preserve"> </v>
      </c>
    </row>
    <row r="2324" spans="1:5" ht="12.5">
      <c r="A2324" s="81" t="str">
        <f t="shared" si="0"/>
        <v xml:space="preserve"> </v>
      </c>
      <c r="B2324" s="81" t="str">
        <f t="shared" si="1"/>
        <v xml:space="preserve"> </v>
      </c>
      <c r="C2324" s="79" t="str">
        <f t="shared" si="7"/>
        <v xml:space="preserve"> </v>
      </c>
      <c r="D2324" s="79" t="str">
        <f t="shared" si="5"/>
        <v xml:space="preserve"> </v>
      </c>
      <c r="E2324" s="79" t="str">
        <f t="shared" si="6"/>
        <v xml:space="preserve"> </v>
      </c>
    </row>
    <row r="2325" spans="1:5" ht="12.5">
      <c r="A2325" s="81" t="str">
        <f t="shared" si="0"/>
        <v xml:space="preserve"> </v>
      </c>
      <c r="B2325" s="81" t="str">
        <f t="shared" si="1"/>
        <v xml:space="preserve"> </v>
      </c>
      <c r="C2325" s="79" t="str">
        <f t="shared" si="7"/>
        <v xml:space="preserve"> </v>
      </c>
      <c r="D2325" s="79" t="str">
        <f t="shared" si="5"/>
        <v xml:space="preserve"> </v>
      </c>
      <c r="E2325" s="79" t="str">
        <f t="shared" si="6"/>
        <v xml:space="preserve"> </v>
      </c>
    </row>
    <row r="2326" spans="1:5" ht="12.5">
      <c r="A2326" s="81" t="str">
        <f t="shared" si="0"/>
        <v xml:space="preserve"> </v>
      </c>
      <c r="B2326" s="81" t="str">
        <f t="shared" si="1"/>
        <v xml:space="preserve"> </v>
      </c>
      <c r="C2326" s="79" t="str">
        <f t="shared" si="7"/>
        <v xml:space="preserve"> </v>
      </c>
      <c r="D2326" s="79" t="str">
        <f t="shared" si="5"/>
        <v xml:space="preserve"> </v>
      </c>
      <c r="E2326" s="79" t="str">
        <f t="shared" si="6"/>
        <v xml:space="preserve"> </v>
      </c>
    </row>
    <row r="2327" spans="1:5" ht="12.5">
      <c r="A2327" s="81" t="str">
        <f t="shared" si="0"/>
        <v xml:space="preserve"> </v>
      </c>
      <c r="B2327" s="81" t="str">
        <f t="shared" si="1"/>
        <v xml:space="preserve"> </v>
      </c>
      <c r="C2327" s="79" t="str">
        <f t="shared" si="7"/>
        <v xml:space="preserve"> </v>
      </c>
      <c r="D2327" s="79" t="str">
        <f t="shared" si="5"/>
        <v xml:space="preserve"> </v>
      </c>
      <c r="E2327" s="79" t="str">
        <f t="shared" si="6"/>
        <v xml:space="preserve"> </v>
      </c>
    </row>
    <row r="2328" spans="1:5" ht="12.5">
      <c r="A2328" s="81" t="str">
        <f t="shared" si="0"/>
        <v xml:space="preserve"> </v>
      </c>
      <c r="B2328" s="81" t="str">
        <f t="shared" si="1"/>
        <v xml:space="preserve"> </v>
      </c>
      <c r="C2328" s="79" t="str">
        <f t="shared" si="7"/>
        <v xml:space="preserve"> </v>
      </c>
      <c r="D2328" s="79" t="str">
        <f t="shared" si="5"/>
        <v xml:space="preserve"> </v>
      </c>
      <c r="E2328" s="79" t="str">
        <f t="shared" si="6"/>
        <v xml:space="preserve"> </v>
      </c>
    </row>
    <row r="2329" spans="1:5" ht="12.5">
      <c r="A2329" s="81" t="str">
        <f t="shared" si="0"/>
        <v xml:space="preserve"> </v>
      </c>
      <c r="B2329" s="81" t="str">
        <f t="shared" si="1"/>
        <v xml:space="preserve"> </v>
      </c>
      <c r="C2329" s="79" t="str">
        <f t="shared" si="7"/>
        <v xml:space="preserve"> </v>
      </c>
      <c r="D2329" s="79" t="str">
        <f t="shared" si="5"/>
        <v xml:space="preserve"> </v>
      </c>
      <c r="E2329" s="79" t="str">
        <f t="shared" si="6"/>
        <v xml:space="preserve"> </v>
      </c>
    </row>
    <row r="2330" spans="1:5" ht="12.5">
      <c r="A2330" s="81" t="str">
        <f t="shared" si="0"/>
        <v xml:space="preserve"> </v>
      </c>
      <c r="B2330" s="81" t="str">
        <f t="shared" si="1"/>
        <v xml:space="preserve"> </v>
      </c>
      <c r="C2330" s="79" t="str">
        <f t="shared" si="7"/>
        <v xml:space="preserve"> </v>
      </c>
      <c r="D2330" s="79" t="str">
        <f t="shared" si="5"/>
        <v xml:space="preserve"> </v>
      </c>
      <c r="E2330" s="79" t="str">
        <f t="shared" si="6"/>
        <v xml:space="preserve"> </v>
      </c>
    </row>
    <row r="2331" spans="1:5" ht="12.5">
      <c r="A2331" s="81" t="str">
        <f t="shared" si="0"/>
        <v xml:space="preserve"> </v>
      </c>
      <c r="B2331" s="81" t="str">
        <f t="shared" si="1"/>
        <v xml:space="preserve"> </v>
      </c>
      <c r="C2331" s="79" t="str">
        <f t="shared" si="7"/>
        <v xml:space="preserve"> </v>
      </c>
      <c r="D2331" s="79" t="str">
        <f t="shared" si="5"/>
        <v xml:space="preserve"> </v>
      </c>
      <c r="E2331" s="79" t="str">
        <f t="shared" si="6"/>
        <v xml:space="preserve"> </v>
      </c>
    </row>
    <row r="2332" spans="1:5" ht="12.5">
      <c r="A2332" s="81" t="str">
        <f t="shared" si="0"/>
        <v xml:space="preserve"> </v>
      </c>
      <c r="B2332" s="81" t="str">
        <f t="shared" si="1"/>
        <v xml:space="preserve"> </v>
      </c>
      <c r="C2332" s="79" t="str">
        <f t="shared" si="7"/>
        <v xml:space="preserve"> </v>
      </c>
      <c r="D2332" s="79" t="str">
        <f t="shared" si="5"/>
        <v xml:space="preserve"> </v>
      </c>
      <c r="E2332" s="79" t="str">
        <f t="shared" si="6"/>
        <v xml:space="preserve"> </v>
      </c>
    </row>
    <row r="2333" spans="1:5" ht="12.5">
      <c r="A2333" s="81" t="str">
        <f t="shared" si="0"/>
        <v xml:space="preserve"> </v>
      </c>
      <c r="B2333" s="81" t="str">
        <f t="shared" si="1"/>
        <v xml:space="preserve"> </v>
      </c>
      <c r="C2333" s="79" t="str">
        <f t="shared" si="7"/>
        <v xml:space="preserve"> </v>
      </c>
      <c r="D2333" s="79" t="str">
        <f t="shared" si="5"/>
        <v xml:space="preserve"> </v>
      </c>
      <c r="E2333" s="79" t="str">
        <f t="shared" si="6"/>
        <v xml:space="preserve"> </v>
      </c>
    </row>
    <row r="2334" spans="1:5" ht="12.5">
      <c r="A2334" s="81" t="str">
        <f t="shared" si="0"/>
        <v xml:space="preserve"> </v>
      </c>
      <c r="B2334" s="81" t="str">
        <f t="shared" si="1"/>
        <v xml:space="preserve"> </v>
      </c>
      <c r="C2334" s="79" t="str">
        <f t="shared" si="7"/>
        <v xml:space="preserve"> </v>
      </c>
      <c r="D2334" s="79" t="str">
        <f t="shared" si="5"/>
        <v xml:space="preserve"> </v>
      </c>
      <c r="E2334" s="79" t="str">
        <f t="shared" si="6"/>
        <v xml:space="preserve"> </v>
      </c>
    </row>
    <row r="2335" spans="1:5" ht="12.5">
      <c r="A2335" s="81" t="str">
        <f t="shared" si="0"/>
        <v xml:space="preserve"> </v>
      </c>
      <c r="B2335" s="81" t="str">
        <f t="shared" si="1"/>
        <v xml:space="preserve"> </v>
      </c>
      <c r="C2335" s="79" t="str">
        <f t="shared" si="7"/>
        <v xml:space="preserve"> </v>
      </c>
      <c r="D2335" s="79" t="str">
        <f t="shared" si="5"/>
        <v xml:space="preserve"> </v>
      </c>
      <c r="E2335" s="79" t="str">
        <f t="shared" si="6"/>
        <v xml:space="preserve"> </v>
      </c>
    </row>
    <row r="2336" spans="1:5" ht="12.5">
      <c r="A2336" s="81" t="str">
        <f t="shared" si="0"/>
        <v xml:space="preserve"> </v>
      </c>
      <c r="B2336" s="81" t="str">
        <f t="shared" si="1"/>
        <v xml:space="preserve"> </v>
      </c>
      <c r="C2336" s="79" t="str">
        <f t="shared" si="7"/>
        <v xml:space="preserve"> </v>
      </c>
      <c r="D2336" s="79" t="str">
        <f t="shared" si="5"/>
        <v xml:space="preserve"> </v>
      </c>
      <c r="E2336" s="79" t="str">
        <f t="shared" si="6"/>
        <v xml:space="preserve"> </v>
      </c>
    </row>
    <row r="2337" spans="1:5" ht="12.5">
      <c r="A2337" s="81" t="str">
        <f t="shared" si="0"/>
        <v xml:space="preserve"> </v>
      </c>
      <c r="B2337" s="81" t="str">
        <f t="shared" si="1"/>
        <v xml:space="preserve"> </v>
      </c>
      <c r="C2337" s="79" t="str">
        <f t="shared" si="7"/>
        <v xml:space="preserve"> </v>
      </c>
      <c r="D2337" s="79" t="str">
        <f t="shared" si="5"/>
        <v xml:space="preserve"> </v>
      </c>
      <c r="E2337" s="79" t="str">
        <f t="shared" si="6"/>
        <v xml:space="preserve"> </v>
      </c>
    </row>
    <row r="2338" spans="1:5" ht="12.5">
      <c r="A2338" s="81" t="str">
        <f t="shared" si="0"/>
        <v xml:space="preserve"> </v>
      </c>
      <c r="B2338" s="81" t="str">
        <f t="shared" si="1"/>
        <v xml:space="preserve"> </v>
      </c>
      <c r="C2338" s="79" t="str">
        <f t="shared" si="7"/>
        <v xml:space="preserve"> </v>
      </c>
      <c r="D2338" s="79" t="str">
        <f t="shared" si="5"/>
        <v xml:space="preserve"> </v>
      </c>
      <c r="E2338" s="79" t="str">
        <f t="shared" si="6"/>
        <v xml:space="preserve"> </v>
      </c>
    </row>
    <row r="2339" spans="1:5" ht="12.5">
      <c r="A2339" s="81" t="str">
        <f t="shared" si="0"/>
        <v xml:space="preserve"> </v>
      </c>
      <c r="B2339" s="81" t="str">
        <f t="shared" si="1"/>
        <v xml:space="preserve"> </v>
      </c>
      <c r="C2339" s="79" t="str">
        <f t="shared" si="7"/>
        <v xml:space="preserve"> </v>
      </c>
      <c r="D2339" s="79" t="str">
        <f t="shared" si="5"/>
        <v xml:space="preserve"> </v>
      </c>
      <c r="E2339" s="79" t="str">
        <f t="shared" si="6"/>
        <v xml:space="preserve"> </v>
      </c>
    </row>
    <row r="2340" spans="1:5" ht="12.5">
      <c r="A2340" s="81" t="str">
        <f t="shared" si="0"/>
        <v xml:space="preserve"> </v>
      </c>
      <c r="B2340" s="81" t="str">
        <f t="shared" si="1"/>
        <v xml:space="preserve"> </v>
      </c>
      <c r="C2340" s="79" t="str">
        <f t="shared" si="7"/>
        <v xml:space="preserve"> </v>
      </c>
      <c r="D2340" s="79" t="str">
        <f t="shared" si="5"/>
        <v xml:space="preserve"> </v>
      </c>
      <c r="E2340" s="79" t="str">
        <f t="shared" si="6"/>
        <v xml:space="preserve"> </v>
      </c>
    </row>
    <row r="2341" spans="1:5" ht="12.5">
      <c r="A2341" s="81" t="str">
        <f t="shared" si="0"/>
        <v xml:space="preserve"> </v>
      </c>
      <c r="B2341" s="81" t="str">
        <f t="shared" si="1"/>
        <v xml:space="preserve"> </v>
      </c>
      <c r="C2341" s="79" t="str">
        <f t="shared" si="7"/>
        <v xml:space="preserve"> </v>
      </c>
      <c r="D2341" s="79" t="str">
        <f t="shared" si="5"/>
        <v xml:space="preserve"> </v>
      </c>
      <c r="E2341" s="79" t="str">
        <f t="shared" si="6"/>
        <v xml:space="preserve"> </v>
      </c>
    </row>
    <row r="2342" spans="1:5" ht="12.5">
      <c r="A2342" s="81" t="str">
        <f t="shared" si="0"/>
        <v xml:space="preserve"> </v>
      </c>
      <c r="B2342" s="81" t="str">
        <f t="shared" si="1"/>
        <v xml:space="preserve"> </v>
      </c>
      <c r="C2342" s="79" t="str">
        <f t="shared" si="7"/>
        <v xml:space="preserve"> </v>
      </c>
      <c r="D2342" s="79" t="str">
        <f t="shared" si="5"/>
        <v xml:space="preserve"> </v>
      </c>
      <c r="E2342" s="79" t="str">
        <f t="shared" si="6"/>
        <v xml:space="preserve"> </v>
      </c>
    </row>
    <row r="2343" spans="1:5" ht="12.5">
      <c r="A2343" s="81" t="str">
        <f t="shared" si="0"/>
        <v xml:space="preserve"> </v>
      </c>
      <c r="B2343" s="81" t="str">
        <f t="shared" si="1"/>
        <v xml:space="preserve"> </v>
      </c>
      <c r="C2343" s="79" t="str">
        <f t="shared" si="7"/>
        <v xml:space="preserve"> </v>
      </c>
      <c r="D2343" s="79" t="str">
        <f t="shared" si="5"/>
        <v xml:space="preserve"> </v>
      </c>
      <c r="E2343" s="79" t="str">
        <f t="shared" si="6"/>
        <v xml:space="preserve"> </v>
      </c>
    </row>
    <row r="2344" spans="1:5" ht="12.5">
      <c r="A2344" s="81" t="str">
        <f t="shared" si="0"/>
        <v xml:space="preserve"> </v>
      </c>
      <c r="B2344" s="81" t="str">
        <f t="shared" si="1"/>
        <v xml:space="preserve"> </v>
      </c>
      <c r="C2344" s="79" t="str">
        <f t="shared" si="7"/>
        <v xml:space="preserve"> </v>
      </c>
      <c r="D2344" s="79" t="str">
        <f t="shared" si="5"/>
        <v xml:space="preserve"> </v>
      </c>
      <c r="E2344" s="79" t="str">
        <f t="shared" si="6"/>
        <v xml:space="preserve"> </v>
      </c>
    </row>
    <row r="2345" spans="1:5" ht="12.5">
      <c r="A2345" s="81" t="str">
        <f t="shared" si="0"/>
        <v xml:space="preserve"> </v>
      </c>
      <c r="B2345" s="81" t="str">
        <f t="shared" si="1"/>
        <v xml:space="preserve"> </v>
      </c>
      <c r="C2345" s="79" t="str">
        <f t="shared" si="7"/>
        <v xml:space="preserve"> </v>
      </c>
      <c r="D2345" s="79" t="str">
        <f t="shared" si="5"/>
        <v xml:space="preserve"> </v>
      </c>
      <c r="E2345" s="79" t="str">
        <f t="shared" si="6"/>
        <v xml:space="preserve"> </v>
      </c>
    </row>
    <row r="2346" spans="1:5" ht="12.5">
      <c r="A2346" s="81" t="str">
        <f t="shared" si="0"/>
        <v xml:space="preserve"> </v>
      </c>
      <c r="B2346" s="81" t="str">
        <f t="shared" si="1"/>
        <v xml:space="preserve"> </v>
      </c>
      <c r="C2346" s="79" t="str">
        <f t="shared" si="7"/>
        <v xml:space="preserve"> </v>
      </c>
      <c r="D2346" s="79" t="str">
        <f t="shared" si="5"/>
        <v xml:space="preserve"> </v>
      </c>
      <c r="E2346" s="79" t="str">
        <f t="shared" si="6"/>
        <v xml:space="preserve"> </v>
      </c>
    </row>
    <row r="2347" spans="1:5" ht="12.5">
      <c r="A2347" s="81" t="str">
        <f t="shared" si="0"/>
        <v xml:space="preserve"> </v>
      </c>
      <c r="B2347" s="81" t="str">
        <f t="shared" si="1"/>
        <v xml:space="preserve"> </v>
      </c>
      <c r="C2347" s="79" t="str">
        <f t="shared" si="7"/>
        <v xml:space="preserve"> </v>
      </c>
      <c r="D2347" s="79" t="str">
        <f t="shared" si="5"/>
        <v xml:space="preserve"> </v>
      </c>
      <c r="E2347" s="79" t="str">
        <f t="shared" si="6"/>
        <v xml:space="preserve"> </v>
      </c>
    </row>
    <row r="2348" spans="1:5" ht="12.5">
      <c r="A2348" s="81" t="str">
        <f t="shared" si="0"/>
        <v xml:space="preserve"> </v>
      </c>
      <c r="B2348" s="81" t="str">
        <f t="shared" si="1"/>
        <v xml:space="preserve"> </v>
      </c>
      <c r="C2348" s="79" t="str">
        <f t="shared" si="7"/>
        <v xml:space="preserve"> </v>
      </c>
      <c r="D2348" s="79" t="str">
        <f t="shared" si="5"/>
        <v xml:space="preserve"> </v>
      </c>
      <c r="E2348" s="79" t="str">
        <f t="shared" si="6"/>
        <v xml:space="preserve"> </v>
      </c>
    </row>
    <row r="2349" spans="1:5" ht="12.5">
      <c r="A2349" s="81" t="str">
        <f t="shared" si="0"/>
        <v xml:space="preserve"> </v>
      </c>
      <c r="B2349" s="81" t="str">
        <f t="shared" si="1"/>
        <v xml:space="preserve"> </v>
      </c>
      <c r="C2349" s="79" t="str">
        <f t="shared" si="7"/>
        <v xml:space="preserve"> </v>
      </c>
      <c r="D2349" s="79" t="str">
        <f t="shared" si="5"/>
        <v xml:space="preserve"> </v>
      </c>
      <c r="E2349" s="79" t="str">
        <f t="shared" si="6"/>
        <v xml:space="preserve"> </v>
      </c>
    </row>
    <row r="2350" spans="1:5" ht="12.5">
      <c r="A2350" s="81" t="str">
        <f t="shared" si="0"/>
        <v xml:space="preserve"> </v>
      </c>
      <c r="B2350" s="81" t="str">
        <f t="shared" si="1"/>
        <v xml:space="preserve"> </v>
      </c>
      <c r="C2350" s="79" t="str">
        <f t="shared" si="7"/>
        <v xml:space="preserve"> </v>
      </c>
      <c r="D2350" s="79" t="str">
        <f t="shared" si="5"/>
        <v xml:space="preserve"> </v>
      </c>
      <c r="E2350" s="79" t="str">
        <f t="shared" si="6"/>
        <v xml:space="preserve"> </v>
      </c>
    </row>
    <row r="2351" spans="1:5" ht="12.5">
      <c r="A2351" s="81" t="str">
        <f t="shared" si="0"/>
        <v xml:space="preserve"> </v>
      </c>
      <c r="B2351" s="81" t="str">
        <f t="shared" si="1"/>
        <v xml:space="preserve"> </v>
      </c>
      <c r="C2351" s="79" t="str">
        <f t="shared" si="7"/>
        <v xml:space="preserve"> </v>
      </c>
      <c r="D2351" s="79" t="str">
        <f t="shared" si="5"/>
        <v xml:space="preserve"> </v>
      </c>
      <c r="E2351" s="79" t="str">
        <f t="shared" si="6"/>
        <v xml:space="preserve"> </v>
      </c>
    </row>
    <row r="2352" spans="1:5" ht="12.5">
      <c r="A2352" s="81" t="str">
        <f t="shared" si="0"/>
        <v xml:space="preserve"> </v>
      </c>
      <c r="B2352" s="81" t="str">
        <f t="shared" si="1"/>
        <v xml:space="preserve"> </v>
      </c>
      <c r="C2352" s="79" t="str">
        <f t="shared" si="7"/>
        <v xml:space="preserve"> </v>
      </c>
      <c r="D2352" s="79" t="str">
        <f t="shared" si="5"/>
        <v xml:space="preserve"> </v>
      </c>
      <c r="E2352" s="79" t="str">
        <f t="shared" si="6"/>
        <v xml:space="preserve"> </v>
      </c>
    </row>
    <row r="2353" spans="1:5" ht="12.5">
      <c r="A2353" s="81" t="str">
        <f t="shared" si="0"/>
        <v xml:space="preserve"> </v>
      </c>
      <c r="B2353" s="81" t="str">
        <f t="shared" si="1"/>
        <v xml:space="preserve"> </v>
      </c>
      <c r="C2353" s="79" t="str">
        <f t="shared" si="7"/>
        <v xml:space="preserve"> </v>
      </c>
      <c r="D2353" s="79" t="str">
        <f t="shared" si="5"/>
        <v xml:space="preserve"> </v>
      </c>
      <c r="E2353" s="79" t="str">
        <f t="shared" si="6"/>
        <v xml:space="preserve"> </v>
      </c>
    </row>
    <row r="2354" spans="1:5" ht="12.5">
      <c r="A2354" s="81" t="str">
        <f t="shared" si="0"/>
        <v xml:space="preserve"> </v>
      </c>
      <c r="B2354" s="81" t="str">
        <f t="shared" si="1"/>
        <v xml:space="preserve"> </v>
      </c>
      <c r="C2354" s="79" t="str">
        <f t="shared" si="7"/>
        <v xml:space="preserve"> </v>
      </c>
      <c r="D2354" s="79" t="str">
        <f t="shared" si="5"/>
        <v xml:space="preserve"> </v>
      </c>
      <c r="E2354" s="79" t="str">
        <f t="shared" si="6"/>
        <v xml:space="preserve"> </v>
      </c>
    </row>
    <row r="2355" spans="1:5" ht="12.5">
      <c r="A2355" s="81" t="str">
        <f t="shared" si="0"/>
        <v xml:space="preserve"> </v>
      </c>
      <c r="B2355" s="81" t="str">
        <f t="shared" si="1"/>
        <v xml:space="preserve"> </v>
      </c>
      <c r="C2355" s="79" t="str">
        <f t="shared" si="7"/>
        <v xml:space="preserve"> </v>
      </c>
      <c r="D2355" s="79" t="str">
        <f t="shared" si="5"/>
        <v xml:space="preserve"> </v>
      </c>
      <c r="E2355" s="79" t="str">
        <f t="shared" si="6"/>
        <v xml:space="preserve"> </v>
      </c>
    </row>
    <row r="2356" spans="1:5" ht="12.5">
      <c r="A2356" s="81" t="str">
        <f t="shared" si="0"/>
        <v xml:space="preserve"> </v>
      </c>
      <c r="B2356" s="81" t="str">
        <f t="shared" si="1"/>
        <v xml:space="preserve"> </v>
      </c>
      <c r="C2356" s="79" t="str">
        <f t="shared" si="7"/>
        <v xml:space="preserve"> </v>
      </c>
      <c r="D2356" s="79" t="str">
        <f t="shared" si="5"/>
        <v xml:space="preserve"> </v>
      </c>
      <c r="E2356" s="79" t="str">
        <f t="shared" si="6"/>
        <v xml:space="preserve"> </v>
      </c>
    </row>
    <row r="2357" spans="1:5" ht="12.5">
      <c r="A2357" s="81" t="str">
        <f t="shared" si="0"/>
        <v xml:space="preserve"> </v>
      </c>
      <c r="B2357" s="81" t="str">
        <f t="shared" si="1"/>
        <v xml:space="preserve"> </v>
      </c>
      <c r="C2357" s="79" t="str">
        <f t="shared" si="7"/>
        <v xml:space="preserve"> </v>
      </c>
      <c r="D2357" s="79" t="str">
        <f t="shared" si="5"/>
        <v xml:space="preserve"> </v>
      </c>
      <c r="E2357" s="79" t="str">
        <f t="shared" si="6"/>
        <v xml:space="preserve"> </v>
      </c>
    </row>
    <row r="2358" spans="1:5" ht="12.5">
      <c r="A2358" s="81" t="str">
        <f t="shared" si="0"/>
        <v xml:space="preserve"> </v>
      </c>
      <c r="B2358" s="81" t="str">
        <f t="shared" si="1"/>
        <v xml:space="preserve"> </v>
      </c>
      <c r="C2358" s="79" t="str">
        <f t="shared" si="7"/>
        <v xml:space="preserve"> </v>
      </c>
      <c r="D2358" s="79" t="str">
        <f t="shared" si="5"/>
        <v xml:space="preserve"> </v>
      </c>
      <c r="E2358" s="79" t="str">
        <f t="shared" si="6"/>
        <v xml:space="preserve"> </v>
      </c>
    </row>
    <row r="2359" spans="1:5" ht="12.5">
      <c r="A2359" s="81" t="str">
        <f t="shared" si="0"/>
        <v xml:space="preserve"> </v>
      </c>
      <c r="B2359" s="81" t="str">
        <f t="shared" si="1"/>
        <v xml:space="preserve"> </v>
      </c>
      <c r="C2359" s="79" t="str">
        <f t="shared" si="7"/>
        <v xml:space="preserve"> </v>
      </c>
      <c r="D2359" s="79" t="str">
        <f t="shared" si="5"/>
        <v xml:space="preserve"> </v>
      </c>
      <c r="E2359" s="79" t="str">
        <f t="shared" si="6"/>
        <v xml:space="preserve"> </v>
      </c>
    </row>
    <row r="2360" spans="1:5" ht="12.5">
      <c r="A2360" s="81" t="str">
        <f t="shared" si="0"/>
        <v xml:space="preserve"> </v>
      </c>
      <c r="B2360" s="81" t="str">
        <f t="shared" si="1"/>
        <v xml:space="preserve"> </v>
      </c>
      <c r="C2360" s="79" t="str">
        <f t="shared" si="7"/>
        <v xml:space="preserve"> </v>
      </c>
      <c r="D2360" s="79" t="str">
        <f t="shared" si="5"/>
        <v xml:space="preserve"> </v>
      </c>
      <c r="E2360" s="79" t="str">
        <f t="shared" si="6"/>
        <v xml:space="preserve"> </v>
      </c>
    </row>
    <row r="2361" spans="1:5" ht="12.5">
      <c r="A2361" s="81" t="str">
        <f t="shared" si="0"/>
        <v xml:space="preserve"> </v>
      </c>
      <c r="B2361" s="81" t="str">
        <f t="shared" si="1"/>
        <v xml:space="preserve"> </v>
      </c>
      <c r="C2361" s="79" t="str">
        <f t="shared" si="7"/>
        <v xml:space="preserve"> </v>
      </c>
      <c r="D2361" s="79" t="str">
        <f t="shared" si="5"/>
        <v xml:space="preserve"> </v>
      </c>
      <c r="E2361" s="79" t="str">
        <f t="shared" si="6"/>
        <v xml:space="preserve"> </v>
      </c>
    </row>
    <row r="2362" spans="1:5" ht="12.5">
      <c r="A2362" s="81" t="str">
        <f t="shared" si="0"/>
        <v xml:space="preserve"> </v>
      </c>
      <c r="B2362" s="81" t="str">
        <f t="shared" si="1"/>
        <v xml:space="preserve"> </v>
      </c>
      <c r="C2362" s="79" t="str">
        <f t="shared" si="7"/>
        <v xml:space="preserve"> </v>
      </c>
      <c r="D2362" s="79" t="str">
        <f t="shared" si="5"/>
        <v xml:space="preserve"> </v>
      </c>
      <c r="E2362" s="79" t="str">
        <f t="shared" si="6"/>
        <v xml:space="preserve"> </v>
      </c>
    </row>
    <row r="2363" spans="1:5" ht="12.5">
      <c r="A2363" s="81" t="str">
        <f t="shared" si="0"/>
        <v xml:space="preserve"> </v>
      </c>
      <c r="B2363" s="81" t="str">
        <f t="shared" si="1"/>
        <v xml:space="preserve"> </v>
      </c>
      <c r="C2363" s="79" t="str">
        <f t="shared" si="7"/>
        <v xml:space="preserve"> </v>
      </c>
      <c r="D2363" s="79" t="str">
        <f t="shared" si="5"/>
        <v xml:space="preserve"> </v>
      </c>
      <c r="E2363" s="79" t="str">
        <f t="shared" si="6"/>
        <v xml:space="preserve"> </v>
      </c>
    </row>
    <row r="2364" spans="1:5" ht="12.5">
      <c r="A2364" s="81" t="str">
        <f t="shared" si="0"/>
        <v xml:space="preserve"> </v>
      </c>
      <c r="B2364" s="81" t="str">
        <f t="shared" si="1"/>
        <v xml:space="preserve"> </v>
      </c>
      <c r="C2364" s="79" t="str">
        <f t="shared" si="7"/>
        <v xml:space="preserve"> </v>
      </c>
      <c r="D2364" s="79" t="str">
        <f t="shared" si="5"/>
        <v xml:space="preserve"> </v>
      </c>
      <c r="E2364" s="79" t="str">
        <f t="shared" si="6"/>
        <v xml:space="preserve"> </v>
      </c>
    </row>
    <row r="2365" spans="1:5" ht="12.5">
      <c r="A2365" s="81" t="str">
        <f t="shared" si="0"/>
        <v xml:space="preserve"> </v>
      </c>
      <c r="B2365" s="81" t="str">
        <f t="shared" si="1"/>
        <v xml:space="preserve"> </v>
      </c>
      <c r="C2365" s="79" t="str">
        <f t="shared" si="7"/>
        <v xml:space="preserve"> </v>
      </c>
      <c r="D2365" s="79" t="str">
        <f t="shared" si="5"/>
        <v xml:space="preserve"> </v>
      </c>
      <c r="E2365" s="79" t="str">
        <f t="shared" si="6"/>
        <v xml:space="preserve"> </v>
      </c>
    </row>
    <row r="2366" spans="1:5" ht="12.5">
      <c r="A2366" s="81" t="str">
        <f t="shared" si="0"/>
        <v xml:space="preserve"> </v>
      </c>
      <c r="B2366" s="81" t="str">
        <f t="shared" si="1"/>
        <v xml:space="preserve"> </v>
      </c>
      <c r="C2366" s="79" t="str">
        <f t="shared" si="7"/>
        <v xml:space="preserve"> </v>
      </c>
      <c r="D2366" s="79" t="str">
        <f t="shared" si="5"/>
        <v xml:space="preserve"> </v>
      </c>
      <c r="E2366" s="79" t="str">
        <f t="shared" si="6"/>
        <v xml:space="preserve"> </v>
      </c>
    </row>
    <row r="2367" spans="1:5" ht="12.5">
      <c r="A2367" s="81" t="str">
        <f t="shared" si="0"/>
        <v xml:space="preserve"> </v>
      </c>
      <c r="B2367" s="81" t="str">
        <f t="shared" si="1"/>
        <v xml:space="preserve"> </v>
      </c>
      <c r="C2367" s="79" t="str">
        <f t="shared" si="7"/>
        <v xml:space="preserve"> </v>
      </c>
      <c r="D2367" s="79" t="str">
        <f t="shared" si="5"/>
        <v xml:space="preserve"> </v>
      </c>
      <c r="E2367" s="79" t="str">
        <f t="shared" si="6"/>
        <v xml:space="preserve"> </v>
      </c>
    </row>
    <row r="2368" spans="1:5" ht="12.5">
      <c r="A2368" s="81" t="str">
        <f t="shared" si="0"/>
        <v xml:space="preserve"> </v>
      </c>
      <c r="B2368" s="81" t="str">
        <f t="shared" si="1"/>
        <v xml:space="preserve"> </v>
      </c>
      <c r="C2368" s="79" t="str">
        <f t="shared" si="7"/>
        <v xml:space="preserve"> </v>
      </c>
      <c r="D2368" s="79" t="str">
        <f t="shared" si="5"/>
        <v xml:space="preserve"> </v>
      </c>
      <c r="E2368" s="79" t="str">
        <f t="shared" si="6"/>
        <v xml:space="preserve"> </v>
      </c>
    </row>
    <row r="2369" spans="1:5" ht="12.5">
      <c r="A2369" s="81" t="str">
        <f t="shared" si="0"/>
        <v xml:space="preserve"> </v>
      </c>
      <c r="B2369" s="81" t="str">
        <f t="shared" si="1"/>
        <v xml:space="preserve"> </v>
      </c>
      <c r="C2369" s="79" t="str">
        <f t="shared" si="7"/>
        <v xml:space="preserve"> </v>
      </c>
      <c r="D2369" s="79" t="str">
        <f t="shared" si="5"/>
        <v xml:space="preserve"> </v>
      </c>
      <c r="E2369" s="79" t="str">
        <f t="shared" si="6"/>
        <v xml:space="preserve"> </v>
      </c>
    </row>
    <row r="2370" spans="1:5" ht="12.5">
      <c r="A2370" s="81" t="str">
        <f t="shared" si="0"/>
        <v xml:space="preserve"> </v>
      </c>
      <c r="B2370" s="81" t="str">
        <f t="shared" si="1"/>
        <v xml:space="preserve"> </v>
      </c>
      <c r="C2370" s="79" t="str">
        <f t="shared" si="7"/>
        <v xml:space="preserve"> </v>
      </c>
      <c r="D2370" s="79" t="str">
        <f t="shared" si="5"/>
        <v xml:space="preserve"> </v>
      </c>
      <c r="E2370" s="79" t="str">
        <f t="shared" si="6"/>
        <v xml:space="preserve"> </v>
      </c>
    </row>
    <row r="2371" spans="1:5" ht="12.5">
      <c r="A2371" s="81" t="str">
        <f t="shared" si="0"/>
        <v xml:space="preserve"> </v>
      </c>
      <c r="B2371" s="81" t="str">
        <f t="shared" si="1"/>
        <v xml:space="preserve"> </v>
      </c>
      <c r="C2371" s="79" t="str">
        <f t="shared" si="7"/>
        <v xml:space="preserve"> </v>
      </c>
      <c r="D2371" s="79" t="str">
        <f t="shared" si="5"/>
        <v xml:space="preserve"> </v>
      </c>
      <c r="E2371" s="79" t="str">
        <f t="shared" si="6"/>
        <v xml:space="preserve"> </v>
      </c>
    </row>
    <row r="2372" spans="1:5" ht="12.5">
      <c r="A2372" s="81" t="str">
        <f t="shared" si="0"/>
        <v xml:space="preserve"> </v>
      </c>
      <c r="B2372" s="81" t="str">
        <f t="shared" si="1"/>
        <v xml:space="preserve"> </v>
      </c>
      <c r="C2372" s="79" t="str">
        <f t="shared" si="7"/>
        <v xml:space="preserve"> </v>
      </c>
      <c r="D2372" s="79" t="str">
        <f t="shared" si="5"/>
        <v xml:space="preserve"> </v>
      </c>
      <c r="E2372" s="79" t="str">
        <f t="shared" si="6"/>
        <v xml:space="preserve"> </v>
      </c>
    </row>
    <row r="2373" spans="1:5" ht="12.5">
      <c r="A2373" s="81" t="str">
        <f t="shared" si="0"/>
        <v xml:space="preserve"> </v>
      </c>
      <c r="B2373" s="81" t="str">
        <f t="shared" si="1"/>
        <v xml:space="preserve"> </v>
      </c>
      <c r="C2373" s="79" t="str">
        <f t="shared" si="7"/>
        <v xml:space="preserve"> </v>
      </c>
      <c r="D2373" s="79" t="str">
        <f t="shared" si="5"/>
        <v xml:space="preserve"> </v>
      </c>
      <c r="E2373" s="79" t="str">
        <f t="shared" si="6"/>
        <v xml:space="preserve"> </v>
      </c>
    </row>
    <row r="2374" spans="1:5" ht="12.5">
      <c r="A2374" s="81" t="str">
        <f t="shared" si="0"/>
        <v xml:space="preserve"> </v>
      </c>
      <c r="B2374" s="81" t="str">
        <f t="shared" si="1"/>
        <v xml:space="preserve"> </v>
      </c>
      <c r="C2374" s="79" t="str">
        <f t="shared" si="7"/>
        <v xml:space="preserve"> </v>
      </c>
      <c r="D2374" s="79" t="str">
        <f t="shared" si="5"/>
        <v xml:space="preserve"> </v>
      </c>
      <c r="E2374" s="79" t="str">
        <f t="shared" si="6"/>
        <v xml:space="preserve"> </v>
      </c>
    </row>
    <row r="2375" spans="1:5" ht="12.5">
      <c r="A2375" s="81" t="str">
        <f t="shared" si="0"/>
        <v xml:space="preserve"> </v>
      </c>
      <c r="B2375" s="81" t="str">
        <f t="shared" si="1"/>
        <v xml:space="preserve"> </v>
      </c>
      <c r="C2375" s="79" t="str">
        <f t="shared" si="7"/>
        <v xml:space="preserve"> </v>
      </c>
      <c r="D2375" s="79" t="str">
        <f t="shared" si="5"/>
        <v xml:space="preserve"> </v>
      </c>
      <c r="E2375" s="79" t="str">
        <f t="shared" si="6"/>
        <v xml:space="preserve"> </v>
      </c>
    </row>
    <row r="2376" spans="1:5" ht="12.5">
      <c r="A2376" s="81" t="str">
        <f t="shared" si="0"/>
        <v xml:space="preserve"> </v>
      </c>
      <c r="B2376" s="81" t="str">
        <f t="shared" si="1"/>
        <v xml:space="preserve"> </v>
      </c>
      <c r="C2376" s="79" t="str">
        <f t="shared" si="7"/>
        <v xml:space="preserve"> </v>
      </c>
      <c r="D2376" s="79" t="str">
        <f t="shared" si="5"/>
        <v xml:space="preserve"> </v>
      </c>
      <c r="E2376" s="79" t="str">
        <f t="shared" si="6"/>
        <v xml:space="preserve"> </v>
      </c>
    </row>
    <row r="2377" spans="1:5" ht="12.5">
      <c r="A2377" s="81" t="str">
        <f t="shared" si="0"/>
        <v xml:space="preserve"> </v>
      </c>
      <c r="B2377" s="81" t="str">
        <f t="shared" si="1"/>
        <v xml:space="preserve"> </v>
      </c>
      <c r="C2377" s="79" t="str">
        <f t="shared" si="7"/>
        <v xml:space="preserve"> </v>
      </c>
      <c r="D2377" s="79" t="str">
        <f t="shared" si="5"/>
        <v xml:space="preserve"> </v>
      </c>
      <c r="E2377" s="79" t="str">
        <f t="shared" si="6"/>
        <v xml:space="preserve"> </v>
      </c>
    </row>
    <row r="2378" spans="1:5" ht="12.5">
      <c r="A2378" s="81" t="str">
        <f t="shared" si="0"/>
        <v xml:space="preserve"> </v>
      </c>
      <c r="B2378" s="81" t="str">
        <f t="shared" si="1"/>
        <v xml:space="preserve"> </v>
      </c>
      <c r="C2378" s="79" t="str">
        <f t="shared" si="7"/>
        <v xml:space="preserve"> </v>
      </c>
      <c r="D2378" s="79" t="str">
        <f t="shared" si="5"/>
        <v xml:space="preserve"> </v>
      </c>
      <c r="E2378" s="79" t="str">
        <f t="shared" si="6"/>
        <v xml:space="preserve"> </v>
      </c>
    </row>
    <row r="2379" spans="1:5" ht="12.5">
      <c r="A2379" s="81" t="str">
        <f t="shared" si="0"/>
        <v xml:space="preserve"> </v>
      </c>
      <c r="B2379" s="81" t="str">
        <f t="shared" si="1"/>
        <v xml:space="preserve"> </v>
      </c>
      <c r="C2379" s="79" t="str">
        <f t="shared" si="7"/>
        <v xml:space="preserve"> </v>
      </c>
      <c r="D2379" s="79" t="str">
        <f t="shared" si="5"/>
        <v xml:space="preserve"> </v>
      </c>
      <c r="E2379" s="79" t="str">
        <f t="shared" si="6"/>
        <v xml:space="preserve"> </v>
      </c>
    </row>
    <row r="2380" spans="1:5" ht="12.5">
      <c r="A2380" s="81" t="str">
        <f t="shared" si="0"/>
        <v xml:space="preserve"> </v>
      </c>
      <c r="B2380" s="81" t="str">
        <f t="shared" si="1"/>
        <v xml:space="preserve"> </v>
      </c>
      <c r="C2380" s="79" t="str">
        <f t="shared" si="7"/>
        <v xml:space="preserve"> </v>
      </c>
      <c r="D2380" s="79" t="str">
        <f t="shared" si="5"/>
        <v xml:space="preserve"> </v>
      </c>
      <c r="E2380" s="79" t="str">
        <f t="shared" si="6"/>
        <v xml:space="preserve"> </v>
      </c>
    </row>
    <row r="2381" spans="1:5" ht="12.5">
      <c r="A2381" s="81" t="str">
        <f t="shared" si="0"/>
        <v xml:space="preserve"> </v>
      </c>
      <c r="B2381" s="81" t="str">
        <f t="shared" si="1"/>
        <v xml:space="preserve"> </v>
      </c>
      <c r="C2381" s="79" t="str">
        <f t="shared" si="7"/>
        <v xml:space="preserve"> </v>
      </c>
      <c r="D2381" s="79" t="str">
        <f t="shared" si="5"/>
        <v xml:space="preserve"> </v>
      </c>
      <c r="E2381" s="79" t="str">
        <f t="shared" si="6"/>
        <v xml:space="preserve"> </v>
      </c>
    </row>
    <row r="2382" spans="1:5" ht="12.5">
      <c r="A2382" s="81" t="str">
        <f t="shared" si="0"/>
        <v xml:space="preserve"> </v>
      </c>
      <c r="B2382" s="81" t="str">
        <f t="shared" si="1"/>
        <v xml:space="preserve"> </v>
      </c>
      <c r="C2382" s="79" t="str">
        <f t="shared" si="7"/>
        <v xml:space="preserve"> </v>
      </c>
      <c r="D2382" s="79" t="str">
        <f t="shared" si="5"/>
        <v xml:space="preserve"> </v>
      </c>
      <c r="E2382" s="79" t="str">
        <f t="shared" si="6"/>
        <v xml:space="preserve"> </v>
      </c>
    </row>
    <row r="2383" spans="1:5" ht="12.5">
      <c r="A2383" s="81" t="str">
        <f t="shared" si="0"/>
        <v xml:space="preserve"> </v>
      </c>
      <c r="B2383" s="81" t="str">
        <f t="shared" si="1"/>
        <v xml:space="preserve"> </v>
      </c>
      <c r="C2383" s="79" t="str">
        <f t="shared" si="7"/>
        <v xml:space="preserve"> </v>
      </c>
      <c r="D2383" s="79" t="str">
        <f t="shared" si="5"/>
        <v xml:space="preserve"> </v>
      </c>
      <c r="E2383" s="79" t="str">
        <f t="shared" si="6"/>
        <v xml:space="preserve"> </v>
      </c>
    </row>
    <row r="2384" spans="1:5" ht="12.5">
      <c r="A2384" s="81" t="str">
        <f t="shared" si="0"/>
        <v xml:space="preserve"> </v>
      </c>
      <c r="B2384" s="81" t="str">
        <f t="shared" si="1"/>
        <v xml:space="preserve"> </v>
      </c>
      <c r="C2384" s="79" t="str">
        <f t="shared" si="7"/>
        <v xml:space="preserve"> </v>
      </c>
      <c r="D2384" s="79" t="str">
        <f t="shared" si="5"/>
        <v xml:space="preserve"> </v>
      </c>
      <c r="E2384" s="79" t="str">
        <f t="shared" si="6"/>
        <v xml:space="preserve"> </v>
      </c>
    </row>
    <row r="2385" spans="1:5" ht="12.5">
      <c r="A2385" s="81" t="str">
        <f t="shared" si="0"/>
        <v xml:space="preserve"> </v>
      </c>
      <c r="B2385" s="81" t="str">
        <f t="shared" si="1"/>
        <v xml:space="preserve"> </v>
      </c>
      <c r="C2385" s="79" t="str">
        <f t="shared" si="7"/>
        <v xml:space="preserve"> </v>
      </c>
      <c r="D2385" s="79" t="str">
        <f t="shared" si="5"/>
        <v xml:space="preserve"> </v>
      </c>
      <c r="E2385" s="79" t="str">
        <f t="shared" si="6"/>
        <v xml:space="preserve"> </v>
      </c>
    </row>
    <row r="2386" spans="1:5" ht="12.5">
      <c r="A2386" s="81" t="str">
        <f t="shared" si="0"/>
        <v xml:space="preserve"> </v>
      </c>
      <c r="B2386" s="81" t="str">
        <f t="shared" si="1"/>
        <v xml:space="preserve"> </v>
      </c>
      <c r="C2386" s="79" t="str">
        <f t="shared" si="7"/>
        <v xml:space="preserve"> </v>
      </c>
      <c r="D2386" s="79" t="str">
        <f t="shared" si="5"/>
        <v xml:space="preserve"> </v>
      </c>
      <c r="E2386" s="79" t="str">
        <f t="shared" si="6"/>
        <v xml:space="preserve"> </v>
      </c>
    </row>
    <row r="2387" spans="1:5" ht="12.5">
      <c r="A2387" s="81" t="str">
        <f t="shared" si="0"/>
        <v xml:space="preserve"> </v>
      </c>
      <c r="B2387" s="81" t="str">
        <f t="shared" si="1"/>
        <v xml:space="preserve"> </v>
      </c>
      <c r="C2387" s="79" t="str">
        <f t="shared" si="7"/>
        <v xml:space="preserve"> </v>
      </c>
      <c r="D2387" s="79" t="str">
        <f t="shared" si="5"/>
        <v xml:space="preserve"> </v>
      </c>
      <c r="E2387" s="79" t="str">
        <f t="shared" si="6"/>
        <v xml:space="preserve"> </v>
      </c>
    </row>
    <row r="2388" spans="1:5" ht="12.5">
      <c r="A2388" s="81" t="str">
        <f t="shared" si="0"/>
        <v xml:space="preserve"> </v>
      </c>
      <c r="B2388" s="81" t="str">
        <f t="shared" si="1"/>
        <v xml:space="preserve"> </v>
      </c>
      <c r="C2388" s="79" t="str">
        <f t="shared" si="7"/>
        <v xml:space="preserve"> </v>
      </c>
      <c r="D2388" s="79" t="str">
        <f t="shared" si="5"/>
        <v xml:space="preserve"> </v>
      </c>
      <c r="E2388" s="79" t="str">
        <f t="shared" si="6"/>
        <v xml:space="preserve"> </v>
      </c>
    </row>
    <row r="2389" spans="1:5" ht="12.5">
      <c r="A2389" s="81" t="str">
        <f t="shared" si="0"/>
        <v xml:space="preserve"> </v>
      </c>
      <c r="B2389" s="81" t="str">
        <f t="shared" si="1"/>
        <v xml:space="preserve"> </v>
      </c>
      <c r="C2389" s="79" t="str">
        <f t="shared" si="7"/>
        <v xml:space="preserve"> </v>
      </c>
      <c r="D2389" s="79" t="str">
        <f t="shared" si="5"/>
        <v xml:space="preserve"> </v>
      </c>
      <c r="E2389" s="79" t="str">
        <f t="shared" si="6"/>
        <v xml:space="preserve"> </v>
      </c>
    </row>
    <row r="2390" spans="1:5" ht="12.5">
      <c r="A2390" s="81" t="str">
        <f t="shared" si="0"/>
        <v xml:space="preserve"> </v>
      </c>
      <c r="B2390" s="81" t="str">
        <f t="shared" si="1"/>
        <v xml:space="preserve"> </v>
      </c>
      <c r="C2390" s="79" t="str">
        <f t="shared" si="7"/>
        <v xml:space="preserve"> </v>
      </c>
      <c r="D2390" s="79" t="str">
        <f t="shared" si="5"/>
        <v xml:space="preserve"> </v>
      </c>
      <c r="E2390" s="79" t="str">
        <f t="shared" si="6"/>
        <v xml:space="preserve"> </v>
      </c>
    </row>
    <row r="2391" spans="1:5" ht="12.5">
      <c r="A2391" s="81" t="str">
        <f t="shared" si="0"/>
        <v xml:space="preserve"> </v>
      </c>
      <c r="B2391" s="81" t="str">
        <f t="shared" si="1"/>
        <v xml:space="preserve"> </v>
      </c>
      <c r="C2391" s="79" t="str">
        <f t="shared" si="7"/>
        <v xml:space="preserve"> </v>
      </c>
      <c r="D2391" s="79" t="str">
        <f t="shared" si="5"/>
        <v xml:space="preserve"> </v>
      </c>
      <c r="E2391" s="79" t="str">
        <f t="shared" si="6"/>
        <v xml:space="preserve"> </v>
      </c>
    </row>
    <row r="2392" spans="1:5" ht="12.5">
      <c r="A2392" s="81" t="str">
        <f t="shared" si="0"/>
        <v xml:space="preserve"> </v>
      </c>
      <c r="B2392" s="81" t="str">
        <f t="shared" si="1"/>
        <v xml:space="preserve"> </v>
      </c>
      <c r="C2392" s="79" t="str">
        <f t="shared" si="7"/>
        <v xml:space="preserve"> </v>
      </c>
      <c r="D2392" s="79" t="str">
        <f t="shared" si="5"/>
        <v xml:space="preserve"> </v>
      </c>
      <c r="E2392" s="79" t="str">
        <f t="shared" si="6"/>
        <v xml:space="preserve"> </v>
      </c>
    </row>
    <row r="2393" spans="1:5" ht="12.5">
      <c r="A2393" s="81" t="str">
        <f t="shared" si="0"/>
        <v xml:space="preserve"> </v>
      </c>
      <c r="B2393" s="81" t="str">
        <f t="shared" si="1"/>
        <v xml:space="preserve"> </v>
      </c>
      <c r="C2393" s="79" t="str">
        <f t="shared" si="7"/>
        <v xml:space="preserve"> </v>
      </c>
      <c r="D2393" s="79" t="str">
        <f t="shared" si="5"/>
        <v xml:space="preserve"> </v>
      </c>
      <c r="E2393" s="79" t="str">
        <f t="shared" si="6"/>
        <v xml:space="preserve"> </v>
      </c>
    </row>
    <row r="2394" spans="1:5" ht="12.5">
      <c r="A2394" s="81" t="str">
        <f t="shared" si="0"/>
        <v xml:space="preserve"> </v>
      </c>
      <c r="B2394" s="81" t="str">
        <f t="shared" si="1"/>
        <v xml:space="preserve"> </v>
      </c>
      <c r="C2394" s="79" t="str">
        <f t="shared" si="7"/>
        <v xml:space="preserve"> </v>
      </c>
      <c r="D2394" s="79" t="str">
        <f t="shared" si="5"/>
        <v xml:space="preserve"> </v>
      </c>
      <c r="E2394" s="79" t="str">
        <f t="shared" si="6"/>
        <v xml:space="preserve"> </v>
      </c>
    </row>
    <row r="2395" spans="1:5" ht="12.5">
      <c r="A2395" s="81" t="str">
        <f t="shared" si="0"/>
        <v xml:space="preserve"> </v>
      </c>
      <c r="B2395" s="81" t="str">
        <f t="shared" si="1"/>
        <v xml:space="preserve"> </v>
      </c>
      <c r="C2395" s="79" t="str">
        <f t="shared" si="7"/>
        <v xml:space="preserve"> </v>
      </c>
      <c r="D2395" s="79" t="str">
        <f t="shared" si="5"/>
        <v xml:space="preserve"> </v>
      </c>
      <c r="E2395" s="79" t="str">
        <f t="shared" si="6"/>
        <v xml:space="preserve"> </v>
      </c>
    </row>
    <row r="2396" spans="1:5" ht="12.5">
      <c r="A2396" s="81" t="str">
        <f t="shared" si="0"/>
        <v xml:space="preserve"> </v>
      </c>
      <c r="B2396" s="81" t="str">
        <f t="shared" si="1"/>
        <v xml:space="preserve"> </v>
      </c>
      <c r="C2396" s="79" t="str">
        <f t="shared" si="7"/>
        <v xml:space="preserve"> </v>
      </c>
      <c r="D2396" s="79" t="str">
        <f t="shared" si="5"/>
        <v xml:space="preserve"> </v>
      </c>
      <c r="E2396" s="79" t="str">
        <f t="shared" si="6"/>
        <v xml:space="preserve"> </v>
      </c>
    </row>
    <row r="2397" spans="1:5" ht="12.5">
      <c r="A2397" s="81" t="str">
        <f t="shared" si="0"/>
        <v xml:space="preserve"> </v>
      </c>
      <c r="B2397" s="81" t="str">
        <f t="shared" si="1"/>
        <v xml:space="preserve"> </v>
      </c>
      <c r="C2397" s="79" t="str">
        <f t="shared" si="7"/>
        <v xml:space="preserve"> </v>
      </c>
      <c r="D2397" s="79" t="str">
        <f t="shared" si="5"/>
        <v xml:space="preserve"> </v>
      </c>
      <c r="E2397" s="79" t="str">
        <f t="shared" si="6"/>
        <v xml:space="preserve"> </v>
      </c>
    </row>
    <row r="2398" spans="1:5" ht="12.5">
      <c r="A2398" s="81" t="str">
        <f t="shared" si="0"/>
        <v xml:space="preserve"> </v>
      </c>
      <c r="B2398" s="81" t="str">
        <f t="shared" si="1"/>
        <v xml:space="preserve"> </v>
      </c>
      <c r="C2398" s="79" t="str">
        <f t="shared" si="7"/>
        <v xml:space="preserve"> </v>
      </c>
      <c r="D2398" s="79" t="str">
        <f t="shared" si="5"/>
        <v xml:space="preserve"> </v>
      </c>
      <c r="E2398" s="79" t="str">
        <f t="shared" si="6"/>
        <v xml:space="preserve"> </v>
      </c>
    </row>
    <row r="2399" spans="1:5" ht="12.5">
      <c r="A2399" s="81" t="str">
        <f t="shared" si="0"/>
        <v xml:space="preserve"> </v>
      </c>
      <c r="B2399" s="81" t="str">
        <f t="shared" si="1"/>
        <v xml:space="preserve"> </v>
      </c>
      <c r="C2399" s="79" t="str">
        <f t="shared" si="7"/>
        <v xml:space="preserve"> </v>
      </c>
      <c r="D2399" s="79" t="str">
        <f t="shared" si="5"/>
        <v xml:space="preserve"> </v>
      </c>
      <c r="E2399" s="79" t="str">
        <f t="shared" si="6"/>
        <v xml:space="preserve"> </v>
      </c>
    </row>
    <row r="2400" spans="1:5" ht="12.5">
      <c r="A2400" s="81" t="str">
        <f t="shared" si="0"/>
        <v xml:space="preserve"> </v>
      </c>
      <c r="B2400" s="81" t="str">
        <f t="shared" si="1"/>
        <v xml:space="preserve"> </v>
      </c>
      <c r="C2400" s="79" t="str">
        <f t="shared" si="7"/>
        <v xml:space="preserve"> </v>
      </c>
      <c r="D2400" s="79" t="str">
        <f t="shared" si="5"/>
        <v xml:space="preserve"> </v>
      </c>
      <c r="E2400" s="79" t="str">
        <f t="shared" si="6"/>
        <v xml:space="preserve"> </v>
      </c>
    </row>
    <row r="2401" spans="1:5" ht="12.5">
      <c r="A2401" s="81" t="str">
        <f t="shared" si="0"/>
        <v xml:space="preserve"> </v>
      </c>
      <c r="B2401" s="81" t="str">
        <f t="shared" si="1"/>
        <v xml:space="preserve"> </v>
      </c>
      <c r="C2401" s="79" t="str">
        <f t="shared" si="7"/>
        <v xml:space="preserve"> </v>
      </c>
      <c r="D2401" s="79" t="str">
        <f t="shared" si="5"/>
        <v xml:space="preserve"> </v>
      </c>
      <c r="E2401" s="79" t="str">
        <f t="shared" si="6"/>
        <v xml:space="preserve"> </v>
      </c>
    </row>
    <row r="2402" spans="1:5" ht="12.5">
      <c r="A2402" s="81" t="str">
        <f t="shared" si="0"/>
        <v xml:space="preserve"> </v>
      </c>
      <c r="B2402" s="81" t="str">
        <f t="shared" si="1"/>
        <v xml:space="preserve"> </v>
      </c>
      <c r="C2402" s="79" t="str">
        <f t="shared" si="7"/>
        <v xml:space="preserve"> </v>
      </c>
      <c r="D2402" s="79" t="str">
        <f t="shared" si="5"/>
        <v xml:space="preserve"> </v>
      </c>
      <c r="E2402" s="79" t="str">
        <f t="shared" si="6"/>
        <v xml:space="preserve"> </v>
      </c>
    </row>
    <row r="2403" spans="1:5" ht="12.5">
      <c r="A2403" s="81" t="str">
        <f t="shared" si="0"/>
        <v xml:space="preserve"> </v>
      </c>
      <c r="B2403" s="81" t="str">
        <f t="shared" si="1"/>
        <v xml:space="preserve"> </v>
      </c>
      <c r="C2403" s="79" t="str">
        <f t="shared" si="7"/>
        <v xml:space="preserve"> </v>
      </c>
      <c r="D2403" s="79" t="str">
        <f t="shared" si="5"/>
        <v xml:space="preserve"> </v>
      </c>
      <c r="E2403" s="79" t="str">
        <f t="shared" si="6"/>
        <v xml:space="preserve"> </v>
      </c>
    </row>
    <row r="2404" spans="1:5" ht="12.5">
      <c r="A2404" s="81" t="str">
        <f t="shared" si="0"/>
        <v xml:space="preserve"> </v>
      </c>
      <c r="B2404" s="81" t="str">
        <f t="shared" si="1"/>
        <v xml:space="preserve"> </v>
      </c>
      <c r="C2404" s="79" t="str">
        <f t="shared" si="7"/>
        <v xml:space="preserve"> </v>
      </c>
      <c r="D2404" s="79" t="str">
        <f t="shared" si="5"/>
        <v xml:space="preserve"> </v>
      </c>
      <c r="E2404" s="79" t="str">
        <f t="shared" si="6"/>
        <v xml:space="preserve"> </v>
      </c>
    </row>
    <row r="2405" spans="1:5" ht="12.5">
      <c r="A2405" s="81" t="str">
        <f t="shared" si="0"/>
        <v xml:space="preserve"> </v>
      </c>
      <c r="B2405" s="81" t="str">
        <f t="shared" si="1"/>
        <v xml:space="preserve"> </v>
      </c>
      <c r="C2405" s="79" t="str">
        <f t="shared" si="7"/>
        <v xml:space="preserve"> </v>
      </c>
      <c r="D2405" s="79" t="str">
        <f t="shared" si="5"/>
        <v xml:space="preserve"> </v>
      </c>
      <c r="E2405" s="79" t="str">
        <f t="shared" si="6"/>
        <v xml:space="preserve"> </v>
      </c>
    </row>
    <row r="2406" spans="1:5" ht="12.5">
      <c r="A2406" s="81" t="str">
        <f t="shared" si="0"/>
        <v xml:space="preserve"> </v>
      </c>
      <c r="B2406" s="81" t="str">
        <f t="shared" si="1"/>
        <v xml:space="preserve"> </v>
      </c>
      <c r="C2406" s="79" t="str">
        <f t="shared" si="7"/>
        <v xml:space="preserve"> </v>
      </c>
      <c r="D2406" s="79" t="str">
        <f t="shared" si="5"/>
        <v xml:space="preserve"> </v>
      </c>
      <c r="E2406" s="79" t="str">
        <f t="shared" si="6"/>
        <v xml:space="preserve"> </v>
      </c>
    </row>
    <row r="2407" spans="1:5" ht="12.5">
      <c r="A2407" s="81" t="str">
        <f t="shared" si="0"/>
        <v xml:space="preserve"> </v>
      </c>
      <c r="B2407" s="81" t="str">
        <f t="shared" si="1"/>
        <v xml:space="preserve"> </v>
      </c>
      <c r="C2407" s="79" t="str">
        <f t="shared" si="7"/>
        <v xml:space="preserve"> </v>
      </c>
      <c r="D2407" s="79" t="str">
        <f t="shared" si="5"/>
        <v xml:space="preserve"> </v>
      </c>
      <c r="E2407" s="79" t="str">
        <f t="shared" si="6"/>
        <v xml:space="preserve"> </v>
      </c>
    </row>
    <row r="2408" spans="1:5" ht="12.5">
      <c r="A2408" s="81" t="str">
        <f t="shared" si="0"/>
        <v xml:space="preserve"> </v>
      </c>
      <c r="B2408" s="81" t="str">
        <f t="shared" si="1"/>
        <v xml:space="preserve"> </v>
      </c>
      <c r="C2408" s="79" t="str">
        <f t="shared" si="7"/>
        <v xml:space="preserve"> </v>
      </c>
      <c r="D2408" s="79" t="str">
        <f t="shared" si="5"/>
        <v xml:space="preserve"> </v>
      </c>
      <c r="E2408" s="79" t="str">
        <f t="shared" si="6"/>
        <v xml:space="preserve"> </v>
      </c>
    </row>
    <row r="2409" spans="1:5" ht="12.5">
      <c r="A2409" s="81" t="str">
        <f t="shared" si="0"/>
        <v xml:space="preserve"> </v>
      </c>
      <c r="B2409" s="81" t="str">
        <f t="shared" si="1"/>
        <v xml:space="preserve"> </v>
      </c>
      <c r="C2409" s="79" t="str">
        <f t="shared" si="7"/>
        <v xml:space="preserve"> </v>
      </c>
      <c r="D2409" s="79" t="str">
        <f t="shared" si="5"/>
        <v xml:space="preserve"> </v>
      </c>
      <c r="E2409" s="79" t="str">
        <f t="shared" si="6"/>
        <v xml:space="preserve"> </v>
      </c>
    </row>
    <row r="2410" spans="1:5" ht="12.5">
      <c r="A2410" s="81" t="str">
        <f t="shared" si="0"/>
        <v xml:space="preserve"> </v>
      </c>
      <c r="B2410" s="81" t="str">
        <f t="shared" si="1"/>
        <v xml:space="preserve"> </v>
      </c>
      <c r="C2410" s="79" t="str">
        <f t="shared" si="7"/>
        <v xml:space="preserve"> </v>
      </c>
      <c r="D2410" s="79" t="str">
        <f t="shared" si="5"/>
        <v xml:space="preserve"> </v>
      </c>
      <c r="E2410" s="79" t="str">
        <f t="shared" si="6"/>
        <v xml:space="preserve"> </v>
      </c>
    </row>
    <row r="2411" spans="1:5" ht="12.5">
      <c r="A2411" s="81" t="str">
        <f t="shared" si="0"/>
        <v xml:space="preserve"> </v>
      </c>
      <c r="B2411" s="81" t="str">
        <f t="shared" si="1"/>
        <v xml:space="preserve"> </v>
      </c>
      <c r="C2411" s="79" t="str">
        <f t="shared" si="7"/>
        <v xml:space="preserve"> </v>
      </c>
      <c r="D2411" s="79" t="str">
        <f t="shared" si="5"/>
        <v xml:space="preserve"> </v>
      </c>
      <c r="E2411" s="79" t="str">
        <f t="shared" si="6"/>
        <v xml:space="preserve"> </v>
      </c>
    </row>
    <row r="2412" spans="1:5" ht="12.5">
      <c r="A2412" s="81" t="str">
        <f t="shared" si="0"/>
        <v xml:space="preserve"> </v>
      </c>
      <c r="B2412" s="81" t="str">
        <f t="shared" si="1"/>
        <v xml:space="preserve"> </v>
      </c>
      <c r="C2412" s="79" t="str">
        <f t="shared" si="7"/>
        <v xml:space="preserve"> </v>
      </c>
      <c r="D2412" s="79" t="str">
        <f t="shared" si="5"/>
        <v xml:space="preserve"> </v>
      </c>
      <c r="E2412" s="79" t="str">
        <f t="shared" si="6"/>
        <v xml:space="preserve"> </v>
      </c>
    </row>
    <row r="2413" spans="1:5" ht="12.5">
      <c r="A2413" s="81" t="str">
        <f t="shared" si="0"/>
        <v xml:space="preserve"> </v>
      </c>
      <c r="B2413" s="81" t="str">
        <f t="shared" si="1"/>
        <v xml:space="preserve"> </v>
      </c>
      <c r="C2413" s="79" t="str">
        <f t="shared" si="7"/>
        <v xml:space="preserve"> </v>
      </c>
      <c r="D2413" s="79" t="str">
        <f t="shared" si="5"/>
        <v xml:space="preserve"> </v>
      </c>
      <c r="E2413" s="79" t="str">
        <f t="shared" si="6"/>
        <v xml:space="preserve"> </v>
      </c>
    </row>
    <row r="2414" spans="1:5" ht="12.5">
      <c r="A2414" s="81" t="str">
        <f t="shared" si="0"/>
        <v xml:space="preserve"> </v>
      </c>
      <c r="B2414" s="81" t="str">
        <f t="shared" si="1"/>
        <v xml:space="preserve"> </v>
      </c>
      <c r="C2414" s="79" t="str">
        <f t="shared" si="7"/>
        <v xml:space="preserve"> </v>
      </c>
      <c r="D2414" s="79" t="str">
        <f t="shared" si="5"/>
        <v xml:space="preserve"> </v>
      </c>
      <c r="E2414" s="79" t="str">
        <f t="shared" si="6"/>
        <v xml:space="preserve"> </v>
      </c>
    </row>
    <row r="2415" spans="1:5" ht="12.5">
      <c r="A2415" s="81" t="str">
        <f t="shared" si="0"/>
        <v xml:space="preserve"> </v>
      </c>
      <c r="B2415" s="81" t="str">
        <f t="shared" si="1"/>
        <v xml:space="preserve"> </v>
      </c>
      <c r="C2415" s="79" t="str">
        <f t="shared" si="7"/>
        <v xml:space="preserve"> </v>
      </c>
      <c r="D2415" s="79" t="str">
        <f t="shared" si="5"/>
        <v xml:space="preserve"> </v>
      </c>
      <c r="E2415" s="79" t="str">
        <f t="shared" si="6"/>
        <v xml:space="preserve"> </v>
      </c>
    </row>
    <row r="2416" spans="1:5" ht="12.5">
      <c r="A2416" s="81" t="str">
        <f t="shared" si="0"/>
        <v xml:space="preserve"> </v>
      </c>
      <c r="B2416" s="81" t="str">
        <f t="shared" si="1"/>
        <v xml:space="preserve"> </v>
      </c>
      <c r="C2416" s="79" t="str">
        <f t="shared" si="7"/>
        <v xml:space="preserve"> </v>
      </c>
      <c r="D2416" s="79" t="str">
        <f t="shared" si="5"/>
        <v xml:space="preserve"> </v>
      </c>
      <c r="E2416" s="79" t="str">
        <f t="shared" si="6"/>
        <v xml:space="preserve"> </v>
      </c>
    </row>
    <row r="2417" spans="1:5" ht="12.5">
      <c r="A2417" s="81" t="str">
        <f t="shared" si="0"/>
        <v xml:space="preserve"> </v>
      </c>
      <c r="B2417" s="81" t="str">
        <f t="shared" si="1"/>
        <v xml:space="preserve"> </v>
      </c>
      <c r="C2417" s="79" t="str">
        <f t="shared" si="7"/>
        <v xml:space="preserve"> </v>
      </c>
      <c r="D2417" s="79" t="str">
        <f t="shared" si="5"/>
        <v xml:space="preserve"> </v>
      </c>
      <c r="E2417" s="79" t="str">
        <f t="shared" si="6"/>
        <v xml:space="preserve"> </v>
      </c>
    </row>
    <row r="2418" spans="1:5" ht="12.5">
      <c r="A2418" s="81" t="str">
        <f t="shared" si="0"/>
        <v xml:space="preserve"> </v>
      </c>
      <c r="B2418" s="81" t="str">
        <f t="shared" si="1"/>
        <v xml:space="preserve"> </v>
      </c>
      <c r="C2418" s="79" t="str">
        <f t="shared" si="7"/>
        <v xml:space="preserve"> </v>
      </c>
      <c r="D2418" s="79" t="str">
        <f t="shared" si="5"/>
        <v xml:space="preserve"> </v>
      </c>
      <c r="E2418" s="79" t="str">
        <f t="shared" si="6"/>
        <v xml:space="preserve"> </v>
      </c>
    </row>
    <row r="2419" spans="1:5" ht="12.5">
      <c r="A2419" s="81" t="str">
        <f t="shared" si="0"/>
        <v xml:space="preserve"> </v>
      </c>
      <c r="B2419" s="81" t="str">
        <f t="shared" si="1"/>
        <v xml:space="preserve"> </v>
      </c>
      <c r="C2419" s="79" t="str">
        <f t="shared" si="7"/>
        <v xml:space="preserve"> </v>
      </c>
      <c r="D2419" s="79" t="str">
        <f t="shared" si="5"/>
        <v xml:space="preserve"> </v>
      </c>
      <c r="E2419" s="79" t="str">
        <f t="shared" si="6"/>
        <v xml:space="preserve"> </v>
      </c>
    </row>
    <row r="2420" spans="1:5" ht="12.5">
      <c r="A2420" s="81" t="str">
        <f t="shared" si="0"/>
        <v xml:space="preserve"> </v>
      </c>
      <c r="B2420" s="81" t="str">
        <f t="shared" si="1"/>
        <v xml:space="preserve"> </v>
      </c>
      <c r="C2420" s="79" t="str">
        <f t="shared" si="7"/>
        <v xml:space="preserve"> </v>
      </c>
      <c r="D2420" s="79" t="str">
        <f t="shared" si="5"/>
        <v xml:space="preserve"> </v>
      </c>
      <c r="E2420" s="79" t="str">
        <f t="shared" si="6"/>
        <v xml:space="preserve"> </v>
      </c>
    </row>
    <row r="2421" spans="1:5" ht="12.5">
      <c r="A2421" s="81" t="str">
        <f t="shared" si="0"/>
        <v xml:space="preserve"> </v>
      </c>
      <c r="B2421" s="81" t="str">
        <f t="shared" si="1"/>
        <v xml:space="preserve"> </v>
      </c>
      <c r="C2421" s="79" t="str">
        <f t="shared" si="7"/>
        <v xml:space="preserve"> </v>
      </c>
      <c r="D2421" s="79" t="str">
        <f t="shared" si="5"/>
        <v xml:space="preserve"> </v>
      </c>
      <c r="E2421" s="79" t="str">
        <f t="shared" si="6"/>
        <v xml:space="preserve"> </v>
      </c>
    </row>
    <row r="2422" spans="1:5" ht="12.5">
      <c r="A2422" s="81" t="str">
        <f t="shared" si="0"/>
        <v xml:space="preserve"> </v>
      </c>
      <c r="B2422" s="81" t="str">
        <f t="shared" si="1"/>
        <v xml:space="preserve"> </v>
      </c>
      <c r="C2422" s="79" t="str">
        <f t="shared" si="7"/>
        <v xml:space="preserve"> </v>
      </c>
      <c r="D2422" s="79" t="str">
        <f t="shared" si="5"/>
        <v xml:space="preserve"> </v>
      </c>
      <c r="E2422" s="79" t="str">
        <f t="shared" si="6"/>
        <v xml:space="preserve"> </v>
      </c>
    </row>
    <row r="2423" spans="1:5" ht="12.5">
      <c r="A2423" s="81" t="str">
        <f t="shared" si="0"/>
        <v xml:space="preserve"> </v>
      </c>
      <c r="B2423" s="81" t="str">
        <f t="shared" si="1"/>
        <v xml:space="preserve"> </v>
      </c>
      <c r="C2423" s="79" t="str">
        <f t="shared" si="7"/>
        <v xml:space="preserve"> </v>
      </c>
      <c r="D2423" s="79" t="str">
        <f t="shared" si="5"/>
        <v xml:space="preserve"> </v>
      </c>
      <c r="E2423" s="79" t="str">
        <f t="shared" si="6"/>
        <v xml:space="preserve"> </v>
      </c>
    </row>
    <row r="2424" spans="1:5" ht="12.5">
      <c r="A2424" s="81" t="str">
        <f t="shared" si="0"/>
        <v xml:space="preserve"> </v>
      </c>
      <c r="B2424" s="81" t="str">
        <f t="shared" si="1"/>
        <v xml:space="preserve"> </v>
      </c>
      <c r="C2424" s="79" t="str">
        <f t="shared" si="7"/>
        <v xml:space="preserve"> </v>
      </c>
      <c r="D2424" s="79" t="str">
        <f t="shared" si="5"/>
        <v xml:space="preserve"> </v>
      </c>
      <c r="E2424" s="79" t="str">
        <f t="shared" si="6"/>
        <v xml:space="preserve"> </v>
      </c>
    </row>
    <row r="2425" spans="1:5" ht="12.5">
      <c r="A2425" s="81" t="str">
        <f t="shared" si="0"/>
        <v xml:space="preserve"> </v>
      </c>
      <c r="B2425" s="81" t="str">
        <f t="shared" si="1"/>
        <v xml:space="preserve"> </v>
      </c>
      <c r="C2425" s="79" t="str">
        <f t="shared" si="7"/>
        <v xml:space="preserve"> </v>
      </c>
      <c r="D2425" s="79" t="str">
        <f t="shared" si="5"/>
        <v xml:space="preserve"> </v>
      </c>
      <c r="E2425" s="79" t="str">
        <f t="shared" si="6"/>
        <v xml:space="preserve"> </v>
      </c>
    </row>
    <row r="2426" spans="1:5" ht="12.5">
      <c r="A2426" s="81" t="str">
        <f t="shared" si="0"/>
        <v xml:space="preserve"> </v>
      </c>
      <c r="B2426" s="81" t="str">
        <f t="shared" si="1"/>
        <v xml:space="preserve"> </v>
      </c>
      <c r="C2426" s="79" t="str">
        <f t="shared" si="7"/>
        <v xml:space="preserve"> </v>
      </c>
      <c r="D2426" s="79" t="str">
        <f t="shared" si="5"/>
        <v xml:space="preserve"> </v>
      </c>
      <c r="E2426" s="79" t="str">
        <f t="shared" si="6"/>
        <v xml:space="preserve"> </v>
      </c>
    </row>
    <row r="2427" spans="1:5" ht="12.5">
      <c r="A2427" s="81" t="str">
        <f t="shared" si="0"/>
        <v xml:space="preserve"> </v>
      </c>
      <c r="B2427" s="81" t="str">
        <f t="shared" si="1"/>
        <v xml:space="preserve"> </v>
      </c>
      <c r="C2427" s="79" t="str">
        <f t="shared" si="7"/>
        <v xml:space="preserve"> </v>
      </c>
      <c r="D2427" s="79" t="str">
        <f t="shared" si="5"/>
        <v xml:space="preserve"> </v>
      </c>
      <c r="E2427" s="79" t="str">
        <f t="shared" si="6"/>
        <v xml:space="preserve"> </v>
      </c>
    </row>
    <row r="2428" spans="1:5" ht="12.5">
      <c r="A2428" s="81" t="str">
        <f t="shared" si="0"/>
        <v xml:space="preserve"> </v>
      </c>
      <c r="B2428" s="81" t="str">
        <f t="shared" si="1"/>
        <v xml:space="preserve"> </v>
      </c>
      <c r="C2428" s="79" t="str">
        <f t="shared" si="7"/>
        <v xml:space="preserve"> </v>
      </c>
      <c r="D2428" s="79" t="str">
        <f t="shared" si="5"/>
        <v xml:space="preserve"> </v>
      </c>
      <c r="E2428" s="79" t="str">
        <f t="shared" si="6"/>
        <v xml:space="preserve"> </v>
      </c>
    </row>
    <row r="2429" spans="1:5" ht="12.5">
      <c r="A2429" s="81" t="str">
        <f t="shared" si="0"/>
        <v xml:space="preserve"> </v>
      </c>
      <c r="B2429" s="81" t="str">
        <f t="shared" si="1"/>
        <v xml:space="preserve"> </v>
      </c>
      <c r="C2429" s="79" t="str">
        <f t="shared" si="7"/>
        <v xml:space="preserve"> </v>
      </c>
      <c r="D2429" s="79" t="str">
        <f t="shared" si="5"/>
        <v xml:space="preserve"> </v>
      </c>
      <c r="E2429" s="79" t="str">
        <f t="shared" si="6"/>
        <v xml:space="preserve"> </v>
      </c>
    </row>
    <row r="2430" spans="1:5" ht="12.5">
      <c r="A2430" s="81" t="str">
        <f t="shared" si="0"/>
        <v xml:space="preserve"> </v>
      </c>
      <c r="B2430" s="81" t="str">
        <f t="shared" si="1"/>
        <v xml:space="preserve"> </v>
      </c>
      <c r="C2430" s="79" t="str">
        <f t="shared" si="7"/>
        <v xml:space="preserve"> </v>
      </c>
      <c r="D2430" s="79" t="str">
        <f t="shared" si="5"/>
        <v xml:space="preserve"> </v>
      </c>
      <c r="E2430" s="79" t="str">
        <f t="shared" si="6"/>
        <v xml:space="preserve"> </v>
      </c>
    </row>
    <row r="2431" spans="1:5" ht="12.5">
      <c r="A2431" s="81" t="str">
        <f t="shared" si="0"/>
        <v xml:space="preserve"> </v>
      </c>
      <c r="B2431" s="81" t="str">
        <f t="shared" si="1"/>
        <v xml:space="preserve"> </v>
      </c>
      <c r="C2431" s="79" t="str">
        <f t="shared" si="7"/>
        <v xml:space="preserve"> </v>
      </c>
      <c r="D2431" s="79" t="str">
        <f t="shared" si="5"/>
        <v xml:space="preserve"> </v>
      </c>
      <c r="E2431" s="79" t="str">
        <f t="shared" si="6"/>
        <v xml:space="preserve"> </v>
      </c>
    </row>
    <row r="2432" spans="1:5" ht="12.5">
      <c r="A2432" s="81" t="str">
        <f t="shared" si="0"/>
        <v xml:space="preserve"> </v>
      </c>
      <c r="B2432" s="81" t="str">
        <f t="shared" si="1"/>
        <v xml:space="preserve"> </v>
      </c>
      <c r="C2432" s="79" t="str">
        <f t="shared" si="7"/>
        <v xml:space="preserve"> </v>
      </c>
      <c r="D2432" s="79" t="str">
        <f t="shared" si="5"/>
        <v xml:space="preserve"> </v>
      </c>
      <c r="E2432" s="79" t="str">
        <f t="shared" si="6"/>
        <v xml:space="preserve"> </v>
      </c>
    </row>
    <row r="2433" spans="1:5" ht="12.5">
      <c r="A2433" s="81" t="str">
        <f t="shared" si="0"/>
        <v xml:space="preserve"> </v>
      </c>
      <c r="B2433" s="81" t="str">
        <f t="shared" si="1"/>
        <v xml:space="preserve"> </v>
      </c>
      <c r="C2433" s="79" t="str">
        <f t="shared" si="7"/>
        <v xml:space="preserve"> </v>
      </c>
      <c r="D2433" s="79" t="str">
        <f t="shared" si="5"/>
        <v xml:space="preserve"> </v>
      </c>
      <c r="E2433" s="79" t="str">
        <f t="shared" si="6"/>
        <v xml:space="preserve"> </v>
      </c>
    </row>
    <row r="2434" spans="1:5" ht="12.5">
      <c r="A2434" s="81" t="str">
        <f t="shared" si="0"/>
        <v xml:space="preserve"> </v>
      </c>
      <c r="B2434" s="81" t="str">
        <f t="shared" si="1"/>
        <v xml:space="preserve"> </v>
      </c>
      <c r="C2434" s="79" t="str">
        <f t="shared" si="7"/>
        <v xml:space="preserve"> </v>
      </c>
      <c r="D2434" s="79" t="str">
        <f t="shared" si="5"/>
        <v xml:space="preserve"> </v>
      </c>
      <c r="E2434" s="79" t="str">
        <f t="shared" si="6"/>
        <v xml:space="preserve"> </v>
      </c>
    </row>
    <row r="2435" spans="1:5" ht="12.5">
      <c r="A2435" s="81" t="str">
        <f t="shared" si="0"/>
        <v xml:space="preserve"> </v>
      </c>
      <c r="B2435" s="81" t="str">
        <f t="shared" si="1"/>
        <v xml:space="preserve"> </v>
      </c>
      <c r="C2435" s="79" t="str">
        <f t="shared" si="7"/>
        <v xml:space="preserve"> </v>
      </c>
      <c r="D2435" s="79" t="str">
        <f t="shared" si="5"/>
        <v xml:space="preserve"> </v>
      </c>
      <c r="E2435" s="79" t="str">
        <f t="shared" si="6"/>
        <v xml:space="preserve"> </v>
      </c>
    </row>
    <row r="2436" spans="1:5" ht="12.5">
      <c r="A2436" s="81" t="str">
        <f t="shared" si="0"/>
        <v xml:space="preserve"> </v>
      </c>
      <c r="B2436" s="81" t="str">
        <f t="shared" si="1"/>
        <v xml:space="preserve"> </v>
      </c>
      <c r="C2436" s="79" t="str">
        <f t="shared" si="7"/>
        <v xml:space="preserve"> </v>
      </c>
      <c r="D2436" s="79" t="str">
        <f t="shared" si="5"/>
        <v xml:space="preserve"> </v>
      </c>
      <c r="E2436" s="79" t="str">
        <f t="shared" si="6"/>
        <v xml:space="preserve"> </v>
      </c>
    </row>
    <row r="2437" spans="1:5" ht="12.5">
      <c r="A2437" s="81" t="str">
        <f t="shared" si="0"/>
        <v xml:space="preserve"> </v>
      </c>
      <c r="B2437" s="81" t="str">
        <f t="shared" si="1"/>
        <v xml:space="preserve"> </v>
      </c>
      <c r="C2437" s="79" t="str">
        <f t="shared" si="7"/>
        <v xml:space="preserve"> </v>
      </c>
      <c r="D2437" s="79" t="str">
        <f t="shared" si="5"/>
        <v xml:space="preserve"> </v>
      </c>
      <c r="E2437" s="79" t="str">
        <f t="shared" si="6"/>
        <v xml:space="preserve"> </v>
      </c>
    </row>
    <row r="2438" spans="1:5" ht="12.5">
      <c r="A2438" s="81" t="str">
        <f t="shared" si="0"/>
        <v xml:space="preserve"> </v>
      </c>
      <c r="B2438" s="81" t="str">
        <f t="shared" si="1"/>
        <v xml:space="preserve"> </v>
      </c>
      <c r="C2438" s="79" t="str">
        <f t="shared" si="7"/>
        <v xml:space="preserve"> </v>
      </c>
      <c r="D2438" s="79" t="str">
        <f t="shared" si="5"/>
        <v xml:space="preserve"> </v>
      </c>
      <c r="E2438" s="79" t="str">
        <f t="shared" si="6"/>
        <v xml:space="preserve"> </v>
      </c>
    </row>
    <row r="2439" spans="1:5" ht="12.5">
      <c r="A2439" s="81" t="str">
        <f t="shared" si="0"/>
        <v xml:space="preserve"> </v>
      </c>
      <c r="B2439" s="81" t="str">
        <f t="shared" si="1"/>
        <v xml:space="preserve"> </v>
      </c>
      <c r="C2439" s="79" t="str">
        <f t="shared" si="7"/>
        <v xml:space="preserve"> </v>
      </c>
      <c r="D2439" s="79" t="str">
        <f t="shared" si="5"/>
        <v xml:space="preserve"> </v>
      </c>
      <c r="E2439" s="79" t="str">
        <f t="shared" si="6"/>
        <v xml:space="preserve"> </v>
      </c>
    </row>
    <row r="2440" spans="1:5" ht="12.5">
      <c r="A2440" s="81" t="str">
        <f t="shared" si="0"/>
        <v xml:space="preserve"> </v>
      </c>
      <c r="B2440" s="81" t="str">
        <f t="shared" si="1"/>
        <v xml:space="preserve"> </v>
      </c>
      <c r="C2440" s="79" t="str">
        <f t="shared" si="7"/>
        <v xml:space="preserve"> </v>
      </c>
      <c r="D2440" s="79" t="str">
        <f t="shared" si="5"/>
        <v xml:space="preserve"> </v>
      </c>
      <c r="E2440" s="79" t="str">
        <f t="shared" si="6"/>
        <v xml:space="preserve"> </v>
      </c>
    </row>
    <row r="2441" spans="1:5" ht="12.5">
      <c r="A2441" s="81" t="str">
        <f t="shared" si="0"/>
        <v xml:space="preserve"> </v>
      </c>
      <c r="B2441" s="81" t="str">
        <f t="shared" si="1"/>
        <v xml:space="preserve"> </v>
      </c>
      <c r="C2441" s="79" t="str">
        <f t="shared" si="7"/>
        <v xml:space="preserve"> </v>
      </c>
      <c r="D2441" s="79" t="str">
        <f t="shared" si="5"/>
        <v xml:space="preserve"> </v>
      </c>
      <c r="E2441" s="79" t="str">
        <f t="shared" si="6"/>
        <v xml:space="preserve"> </v>
      </c>
    </row>
    <row r="2442" spans="1:5" ht="12.5">
      <c r="A2442" s="81" t="str">
        <f t="shared" si="0"/>
        <v xml:space="preserve"> </v>
      </c>
      <c r="B2442" s="81" t="str">
        <f t="shared" si="1"/>
        <v xml:space="preserve"> </v>
      </c>
      <c r="C2442" s="79" t="str">
        <f t="shared" si="7"/>
        <v xml:space="preserve"> </v>
      </c>
      <c r="D2442" s="79" t="str">
        <f t="shared" si="5"/>
        <v xml:space="preserve"> </v>
      </c>
      <c r="E2442" s="79" t="str">
        <f t="shared" si="6"/>
        <v xml:space="preserve"> </v>
      </c>
    </row>
    <row r="2443" spans="1:5" ht="12.5">
      <c r="A2443" s="81" t="str">
        <f t="shared" si="0"/>
        <v xml:space="preserve"> </v>
      </c>
      <c r="B2443" s="81" t="str">
        <f t="shared" si="1"/>
        <v xml:space="preserve"> </v>
      </c>
      <c r="C2443" s="79" t="str">
        <f t="shared" si="7"/>
        <v xml:space="preserve"> </v>
      </c>
      <c r="D2443" s="79" t="str">
        <f t="shared" si="5"/>
        <v xml:space="preserve"> </v>
      </c>
      <c r="E2443" s="79" t="str">
        <f t="shared" si="6"/>
        <v xml:space="preserve"> </v>
      </c>
    </row>
    <row r="2444" spans="1:5" ht="12.5">
      <c r="A2444" s="81" t="str">
        <f t="shared" si="0"/>
        <v xml:space="preserve"> </v>
      </c>
      <c r="B2444" s="81" t="str">
        <f t="shared" si="1"/>
        <v xml:space="preserve"> </v>
      </c>
      <c r="C2444" s="79" t="str">
        <f t="shared" si="7"/>
        <v xml:space="preserve"> </v>
      </c>
      <c r="D2444" s="79" t="str">
        <f t="shared" si="5"/>
        <v xml:space="preserve"> </v>
      </c>
      <c r="E2444" s="79" t="str">
        <f t="shared" si="6"/>
        <v xml:space="preserve"> </v>
      </c>
    </row>
    <row r="2445" spans="1:5" ht="12.5">
      <c r="A2445" s="81" t="str">
        <f t="shared" si="0"/>
        <v xml:space="preserve"> </v>
      </c>
      <c r="B2445" s="81" t="str">
        <f t="shared" si="1"/>
        <v xml:space="preserve"> </v>
      </c>
      <c r="C2445" s="79" t="str">
        <f t="shared" si="7"/>
        <v xml:space="preserve"> </v>
      </c>
      <c r="D2445" s="79" t="str">
        <f t="shared" si="5"/>
        <v xml:space="preserve"> </v>
      </c>
      <c r="E2445" s="79" t="str">
        <f t="shared" si="6"/>
        <v xml:space="preserve"> </v>
      </c>
    </row>
    <row r="2446" spans="1:5" ht="12.5">
      <c r="A2446" s="81" t="str">
        <f t="shared" si="0"/>
        <v xml:space="preserve"> </v>
      </c>
      <c r="B2446" s="81" t="str">
        <f t="shared" si="1"/>
        <v xml:space="preserve"> </v>
      </c>
      <c r="C2446" s="79" t="str">
        <f t="shared" si="7"/>
        <v xml:space="preserve"> </v>
      </c>
      <c r="D2446" s="79" t="str">
        <f t="shared" si="5"/>
        <v xml:space="preserve"> </v>
      </c>
      <c r="E2446" s="79" t="str">
        <f t="shared" si="6"/>
        <v xml:space="preserve"> </v>
      </c>
    </row>
    <row r="2447" spans="1:5" ht="12.5">
      <c r="A2447" s="81" t="str">
        <f t="shared" si="0"/>
        <v xml:space="preserve"> </v>
      </c>
      <c r="B2447" s="81" t="str">
        <f t="shared" si="1"/>
        <v xml:space="preserve"> </v>
      </c>
      <c r="C2447" s="79" t="str">
        <f t="shared" si="7"/>
        <v xml:space="preserve"> </v>
      </c>
      <c r="D2447" s="79" t="str">
        <f t="shared" si="5"/>
        <v xml:space="preserve"> </v>
      </c>
      <c r="E2447" s="79" t="str">
        <f t="shared" si="6"/>
        <v xml:space="preserve"> </v>
      </c>
    </row>
    <row r="2448" spans="1:5" ht="12.5">
      <c r="A2448" s="81" t="str">
        <f t="shared" si="0"/>
        <v xml:space="preserve"> </v>
      </c>
      <c r="B2448" s="81" t="str">
        <f t="shared" si="1"/>
        <v xml:space="preserve"> </v>
      </c>
      <c r="C2448" s="79" t="str">
        <f t="shared" si="7"/>
        <v xml:space="preserve"> </v>
      </c>
      <c r="D2448" s="79" t="str">
        <f t="shared" si="5"/>
        <v xml:space="preserve"> </v>
      </c>
      <c r="E2448" s="79" t="str">
        <f t="shared" si="6"/>
        <v xml:space="preserve"> </v>
      </c>
    </row>
    <row r="2449" spans="1:5" ht="12.5">
      <c r="A2449" s="81" t="str">
        <f t="shared" si="0"/>
        <v xml:space="preserve"> </v>
      </c>
      <c r="B2449" s="81" t="str">
        <f t="shared" si="1"/>
        <v xml:space="preserve"> </v>
      </c>
      <c r="C2449" s="79" t="str">
        <f t="shared" si="7"/>
        <v xml:space="preserve"> </v>
      </c>
      <c r="D2449" s="79" t="str">
        <f t="shared" si="5"/>
        <v xml:space="preserve"> </v>
      </c>
      <c r="E2449" s="79" t="str">
        <f t="shared" si="6"/>
        <v xml:space="preserve"> </v>
      </c>
    </row>
    <row r="2450" spans="1:5" ht="12.5">
      <c r="A2450" s="81" t="str">
        <f t="shared" si="0"/>
        <v xml:space="preserve"> </v>
      </c>
      <c r="B2450" s="81" t="str">
        <f t="shared" si="1"/>
        <v xml:space="preserve"> </v>
      </c>
      <c r="C2450" s="79" t="str">
        <f t="shared" si="7"/>
        <v xml:space="preserve"> </v>
      </c>
      <c r="D2450" s="79" t="str">
        <f t="shared" si="5"/>
        <v xml:space="preserve"> </v>
      </c>
      <c r="E2450" s="79" t="str">
        <f t="shared" si="6"/>
        <v xml:space="preserve"> </v>
      </c>
    </row>
    <row r="2451" spans="1:5" ht="12.5">
      <c r="A2451" s="81" t="str">
        <f t="shared" si="0"/>
        <v xml:space="preserve"> </v>
      </c>
      <c r="B2451" s="81" t="str">
        <f t="shared" si="1"/>
        <v xml:space="preserve"> </v>
      </c>
      <c r="C2451" s="79" t="str">
        <f t="shared" si="7"/>
        <v xml:space="preserve"> </v>
      </c>
      <c r="D2451" s="79" t="str">
        <f t="shared" si="5"/>
        <v xml:space="preserve"> </v>
      </c>
      <c r="E2451" s="79" t="str">
        <f t="shared" si="6"/>
        <v xml:space="preserve"> </v>
      </c>
    </row>
    <row r="2452" spans="1:5" ht="12.5">
      <c r="A2452" s="81" t="str">
        <f t="shared" si="0"/>
        <v xml:space="preserve"> </v>
      </c>
      <c r="B2452" s="81" t="str">
        <f t="shared" si="1"/>
        <v xml:space="preserve"> </v>
      </c>
      <c r="C2452" s="79" t="str">
        <f t="shared" si="7"/>
        <v xml:space="preserve"> </v>
      </c>
      <c r="D2452" s="79" t="str">
        <f t="shared" si="5"/>
        <v xml:space="preserve"> </v>
      </c>
      <c r="E2452" s="79" t="str">
        <f t="shared" si="6"/>
        <v xml:space="preserve"> </v>
      </c>
    </row>
    <row r="2453" spans="1:5" ht="12.5">
      <c r="A2453" s="81" t="str">
        <f t="shared" si="0"/>
        <v xml:space="preserve"> </v>
      </c>
      <c r="B2453" s="81" t="str">
        <f t="shared" si="1"/>
        <v xml:space="preserve"> </v>
      </c>
      <c r="C2453" s="79" t="str">
        <f t="shared" si="7"/>
        <v xml:space="preserve"> </v>
      </c>
      <c r="D2453" s="79" t="str">
        <f t="shared" si="5"/>
        <v xml:space="preserve"> </v>
      </c>
      <c r="E2453" s="79" t="str">
        <f t="shared" si="6"/>
        <v xml:space="preserve"> </v>
      </c>
    </row>
    <row r="2454" spans="1:5" ht="12.5">
      <c r="A2454" s="81" t="str">
        <f t="shared" si="0"/>
        <v xml:space="preserve"> </v>
      </c>
      <c r="B2454" s="81" t="str">
        <f t="shared" si="1"/>
        <v xml:space="preserve"> </v>
      </c>
      <c r="C2454" s="79" t="str">
        <f t="shared" si="7"/>
        <v xml:space="preserve"> </v>
      </c>
      <c r="D2454" s="79" t="str">
        <f t="shared" si="5"/>
        <v xml:space="preserve"> </v>
      </c>
      <c r="E2454" s="79" t="str">
        <f t="shared" si="6"/>
        <v xml:space="preserve"> </v>
      </c>
    </row>
    <row r="2455" spans="1:5" ht="12.5">
      <c r="A2455" s="81" t="str">
        <f t="shared" si="0"/>
        <v xml:space="preserve"> </v>
      </c>
      <c r="B2455" s="81" t="str">
        <f t="shared" si="1"/>
        <v xml:space="preserve"> </v>
      </c>
      <c r="C2455" s="79" t="str">
        <f t="shared" si="7"/>
        <v xml:space="preserve"> </v>
      </c>
      <c r="D2455" s="79" t="str">
        <f t="shared" si="5"/>
        <v xml:space="preserve"> </v>
      </c>
      <c r="E2455" s="79" t="str">
        <f t="shared" si="6"/>
        <v xml:space="preserve"> </v>
      </c>
    </row>
    <row r="2456" spans="1:5" ht="12.5">
      <c r="A2456" s="81" t="str">
        <f t="shared" si="0"/>
        <v xml:space="preserve"> </v>
      </c>
      <c r="B2456" s="81" t="str">
        <f t="shared" si="1"/>
        <v xml:space="preserve"> </v>
      </c>
      <c r="C2456" s="79" t="str">
        <f t="shared" si="7"/>
        <v xml:space="preserve"> </v>
      </c>
      <c r="D2456" s="79" t="str">
        <f t="shared" si="5"/>
        <v xml:space="preserve"> </v>
      </c>
      <c r="E2456" s="79" t="str">
        <f t="shared" si="6"/>
        <v xml:space="preserve"> </v>
      </c>
    </row>
    <row r="2457" spans="1:5" ht="12.5">
      <c r="A2457" s="81" t="str">
        <f t="shared" si="0"/>
        <v xml:space="preserve"> </v>
      </c>
      <c r="B2457" s="81" t="str">
        <f t="shared" si="1"/>
        <v xml:space="preserve"> </v>
      </c>
      <c r="C2457" s="79" t="str">
        <f t="shared" si="7"/>
        <v xml:space="preserve"> </v>
      </c>
      <c r="D2457" s="79" t="str">
        <f t="shared" si="5"/>
        <v xml:space="preserve"> </v>
      </c>
      <c r="E2457" s="79" t="str">
        <f t="shared" si="6"/>
        <v xml:space="preserve"> </v>
      </c>
    </row>
    <row r="2458" spans="1:5" ht="12.5">
      <c r="A2458" s="81" t="str">
        <f t="shared" si="0"/>
        <v xml:space="preserve"> </v>
      </c>
      <c r="B2458" s="81" t="str">
        <f t="shared" si="1"/>
        <v xml:space="preserve"> </v>
      </c>
      <c r="C2458" s="79" t="str">
        <f t="shared" si="7"/>
        <v xml:space="preserve"> </v>
      </c>
      <c r="D2458" s="79" t="str">
        <f t="shared" si="5"/>
        <v xml:space="preserve"> </v>
      </c>
      <c r="E2458" s="79" t="str">
        <f t="shared" si="6"/>
        <v xml:space="preserve"> </v>
      </c>
    </row>
    <row r="2459" spans="1:5" ht="12.5">
      <c r="A2459" s="81" t="str">
        <f t="shared" si="0"/>
        <v xml:space="preserve"> </v>
      </c>
      <c r="B2459" s="81" t="str">
        <f t="shared" si="1"/>
        <v xml:space="preserve"> </v>
      </c>
      <c r="C2459" s="79" t="str">
        <f t="shared" si="7"/>
        <v xml:space="preserve"> </v>
      </c>
      <c r="D2459" s="79" t="str">
        <f t="shared" si="5"/>
        <v xml:space="preserve"> </v>
      </c>
      <c r="E2459" s="79" t="str">
        <f t="shared" si="6"/>
        <v xml:space="preserve"> </v>
      </c>
    </row>
    <row r="2460" spans="1:5" ht="12.5">
      <c r="A2460" s="81" t="str">
        <f t="shared" si="0"/>
        <v xml:space="preserve"> </v>
      </c>
      <c r="B2460" s="81" t="str">
        <f t="shared" si="1"/>
        <v xml:space="preserve"> </v>
      </c>
      <c r="C2460" s="79" t="str">
        <f t="shared" si="7"/>
        <v xml:space="preserve"> </v>
      </c>
      <c r="D2460" s="79" t="str">
        <f t="shared" si="5"/>
        <v xml:space="preserve"> </v>
      </c>
      <c r="E2460" s="79" t="str">
        <f t="shared" si="6"/>
        <v xml:space="preserve"> </v>
      </c>
    </row>
    <row r="2461" spans="1:5" ht="12.5">
      <c r="A2461" s="81" t="str">
        <f t="shared" si="0"/>
        <v xml:space="preserve"> </v>
      </c>
      <c r="B2461" s="81" t="str">
        <f t="shared" si="1"/>
        <v xml:space="preserve"> </v>
      </c>
      <c r="C2461" s="79" t="str">
        <f t="shared" si="7"/>
        <v xml:space="preserve"> </v>
      </c>
      <c r="D2461" s="79" t="str">
        <f t="shared" si="5"/>
        <v xml:space="preserve"> </v>
      </c>
      <c r="E2461" s="79" t="str">
        <f t="shared" si="6"/>
        <v xml:space="preserve"> </v>
      </c>
    </row>
    <row r="2462" spans="1:5" ht="12.5">
      <c r="A2462" s="81" t="str">
        <f t="shared" si="0"/>
        <v xml:space="preserve"> </v>
      </c>
      <c r="B2462" s="81" t="str">
        <f t="shared" si="1"/>
        <v xml:space="preserve"> </v>
      </c>
      <c r="C2462" s="79" t="str">
        <f t="shared" si="7"/>
        <v xml:space="preserve"> </v>
      </c>
      <c r="D2462" s="79" t="str">
        <f t="shared" si="5"/>
        <v xml:space="preserve"> </v>
      </c>
      <c r="E2462" s="79" t="str">
        <f t="shared" si="6"/>
        <v xml:space="preserve"> </v>
      </c>
    </row>
    <row r="2463" spans="1:5" ht="12.5">
      <c r="A2463" s="81" t="str">
        <f t="shared" si="0"/>
        <v xml:space="preserve"> </v>
      </c>
      <c r="B2463" s="81" t="str">
        <f t="shared" si="1"/>
        <v xml:space="preserve"> </v>
      </c>
      <c r="C2463" s="79" t="str">
        <f t="shared" si="7"/>
        <v xml:space="preserve"> </v>
      </c>
      <c r="D2463" s="79" t="str">
        <f t="shared" si="5"/>
        <v xml:space="preserve"> </v>
      </c>
      <c r="E2463" s="79" t="str">
        <f t="shared" si="6"/>
        <v xml:space="preserve"> </v>
      </c>
    </row>
    <row r="2464" spans="1:5" ht="12.5">
      <c r="A2464" s="81" t="str">
        <f t="shared" si="0"/>
        <v xml:space="preserve"> </v>
      </c>
      <c r="B2464" s="81" t="str">
        <f t="shared" si="1"/>
        <v xml:space="preserve"> </v>
      </c>
      <c r="C2464" s="79" t="str">
        <f t="shared" si="7"/>
        <v xml:space="preserve"> </v>
      </c>
      <c r="D2464" s="79" t="str">
        <f t="shared" si="5"/>
        <v xml:space="preserve"> </v>
      </c>
      <c r="E2464" s="79" t="str">
        <f t="shared" si="6"/>
        <v xml:space="preserve"> </v>
      </c>
    </row>
    <row r="2465" spans="1:5" ht="12.5">
      <c r="A2465" s="81" t="str">
        <f t="shared" si="0"/>
        <v xml:space="preserve"> </v>
      </c>
      <c r="B2465" s="81" t="str">
        <f t="shared" si="1"/>
        <v xml:space="preserve"> </v>
      </c>
      <c r="C2465" s="79" t="str">
        <f t="shared" si="7"/>
        <v xml:space="preserve"> </v>
      </c>
      <c r="D2465" s="79" t="str">
        <f t="shared" si="5"/>
        <v xml:space="preserve"> </v>
      </c>
      <c r="E2465" s="79" t="str">
        <f t="shared" si="6"/>
        <v xml:space="preserve"> </v>
      </c>
    </row>
    <row r="2466" spans="1:5" ht="12.5">
      <c r="A2466" s="81" t="str">
        <f t="shared" si="0"/>
        <v xml:space="preserve"> </v>
      </c>
      <c r="B2466" s="81" t="str">
        <f t="shared" si="1"/>
        <v xml:space="preserve"> </v>
      </c>
      <c r="C2466" s="79" t="str">
        <f t="shared" si="7"/>
        <v xml:space="preserve"> </v>
      </c>
      <c r="D2466" s="79" t="str">
        <f t="shared" si="5"/>
        <v xml:space="preserve"> </v>
      </c>
      <c r="E2466" s="79" t="str">
        <f t="shared" si="6"/>
        <v xml:space="preserve"> </v>
      </c>
    </row>
    <row r="2467" spans="1:5" ht="12.5">
      <c r="A2467" s="81" t="str">
        <f t="shared" si="0"/>
        <v xml:space="preserve"> </v>
      </c>
      <c r="B2467" s="81" t="str">
        <f t="shared" si="1"/>
        <v xml:space="preserve"> </v>
      </c>
      <c r="C2467" s="79" t="str">
        <f t="shared" si="7"/>
        <v xml:space="preserve"> </v>
      </c>
      <c r="D2467" s="79" t="str">
        <f t="shared" si="5"/>
        <v xml:space="preserve"> </v>
      </c>
      <c r="E2467" s="79" t="str">
        <f t="shared" si="6"/>
        <v xml:space="preserve"> </v>
      </c>
    </row>
    <row r="2468" spans="1:5" ht="12.5">
      <c r="A2468" s="81" t="str">
        <f t="shared" si="0"/>
        <v xml:space="preserve"> </v>
      </c>
      <c r="B2468" s="81" t="str">
        <f t="shared" si="1"/>
        <v xml:space="preserve"> </v>
      </c>
      <c r="C2468" s="79" t="str">
        <f t="shared" si="7"/>
        <v xml:space="preserve"> </v>
      </c>
      <c r="D2468" s="79" t="str">
        <f t="shared" si="5"/>
        <v xml:space="preserve"> </v>
      </c>
      <c r="E2468" s="79" t="str">
        <f t="shared" si="6"/>
        <v xml:space="preserve"> </v>
      </c>
    </row>
    <row r="2469" spans="1:5" ht="12.5">
      <c r="A2469" s="81" t="str">
        <f t="shared" si="0"/>
        <v xml:space="preserve"> </v>
      </c>
      <c r="B2469" s="81" t="str">
        <f t="shared" si="1"/>
        <v xml:space="preserve"> </v>
      </c>
      <c r="C2469" s="79" t="str">
        <f t="shared" si="7"/>
        <v xml:space="preserve"> </v>
      </c>
      <c r="D2469" s="79" t="str">
        <f t="shared" si="5"/>
        <v xml:space="preserve"> </v>
      </c>
      <c r="E2469" s="79" t="str">
        <f t="shared" si="6"/>
        <v xml:space="preserve"> </v>
      </c>
    </row>
    <row r="2470" spans="1:5" ht="12.5">
      <c r="A2470" s="81" t="str">
        <f t="shared" si="0"/>
        <v xml:space="preserve"> </v>
      </c>
      <c r="B2470" s="81" t="str">
        <f t="shared" si="1"/>
        <v xml:space="preserve"> </v>
      </c>
      <c r="C2470" s="79" t="str">
        <f t="shared" si="7"/>
        <v xml:space="preserve"> </v>
      </c>
      <c r="D2470" s="79" t="str">
        <f t="shared" si="5"/>
        <v xml:space="preserve"> </v>
      </c>
      <c r="E2470" s="79" t="str">
        <f t="shared" si="6"/>
        <v xml:space="preserve"> </v>
      </c>
    </row>
    <row r="2471" spans="1:5" ht="12.5">
      <c r="A2471" s="81" t="str">
        <f t="shared" si="0"/>
        <v xml:space="preserve"> </v>
      </c>
      <c r="B2471" s="81" t="str">
        <f t="shared" si="1"/>
        <v xml:space="preserve"> </v>
      </c>
      <c r="C2471" s="79" t="str">
        <f t="shared" si="7"/>
        <v xml:space="preserve"> </v>
      </c>
      <c r="D2471" s="79" t="str">
        <f t="shared" si="5"/>
        <v xml:space="preserve"> </v>
      </c>
      <c r="E2471" s="79" t="str">
        <f t="shared" si="6"/>
        <v xml:space="preserve"> </v>
      </c>
    </row>
    <row r="2472" spans="1:5" ht="12.5">
      <c r="A2472" s="81" t="str">
        <f t="shared" si="0"/>
        <v xml:space="preserve"> </v>
      </c>
      <c r="B2472" s="81" t="str">
        <f t="shared" si="1"/>
        <v xml:space="preserve"> </v>
      </c>
      <c r="C2472" s="79" t="str">
        <f t="shared" si="7"/>
        <v xml:space="preserve"> </v>
      </c>
      <c r="D2472" s="79" t="str">
        <f t="shared" si="5"/>
        <v xml:space="preserve"> </v>
      </c>
      <c r="E2472" s="79" t="str">
        <f t="shared" si="6"/>
        <v xml:space="preserve"> </v>
      </c>
    </row>
    <row r="2473" spans="1:5" ht="12.5">
      <c r="A2473" s="81" t="str">
        <f t="shared" si="0"/>
        <v xml:space="preserve"> </v>
      </c>
      <c r="B2473" s="81" t="str">
        <f t="shared" si="1"/>
        <v xml:space="preserve"> </v>
      </c>
      <c r="C2473" s="79" t="str">
        <f t="shared" si="7"/>
        <v xml:space="preserve"> </v>
      </c>
      <c r="D2473" s="79" t="str">
        <f t="shared" si="5"/>
        <v xml:space="preserve"> </v>
      </c>
      <c r="E2473" s="79" t="str">
        <f t="shared" si="6"/>
        <v xml:space="preserve"> </v>
      </c>
    </row>
    <row r="2474" spans="1:5" ht="12.5">
      <c r="A2474" s="81" t="str">
        <f t="shared" si="0"/>
        <v xml:space="preserve"> </v>
      </c>
      <c r="B2474" s="81" t="str">
        <f t="shared" si="1"/>
        <v xml:space="preserve"> </v>
      </c>
      <c r="C2474" s="79" t="str">
        <f t="shared" si="7"/>
        <v xml:space="preserve"> </v>
      </c>
      <c r="D2474" s="79" t="str">
        <f t="shared" si="5"/>
        <v xml:space="preserve"> </v>
      </c>
      <c r="E2474" s="79" t="str">
        <f t="shared" si="6"/>
        <v xml:space="preserve"> </v>
      </c>
    </row>
    <row r="2475" spans="1:5" ht="12.5">
      <c r="A2475" s="81" t="str">
        <f t="shared" si="0"/>
        <v xml:space="preserve"> </v>
      </c>
      <c r="B2475" s="81" t="str">
        <f t="shared" si="1"/>
        <v xml:space="preserve"> </v>
      </c>
      <c r="C2475" s="79" t="str">
        <f t="shared" si="7"/>
        <v xml:space="preserve"> </v>
      </c>
      <c r="D2475" s="79" t="str">
        <f t="shared" si="5"/>
        <v xml:space="preserve"> </v>
      </c>
      <c r="E2475" s="79" t="str">
        <f t="shared" si="6"/>
        <v xml:space="preserve"> </v>
      </c>
    </row>
    <row r="2476" spans="1:5" ht="12.5">
      <c r="A2476" s="81" t="str">
        <f t="shared" si="0"/>
        <v xml:space="preserve"> </v>
      </c>
      <c r="B2476" s="81" t="str">
        <f t="shared" si="1"/>
        <v xml:space="preserve"> </v>
      </c>
      <c r="C2476" s="79" t="str">
        <f t="shared" si="7"/>
        <v xml:space="preserve"> </v>
      </c>
      <c r="D2476" s="79" t="str">
        <f t="shared" si="5"/>
        <v xml:space="preserve"> </v>
      </c>
      <c r="E2476" s="79" t="str">
        <f t="shared" si="6"/>
        <v xml:space="preserve"> </v>
      </c>
    </row>
    <row r="2477" spans="1:5" ht="12.5">
      <c r="A2477" s="81" t="str">
        <f t="shared" si="0"/>
        <v xml:space="preserve"> </v>
      </c>
      <c r="B2477" s="81" t="str">
        <f t="shared" si="1"/>
        <v xml:space="preserve"> </v>
      </c>
      <c r="C2477" s="79" t="str">
        <f t="shared" si="7"/>
        <v xml:space="preserve"> </v>
      </c>
      <c r="D2477" s="79" t="str">
        <f t="shared" si="5"/>
        <v xml:space="preserve"> </v>
      </c>
      <c r="E2477" s="79" t="str">
        <f t="shared" si="6"/>
        <v xml:space="preserve"> </v>
      </c>
    </row>
    <row r="2478" spans="1:5" ht="12.5">
      <c r="A2478" s="81" t="str">
        <f t="shared" si="0"/>
        <v xml:space="preserve"> </v>
      </c>
      <c r="B2478" s="81" t="str">
        <f t="shared" si="1"/>
        <v xml:space="preserve"> </v>
      </c>
      <c r="C2478" s="79" t="str">
        <f t="shared" si="7"/>
        <v xml:space="preserve"> </v>
      </c>
      <c r="D2478" s="79" t="str">
        <f t="shared" si="5"/>
        <v xml:space="preserve"> </v>
      </c>
      <c r="E2478" s="79" t="str">
        <f t="shared" si="6"/>
        <v xml:space="preserve"> </v>
      </c>
    </row>
    <row r="2479" spans="1:5" ht="12.5">
      <c r="A2479" s="81" t="str">
        <f t="shared" si="0"/>
        <v xml:space="preserve"> </v>
      </c>
      <c r="B2479" s="81" t="str">
        <f t="shared" si="1"/>
        <v xml:space="preserve"> </v>
      </c>
      <c r="C2479" s="79" t="str">
        <f t="shared" si="7"/>
        <v xml:space="preserve"> </v>
      </c>
      <c r="D2479" s="79" t="str">
        <f t="shared" si="5"/>
        <v xml:space="preserve"> </v>
      </c>
      <c r="E2479" s="79" t="str">
        <f t="shared" si="6"/>
        <v xml:space="preserve"> </v>
      </c>
    </row>
    <row r="2480" spans="1:5" ht="12.5">
      <c r="A2480" s="81" t="str">
        <f t="shared" si="0"/>
        <v xml:space="preserve"> </v>
      </c>
      <c r="B2480" s="81" t="str">
        <f t="shared" si="1"/>
        <v xml:space="preserve"> </v>
      </c>
      <c r="C2480" s="79" t="str">
        <f t="shared" si="7"/>
        <v xml:space="preserve"> </v>
      </c>
      <c r="D2480" s="79" t="str">
        <f t="shared" si="5"/>
        <v xml:space="preserve"> </v>
      </c>
      <c r="E2480" s="79" t="str">
        <f t="shared" si="6"/>
        <v xml:space="preserve"> </v>
      </c>
    </row>
    <row r="2481" spans="1:5" ht="12.5">
      <c r="A2481" s="81" t="str">
        <f t="shared" si="0"/>
        <v xml:space="preserve"> </v>
      </c>
      <c r="B2481" s="81" t="str">
        <f t="shared" si="1"/>
        <v xml:space="preserve"> </v>
      </c>
      <c r="C2481" s="79" t="str">
        <f t="shared" si="7"/>
        <v xml:space="preserve"> </v>
      </c>
      <c r="D2481" s="79" t="str">
        <f t="shared" si="5"/>
        <v xml:space="preserve"> </v>
      </c>
      <c r="E2481" s="79" t="str">
        <f t="shared" si="6"/>
        <v xml:space="preserve"> </v>
      </c>
    </row>
    <row r="2482" spans="1:5" ht="12.5">
      <c r="A2482" s="81" t="str">
        <f t="shared" si="0"/>
        <v xml:space="preserve"> </v>
      </c>
      <c r="B2482" s="81" t="str">
        <f t="shared" si="1"/>
        <v xml:space="preserve"> </v>
      </c>
      <c r="C2482" s="79" t="str">
        <f t="shared" si="7"/>
        <v xml:space="preserve"> </v>
      </c>
      <c r="D2482" s="79" t="str">
        <f t="shared" si="5"/>
        <v xml:space="preserve"> </v>
      </c>
      <c r="E2482" s="79" t="str">
        <f t="shared" si="6"/>
        <v xml:space="preserve"> </v>
      </c>
    </row>
    <row r="2483" spans="1:5" ht="12.5">
      <c r="A2483" s="81" t="str">
        <f t="shared" si="0"/>
        <v xml:space="preserve"> </v>
      </c>
      <c r="B2483" s="81" t="str">
        <f t="shared" si="1"/>
        <v xml:space="preserve"> </v>
      </c>
      <c r="C2483" s="79" t="str">
        <f t="shared" si="7"/>
        <v xml:space="preserve"> </v>
      </c>
      <c r="D2483" s="79" t="str">
        <f t="shared" si="5"/>
        <v xml:space="preserve"> </v>
      </c>
      <c r="E2483" s="79" t="str">
        <f t="shared" si="6"/>
        <v xml:space="preserve"> </v>
      </c>
    </row>
    <row r="2484" spans="1:5" ht="12.5">
      <c r="A2484" s="81" t="str">
        <f t="shared" si="0"/>
        <v xml:space="preserve"> </v>
      </c>
      <c r="B2484" s="81" t="str">
        <f t="shared" si="1"/>
        <v xml:space="preserve"> </v>
      </c>
      <c r="C2484" s="79" t="str">
        <f t="shared" si="7"/>
        <v xml:space="preserve"> </v>
      </c>
      <c r="D2484" s="79" t="str">
        <f t="shared" si="5"/>
        <v xml:space="preserve"> </v>
      </c>
      <c r="E2484" s="79" t="str">
        <f t="shared" si="6"/>
        <v xml:space="preserve"> </v>
      </c>
    </row>
    <row r="2485" spans="1:5" ht="12.5">
      <c r="A2485" s="81" t="str">
        <f t="shared" si="0"/>
        <v xml:space="preserve"> </v>
      </c>
      <c r="B2485" s="81" t="str">
        <f t="shared" si="1"/>
        <v xml:space="preserve"> </v>
      </c>
      <c r="C2485" s="79" t="str">
        <f t="shared" si="7"/>
        <v xml:space="preserve"> </v>
      </c>
      <c r="D2485" s="79" t="str">
        <f t="shared" si="5"/>
        <v xml:space="preserve"> </v>
      </c>
      <c r="E2485" s="79" t="str">
        <f t="shared" si="6"/>
        <v xml:space="preserve"> </v>
      </c>
    </row>
    <row r="2486" spans="1:5" ht="12.5">
      <c r="A2486" s="81" t="str">
        <f t="shared" si="0"/>
        <v xml:space="preserve"> </v>
      </c>
      <c r="B2486" s="81" t="str">
        <f t="shared" si="1"/>
        <v xml:space="preserve"> </v>
      </c>
      <c r="C2486" s="79" t="str">
        <f t="shared" si="7"/>
        <v xml:space="preserve"> </v>
      </c>
      <c r="D2486" s="79" t="str">
        <f t="shared" si="5"/>
        <v xml:space="preserve"> </v>
      </c>
      <c r="E2486" s="79" t="str">
        <f t="shared" si="6"/>
        <v xml:space="preserve"> </v>
      </c>
    </row>
    <row r="2487" spans="1:5" ht="12.5">
      <c r="A2487" s="81" t="str">
        <f t="shared" si="0"/>
        <v xml:space="preserve"> </v>
      </c>
      <c r="B2487" s="81" t="str">
        <f t="shared" si="1"/>
        <v xml:space="preserve"> </v>
      </c>
      <c r="C2487" s="79" t="str">
        <f t="shared" si="7"/>
        <v xml:space="preserve"> </v>
      </c>
      <c r="D2487" s="79" t="str">
        <f t="shared" si="5"/>
        <v xml:space="preserve"> </v>
      </c>
      <c r="E2487" s="79" t="str">
        <f t="shared" si="6"/>
        <v xml:space="preserve"> </v>
      </c>
    </row>
    <row r="2488" spans="1:5" ht="12.5">
      <c r="A2488" s="81" t="str">
        <f t="shared" si="0"/>
        <v xml:space="preserve"> </v>
      </c>
      <c r="B2488" s="81" t="str">
        <f t="shared" si="1"/>
        <v xml:space="preserve"> </v>
      </c>
      <c r="C2488" s="79" t="str">
        <f t="shared" si="7"/>
        <v xml:space="preserve"> </v>
      </c>
      <c r="D2488" s="79" t="str">
        <f t="shared" si="5"/>
        <v xml:space="preserve"> </v>
      </c>
      <c r="E2488" s="79" t="str">
        <f t="shared" si="6"/>
        <v xml:space="preserve"> </v>
      </c>
    </row>
    <row r="2489" spans="1:5" ht="12.5">
      <c r="A2489" s="81" t="str">
        <f t="shared" si="0"/>
        <v xml:space="preserve"> </v>
      </c>
      <c r="B2489" s="81" t="str">
        <f t="shared" si="1"/>
        <v xml:space="preserve"> </v>
      </c>
      <c r="C2489" s="79" t="str">
        <f t="shared" si="7"/>
        <v xml:space="preserve"> </v>
      </c>
      <c r="D2489" s="79" t="str">
        <f t="shared" si="5"/>
        <v xml:space="preserve"> </v>
      </c>
      <c r="E2489" s="79" t="str">
        <f t="shared" si="6"/>
        <v xml:space="preserve"> </v>
      </c>
    </row>
    <row r="2490" spans="1:5" ht="12.5">
      <c r="A2490" s="81" t="str">
        <f t="shared" si="0"/>
        <v xml:space="preserve"> </v>
      </c>
      <c r="B2490" s="81" t="str">
        <f t="shared" si="1"/>
        <v xml:space="preserve"> </v>
      </c>
      <c r="C2490" s="79" t="str">
        <f t="shared" si="7"/>
        <v xml:space="preserve"> </v>
      </c>
      <c r="D2490" s="79" t="str">
        <f t="shared" si="5"/>
        <v xml:space="preserve"> </v>
      </c>
      <c r="E2490" s="79" t="str">
        <f t="shared" si="6"/>
        <v xml:space="preserve"> </v>
      </c>
    </row>
    <row r="2491" spans="1:5" ht="12.5">
      <c r="A2491" s="81" t="str">
        <f t="shared" si="0"/>
        <v xml:space="preserve"> </v>
      </c>
      <c r="B2491" s="81" t="str">
        <f t="shared" si="1"/>
        <v xml:space="preserve"> </v>
      </c>
      <c r="C2491" s="79" t="str">
        <f t="shared" si="7"/>
        <v xml:space="preserve"> </v>
      </c>
      <c r="D2491" s="79" t="str">
        <f t="shared" si="5"/>
        <v xml:space="preserve"> </v>
      </c>
      <c r="E2491" s="79" t="str">
        <f t="shared" si="6"/>
        <v xml:space="preserve"> </v>
      </c>
    </row>
    <row r="2492" spans="1:5" ht="12.5">
      <c r="A2492" s="81" t="str">
        <f t="shared" si="0"/>
        <v xml:space="preserve"> </v>
      </c>
      <c r="B2492" s="81" t="str">
        <f t="shared" si="1"/>
        <v xml:space="preserve"> </v>
      </c>
      <c r="C2492" s="79" t="str">
        <f t="shared" si="7"/>
        <v xml:space="preserve"> </v>
      </c>
      <c r="D2492" s="79" t="str">
        <f t="shared" si="5"/>
        <v xml:space="preserve"> </v>
      </c>
      <c r="E2492" s="79" t="str">
        <f t="shared" si="6"/>
        <v xml:space="preserve"> </v>
      </c>
    </row>
    <row r="2493" spans="1:5" ht="12.5">
      <c r="A2493" s="81" t="str">
        <f t="shared" si="0"/>
        <v xml:space="preserve"> </v>
      </c>
      <c r="B2493" s="81" t="str">
        <f t="shared" si="1"/>
        <v xml:space="preserve"> </v>
      </c>
      <c r="C2493" s="79" t="str">
        <f t="shared" si="7"/>
        <v xml:space="preserve"> </v>
      </c>
      <c r="D2493" s="79" t="str">
        <f t="shared" si="5"/>
        <v xml:space="preserve"> </v>
      </c>
      <c r="E2493" s="79" t="str">
        <f t="shared" si="6"/>
        <v xml:space="preserve"> </v>
      </c>
    </row>
    <row r="2494" spans="1:5" ht="12.5">
      <c r="A2494" s="81" t="str">
        <f t="shared" si="0"/>
        <v xml:space="preserve"> </v>
      </c>
      <c r="B2494" s="81" t="str">
        <f t="shared" si="1"/>
        <v xml:space="preserve"> </v>
      </c>
      <c r="C2494" s="79" t="str">
        <f t="shared" si="7"/>
        <v xml:space="preserve"> </v>
      </c>
      <c r="D2494" s="79" t="str">
        <f t="shared" si="5"/>
        <v xml:space="preserve"> </v>
      </c>
      <c r="E2494" s="79" t="str">
        <f t="shared" si="6"/>
        <v xml:space="preserve"> </v>
      </c>
    </row>
    <row r="2495" spans="1:5" ht="12.5">
      <c r="A2495" s="81" t="str">
        <f t="shared" si="0"/>
        <v xml:space="preserve"> </v>
      </c>
      <c r="B2495" s="81" t="str">
        <f t="shared" si="1"/>
        <v xml:space="preserve"> </v>
      </c>
      <c r="C2495" s="79" t="str">
        <f t="shared" si="7"/>
        <v xml:space="preserve"> </v>
      </c>
      <c r="D2495" s="79" t="str">
        <f t="shared" si="5"/>
        <v xml:space="preserve"> </v>
      </c>
      <c r="E2495" s="79" t="str">
        <f t="shared" si="6"/>
        <v xml:space="preserve"> </v>
      </c>
    </row>
    <row r="2496" spans="1:5" ht="12.5">
      <c r="A2496" s="81" t="str">
        <f t="shared" si="0"/>
        <v xml:space="preserve"> </v>
      </c>
      <c r="B2496" s="81" t="str">
        <f t="shared" si="1"/>
        <v xml:space="preserve"> </v>
      </c>
      <c r="C2496" s="79" t="str">
        <f t="shared" si="7"/>
        <v xml:space="preserve"> </v>
      </c>
      <c r="D2496" s="79" t="str">
        <f t="shared" si="5"/>
        <v xml:space="preserve"> </v>
      </c>
      <c r="E2496" s="79" t="str">
        <f t="shared" si="6"/>
        <v xml:space="preserve"> </v>
      </c>
    </row>
    <row r="2497" spans="1:5" ht="12.5">
      <c r="A2497" s="81" t="str">
        <f t="shared" si="0"/>
        <v xml:space="preserve"> </v>
      </c>
      <c r="B2497" s="81" t="str">
        <f t="shared" si="1"/>
        <v xml:space="preserve"> </v>
      </c>
      <c r="C2497" s="79" t="str">
        <f t="shared" si="7"/>
        <v xml:space="preserve"> </v>
      </c>
      <c r="D2497" s="79" t="str">
        <f t="shared" si="5"/>
        <v xml:space="preserve"> </v>
      </c>
      <c r="E2497" s="79" t="str">
        <f t="shared" si="6"/>
        <v xml:space="preserve"> </v>
      </c>
    </row>
    <row r="2498" spans="1:5" ht="12.5">
      <c r="A2498" s="81" t="str">
        <f t="shared" si="0"/>
        <v xml:space="preserve"> </v>
      </c>
      <c r="B2498" s="81" t="str">
        <f t="shared" si="1"/>
        <v xml:space="preserve"> </v>
      </c>
      <c r="C2498" s="79" t="str">
        <f t="shared" si="7"/>
        <v xml:space="preserve"> </v>
      </c>
      <c r="D2498" s="79" t="str">
        <f t="shared" si="5"/>
        <v xml:space="preserve"> </v>
      </c>
      <c r="E2498" s="79" t="str">
        <f t="shared" si="6"/>
        <v xml:space="preserve"> </v>
      </c>
    </row>
    <row r="2499" spans="1:5" ht="12.5">
      <c r="A2499" s="81" t="str">
        <f t="shared" si="0"/>
        <v xml:space="preserve"> </v>
      </c>
      <c r="B2499" s="81" t="str">
        <f t="shared" si="1"/>
        <v xml:space="preserve"> </v>
      </c>
      <c r="C2499" s="79" t="str">
        <f t="shared" si="7"/>
        <v xml:space="preserve"> </v>
      </c>
      <c r="D2499" s="79" t="str">
        <f t="shared" si="5"/>
        <v xml:space="preserve"> </v>
      </c>
      <c r="E2499" s="79" t="str">
        <f t="shared" si="6"/>
        <v xml:space="preserve"> </v>
      </c>
    </row>
    <row r="2500" spans="1:5" ht="12.5">
      <c r="A2500" s="81" t="str">
        <f t="shared" si="0"/>
        <v xml:space="preserve"> </v>
      </c>
      <c r="B2500" s="81" t="str">
        <f t="shared" si="1"/>
        <v xml:space="preserve"> </v>
      </c>
      <c r="C2500" s="79" t="str">
        <f t="shared" si="7"/>
        <v xml:space="preserve"> </v>
      </c>
      <c r="D2500" s="79" t="str">
        <f t="shared" si="5"/>
        <v xml:space="preserve"> </v>
      </c>
      <c r="E2500" s="79" t="str">
        <f t="shared" si="6"/>
        <v xml:space="preserve"> </v>
      </c>
    </row>
    <row r="2501" spans="1:5" ht="12.5">
      <c r="A2501" s="81" t="str">
        <f t="shared" si="0"/>
        <v xml:space="preserve"> </v>
      </c>
      <c r="B2501" s="81" t="str">
        <f t="shared" si="1"/>
        <v xml:space="preserve"> </v>
      </c>
      <c r="C2501" s="79" t="str">
        <f t="shared" si="7"/>
        <v xml:space="preserve"> </v>
      </c>
      <c r="D2501" s="79" t="str">
        <f t="shared" si="5"/>
        <v xml:space="preserve"> </v>
      </c>
      <c r="E2501" s="79" t="str">
        <f t="shared" si="6"/>
        <v xml:space="preserve"> </v>
      </c>
    </row>
    <row r="2502" spans="1:5" ht="12.5">
      <c r="A2502" s="81" t="str">
        <f t="shared" si="0"/>
        <v xml:space="preserve"> </v>
      </c>
      <c r="B2502" s="81" t="str">
        <f t="shared" si="1"/>
        <v xml:space="preserve"> </v>
      </c>
      <c r="C2502" s="79" t="str">
        <f t="shared" si="7"/>
        <v xml:space="preserve"> </v>
      </c>
      <c r="D2502" s="79" t="str">
        <f t="shared" si="5"/>
        <v xml:space="preserve"> </v>
      </c>
      <c r="E2502" s="79" t="str">
        <f t="shared" si="6"/>
        <v xml:space="preserve"> </v>
      </c>
    </row>
    <row r="2503" spans="1:5" ht="12.5">
      <c r="A2503" s="81" t="str">
        <f t="shared" si="0"/>
        <v xml:space="preserve"> </v>
      </c>
      <c r="B2503" s="81" t="str">
        <f t="shared" si="1"/>
        <v xml:space="preserve"> </v>
      </c>
      <c r="C2503" s="79" t="str">
        <f t="shared" si="7"/>
        <v xml:space="preserve"> </v>
      </c>
      <c r="D2503" s="79" t="str">
        <f t="shared" si="5"/>
        <v xml:space="preserve"> </v>
      </c>
      <c r="E2503" s="79" t="str">
        <f t="shared" si="6"/>
        <v xml:space="preserve"> </v>
      </c>
    </row>
    <row r="2504" spans="1:5" ht="12.5">
      <c r="A2504" s="81" t="str">
        <f t="shared" si="0"/>
        <v xml:space="preserve"> </v>
      </c>
      <c r="B2504" s="81" t="str">
        <f t="shared" si="1"/>
        <v xml:space="preserve"> </v>
      </c>
      <c r="C2504" s="79" t="str">
        <f t="shared" si="7"/>
        <v xml:space="preserve"> </v>
      </c>
      <c r="D2504" s="79" t="str">
        <f t="shared" si="5"/>
        <v xml:space="preserve"> </v>
      </c>
      <c r="E2504" s="79" t="str">
        <f t="shared" si="6"/>
        <v xml:space="preserve"> </v>
      </c>
    </row>
    <row r="2505" spans="1:5" ht="12.5">
      <c r="A2505" s="81" t="str">
        <f t="shared" si="0"/>
        <v xml:space="preserve"> </v>
      </c>
      <c r="B2505" s="81" t="str">
        <f t="shared" si="1"/>
        <v xml:space="preserve"> </v>
      </c>
      <c r="C2505" s="79" t="str">
        <f t="shared" si="7"/>
        <v xml:space="preserve"> </v>
      </c>
      <c r="D2505" s="79" t="str">
        <f t="shared" si="5"/>
        <v xml:space="preserve"> </v>
      </c>
      <c r="E2505" s="79" t="str">
        <f t="shared" si="6"/>
        <v xml:space="preserve"> </v>
      </c>
    </row>
    <row r="2506" spans="1:5" ht="12.5">
      <c r="A2506" s="81" t="str">
        <f t="shared" si="0"/>
        <v xml:space="preserve"> </v>
      </c>
      <c r="B2506" s="81" t="str">
        <f t="shared" si="1"/>
        <v xml:space="preserve"> </v>
      </c>
      <c r="C2506" s="79" t="str">
        <f t="shared" si="7"/>
        <v xml:space="preserve"> </v>
      </c>
      <c r="D2506" s="79" t="str">
        <f t="shared" si="5"/>
        <v xml:space="preserve"> </v>
      </c>
      <c r="E2506" s="79" t="str">
        <f t="shared" si="6"/>
        <v xml:space="preserve"> </v>
      </c>
    </row>
    <row r="2507" spans="1:5" ht="12.5">
      <c r="A2507" s="81" t="str">
        <f t="shared" si="0"/>
        <v xml:space="preserve"> </v>
      </c>
      <c r="B2507" s="81" t="str">
        <f t="shared" si="1"/>
        <v xml:space="preserve"> </v>
      </c>
      <c r="C2507" s="79" t="str">
        <f t="shared" si="7"/>
        <v xml:space="preserve"> </v>
      </c>
      <c r="D2507" s="79" t="str">
        <f t="shared" si="5"/>
        <v xml:space="preserve"> </v>
      </c>
      <c r="E2507" s="79" t="str">
        <f t="shared" si="6"/>
        <v xml:space="preserve"> </v>
      </c>
    </row>
    <row r="2508" spans="1:5" ht="12.5">
      <c r="A2508" s="81" t="str">
        <f t="shared" si="0"/>
        <v xml:space="preserve"> </v>
      </c>
      <c r="B2508" s="81" t="str">
        <f t="shared" si="1"/>
        <v xml:space="preserve"> </v>
      </c>
      <c r="C2508" s="79" t="str">
        <f t="shared" si="7"/>
        <v xml:space="preserve"> </v>
      </c>
      <c r="D2508" s="79" t="str">
        <f t="shared" si="5"/>
        <v xml:space="preserve"> </v>
      </c>
      <c r="E2508" s="79" t="str">
        <f t="shared" si="6"/>
        <v xml:space="preserve"> </v>
      </c>
    </row>
    <row r="2509" spans="1:5" ht="12.5">
      <c r="A2509" s="81" t="str">
        <f t="shared" si="0"/>
        <v xml:space="preserve"> </v>
      </c>
      <c r="B2509" s="81" t="str">
        <f t="shared" si="1"/>
        <v xml:space="preserve"> </v>
      </c>
      <c r="C2509" s="79" t="str">
        <f t="shared" si="7"/>
        <v xml:space="preserve"> </v>
      </c>
      <c r="D2509" s="79" t="str">
        <f t="shared" si="5"/>
        <v xml:space="preserve"> </v>
      </c>
      <c r="E2509" s="79" t="str">
        <f t="shared" si="6"/>
        <v xml:space="preserve"> </v>
      </c>
    </row>
    <row r="2510" spans="1:5" ht="12.5">
      <c r="A2510" s="81" t="str">
        <f t="shared" si="0"/>
        <v xml:space="preserve"> </v>
      </c>
      <c r="B2510" s="81" t="str">
        <f t="shared" si="1"/>
        <v xml:space="preserve"> </v>
      </c>
      <c r="C2510" s="79" t="str">
        <f t="shared" si="7"/>
        <v xml:space="preserve"> </v>
      </c>
      <c r="D2510" s="79" t="str">
        <f t="shared" si="5"/>
        <v xml:space="preserve"> </v>
      </c>
      <c r="E2510" s="79" t="str">
        <f t="shared" si="6"/>
        <v xml:space="preserve"> </v>
      </c>
    </row>
    <row r="2511" spans="1:5" ht="12.5">
      <c r="A2511" s="81" t="str">
        <f t="shared" si="0"/>
        <v xml:space="preserve"> </v>
      </c>
      <c r="B2511" s="81" t="str">
        <f t="shared" si="1"/>
        <v xml:space="preserve"> </v>
      </c>
      <c r="C2511" s="79" t="str">
        <f t="shared" si="7"/>
        <v xml:space="preserve"> </v>
      </c>
      <c r="D2511" s="79" t="str">
        <f t="shared" si="5"/>
        <v xml:space="preserve"> </v>
      </c>
      <c r="E2511" s="79" t="str">
        <f t="shared" si="6"/>
        <v xml:space="preserve"> </v>
      </c>
    </row>
    <row r="2512" spans="1:5" ht="12.5">
      <c r="A2512" s="81" t="str">
        <f t="shared" si="0"/>
        <v xml:space="preserve"> </v>
      </c>
      <c r="B2512" s="81" t="str">
        <f t="shared" si="1"/>
        <v xml:space="preserve"> </v>
      </c>
      <c r="C2512" s="79" t="str">
        <f t="shared" si="7"/>
        <v xml:space="preserve"> </v>
      </c>
      <c r="D2512" s="79" t="str">
        <f t="shared" si="5"/>
        <v xml:space="preserve"> </v>
      </c>
      <c r="E2512" s="79" t="str">
        <f t="shared" si="6"/>
        <v xml:space="preserve"> </v>
      </c>
    </row>
    <row r="2513" spans="1:5" ht="12.5">
      <c r="A2513" s="81" t="str">
        <f t="shared" si="0"/>
        <v xml:space="preserve"> </v>
      </c>
      <c r="B2513" s="81" t="str">
        <f t="shared" si="1"/>
        <v xml:space="preserve"> </v>
      </c>
      <c r="C2513" s="79" t="str">
        <f t="shared" si="7"/>
        <v xml:space="preserve"> </v>
      </c>
      <c r="D2513" s="79" t="str">
        <f t="shared" si="5"/>
        <v xml:space="preserve"> </v>
      </c>
      <c r="E2513" s="79" t="str">
        <f t="shared" si="6"/>
        <v xml:space="preserve"> </v>
      </c>
    </row>
    <row r="2514" spans="1:5" ht="12.5">
      <c r="A2514" s="81" t="str">
        <f t="shared" si="0"/>
        <v xml:space="preserve"> </v>
      </c>
      <c r="B2514" s="81" t="str">
        <f t="shared" si="1"/>
        <v xml:space="preserve"> </v>
      </c>
      <c r="C2514" s="79" t="str">
        <f t="shared" si="7"/>
        <v xml:space="preserve"> </v>
      </c>
      <c r="D2514" s="79" t="str">
        <f t="shared" si="5"/>
        <v xml:space="preserve"> </v>
      </c>
      <c r="E2514" s="79" t="str">
        <f t="shared" si="6"/>
        <v xml:space="preserve"> </v>
      </c>
    </row>
    <row r="2515" spans="1:5" ht="12.5">
      <c r="A2515" s="81" t="str">
        <f t="shared" si="0"/>
        <v xml:space="preserve"> </v>
      </c>
      <c r="B2515" s="81" t="str">
        <f t="shared" si="1"/>
        <v xml:space="preserve"> </v>
      </c>
      <c r="C2515" s="79" t="str">
        <f t="shared" si="7"/>
        <v xml:space="preserve"> </v>
      </c>
      <c r="D2515" s="79" t="str">
        <f t="shared" si="5"/>
        <v xml:space="preserve"> </v>
      </c>
      <c r="E2515" s="79" t="str">
        <f t="shared" si="6"/>
        <v xml:space="preserve"> </v>
      </c>
    </row>
    <row r="2516" spans="1:5" ht="12.5">
      <c r="A2516" s="81" t="str">
        <f t="shared" si="0"/>
        <v xml:space="preserve"> </v>
      </c>
      <c r="B2516" s="81" t="str">
        <f t="shared" si="1"/>
        <v xml:space="preserve"> </v>
      </c>
      <c r="C2516" s="79" t="str">
        <f t="shared" si="7"/>
        <v xml:space="preserve"> </v>
      </c>
      <c r="D2516" s="79" t="str">
        <f t="shared" si="5"/>
        <v xml:space="preserve"> </v>
      </c>
      <c r="E2516" s="79" t="str">
        <f t="shared" si="6"/>
        <v xml:space="preserve"> </v>
      </c>
    </row>
    <row r="2517" spans="1:5" ht="12.5">
      <c r="A2517" s="81" t="str">
        <f t="shared" si="0"/>
        <v xml:space="preserve"> </v>
      </c>
      <c r="B2517" s="81" t="str">
        <f t="shared" si="1"/>
        <v xml:space="preserve"> </v>
      </c>
      <c r="C2517" s="79" t="str">
        <f t="shared" si="7"/>
        <v xml:space="preserve"> </v>
      </c>
      <c r="D2517" s="79" t="str">
        <f t="shared" si="5"/>
        <v xml:space="preserve"> </v>
      </c>
      <c r="E2517" s="79" t="str">
        <f t="shared" si="6"/>
        <v xml:space="preserve"> </v>
      </c>
    </row>
    <row r="2518" spans="1:5" ht="12.5">
      <c r="A2518" s="81" t="str">
        <f t="shared" si="0"/>
        <v xml:space="preserve"> </v>
      </c>
      <c r="B2518" s="81" t="str">
        <f t="shared" si="1"/>
        <v xml:space="preserve"> </v>
      </c>
      <c r="C2518" s="79" t="str">
        <f t="shared" si="7"/>
        <v xml:space="preserve"> </v>
      </c>
      <c r="D2518" s="79" t="str">
        <f t="shared" si="5"/>
        <v xml:space="preserve"> </v>
      </c>
      <c r="E2518" s="79" t="str">
        <f t="shared" si="6"/>
        <v xml:space="preserve"> </v>
      </c>
    </row>
    <row r="2519" spans="1:5" ht="12.5">
      <c r="A2519" s="81" t="str">
        <f t="shared" si="0"/>
        <v xml:space="preserve"> </v>
      </c>
      <c r="B2519" s="81" t="str">
        <f t="shared" si="1"/>
        <v xml:space="preserve"> </v>
      </c>
      <c r="C2519" s="79" t="str">
        <f t="shared" si="7"/>
        <v xml:space="preserve"> </v>
      </c>
      <c r="D2519" s="79" t="str">
        <f t="shared" si="5"/>
        <v xml:space="preserve"> </v>
      </c>
      <c r="E2519" s="79" t="str">
        <f t="shared" si="6"/>
        <v xml:space="preserve"> </v>
      </c>
    </row>
    <row r="2520" spans="1:5" ht="12.5">
      <c r="A2520" s="81" t="str">
        <f t="shared" si="0"/>
        <v xml:space="preserve"> </v>
      </c>
      <c r="B2520" s="81" t="str">
        <f t="shared" si="1"/>
        <v xml:space="preserve"> </v>
      </c>
      <c r="C2520" s="79" t="str">
        <f t="shared" si="7"/>
        <v xml:space="preserve"> </v>
      </c>
      <c r="D2520" s="79" t="str">
        <f t="shared" si="5"/>
        <v xml:space="preserve"> </v>
      </c>
      <c r="E2520" s="79" t="str">
        <f t="shared" si="6"/>
        <v xml:space="preserve"> </v>
      </c>
    </row>
    <row r="2521" spans="1:5" ht="12.5">
      <c r="A2521" s="81" t="str">
        <f t="shared" si="0"/>
        <v xml:space="preserve"> </v>
      </c>
      <c r="B2521" s="81" t="str">
        <f t="shared" si="1"/>
        <v xml:space="preserve"> </v>
      </c>
      <c r="C2521" s="79" t="str">
        <f t="shared" si="7"/>
        <v xml:space="preserve"> </v>
      </c>
      <c r="D2521" s="79" t="str">
        <f t="shared" si="5"/>
        <v xml:space="preserve"> </v>
      </c>
      <c r="E2521" s="79" t="str">
        <f t="shared" si="6"/>
        <v xml:space="preserve"> </v>
      </c>
    </row>
    <row r="2522" spans="1:5" ht="12.5">
      <c r="A2522" s="81" t="str">
        <f t="shared" si="0"/>
        <v xml:space="preserve"> </v>
      </c>
      <c r="B2522" s="81" t="str">
        <f t="shared" si="1"/>
        <v xml:space="preserve"> </v>
      </c>
      <c r="C2522" s="79" t="str">
        <f t="shared" si="7"/>
        <v xml:space="preserve"> </v>
      </c>
      <c r="D2522" s="79" t="str">
        <f t="shared" si="5"/>
        <v xml:space="preserve"> </v>
      </c>
      <c r="E2522" s="79" t="str">
        <f t="shared" si="6"/>
        <v xml:space="preserve"> </v>
      </c>
    </row>
    <row r="2523" spans="1:5" ht="12.5">
      <c r="A2523" s="81" t="str">
        <f t="shared" si="0"/>
        <v xml:space="preserve"> </v>
      </c>
      <c r="B2523" s="81" t="str">
        <f t="shared" si="1"/>
        <v xml:space="preserve"> </v>
      </c>
      <c r="C2523" s="79" t="str">
        <f t="shared" si="7"/>
        <v xml:space="preserve"> </v>
      </c>
      <c r="D2523" s="79" t="str">
        <f t="shared" si="5"/>
        <v xml:space="preserve"> </v>
      </c>
      <c r="E2523" s="79" t="str">
        <f t="shared" si="6"/>
        <v xml:space="preserve"> </v>
      </c>
    </row>
    <row r="2524" spans="1:5" ht="12.5">
      <c r="A2524" s="81" t="str">
        <f t="shared" si="0"/>
        <v xml:space="preserve"> </v>
      </c>
      <c r="B2524" s="81" t="str">
        <f t="shared" si="1"/>
        <v xml:space="preserve"> </v>
      </c>
      <c r="C2524" s="79" t="str">
        <f t="shared" si="7"/>
        <v xml:space="preserve"> </v>
      </c>
      <c r="D2524" s="79" t="str">
        <f t="shared" si="5"/>
        <v xml:space="preserve"> </v>
      </c>
      <c r="E2524" s="79" t="str">
        <f t="shared" si="6"/>
        <v xml:space="preserve"> </v>
      </c>
    </row>
    <row r="2525" spans="1:5" ht="12.5">
      <c r="A2525" s="81" t="str">
        <f t="shared" si="0"/>
        <v xml:space="preserve"> </v>
      </c>
      <c r="B2525" s="81" t="str">
        <f t="shared" si="1"/>
        <v xml:space="preserve"> </v>
      </c>
      <c r="C2525" s="79" t="str">
        <f t="shared" si="7"/>
        <v xml:space="preserve"> </v>
      </c>
      <c r="D2525" s="79" t="str">
        <f t="shared" si="5"/>
        <v xml:space="preserve"> </v>
      </c>
      <c r="E2525" s="79" t="str">
        <f t="shared" si="6"/>
        <v xml:space="preserve"> </v>
      </c>
    </row>
    <row r="2526" spans="1:5" ht="12.5">
      <c r="A2526" s="81" t="str">
        <f t="shared" si="0"/>
        <v xml:space="preserve"> </v>
      </c>
      <c r="B2526" s="81" t="str">
        <f t="shared" si="1"/>
        <v xml:space="preserve"> </v>
      </c>
      <c r="C2526" s="79" t="str">
        <f t="shared" si="7"/>
        <v xml:space="preserve"> </v>
      </c>
      <c r="D2526" s="79" t="str">
        <f t="shared" si="5"/>
        <v xml:space="preserve"> </v>
      </c>
      <c r="E2526" s="79" t="str">
        <f t="shared" si="6"/>
        <v xml:space="preserve"> </v>
      </c>
    </row>
    <row r="2527" spans="1:5" ht="12.5">
      <c r="A2527" s="81" t="str">
        <f t="shared" si="0"/>
        <v xml:space="preserve"> </v>
      </c>
      <c r="B2527" s="81" t="str">
        <f t="shared" si="1"/>
        <v xml:space="preserve"> </v>
      </c>
      <c r="C2527" s="79" t="str">
        <f t="shared" si="7"/>
        <v xml:space="preserve"> </v>
      </c>
      <c r="D2527" s="79" t="str">
        <f t="shared" si="5"/>
        <v xml:space="preserve"> </v>
      </c>
      <c r="E2527" s="79" t="str">
        <f t="shared" si="6"/>
        <v xml:space="preserve"> </v>
      </c>
    </row>
    <row r="2528" spans="1:5" ht="12.5">
      <c r="A2528" s="81" t="str">
        <f t="shared" si="0"/>
        <v xml:space="preserve"> </v>
      </c>
      <c r="B2528" s="81" t="str">
        <f t="shared" si="1"/>
        <v xml:space="preserve"> </v>
      </c>
      <c r="C2528" s="79" t="str">
        <f t="shared" si="7"/>
        <v xml:space="preserve"> </v>
      </c>
      <c r="D2528" s="79" t="str">
        <f t="shared" si="5"/>
        <v xml:space="preserve"> </v>
      </c>
      <c r="E2528" s="79" t="str">
        <f t="shared" si="6"/>
        <v xml:space="preserve"> </v>
      </c>
    </row>
    <row r="2529" spans="1:5" ht="12.5">
      <c r="A2529" s="81" t="str">
        <f t="shared" si="0"/>
        <v xml:space="preserve"> </v>
      </c>
      <c r="B2529" s="81" t="str">
        <f t="shared" si="1"/>
        <v xml:space="preserve"> </v>
      </c>
      <c r="C2529" s="79" t="str">
        <f t="shared" si="7"/>
        <v xml:space="preserve"> </v>
      </c>
      <c r="D2529" s="79" t="str">
        <f t="shared" si="5"/>
        <v xml:space="preserve"> </v>
      </c>
      <c r="E2529" s="79" t="str">
        <f t="shared" si="6"/>
        <v xml:space="preserve"> </v>
      </c>
    </row>
    <row r="2530" spans="1:5" ht="12.5">
      <c r="A2530" s="81" t="str">
        <f t="shared" si="0"/>
        <v xml:space="preserve"> </v>
      </c>
      <c r="B2530" s="81" t="str">
        <f t="shared" si="1"/>
        <v xml:space="preserve"> </v>
      </c>
      <c r="C2530" s="79" t="str">
        <f t="shared" si="7"/>
        <v xml:space="preserve"> </v>
      </c>
      <c r="D2530" s="79" t="str">
        <f t="shared" si="5"/>
        <v xml:space="preserve"> </v>
      </c>
      <c r="E2530" s="79" t="str">
        <f t="shared" si="6"/>
        <v xml:space="preserve"> </v>
      </c>
    </row>
    <row r="2531" spans="1:5" ht="12.5">
      <c r="A2531" s="81" t="str">
        <f t="shared" si="0"/>
        <v xml:space="preserve"> </v>
      </c>
      <c r="B2531" s="81" t="str">
        <f t="shared" si="1"/>
        <v xml:space="preserve"> </v>
      </c>
      <c r="C2531" s="79" t="str">
        <f t="shared" si="7"/>
        <v xml:space="preserve"> </v>
      </c>
      <c r="D2531" s="79" t="str">
        <f t="shared" si="5"/>
        <v xml:space="preserve"> </v>
      </c>
      <c r="E2531" s="79" t="str">
        <f t="shared" si="6"/>
        <v xml:space="preserve"> </v>
      </c>
    </row>
    <row r="2532" spans="1:5" ht="12.5">
      <c r="A2532" s="81" t="str">
        <f t="shared" si="0"/>
        <v xml:space="preserve"> </v>
      </c>
      <c r="B2532" s="81" t="str">
        <f t="shared" si="1"/>
        <v xml:space="preserve"> </v>
      </c>
      <c r="C2532" s="79" t="str">
        <f t="shared" si="7"/>
        <v xml:space="preserve"> </v>
      </c>
      <c r="D2532" s="79" t="str">
        <f t="shared" si="5"/>
        <v xml:space="preserve"> </v>
      </c>
      <c r="E2532" s="79" t="str">
        <f t="shared" si="6"/>
        <v xml:space="preserve"> </v>
      </c>
    </row>
    <row r="2533" spans="1:5" ht="12.5">
      <c r="A2533" s="81" t="str">
        <f t="shared" si="0"/>
        <v xml:space="preserve"> </v>
      </c>
      <c r="B2533" s="81" t="str">
        <f t="shared" si="1"/>
        <v xml:space="preserve"> </v>
      </c>
      <c r="C2533" s="79" t="str">
        <f t="shared" si="7"/>
        <v xml:space="preserve"> </v>
      </c>
      <c r="D2533" s="79" t="str">
        <f t="shared" si="5"/>
        <v xml:space="preserve"> </v>
      </c>
      <c r="E2533" s="79" t="str">
        <f t="shared" si="6"/>
        <v xml:space="preserve"> </v>
      </c>
    </row>
    <row r="2534" spans="1:5" ht="12.5">
      <c r="A2534" s="81" t="str">
        <f t="shared" si="0"/>
        <v xml:space="preserve"> </v>
      </c>
      <c r="B2534" s="81" t="str">
        <f t="shared" si="1"/>
        <v xml:space="preserve"> </v>
      </c>
      <c r="C2534" s="79" t="str">
        <f t="shared" si="7"/>
        <v xml:space="preserve"> </v>
      </c>
      <c r="D2534" s="79" t="str">
        <f t="shared" si="5"/>
        <v xml:space="preserve"> </v>
      </c>
      <c r="E2534" s="79" t="str">
        <f t="shared" si="6"/>
        <v xml:space="preserve"> </v>
      </c>
    </row>
    <row r="2535" spans="1:5" ht="12.5">
      <c r="A2535" s="81" t="str">
        <f t="shared" si="0"/>
        <v xml:space="preserve"> </v>
      </c>
      <c r="B2535" s="81" t="str">
        <f t="shared" si="1"/>
        <v xml:space="preserve"> </v>
      </c>
      <c r="C2535" s="79" t="str">
        <f t="shared" si="7"/>
        <v xml:space="preserve"> </v>
      </c>
      <c r="D2535" s="79" t="str">
        <f t="shared" si="5"/>
        <v xml:space="preserve"> </v>
      </c>
      <c r="E2535" s="79" t="str">
        <f t="shared" si="6"/>
        <v xml:space="preserve"> </v>
      </c>
    </row>
    <row r="2536" spans="1:5" ht="12.5">
      <c r="A2536" s="81" t="str">
        <f t="shared" si="0"/>
        <v xml:space="preserve"> </v>
      </c>
      <c r="B2536" s="81" t="str">
        <f t="shared" si="1"/>
        <v xml:space="preserve"> </v>
      </c>
      <c r="C2536" s="79" t="str">
        <f t="shared" si="7"/>
        <v xml:space="preserve"> </v>
      </c>
      <c r="D2536" s="79" t="str">
        <f t="shared" si="5"/>
        <v xml:space="preserve"> </v>
      </c>
      <c r="E2536" s="79" t="str">
        <f t="shared" si="6"/>
        <v xml:space="preserve"> </v>
      </c>
    </row>
    <row r="2537" spans="1:5" ht="12.5">
      <c r="A2537" s="81" t="str">
        <f t="shared" si="0"/>
        <v xml:space="preserve"> </v>
      </c>
      <c r="B2537" s="81" t="str">
        <f t="shared" si="1"/>
        <v xml:space="preserve"> </v>
      </c>
      <c r="C2537" s="79" t="str">
        <f t="shared" si="7"/>
        <v xml:space="preserve"> </v>
      </c>
      <c r="D2537" s="79" t="str">
        <f t="shared" si="5"/>
        <v xml:space="preserve"> </v>
      </c>
      <c r="E2537" s="79" t="str">
        <f t="shared" si="6"/>
        <v xml:space="preserve"> </v>
      </c>
    </row>
    <row r="2538" spans="1:5" ht="12.5">
      <c r="A2538" s="81" t="str">
        <f t="shared" si="0"/>
        <v xml:space="preserve"> </v>
      </c>
      <c r="B2538" s="81" t="str">
        <f t="shared" si="1"/>
        <v xml:space="preserve"> </v>
      </c>
      <c r="C2538" s="79" t="str">
        <f t="shared" si="7"/>
        <v xml:space="preserve"> </v>
      </c>
      <c r="D2538" s="79" t="str">
        <f t="shared" si="5"/>
        <v xml:space="preserve"> </v>
      </c>
      <c r="E2538" s="79" t="str">
        <f t="shared" si="6"/>
        <v xml:space="preserve"> </v>
      </c>
    </row>
    <row r="2539" spans="1:5" ht="12.5">
      <c r="A2539" s="81" t="str">
        <f t="shared" si="0"/>
        <v xml:space="preserve"> </v>
      </c>
      <c r="B2539" s="81" t="str">
        <f t="shared" si="1"/>
        <v xml:space="preserve"> </v>
      </c>
      <c r="C2539" s="79" t="str">
        <f t="shared" si="7"/>
        <v xml:space="preserve"> </v>
      </c>
      <c r="D2539" s="79" t="str">
        <f t="shared" si="5"/>
        <v xml:space="preserve"> </v>
      </c>
      <c r="E2539" s="79" t="str">
        <f t="shared" si="6"/>
        <v xml:space="preserve"> </v>
      </c>
    </row>
    <row r="2540" spans="1:5" ht="12.5">
      <c r="A2540" s="81" t="str">
        <f t="shared" si="0"/>
        <v xml:space="preserve"> </v>
      </c>
      <c r="B2540" s="81" t="str">
        <f t="shared" si="1"/>
        <v xml:space="preserve"> </v>
      </c>
      <c r="C2540" s="79" t="str">
        <f t="shared" si="7"/>
        <v xml:space="preserve"> </v>
      </c>
      <c r="D2540" s="79" t="str">
        <f t="shared" si="5"/>
        <v xml:space="preserve"> </v>
      </c>
      <c r="E2540" s="79" t="str">
        <f t="shared" si="6"/>
        <v xml:space="preserve"> </v>
      </c>
    </row>
    <row r="2541" spans="1:5" ht="12.5">
      <c r="A2541" s="81" t="str">
        <f t="shared" si="0"/>
        <v xml:space="preserve"> </v>
      </c>
      <c r="B2541" s="81" t="str">
        <f t="shared" si="1"/>
        <v xml:space="preserve"> </v>
      </c>
      <c r="C2541" s="79" t="str">
        <f t="shared" si="7"/>
        <v xml:space="preserve"> </v>
      </c>
      <c r="D2541" s="79" t="str">
        <f t="shared" si="5"/>
        <v xml:space="preserve"> </v>
      </c>
      <c r="E2541" s="79" t="str">
        <f t="shared" si="6"/>
        <v xml:space="preserve"> </v>
      </c>
    </row>
    <row r="2542" spans="1:5" ht="12.5">
      <c r="A2542" s="81" t="str">
        <f t="shared" si="0"/>
        <v xml:space="preserve"> </v>
      </c>
      <c r="B2542" s="81" t="str">
        <f t="shared" si="1"/>
        <v xml:space="preserve"> </v>
      </c>
      <c r="C2542" s="79" t="str">
        <f t="shared" si="7"/>
        <v xml:space="preserve"> </v>
      </c>
      <c r="D2542" s="79" t="str">
        <f t="shared" si="5"/>
        <v xml:space="preserve"> </v>
      </c>
      <c r="E2542" s="79" t="str">
        <f t="shared" si="6"/>
        <v xml:space="preserve"> </v>
      </c>
    </row>
    <row r="2543" spans="1:5" ht="12.5">
      <c r="A2543" s="81" t="str">
        <f t="shared" si="0"/>
        <v xml:space="preserve"> </v>
      </c>
      <c r="B2543" s="81" t="str">
        <f t="shared" si="1"/>
        <v xml:space="preserve"> </v>
      </c>
      <c r="C2543" s="79" t="str">
        <f t="shared" si="7"/>
        <v xml:space="preserve"> </v>
      </c>
      <c r="D2543" s="79" t="str">
        <f t="shared" si="5"/>
        <v xml:space="preserve"> </v>
      </c>
      <c r="E2543" s="79" t="str">
        <f t="shared" si="6"/>
        <v xml:space="preserve"> </v>
      </c>
    </row>
    <row r="2544" spans="1:5" ht="12.5">
      <c r="A2544" s="81" t="str">
        <f t="shared" si="0"/>
        <v xml:space="preserve"> </v>
      </c>
      <c r="B2544" s="81" t="str">
        <f t="shared" si="1"/>
        <v xml:space="preserve"> </v>
      </c>
      <c r="C2544" s="79" t="str">
        <f t="shared" si="7"/>
        <v xml:space="preserve"> </v>
      </c>
      <c r="D2544" s="79" t="str">
        <f t="shared" si="5"/>
        <v xml:space="preserve"> </v>
      </c>
      <c r="E2544" s="79" t="str">
        <f t="shared" si="6"/>
        <v xml:space="preserve"> </v>
      </c>
    </row>
    <row r="2545" spans="1:5" ht="12.5">
      <c r="A2545" s="81" t="str">
        <f t="shared" si="0"/>
        <v xml:space="preserve"> </v>
      </c>
      <c r="B2545" s="81" t="str">
        <f t="shared" si="1"/>
        <v xml:space="preserve"> </v>
      </c>
      <c r="C2545" s="79" t="str">
        <f t="shared" si="7"/>
        <v xml:space="preserve"> </v>
      </c>
      <c r="D2545" s="79" t="str">
        <f t="shared" si="5"/>
        <v xml:space="preserve"> </v>
      </c>
      <c r="E2545" s="79" t="str">
        <f t="shared" si="6"/>
        <v xml:space="preserve"> </v>
      </c>
    </row>
    <row r="2546" spans="1:5" ht="12.5">
      <c r="A2546" s="81" t="str">
        <f t="shared" si="0"/>
        <v xml:space="preserve"> </v>
      </c>
      <c r="B2546" s="81" t="str">
        <f t="shared" si="1"/>
        <v xml:space="preserve"> </v>
      </c>
      <c r="C2546" s="79" t="str">
        <f t="shared" si="7"/>
        <v xml:space="preserve"> </v>
      </c>
      <c r="D2546" s="79" t="str">
        <f t="shared" si="5"/>
        <v xml:space="preserve"> </v>
      </c>
      <c r="E2546" s="79" t="str">
        <f t="shared" si="6"/>
        <v xml:space="preserve"> </v>
      </c>
    </row>
    <row r="2547" spans="1:5" ht="12.5">
      <c r="A2547" s="81" t="str">
        <f t="shared" si="0"/>
        <v xml:space="preserve"> </v>
      </c>
      <c r="B2547" s="81" t="str">
        <f t="shared" si="1"/>
        <v xml:space="preserve"> </v>
      </c>
      <c r="C2547" s="79" t="str">
        <f t="shared" si="7"/>
        <v xml:space="preserve"> </v>
      </c>
      <c r="D2547" s="79" t="str">
        <f t="shared" si="5"/>
        <v xml:space="preserve"> </v>
      </c>
      <c r="E2547" s="79" t="str">
        <f t="shared" si="6"/>
        <v xml:space="preserve"> </v>
      </c>
    </row>
    <row r="2548" spans="1:5" ht="12.5">
      <c r="A2548" s="81" t="str">
        <f t="shared" si="0"/>
        <v xml:space="preserve"> </v>
      </c>
      <c r="B2548" s="81" t="str">
        <f t="shared" si="1"/>
        <v xml:space="preserve"> </v>
      </c>
      <c r="C2548" s="79" t="str">
        <f t="shared" si="7"/>
        <v xml:space="preserve"> </v>
      </c>
      <c r="D2548" s="79" t="str">
        <f t="shared" si="5"/>
        <v xml:space="preserve"> </v>
      </c>
      <c r="E2548" s="79" t="str">
        <f t="shared" si="6"/>
        <v xml:space="preserve"> </v>
      </c>
    </row>
    <row r="2549" spans="1:5" ht="12.5">
      <c r="A2549" s="81" t="str">
        <f t="shared" si="0"/>
        <v xml:space="preserve"> </v>
      </c>
      <c r="B2549" s="81" t="str">
        <f t="shared" si="1"/>
        <v xml:space="preserve"> </v>
      </c>
      <c r="C2549" s="79" t="str">
        <f t="shared" si="7"/>
        <v xml:space="preserve"> </v>
      </c>
      <c r="D2549" s="79" t="str">
        <f t="shared" si="5"/>
        <v xml:space="preserve"> </v>
      </c>
      <c r="E2549" s="79" t="str">
        <f t="shared" si="6"/>
        <v xml:space="preserve"> </v>
      </c>
    </row>
    <row r="2550" spans="1:5" ht="12.5">
      <c r="A2550" s="81" t="str">
        <f t="shared" si="0"/>
        <v xml:space="preserve"> </v>
      </c>
      <c r="B2550" s="81" t="str">
        <f t="shared" si="1"/>
        <v xml:space="preserve"> </v>
      </c>
      <c r="C2550" s="79" t="str">
        <f t="shared" si="7"/>
        <v xml:space="preserve"> </v>
      </c>
      <c r="D2550" s="79" t="str">
        <f t="shared" si="5"/>
        <v xml:space="preserve"> </v>
      </c>
      <c r="E2550" s="79" t="str">
        <f t="shared" si="6"/>
        <v xml:space="preserve"> </v>
      </c>
    </row>
    <row r="2551" spans="1:5" ht="12.5">
      <c r="A2551" s="81" t="str">
        <f t="shared" si="0"/>
        <v xml:space="preserve"> </v>
      </c>
      <c r="B2551" s="81" t="str">
        <f t="shared" si="1"/>
        <v xml:space="preserve"> </v>
      </c>
      <c r="C2551" s="79" t="str">
        <f t="shared" si="7"/>
        <v xml:space="preserve"> </v>
      </c>
      <c r="D2551" s="79" t="str">
        <f t="shared" si="5"/>
        <v xml:space="preserve"> </v>
      </c>
      <c r="E2551" s="79" t="str">
        <f t="shared" si="6"/>
        <v xml:space="preserve"> </v>
      </c>
    </row>
    <row r="2552" spans="1:5" ht="12.5">
      <c r="A2552" s="81" t="str">
        <f t="shared" si="0"/>
        <v xml:space="preserve"> </v>
      </c>
      <c r="B2552" s="81" t="str">
        <f t="shared" si="1"/>
        <v xml:space="preserve"> </v>
      </c>
      <c r="C2552" s="79" t="str">
        <f t="shared" si="7"/>
        <v xml:space="preserve"> </v>
      </c>
      <c r="D2552" s="79" t="str">
        <f t="shared" si="5"/>
        <v xml:space="preserve"> </v>
      </c>
      <c r="E2552" s="79" t="str">
        <f t="shared" si="6"/>
        <v xml:space="preserve"> </v>
      </c>
    </row>
    <row r="2553" spans="1:5" ht="12.5">
      <c r="A2553" s="81" t="str">
        <f t="shared" si="0"/>
        <v xml:space="preserve"> </v>
      </c>
      <c r="B2553" s="81" t="str">
        <f t="shared" si="1"/>
        <v xml:space="preserve"> </v>
      </c>
      <c r="C2553" s="79" t="str">
        <f t="shared" si="7"/>
        <v xml:space="preserve"> </v>
      </c>
      <c r="D2553" s="79" t="str">
        <f t="shared" si="5"/>
        <v xml:space="preserve"> </v>
      </c>
      <c r="E2553" s="79" t="str">
        <f t="shared" si="6"/>
        <v xml:space="preserve"> </v>
      </c>
    </row>
    <row r="2554" spans="1:5" ht="12.5">
      <c r="A2554" s="81" t="str">
        <f t="shared" si="0"/>
        <v xml:space="preserve"> </v>
      </c>
      <c r="B2554" s="81" t="str">
        <f t="shared" si="1"/>
        <v xml:space="preserve"> </v>
      </c>
      <c r="C2554" s="79" t="str">
        <f t="shared" si="7"/>
        <v xml:space="preserve"> </v>
      </c>
      <c r="D2554" s="79" t="str">
        <f t="shared" si="5"/>
        <v xml:space="preserve"> </v>
      </c>
      <c r="E2554" s="79" t="str">
        <f t="shared" si="6"/>
        <v xml:space="preserve"> </v>
      </c>
    </row>
    <row r="2555" spans="1:5" ht="12.5">
      <c r="A2555" s="81" t="str">
        <f t="shared" si="0"/>
        <v xml:space="preserve"> </v>
      </c>
      <c r="B2555" s="81" t="str">
        <f t="shared" si="1"/>
        <v xml:space="preserve"> </v>
      </c>
      <c r="C2555" s="79" t="str">
        <f t="shared" si="7"/>
        <v xml:space="preserve"> </v>
      </c>
      <c r="D2555" s="79" t="str">
        <f t="shared" si="5"/>
        <v xml:space="preserve"> </v>
      </c>
      <c r="E2555" s="79" t="str">
        <f t="shared" si="6"/>
        <v xml:space="preserve"> </v>
      </c>
    </row>
    <row r="2556" spans="1:5" ht="12.5">
      <c r="A2556" s="81" t="str">
        <f t="shared" si="0"/>
        <v xml:space="preserve"> </v>
      </c>
      <c r="B2556" s="81" t="str">
        <f t="shared" si="1"/>
        <v xml:space="preserve"> </v>
      </c>
      <c r="C2556" s="79" t="str">
        <f t="shared" si="7"/>
        <v xml:space="preserve"> </v>
      </c>
      <c r="D2556" s="79" t="str">
        <f t="shared" si="5"/>
        <v xml:space="preserve"> </v>
      </c>
      <c r="E2556" s="79" t="str">
        <f t="shared" si="6"/>
        <v xml:space="preserve"> </v>
      </c>
    </row>
    <row r="2557" spans="1:5" ht="12.5">
      <c r="A2557" s="81" t="str">
        <f t="shared" si="0"/>
        <v xml:space="preserve"> </v>
      </c>
      <c r="B2557" s="81" t="str">
        <f t="shared" si="1"/>
        <v xml:space="preserve"> </v>
      </c>
      <c r="C2557" s="79" t="str">
        <f t="shared" si="7"/>
        <v xml:space="preserve"> </v>
      </c>
      <c r="D2557" s="79" t="str">
        <f t="shared" si="5"/>
        <v xml:space="preserve"> </v>
      </c>
      <c r="E2557" s="79" t="str">
        <f t="shared" si="6"/>
        <v xml:space="preserve"> </v>
      </c>
    </row>
    <row r="2558" spans="1:5" ht="12.5">
      <c r="A2558" s="81" t="str">
        <f t="shared" si="0"/>
        <v xml:space="preserve"> </v>
      </c>
      <c r="B2558" s="81" t="str">
        <f t="shared" si="1"/>
        <v xml:space="preserve"> </v>
      </c>
      <c r="C2558" s="79" t="str">
        <f t="shared" si="7"/>
        <v xml:space="preserve"> </v>
      </c>
      <c r="D2558" s="79" t="str">
        <f t="shared" si="5"/>
        <v xml:space="preserve"> </v>
      </c>
      <c r="E2558" s="79" t="str">
        <f t="shared" si="6"/>
        <v xml:space="preserve"> </v>
      </c>
    </row>
    <row r="2559" spans="1:5" ht="12.5">
      <c r="A2559" s="81" t="str">
        <f t="shared" si="0"/>
        <v xml:space="preserve"> </v>
      </c>
      <c r="B2559" s="81" t="str">
        <f t="shared" si="1"/>
        <v xml:space="preserve"> </v>
      </c>
      <c r="C2559" s="79" t="str">
        <f t="shared" si="7"/>
        <v xml:space="preserve"> </v>
      </c>
      <c r="D2559" s="79" t="str">
        <f t="shared" si="5"/>
        <v xml:space="preserve"> </v>
      </c>
      <c r="E2559" s="79" t="str">
        <f t="shared" si="6"/>
        <v xml:space="preserve"> </v>
      </c>
    </row>
    <row r="2560" spans="1:5" ht="12.5">
      <c r="A2560" s="81" t="str">
        <f t="shared" si="0"/>
        <v xml:space="preserve"> </v>
      </c>
      <c r="B2560" s="81" t="str">
        <f t="shared" si="1"/>
        <v xml:space="preserve"> </v>
      </c>
      <c r="C2560" s="79" t="str">
        <f t="shared" si="7"/>
        <v xml:space="preserve"> </v>
      </c>
      <c r="D2560" s="79" t="str">
        <f t="shared" si="5"/>
        <v xml:space="preserve"> </v>
      </c>
      <c r="E2560" s="79" t="str">
        <f t="shared" si="6"/>
        <v xml:space="preserve"> </v>
      </c>
    </row>
    <row r="2561" spans="1:5" ht="12.5">
      <c r="A2561" s="81" t="str">
        <f t="shared" si="0"/>
        <v xml:space="preserve"> </v>
      </c>
      <c r="B2561" s="81" t="str">
        <f t="shared" si="1"/>
        <v xml:space="preserve"> </v>
      </c>
      <c r="C2561" s="79" t="str">
        <f t="shared" si="7"/>
        <v xml:space="preserve"> </v>
      </c>
      <c r="D2561" s="79" t="str">
        <f t="shared" si="5"/>
        <v xml:space="preserve"> </v>
      </c>
      <c r="E2561" s="79" t="str">
        <f t="shared" si="6"/>
        <v xml:space="preserve"> </v>
      </c>
    </row>
    <row r="2562" spans="1:5" ht="12.5">
      <c r="A2562" s="81" t="str">
        <f t="shared" si="0"/>
        <v xml:space="preserve"> </v>
      </c>
      <c r="B2562" s="81" t="str">
        <f t="shared" si="1"/>
        <v xml:space="preserve"> </v>
      </c>
      <c r="C2562" s="79" t="str">
        <f t="shared" si="7"/>
        <v xml:space="preserve"> </v>
      </c>
      <c r="D2562" s="79" t="str">
        <f t="shared" si="5"/>
        <v xml:space="preserve"> </v>
      </c>
      <c r="E2562" s="79" t="str">
        <f t="shared" si="6"/>
        <v xml:space="preserve"> </v>
      </c>
    </row>
    <row r="2563" spans="1:5" ht="12.5">
      <c r="A2563" s="81" t="str">
        <f t="shared" si="0"/>
        <v xml:space="preserve"> </v>
      </c>
      <c r="B2563" s="81" t="str">
        <f t="shared" si="1"/>
        <v xml:space="preserve"> </v>
      </c>
      <c r="C2563" s="79" t="str">
        <f t="shared" si="7"/>
        <v xml:space="preserve"> </v>
      </c>
      <c r="D2563" s="79" t="str">
        <f t="shared" si="5"/>
        <v xml:space="preserve"> </v>
      </c>
      <c r="E2563" s="79" t="str">
        <f t="shared" si="6"/>
        <v xml:space="preserve"> </v>
      </c>
    </row>
    <row r="2564" spans="1:5" ht="12.5">
      <c r="A2564" s="81" t="str">
        <f t="shared" si="0"/>
        <v xml:space="preserve"> </v>
      </c>
      <c r="B2564" s="81" t="str">
        <f t="shared" si="1"/>
        <v xml:space="preserve"> </v>
      </c>
      <c r="C2564" s="79" t="str">
        <f t="shared" si="7"/>
        <v xml:space="preserve"> </v>
      </c>
      <c r="D2564" s="79" t="str">
        <f t="shared" si="5"/>
        <v xml:space="preserve"> </v>
      </c>
      <c r="E2564" s="79" t="str">
        <f t="shared" si="6"/>
        <v xml:space="preserve"> </v>
      </c>
    </row>
    <row r="2565" spans="1:5" ht="12.5">
      <c r="A2565" s="81" t="str">
        <f t="shared" si="0"/>
        <v xml:space="preserve"> </v>
      </c>
      <c r="B2565" s="81" t="str">
        <f t="shared" si="1"/>
        <v xml:space="preserve"> </v>
      </c>
      <c r="C2565" s="79" t="str">
        <f t="shared" si="7"/>
        <v xml:space="preserve"> </v>
      </c>
      <c r="D2565" s="79" t="str">
        <f t="shared" si="5"/>
        <v xml:space="preserve"> </v>
      </c>
      <c r="E2565" s="79" t="str">
        <f t="shared" si="6"/>
        <v xml:space="preserve"> </v>
      </c>
    </row>
    <row r="2566" spans="1:5" ht="12.5">
      <c r="A2566" s="81" t="str">
        <f t="shared" si="0"/>
        <v xml:space="preserve"> </v>
      </c>
      <c r="B2566" s="81" t="str">
        <f t="shared" si="1"/>
        <v xml:space="preserve"> </v>
      </c>
      <c r="C2566" s="79" t="str">
        <f t="shared" si="7"/>
        <v xml:space="preserve"> </v>
      </c>
      <c r="D2566" s="79" t="str">
        <f t="shared" si="5"/>
        <v xml:space="preserve"> </v>
      </c>
      <c r="E2566" s="79" t="str">
        <f t="shared" si="6"/>
        <v xml:space="preserve"> </v>
      </c>
    </row>
    <row r="2567" spans="1:5" ht="12.5">
      <c r="A2567" s="81" t="str">
        <f t="shared" si="0"/>
        <v xml:space="preserve"> </v>
      </c>
      <c r="B2567" s="81" t="str">
        <f t="shared" si="1"/>
        <v xml:space="preserve"> </v>
      </c>
      <c r="C2567" s="79" t="str">
        <f t="shared" si="7"/>
        <v xml:space="preserve"> </v>
      </c>
      <c r="D2567" s="79" t="str">
        <f t="shared" si="5"/>
        <v xml:space="preserve"> </v>
      </c>
      <c r="E2567" s="79" t="str">
        <f t="shared" si="6"/>
        <v xml:space="preserve"> </v>
      </c>
    </row>
    <row r="2568" spans="1:5" ht="12.5">
      <c r="A2568" s="81" t="str">
        <f t="shared" si="0"/>
        <v xml:space="preserve"> </v>
      </c>
      <c r="B2568" s="81" t="str">
        <f t="shared" si="1"/>
        <v xml:space="preserve"> </v>
      </c>
      <c r="C2568" s="79" t="str">
        <f t="shared" si="7"/>
        <v xml:space="preserve"> </v>
      </c>
      <c r="D2568" s="79" t="str">
        <f t="shared" si="5"/>
        <v xml:space="preserve"> </v>
      </c>
      <c r="E2568" s="79" t="str">
        <f t="shared" si="6"/>
        <v xml:space="preserve"> </v>
      </c>
    </row>
    <row r="2569" spans="1:5" ht="12.5">
      <c r="A2569" s="81" t="str">
        <f t="shared" si="0"/>
        <v xml:space="preserve"> </v>
      </c>
      <c r="B2569" s="81" t="str">
        <f t="shared" si="1"/>
        <v xml:space="preserve"> </v>
      </c>
      <c r="C2569" s="79" t="str">
        <f t="shared" si="7"/>
        <v xml:space="preserve"> </v>
      </c>
      <c r="D2569" s="79" t="str">
        <f t="shared" si="5"/>
        <v xml:space="preserve"> </v>
      </c>
      <c r="E2569" s="79" t="str">
        <f t="shared" si="6"/>
        <v xml:space="preserve"> </v>
      </c>
    </row>
    <row r="2570" spans="1:5" ht="12.5">
      <c r="A2570" s="81" t="str">
        <f t="shared" si="0"/>
        <v xml:space="preserve"> </v>
      </c>
      <c r="B2570" s="81" t="str">
        <f t="shared" si="1"/>
        <v xml:space="preserve"> </v>
      </c>
      <c r="C2570" s="79" t="str">
        <f t="shared" si="7"/>
        <v xml:space="preserve"> </v>
      </c>
      <c r="D2570" s="79" t="str">
        <f t="shared" si="5"/>
        <v xml:space="preserve"> </v>
      </c>
      <c r="E2570" s="79" t="str">
        <f t="shared" si="6"/>
        <v xml:space="preserve"> </v>
      </c>
    </row>
    <row r="2571" spans="1:5" ht="12.5">
      <c r="A2571" s="81" t="str">
        <f t="shared" si="0"/>
        <v xml:space="preserve"> </v>
      </c>
      <c r="B2571" s="81" t="str">
        <f t="shared" si="1"/>
        <v xml:space="preserve"> </v>
      </c>
      <c r="C2571" s="79" t="str">
        <f t="shared" si="7"/>
        <v xml:space="preserve"> </v>
      </c>
      <c r="D2571" s="79" t="str">
        <f t="shared" si="5"/>
        <v xml:space="preserve"> </v>
      </c>
      <c r="E2571" s="79" t="str">
        <f t="shared" si="6"/>
        <v xml:space="preserve"> </v>
      </c>
    </row>
    <row r="2572" spans="1:5" ht="12.5">
      <c r="A2572" s="81" t="str">
        <f t="shared" si="0"/>
        <v xml:space="preserve"> </v>
      </c>
      <c r="B2572" s="81" t="str">
        <f t="shared" si="1"/>
        <v xml:space="preserve"> </v>
      </c>
      <c r="C2572" s="79" t="str">
        <f t="shared" si="7"/>
        <v xml:space="preserve"> </v>
      </c>
      <c r="D2572" s="79" t="str">
        <f t="shared" si="5"/>
        <v xml:space="preserve"> </v>
      </c>
      <c r="E2572" s="79" t="str">
        <f t="shared" si="6"/>
        <v xml:space="preserve"> </v>
      </c>
    </row>
    <row r="2573" spans="1:5" ht="12.5">
      <c r="A2573" s="81" t="str">
        <f t="shared" si="0"/>
        <v xml:space="preserve"> </v>
      </c>
      <c r="B2573" s="81" t="str">
        <f t="shared" si="1"/>
        <v xml:space="preserve"> </v>
      </c>
      <c r="C2573" s="79" t="str">
        <f t="shared" si="7"/>
        <v xml:space="preserve"> </v>
      </c>
      <c r="D2573" s="79" t="str">
        <f t="shared" si="5"/>
        <v xml:space="preserve"> </v>
      </c>
      <c r="E2573" s="79" t="str">
        <f t="shared" si="6"/>
        <v xml:space="preserve"> </v>
      </c>
    </row>
    <row r="2574" spans="1:5" ht="12.5">
      <c r="A2574" s="81" t="str">
        <f t="shared" si="0"/>
        <v xml:space="preserve"> </v>
      </c>
      <c r="B2574" s="81" t="str">
        <f t="shared" si="1"/>
        <v xml:space="preserve"> </v>
      </c>
      <c r="C2574" s="79" t="str">
        <f t="shared" si="7"/>
        <v xml:space="preserve"> </v>
      </c>
      <c r="D2574" s="79" t="str">
        <f t="shared" si="5"/>
        <v xml:space="preserve"> </v>
      </c>
      <c r="E2574" s="79" t="str">
        <f t="shared" si="6"/>
        <v xml:space="preserve"> </v>
      </c>
    </row>
    <row r="2575" spans="1:5" ht="12.5">
      <c r="A2575" s="81" t="str">
        <f t="shared" si="0"/>
        <v xml:space="preserve"> </v>
      </c>
      <c r="B2575" s="81" t="str">
        <f t="shared" si="1"/>
        <v xml:space="preserve"> </v>
      </c>
      <c r="C2575" s="79" t="str">
        <f t="shared" si="7"/>
        <v xml:space="preserve"> </v>
      </c>
      <c r="D2575" s="79" t="str">
        <f t="shared" si="5"/>
        <v xml:space="preserve"> </v>
      </c>
      <c r="E2575" s="79" t="str">
        <f t="shared" si="6"/>
        <v xml:space="preserve"> </v>
      </c>
    </row>
    <row r="2576" spans="1:5" ht="12.5">
      <c r="A2576" s="81" t="str">
        <f t="shared" si="0"/>
        <v xml:space="preserve"> </v>
      </c>
      <c r="B2576" s="81" t="str">
        <f t="shared" si="1"/>
        <v xml:space="preserve"> </v>
      </c>
      <c r="C2576" s="79" t="str">
        <f t="shared" si="7"/>
        <v xml:space="preserve"> </v>
      </c>
      <c r="D2576" s="79" t="str">
        <f t="shared" si="5"/>
        <v xml:space="preserve"> </v>
      </c>
      <c r="E2576" s="79" t="str">
        <f t="shared" si="6"/>
        <v xml:space="preserve"> </v>
      </c>
    </row>
    <row r="2577" spans="1:5" ht="12.5">
      <c r="A2577" s="81" t="str">
        <f t="shared" si="0"/>
        <v xml:space="preserve"> </v>
      </c>
      <c r="B2577" s="81" t="str">
        <f t="shared" si="1"/>
        <v xml:space="preserve"> </v>
      </c>
      <c r="C2577" s="79" t="str">
        <f t="shared" si="7"/>
        <v xml:space="preserve"> </v>
      </c>
      <c r="D2577" s="79" t="str">
        <f t="shared" si="5"/>
        <v xml:space="preserve"> </v>
      </c>
      <c r="E2577" s="79" t="str">
        <f t="shared" si="6"/>
        <v xml:space="preserve"> </v>
      </c>
    </row>
    <row r="2578" spans="1:5" ht="12.5">
      <c r="A2578" s="81" t="str">
        <f t="shared" si="0"/>
        <v xml:space="preserve"> </v>
      </c>
      <c r="B2578" s="81" t="str">
        <f t="shared" si="1"/>
        <v xml:space="preserve"> </v>
      </c>
      <c r="C2578" s="79" t="str">
        <f t="shared" si="7"/>
        <v xml:space="preserve"> </v>
      </c>
      <c r="D2578" s="79" t="str">
        <f t="shared" si="5"/>
        <v xml:space="preserve"> </v>
      </c>
      <c r="E2578" s="79" t="str">
        <f t="shared" si="6"/>
        <v xml:space="preserve"> </v>
      </c>
    </row>
    <row r="2579" spans="1:5" ht="12.5">
      <c r="A2579" s="81" t="str">
        <f t="shared" si="0"/>
        <v xml:space="preserve"> </v>
      </c>
      <c r="B2579" s="81" t="str">
        <f t="shared" si="1"/>
        <v xml:space="preserve"> </v>
      </c>
      <c r="C2579" s="79" t="str">
        <f t="shared" si="7"/>
        <v xml:space="preserve"> </v>
      </c>
      <c r="D2579" s="79" t="str">
        <f t="shared" si="5"/>
        <v xml:space="preserve"> </v>
      </c>
      <c r="E2579" s="79" t="str">
        <f t="shared" si="6"/>
        <v xml:space="preserve"> </v>
      </c>
    </row>
    <row r="2580" spans="1:5" ht="12.5">
      <c r="A2580" s="81" t="str">
        <f t="shared" si="0"/>
        <v xml:space="preserve"> </v>
      </c>
      <c r="B2580" s="81" t="str">
        <f t="shared" si="1"/>
        <v xml:space="preserve"> </v>
      </c>
      <c r="C2580" s="79" t="str">
        <f t="shared" si="7"/>
        <v xml:space="preserve"> </v>
      </c>
      <c r="D2580" s="79" t="str">
        <f t="shared" si="5"/>
        <v xml:space="preserve"> </v>
      </c>
      <c r="E2580" s="79" t="str">
        <f t="shared" si="6"/>
        <v xml:space="preserve"> </v>
      </c>
    </row>
    <row r="2581" spans="1:5" ht="12.5">
      <c r="A2581" s="81" t="str">
        <f t="shared" si="0"/>
        <v xml:space="preserve"> </v>
      </c>
      <c r="B2581" s="81" t="str">
        <f t="shared" si="1"/>
        <v xml:space="preserve"> </v>
      </c>
      <c r="C2581" s="79" t="str">
        <f t="shared" si="7"/>
        <v xml:space="preserve"> </v>
      </c>
      <c r="D2581" s="79" t="str">
        <f t="shared" si="5"/>
        <v xml:space="preserve"> </v>
      </c>
      <c r="E2581" s="79" t="str">
        <f t="shared" si="6"/>
        <v xml:space="preserve"> </v>
      </c>
    </row>
    <row r="2582" spans="1:5" ht="12.5">
      <c r="A2582" s="81" t="str">
        <f t="shared" si="0"/>
        <v xml:space="preserve"> </v>
      </c>
      <c r="B2582" s="81" t="str">
        <f t="shared" si="1"/>
        <v xml:space="preserve"> </v>
      </c>
      <c r="C2582" s="79" t="str">
        <f t="shared" si="7"/>
        <v xml:space="preserve"> </v>
      </c>
      <c r="D2582" s="79" t="str">
        <f t="shared" si="5"/>
        <v xml:space="preserve"> </v>
      </c>
      <c r="E2582" s="79" t="str">
        <f t="shared" si="6"/>
        <v xml:space="preserve"> </v>
      </c>
    </row>
    <row r="2583" spans="1:5" ht="12.5">
      <c r="A2583" s="81" t="str">
        <f t="shared" si="0"/>
        <v xml:space="preserve"> </v>
      </c>
      <c r="B2583" s="81" t="str">
        <f t="shared" si="1"/>
        <v xml:space="preserve"> </v>
      </c>
      <c r="C2583" s="79" t="str">
        <f t="shared" si="7"/>
        <v xml:space="preserve"> </v>
      </c>
      <c r="D2583" s="79" t="str">
        <f t="shared" si="5"/>
        <v xml:space="preserve"> </v>
      </c>
      <c r="E2583" s="79" t="str">
        <f t="shared" si="6"/>
        <v xml:space="preserve"> </v>
      </c>
    </row>
    <row r="2584" spans="1:5" ht="12.5">
      <c r="A2584" s="81" t="str">
        <f t="shared" si="0"/>
        <v xml:space="preserve"> </v>
      </c>
      <c r="B2584" s="81" t="str">
        <f t="shared" si="1"/>
        <v xml:space="preserve"> </v>
      </c>
      <c r="C2584" s="79" t="str">
        <f t="shared" si="7"/>
        <v xml:space="preserve"> </v>
      </c>
      <c r="D2584" s="79" t="str">
        <f t="shared" si="5"/>
        <v xml:space="preserve"> </v>
      </c>
      <c r="E2584" s="79" t="str">
        <f t="shared" si="6"/>
        <v xml:space="preserve"> </v>
      </c>
    </row>
    <row r="2585" spans="1:5" ht="12.5">
      <c r="A2585" s="81" t="str">
        <f t="shared" si="0"/>
        <v xml:space="preserve"> </v>
      </c>
      <c r="B2585" s="81" t="str">
        <f t="shared" si="1"/>
        <v xml:space="preserve"> </v>
      </c>
      <c r="C2585" s="79" t="str">
        <f t="shared" si="7"/>
        <v xml:space="preserve"> </v>
      </c>
      <c r="D2585" s="79" t="str">
        <f t="shared" si="5"/>
        <v xml:space="preserve"> </v>
      </c>
      <c r="E2585" s="79" t="str">
        <f t="shared" si="6"/>
        <v xml:space="preserve"> </v>
      </c>
    </row>
    <row r="2586" spans="1:5" ht="12.5">
      <c r="A2586" s="81" t="str">
        <f t="shared" si="0"/>
        <v xml:space="preserve"> </v>
      </c>
      <c r="B2586" s="81" t="str">
        <f t="shared" si="1"/>
        <v xml:space="preserve"> </v>
      </c>
      <c r="C2586" s="79" t="str">
        <f t="shared" si="7"/>
        <v xml:space="preserve"> </v>
      </c>
      <c r="D2586" s="79" t="str">
        <f t="shared" si="5"/>
        <v xml:space="preserve"> </v>
      </c>
      <c r="E2586" s="79" t="str">
        <f t="shared" si="6"/>
        <v xml:space="preserve"> </v>
      </c>
    </row>
    <row r="2587" spans="1:5" ht="12.5">
      <c r="A2587" s="81" t="str">
        <f t="shared" si="0"/>
        <v xml:space="preserve"> </v>
      </c>
      <c r="B2587" s="81" t="str">
        <f t="shared" si="1"/>
        <v xml:space="preserve"> </v>
      </c>
      <c r="C2587" s="79" t="str">
        <f t="shared" si="7"/>
        <v xml:space="preserve"> </v>
      </c>
      <c r="D2587" s="79" t="str">
        <f t="shared" si="5"/>
        <v xml:space="preserve"> </v>
      </c>
      <c r="E2587" s="79" t="str">
        <f t="shared" si="6"/>
        <v xml:space="preserve"> </v>
      </c>
    </row>
    <row r="2588" spans="1:5" ht="12.5">
      <c r="A2588" s="81" t="str">
        <f t="shared" si="0"/>
        <v xml:space="preserve"> </v>
      </c>
      <c r="B2588" s="81" t="str">
        <f t="shared" si="1"/>
        <v xml:space="preserve"> </v>
      </c>
      <c r="C2588" s="79" t="str">
        <f t="shared" si="7"/>
        <v xml:space="preserve"> </v>
      </c>
      <c r="D2588" s="79" t="str">
        <f t="shared" si="5"/>
        <v xml:space="preserve"> </v>
      </c>
      <c r="E2588" s="79" t="str">
        <f t="shared" si="6"/>
        <v xml:space="preserve"> </v>
      </c>
    </row>
    <row r="2589" spans="1:5" ht="12.5">
      <c r="A2589" s="81" t="str">
        <f t="shared" si="0"/>
        <v xml:space="preserve"> </v>
      </c>
      <c r="B2589" s="81" t="str">
        <f t="shared" si="1"/>
        <v xml:space="preserve"> </v>
      </c>
      <c r="C2589" s="79" t="str">
        <f t="shared" si="7"/>
        <v xml:space="preserve"> </v>
      </c>
      <c r="D2589" s="79" t="str">
        <f t="shared" si="5"/>
        <v xml:space="preserve"> </v>
      </c>
      <c r="E2589" s="79" t="str">
        <f t="shared" si="6"/>
        <v xml:space="preserve"> </v>
      </c>
    </row>
    <row r="2590" spans="1:5" ht="12.5">
      <c r="A2590" s="81" t="str">
        <f t="shared" si="0"/>
        <v xml:space="preserve"> </v>
      </c>
      <c r="B2590" s="81" t="str">
        <f t="shared" si="1"/>
        <v xml:space="preserve"> </v>
      </c>
      <c r="C2590" s="79" t="str">
        <f t="shared" si="7"/>
        <v xml:space="preserve"> </v>
      </c>
      <c r="D2590" s="79" t="str">
        <f t="shared" si="5"/>
        <v xml:space="preserve"> </v>
      </c>
      <c r="E2590" s="79" t="str">
        <f t="shared" si="6"/>
        <v xml:space="preserve"> </v>
      </c>
    </row>
    <row r="2591" spans="1:5" ht="12.5">
      <c r="A2591" s="81" t="str">
        <f t="shared" si="0"/>
        <v xml:space="preserve"> </v>
      </c>
      <c r="B2591" s="81" t="str">
        <f t="shared" si="1"/>
        <v xml:space="preserve"> </v>
      </c>
      <c r="C2591" s="79" t="str">
        <f t="shared" si="7"/>
        <v xml:space="preserve"> </v>
      </c>
      <c r="D2591" s="79" t="str">
        <f t="shared" si="5"/>
        <v xml:space="preserve"> </v>
      </c>
      <c r="E2591" s="79" t="str">
        <f t="shared" si="6"/>
        <v xml:space="preserve"> </v>
      </c>
    </row>
    <row r="2592" spans="1:5" ht="12.5">
      <c r="A2592" s="81" t="str">
        <f t="shared" si="0"/>
        <v xml:space="preserve"> </v>
      </c>
      <c r="B2592" s="81" t="str">
        <f t="shared" si="1"/>
        <v xml:space="preserve"> </v>
      </c>
      <c r="C2592" s="79" t="str">
        <f t="shared" si="7"/>
        <v xml:space="preserve"> </v>
      </c>
      <c r="D2592" s="79" t="str">
        <f t="shared" si="5"/>
        <v xml:space="preserve"> </v>
      </c>
      <c r="E2592" s="79" t="str">
        <f t="shared" si="6"/>
        <v xml:space="preserve"> </v>
      </c>
    </row>
    <row r="2593" spans="1:5" ht="12.5">
      <c r="A2593" s="81" t="str">
        <f t="shared" si="0"/>
        <v xml:space="preserve"> </v>
      </c>
      <c r="B2593" s="81" t="str">
        <f t="shared" si="1"/>
        <v xml:space="preserve"> </v>
      </c>
      <c r="C2593" s="79" t="str">
        <f t="shared" si="7"/>
        <v xml:space="preserve"> </v>
      </c>
      <c r="D2593" s="79" t="str">
        <f t="shared" si="5"/>
        <v xml:space="preserve"> </v>
      </c>
      <c r="E2593" s="79" t="str">
        <f t="shared" si="6"/>
        <v xml:space="preserve"> </v>
      </c>
    </row>
    <row r="2594" spans="1:5" ht="12.5">
      <c r="A2594" s="81" t="str">
        <f t="shared" si="0"/>
        <v xml:space="preserve"> </v>
      </c>
      <c r="B2594" s="81" t="str">
        <f t="shared" si="1"/>
        <v xml:space="preserve"> </v>
      </c>
      <c r="C2594" s="79" t="str">
        <f t="shared" si="7"/>
        <v xml:space="preserve"> </v>
      </c>
      <c r="D2594" s="79" t="str">
        <f t="shared" si="5"/>
        <v xml:space="preserve"> </v>
      </c>
      <c r="E2594" s="79" t="str">
        <f t="shared" si="6"/>
        <v xml:space="preserve"> </v>
      </c>
    </row>
    <row r="2595" spans="1:5" ht="12.5">
      <c r="A2595" s="81" t="str">
        <f t="shared" si="0"/>
        <v xml:space="preserve"> </v>
      </c>
      <c r="B2595" s="81" t="str">
        <f t="shared" si="1"/>
        <v xml:space="preserve"> </v>
      </c>
      <c r="C2595" s="79" t="str">
        <f t="shared" si="7"/>
        <v xml:space="preserve"> </v>
      </c>
      <c r="D2595" s="79" t="str">
        <f t="shared" si="5"/>
        <v xml:space="preserve"> </v>
      </c>
      <c r="E2595" s="79" t="str">
        <f t="shared" si="6"/>
        <v xml:space="preserve"> </v>
      </c>
    </row>
    <row r="2596" spans="1:5" ht="12.5">
      <c r="A2596" s="81" t="str">
        <f t="shared" si="0"/>
        <v xml:space="preserve"> </v>
      </c>
      <c r="B2596" s="81" t="str">
        <f t="shared" si="1"/>
        <v xml:space="preserve"> </v>
      </c>
      <c r="C2596" s="79" t="str">
        <f t="shared" si="7"/>
        <v xml:space="preserve"> </v>
      </c>
      <c r="D2596" s="79" t="str">
        <f t="shared" si="5"/>
        <v xml:space="preserve"> </v>
      </c>
      <c r="E2596" s="79" t="str">
        <f t="shared" si="6"/>
        <v xml:space="preserve"> </v>
      </c>
    </row>
    <row r="2597" spans="1:5" ht="12.5">
      <c r="A2597" s="81" t="str">
        <f t="shared" si="0"/>
        <v xml:space="preserve"> </v>
      </c>
      <c r="B2597" s="81" t="str">
        <f t="shared" si="1"/>
        <v xml:space="preserve"> </v>
      </c>
      <c r="C2597" s="79" t="str">
        <f t="shared" si="7"/>
        <v xml:space="preserve"> </v>
      </c>
      <c r="D2597" s="79" t="str">
        <f t="shared" si="5"/>
        <v xml:space="preserve"> </v>
      </c>
      <c r="E2597" s="79" t="str">
        <f t="shared" si="6"/>
        <v xml:space="preserve"> </v>
      </c>
    </row>
    <row r="2598" spans="1:5" ht="12.5">
      <c r="A2598" s="81" t="str">
        <f t="shared" si="0"/>
        <v xml:space="preserve"> </v>
      </c>
      <c r="B2598" s="81" t="str">
        <f t="shared" si="1"/>
        <v xml:space="preserve"> </v>
      </c>
      <c r="C2598" s="79" t="str">
        <f t="shared" si="7"/>
        <v xml:space="preserve"> </v>
      </c>
      <c r="D2598" s="79" t="str">
        <f t="shared" si="5"/>
        <v xml:space="preserve"> </v>
      </c>
      <c r="E2598" s="79" t="str">
        <f t="shared" si="6"/>
        <v xml:space="preserve"> </v>
      </c>
    </row>
    <row r="2599" spans="1:5" ht="12.5">
      <c r="A2599" s="81" t="str">
        <f t="shared" si="0"/>
        <v xml:space="preserve"> </v>
      </c>
      <c r="B2599" s="81" t="str">
        <f t="shared" si="1"/>
        <v xml:space="preserve"> </v>
      </c>
      <c r="C2599" s="79" t="str">
        <f t="shared" si="7"/>
        <v xml:space="preserve"> </v>
      </c>
      <c r="D2599" s="79" t="str">
        <f t="shared" si="5"/>
        <v xml:space="preserve"> </v>
      </c>
      <c r="E2599" s="79" t="str">
        <f t="shared" si="6"/>
        <v xml:space="preserve"> </v>
      </c>
    </row>
    <row r="2600" spans="1:5" ht="12.5">
      <c r="A2600" s="81" t="str">
        <f t="shared" si="0"/>
        <v xml:space="preserve"> </v>
      </c>
      <c r="B2600" s="81" t="str">
        <f t="shared" si="1"/>
        <v xml:space="preserve"> </v>
      </c>
      <c r="C2600" s="79" t="str">
        <f t="shared" si="7"/>
        <v xml:space="preserve"> </v>
      </c>
      <c r="D2600" s="79" t="str">
        <f t="shared" si="5"/>
        <v xml:space="preserve"> </v>
      </c>
      <c r="E2600" s="79" t="str">
        <f t="shared" si="6"/>
        <v xml:space="preserve"> </v>
      </c>
    </row>
    <row r="2601" spans="1:5" ht="12.5">
      <c r="A2601" s="81" t="str">
        <f t="shared" si="0"/>
        <v xml:space="preserve"> </v>
      </c>
      <c r="B2601" s="81" t="str">
        <f t="shared" si="1"/>
        <v xml:space="preserve"> </v>
      </c>
      <c r="C2601" s="79" t="str">
        <f t="shared" si="7"/>
        <v xml:space="preserve"> </v>
      </c>
      <c r="D2601" s="79" t="str">
        <f t="shared" si="5"/>
        <v xml:space="preserve"> </v>
      </c>
      <c r="E2601" s="79" t="str">
        <f t="shared" si="6"/>
        <v xml:space="preserve"> </v>
      </c>
    </row>
    <row r="2602" spans="1:5" ht="12.5">
      <c r="A2602" s="81" t="str">
        <f t="shared" si="0"/>
        <v xml:space="preserve"> </v>
      </c>
      <c r="B2602" s="81" t="str">
        <f t="shared" si="1"/>
        <v xml:space="preserve"> </v>
      </c>
      <c r="C2602" s="79" t="str">
        <f t="shared" si="7"/>
        <v xml:space="preserve"> </v>
      </c>
      <c r="D2602" s="79" t="str">
        <f t="shared" si="5"/>
        <v xml:space="preserve"> </v>
      </c>
      <c r="E2602" s="79" t="str">
        <f t="shared" si="6"/>
        <v xml:space="preserve"> </v>
      </c>
    </row>
    <row r="2603" spans="1:5" ht="12.5">
      <c r="A2603" s="81" t="str">
        <f t="shared" si="0"/>
        <v xml:space="preserve"> </v>
      </c>
      <c r="B2603" s="81" t="str">
        <f t="shared" si="1"/>
        <v xml:space="preserve"> </v>
      </c>
      <c r="C2603" s="79" t="str">
        <f t="shared" si="7"/>
        <v xml:space="preserve"> </v>
      </c>
      <c r="D2603" s="79" t="str">
        <f t="shared" si="5"/>
        <v xml:space="preserve"> </v>
      </c>
      <c r="E2603" s="79" t="str">
        <f t="shared" si="6"/>
        <v xml:space="preserve"> </v>
      </c>
    </row>
    <row r="2604" spans="1:5" ht="12.5">
      <c r="A2604" s="81" t="str">
        <f t="shared" si="0"/>
        <v xml:space="preserve"> </v>
      </c>
      <c r="B2604" s="81" t="str">
        <f t="shared" si="1"/>
        <v xml:space="preserve"> </v>
      </c>
      <c r="C2604" s="79" t="str">
        <f t="shared" si="7"/>
        <v xml:space="preserve"> </v>
      </c>
      <c r="D2604" s="79" t="str">
        <f t="shared" si="5"/>
        <v xml:space="preserve"> </v>
      </c>
      <c r="E2604" s="79" t="str">
        <f t="shared" si="6"/>
        <v xml:space="preserve"> </v>
      </c>
    </row>
    <row r="2605" spans="1:5" ht="12.5">
      <c r="A2605" s="81" t="str">
        <f t="shared" si="0"/>
        <v xml:space="preserve"> </v>
      </c>
      <c r="B2605" s="81" t="str">
        <f t="shared" si="1"/>
        <v xml:space="preserve"> </v>
      </c>
      <c r="C2605" s="79" t="str">
        <f t="shared" si="7"/>
        <v xml:space="preserve"> </v>
      </c>
      <c r="D2605" s="79" t="str">
        <f t="shared" si="5"/>
        <v xml:space="preserve"> </v>
      </c>
      <c r="E2605" s="79" t="str">
        <f t="shared" si="6"/>
        <v xml:space="preserve"> </v>
      </c>
    </row>
    <row r="2606" spans="1:5" ht="12.5">
      <c r="A2606" s="81" t="str">
        <f t="shared" si="0"/>
        <v xml:space="preserve"> </v>
      </c>
      <c r="B2606" s="81" t="str">
        <f t="shared" si="1"/>
        <v xml:space="preserve"> </v>
      </c>
      <c r="C2606" s="79" t="str">
        <f t="shared" si="7"/>
        <v xml:space="preserve"> </v>
      </c>
      <c r="D2606" s="79" t="str">
        <f t="shared" si="5"/>
        <v xml:space="preserve"> </v>
      </c>
      <c r="E2606" s="79" t="str">
        <f t="shared" si="6"/>
        <v xml:space="preserve"> </v>
      </c>
    </row>
    <row r="2607" spans="1:5" ht="12.5">
      <c r="A2607" s="81" t="str">
        <f t="shared" si="0"/>
        <v xml:space="preserve"> </v>
      </c>
      <c r="B2607" s="81" t="str">
        <f t="shared" si="1"/>
        <v xml:space="preserve"> </v>
      </c>
      <c r="C2607" s="79" t="str">
        <f t="shared" si="7"/>
        <v xml:space="preserve"> </v>
      </c>
      <c r="D2607" s="79" t="str">
        <f t="shared" si="5"/>
        <v xml:space="preserve"> </v>
      </c>
      <c r="E2607" s="79" t="str">
        <f t="shared" si="6"/>
        <v xml:space="preserve"> </v>
      </c>
    </row>
    <row r="2608" spans="1:5" ht="12.5">
      <c r="A2608" s="81" t="str">
        <f t="shared" si="0"/>
        <v xml:space="preserve"> </v>
      </c>
      <c r="B2608" s="81" t="str">
        <f t="shared" si="1"/>
        <v xml:space="preserve"> </v>
      </c>
      <c r="C2608" s="79" t="str">
        <f t="shared" si="7"/>
        <v xml:space="preserve"> </v>
      </c>
      <c r="D2608" s="79" t="str">
        <f t="shared" si="5"/>
        <v xml:space="preserve"> </v>
      </c>
      <c r="E2608" s="79" t="str">
        <f t="shared" si="6"/>
        <v xml:space="preserve"> </v>
      </c>
    </row>
    <row r="2609" spans="1:5" ht="12.5">
      <c r="A2609" s="81" t="str">
        <f t="shared" si="0"/>
        <v xml:space="preserve"> </v>
      </c>
      <c r="B2609" s="81" t="str">
        <f t="shared" si="1"/>
        <v xml:space="preserve"> </v>
      </c>
      <c r="C2609" s="79" t="str">
        <f t="shared" si="7"/>
        <v xml:space="preserve"> </v>
      </c>
      <c r="D2609" s="79" t="str">
        <f t="shared" si="5"/>
        <v xml:space="preserve"> </v>
      </c>
      <c r="E2609" s="79" t="str">
        <f t="shared" si="6"/>
        <v xml:space="preserve"> </v>
      </c>
    </row>
    <row r="2610" spans="1:5" ht="12.5">
      <c r="A2610" s="81" t="str">
        <f t="shared" si="0"/>
        <v xml:space="preserve"> </v>
      </c>
      <c r="B2610" s="81" t="str">
        <f t="shared" si="1"/>
        <v xml:space="preserve"> </v>
      </c>
      <c r="C2610" s="79" t="str">
        <f t="shared" si="7"/>
        <v xml:space="preserve"> </v>
      </c>
      <c r="D2610" s="79" t="str">
        <f t="shared" si="5"/>
        <v xml:space="preserve"> </v>
      </c>
      <c r="E2610" s="79" t="str">
        <f t="shared" si="6"/>
        <v xml:space="preserve"> </v>
      </c>
    </row>
    <row r="2611" spans="1:5" ht="12.5">
      <c r="A2611" s="81" t="str">
        <f t="shared" si="0"/>
        <v xml:space="preserve"> </v>
      </c>
      <c r="B2611" s="81" t="str">
        <f t="shared" si="1"/>
        <v xml:space="preserve"> </v>
      </c>
      <c r="C2611" s="79" t="str">
        <f t="shared" si="7"/>
        <v xml:space="preserve"> </v>
      </c>
      <c r="D2611" s="79" t="str">
        <f t="shared" si="5"/>
        <v xml:space="preserve"> </v>
      </c>
      <c r="E2611" s="79" t="str">
        <f t="shared" si="6"/>
        <v xml:space="preserve"> </v>
      </c>
    </row>
    <row r="2612" spans="1:5" ht="12.5">
      <c r="A2612" s="81" t="str">
        <f t="shared" si="0"/>
        <v xml:space="preserve"> </v>
      </c>
      <c r="B2612" s="81" t="str">
        <f t="shared" si="1"/>
        <v xml:space="preserve"> </v>
      </c>
      <c r="C2612" s="79" t="str">
        <f t="shared" si="7"/>
        <v xml:space="preserve"> </v>
      </c>
      <c r="D2612" s="79" t="str">
        <f t="shared" si="5"/>
        <v xml:space="preserve"> </v>
      </c>
      <c r="E2612" s="79" t="str">
        <f t="shared" si="6"/>
        <v xml:space="preserve"> </v>
      </c>
    </row>
    <row r="2613" spans="1:5" ht="12.5">
      <c r="A2613" s="81" t="str">
        <f t="shared" si="0"/>
        <v xml:space="preserve"> </v>
      </c>
      <c r="B2613" s="81" t="str">
        <f t="shared" si="1"/>
        <v xml:space="preserve"> </v>
      </c>
      <c r="C2613" s="79" t="str">
        <f t="shared" si="7"/>
        <v xml:space="preserve"> </v>
      </c>
      <c r="D2613" s="79" t="str">
        <f t="shared" si="5"/>
        <v xml:space="preserve"> </v>
      </c>
      <c r="E2613" s="79" t="str">
        <f t="shared" si="6"/>
        <v xml:space="preserve"> </v>
      </c>
    </row>
    <row r="2614" spans="1:5" ht="12.5">
      <c r="A2614" s="81" t="str">
        <f t="shared" si="0"/>
        <v xml:space="preserve"> </v>
      </c>
      <c r="B2614" s="81" t="str">
        <f t="shared" si="1"/>
        <v xml:space="preserve"> </v>
      </c>
      <c r="C2614" s="79" t="str">
        <f t="shared" si="7"/>
        <v xml:space="preserve"> </v>
      </c>
      <c r="D2614" s="79" t="str">
        <f t="shared" si="5"/>
        <v xml:space="preserve"> </v>
      </c>
      <c r="E2614" s="79" t="str">
        <f t="shared" si="6"/>
        <v xml:space="preserve"> </v>
      </c>
    </row>
    <row r="2615" spans="1:5" ht="12.5">
      <c r="A2615" s="81" t="str">
        <f t="shared" si="0"/>
        <v xml:space="preserve"> </v>
      </c>
      <c r="B2615" s="81" t="str">
        <f t="shared" si="1"/>
        <v xml:space="preserve"> </v>
      </c>
      <c r="C2615" s="79" t="str">
        <f t="shared" si="7"/>
        <v xml:space="preserve"> </v>
      </c>
      <c r="D2615" s="79" t="str">
        <f t="shared" si="5"/>
        <v xml:space="preserve"> </v>
      </c>
      <c r="E2615" s="79" t="str">
        <f t="shared" si="6"/>
        <v xml:space="preserve"> </v>
      </c>
    </row>
    <row r="2616" spans="1:5" ht="12.5">
      <c r="A2616" s="81" t="str">
        <f t="shared" si="0"/>
        <v xml:space="preserve"> </v>
      </c>
      <c r="B2616" s="81" t="str">
        <f t="shared" si="1"/>
        <v xml:space="preserve"> </v>
      </c>
      <c r="C2616" s="79" t="str">
        <f t="shared" si="7"/>
        <v xml:space="preserve"> </v>
      </c>
      <c r="D2616" s="79" t="str">
        <f t="shared" si="5"/>
        <v xml:space="preserve"> </v>
      </c>
      <c r="E2616" s="79" t="str">
        <f t="shared" si="6"/>
        <v xml:space="preserve"> </v>
      </c>
    </row>
    <row r="2617" spans="1:5" ht="12.5">
      <c r="A2617" s="81" t="str">
        <f t="shared" si="0"/>
        <v xml:space="preserve"> </v>
      </c>
      <c r="B2617" s="81" t="str">
        <f t="shared" si="1"/>
        <v xml:space="preserve"> </v>
      </c>
      <c r="C2617" s="79" t="str">
        <f t="shared" si="7"/>
        <v xml:space="preserve"> </v>
      </c>
      <c r="D2617" s="79" t="str">
        <f t="shared" si="5"/>
        <v xml:space="preserve"> </v>
      </c>
      <c r="E2617" s="79" t="str">
        <f t="shared" si="6"/>
        <v xml:space="preserve"> </v>
      </c>
    </row>
    <row r="2618" spans="1:5" ht="12.5">
      <c r="A2618" s="81" t="str">
        <f t="shared" si="0"/>
        <v xml:space="preserve"> </v>
      </c>
      <c r="B2618" s="81" t="str">
        <f t="shared" si="1"/>
        <v xml:space="preserve"> </v>
      </c>
      <c r="C2618" s="79" t="str">
        <f t="shared" si="7"/>
        <v xml:space="preserve"> </v>
      </c>
      <c r="D2618" s="79" t="str">
        <f t="shared" si="5"/>
        <v xml:space="preserve"> </v>
      </c>
      <c r="E2618" s="79" t="str">
        <f t="shared" si="6"/>
        <v xml:space="preserve"> </v>
      </c>
    </row>
    <row r="2619" spans="1:5" ht="12.5">
      <c r="A2619" s="81" t="str">
        <f t="shared" si="0"/>
        <v xml:space="preserve"> </v>
      </c>
      <c r="B2619" s="81" t="str">
        <f t="shared" si="1"/>
        <v xml:space="preserve"> </v>
      </c>
      <c r="C2619" s="79" t="str">
        <f t="shared" si="7"/>
        <v xml:space="preserve"> </v>
      </c>
      <c r="D2619" s="79" t="str">
        <f t="shared" si="5"/>
        <v xml:space="preserve"> </v>
      </c>
      <c r="E2619" s="79" t="str">
        <f t="shared" si="6"/>
        <v xml:space="preserve"> </v>
      </c>
    </row>
    <row r="2620" spans="1:5" ht="12.5">
      <c r="A2620" s="81" t="str">
        <f t="shared" si="0"/>
        <v xml:space="preserve"> </v>
      </c>
      <c r="B2620" s="81" t="str">
        <f t="shared" si="1"/>
        <v xml:space="preserve"> </v>
      </c>
      <c r="C2620" s="79" t="str">
        <f t="shared" si="7"/>
        <v xml:space="preserve"> </v>
      </c>
      <c r="D2620" s="79" t="str">
        <f t="shared" si="5"/>
        <v xml:space="preserve"> </v>
      </c>
      <c r="E2620" s="79" t="str">
        <f t="shared" si="6"/>
        <v xml:space="preserve"> </v>
      </c>
    </row>
    <row r="2621" spans="1:5" ht="12.5">
      <c r="A2621" s="81" t="str">
        <f t="shared" si="0"/>
        <v xml:space="preserve"> </v>
      </c>
      <c r="B2621" s="81" t="str">
        <f t="shared" si="1"/>
        <v xml:space="preserve"> </v>
      </c>
      <c r="C2621" s="79" t="str">
        <f t="shared" si="7"/>
        <v xml:space="preserve"> </v>
      </c>
      <c r="D2621" s="79" t="str">
        <f t="shared" si="5"/>
        <v xml:space="preserve"> </v>
      </c>
      <c r="E2621" s="79" t="str">
        <f t="shared" si="6"/>
        <v xml:space="preserve"> </v>
      </c>
    </row>
    <row r="2622" spans="1:5" ht="12.5">
      <c r="A2622" s="81" t="str">
        <f t="shared" si="0"/>
        <v xml:space="preserve"> </v>
      </c>
      <c r="B2622" s="81" t="str">
        <f t="shared" si="1"/>
        <v xml:space="preserve"> </v>
      </c>
      <c r="C2622" s="79" t="str">
        <f t="shared" si="7"/>
        <v xml:space="preserve"> </v>
      </c>
      <c r="D2622" s="79" t="str">
        <f t="shared" si="5"/>
        <v xml:space="preserve"> </v>
      </c>
      <c r="E2622" s="79" t="str">
        <f t="shared" si="6"/>
        <v xml:space="preserve"> </v>
      </c>
    </row>
    <row r="2623" spans="1:5" ht="12.5">
      <c r="A2623" s="81" t="str">
        <f t="shared" si="0"/>
        <v xml:space="preserve"> </v>
      </c>
      <c r="B2623" s="81" t="str">
        <f t="shared" si="1"/>
        <v xml:space="preserve"> </v>
      </c>
      <c r="C2623" s="79" t="str">
        <f t="shared" si="7"/>
        <v xml:space="preserve"> </v>
      </c>
      <c r="D2623" s="79" t="str">
        <f t="shared" si="5"/>
        <v xml:space="preserve"> </v>
      </c>
      <c r="E2623" s="79" t="str">
        <f t="shared" si="6"/>
        <v xml:space="preserve"> </v>
      </c>
    </row>
    <row r="2624" spans="1:5" ht="12.5">
      <c r="A2624" s="81" t="str">
        <f t="shared" si="0"/>
        <v xml:space="preserve"> </v>
      </c>
      <c r="B2624" s="81" t="str">
        <f t="shared" si="1"/>
        <v xml:space="preserve"> </v>
      </c>
      <c r="C2624" s="79" t="str">
        <f t="shared" si="7"/>
        <v xml:space="preserve"> </v>
      </c>
      <c r="D2624" s="79" t="str">
        <f t="shared" si="5"/>
        <v xml:space="preserve"> </v>
      </c>
      <c r="E2624" s="79" t="str">
        <f t="shared" si="6"/>
        <v xml:space="preserve"> </v>
      </c>
    </row>
    <row r="2625" spans="1:5" ht="12.5">
      <c r="A2625" s="81" t="str">
        <f t="shared" si="0"/>
        <v xml:space="preserve"> </v>
      </c>
      <c r="B2625" s="81" t="str">
        <f t="shared" si="1"/>
        <v xml:space="preserve"> </v>
      </c>
      <c r="C2625" s="79" t="str">
        <f t="shared" si="7"/>
        <v xml:space="preserve"> </v>
      </c>
      <c r="D2625" s="79" t="str">
        <f t="shared" si="5"/>
        <v xml:space="preserve"> </v>
      </c>
      <c r="E2625" s="79" t="str">
        <f t="shared" si="6"/>
        <v xml:space="preserve"> </v>
      </c>
    </row>
    <row r="2626" spans="1:5" ht="12.5">
      <c r="A2626" s="81" t="str">
        <f t="shared" si="0"/>
        <v xml:space="preserve"> </v>
      </c>
      <c r="B2626" s="81" t="str">
        <f t="shared" si="1"/>
        <v xml:space="preserve"> </v>
      </c>
      <c r="C2626" s="79" t="str">
        <f t="shared" si="7"/>
        <v xml:space="preserve"> </v>
      </c>
      <c r="D2626" s="79" t="str">
        <f t="shared" si="5"/>
        <v xml:space="preserve"> </v>
      </c>
      <c r="E2626" s="79" t="str">
        <f t="shared" si="6"/>
        <v xml:space="preserve"> </v>
      </c>
    </row>
    <row r="2627" spans="1:5" ht="12.5">
      <c r="A2627" s="81" t="str">
        <f t="shared" si="0"/>
        <v xml:space="preserve"> </v>
      </c>
      <c r="B2627" s="81" t="str">
        <f t="shared" si="1"/>
        <v xml:space="preserve"> </v>
      </c>
      <c r="C2627" s="79" t="str">
        <f t="shared" si="7"/>
        <v xml:space="preserve"> </v>
      </c>
      <c r="D2627" s="79" t="str">
        <f t="shared" si="5"/>
        <v xml:space="preserve"> </v>
      </c>
      <c r="E2627" s="79" t="str">
        <f t="shared" si="6"/>
        <v xml:space="preserve"> </v>
      </c>
    </row>
    <row r="2628" spans="1:5" ht="12.5">
      <c r="A2628" s="81" t="str">
        <f t="shared" si="0"/>
        <v xml:space="preserve"> </v>
      </c>
      <c r="B2628" s="81" t="str">
        <f t="shared" si="1"/>
        <v xml:space="preserve"> </v>
      </c>
      <c r="C2628" s="79" t="str">
        <f t="shared" si="7"/>
        <v xml:space="preserve"> </v>
      </c>
      <c r="D2628" s="79" t="str">
        <f t="shared" si="5"/>
        <v xml:space="preserve"> </v>
      </c>
      <c r="E2628" s="79" t="str">
        <f t="shared" si="6"/>
        <v xml:space="preserve"> </v>
      </c>
    </row>
    <row r="2629" spans="1:5" ht="12.5">
      <c r="A2629" s="81" t="str">
        <f t="shared" si="0"/>
        <v xml:space="preserve"> </v>
      </c>
      <c r="B2629" s="81" t="str">
        <f t="shared" si="1"/>
        <v xml:space="preserve"> </v>
      </c>
      <c r="C2629" s="79" t="str">
        <f t="shared" si="7"/>
        <v xml:space="preserve"> </v>
      </c>
      <c r="D2629" s="79" t="str">
        <f t="shared" si="5"/>
        <v xml:space="preserve"> </v>
      </c>
      <c r="E2629" s="79" t="str">
        <f t="shared" si="6"/>
        <v xml:space="preserve"> </v>
      </c>
    </row>
    <row r="2630" spans="1:5" ht="12.5">
      <c r="A2630" s="81" t="str">
        <f t="shared" si="0"/>
        <v xml:space="preserve"> </v>
      </c>
      <c r="B2630" s="81" t="str">
        <f t="shared" si="1"/>
        <v xml:space="preserve"> </v>
      </c>
      <c r="C2630" s="79" t="str">
        <f t="shared" si="7"/>
        <v xml:space="preserve"> </v>
      </c>
      <c r="D2630" s="79" t="str">
        <f t="shared" si="5"/>
        <v xml:space="preserve"> </v>
      </c>
      <c r="E2630" s="79" t="str">
        <f t="shared" si="6"/>
        <v xml:space="preserve"> </v>
      </c>
    </row>
    <row r="2631" spans="1:5" ht="12.5">
      <c r="A2631" s="81" t="str">
        <f t="shared" si="0"/>
        <v xml:space="preserve"> </v>
      </c>
      <c r="B2631" s="81" t="str">
        <f t="shared" si="1"/>
        <v xml:space="preserve"> </v>
      </c>
      <c r="C2631" s="79" t="str">
        <f t="shared" si="7"/>
        <v xml:space="preserve"> </v>
      </c>
      <c r="D2631" s="79" t="str">
        <f t="shared" si="5"/>
        <v xml:space="preserve"> </v>
      </c>
      <c r="E2631" s="79" t="str">
        <f t="shared" si="6"/>
        <v xml:space="preserve"> </v>
      </c>
    </row>
    <row r="2632" spans="1:5" ht="12.5">
      <c r="A2632" s="81" t="str">
        <f t="shared" si="0"/>
        <v xml:space="preserve"> </v>
      </c>
      <c r="B2632" s="81" t="str">
        <f t="shared" si="1"/>
        <v xml:space="preserve"> </v>
      </c>
      <c r="C2632" s="79" t="str">
        <f t="shared" si="7"/>
        <v xml:space="preserve"> </v>
      </c>
      <c r="D2632" s="79" t="str">
        <f t="shared" si="5"/>
        <v xml:space="preserve"> </v>
      </c>
      <c r="E2632" s="79" t="str">
        <f t="shared" si="6"/>
        <v xml:space="preserve"> </v>
      </c>
    </row>
    <row r="2633" spans="1:5" ht="12.5">
      <c r="A2633" s="81" t="str">
        <f t="shared" si="0"/>
        <v xml:space="preserve"> </v>
      </c>
      <c r="B2633" s="81" t="str">
        <f t="shared" si="1"/>
        <v xml:space="preserve"> </v>
      </c>
      <c r="C2633" s="79" t="str">
        <f t="shared" si="7"/>
        <v xml:space="preserve"> </v>
      </c>
      <c r="D2633" s="79" t="str">
        <f t="shared" si="5"/>
        <v xml:space="preserve"> </v>
      </c>
      <c r="E2633" s="79" t="str">
        <f t="shared" si="6"/>
        <v xml:space="preserve"> </v>
      </c>
    </row>
    <row r="2634" spans="1:5" ht="12.5">
      <c r="A2634" s="81" t="str">
        <f t="shared" si="0"/>
        <v xml:space="preserve"> </v>
      </c>
      <c r="B2634" s="81" t="str">
        <f t="shared" si="1"/>
        <v xml:space="preserve"> </v>
      </c>
      <c r="C2634" s="79" t="str">
        <f t="shared" si="7"/>
        <v xml:space="preserve"> </v>
      </c>
      <c r="D2634" s="79" t="str">
        <f t="shared" si="5"/>
        <v xml:space="preserve"> </v>
      </c>
      <c r="E2634" s="79" t="str">
        <f t="shared" si="6"/>
        <v xml:space="preserve"> </v>
      </c>
    </row>
    <row r="2635" spans="1:5" ht="12.5">
      <c r="A2635" s="81" t="str">
        <f t="shared" si="0"/>
        <v xml:space="preserve"> </v>
      </c>
      <c r="B2635" s="81" t="str">
        <f t="shared" si="1"/>
        <v xml:space="preserve"> </v>
      </c>
      <c r="C2635" s="79" t="str">
        <f t="shared" si="7"/>
        <v xml:space="preserve"> </v>
      </c>
      <c r="D2635" s="79" t="str">
        <f t="shared" si="5"/>
        <v xml:space="preserve"> </v>
      </c>
      <c r="E2635" s="79" t="str">
        <f t="shared" si="6"/>
        <v xml:space="preserve"> </v>
      </c>
    </row>
    <row r="2636" spans="1:5" ht="12.5">
      <c r="A2636" s="81" t="str">
        <f t="shared" si="0"/>
        <v xml:space="preserve"> </v>
      </c>
      <c r="B2636" s="81" t="str">
        <f t="shared" si="1"/>
        <v xml:space="preserve"> </v>
      </c>
      <c r="C2636" s="79" t="str">
        <f t="shared" si="7"/>
        <v xml:space="preserve"> </v>
      </c>
      <c r="D2636" s="79" t="str">
        <f t="shared" si="5"/>
        <v xml:space="preserve"> </v>
      </c>
      <c r="E2636" s="79" t="str">
        <f t="shared" si="6"/>
        <v xml:space="preserve"> </v>
      </c>
    </row>
    <row r="2637" spans="1:5" ht="12.5">
      <c r="A2637" s="81" t="str">
        <f t="shared" si="0"/>
        <v xml:space="preserve"> </v>
      </c>
      <c r="B2637" s="81" t="str">
        <f t="shared" si="1"/>
        <v xml:space="preserve"> </v>
      </c>
      <c r="C2637" s="79" t="str">
        <f t="shared" si="7"/>
        <v xml:space="preserve"> </v>
      </c>
      <c r="D2637" s="79" t="str">
        <f t="shared" si="5"/>
        <v xml:space="preserve"> </v>
      </c>
      <c r="E2637" s="79" t="str">
        <f t="shared" si="6"/>
        <v xml:space="preserve"> </v>
      </c>
    </row>
    <row r="2638" spans="1:5" ht="12.5">
      <c r="A2638" s="81" t="str">
        <f t="shared" si="0"/>
        <v xml:space="preserve"> </v>
      </c>
      <c r="B2638" s="81" t="str">
        <f t="shared" si="1"/>
        <v xml:space="preserve"> </v>
      </c>
      <c r="C2638" s="79" t="str">
        <f t="shared" si="7"/>
        <v xml:space="preserve"> </v>
      </c>
      <c r="D2638" s="79" t="str">
        <f t="shared" si="5"/>
        <v xml:space="preserve"> </v>
      </c>
      <c r="E2638" s="79" t="str">
        <f t="shared" si="6"/>
        <v xml:space="preserve"> </v>
      </c>
    </row>
    <row r="2639" spans="1:5" ht="12.5">
      <c r="A2639" s="81" t="str">
        <f t="shared" si="0"/>
        <v xml:space="preserve"> </v>
      </c>
      <c r="B2639" s="81" t="str">
        <f t="shared" si="1"/>
        <v xml:space="preserve"> </v>
      </c>
      <c r="C2639" s="79" t="str">
        <f t="shared" si="7"/>
        <v xml:space="preserve"> </v>
      </c>
      <c r="D2639" s="79" t="str">
        <f t="shared" si="5"/>
        <v xml:space="preserve"> </v>
      </c>
      <c r="E2639" s="79" t="str">
        <f t="shared" si="6"/>
        <v xml:space="preserve"> </v>
      </c>
    </row>
    <row r="2640" spans="1:5" ht="12.5">
      <c r="A2640" s="81" t="str">
        <f t="shared" si="0"/>
        <v xml:space="preserve"> </v>
      </c>
      <c r="B2640" s="81" t="str">
        <f t="shared" si="1"/>
        <v xml:space="preserve"> </v>
      </c>
      <c r="C2640" s="79" t="str">
        <f t="shared" si="7"/>
        <v xml:space="preserve"> </v>
      </c>
      <c r="D2640" s="79" t="str">
        <f t="shared" si="5"/>
        <v xml:space="preserve"> </v>
      </c>
      <c r="E2640" s="79" t="str">
        <f t="shared" si="6"/>
        <v xml:space="preserve"> </v>
      </c>
    </row>
    <row r="2641" spans="1:5" ht="12.5">
      <c r="A2641" s="81" t="str">
        <f t="shared" si="0"/>
        <v xml:space="preserve"> </v>
      </c>
      <c r="B2641" s="81" t="str">
        <f t="shared" si="1"/>
        <v xml:space="preserve"> </v>
      </c>
      <c r="C2641" s="79" t="str">
        <f t="shared" si="7"/>
        <v xml:space="preserve"> </v>
      </c>
      <c r="D2641" s="79" t="str">
        <f t="shared" si="5"/>
        <v xml:space="preserve"> </v>
      </c>
      <c r="E2641" s="79" t="str">
        <f t="shared" si="6"/>
        <v xml:space="preserve"> </v>
      </c>
    </row>
    <row r="2642" spans="1:5" ht="12.5">
      <c r="A2642" s="81" t="str">
        <f t="shared" si="0"/>
        <v xml:space="preserve"> </v>
      </c>
      <c r="B2642" s="81" t="str">
        <f t="shared" si="1"/>
        <v xml:space="preserve"> </v>
      </c>
      <c r="C2642" s="79" t="str">
        <f t="shared" si="7"/>
        <v xml:space="preserve"> </v>
      </c>
      <c r="D2642" s="79" t="str">
        <f t="shared" si="5"/>
        <v xml:space="preserve"> </v>
      </c>
      <c r="E2642" s="79" t="str">
        <f t="shared" si="6"/>
        <v xml:space="preserve"> </v>
      </c>
    </row>
    <row r="2643" spans="1:5" ht="12.5">
      <c r="A2643" s="81" t="str">
        <f t="shared" si="0"/>
        <v xml:space="preserve"> </v>
      </c>
      <c r="B2643" s="81" t="str">
        <f t="shared" si="1"/>
        <v xml:space="preserve"> </v>
      </c>
      <c r="C2643" s="79" t="str">
        <f t="shared" si="7"/>
        <v xml:space="preserve"> </v>
      </c>
      <c r="D2643" s="79" t="str">
        <f t="shared" si="5"/>
        <v xml:space="preserve"> </v>
      </c>
      <c r="E2643" s="79" t="str">
        <f t="shared" si="6"/>
        <v xml:space="preserve"> </v>
      </c>
    </row>
    <row r="2644" spans="1:5" ht="12.5">
      <c r="A2644" s="81" t="str">
        <f t="shared" si="0"/>
        <v xml:space="preserve"> </v>
      </c>
      <c r="B2644" s="81" t="str">
        <f t="shared" si="1"/>
        <v xml:space="preserve"> </v>
      </c>
      <c r="C2644" s="79" t="str">
        <f t="shared" si="7"/>
        <v xml:space="preserve"> </v>
      </c>
      <c r="D2644" s="79" t="str">
        <f t="shared" si="5"/>
        <v xml:space="preserve"> </v>
      </c>
      <c r="E2644" s="79" t="str">
        <f t="shared" si="6"/>
        <v xml:space="preserve"> </v>
      </c>
    </row>
    <row r="2645" spans="1:5" ht="12.5">
      <c r="A2645" s="81" t="str">
        <f t="shared" si="0"/>
        <v xml:space="preserve"> </v>
      </c>
      <c r="B2645" s="81" t="str">
        <f t="shared" si="1"/>
        <v xml:space="preserve"> </v>
      </c>
      <c r="C2645" s="79" t="str">
        <f t="shared" si="7"/>
        <v xml:space="preserve"> </v>
      </c>
      <c r="D2645" s="79" t="str">
        <f t="shared" si="5"/>
        <v xml:space="preserve"> </v>
      </c>
      <c r="E2645" s="79" t="str">
        <f t="shared" si="6"/>
        <v xml:space="preserve"> </v>
      </c>
    </row>
    <row r="2646" spans="1:5" ht="12.5">
      <c r="A2646" s="81" t="str">
        <f t="shared" si="0"/>
        <v xml:space="preserve"> </v>
      </c>
      <c r="B2646" s="81" t="str">
        <f t="shared" si="1"/>
        <v xml:space="preserve"> </v>
      </c>
      <c r="C2646" s="79" t="str">
        <f t="shared" si="7"/>
        <v xml:space="preserve"> </v>
      </c>
      <c r="D2646" s="79" t="str">
        <f t="shared" si="5"/>
        <v xml:space="preserve"> </v>
      </c>
      <c r="E2646" s="79" t="str">
        <f t="shared" si="6"/>
        <v xml:space="preserve"> </v>
      </c>
    </row>
    <row r="2647" spans="1:5" ht="12.5">
      <c r="A2647" s="81" t="str">
        <f t="shared" si="0"/>
        <v xml:space="preserve"> </v>
      </c>
      <c r="B2647" s="81" t="str">
        <f t="shared" si="1"/>
        <v xml:space="preserve"> </v>
      </c>
      <c r="C2647" s="79" t="str">
        <f t="shared" si="7"/>
        <v xml:space="preserve"> </v>
      </c>
      <c r="D2647" s="79" t="str">
        <f t="shared" si="5"/>
        <v xml:space="preserve"> </v>
      </c>
      <c r="E2647" s="79" t="str">
        <f t="shared" si="6"/>
        <v xml:space="preserve"> </v>
      </c>
    </row>
    <row r="2648" spans="1:5" ht="12.5">
      <c r="A2648" s="81" t="str">
        <f t="shared" si="0"/>
        <v xml:space="preserve"> </v>
      </c>
      <c r="B2648" s="81" t="str">
        <f t="shared" si="1"/>
        <v xml:space="preserve"> </v>
      </c>
      <c r="C2648" s="79" t="str">
        <f t="shared" si="7"/>
        <v xml:space="preserve"> </v>
      </c>
      <c r="D2648" s="79" t="str">
        <f t="shared" si="5"/>
        <v xml:space="preserve"> </v>
      </c>
      <c r="E2648" s="79" t="str">
        <f t="shared" si="6"/>
        <v xml:space="preserve"> </v>
      </c>
    </row>
    <row r="2649" spans="1:5" ht="12.5">
      <c r="A2649" s="81" t="str">
        <f t="shared" si="0"/>
        <v xml:space="preserve"> </v>
      </c>
      <c r="B2649" s="81" t="str">
        <f t="shared" si="1"/>
        <v xml:space="preserve"> </v>
      </c>
      <c r="C2649" s="79" t="str">
        <f t="shared" si="7"/>
        <v xml:space="preserve"> </v>
      </c>
      <c r="D2649" s="79" t="str">
        <f t="shared" si="5"/>
        <v xml:space="preserve"> </v>
      </c>
      <c r="E2649" s="79" t="str">
        <f t="shared" si="6"/>
        <v xml:space="preserve"> </v>
      </c>
    </row>
    <row r="2650" spans="1:5" ht="12.5">
      <c r="A2650" s="81" t="str">
        <f t="shared" si="0"/>
        <v xml:space="preserve"> </v>
      </c>
      <c r="B2650" s="81" t="str">
        <f t="shared" si="1"/>
        <v xml:space="preserve"> </v>
      </c>
      <c r="C2650" s="79" t="str">
        <f t="shared" si="7"/>
        <v xml:space="preserve"> </v>
      </c>
      <c r="D2650" s="79" t="str">
        <f t="shared" si="5"/>
        <v xml:space="preserve"> </v>
      </c>
      <c r="E2650" s="79" t="str">
        <f t="shared" si="6"/>
        <v xml:space="preserve"> </v>
      </c>
    </row>
    <row r="2651" spans="1:5" ht="12.5">
      <c r="A2651" s="81" t="str">
        <f t="shared" si="0"/>
        <v xml:space="preserve"> </v>
      </c>
      <c r="B2651" s="81" t="str">
        <f t="shared" si="1"/>
        <v xml:space="preserve"> </v>
      </c>
      <c r="C2651" s="79" t="str">
        <f t="shared" si="7"/>
        <v xml:space="preserve"> </v>
      </c>
      <c r="D2651" s="79" t="str">
        <f t="shared" si="5"/>
        <v xml:space="preserve"> </v>
      </c>
      <c r="E2651" s="79" t="str">
        <f t="shared" si="6"/>
        <v xml:space="preserve"> </v>
      </c>
    </row>
    <row r="2652" spans="1:5" ht="12.5">
      <c r="A2652" s="81" t="str">
        <f t="shared" si="0"/>
        <v xml:space="preserve"> </v>
      </c>
      <c r="B2652" s="81" t="str">
        <f t="shared" si="1"/>
        <v xml:space="preserve"> </v>
      </c>
      <c r="C2652" s="79" t="str">
        <f t="shared" si="7"/>
        <v xml:space="preserve"> </v>
      </c>
      <c r="D2652" s="79" t="str">
        <f t="shared" si="5"/>
        <v xml:space="preserve"> </v>
      </c>
      <c r="E2652" s="79" t="str">
        <f t="shared" si="6"/>
        <v xml:space="preserve"> </v>
      </c>
    </row>
    <row r="2653" spans="1:5" ht="12.5">
      <c r="A2653" s="81" t="str">
        <f t="shared" si="0"/>
        <v xml:space="preserve"> </v>
      </c>
      <c r="B2653" s="81" t="str">
        <f t="shared" si="1"/>
        <v xml:space="preserve"> </v>
      </c>
      <c r="C2653" s="79" t="str">
        <f t="shared" si="7"/>
        <v xml:space="preserve"> </v>
      </c>
      <c r="D2653" s="79" t="str">
        <f t="shared" si="5"/>
        <v xml:space="preserve"> </v>
      </c>
      <c r="E2653" s="79" t="str">
        <f t="shared" si="6"/>
        <v xml:space="preserve"> </v>
      </c>
    </row>
    <row r="2654" spans="1:5" ht="12.5">
      <c r="A2654" s="81" t="str">
        <f t="shared" si="0"/>
        <v xml:space="preserve"> </v>
      </c>
      <c r="B2654" s="81" t="str">
        <f t="shared" si="1"/>
        <v xml:space="preserve"> </v>
      </c>
      <c r="C2654" s="79" t="str">
        <f t="shared" si="7"/>
        <v xml:space="preserve"> </v>
      </c>
      <c r="D2654" s="79" t="str">
        <f t="shared" si="5"/>
        <v xml:space="preserve"> </v>
      </c>
      <c r="E2654" s="79" t="str">
        <f t="shared" si="6"/>
        <v xml:space="preserve"> </v>
      </c>
    </row>
    <row r="2655" spans="1:5" ht="12.5">
      <c r="A2655" s="81" t="str">
        <f t="shared" si="0"/>
        <v xml:space="preserve"> </v>
      </c>
      <c r="B2655" s="81" t="str">
        <f t="shared" si="1"/>
        <v xml:space="preserve"> </v>
      </c>
      <c r="C2655" s="79" t="str">
        <f t="shared" si="7"/>
        <v xml:space="preserve"> </v>
      </c>
      <c r="D2655" s="79" t="str">
        <f t="shared" si="5"/>
        <v xml:space="preserve"> </v>
      </c>
      <c r="E2655" s="79" t="str">
        <f t="shared" si="6"/>
        <v xml:space="preserve"> </v>
      </c>
    </row>
    <row r="2656" spans="1:5" ht="12.5">
      <c r="A2656" s="81" t="str">
        <f t="shared" si="0"/>
        <v xml:space="preserve"> </v>
      </c>
      <c r="B2656" s="81" t="str">
        <f t="shared" si="1"/>
        <v xml:space="preserve"> </v>
      </c>
      <c r="C2656" s="79" t="str">
        <f t="shared" si="7"/>
        <v xml:space="preserve"> </v>
      </c>
      <c r="D2656" s="79" t="str">
        <f t="shared" si="5"/>
        <v xml:space="preserve"> </v>
      </c>
      <c r="E2656" s="79" t="str">
        <f t="shared" si="6"/>
        <v xml:space="preserve"> </v>
      </c>
    </row>
    <row r="2657" spans="1:5" ht="12.5">
      <c r="A2657" s="81" t="str">
        <f t="shared" si="0"/>
        <v xml:space="preserve"> </v>
      </c>
      <c r="B2657" s="81" t="str">
        <f t="shared" si="1"/>
        <v xml:space="preserve"> </v>
      </c>
      <c r="C2657" s="79" t="str">
        <f t="shared" si="7"/>
        <v xml:space="preserve"> </v>
      </c>
      <c r="D2657" s="79" t="str">
        <f t="shared" si="5"/>
        <v xml:space="preserve"> </v>
      </c>
      <c r="E2657" s="79" t="str">
        <f t="shared" si="6"/>
        <v xml:space="preserve"> </v>
      </c>
    </row>
    <row r="2658" spans="1:5" ht="12.5">
      <c r="A2658" s="81" t="str">
        <f t="shared" si="0"/>
        <v xml:space="preserve"> </v>
      </c>
      <c r="B2658" s="81" t="str">
        <f t="shared" si="1"/>
        <v xml:space="preserve"> </v>
      </c>
      <c r="C2658" s="79" t="str">
        <f t="shared" si="7"/>
        <v xml:space="preserve"> </v>
      </c>
      <c r="D2658" s="79" t="str">
        <f t="shared" si="5"/>
        <v xml:space="preserve"> </v>
      </c>
      <c r="E2658" s="79" t="str">
        <f t="shared" si="6"/>
        <v xml:space="preserve"> </v>
      </c>
    </row>
    <row r="2659" spans="1:5" ht="12.5">
      <c r="A2659" s="81" t="str">
        <f t="shared" si="0"/>
        <v xml:space="preserve"> </v>
      </c>
      <c r="B2659" s="81" t="str">
        <f t="shared" si="1"/>
        <v xml:space="preserve"> </v>
      </c>
      <c r="C2659" s="79" t="str">
        <f t="shared" si="7"/>
        <v xml:space="preserve"> </v>
      </c>
      <c r="D2659" s="79" t="str">
        <f t="shared" si="5"/>
        <v xml:space="preserve"> </v>
      </c>
      <c r="E2659" s="79" t="str">
        <f t="shared" si="6"/>
        <v xml:space="preserve"> </v>
      </c>
    </row>
    <row r="2660" spans="1:5" ht="12.5">
      <c r="A2660" s="81" t="str">
        <f t="shared" si="0"/>
        <v xml:space="preserve"> </v>
      </c>
      <c r="B2660" s="81" t="str">
        <f t="shared" si="1"/>
        <v xml:space="preserve"> </v>
      </c>
      <c r="C2660" s="79" t="str">
        <f t="shared" si="7"/>
        <v xml:space="preserve"> </v>
      </c>
      <c r="D2660" s="79" t="str">
        <f t="shared" si="5"/>
        <v xml:space="preserve"> </v>
      </c>
      <c r="E2660" s="79" t="str">
        <f t="shared" si="6"/>
        <v xml:space="preserve"> </v>
      </c>
    </row>
    <row r="2661" spans="1:5" ht="12.5">
      <c r="A2661" s="81" t="str">
        <f t="shared" si="0"/>
        <v xml:space="preserve"> </v>
      </c>
      <c r="B2661" s="81" t="str">
        <f t="shared" si="1"/>
        <v xml:space="preserve"> </v>
      </c>
      <c r="C2661" s="79" t="str">
        <f t="shared" si="7"/>
        <v xml:space="preserve"> </v>
      </c>
      <c r="D2661" s="79" t="str">
        <f t="shared" si="5"/>
        <v xml:space="preserve"> </v>
      </c>
      <c r="E2661" s="79" t="str">
        <f t="shared" si="6"/>
        <v xml:space="preserve"> </v>
      </c>
    </row>
    <row r="2662" spans="1:5" ht="12.5">
      <c r="A2662" s="81" t="str">
        <f t="shared" si="0"/>
        <v xml:space="preserve"> </v>
      </c>
      <c r="B2662" s="81" t="str">
        <f t="shared" si="1"/>
        <v xml:space="preserve"> </v>
      </c>
      <c r="C2662" s="79" t="str">
        <f t="shared" si="7"/>
        <v xml:space="preserve"> </v>
      </c>
      <c r="D2662" s="79" t="str">
        <f t="shared" si="5"/>
        <v xml:space="preserve"> </v>
      </c>
      <c r="E2662" s="79" t="str">
        <f t="shared" si="6"/>
        <v xml:space="preserve"> </v>
      </c>
    </row>
    <row r="2663" spans="1:5" ht="12.5">
      <c r="A2663" s="81" t="str">
        <f t="shared" si="0"/>
        <v xml:space="preserve"> </v>
      </c>
      <c r="B2663" s="81" t="str">
        <f t="shared" si="1"/>
        <v xml:space="preserve"> </v>
      </c>
      <c r="C2663" s="79" t="str">
        <f t="shared" si="7"/>
        <v xml:space="preserve"> </v>
      </c>
      <c r="D2663" s="79" t="str">
        <f t="shared" si="5"/>
        <v xml:space="preserve"> </v>
      </c>
      <c r="E2663" s="79" t="str">
        <f t="shared" si="6"/>
        <v xml:space="preserve"> </v>
      </c>
    </row>
    <row r="2664" spans="1:5" ht="12.5">
      <c r="A2664" s="81" t="str">
        <f t="shared" si="0"/>
        <v xml:space="preserve"> </v>
      </c>
      <c r="B2664" s="81" t="str">
        <f t="shared" si="1"/>
        <v xml:space="preserve"> </v>
      </c>
      <c r="C2664" s="79" t="str">
        <f t="shared" si="7"/>
        <v xml:space="preserve"> </v>
      </c>
      <c r="D2664" s="79" t="str">
        <f t="shared" si="5"/>
        <v xml:space="preserve"> </v>
      </c>
      <c r="E2664" s="79" t="str">
        <f t="shared" si="6"/>
        <v xml:space="preserve"> </v>
      </c>
    </row>
    <row r="2665" spans="1:5" ht="12.5">
      <c r="A2665" s="81" t="str">
        <f t="shared" si="0"/>
        <v xml:space="preserve"> </v>
      </c>
      <c r="B2665" s="81" t="str">
        <f t="shared" si="1"/>
        <v xml:space="preserve"> </v>
      </c>
      <c r="C2665" s="79" t="str">
        <f t="shared" si="7"/>
        <v xml:space="preserve"> </v>
      </c>
      <c r="D2665" s="79" t="str">
        <f t="shared" si="5"/>
        <v xml:space="preserve"> </v>
      </c>
      <c r="E2665" s="79" t="str">
        <f t="shared" si="6"/>
        <v xml:space="preserve"> </v>
      </c>
    </row>
    <row r="2666" spans="1:5" ht="12.5">
      <c r="A2666" s="81" t="str">
        <f t="shared" si="0"/>
        <v xml:space="preserve"> </v>
      </c>
      <c r="B2666" s="81" t="str">
        <f t="shared" si="1"/>
        <v xml:space="preserve"> </v>
      </c>
      <c r="C2666" s="79" t="str">
        <f t="shared" si="7"/>
        <v xml:space="preserve"> </v>
      </c>
      <c r="D2666" s="79" t="str">
        <f t="shared" si="5"/>
        <v xml:space="preserve"> </v>
      </c>
      <c r="E2666" s="79" t="str">
        <f t="shared" si="6"/>
        <v xml:space="preserve"> </v>
      </c>
    </row>
    <row r="2667" spans="1:5" ht="12.5">
      <c r="A2667" s="81" t="str">
        <f t="shared" si="0"/>
        <v xml:space="preserve"> </v>
      </c>
      <c r="B2667" s="81" t="str">
        <f t="shared" si="1"/>
        <v xml:space="preserve"> </v>
      </c>
      <c r="C2667" s="79" t="str">
        <f t="shared" si="7"/>
        <v xml:space="preserve"> </v>
      </c>
      <c r="D2667" s="79" t="str">
        <f t="shared" si="5"/>
        <v xml:space="preserve"> </v>
      </c>
      <c r="E2667" s="79" t="str">
        <f t="shared" si="6"/>
        <v xml:space="preserve"> </v>
      </c>
    </row>
    <row r="2668" spans="1:5" ht="12.5">
      <c r="A2668" s="81" t="str">
        <f t="shared" si="0"/>
        <v xml:space="preserve"> </v>
      </c>
      <c r="B2668" s="81" t="str">
        <f t="shared" si="1"/>
        <v xml:space="preserve"> </v>
      </c>
      <c r="C2668" s="79" t="str">
        <f t="shared" si="7"/>
        <v xml:space="preserve"> </v>
      </c>
      <c r="D2668" s="79" t="str">
        <f t="shared" si="5"/>
        <v xml:space="preserve"> </v>
      </c>
      <c r="E2668" s="79" t="str">
        <f t="shared" si="6"/>
        <v xml:space="preserve"> </v>
      </c>
    </row>
    <row r="2669" spans="1:5" ht="12.5">
      <c r="A2669" s="81" t="str">
        <f t="shared" si="0"/>
        <v xml:space="preserve"> </v>
      </c>
      <c r="B2669" s="81" t="str">
        <f t="shared" si="1"/>
        <v xml:space="preserve"> </v>
      </c>
      <c r="C2669" s="79" t="str">
        <f t="shared" si="7"/>
        <v xml:space="preserve"> </v>
      </c>
      <c r="D2669" s="79" t="str">
        <f t="shared" si="5"/>
        <v xml:space="preserve"> </v>
      </c>
      <c r="E2669" s="79" t="str">
        <f t="shared" si="6"/>
        <v xml:space="preserve"> </v>
      </c>
    </row>
    <row r="2670" spans="1:5" ht="12.5">
      <c r="A2670" s="81" t="str">
        <f t="shared" si="0"/>
        <v xml:space="preserve"> </v>
      </c>
      <c r="B2670" s="81" t="str">
        <f t="shared" si="1"/>
        <v xml:space="preserve"> </v>
      </c>
      <c r="C2670" s="79" t="str">
        <f t="shared" si="7"/>
        <v xml:space="preserve"> </v>
      </c>
      <c r="D2670" s="79" t="str">
        <f t="shared" si="5"/>
        <v xml:space="preserve"> </v>
      </c>
      <c r="E2670" s="79" t="str">
        <f t="shared" si="6"/>
        <v xml:space="preserve"> </v>
      </c>
    </row>
    <row r="2671" spans="1:5" ht="12.5">
      <c r="A2671" s="81" t="str">
        <f t="shared" si="0"/>
        <v xml:space="preserve"> </v>
      </c>
      <c r="B2671" s="81" t="str">
        <f t="shared" si="1"/>
        <v xml:space="preserve"> </v>
      </c>
      <c r="C2671" s="79" t="str">
        <f t="shared" si="7"/>
        <v xml:space="preserve"> </v>
      </c>
      <c r="D2671" s="79" t="str">
        <f t="shared" si="5"/>
        <v xml:space="preserve"> </v>
      </c>
      <c r="E2671" s="79" t="str">
        <f t="shared" si="6"/>
        <v xml:space="preserve"> </v>
      </c>
    </row>
    <row r="2672" spans="1:5" ht="12.5">
      <c r="A2672" s="81" t="str">
        <f t="shared" si="0"/>
        <v xml:space="preserve"> </v>
      </c>
      <c r="B2672" s="81" t="str">
        <f t="shared" si="1"/>
        <v xml:space="preserve"> </v>
      </c>
      <c r="C2672" s="79" t="str">
        <f t="shared" si="7"/>
        <v xml:space="preserve"> </v>
      </c>
      <c r="D2672" s="79" t="str">
        <f t="shared" si="5"/>
        <v xml:space="preserve"> </v>
      </c>
      <c r="E2672" s="79" t="str">
        <f t="shared" si="6"/>
        <v xml:space="preserve"> </v>
      </c>
    </row>
    <row r="2673" spans="1:5" ht="12.5">
      <c r="A2673" s="81" t="str">
        <f t="shared" si="0"/>
        <v xml:space="preserve"> </v>
      </c>
      <c r="B2673" s="81" t="str">
        <f t="shared" si="1"/>
        <v xml:space="preserve"> </v>
      </c>
      <c r="C2673" s="79" t="str">
        <f t="shared" si="7"/>
        <v xml:space="preserve"> </v>
      </c>
      <c r="D2673" s="79" t="str">
        <f t="shared" si="5"/>
        <v xml:space="preserve"> </v>
      </c>
      <c r="E2673" s="79" t="str">
        <f t="shared" si="6"/>
        <v xml:space="preserve"> </v>
      </c>
    </row>
    <row r="2674" spans="1:5" ht="12.5">
      <c r="A2674" s="81" t="str">
        <f t="shared" si="0"/>
        <v xml:space="preserve"> </v>
      </c>
      <c r="B2674" s="81" t="str">
        <f t="shared" si="1"/>
        <v xml:space="preserve"> </v>
      </c>
      <c r="C2674" s="79" t="str">
        <f t="shared" si="7"/>
        <v xml:space="preserve"> </v>
      </c>
      <c r="D2674" s="79" t="str">
        <f t="shared" si="5"/>
        <v xml:space="preserve"> </v>
      </c>
      <c r="E2674" s="79" t="str">
        <f t="shared" si="6"/>
        <v xml:space="preserve"> </v>
      </c>
    </row>
    <row r="2675" spans="1:5" ht="12.5">
      <c r="A2675" s="81" t="str">
        <f t="shared" si="0"/>
        <v xml:space="preserve"> </v>
      </c>
      <c r="B2675" s="81" t="str">
        <f t="shared" si="1"/>
        <v xml:space="preserve"> </v>
      </c>
      <c r="C2675" s="79" t="str">
        <f t="shared" si="7"/>
        <v xml:space="preserve"> </v>
      </c>
      <c r="D2675" s="79" t="str">
        <f t="shared" si="5"/>
        <v xml:space="preserve"> </v>
      </c>
      <c r="E2675" s="79" t="str">
        <f t="shared" si="6"/>
        <v xml:space="preserve"> </v>
      </c>
    </row>
    <row r="2676" spans="1:5" ht="12.5">
      <c r="A2676" s="81" t="str">
        <f t="shared" si="0"/>
        <v xml:space="preserve"> </v>
      </c>
      <c r="B2676" s="81" t="str">
        <f t="shared" si="1"/>
        <v xml:space="preserve"> </v>
      </c>
      <c r="C2676" s="79" t="str">
        <f t="shared" si="7"/>
        <v xml:space="preserve"> </v>
      </c>
      <c r="D2676" s="79" t="str">
        <f t="shared" si="5"/>
        <v xml:space="preserve"> </v>
      </c>
      <c r="E2676" s="79" t="str">
        <f t="shared" si="6"/>
        <v xml:space="preserve"> </v>
      </c>
    </row>
    <row r="2677" spans="1:5" ht="12.5">
      <c r="A2677" s="81" t="str">
        <f t="shared" si="0"/>
        <v xml:space="preserve"> </v>
      </c>
      <c r="B2677" s="81" t="str">
        <f t="shared" si="1"/>
        <v xml:space="preserve"> </v>
      </c>
      <c r="C2677" s="79" t="str">
        <f t="shared" si="7"/>
        <v xml:space="preserve"> </v>
      </c>
      <c r="D2677" s="79" t="str">
        <f t="shared" si="5"/>
        <v xml:space="preserve"> </v>
      </c>
      <c r="E2677" s="79" t="str">
        <f t="shared" si="6"/>
        <v xml:space="preserve"> </v>
      </c>
    </row>
    <row r="2678" spans="1:5" ht="12.5">
      <c r="A2678" s="81" t="str">
        <f t="shared" si="0"/>
        <v xml:space="preserve"> </v>
      </c>
      <c r="B2678" s="81" t="str">
        <f t="shared" si="1"/>
        <v xml:space="preserve"> </v>
      </c>
      <c r="C2678" s="79" t="str">
        <f t="shared" si="7"/>
        <v xml:space="preserve"> </v>
      </c>
      <c r="D2678" s="79" t="str">
        <f t="shared" si="5"/>
        <v xml:space="preserve"> </v>
      </c>
      <c r="E2678" s="79" t="str">
        <f t="shared" si="6"/>
        <v xml:space="preserve"> </v>
      </c>
    </row>
    <row r="2679" spans="1:5" ht="12.5">
      <c r="A2679" s="81" t="str">
        <f t="shared" si="0"/>
        <v xml:space="preserve"> </v>
      </c>
      <c r="B2679" s="81" t="str">
        <f t="shared" si="1"/>
        <v xml:space="preserve"> </v>
      </c>
      <c r="C2679" s="79" t="str">
        <f t="shared" si="7"/>
        <v xml:space="preserve"> </v>
      </c>
      <c r="D2679" s="79" t="str">
        <f t="shared" si="5"/>
        <v xml:space="preserve"> </v>
      </c>
      <c r="E2679" s="79" t="str">
        <f t="shared" si="6"/>
        <v xml:space="preserve"> </v>
      </c>
    </row>
    <row r="2680" spans="1:5" ht="12.5">
      <c r="A2680" s="81" t="str">
        <f t="shared" si="0"/>
        <v xml:space="preserve"> </v>
      </c>
      <c r="B2680" s="81" t="str">
        <f t="shared" si="1"/>
        <v xml:space="preserve"> </v>
      </c>
      <c r="C2680" s="79" t="str">
        <f t="shared" si="7"/>
        <v xml:space="preserve"> </v>
      </c>
      <c r="D2680" s="79" t="str">
        <f t="shared" si="5"/>
        <v xml:space="preserve"> </v>
      </c>
      <c r="E2680" s="79" t="str">
        <f t="shared" si="6"/>
        <v xml:space="preserve"> </v>
      </c>
    </row>
    <row r="2681" spans="1:5" ht="12.5">
      <c r="A2681" s="81" t="str">
        <f t="shared" si="0"/>
        <v xml:space="preserve"> </v>
      </c>
      <c r="B2681" s="81" t="str">
        <f t="shared" si="1"/>
        <v xml:space="preserve"> </v>
      </c>
      <c r="C2681" s="79" t="str">
        <f t="shared" si="7"/>
        <v xml:space="preserve"> </v>
      </c>
      <c r="D2681" s="79" t="str">
        <f t="shared" si="5"/>
        <v xml:space="preserve"> </v>
      </c>
      <c r="E2681" s="79" t="str">
        <f t="shared" si="6"/>
        <v xml:space="preserve"> </v>
      </c>
    </row>
    <row r="2682" spans="1:5" ht="12.5">
      <c r="A2682" s="81" t="str">
        <f t="shared" si="0"/>
        <v xml:space="preserve"> </v>
      </c>
      <c r="B2682" s="81" t="str">
        <f t="shared" si="1"/>
        <v xml:space="preserve"> </v>
      </c>
      <c r="C2682" s="79" t="str">
        <f t="shared" si="7"/>
        <v xml:space="preserve"> </v>
      </c>
      <c r="D2682" s="79" t="str">
        <f t="shared" si="5"/>
        <v xml:space="preserve"> </v>
      </c>
      <c r="E2682" s="79" t="str">
        <f t="shared" si="6"/>
        <v xml:space="preserve"> </v>
      </c>
    </row>
    <row r="2683" spans="1:5" ht="12.5">
      <c r="A2683" s="81" t="str">
        <f t="shared" si="0"/>
        <v xml:space="preserve"> </v>
      </c>
      <c r="B2683" s="81" t="str">
        <f t="shared" si="1"/>
        <v xml:space="preserve"> </v>
      </c>
      <c r="C2683" s="79" t="str">
        <f t="shared" si="7"/>
        <v xml:space="preserve"> </v>
      </c>
      <c r="D2683" s="79" t="str">
        <f t="shared" si="5"/>
        <v xml:space="preserve"> </v>
      </c>
      <c r="E2683" s="79" t="str">
        <f t="shared" si="6"/>
        <v xml:space="preserve"> </v>
      </c>
    </row>
    <row r="2684" spans="1:5" ht="12.5">
      <c r="A2684" s="81" t="str">
        <f t="shared" si="0"/>
        <v xml:space="preserve"> </v>
      </c>
      <c r="B2684" s="81" t="str">
        <f t="shared" si="1"/>
        <v xml:space="preserve"> </v>
      </c>
      <c r="C2684" s="79" t="str">
        <f t="shared" si="7"/>
        <v xml:space="preserve"> </v>
      </c>
      <c r="D2684" s="79" t="str">
        <f t="shared" si="5"/>
        <v xml:space="preserve"> </v>
      </c>
      <c r="E2684" s="79" t="str">
        <f t="shared" si="6"/>
        <v xml:space="preserve"> </v>
      </c>
    </row>
    <row r="2685" spans="1:5" ht="12.5">
      <c r="A2685" s="81" t="str">
        <f t="shared" si="0"/>
        <v xml:space="preserve"> </v>
      </c>
      <c r="B2685" s="81" t="str">
        <f t="shared" si="1"/>
        <v xml:space="preserve"> </v>
      </c>
      <c r="C2685" s="79" t="str">
        <f t="shared" si="7"/>
        <v xml:space="preserve"> </v>
      </c>
      <c r="D2685" s="79" t="str">
        <f t="shared" si="5"/>
        <v xml:space="preserve"> </v>
      </c>
      <c r="E2685" s="79" t="str">
        <f t="shared" si="6"/>
        <v xml:space="preserve"> </v>
      </c>
    </row>
    <row r="2686" spans="1:5" ht="12.5">
      <c r="A2686" s="81" t="str">
        <f t="shared" si="0"/>
        <v xml:space="preserve"> </v>
      </c>
      <c r="B2686" s="81" t="str">
        <f t="shared" si="1"/>
        <v xml:space="preserve"> </v>
      </c>
      <c r="C2686" s="79" t="str">
        <f t="shared" si="7"/>
        <v xml:space="preserve"> </v>
      </c>
      <c r="D2686" s="79" t="str">
        <f t="shared" si="5"/>
        <v xml:space="preserve"> </v>
      </c>
      <c r="E2686" s="79" t="str">
        <f t="shared" si="6"/>
        <v xml:space="preserve"> </v>
      </c>
    </row>
    <row r="2687" spans="1:5" ht="12.5">
      <c r="A2687" s="81" t="str">
        <f t="shared" si="0"/>
        <v xml:space="preserve"> </v>
      </c>
      <c r="B2687" s="81" t="str">
        <f t="shared" si="1"/>
        <v xml:space="preserve"> </v>
      </c>
      <c r="C2687" s="79" t="str">
        <f t="shared" si="7"/>
        <v xml:space="preserve"> </v>
      </c>
      <c r="D2687" s="79" t="str">
        <f t="shared" si="5"/>
        <v xml:space="preserve"> </v>
      </c>
      <c r="E2687" s="79" t="str">
        <f t="shared" si="6"/>
        <v xml:space="preserve"> </v>
      </c>
    </row>
    <row r="2688" spans="1:5" ht="12.5">
      <c r="A2688" s="81" t="str">
        <f t="shared" si="0"/>
        <v xml:space="preserve"> </v>
      </c>
      <c r="B2688" s="81" t="str">
        <f t="shared" si="1"/>
        <v xml:space="preserve"> </v>
      </c>
      <c r="C2688" s="79" t="str">
        <f t="shared" si="7"/>
        <v xml:space="preserve"> </v>
      </c>
      <c r="D2688" s="79" t="str">
        <f t="shared" si="5"/>
        <v xml:space="preserve"> </v>
      </c>
      <c r="E2688" s="79" t="str">
        <f t="shared" si="6"/>
        <v xml:space="preserve"> </v>
      </c>
    </row>
    <row r="2689" spans="1:5" ht="12.5">
      <c r="A2689" s="81" t="str">
        <f t="shared" si="0"/>
        <v xml:space="preserve"> </v>
      </c>
      <c r="B2689" s="81" t="str">
        <f t="shared" si="1"/>
        <v xml:space="preserve"> </v>
      </c>
      <c r="C2689" s="79" t="str">
        <f t="shared" si="7"/>
        <v xml:space="preserve"> </v>
      </c>
      <c r="D2689" s="79" t="str">
        <f t="shared" si="5"/>
        <v xml:space="preserve"> </v>
      </c>
      <c r="E2689" s="79" t="str">
        <f t="shared" si="6"/>
        <v xml:space="preserve"> </v>
      </c>
    </row>
    <row r="2690" spans="1:5" ht="12.5">
      <c r="A2690" s="81" t="str">
        <f t="shared" si="0"/>
        <v xml:space="preserve"> </v>
      </c>
      <c r="B2690" s="81" t="str">
        <f t="shared" si="1"/>
        <v xml:space="preserve"> </v>
      </c>
      <c r="C2690" s="79" t="str">
        <f t="shared" si="7"/>
        <v xml:space="preserve"> </v>
      </c>
      <c r="D2690" s="79" t="str">
        <f t="shared" si="5"/>
        <v xml:space="preserve"> </v>
      </c>
      <c r="E2690" s="79" t="str">
        <f t="shared" si="6"/>
        <v xml:space="preserve"> </v>
      </c>
    </row>
    <row r="2691" spans="1:5" ht="12.5">
      <c r="A2691" s="81" t="str">
        <f t="shared" si="0"/>
        <v xml:space="preserve"> </v>
      </c>
      <c r="B2691" s="81" t="str">
        <f t="shared" si="1"/>
        <v xml:space="preserve"> </v>
      </c>
      <c r="C2691" s="79" t="str">
        <f t="shared" si="7"/>
        <v xml:space="preserve"> </v>
      </c>
      <c r="D2691" s="79" t="str">
        <f t="shared" si="5"/>
        <v xml:space="preserve"> </v>
      </c>
      <c r="E2691" s="79" t="str">
        <f t="shared" si="6"/>
        <v xml:space="preserve"> </v>
      </c>
    </row>
    <row r="2692" spans="1:5" ht="12.5">
      <c r="A2692" s="81" t="str">
        <f t="shared" si="0"/>
        <v xml:space="preserve"> </v>
      </c>
      <c r="B2692" s="81" t="str">
        <f t="shared" si="1"/>
        <v xml:space="preserve"> </v>
      </c>
      <c r="C2692" s="79" t="str">
        <f t="shared" si="7"/>
        <v xml:space="preserve"> </v>
      </c>
      <c r="D2692" s="79" t="str">
        <f t="shared" si="5"/>
        <v xml:space="preserve"> </v>
      </c>
      <c r="E2692" s="79" t="str">
        <f t="shared" si="6"/>
        <v xml:space="preserve"> </v>
      </c>
    </row>
    <row r="2693" spans="1:5" ht="12.5">
      <c r="A2693" s="81" t="str">
        <f t="shared" si="0"/>
        <v xml:space="preserve"> </v>
      </c>
      <c r="B2693" s="81" t="str">
        <f t="shared" si="1"/>
        <v xml:space="preserve"> </v>
      </c>
      <c r="C2693" s="79" t="str">
        <f t="shared" si="7"/>
        <v xml:space="preserve"> </v>
      </c>
      <c r="D2693" s="79" t="str">
        <f t="shared" si="5"/>
        <v xml:space="preserve"> </v>
      </c>
      <c r="E2693" s="79" t="str">
        <f t="shared" si="6"/>
        <v xml:space="preserve"> </v>
      </c>
    </row>
    <row r="2694" spans="1:5" ht="12.5">
      <c r="A2694" s="81" t="str">
        <f t="shared" si="0"/>
        <v xml:space="preserve"> </v>
      </c>
      <c r="B2694" s="81" t="str">
        <f t="shared" si="1"/>
        <v xml:space="preserve"> </v>
      </c>
      <c r="C2694" s="79" t="str">
        <f t="shared" si="7"/>
        <v xml:space="preserve"> </v>
      </c>
      <c r="D2694" s="79" t="str">
        <f t="shared" si="5"/>
        <v xml:space="preserve"> </v>
      </c>
      <c r="E2694" s="79" t="str">
        <f t="shared" si="6"/>
        <v xml:space="preserve"> </v>
      </c>
    </row>
    <row r="2695" spans="1:5" ht="12.5">
      <c r="A2695" s="81" t="str">
        <f t="shared" si="0"/>
        <v xml:space="preserve"> </v>
      </c>
      <c r="B2695" s="81" t="str">
        <f t="shared" si="1"/>
        <v xml:space="preserve"> </v>
      </c>
      <c r="C2695" s="79" t="str">
        <f t="shared" si="7"/>
        <v xml:space="preserve"> </v>
      </c>
      <c r="D2695" s="79" t="str">
        <f t="shared" si="5"/>
        <v xml:space="preserve"> </v>
      </c>
      <c r="E2695" s="79" t="str">
        <f t="shared" si="6"/>
        <v xml:space="preserve"> </v>
      </c>
    </row>
    <row r="2696" spans="1:5" ht="12.5">
      <c r="A2696" s="81" t="str">
        <f t="shared" si="0"/>
        <v xml:space="preserve"> </v>
      </c>
      <c r="B2696" s="81" t="str">
        <f t="shared" si="1"/>
        <v xml:space="preserve"> </v>
      </c>
      <c r="C2696" s="79" t="str">
        <f t="shared" si="7"/>
        <v xml:space="preserve"> </v>
      </c>
      <c r="D2696" s="79" t="str">
        <f t="shared" si="5"/>
        <v xml:space="preserve"> </v>
      </c>
      <c r="E2696" s="79" t="str">
        <f t="shared" si="6"/>
        <v xml:space="preserve"> </v>
      </c>
    </row>
    <row r="2697" spans="1:5" ht="12.5">
      <c r="A2697" s="81" t="str">
        <f t="shared" si="0"/>
        <v xml:space="preserve"> </v>
      </c>
      <c r="B2697" s="81" t="str">
        <f t="shared" si="1"/>
        <v xml:space="preserve"> </v>
      </c>
      <c r="C2697" s="79" t="str">
        <f t="shared" si="7"/>
        <v xml:space="preserve"> </v>
      </c>
      <c r="D2697" s="79" t="str">
        <f t="shared" si="5"/>
        <v xml:space="preserve"> </v>
      </c>
      <c r="E2697" s="79" t="str">
        <f t="shared" si="6"/>
        <v xml:space="preserve"> </v>
      </c>
    </row>
    <row r="2698" spans="1:5" ht="12.5">
      <c r="A2698" s="81" t="str">
        <f t="shared" si="0"/>
        <v xml:space="preserve"> </v>
      </c>
      <c r="B2698" s="81" t="str">
        <f t="shared" si="1"/>
        <v xml:space="preserve"> </v>
      </c>
      <c r="C2698" s="79" t="str">
        <f t="shared" si="7"/>
        <v xml:space="preserve"> </v>
      </c>
      <c r="D2698" s="79" t="str">
        <f t="shared" si="5"/>
        <v xml:space="preserve"> </v>
      </c>
      <c r="E2698" s="79" t="str">
        <f t="shared" si="6"/>
        <v xml:space="preserve"> </v>
      </c>
    </row>
    <row r="2699" spans="1:5" ht="12.5">
      <c r="A2699" s="81" t="str">
        <f t="shared" si="0"/>
        <v xml:space="preserve"> </v>
      </c>
      <c r="B2699" s="81" t="str">
        <f t="shared" si="1"/>
        <v xml:space="preserve"> </v>
      </c>
      <c r="C2699" s="79" t="str">
        <f t="shared" si="7"/>
        <v xml:space="preserve"> </v>
      </c>
      <c r="D2699" s="79" t="str">
        <f t="shared" si="5"/>
        <v xml:space="preserve"> </v>
      </c>
      <c r="E2699" s="79" t="str">
        <f t="shared" si="6"/>
        <v xml:space="preserve"> </v>
      </c>
    </row>
    <row r="2700" spans="1:5" ht="12.5">
      <c r="A2700" s="81" t="str">
        <f t="shared" si="0"/>
        <v xml:space="preserve"> </v>
      </c>
      <c r="B2700" s="81" t="str">
        <f t="shared" si="1"/>
        <v xml:space="preserve"> </v>
      </c>
      <c r="C2700" s="79" t="str">
        <f t="shared" si="7"/>
        <v xml:space="preserve"> </v>
      </c>
      <c r="D2700" s="79" t="str">
        <f t="shared" si="5"/>
        <v xml:space="preserve"> </v>
      </c>
      <c r="E2700" s="79" t="str">
        <f t="shared" si="6"/>
        <v xml:space="preserve"> </v>
      </c>
    </row>
    <row r="2701" spans="1:5" ht="12.5">
      <c r="A2701" s="81" t="str">
        <f t="shared" si="0"/>
        <v xml:space="preserve"> </v>
      </c>
      <c r="B2701" s="81" t="str">
        <f t="shared" si="1"/>
        <v xml:space="preserve"> </v>
      </c>
      <c r="C2701" s="79" t="str">
        <f t="shared" si="7"/>
        <v xml:space="preserve"> </v>
      </c>
      <c r="D2701" s="79" t="str">
        <f t="shared" si="5"/>
        <v xml:space="preserve"> </v>
      </c>
      <c r="E2701" s="79" t="str">
        <f t="shared" si="6"/>
        <v xml:space="preserve"> </v>
      </c>
    </row>
    <row r="2702" spans="1:5" ht="12.5">
      <c r="A2702" s="81" t="str">
        <f t="shared" si="0"/>
        <v xml:space="preserve"> </v>
      </c>
      <c r="B2702" s="81" t="str">
        <f t="shared" si="1"/>
        <v xml:space="preserve"> </v>
      </c>
      <c r="C2702" s="79" t="str">
        <f t="shared" si="7"/>
        <v xml:space="preserve"> </v>
      </c>
      <c r="D2702" s="79" t="str">
        <f t="shared" si="5"/>
        <v xml:space="preserve"> </v>
      </c>
      <c r="E2702" s="79" t="str">
        <f t="shared" si="6"/>
        <v xml:space="preserve"> </v>
      </c>
    </row>
    <row r="2703" spans="1:5" ht="12.5">
      <c r="A2703" s="81" t="str">
        <f t="shared" si="0"/>
        <v xml:space="preserve"> </v>
      </c>
      <c r="B2703" s="81" t="str">
        <f t="shared" si="1"/>
        <v xml:space="preserve"> </v>
      </c>
      <c r="C2703" s="79" t="str">
        <f t="shared" si="7"/>
        <v xml:space="preserve"> </v>
      </c>
      <c r="D2703" s="79" t="str">
        <f t="shared" si="5"/>
        <v xml:space="preserve"> </v>
      </c>
      <c r="E2703" s="79" t="str">
        <f t="shared" si="6"/>
        <v xml:space="preserve"> </v>
      </c>
    </row>
    <row r="2704" spans="1:5" ht="12.5">
      <c r="A2704" s="81" t="str">
        <f t="shared" si="0"/>
        <v xml:space="preserve"> </v>
      </c>
      <c r="B2704" s="81" t="str">
        <f t="shared" si="1"/>
        <v xml:space="preserve"> </v>
      </c>
      <c r="C2704" s="79" t="str">
        <f t="shared" si="7"/>
        <v xml:space="preserve"> </v>
      </c>
      <c r="D2704" s="79" t="str">
        <f t="shared" si="5"/>
        <v xml:space="preserve"> </v>
      </c>
      <c r="E2704" s="79" t="str">
        <f t="shared" si="6"/>
        <v xml:space="preserve"> </v>
      </c>
    </row>
    <row r="2705" spans="1:5" ht="12.5">
      <c r="A2705" s="81" t="str">
        <f t="shared" si="0"/>
        <v xml:space="preserve"> </v>
      </c>
      <c r="B2705" s="81" t="str">
        <f t="shared" si="1"/>
        <v xml:space="preserve"> </v>
      </c>
      <c r="C2705" s="79" t="str">
        <f t="shared" si="7"/>
        <v xml:space="preserve"> </v>
      </c>
      <c r="D2705" s="79" t="str">
        <f t="shared" si="5"/>
        <v xml:space="preserve"> </v>
      </c>
      <c r="E2705" s="79" t="str">
        <f t="shared" si="6"/>
        <v xml:space="preserve"> </v>
      </c>
    </row>
    <row r="2706" spans="1:5" ht="12.5">
      <c r="A2706" s="81" t="str">
        <f t="shared" si="0"/>
        <v xml:space="preserve"> </v>
      </c>
      <c r="B2706" s="81" t="str">
        <f t="shared" si="1"/>
        <v xml:space="preserve"> </v>
      </c>
      <c r="C2706" s="79" t="str">
        <f t="shared" si="7"/>
        <v xml:space="preserve"> </v>
      </c>
      <c r="D2706" s="79" t="str">
        <f t="shared" si="5"/>
        <v xml:space="preserve"> </v>
      </c>
      <c r="E2706" s="79" t="str">
        <f t="shared" si="6"/>
        <v xml:space="preserve"> </v>
      </c>
    </row>
    <row r="2707" spans="1:5" ht="12.5">
      <c r="A2707" s="81" t="str">
        <f t="shared" si="0"/>
        <v xml:space="preserve"> </v>
      </c>
      <c r="B2707" s="81" t="str">
        <f t="shared" si="1"/>
        <v xml:space="preserve"> </v>
      </c>
      <c r="C2707" s="79" t="str">
        <f t="shared" si="7"/>
        <v xml:space="preserve"> </v>
      </c>
      <c r="D2707" s="79" t="str">
        <f t="shared" si="5"/>
        <v xml:space="preserve"> </v>
      </c>
      <c r="E2707" s="79" t="str">
        <f t="shared" si="6"/>
        <v xml:space="preserve"> </v>
      </c>
    </row>
    <row r="2708" spans="1:5" ht="12.5">
      <c r="A2708" s="81" t="str">
        <f t="shared" si="0"/>
        <v xml:space="preserve"> </v>
      </c>
      <c r="B2708" s="81" t="str">
        <f t="shared" si="1"/>
        <v xml:space="preserve"> </v>
      </c>
      <c r="C2708" s="79" t="str">
        <f t="shared" si="7"/>
        <v xml:space="preserve"> </v>
      </c>
      <c r="D2708" s="79" t="str">
        <f t="shared" si="5"/>
        <v xml:space="preserve"> </v>
      </c>
      <c r="E2708" s="79" t="str">
        <f t="shared" si="6"/>
        <v xml:space="preserve"> </v>
      </c>
    </row>
    <row r="2709" spans="1:5" ht="12.5">
      <c r="A2709" s="81" t="str">
        <f t="shared" si="0"/>
        <v xml:space="preserve"> </v>
      </c>
      <c r="B2709" s="81" t="str">
        <f t="shared" si="1"/>
        <v xml:space="preserve"> </v>
      </c>
      <c r="C2709" s="79" t="str">
        <f t="shared" si="7"/>
        <v xml:space="preserve"> </v>
      </c>
      <c r="D2709" s="79" t="str">
        <f t="shared" si="5"/>
        <v xml:space="preserve"> </v>
      </c>
      <c r="E2709" s="79" t="str">
        <f t="shared" si="6"/>
        <v xml:space="preserve"> </v>
      </c>
    </row>
    <row r="2710" spans="1:5" ht="12.5">
      <c r="A2710" s="81" t="str">
        <f t="shared" si="0"/>
        <v xml:space="preserve"> </v>
      </c>
      <c r="B2710" s="81" t="str">
        <f t="shared" si="1"/>
        <v xml:space="preserve"> </v>
      </c>
      <c r="C2710" s="79" t="str">
        <f t="shared" si="7"/>
        <v xml:space="preserve"> </v>
      </c>
      <c r="D2710" s="79" t="str">
        <f t="shared" si="5"/>
        <v xml:space="preserve"> </v>
      </c>
      <c r="E2710" s="79" t="str">
        <f t="shared" si="6"/>
        <v xml:space="preserve"> </v>
      </c>
    </row>
    <row r="2711" spans="1:5" ht="12.5">
      <c r="A2711" s="81" t="str">
        <f t="shared" si="0"/>
        <v xml:space="preserve"> </v>
      </c>
      <c r="B2711" s="81" t="str">
        <f t="shared" si="1"/>
        <v xml:space="preserve"> </v>
      </c>
      <c r="C2711" s="79" t="str">
        <f t="shared" si="7"/>
        <v xml:space="preserve"> </v>
      </c>
      <c r="D2711" s="79" t="str">
        <f t="shared" si="5"/>
        <v xml:space="preserve"> </v>
      </c>
      <c r="E2711" s="79" t="str">
        <f t="shared" si="6"/>
        <v xml:space="preserve"> </v>
      </c>
    </row>
    <row r="2712" spans="1:5" ht="12.5">
      <c r="A2712" s="81" t="str">
        <f t="shared" si="0"/>
        <v xml:space="preserve"> </v>
      </c>
      <c r="B2712" s="81" t="str">
        <f t="shared" si="1"/>
        <v xml:space="preserve"> </v>
      </c>
      <c r="C2712" s="79" t="str">
        <f t="shared" si="7"/>
        <v xml:space="preserve"> </v>
      </c>
      <c r="D2712" s="79" t="str">
        <f t="shared" si="5"/>
        <v xml:space="preserve"> </v>
      </c>
      <c r="E2712" s="79" t="str">
        <f t="shared" si="6"/>
        <v xml:space="preserve"> </v>
      </c>
    </row>
    <row r="2713" spans="1:5" ht="12.5">
      <c r="A2713" s="81" t="str">
        <f t="shared" si="0"/>
        <v xml:space="preserve"> </v>
      </c>
      <c r="B2713" s="81" t="str">
        <f t="shared" si="1"/>
        <v xml:space="preserve"> </v>
      </c>
      <c r="C2713" s="79" t="str">
        <f t="shared" si="7"/>
        <v xml:space="preserve"> </v>
      </c>
      <c r="D2713" s="79" t="str">
        <f t="shared" si="5"/>
        <v xml:space="preserve"> </v>
      </c>
      <c r="E2713" s="79" t="str">
        <f t="shared" si="6"/>
        <v xml:space="preserve"> </v>
      </c>
    </row>
    <row r="2714" spans="1:5" ht="12.5">
      <c r="A2714" s="81" t="str">
        <f t="shared" si="0"/>
        <v xml:space="preserve"> </v>
      </c>
      <c r="B2714" s="81" t="str">
        <f t="shared" si="1"/>
        <v xml:space="preserve"> </v>
      </c>
      <c r="C2714" s="79" t="str">
        <f t="shared" si="7"/>
        <v xml:space="preserve"> </v>
      </c>
      <c r="D2714" s="79" t="str">
        <f t="shared" si="5"/>
        <v xml:space="preserve"> </v>
      </c>
      <c r="E2714" s="79" t="str">
        <f t="shared" si="6"/>
        <v xml:space="preserve"> </v>
      </c>
    </row>
    <row r="2715" spans="1:5" ht="12.5">
      <c r="A2715" s="81" t="str">
        <f t="shared" si="0"/>
        <v xml:space="preserve"> </v>
      </c>
      <c r="B2715" s="81" t="str">
        <f t="shared" si="1"/>
        <v xml:space="preserve"> </v>
      </c>
      <c r="C2715" s="79" t="str">
        <f t="shared" si="7"/>
        <v xml:space="preserve"> </v>
      </c>
      <c r="D2715" s="79" t="str">
        <f t="shared" si="5"/>
        <v xml:space="preserve"> </v>
      </c>
      <c r="E2715" s="79" t="str">
        <f t="shared" si="6"/>
        <v xml:space="preserve"> </v>
      </c>
    </row>
    <row r="2716" spans="1:5" ht="12.5">
      <c r="A2716" s="81" t="str">
        <f t="shared" si="0"/>
        <v xml:space="preserve"> </v>
      </c>
      <c r="B2716" s="81" t="str">
        <f t="shared" si="1"/>
        <v xml:space="preserve"> </v>
      </c>
      <c r="C2716" s="79" t="str">
        <f t="shared" si="7"/>
        <v xml:space="preserve"> </v>
      </c>
      <c r="D2716" s="79" t="str">
        <f t="shared" si="5"/>
        <v xml:space="preserve"> </v>
      </c>
      <c r="E2716" s="79" t="str">
        <f t="shared" si="6"/>
        <v xml:space="preserve"> </v>
      </c>
    </row>
    <row r="2717" spans="1:5" ht="12.5">
      <c r="A2717" s="81" t="str">
        <f t="shared" si="0"/>
        <v xml:space="preserve"> </v>
      </c>
      <c r="B2717" s="81" t="str">
        <f t="shared" si="1"/>
        <v xml:space="preserve"> </v>
      </c>
      <c r="C2717" s="79" t="str">
        <f t="shared" si="7"/>
        <v xml:space="preserve"> </v>
      </c>
      <c r="D2717" s="79" t="str">
        <f t="shared" si="5"/>
        <v xml:space="preserve"> </v>
      </c>
      <c r="E2717" s="79" t="str">
        <f t="shared" si="6"/>
        <v xml:space="preserve"> </v>
      </c>
    </row>
    <row r="2718" spans="1:5" ht="12.5">
      <c r="A2718" s="81" t="str">
        <f t="shared" si="0"/>
        <v xml:space="preserve"> </v>
      </c>
      <c r="B2718" s="81" t="str">
        <f t="shared" si="1"/>
        <v xml:space="preserve"> </v>
      </c>
      <c r="C2718" s="79" t="str">
        <f t="shared" si="7"/>
        <v xml:space="preserve"> </v>
      </c>
      <c r="D2718" s="79" t="str">
        <f t="shared" si="5"/>
        <v xml:space="preserve"> </v>
      </c>
      <c r="E2718" s="79" t="str">
        <f t="shared" si="6"/>
        <v xml:space="preserve"> </v>
      </c>
    </row>
    <row r="2719" spans="1:5" ht="12.5">
      <c r="A2719" s="81" t="str">
        <f t="shared" si="0"/>
        <v xml:space="preserve"> </v>
      </c>
      <c r="B2719" s="81" t="str">
        <f t="shared" si="1"/>
        <v xml:space="preserve"> </v>
      </c>
      <c r="C2719" s="79" t="str">
        <f t="shared" si="7"/>
        <v xml:space="preserve"> </v>
      </c>
      <c r="D2719" s="79" t="str">
        <f t="shared" si="5"/>
        <v xml:space="preserve"> </v>
      </c>
      <c r="E2719" s="79" t="str">
        <f t="shared" si="6"/>
        <v xml:space="preserve"> </v>
      </c>
    </row>
    <row r="2720" spans="1:5" ht="12.5">
      <c r="A2720" s="81" t="str">
        <f t="shared" si="0"/>
        <v xml:space="preserve"> </v>
      </c>
      <c r="B2720" s="81" t="str">
        <f t="shared" si="1"/>
        <v xml:space="preserve"> </v>
      </c>
      <c r="C2720" s="79" t="str">
        <f t="shared" si="7"/>
        <v xml:space="preserve"> </v>
      </c>
      <c r="D2720" s="79" t="str">
        <f t="shared" si="5"/>
        <v xml:space="preserve"> </v>
      </c>
      <c r="E2720" s="79" t="str">
        <f t="shared" si="6"/>
        <v xml:space="preserve"> </v>
      </c>
    </row>
    <row r="2721" spans="1:5" ht="12.5">
      <c r="A2721" s="81" t="str">
        <f t="shared" si="0"/>
        <v xml:space="preserve"> </v>
      </c>
      <c r="B2721" s="81" t="str">
        <f t="shared" si="1"/>
        <v xml:space="preserve"> </v>
      </c>
      <c r="C2721" s="79" t="str">
        <f t="shared" si="7"/>
        <v xml:space="preserve"> </v>
      </c>
      <c r="D2721" s="79" t="str">
        <f t="shared" si="5"/>
        <v xml:space="preserve"> </v>
      </c>
      <c r="E2721" s="79" t="str">
        <f t="shared" si="6"/>
        <v xml:space="preserve"> </v>
      </c>
    </row>
    <row r="2722" spans="1:5" ht="12.5">
      <c r="A2722" s="81" t="str">
        <f t="shared" si="0"/>
        <v xml:space="preserve"> </v>
      </c>
      <c r="B2722" s="81" t="str">
        <f t="shared" si="1"/>
        <v xml:space="preserve"> </v>
      </c>
      <c r="C2722" s="79" t="str">
        <f t="shared" si="7"/>
        <v xml:space="preserve"> </v>
      </c>
      <c r="D2722" s="79" t="str">
        <f t="shared" si="5"/>
        <v xml:space="preserve"> </v>
      </c>
      <c r="E2722" s="79" t="str">
        <f t="shared" si="6"/>
        <v xml:space="preserve"> </v>
      </c>
    </row>
    <row r="2723" spans="1:5" ht="12.5">
      <c r="A2723" s="81" t="str">
        <f t="shared" si="0"/>
        <v xml:space="preserve"> </v>
      </c>
      <c r="B2723" s="81" t="str">
        <f t="shared" si="1"/>
        <v xml:space="preserve"> </v>
      </c>
      <c r="C2723" s="79" t="str">
        <f t="shared" si="7"/>
        <v xml:space="preserve"> </v>
      </c>
      <c r="D2723" s="79" t="str">
        <f t="shared" si="5"/>
        <v xml:space="preserve"> </v>
      </c>
      <c r="E2723" s="79" t="str">
        <f t="shared" si="6"/>
        <v xml:space="preserve"> </v>
      </c>
    </row>
    <row r="2724" spans="1:5" ht="12.5">
      <c r="A2724" s="81" t="str">
        <f t="shared" si="0"/>
        <v xml:space="preserve"> </v>
      </c>
      <c r="B2724" s="81" t="str">
        <f t="shared" si="1"/>
        <v xml:space="preserve"> </v>
      </c>
      <c r="C2724" s="79" t="str">
        <f t="shared" si="7"/>
        <v xml:space="preserve"> </v>
      </c>
      <c r="D2724" s="79" t="str">
        <f t="shared" si="5"/>
        <v xml:space="preserve"> </v>
      </c>
      <c r="E2724" s="79" t="str">
        <f t="shared" si="6"/>
        <v xml:space="preserve"> </v>
      </c>
    </row>
    <row r="2725" spans="1:5" ht="12.5">
      <c r="A2725" s="81" t="str">
        <f t="shared" si="0"/>
        <v xml:space="preserve"> </v>
      </c>
      <c r="B2725" s="81" t="str">
        <f t="shared" si="1"/>
        <v xml:space="preserve"> </v>
      </c>
      <c r="C2725" s="79" t="str">
        <f t="shared" si="7"/>
        <v xml:space="preserve"> </v>
      </c>
      <c r="D2725" s="79" t="str">
        <f t="shared" si="5"/>
        <v xml:space="preserve"> </v>
      </c>
      <c r="E2725" s="79" t="str">
        <f t="shared" si="6"/>
        <v xml:space="preserve"> </v>
      </c>
    </row>
    <row r="2726" spans="1:5" ht="12.5">
      <c r="A2726" s="81" t="str">
        <f t="shared" si="0"/>
        <v xml:space="preserve"> </v>
      </c>
      <c r="B2726" s="81" t="str">
        <f t="shared" si="1"/>
        <v xml:space="preserve"> </v>
      </c>
      <c r="C2726" s="79" t="str">
        <f t="shared" si="7"/>
        <v xml:space="preserve"> </v>
      </c>
      <c r="D2726" s="79" t="str">
        <f t="shared" si="5"/>
        <v xml:space="preserve"> </v>
      </c>
      <c r="E2726" s="79" t="str">
        <f t="shared" si="6"/>
        <v xml:space="preserve"> </v>
      </c>
    </row>
    <row r="2727" spans="1:5" ht="12.5">
      <c r="A2727" s="81" t="str">
        <f t="shared" si="0"/>
        <v xml:space="preserve"> </v>
      </c>
      <c r="B2727" s="81" t="str">
        <f t="shared" si="1"/>
        <v xml:space="preserve"> </v>
      </c>
      <c r="C2727" s="79" t="str">
        <f t="shared" si="7"/>
        <v xml:space="preserve"> </v>
      </c>
      <c r="D2727" s="79" t="str">
        <f t="shared" si="5"/>
        <v xml:space="preserve"> </v>
      </c>
      <c r="E2727" s="79" t="str">
        <f t="shared" si="6"/>
        <v xml:space="preserve"> </v>
      </c>
    </row>
    <row r="2728" spans="1:5" ht="12.5">
      <c r="A2728" s="81" t="str">
        <f t="shared" si="0"/>
        <v xml:space="preserve"> </v>
      </c>
      <c r="B2728" s="81" t="str">
        <f t="shared" si="1"/>
        <v xml:space="preserve"> </v>
      </c>
      <c r="C2728" s="79" t="str">
        <f t="shared" si="7"/>
        <v xml:space="preserve"> </v>
      </c>
      <c r="D2728" s="79" t="str">
        <f t="shared" si="5"/>
        <v xml:space="preserve"> </v>
      </c>
      <c r="E2728" s="79" t="str">
        <f t="shared" si="6"/>
        <v xml:space="preserve"> </v>
      </c>
    </row>
    <row r="2729" spans="1:5" ht="12.5">
      <c r="A2729" s="81" t="str">
        <f t="shared" si="0"/>
        <v xml:space="preserve"> </v>
      </c>
      <c r="B2729" s="81" t="str">
        <f t="shared" si="1"/>
        <v xml:space="preserve"> </v>
      </c>
      <c r="C2729" s="79" t="str">
        <f t="shared" si="7"/>
        <v xml:space="preserve"> </v>
      </c>
      <c r="D2729" s="79" t="str">
        <f t="shared" si="5"/>
        <v xml:space="preserve"> </v>
      </c>
      <c r="E2729" s="79" t="str">
        <f t="shared" si="6"/>
        <v xml:space="preserve"> </v>
      </c>
    </row>
    <row r="2730" spans="1:5" ht="12.5">
      <c r="A2730" s="81" t="str">
        <f t="shared" si="0"/>
        <v xml:space="preserve"> </v>
      </c>
      <c r="B2730" s="81" t="str">
        <f t="shared" si="1"/>
        <v xml:space="preserve"> </v>
      </c>
      <c r="C2730" s="79" t="str">
        <f t="shared" si="7"/>
        <v xml:space="preserve"> </v>
      </c>
      <c r="D2730" s="79" t="str">
        <f t="shared" si="5"/>
        <v xml:space="preserve"> </v>
      </c>
      <c r="E2730" s="79" t="str">
        <f t="shared" si="6"/>
        <v xml:space="preserve"> </v>
      </c>
    </row>
    <row r="2731" spans="1:5" ht="12.5">
      <c r="A2731" s="81" t="str">
        <f t="shared" si="0"/>
        <v xml:space="preserve"> </v>
      </c>
      <c r="B2731" s="81" t="str">
        <f t="shared" si="1"/>
        <v xml:space="preserve"> </v>
      </c>
      <c r="C2731" s="79" t="str">
        <f t="shared" si="7"/>
        <v xml:space="preserve"> </v>
      </c>
      <c r="D2731" s="79" t="str">
        <f t="shared" si="5"/>
        <v xml:space="preserve"> </v>
      </c>
      <c r="E2731" s="79" t="str">
        <f t="shared" si="6"/>
        <v xml:space="preserve"> </v>
      </c>
    </row>
    <row r="2732" spans="1:5" ht="12.5">
      <c r="A2732" s="81" t="str">
        <f t="shared" si="0"/>
        <v xml:space="preserve"> </v>
      </c>
      <c r="B2732" s="81" t="str">
        <f t="shared" si="1"/>
        <v xml:space="preserve"> </v>
      </c>
      <c r="C2732" s="79" t="str">
        <f t="shared" si="7"/>
        <v xml:space="preserve"> </v>
      </c>
      <c r="D2732" s="79" t="str">
        <f t="shared" si="5"/>
        <v xml:space="preserve"> </v>
      </c>
      <c r="E2732" s="79" t="str">
        <f t="shared" si="6"/>
        <v xml:space="preserve"> </v>
      </c>
    </row>
    <row r="2733" spans="1:5" ht="12.5">
      <c r="A2733" s="81" t="str">
        <f t="shared" si="0"/>
        <v xml:space="preserve"> </v>
      </c>
      <c r="B2733" s="81" t="str">
        <f t="shared" si="1"/>
        <v xml:space="preserve"> </v>
      </c>
      <c r="C2733" s="79" t="str">
        <f t="shared" si="7"/>
        <v xml:space="preserve"> </v>
      </c>
      <c r="D2733" s="79" t="str">
        <f t="shared" si="5"/>
        <v xml:space="preserve"> </v>
      </c>
      <c r="E2733" s="79" t="str">
        <f t="shared" si="6"/>
        <v xml:space="preserve"> </v>
      </c>
    </row>
    <row r="2734" spans="1:5" ht="12.5">
      <c r="A2734" s="81" t="str">
        <f t="shared" si="0"/>
        <v xml:space="preserve"> </v>
      </c>
      <c r="B2734" s="81" t="str">
        <f t="shared" si="1"/>
        <v xml:space="preserve"> </v>
      </c>
      <c r="C2734" s="79" t="str">
        <f t="shared" si="7"/>
        <v xml:space="preserve"> </v>
      </c>
      <c r="D2734" s="79" t="str">
        <f t="shared" si="5"/>
        <v xml:space="preserve"> </v>
      </c>
      <c r="E2734" s="79" t="str">
        <f t="shared" si="6"/>
        <v xml:space="preserve"> </v>
      </c>
    </row>
    <row r="2735" spans="1:5" ht="12.5">
      <c r="A2735" s="81" t="str">
        <f t="shared" si="0"/>
        <v xml:space="preserve"> </v>
      </c>
      <c r="B2735" s="81" t="str">
        <f t="shared" si="1"/>
        <v xml:space="preserve"> </v>
      </c>
      <c r="C2735" s="79" t="str">
        <f t="shared" si="7"/>
        <v xml:space="preserve"> </v>
      </c>
      <c r="D2735" s="79" t="str">
        <f t="shared" si="5"/>
        <v xml:space="preserve"> </v>
      </c>
      <c r="E2735" s="79" t="str">
        <f t="shared" si="6"/>
        <v xml:space="preserve"> </v>
      </c>
    </row>
    <row r="2736" spans="1:5" ht="12.5">
      <c r="A2736" s="81" t="str">
        <f t="shared" si="0"/>
        <v xml:space="preserve"> </v>
      </c>
      <c r="B2736" s="81" t="str">
        <f t="shared" si="1"/>
        <v xml:space="preserve"> </v>
      </c>
      <c r="C2736" s="79" t="str">
        <f t="shared" si="7"/>
        <v xml:space="preserve"> </v>
      </c>
      <c r="D2736" s="79" t="str">
        <f t="shared" si="5"/>
        <v xml:space="preserve"> </v>
      </c>
      <c r="E2736" s="79" t="str">
        <f t="shared" si="6"/>
        <v xml:space="preserve"> </v>
      </c>
    </row>
    <row r="2737" spans="1:5" ht="12.5">
      <c r="A2737" s="81" t="str">
        <f t="shared" si="0"/>
        <v xml:space="preserve"> </v>
      </c>
      <c r="B2737" s="81" t="str">
        <f t="shared" si="1"/>
        <v xml:space="preserve"> </v>
      </c>
      <c r="C2737" s="79" t="str">
        <f t="shared" si="7"/>
        <v xml:space="preserve"> </v>
      </c>
      <c r="D2737" s="79" t="str">
        <f t="shared" si="5"/>
        <v xml:space="preserve"> </v>
      </c>
      <c r="E2737" s="79" t="str">
        <f t="shared" si="6"/>
        <v xml:space="preserve"> </v>
      </c>
    </row>
    <row r="2738" spans="1:5" ht="12.5">
      <c r="A2738" s="81" t="str">
        <f t="shared" si="0"/>
        <v xml:space="preserve"> </v>
      </c>
      <c r="B2738" s="81" t="str">
        <f t="shared" si="1"/>
        <v xml:space="preserve"> </v>
      </c>
      <c r="C2738" s="79" t="str">
        <f t="shared" si="7"/>
        <v xml:space="preserve"> </v>
      </c>
      <c r="D2738" s="79" t="str">
        <f t="shared" si="5"/>
        <v xml:space="preserve"> </v>
      </c>
      <c r="E2738" s="79" t="str">
        <f t="shared" si="6"/>
        <v xml:space="preserve"> </v>
      </c>
    </row>
    <row r="2739" spans="1:5" ht="12.5">
      <c r="A2739" s="81" t="str">
        <f t="shared" si="0"/>
        <v xml:space="preserve"> </v>
      </c>
      <c r="B2739" s="81" t="str">
        <f t="shared" si="1"/>
        <v xml:space="preserve"> </v>
      </c>
      <c r="C2739" s="79" t="str">
        <f t="shared" si="7"/>
        <v xml:space="preserve"> </v>
      </c>
      <c r="D2739" s="79" t="str">
        <f t="shared" si="5"/>
        <v xml:space="preserve"> </v>
      </c>
      <c r="E2739" s="79" t="str">
        <f t="shared" si="6"/>
        <v xml:space="preserve"> </v>
      </c>
    </row>
    <row r="2740" spans="1:5" ht="12.5">
      <c r="A2740" s="81" t="str">
        <f t="shared" si="0"/>
        <v xml:space="preserve"> </v>
      </c>
      <c r="B2740" s="81" t="str">
        <f t="shared" si="1"/>
        <v xml:space="preserve"> </v>
      </c>
      <c r="C2740" s="79" t="str">
        <f t="shared" si="7"/>
        <v xml:space="preserve"> </v>
      </c>
      <c r="D2740" s="79" t="str">
        <f t="shared" si="5"/>
        <v xml:space="preserve"> </v>
      </c>
      <c r="E2740" s="79" t="str">
        <f t="shared" si="6"/>
        <v xml:space="preserve"> </v>
      </c>
    </row>
    <row r="2741" spans="1:5" ht="12.5">
      <c r="A2741" s="81" t="str">
        <f t="shared" si="0"/>
        <v xml:space="preserve"> </v>
      </c>
      <c r="B2741" s="81" t="str">
        <f t="shared" si="1"/>
        <v xml:space="preserve"> </v>
      </c>
      <c r="C2741" s="79" t="str">
        <f t="shared" si="7"/>
        <v xml:space="preserve"> </v>
      </c>
      <c r="D2741" s="79" t="str">
        <f t="shared" si="5"/>
        <v xml:space="preserve"> </v>
      </c>
      <c r="E2741" s="79" t="str">
        <f t="shared" si="6"/>
        <v xml:space="preserve"> </v>
      </c>
    </row>
    <row r="2742" spans="1:5" ht="12.5">
      <c r="A2742" s="81" t="str">
        <f t="shared" si="0"/>
        <v xml:space="preserve"> </v>
      </c>
      <c r="B2742" s="81" t="str">
        <f t="shared" si="1"/>
        <v xml:space="preserve"> </v>
      </c>
      <c r="C2742" s="79" t="str">
        <f t="shared" si="7"/>
        <v xml:space="preserve"> </v>
      </c>
      <c r="D2742" s="79" t="str">
        <f t="shared" si="5"/>
        <v xml:space="preserve"> </v>
      </c>
      <c r="E2742" s="79" t="str">
        <f t="shared" si="6"/>
        <v xml:space="preserve"> </v>
      </c>
    </row>
    <row r="2743" spans="1:5" ht="12.5">
      <c r="A2743" s="81" t="str">
        <f t="shared" si="0"/>
        <v xml:space="preserve"> </v>
      </c>
      <c r="B2743" s="81" t="str">
        <f t="shared" si="1"/>
        <v xml:space="preserve"> </v>
      </c>
      <c r="C2743" s="79" t="str">
        <f t="shared" si="7"/>
        <v xml:space="preserve"> </v>
      </c>
      <c r="D2743" s="79" t="str">
        <f t="shared" si="5"/>
        <v xml:space="preserve"> </v>
      </c>
      <c r="E2743" s="79" t="str">
        <f t="shared" si="6"/>
        <v xml:space="preserve"> </v>
      </c>
    </row>
    <row r="2744" spans="1:5" ht="12.5">
      <c r="A2744" s="81" t="str">
        <f t="shared" si="0"/>
        <v xml:space="preserve"> </v>
      </c>
      <c r="B2744" s="81" t="str">
        <f t="shared" si="1"/>
        <v xml:space="preserve"> </v>
      </c>
      <c r="C2744" s="79" t="str">
        <f t="shared" si="7"/>
        <v xml:space="preserve"> </v>
      </c>
      <c r="D2744" s="79" t="str">
        <f t="shared" si="5"/>
        <v xml:space="preserve"> </v>
      </c>
      <c r="E2744" s="79" t="str">
        <f t="shared" si="6"/>
        <v xml:space="preserve"> </v>
      </c>
    </row>
    <row r="2745" spans="1:5" ht="12.5">
      <c r="A2745" s="81" t="str">
        <f t="shared" si="0"/>
        <v xml:space="preserve"> </v>
      </c>
      <c r="B2745" s="81" t="str">
        <f t="shared" si="1"/>
        <v xml:space="preserve"> </v>
      </c>
      <c r="C2745" s="79" t="str">
        <f t="shared" si="7"/>
        <v xml:space="preserve"> </v>
      </c>
      <c r="D2745" s="79" t="str">
        <f t="shared" si="5"/>
        <v xml:space="preserve"> </v>
      </c>
      <c r="E2745" s="79" t="str">
        <f t="shared" si="6"/>
        <v xml:space="preserve"> </v>
      </c>
    </row>
    <row r="2746" spans="1:5" ht="12.5">
      <c r="A2746" s="81" t="str">
        <f t="shared" si="0"/>
        <v xml:space="preserve"> </v>
      </c>
      <c r="B2746" s="81" t="str">
        <f t="shared" si="1"/>
        <v xml:space="preserve"> </v>
      </c>
      <c r="C2746" s="79" t="str">
        <f t="shared" si="7"/>
        <v xml:space="preserve"> </v>
      </c>
      <c r="D2746" s="79" t="str">
        <f t="shared" si="5"/>
        <v xml:space="preserve"> </v>
      </c>
      <c r="E2746" s="79" t="str">
        <f t="shared" si="6"/>
        <v xml:space="preserve"> </v>
      </c>
    </row>
    <row r="2747" spans="1:5" ht="12.5">
      <c r="A2747" s="81" t="str">
        <f t="shared" si="0"/>
        <v xml:space="preserve"> </v>
      </c>
      <c r="B2747" s="81" t="str">
        <f t="shared" si="1"/>
        <v xml:space="preserve"> </v>
      </c>
      <c r="C2747" s="79" t="str">
        <f t="shared" si="7"/>
        <v xml:space="preserve"> </v>
      </c>
      <c r="D2747" s="79" t="str">
        <f t="shared" si="5"/>
        <v xml:space="preserve"> </v>
      </c>
      <c r="E2747" s="79" t="str">
        <f t="shared" si="6"/>
        <v xml:space="preserve"> </v>
      </c>
    </row>
    <row r="2748" spans="1:5" ht="12.5">
      <c r="A2748" s="81" t="str">
        <f t="shared" si="0"/>
        <v xml:space="preserve"> </v>
      </c>
      <c r="B2748" s="81" t="str">
        <f t="shared" si="1"/>
        <v xml:space="preserve"> </v>
      </c>
      <c r="C2748" s="79" t="str">
        <f t="shared" si="7"/>
        <v xml:space="preserve"> </v>
      </c>
      <c r="D2748" s="79" t="str">
        <f t="shared" si="5"/>
        <v xml:space="preserve"> </v>
      </c>
      <c r="E2748" s="79" t="str">
        <f t="shared" si="6"/>
        <v xml:space="preserve"> </v>
      </c>
    </row>
    <row r="2749" spans="1:5" ht="12.5">
      <c r="A2749" s="81" t="str">
        <f t="shared" si="0"/>
        <v xml:space="preserve"> </v>
      </c>
      <c r="B2749" s="81" t="str">
        <f t="shared" si="1"/>
        <v xml:space="preserve"> </v>
      </c>
      <c r="C2749" s="79" t="str">
        <f t="shared" si="7"/>
        <v xml:space="preserve"> </v>
      </c>
      <c r="D2749" s="79" t="str">
        <f t="shared" si="5"/>
        <v xml:space="preserve"> </v>
      </c>
      <c r="E2749" s="79" t="str">
        <f t="shared" si="6"/>
        <v xml:space="preserve"> </v>
      </c>
    </row>
    <row r="2750" spans="1:5" ht="12.5">
      <c r="A2750" s="81" t="str">
        <f t="shared" si="0"/>
        <v xml:space="preserve"> </v>
      </c>
      <c r="B2750" s="81" t="str">
        <f t="shared" si="1"/>
        <v xml:space="preserve"> </v>
      </c>
      <c r="C2750" s="79" t="str">
        <f t="shared" si="7"/>
        <v xml:space="preserve"> </v>
      </c>
      <c r="D2750" s="79" t="str">
        <f t="shared" si="5"/>
        <v xml:space="preserve"> </v>
      </c>
      <c r="E2750" s="79" t="str">
        <f t="shared" si="6"/>
        <v xml:space="preserve"> </v>
      </c>
    </row>
    <row r="2751" spans="1:5" ht="12.5">
      <c r="A2751" s="81" t="str">
        <f t="shared" si="0"/>
        <v xml:space="preserve"> </v>
      </c>
      <c r="B2751" s="81" t="str">
        <f t="shared" si="1"/>
        <v xml:space="preserve"> </v>
      </c>
      <c r="C2751" s="79" t="str">
        <f t="shared" si="7"/>
        <v xml:space="preserve"> </v>
      </c>
      <c r="D2751" s="79" t="str">
        <f t="shared" si="5"/>
        <v xml:space="preserve"> </v>
      </c>
      <c r="E2751" s="79" t="str">
        <f t="shared" si="6"/>
        <v xml:space="preserve"> </v>
      </c>
    </row>
    <row r="2752" spans="1:5" ht="12.5">
      <c r="A2752" s="81" t="str">
        <f t="shared" si="0"/>
        <v xml:space="preserve"> </v>
      </c>
      <c r="B2752" s="81" t="str">
        <f t="shared" si="1"/>
        <v xml:space="preserve"> </v>
      </c>
      <c r="C2752" s="79" t="str">
        <f t="shared" si="7"/>
        <v xml:space="preserve"> </v>
      </c>
      <c r="D2752" s="79" t="str">
        <f t="shared" si="5"/>
        <v xml:space="preserve"> </v>
      </c>
      <c r="E2752" s="79" t="str">
        <f t="shared" si="6"/>
        <v xml:space="preserve"> </v>
      </c>
    </row>
    <row r="2753" spans="1:5" ht="12.5">
      <c r="A2753" s="81" t="str">
        <f t="shared" si="0"/>
        <v xml:space="preserve"> </v>
      </c>
      <c r="B2753" s="81" t="str">
        <f t="shared" si="1"/>
        <v xml:space="preserve"> </v>
      </c>
      <c r="C2753" s="79" t="str">
        <f t="shared" si="7"/>
        <v xml:space="preserve"> </v>
      </c>
      <c r="D2753" s="79" t="str">
        <f t="shared" si="5"/>
        <v xml:space="preserve"> </v>
      </c>
      <c r="E2753" s="79" t="str">
        <f t="shared" si="6"/>
        <v xml:space="preserve"> </v>
      </c>
    </row>
    <row r="2754" spans="1:5" ht="12.5">
      <c r="A2754" s="81" t="str">
        <f t="shared" si="0"/>
        <v xml:space="preserve"> </v>
      </c>
      <c r="B2754" s="81" t="str">
        <f t="shared" si="1"/>
        <v xml:space="preserve"> </v>
      </c>
      <c r="C2754" s="79" t="str">
        <f t="shared" si="7"/>
        <v xml:space="preserve"> </v>
      </c>
      <c r="D2754" s="79" t="str">
        <f t="shared" si="5"/>
        <v xml:space="preserve"> </v>
      </c>
      <c r="E2754" s="79" t="str">
        <f t="shared" si="6"/>
        <v xml:space="preserve"> </v>
      </c>
    </row>
    <row r="2755" spans="1:5" ht="12.5">
      <c r="A2755" s="81" t="str">
        <f t="shared" si="0"/>
        <v xml:space="preserve"> </v>
      </c>
      <c r="B2755" s="81" t="str">
        <f t="shared" si="1"/>
        <v xml:space="preserve"> </v>
      </c>
      <c r="C2755" s="79" t="str">
        <f t="shared" si="7"/>
        <v xml:space="preserve"> </v>
      </c>
      <c r="D2755" s="79" t="str">
        <f t="shared" si="5"/>
        <v xml:space="preserve"> </v>
      </c>
      <c r="E2755" s="79" t="str">
        <f t="shared" si="6"/>
        <v xml:space="preserve"> </v>
      </c>
    </row>
    <row r="2756" spans="1:5" ht="12.5">
      <c r="A2756" s="81" t="str">
        <f t="shared" si="0"/>
        <v xml:space="preserve"> </v>
      </c>
      <c r="B2756" s="81" t="str">
        <f t="shared" si="1"/>
        <v xml:space="preserve"> </v>
      </c>
      <c r="C2756" s="79" t="str">
        <f t="shared" si="7"/>
        <v xml:space="preserve"> </v>
      </c>
      <c r="D2756" s="79" t="str">
        <f t="shared" si="5"/>
        <v xml:space="preserve"> </v>
      </c>
      <c r="E2756" s="79" t="str">
        <f t="shared" si="6"/>
        <v xml:space="preserve"> </v>
      </c>
    </row>
    <row r="2757" spans="1:5" ht="12.5">
      <c r="A2757" s="81" t="str">
        <f t="shared" si="0"/>
        <v xml:space="preserve"> </v>
      </c>
      <c r="B2757" s="81" t="str">
        <f t="shared" si="1"/>
        <v xml:space="preserve"> </v>
      </c>
      <c r="C2757" s="79" t="str">
        <f t="shared" si="7"/>
        <v xml:space="preserve"> </v>
      </c>
      <c r="D2757" s="79" t="str">
        <f t="shared" si="5"/>
        <v xml:space="preserve"> </v>
      </c>
      <c r="E2757" s="79" t="str">
        <f t="shared" si="6"/>
        <v xml:space="preserve"> </v>
      </c>
    </row>
    <row r="2758" spans="1:5" ht="12.5">
      <c r="A2758" s="81" t="str">
        <f t="shared" si="0"/>
        <v xml:space="preserve"> </v>
      </c>
      <c r="B2758" s="81" t="str">
        <f t="shared" si="1"/>
        <v xml:space="preserve"> </v>
      </c>
      <c r="C2758" s="79" t="str">
        <f t="shared" si="7"/>
        <v xml:space="preserve"> </v>
      </c>
      <c r="D2758" s="79" t="str">
        <f t="shared" si="5"/>
        <v xml:space="preserve"> </v>
      </c>
      <c r="E2758" s="79" t="str">
        <f t="shared" si="6"/>
        <v xml:space="preserve"> </v>
      </c>
    </row>
    <row r="2759" spans="1:5" ht="12.5">
      <c r="A2759" s="81" t="str">
        <f t="shared" si="0"/>
        <v xml:space="preserve"> </v>
      </c>
      <c r="B2759" s="81" t="str">
        <f t="shared" si="1"/>
        <v xml:space="preserve"> </v>
      </c>
      <c r="C2759" s="79" t="str">
        <f t="shared" si="7"/>
        <v xml:space="preserve"> </v>
      </c>
      <c r="D2759" s="79" t="str">
        <f t="shared" si="5"/>
        <v xml:space="preserve"> </v>
      </c>
      <c r="E2759" s="79" t="str">
        <f t="shared" si="6"/>
        <v xml:space="preserve"> </v>
      </c>
    </row>
    <row r="2760" spans="1:5" ht="12.5">
      <c r="A2760" s="81" t="str">
        <f t="shared" si="0"/>
        <v xml:space="preserve"> </v>
      </c>
      <c r="B2760" s="81" t="str">
        <f t="shared" si="1"/>
        <v xml:space="preserve"> </v>
      </c>
      <c r="C2760" s="79" t="str">
        <f t="shared" si="7"/>
        <v xml:space="preserve"> </v>
      </c>
      <c r="D2760" s="79" t="str">
        <f t="shared" si="5"/>
        <v xml:space="preserve"> </v>
      </c>
      <c r="E2760" s="79" t="str">
        <f t="shared" si="6"/>
        <v xml:space="preserve"> </v>
      </c>
    </row>
    <row r="2761" spans="1:5" ht="12.5">
      <c r="A2761" s="81" t="str">
        <f t="shared" si="0"/>
        <v xml:space="preserve"> </v>
      </c>
      <c r="B2761" s="81" t="str">
        <f t="shared" si="1"/>
        <v xml:space="preserve"> </v>
      </c>
      <c r="C2761" s="79" t="str">
        <f t="shared" si="7"/>
        <v xml:space="preserve"> </v>
      </c>
      <c r="D2761" s="79" t="str">
        <f t="shared" si="5"/>
        <v xml:space="preserve"> </v>
      </c>
      <c r="E2761" s="79" t="str">
        <f t="shared" si="6"/>
        <v xml:space="preserve"> </v>
      </c>
    </row>
    <row r="2762" spans="1:5" ht="12.5">
      <c r="A2762" s="81" t="str">
        <f t="shared" si="0"/>
        <v xml:space="preserve"> </v>
      </c>
      <c r="B2762" s="81" t="str">
        <f t="shared" si="1"/>
        <v xml:space="preserve"> </v>
      </c>
      <c r="C2762" s="79" t="str">
        <f t="shared" si="7"/>
        <v xml:space="preserve"> </v>
      </c>
      <c r="D2762" s="79" t="str">
        <f t="shared" si="5"/>
        <v xml:space="preserve"> </v>
      </c>
      <c r="E2762" s="79" t="str">
        <f t="shared" si="6"/>
        <v xml:space="preserve"> </v>
      </c>
    </row>
    <row r="2763" spans="1:5" ht="12.5">
      <c r="A2763" s="81" t="str">
        <f t="shared" si="0"/>
        <v xml:space="preserve"> </v>
      </c>
      <c r="B2763" s="81" t="str">
        <f t="shared" si="1"/>
        <v xml:space="preserve"> </v>
      </c>
      <c r="C2763" s="79" t="str">
        <f t="shared" si="7"/>
        <v xml:space="preserve"> </v>
      </c>
      <c r="D2763" s="79" t="str">
        <f t="shared" si="5"/>
        <v xml:space="preserve"> </v>
      </c>
      <c r="E2763" s="79" t="str">
        <f t="shared" si="6"/>
        <v xml:space="preserve"> </v>
      </c>
    </row>
    <row r="2764" spans="1:5" ht="12.5">
      <c r="A2764" s="81" t="str">
        <f t="shared" si="0"/>
        <v xml:space="preserve"> </v>
      </c>
      <c r="B2764" s="81" t="str">
        <f t="shared" si="1"/>
        <v xml:space="preserve"> </v>
      </c>
      <c r="C2764" s="79" t="str">
        <f t="shared" si="7"/>
        <v xml:space="preserve"> </v>
      </c>
      <c r="D2764" s="79" t="str">
        <f t="shared" si="5"/>
        <v xml:space="preserve"> </v>
      </c>
      <c r="E2764" s="79" t="str">
        <f t="shared" si="6"/>
        <v xml:space="preserve"> </v>
      </c>
    </row>
    <row r="2765" spans="1:5" ht="12.5">
      <c r="A2765" s="81" t="str">
        <f t="shared" si="0"/>
        <v xml:space="preserve"> </v>
      </c>
      <c r="B2765" s="81" t="str">
        <f t="shared" si="1"/>
        <v xml:space="preserve"> </v>
      </c>
      <c r="C2765" s="79" t="str">
        <f t="shared" si="7"/>
        <v xml:space="preserve"> </v>
      </c>
      <c r="D2765" s="79" t="str">
        <f t="shared" si="5"/>
        <v xml:space="preserve"> </v>
      </c>
      <c r="E2765" s="79" t="str">
        <f t="shared" si="6"/>
        <v xml:space="preserve"> </v>
      </c>
    </row>
    <row r="2766" spans="1:5" ht="12.5">
      <c r="A2766" s="81" t="str">
        <f t="shared" si="0"/>
        <v xml:space="preserve"> </v>
      </c>
      <c r="B2766" s="81" t="str">
        <f t="shared" si="1"/>
        <v xml:space="preserve"> </v>
      </c>
      <c r="C2766" s="79" t="str">
        <f t="shared" si="7"/>
        <v xml:space="preserve"> </v>
      </c>
      <c r="D2766" s="79" t="str">
        <f t="shared" si="5"/>
        <v xml:space="preserve"> </v>
      </c>
      <c r="E2766" s="79" t="str">
        <f t="shared" si="6"/>
        <v xml:space="preserve"> </v>
      </c>
    </row>
    <row r="2767" spans="1:5" ht="12.5">
      <c r="A2767" s="81" t="str">
        <f t="shared" si="0"/>
        <v xml:space="preserve"> </v>
      </c>
      <c r="B2767" s="81" t="str">
        <f t="shared" si="1"/>
        <v xml:space="preserve"> </v>
      </c>
      <c r="C2767" s="79" t="str">
        <f t="shared" si="7"/>
        <v xml:space="preserve"> </v>
      </c>
      <c r="D2767" s="79" t="str">
        <f t="shared" si="5"/>
        <v xml:space="preserve"> </v>
      </c>
      <c r="E2767" s="79" t="str">
        <f t="shared" si="6"/>
        <v xml:space="preserve"> </v>
      </c>
    </row>
    <row r="2768" spans="1:5" ht="12.5">
      <c r="A2768" s="81" t="str">
        <f t="shared" si="0"/>
        <v xml:space="preserve"> </v>
      </c>
      <c r="B2768" s="81" t="str">
        <f t="shared" si="1"/>
        <v xml:space="preserve"> </v>
      </c>
      <c r="C2768" s="79" t="str">
        <f t="shared" si="7"/>
        <v xml:space="preserve"> </v>
      </c>
      <c r="D2768" s="79" t="str">
        <f t="shared" si="5"/>
        <v xml:space="preserve"> </v>
      </c>
      <c r="E2768" s="79" t="str">
        <f t="shared" si="6"/>
        <v xml:space="preserve"> </v>
      </c>
    </row>
    <row r="2769" spans="1:5" ht="12.5">
      <c r="A2769" s="81" t="str">
        <f t="shared" si="0"/>
        <v xml:space="preserve"> </v>
      </c>
      <c r="B2769" s="81" t="str">
        <f t="shared" si="1"/>
        <v xml:space="preserve"> </v>
      </c>
      <c r="C2769" s="79" t="str">
        <f t="shared" si="7"/>
        <v xml:space="preserve"> </v>
      </c>
      <c r="D2769" s="79" t="str">
        <f t="shared" si="5"/>
        <v xml:space="preserve"> </v>
      </c>
      <c r="E2769" s="79" t="str">
        <f t="shared" si="6"/>
        <v xml:space="preserve"> </v>
      </c>
    </row>
    <row r="2770" spans="1:5" ht="12.5">
      <c r="A2770" s="81" t="str">
        <f t="shared" si="0"/>
        <v xml:space="preserve"> </v>
      </c>
      <c r="B2770" s="81" t="str">
        <f t="shared" si="1"/>
        <v xml:space="preserve"> </v>
      </c>
      <c r="C2770" s="79" t="str">
        <f t="shared" si="7"/>
        <v xml:space="preserve"> </v>
      </c>
      <c r="D2770" s="79" t="str">
        <f t="shared" si="5"/>
        <v xml:space="preserve"> </v>
      </c>
      <c r="E2770" s="79" t="str">
        <f t="shared" si="6"/>
        <v xml:space="preserve"> </v>
      </c>
    </row>
    <row r="2771" spans="1:5" ht="12.5">
      <c r="A2771" s="81" t="str">
        <f t="shared" si="0"/>
        <v xml:space="preserve"> </v>
      </c>
      <c r="B2771" s="81" t="str">
        <f t="shared" si="1"/>
        <v xml:space="preserve"> </v>
      </c>
      <c r="C2771" s="79" t="str">
        <f t="shared" si="7"/>
        <v xml:space="preserve"> </v>
      </c>
      <c r="D2771" s="79" t="str">
        <f t="shared" si="5"/>
        <v xml:space="preserve"> </v>
      </c>
      <c r="E2771" s="79" t="str">
        <f t="shared" si="6"/>
        <v xml:space="preserve"> </v>
      </c>
    </row>
    <row r="2772" spans="1:5" ht="12.5">
      <c r="A2772" s="81" t="str">
        <f t="shared" si="0"/>
        <v xml:space="preserve"> </v>
      </c>
      <c r="B2772" s="81" t="str">
        <f t="shared" si="1"/>
        <v xml:space="preserve"> </v>
      </c>
      <c r="C2772" s="79" t="str">
        <f t="shared" si="7"/>
        <v xml:space="preserve"> </v>
      </c>
      <c r="D2772" s="79" t="str">
        <f t="shared" si="5"/>
        <v xml:space="preserve"> </v>
      </c>
      <c r="E2772" s="79" t="str">
        <f t="shared" si="6"/>
        <v xml:space="preserve"> </v>
      </c>
    </row>
    <row r="2773" spans="1:5" ht="12.5">
      <c r="A2773" s="81" t="str">
        <f t="shared" si="0"/>
        <v xml:space="preserve"> </v>
      </c>
      <c r="B2773" s="81" t="str">
        <f t="shared" si="1"/>
        <v xml:space="preserve"> </v>
      </c>
      <c r="C2773" s="79" t="str">
        <f t="shared" si="7"/>
        <v xml:space="preserve"> </v>
      </c>
      <c r="D2773" s="79" t="str">
        <f t="shared" si="5"/>
        <v xml:space="preserve"> </v>
      </c>
      <c r="E2773" s="79" t="str">
        <f t="shared" si="6"/>
        <v xml:space="preserve"> </v>
      </c>
    </row>
    <row r="2774" spans="1:5" ht="12.5">
      <c r="A2774" s="81" t="str">
        <f t="shared" si="0"/>
        <v xml:space="preserve"> </v>
      </c>
      <c r="B2774" s="81" t="str">
        <f t="shared" si="1"/>
        <v xml:space="preserve"> </v>
      </c>
      <c r="C2774" s="79" t="str">
        <f t="shared" si="7"/>
        <v xml:space="preserve"> </v>
      </c>
      <c r="D2774" s="79" t="str">
        <f t="shared" si="5"/>
        <v xml:space="preserve"> </v>
      </c>
      <c r="E2774" s="79" t="str">
        <f t="shared" si="6"/>
        <v xml:space="preserve"> </v>
      </c>
    </row>
    <row r="2775" spans="1:5" ht="12.5">
      <c r="A2775" s="81" t="str">
        <f t="shared" si="0"/>
        <v xml:space="preserve"> </v>
      </c>
      <c r="B2775" s="81" t="str">
        <f t="shared" si="1"/>
        <v xml:space="preserve"> </v>
      </c>
      <c r="C2775" s="79" t="str">
        <f t="shared" si="7"/>
        <v xml:space="preserve"> </v>
      </c>
      <c r="D2775" s="79" t="str">
        <f t="shared" si="5"/>
        <v xml:space="preserve"> </v>
      </c>
      <c r="E2775" s="79" t="str">
        <f t="shared" si="6"/>
        <v xml:space="preserve"> </v>
      </c>
    </row>
    <row r="2776" spans="1:5" ht="12.5">
      <c r="A2776" s="81" t="str">
        <f t="shared" si="0"/>
        <v xml:space="preserve"> </v>
      </c>
      <c r="B2776" s="81" t="str">
        <f t="shared" si="1"/>
        <v xml:space="preserve"> </v>
      </c>
      <c r="C2776" s="79" t="str">
        <f t="shared" si="7"/>
        <v xml:space="preserve"> </v>
      </c>
      <c r="D2776" s="79" t="str">
        <f t="shared" si="5"/>
        <v xml:space="preserve"> </v>
      </c>
      <c r="E2776" s="79" t="str">
        <f t="shared" si="6"/>
        <v xml:space="preserve"> </v>
      </c>
    </row>
    <row r="2777" spans="1:5" ht="12.5">
      <c r="A2777" s="81" t="str">
        <f t="shared" si="0"/>
        <v xml:space="preserve"> </v>
      </c>
      <c r="B2777" s="81" t="str">
        <f t="shared" si="1"/>
        <v xml:space="preserve"> </v>
      </c>
      <c r="C2777" s="79" t="str">
        <f t="shared" si="7"/>
        <v xml:space="preserve"> </v>
      </c>
      <c r="D2777" s="79" t="str">
        <f t="shared" si="5"/>
        <v xml:space="preserve"> </v>
      </c>
      <c r="E2777" s="79" t="str">
        <f t="shared" si="6"/>
        <v xml:space="preserve"> </v>
      </c>
    </row>
    <row r="2778" spans="1:5" ht="12.5">
      <c r="A2778" s="81" t="str">
        <f t="shared" si="0"/>
        <v xml:space="preserve"> </v>
      </c>
      <c r="B2778" s="81" t="str">
        <f t="shared" si="1"/>
        <v xml:space="preserve"> </v>
      </c>
      <c r="C2778" s="79" t="str">
        <f t="shared" si="7"/>
        <v xml:space="preserve"> </v>
      </c>
      <c r="D2778" s="79" t="str">
        <f t="shared" si="5"/>
        <v xml:space="preserve"> </v>
      </c>
      <c r="E2778" s="79" t="str">
        <f t="shared" si="6"/>
        <v xml:space="preserve"> </v>
      </c>
    </row>
    <row r="2779" spans="1:5" ht="12.5">
      <c r="A2779" s="81" t="str">
        <f t="shared" si="0"/>
        <v xml:space="preserve"> </v>
      </c>
      <c r="B2779" s="81" t="str">
        <f t="shared" si="1"/>
        <v xml:space="preserve"> </v>
      </c>
      <c r="C2779" s="79" t="str">
        <f t="shared" si="7"/>
        <v xml:space="preserve"> </v>
      </c>
      <c r="D2779" s="79" t="str">
        <f t="shared" si="5"/>
        <v xml:space="preserve"> </v>
      </c>
      <c r="E2779" s="79" t="str">
        <f t="shared" si="6"/>
        <v xml:space="preserve"> </v>
      </c>
    </row>
    <row r="2780" spans="1:5" ht="12.5">
      <c r="A2780" s="81" t="str">
        <f t="shared" si="0"/>
        <v xml:space="preserve"> </v>
      </c>
      <c r="B2780" s="81" t="str">
        <f t="shared" si="1"/>
        <v xml:space="preserve"> </v>
      </c>
      <c r="C2780" s="79" t="str">
        <f t="shared" si="7"/>
        <v xml:space="preserve"> </v>
      </c>
      <c r="D2780" s="79" t="str">
        <f t="shared" si="5"/>
        <v xml:space="preserve"> </v>
      </c>
      <c r="E2780" s="79" t="str">
        <f t="shared" si="6"/>
        <v xml:space="preserve"> </v>
      </c>
    </row>
    <row r="2781" spans="1:5" ht="12.5">
      <c r="A2781" s="81" t="str">
        <f t="shared" si="0"/>
        <v xml:space="preserve"> </v>
      </c>
      <c r="B2781" s="81" t="str">
        <f t="shared" si="1"/>
        <v xml:space="preserve"> </v>
      </c>
      <c r="C2781" s="79" t="str">
        <f t="shared" si="7"/>
        <v xml:space="preserve"> </v>
      </c>
      <c r="D2781" s="79" t="str">
        <f t="shared" si="5"/>
        <v xml:space="preserve"> </v>
      </c>
      <c r="E2781" s="79" t="str">
        <f t="shared" si="6"/>
        <v xml:space="preserve"> </v>
      </c>
    </row>
    <row r="2782" spans="1:5" ht="12.5">
      <c r="A2782" s="81" t="str">
        <f t="shared" si="0"/>
        <v xml:space="preserve"> </v>
      </c>
      <c r="B2782" s="81" t="str">
        <f t="shared" si="1"/>
        <v xml:space="preserve"> </v>
      </c>
      <c r="C2782" s="79" t="str">
        <f t="shared" si="7"/>
        <v xml:space="preserve"> </v>
      </c>
      <c r="D2782" s="79" t="str">
        <f t="shared" si="5"/>
        <v xml:space="preserve"> </v>
      </c>
      <c r="E2782" s="79" t="str">
        <f t="shared" si="6"/>
        <v xml:space="preserve"> </v>
      </c>
    </row>
    <row r="2783" spans="1:5" ht="12.5">
      <c r="A2783" s="81" t="str">
        <f t="shared" si="0"/>
        <v xml:space="preserve"> </v>
      </c>
      <c r="B2783" s="81" t="str">
        <f t="shared" si="1"/>
        <v xml:space="preserve"> </v>
      </c>
      <c r="C2783" s="79" t="str">
        <f t="shared" si="7"/>
        <v xml:space="preserve"> </v>
      </c>
      <c r="D2783" s="79" t="str">
        <f t="shared" si="5"/>
        <v xml:space="preserve"> </v>
      </c>
      <c r="E2783" s="79" t="str">
        <f t="shared" si="6"/>
        <v xml:space="preserve"> </v>
      </c>
    </row>
    <row r="2784" spans="1:5" ht="12.5">
      <c r="A2784" s="81" t="str">
        <f t="shared" si="0"/>
        <v xml:space="preserve"> </v>
      </c>
      <c r="B2784" s="81" t="str">
        <f t="shared" si="1"/>
        <v xml:space="preserve"> </v>
      </c>
      <c r="C2784" s="79" t="str">
        <f t="shared" si="7"/>
        <v xml:space="preserve"> </v>
      </c>
      <c r="D2784" s="79" t="str">
        <f t="shared" si="5"/>
        <v xml:space="preserve"> </v>
      </c>
      <c r="E2784" s="79" t="str">
        <f t="shared" si="6"/>
        <v xml:space="preserve"> </v>
      </c>
    </row>
    <row r="2785" spans="1:5" ht="12.5">
      <c r="A2785" s="81" t="str">
        <f t="shared" si="0"/>
        <v xml:space="preserve"> </v>
      </c>
      <c r="B2785" s="81" t="str">
        <f t="shared" si="1"/>
        <v xml:space="preserve"> </v>
      </c>
      <c r="C2785" s="79" t="str">
        <f t="shared" si="7"/>
        <v xml:space="preserve"> </v>
      </c>
      <c r="D2785" s="79" t="str">
        <f t="shared" si="5"/>
        <v xml:space="preserve"> </v>
      </c>
      <c r="E2785" s="79" t="str">
        <f t="shared" si="6"/>
        <v xml:space="preserve"> </v>
      </c>
    </row>
    <row r="2786" spans="1:5" ht="12.5">
      <c r="A2786" s="81" t="str">
        <f t="shared" si="0"/>
        <v xml:space="preserve"> </v>
      </c>
      <c r="B2786" s="81" t="str">
        <f t="shared" si="1"/>
        <v xml:space="preserve"> </v>
      </c>
      <c r="C2786" s="79" t="str">
        <f t="shared" si="7"/>
        <v xml:space="preserve"> </v>
      </c>
      <c r="D2786" s="79" t="str">
        <f t="shared" si="5"/>
        <v xml:space="preserve"> </v>
      </c>
      <c r="E2786" s="79" t="str">
        <f t="shared" si="6"/>
        <v xml:space="preserve"> </v>
      </c>
    </row>
    <row r="2787" spans="1:5" ht="12.5">
      <c r="A2787" s="81" t="str">
        <f t="shared" si="0"/>
        <v xml:space="preserve"> </v>
      </c>
      <c r="B2787" s="81" t="str">
        <f t="shared" si="1"/>
        <v xml:space="preserve"> </v>
      </c>
      <c r="C2787" s="79" t="str">
        <f t="shared" si="7"/>
        <v xml:space="preserve"> </v>
      </c>
      <c r="D2787" s="79" t="str">
        <f t="shared" si="5"/>
        <v xml:space="preserve"> </v>
      </c>
      <c r="E2787" s="79" t="str">
        <f t="shared" si="6"/>
        <v xml:space="preserve"> </v>
      </c>
    </row>
    <row r="2788" spans="1:5" ht="12.5">
      <c r="A2788" s="81" t="str">
        <f t="shared" si="0"/>
        <v xml:space="preserve"> </v>
      </c>
      <c r="B2788" s="81" t="str">
        <f t="shared" si="1"/>
        <v xml:space="preserve"> </v>
      </c>
      <c r="C2788" s="79" t="str">
        <f t="shared" si="7"/>
        <v xml:space="preserve"> </v>
      </c>
      <c r="D2788" s="79" t="str">
        <f t="shared" si="5"/>
        <v xml:space="preserve"> </v>
      </c>
      <c r="E2788" s="79" t="str">
        <f t="shared" si="6"/>
        <v xml:space="preserve"> </v>
      </c>
    </row>
    <row r="2789" spans="1:5" ht="12.5">
      <c r="A2789" s="81" t="str">
        <f t="shared" si="0"/>
        <v xml:space="preserve"> </v>
      </c>
      <c r="B2789" s="81" t="str">
        <f t="shared" si="1"/>
        <v xml:space="preserve"> </v>
      </c>
      <c r="C2789" s="79" t="str">
        <f t="shared" si="7"/>
        <v xml:space="preserve"> </v>
      </c>
      <c r="D2789" s="79" t="str">
        <f t="shared" si="5"/>
        <v xml:space="preserve"> </v>
      </c>
      <c r="E2789" s="79" t="str">
        <f t="shared" si="6"/>
        <v xml:space="preserve"> </v>
      </c>
    </row>
    <row r="2790" spans="1:5" ht="12.5">
      <c r="A2790" s="81" t="str">
        <f t="shared" si="0"/>
        <v xml:space="preserve"> </v>
      </c>
      <c r="B2790" s="81" t="str">
        <f t="shared" si="1"/>
        <v xml:space="preserve"> </v>
      </c>
      <c r="C2790" s="79" t="str">
        <f t="shared" si="7"/>
        <v xml:space="preserve"> </v>
      </c>
      <c r="D2790" s="79" t="str">
        <f t="shared" si="5"/>
        <v xml:space="preserve"> </v>
      </c>
      <c r="E2790" s="79" t="str">
        <f t="shared" si="6"/>
        <v xml:space="preserve"> </v>
      </c>
    </row>
    <row r="2791" spans="1:5" ht="12.5">
      <c r="A2791" s="81" t="str">
        <f t="shared" si="0"/>
        <v xml:space="preserve"> </v>
      </c>
      <c r="B2791" s="81" t="str">
        <f t="shared" si="1"/>
        <v xml:space="preserve"> </v>
      </c>
      <c r="C2791" s="79" t="str">
        <f t="shared" si="7"/>
        <v xml:space="preserve"> </v>
      </c>
      <c r="D2791" s="79" t="str">
        <f t="shared" si="5"/>
        <v xml:space="preserve"> </v>
      </c>
      <c r="E2791" s="79" t="str">
        <f t="shared" si="6"/>
        <v xml:space="preserve"> </v>
      </c>
    </row>
    <row r="2792" spans="1:5" ht="12.5">
      <c r="A2792" s="81" t="str">
        <f t="shared" si="0"/>
        <v xml:space="preserve"> </v>
      </c>
      <c r="B2792" s="81" t="str">
        <f t="shared" si="1"/>
        <v xml:space="preserve"> </v>
      </c>
      <c r="C2792" s="79" t="str">
        <f t="shared" si="7"/>
        <v xml:space="preserve"> </v>
      </c>
      <c r="D2792" s="79" t="str">
        <f t="shared" si="5"/>
        <v xml:space="preserve"> </v>
      </c>
      <c r="E2792" s="79" t="str">
        <f t="shared" si="6"/>
        <v xml:space="preserve"> </v>
      </c>
    </row>
    <row r="2793" spans="1:5" ht="12.5">
      <c r="A2793" s="81" t="str">
        <f t="shared" si="0"/>
        <v xml:space="preserve"> </v>
      </c>
      <c r="B2793" s="81" t="str">
        <f t="shared" si="1"/>
        <v xml:space="preserve"> </v>
      </c>
      <c r="C2793" s="79" t="str">
        <f t="shared" si="7"/>
        <v xml:space="preserve"> </v>
      </c>
      <c r="D2793" s="79" t="str">
        <f t="shared" si="5"/>
        <v xml:space="preserve"> </v>
      </c>
      <c r="E2793" s="79" t="str">
        <f t="shared" si="6"/>
        <v xml:space="preserve"> </v>
      </c>
    </row>
    <row r="2794" spans="1:5" ht="12.5">
      <c r="A2794" s="81" t="str">
        <f t="shared" si="0"/>
        <v xml:space="preserve"> </v>
      </c>
      <c r="B2794" s="81" t="str">
        <f t="shared" si="1"/>
        <v xml:space="preserve"> </v>
      </c>
      <c r="C2794" s="79" t="str">
        <f t="shared" si="7"/>
        <v xml:space="preserve"> </v>
      </c>
      <c r="D2794" s="79" t="str">
        <f t="shared" si="5"/>
        <v xml:space="preserve"> </v>
      </c>
      <c r="E2794" s="79" t="str">
        <f t="shared" si="6"/>
        <v xml:space="preserve"> </v>
      </c>
    </row>
    <row r="2795" spans="1:5" ht="12.5">
      <c r="A2795" s="81" t="str">
        <f t="shared" si="0"/>
        <v xml:space="preserve"> </v>
      </c>
      <c r="B2795" s="81" t="str">
        <f t="shared" si="1"/>
        <v xml:space="preserve"> </v>
      </c>
      <c r="C2795" s="79" t="str">
        <f t="shared" si="7"/>
        <v xml:space="preserve"> </v>
      </c>
      <c r="D2795" s="79" t="str">
        <f t="shared" si="5"/>
        <v xml:space="preserve"> </v>
      </c>
      <c r="E2795" s="79" t="str">
        <f t="shared" si="6"/>
        <v xml:space="preserve"> </v>
      </c>
    </row>
    <row r="2796" spans="1:5" ht="12.5">
      <c r="A2796" s="81" t="str">
        <f t="shared" si="0"/>
        <v xml:space="preserve"> </v>
      </c>
      <c r="B2796" s="81" t="str">
        <f t="shared" si="1"/>
        <v xml:space="preserve"> </v>
      </c>
      <c r="C2796" s="79" t="str">
        <f t="shared" si="7"/>
        <v xml:space="preserve"> </v>
      </c>
      <c r="D2796" s="79" t="str">
        <f t="shared" si="5"/>
        <v xml:space="preserve"> </v>
      </c>
      <c r="E2796" s="79" t="str">
        <f t="shared" si="6"/>
        <v xml:space="preserve"> </v>
      </c>
    </row>
    <row r="2797" spans="1:5" ht="12.5">
      <c r="A2797" s="81" t="str">
        <f t="shared" si="0"/>
        <v xml:space="preserve"> </v>
      </c>
      <c r="B2797" s="81" t="str">
        <f t="shared" si="1"/>
        <v xml:space="preserve"> </v>
      </c>
      <c r="C2797" s="79" t="str">
        <f t="shared" si="7"/>
        <v xml:space="preserve"> </v>
      </c>
      <c r="D2797" s="79" t="str">
        <f t="shared" si="5"/>
        <v xml:space="preserve"> </v>
      </c>
      <c r="E2797" s="79" t="str">
        <f t="shared" si="6"/>
        <v xml:space="preserve"> </v>
      </c>
    </row>
    <row r="2798" spans="1:5" ht="12.5">
      <c r="A2798" s="81" t="str">
        <f t="shared" si="0"/>
        <v xml:space="preserve"> </v>
      </c>
      <c r="B2798" s="81" t="str">
        <f t="shared" si="1"/>
        <v xml:space="preserve"> </v>
      </c>
      <c r="C2798" s="79" t="str">
        <f t="shared" si="7"/>
        <v xml:space="preserve"> </v>
      </c>
      <c r="D2798" s="79" t="str">
        <f t="shared" si="5"/>
        <v xml:space="preserve"> </v>
      </c>
      <c r="E2798" s="79" t="str">
        <f t="shared" si="6"/>
        <v xml:space="preserve"> </v>
      </c>
    </row>
    <row r="2799" spans="1:5" ht="12.5">
      <c r="A2799" s="81" t="str">
        <f t="shared" si="0"/>
        <v xml:space="preserve"> </v>
      </c>
      <c r="B2799" s="81" t="str">
        <f t="shared" si="1"/>
        <v xml:space="preserve"> </v>
      </c>
      <c r="C2799" s="79" t="str">
        <f t="shared" si="7"/>
        <v xml:space="preserve"> </v>
      </c>
      <c r="D2799" s="79" t="str">
        <f t="shared" si="5"/>
        <v xml:space="preserve"> </v>
      </c>
      <c r="E2799" s="79" t="str">
        <f t="shared" si="6"/>
        <v xml:space="preserve"> </v>
      </c>
    </row>
    <row r="2800" spans="1:5" ht="12.5">
      <c r="A2800" s="81" t="str">
        <f t="shared" si="0"/>
        <v xml:space="preserve"> </v>
      </c>
      <c r="B2800" s="81" t="str">
        <f t="shared" si="1"/>
        <v xml:space="preserve"> </v>
      </c>
      <c r="C2800" s="79" t="str">
        <f t="shared" si="7"/>
        <v xml:space="preserve"> </v>
      </c>
      <c r="D2800" s="79" t="str">
        <f t="shared" si="5"/>
        <v xml:space="preserve"> </v>
      </c>
      <c r="E2800" s="79" t="str">
        <f t="shared" si="6"/>
        <v xml:space="preserve"> </v>
      </c>
    </row>
    <row r="2801" spans="1:5" ht="12.5">
      <c r="A2801" s="81" t="str">
        <f t="shared" si="0"/>
        <v xml:space="preserve"> </v>
      </c>
      <c r="B2801" s="81" t="str">
        <f t="shared" si="1"/>
        <v xml:space="preserve"> </v>
      </c>
      <c r="C2801" s="79" t="str">
        <f t="shared" si="7"/>
        <v xml:space="preserve"> </v>
      </c>
      <c r="D2801" s="79" t="str">
        <f t="shared" si="5"/>
        <v xml:space="preserve"> </v>
      </c>
      <c r="E2801" s="79" t="str">
        <f t="shared" si="6"/>
        <v xml:space="preserve"> </v>
      </c>
    </row>
    <row r="2802" spans="1:5" ht="12.5">
      <c r="A2802" s="81" t="str">
        <f t="shared" si="0"/>
        <v xml:space="preserve"> </v>
      </c>
      <c r="B2802" s="81" t="str">
        <f t="shared" si="1"/>
        <v xml:space="preserve"> </v>
      </c>
      <c r="C2802" s="79" t="str">
        <f t="shared" si="7"/>
        <v xml:space="preserve"> </v>
      </c>
      <c r="D2802" s="79" t="str">
        <f t="shared" si="5"/>
        <v xml:space="preserve"> </v>
      </c>
      <c r="E2802" s="79" t="str">
        <f t="shared" si="6"/>
        <v xml:space="preserve"> </v>
      </c>
    </row>
    <row r="2803" spans="1:5" ht="12.5">
      <c r="A2803" s="81" t="str">
        <f t="shared" si="0"/>
        <v xml:space="preserve"> </v>
      </c>
      <c r="B2803" s="81" t="str">
        <f t="shared" si="1"/>
        <v xml:space="preserve"> </v>
      </c>
      <c r="C2803" s="79" t="str">
        <f t="shared" si="7"/>
        <v xml:space="preserve"> </v>
      </c>
      <c r="D2803" s="79" t="str">
        <f t="shared" si="5"/>
        <v xml:space="preserve"> </v>
      </c>
      <c r="E2803" s="79" t="str">
        <f t="shared" si="6"/>
        <v xml:space="preserve"> </v>
      </c>
    </row>
    <row r="2804" spans="1:5" ht="12.5">
      <c r="A2804" s="81" t="str">
        <f t="shared" si="0"/>
        <v xml:space="preserve"> </v>
      </c>
      <c r="B2804" s="81" t="str">
        <f t="shared" si="1"/>
        <v xml:space="preserve"> </v>
      </c>
      <c r="C2804" s="79" t="str">
        <f t="shared" si="7"/>
        <v xml:space="preserve"> </v>
      </c>
      <c r="D2804" s="79" t="str">
        <f t="shared" si="5"/>
        <v xml:space="preserve"> </v>
      </c>
      <c r="E2804" s="79" t="str">
        <f t="shared" si="6"/>
        <v xml:space="preserve"> </v>
      </c>
    </row>
    <row r="2805" spans="1:5" ht="12.5">
      <c r="A2805" s="81" t="str">
        <f t="shared" si="0"/>
        <v xml:space="preserve"> </v>
      </c>
      <c r="B2805" s="81" t="str">
        <f t="shared" si="1"/>
        <v xml:space="preserve"> </v>
      </c>
      <c r="C2805" s="79" t="str">
        <f t="shared" si="7"/>
        <v xml:space="preserve"> </v>
      </c>
      <c r="D2805" s="79" t="str">
        <f t="shared" si="5"/>
        <v xml:space="preserve"> </v>
      </c>
      <c r="E2805" s="79" t="str">
        <f t="shared" si="6"/>
        <v xml:space="preserve"> </v>
      </c>
    </row>
    <row r="2806" spans="1:5" ht="12.5">
      <c r="A2806" s="81" t="str">
        <f t="shared" si="0"/>
        <v xml:space="preserve"> </v>
      </c>
      <c r="B2806" s="81" t="str">
        <f t="shared" si="1"/>
        <v xml:space="preserve"> </v>
      </c>
      <c r="C2806" s="79" t="str">
        <f t="shared" si="7"/>
        <v xml:space="preserve"> </v>
      </c>
      <c r="D2806" s="79" t="str">
        <f t="shared" si="5"/>
        <v xml:space="preserve"> </v>
      </c>
      <c r="E2806" s="79" t="str">
        <f t="shared" si="6"/>
        <v xml:space="preserve"> </v>
      </c>
    </row>
    <row r="2807" spans="1:5" ht="12.5">
      <c r="A2807" s="81" t="str">
        <f t="shared" si="0"/>
        <v xml:space="preserve"> </v>
      </c>
      <c r="B2807" s="81" t="str">
        <f t="shared" si="1"/>
        <v xml:space="preserve"> </v>
      </c>
      <c r="C2807" s="79" t="str">
        <f t="shared" si="7"/>
        <v xml:space="preserve"> </v>
      </c>
      <c r="D2807" s="79" t="str">
        <f t="shared" si="5"/>
        <v xml:space="preserve"> </v>
      </c>
      <c r="E2807" s="79" t="str">
        <f t="shared" si="6"/>
        <v xml:space="preserve"> </v>
      </c>
    </row>
    <row r="2808" spans="1:5" ht="12.5">
      <c r="A2808" s="81" t="str">
        <f t="shared" si="0"/>
        <v xml:space="preserve"> </v>
      </c>
      <c r="B2808" s="81" t="str">
        <f t="shared" si="1"/>
        <v xml:space="preserve"> </v>
      </c>
      <c r="C2808" s="79" t="str">
        <f t="shared" si="7"/>
        <v xml:space="preserve"> </v>
      </c>
      <c r="D2808" s="79" t="str">
        <f t="shared" si="5"/>
        <v xml:space="preserve"> </v>
      </c>
      <c r="E2808" s="79" t="str">
        <f t="shared" si="6"/>
        <v xml:space="preserve"> </v>
      </c>
    </row>
    <row r="2809" spans="1:5" ht="12.5">
      <c r="A2809" s="81" t="str">
        <f t="shared" si="0"/>
        <v xml:space="preserve"> </v>
      </c>
      <c r="B2809" s="81" t="str">
        <f t="shared" si="1"/>
        <v xml:space="preserve"> </v>
      </c>
      <c r="C2809" s="79" t="str">
        <f t="shared" si="7"/>
        <v xml:space="preserve"> </v>
      </c>
      <c r="D2809" s="79" t="str">
        <f t="shared" si="5"/>
        <v xml:space="preserve"> </v>
      </c>
      <c r="E2809" s="79" t="str">
        <f t="shared" si="6"/>
        <v xml:space="preserve"> </v>
      </c>
    </row>
    <row r="2810" spans="1:5" ht="12.5">
      <c r="A2810" s="81" t="str">
        <f t="shared" si="0"/>
        <v xml:space="preserve"> </v>
      </c>
      <c r="B2810" s="81" t="str">
        <f t="shared" si="1"/>
        <v xml:space="preserve"> </v>
      </c>
      <c r="C2810" s="79" t="str">
        <f t="shared" si="7"/>
        <v xml:space="preserve"> </v>
      </c>
      <c r="D2810" s="79" t="str">
        <f t="shared" si="5"/>
        <v xml:space="preserve"> </v>
      </c>
      <c r="E2810" s="79" t="str">
        <f t="shared" si="6"/>
        <v xml:space="preserve"> </v>
      </c>
    </row>
    <row r="2811" spans="1:5" ht="12.5">
      <c r="A2811" s="81" t="str">
        <f t="shared" si="0"/>
        <v xml:space="preserve"> </v>
      </c>
      <c r="B2811" s="81" t="str">
        <f t="shared" si="1"/>
        <v xml:space="preserve"> </v>
      </c>
      <c r="C2811" s="79" t="str">
        <f t="shared" si="7"/>
        <v xml:space="preserve"> </v>
      </c>
      <c r="D2811" s="79" t="str">
        <f t="shared" si="5"/>
        <v xml:space="preserve"> </v>
      </c>
      <c r="E2811" s="79" t="str">
        <f t="shared" si="6"/>
        <v xml:space="preserve"> </v>
      </c>
    </row>
    <row r="2812" spans="1:5" ht="12.5">
      <c r="A2812" s="81" t="str">
        <f t="shared" si="0"/>
        <v xml:space="preserve"> </v>
      </c>
      <c r="B2812" s="81" t="str">
        <f t="shared" si="1"/>
        <v xml:space="preserve"> </v>
      </c>
      <c r="C2812" s="79" t="str">
        <f t="shared" si="7"/>
        <v xml:space="preserve"> </v>
      </c>
      <c r="D2812" s="79" t="str">
        <f t="shared" si="5"/>
        <v xml:space="preserve"> </v>
      </c>
      <c r="E2812" s="79" t="str">
        <f t="shared" si="6"/>
        <v xml:space="preserve"> </v>
      </c>
    </row>
    <row r="2813" spans="1:5" ht="12.5">
      <c r="A2813" s="81" t="str">
        <f t="shared" si="0"/>
        <v xml:space="preserve"> </v>
      </c>
      <c r="B2813" s="81" t="str">
        <f t="shared" si="1"/>
        <v xml:space="preserve"> </v>
      </c>
      <c r="C2813" s="79" t="str">
        <f t="shared" si="7"/>
        <v xml:space="preserve"> </v>
      </c>
      <c r="D2813" s="79" t="str">
        <f t="shared" si="5"/>
        <v xml:space="preserve"> </v>
      </c>
      <c r="E2813" s="79" t="str">
        <f t="shared" si="6"/>
        <v xml:space="preserve"> </v>
      </c>
    </row>
    <row r="2814" spans="1:5" ht="12.5">
      <c r="A2814" s="81" t="str">
        <f t="shared" si="0"/>
        <v xml:space="preserve"> </v>
      </c>
      <c r="B2814" s="81" t="str">
        <f t="shared" si="1"/>
        <v xml:space="preserve"> </v>
      </c>
      <c r="C2814" s="79" t="str">
        <f t="shared" si="7"/>
        <v xml:space="preserve"> </v>
      </c>
      <c r="D2814" s="79" t="str">
        <f t="shared" si="5"/>
        <v xml:space="preserve"> </v>
      </c>
      <c r="E2814" s="79" t="str">
        <f t="shared" si="6"/>
        <v xml:space="preserve"> </v>
      </c>
    </row>
    <row r="2815" spans="1:5" ht="12.5">
      <c r="A2815" s="81" t="str">
        <f t="shared" si="0"/>
        <v xml:space="preserve"> </v>
      </c>
      <c r="B2815" s="81" t="str">
        <f t="shared" si="1"/>
        <v xml:space="preserve"> </v>
      </c>
      <c r="C2815" s="79" t="str">
        <f t="shared" si="7"/>
        <v xml:space="preserve"> </v>
      </c>
      <c r="D2815" s="79" t="str">
        <f t="shared" si="5"/>
        <v xml:space="preserve"> </v>
      </c>
      <c r="E2815" s="79" t="str">
        <f t="shared" si="6"/>
        <v xml:space="preserve"> </v>
      </c>
    </row>
    <row r="2816" spans="1:5" ht="12.5">
      <c r="A2816" s="81" t="str">
        <f t="shared" si="0"/>
        <v xml:space="preserve"> </v>
      </c>
      <c r="B2816" s="81" t="str">
        <f t="shared" si="1"/>
        <v xml:space="preserve"> </v>
      </c>
      <c r="C2816" s="79" t="str">
        <f t="shared" si="7"/>
        <v xml:space="preserve"> </v>
      </c>
      <c r="D2816" s="79" t="str">
        <f t="shared" si="5"/>
        <v xml:space="preserve"> </v>
      </c>
      <c r="E2816" s="79" t="str">
        <f t="shared" si="6"/>
        <v xml:space="preserve"> </v>
      </c>
    </row>
    <row r="2817" spans="1:5" ht="12.5">
      <c r="A2817" s="81" t="str">
        <f t="shared" si="0"/>
        <v xml:space="preserve"> </v>
      </c>
      <c r="B2817" s="81" t="str">
        <f t="shared" si="1"/>
        <v xml:space="preserve"> </v>
      </c>
      <c r="C2817" s="79" t="str">
        <f t="shared" si="7"/>
        <v xml:space="preserve"> </v>
      </c>
      <c r="D2817" s="79" t="str">
        <f t="shared" si="5"/>
        <v xml:space="preserve"> </v>
      </c>
      <c r="E2817" s="79" t="str">
        <f t="shared" si="6"/>
        <v xml:space="preserve"> </v>
      </c>
    </row>
    <row r="2818" spans="1:5" ht="12.5">
      <c r="A2818" s="81" t="str">
        <f t="shared" si="0"/>
        <v xml:space="preserve"> </v>
      </c>
      <c r="B2818" s="81" t="str">
        <f t="shared" si="1"/>
        <v xml:space="preserve"> </v>
      </c>
      <c r="C2818" s="79" t="str">
        <f t="shared" si="7"/>
        <v xml:space="preserve"> </v>
      </c>
      <c r="D2818" s="79" t="str">
        <f t="shared" si="5"/>
        <v xml:space="preserve"> </v>
      </c>
      <c r="E2818" s="79" t="str">
        <f t="shared" si="6"/>
        <v xml:space="preserve"> </v>
      </c>
    </row>
    <row r="2819" spans="1:5" ht="12.5">
      <c r="A2819" s="81" t="str">
        <f t="shared" si="0"/>
        <v xml:space="preserve"> </v>
      </c>
      <c r="B2819" s="81" t="str">
        <f t="shared" si="1"/>
        <v xml:space="preserve"> </v>
      </c>
      <c r="C2819" s="79" t="str">
        <f t="shared" si="7"/>
        <v xml:space="preserve"> </v>
      </c>
      <c r="D2819" s="79" t="str">
        <f t="shared" si="5"/>
        <v xml:space="preserve"> </v>
      </c>
      <c r="E2819" s="79" t="str">
        <f t="shared" si="6"/>
        <v xml:space="preserve"> </v>
      </c>
    </row>
    <row r="2820" spans="1:5" ht="12.5">
      <c r="A2820" s="81" t="str">
        <f t="shared" si="0"/>
        <v xml:space="preserve"> </v>
      </c>
      <c r="B2820" s="81" t="str">
        <f t="shared" si="1"/>
        <v xml:space="preserve"> </v>
      </c>
      <c r="C2820" s="79" t="str">
        <f t="shared" si="7"/>
        <v xml:space="preserve"> </v>
      </c>
      <c r="D2820" s="79" t="str">
        <f t="shared" si="5"/>
        <v xml:space="preserve"> </v>
      </c>
      <c r="E2820" s="79" t="str">
        <f t="shared" si="6"/>
        <v xml:space="preserve"> </v>
      </c>
    </row>
    <row r="2821" spans="1:5" ht="12.5">
      <c r="A2821" s="81" t="str">
        <f t="shared" si="0"/>
        <v xml:space="preserve"> </v>
      </c>
      <c r="B2821" s="81" t="str">
        <f t="shared" si="1"/>
        <v xml:space="preserve"> </v>
      </c>
      <c r="C2821" s="79" t="str">
        <f t="shared" si="7"/>
        <v xml:space="preserve"> </v>
      </c>
      <c r="D2821" s="79" t="str">
        <f t="shared" si="5"/>
        <v xml:space="preserve"> </v>
      </c>
      <c r="E2821" s="79" t="str">
        <f t="shared" si="6"/>
        <v xml:space="preserve"> </v>
      </c>
    </row>
    <row r="2822" spans="1:5" ht="12.5">
      <c r="A2822" s="81" t="str">
        <f t="shared" si="0"/>
        <v xml:space="preserve"> </v>
      </c>
      <c r="B2822" s="81" t="str">
        <f t="shared" si="1"/>
        <v xml:space="preserve"> </v>
      </c>
      <c r="C2822" s="79" t="str">
        <f t="shared" si="7"/>
        <v xml:space="preserve"> </v>
      </c>
      <c r="D2822" s="79" t="str">
        <f t="shared" si="5"/>
        <v xml:space="preserve"> </v>
      </c>
      <c r="E2822" s="79" t="str">
        <f t="shared" si="6"/>
        <v xml:space="preserve"> </v>
      </c>
    </row>
    <row r="2823" spans="1:5" ht="12.5">
      <c r="A2823" s="81" t="str">
        <f t="shared" si="0"/>
        <v xml:space="preserve"> </v>
      </c>
      <c r="B2823" s="81" t="str">
        <f t="shared" si="1"/>
        <v xml:space="preserve"> </v>
      </c>
      <c r="C2823" s="79" t="str">
        <f t="shared" si="7"/>
        <v xml:space="preserve"> </v>
      </c>
      <c r="D2823" s="79" t="str">
        <f t="shared" si="5"/>
        <v xml:space="preserve"> </v>
      </c>
      <c r="E2823" s="79" t="str">
        <f t="shared" si="6"/>
        <v xml:space="preserve"> </v>
      </c>
    </row>
    <row r="2824" spans="1:5" ht="12.5">
      <c r="A2824" s="81" t="str">
        <f t="shared" si="0"/>
        <v xml:space="preserve"> </v>
      </c>
      <c r="B2824" s="81" t="str">
        <f t="shared" si="1"/>
        <v xml:space="preserve"> </v>
      </c>
      <c r="C2824" s="79" t="str">
        <f t="shared" si="7"/>
        <v xml:space="preserve"> </v>
      </c>
      <c r="D2824" s="79" t="str">
        <f t="shared" si="5"/>
        <v xml:space="preserve"> </v>
      </c>
      <c r="E2824" s="79" t="str">
        <f t="shared" si="6"/>
        <v xml:space="preserve"> </v>
      </c>
    </row>
    <row r="2825" spans="1:5" ht="12.5">
      <c r="A2825" s="81" t="str">
        <f t="shared" si="0"/>
        <v xml:space="preserve"> </v>
      </c>
      <c r="B2825" s="81" t="str">
        <f t="shared" si="1"/>
        <v xml:space="preserve"> </v>
      </c>
      <c r="C2825" s="79" t="str">
        <f t="shared" si="7"/>
        <v xml:space="preserve"> </v>
      </c>
      <c r="D2825" s="79" t="str">
        <f t="shared" si="5"/>
        <v xml:space="preserve"> </v>
      </c>
      <c r="E2825" s="79" t="str">
        <f t="shared" si="6"/>
        <v xml:space="preserve"> </v>
      </c>
    </row>
    <row r="2826" spans="1:5" ht="12.5">
      <c r="A2826" s="81" t="str">
        <f t="shared" si="0"/>
        <v xml:space="preserve"> </v>
      </c>
      <c r="B2826" s="81" t="str">
        <f t="shared" si="1"/>
        <v xml:space="preserve"> </v>
      </c>
      <c r="C2826" s="79" t="str">
        <f t="shared" si="7"/>
        <v xml:space="preserve"> </v>
      </c>
      <c r="D2826" s="79" t="str">
        <f t="shared" si="5"/>
        <v xml:space="preserve"> </v>
      </c>
      <c r="E2826" s="79" t="str">
        <f t="shared" si="6"/>
        <v xml:space="preserve"> </v>
      </c>
    </row>
    <row r="2827" spans="1:5" ht="12.5">
      <c r="A2827" s="81" t="str">
        <f t="shared" si="0"/>
        <v xml:space="preserve"> </v>
      </c>
      <c r="B2827" s="81" t="str">
        <f t="shared" si="1"/>
        <v xml:space="preserve"> </v>
      </c>
      <c r="C2827" s="79" t="str">
        <f t="shared" si="7"/>
        <v xml:space="preserve"> </v>
      </c>
      <c r="D2827" s="79" t="str">
        <f t="shared" si="5"/>
        <v xml:space="preserve"> </v>
      </c>
      <c r="E2827" s="79" t="str">
        <f t="shared" si="6"/>
        <v xml:space="preserve"> </v>
      </c>
    </row>
    <row r="2828" spans="1:5" ht="12.5">
      <c r="A2828" s="81" t="str">
        <f t="shared" si="0"/>
        <v xml:space="preserve"> </v>
      </c>
      <c r="B2828" s="81" t="str">
        <f t="shared" si="1"/>
        <v xml:space="preserve"> </v>
      </c>
      <c r="C2828" s="79" t="str">
        <f t="shared" si="7"/>
        <v xml:space="preserve"> </v>
      </c>
      <c r="D2828" s="79" t="str">
        <f t="shared" si="5"/>
        <v xml:space="preserve"> </v>
      </c>
      <c r="E2828" s="79" t="str">
        <f t="shared" si="6"/>
        <v xml:space="preserve"> </v>
      </c>
    </row>
    <row r="2829" spans="1:5" ht="12.5">
      <c r="A2829" s="81" t="str">
        <f t="shared" si="0"/>
        <v xml:space="preserve"> </v>
      </c>
      <c r="B2829" s="81" t="str">
        <f t="shared" si="1"/>
        <v xml:space="preserve"> </v>
      </c>
      <c r="C2829" s="79" t="str">
        <f t="shared" si="7"/>
        <v xml:space="preserve"> </v>
      </c>
      <c r="D2829" s="79" t="str">
        <f t="shared" si="5"/>
        <v xml:space="preserve"> </v>
      </c>
      <c r="E2829" s="79" t="str">
        <f t="shared" si="6"/>
        <v xml:space="preserve"> </v>
      </c>
    </row>
    <row r="2830" spans="1:5" ht="12.5">
      <c r="A2830" s="81" t="str">
        <f t="shared" si="0"/>
        <v xml:space="preserve"> </v>
      </c>
      <c r="B2830" s="81" t="str">
        <f t="shared" si="1"/>
        <v xml:space="preserve"> </v>
      </c>
      <c r="C2830" s="79" t="str">
        <f t="shared" si="7"/>
        <v xml:space="preserve"> </v>
      </c>
      <c r="D2830" s="79" t="str">
        <f t="shared" si="5"/>
        <v xml:space="preserve"> </v>
      </c>
      <c r="E2830" s="79" t="str">
        <f t="shared" si="6"/>
        <v xml:space="preserve"> </v>
      </c>
    </row>
    <row r="2831" spans="1:5" ht="12.5">
      <c r="A2831" s="81" t="str">
        <f t="shared" si="0"/>
        <v xml:space="preserve"> </v>
      </c>
      <c r="B2831" s="81" t="str">
        <f t="shared" si="1"/>
        <v xml:space="preserve"> </v>
      </c>
      <c r="C2831" s="79" t="str">
        <f t="shared" si="7"/>
        <v xml:space="preserve"> </v>
      </c>
      <c r="D2831" s="79" t="str">
        <f t="shared" si="5"/>
        <v xml:space="preserve"> </v>
      </c>
      <c r="E2831" s="79" t="str">
        <f t="shared" si="6"/>
        <v xml:space="preserve"> </v>
      </c>
    </row>
    <row r="2832" spans="1:5" ht="12.5">
      <c r="A2832" s="81" t="str">
        <f t="shared" si="0"/>
        <v xml:space="preserve"> </v>
      </c>
      <c r="B2832" s="81" t="str">
        <f t="shared" si="1"/>
        <v xml:space="preserve"> </v>
      </c>
      <c r="C2832" s="79" t="str">
        <f t="shared" si="7"/>
        <v xml:space="preserve"> </v>
      </c>
      <c r="D2832" s="79" t="str">
        <f t="shared" si="5"/>
        <v xml:space="preserve"> </v>
      </c>
      <c r="E2832" s="79" t="str">
        <f t="shared" si="6"/>
        <v xml:space="preserve"> </v>
      </c>
    </row>
    <row r="2833" spans="1:5" ht="12.5">
      <c r="A2833" s="81" t="str">
        <f t="shared" si="0"/>
        <v xml:space="preserve"> </v>
      </c>
      <c r="B2833" s="81" t="str">
        <f t="shared" si="1"/>
        <v xml:space="preserve"> </v>
      </c>
      <c r="C2833" s="79" t="str">
        <f t="shared" si="7"/>
        <v xml:space="preserve"> </v>
      </c>
      <c r="D2833" s="79" t="str">
        <f t="shared" si="5"/>
        <v xml:space="preserve"> </v>
      </c>
      <c r="E2833" s="79" t="str">
        <f t="shared" si="6"/>
        <v xml:space="preserve"> </v>
      </c>
    </row>
    <row r="2834" spans="1:5" ht="12.5">
      <c r="A2834" s="81" t="str">
        <f t="shared" si="0"/>
        <v xml:space="preserve"> </v>
      </c>
      <c r="B2834" s="81" t="str">
        <f t="shared" si="1"/>
        <v xml:space="preserve"> </v>
      </c>
      <c r="C2834" s="79" t="str">
        <f t="shared" si="7"/>
        <v xml:space="preserve"> </v>
      </c>
      <c r="D2834" s="79" t="str">
        <f t="shared" si="5"/>
        <v xml:space="preserve"> </v>
      </c>
      <c r="E2834" s="79" t="str">
        <f t="shared" si="6"/>
        <v xml:space="preserve"> </v>
      </c>
    </row>
    <row r="2835" spans="1:5" ht="12.5">
      <c r="A2835" s="81" t="str">
        <f t="shared" si="0"/>
        <v xml:space="preserve"> </v>
      </c>
      <c r="B2835" s="81" t="str">
        <f t="shared" si="1"/>
        <v xml:space="preserve"> </v>
      </c>
      <c r="C2835" s="79" t="str">
        <f t="shared" si="7"/>
        <v xml:space="preserve"> </v>
      </c>
      <c r="D2835" s="79" t="str">
        <f t="shared" si="5"/>
        <v xml:space="preserve"> </v>
      </c>
      <c r="E2835" s="79" t="str">
        <f t="shared" si="6"/>
        <v xml:space="preserve"> </v>
      </c>
    </row>
    <row r="2836" spans="1:5" ht="12.5">
      <c r="A2836" s="81" t="str">
        <f t="shared" si="0"/>
        <v xml:space="preserve"> </v>
      </c>
      <c r="B2836" s="81" t="str">
        <f t="shared" si="1"/>
        <v xml:space="preserve"> </v>
      </c>
      <c r="C2836" s="79" t="str">
        <f t="shared" si="7"/>
        <v xml:space="preserve"> </v>
      </c>
      <c r="D2836" s="79" t="str">
        <f t="shared" si="5"/>
        <v xml:space="preserve"> </v>
      </c>
      <c r="E2836" s="79" t="str">
        <f t="shared" si="6"/>
        <v xml:space="preserve"> </v>
      </c>
    </row>
    <row r="2837" spans="1:5" ht="12.5">
      <c r="A2837" s="81" t="str">
        <f t="shared" si="0"/>
        <v xml:space="preserve"> </v>
      </c>
      <c r="B2837" s="81" t="str">
        <f t="shared" si="1"/>
        <v xml:space="preserve"> </v>
      </c>
      <c r="C2837" s="79" t="str">
        <f t="shared" si="7"/>
        <v xml:space="preserve"> </v>
      </c>
      <c r="D2837" s="79" t="str">
        <f t="shared" si="5"/>
        <v xml:space="preserve"> </v>
      </c>
      <c r="E2837" s="79" t="str">
        <f t="shared" si="6"/>
        <v xml:space="preserve"> </v>
      </c>
    </row>
    <row r="2838" spans="1:5" ht="12.5">
      <c r="A2838" s="81" t="str">
        <f t="shared" si="0"/>
        <v xml:space="preserve"> </v>
      </c>
      <c r="B2838" s="81" t="str">
        <f t="shared" si="1"/>
        <v xml:space="preserve"> </v>
      </c>
      <c r="C2838" s="79" t="str">
        <f t="shared" si="7"/>
        <v xml:space="preserve"> </v>
      </c>
      <c r="D2838" s="79" t="str">
        <f t="shared" si="5"/>
        <v xml:space="preserve"> </v>
      </c>
      <c r="E2838" s="79" t="str">
        <f t="shared" si="6"/>
        <v xml:space="preserve"> </v>
      </c>
    </row>
    <row r="2839" spans="1:5" ht="12.5">
      <c r="A2839" s="81" t="str">
        <f t="shared" si="0"/>
        <v xml:space="preserve"> </v>
      </c>
      <c r="B2839" s="81" t="str">
        <f t="shared" si="1"/>
        <v xml:space="preserve"> </v>
      </c>
      <c r="C2839" s="79" t="str">
        <f t="shared" si="7"/>
        <v xml:space="preserve"> </v>
      </c>
      <c r="D2839" s="79" t="str">
        <f t="shared" si="5"/>
        <v xml:space="preserve"> </v>
      </c>
      <c r="E2839" s="79" t="str">
        <f t="shared" si="6"/>
        <v xml:space="preserve"> </v>
      </c>
    </row>
    <row r="2840" spans="1:5" ht="12.5">
      <c r="A2840" s="81" t="str">
        <f t="shared" si="0"/>
        <v xml:space="preserve"> </v>
      </c>
      <c r="B2840" s="81" t="str">
        <f t="shared" si="1"/>
        <v xml:space="preserve"> </v>
      </c>
      <c r="C2840" s="79" t="str">
        <f t="shared" si="7"/>
        <v xml:space="preserve"> </v>
      </c>
      <c r="D2840" s="79" t="str">
        <f t="shared" si="5"/>
        <v xml:space="preserve"> </v>
      </c>
      <c r="E2840" s="79" t="str">
        <f t="shared" si="6"/>
        <v xml:space="preserve"> </v>
      </c>
    </row>
    <row r="2841" spans="1:5" ht="12.5">
      <c r="A2841" s="81" t="str">
        <f t="shared" si="0"/>
        <v xml:space="preserve"> </v>
      </c>
      <c r="B2841" s="81" t="str">
        <f t="shared" si="1"/>
        <v xml:space="preserve"> </v>
      </c>
      <c r="C2841" s="79" t="str">
        <f t="shared" si="7"/>
        <v xml:space="preserve"> </v>
      </c>
      <c r="D2841" s="79" t="str">
        <f t="shared" si="5"/>
        <v xml:space="preserve"> </v>
      </c>
      <c r="E2841" s="79" t="str">
        <f t="shared" si="6"/>
        <v xml:space="preserve"> </v>
      </c>
    </row>
    <row r="2842" spans="1:5" ht="12.5">
      <c r="A2842" s="81" t="str">
        <f t="shared" si="0"/>
        <v xml:space="preserve"> </v>
      </c>
      <c r="B2842" s="81" t="str">
        <f t="shared" si="1"/>
        <v xml:space="preserve"> </v>
      </c>
      <c r="C2842" s="79" t="str">
        <f t="shared" si="7"/>
        <v xml:space="preserve"> </v>
      </c>
      <c r="D2842" s="79" t="str">
        <f t="shared" si="5"/>
        <v xml:space="preserve"> </v>
      </c>
      <c r="E2842" s="79" t="str">
        <f t="shared" si="6"/>
        <v xml:space="preserve"> </v>
      </c>
    </row>
    <row r="2843" spans="1:5" ht="12.5">
      <c r="A2843" s="81" t="str">
        <f t="shared" si="0"/>
        <v xml:space="preserve"> </v>
      </c>
      <c r="B2843" s="81" t="str">
        <f t="shared" si="1"/>
        <v xml:space="preserve"> </v>
      </c>
      <c r="C2843" s="79" t="str">
        <f t="shared" si="7"/>
        <v xml:space="preserve"> </v>
      </c>
      <c r="D2843" s="79" t="str">
        <f t="shared" si="5"/>
        <v xml:space="preserve"> </v>
      </c>
      <c r="E2843" s="79" t="str">
        <f t="shared" si="6"/>
        <v xml:space="preserve"> </v>
      </c>
    </row>
    <row r="2844" spans="1:5" ht="12.5">
      <c r="A2844" s="81" t="str">
        <f t="shared" si="0"/>
        <v xml:space="preserve"> </v>
      </c>
      <c r="B2844" s="81" t="str">
        <f t="shared" si="1"/>
        <v xml:space="preserve"> </v>
      </c>
      <c r="C2844" s="79" t="str">
        <f t="shared" si="7"/>
        <v xml:space="preserve"> </v>
      </c>
      <c r="D2844" s="79" t="str">
        <f t="shared" si="5"/>
        <v xml:space="preserve"> </v>
      </c>
      <c r="E2844" s="79" t="str">
        <f t="shared" si="6"/>
        <v xml:space="preserve"> </v>
      </c>
    </row>
    <row r="2845" spans="1:5" ht="12.5">
      <c r="A2845" s="81" t="str">
        <f t="shared" si="0"/>
        <v xml:space="preserve"> </v>
      </c>
      <c r="B2845" s="81" t="str">
        <f t="shared" si="1"/>
        <v xml:space="preserve"> </v>
      </c>
      <c r="C2845" s="79" t="str">
        <f t="shared" si="7"/>
        <v xml:space="preserve"> </v>
      </c>
      <c r="D2845" s="79" t="str">
        <f t="shared" si="5"/>
        <v xml:space="preserve"> </v>
      </c>
      <c r="E2845" s="79" t="str">
        <f t="shared" si="6"/>
        <v xml:space="preserve"> </v>
      </c>
    </row>
    <row r="2846" spans="1:5" ht="12.5">
      <c r="A2846" s="81" t="str">
        <f t="shared" si="0"/>
        <v xml:space="preserve"> </v>
      </c>
      <c r="B2846" s="81" t="str">
        <f t="shared" si="1"/>
        <v xml:space="preserve"> </v>
      </c>
      <c r="C2846" s="79" t="str">
        <f t="shared" si="7"/>
        <v xml:space="preserve"> </v>
      </c>
      <c r="D2846" s="79" t="str">
        <f t="shared" si="5"/>
        <v xml:space="preserve"> </v>
      </c>
      <c r="E2846" s="79" t="str">
        <f t="shared" si="6"/>
        <v xml:space="preserve"> </v>
      </c>
    </row>
    <row r="2847" spans="1:5" ht="12.5">
      <c r="A2847" s="81" t="str">
        <f t="shared" si="0"/>
        <v xml:space="preserve"> </v>
      </c>
      <c r="B2847" s="81" t="str">
        <f t="shared" si="1"/>
        <v xml:space="preserve"> </v>
      </c>
      <c r="C2847" s="79" t="str">
        <f t="shared" si="7"/>
        <v xml:space="preserve"> </v>
      </c>
      <c r="D2847" s="79" t="str">
        <f t="shared" si="5"/>
        <v xml:space="preserve"> </v>
      </c>
      <c r="E2847" s="79" t="str">
        <f t="shared" si="6"/>
        <v xml:space="preserve"> </v>
      </c>
    </row>
    <row r="2848" spans="1:5" ht="12.5">
      <c r="A2848" s="81" t="str">
        <f t="shared" si="0"/>
        <v xml:space="preserve"> </v>
      </c>
      <c r="B2848" s="81" t="str">
        <f t="shared" si="1"/>
        <v xml:space="preserve"> </v>
      </c>
      <c r="C2848" s="79" t="str">
        <f t="shared" si="7"/>
        <v xml:space="preserve"> </v>
      </c>
      <c r="D2848" s="79" t="str">
        <f t="shared" si="5"/>
        <v xml:space="preserve"> </v>
      </c>
      <c r="E2848" s="79" t="str">
        <f t="shared" si="6"/>
        <v xml:space="preserve"> </v>
      </c>
    </row>
    <row r="2849" spans="1:5" ht="12.5">
      <c r="A2849" s="81" t="str">
        <f t="shared" si="0"/>
        <v xml:space="preserve"> </v>
      </c>
      <c r="B2849" s="81" t="str">
        <f t="shared" si="1"/>
        <v xml:space="preserve"> </v>
      </c>
      <c r="C2849" s="79" t="str">
        <f t="shared" si="7"/>
        <v xml:space="preserve"> </v>
      </c>
      <c r="D2849" s="79" t="str">
        <f t="shared" si="5"/>
        <v xml:space="preserve"> </v>
      </c>
      <c r="E2849" s="79" t="str">
        <f t="shared" si="6"/>
        <v xml:space="preserve"> </v>
      </c>
    </row>
    <row r="2850" spans="1:5" ht="12.5">
      <c r="A2850" s="81" t="str">
        <f t="shared" si="0"/>
        <v xml:space="preserve"> </v>
      </c>
      <c r="B2850" s="81" t="str">
        <f t="shared" si="1"/>
        <v xml:space="preserve"> </v>
      </c>
      <c r="C2850" s="79" t="str">
        <f t="shared" si="7"/>
        <v xml:space="preserve"> </v>
      </c>
      <c r="D2850" s="79" t="str">
        <f t="shared" si="5"/>
        <v xml:space="preserve"> </v>
      </c>
      <c r="E2850" s="79" t="str">
        <f t="shared" si="6"/>
        <v xml:space="preserve"> </v>
      </c>
    </row>
    <row r="2851" spans="1:5" ht="12.5">
      <c r="A2851" s="81" t="str">
        <f t="shared" si="0"/>
        <v xml:space="preserve"> </v>
      </c>
      <c r="B2851" s="81" t="str">
        <f t="shared" si="1"/>
        <v xml:space="preserve"> </v>
      </c>
      <c r="C2851" s="79" t="str">
        <f t="shared" si="7"/>
        <v xml:space="preserve"> </v>
      </c>
      <c r="D2851" s="79" t="str">
        <f t="shared" si="5"/>
        <v xml:space="preserve"> </v>
      </c>
      <c r="E2851" s="79" t="str">
        <f t="shared" si="6"/>
        <v xml:space="preserve"> </v>
      </c>
    </row>
    <row r="2852" spans="1:5" ht="12.5">
      <c r="A2852" s="81" t="str">
        <f t="shared" si="0"/>
        <v xml:space="preserve"> </v>
      </c>
      <c r="B2852" s="81" t="str">
        <f t="shared" si="1"/>
        <v xml:space="preserve"> </v>
      </c>
      <c r="C2852" s="79" t="str">
        <f t="shared" si="7"/>
        <v xml:space="preserve"> </v>
      </c>
      <c r="D2852" s="79" t="str">
        <f t="shared" si="5"/>
        <v xml:space="preserve"> </v>
      </c>
      <c r="E2852" s="79" t="str">
        <f t="shared" si="6"/>
        <v xml:space="preserve"> </v>
      </c>
    </row>
    <row r="2853" spans="1:5" ht="12.5">
      <c r="A2853" s="81" t="str">
        <f t="shared" si="0"/>
        <v xml:space="preserve"> </v>
      </c>
      <c r="B2853" s="81" t="str">
        <f t="shared" si="1"/>
        <v xml:space="preserve"> </v>
      </c>
      <c r="C2853" s="79" t="str">
        <f t="shared" si="7"/>
        <v xml:space="preserve"> </v>
      </c>
      <c r="D2853" s="79" t="str">
        <f t="shared" si="5"/>
        <v xml:space="preserve"> </v>
      </c>
      <c r="E2853" s="79" t="str">
        <f t="shared" si="6"/>
        <v xml:space="preserve"> </v>
      </c>
    </row>
    <row r="2854" spans="1:5" ht="12.5">
      <c r="A2854" s="81" t="str">
        <f t="shared" si="0"/>
        <v xml:space="preserve"> </v>
      </c>
      <c r="B2854" s="81" t="str">
        <f t="shared" si="1"/>
        <v xml:space="preserve"> </v>
      </c>
      <c r="C2854" s="79" t="str">
        <f t="shared" si="7"/>
        <v xml:space="preserve"> </v>
      </c>
      <c r="D2854" s="79" t="str">
        <f t="shared" si="5"/>
        <v xml:space="preserve"> </v>
      </c>
      <c r="E2854" s="79" t="str">
        <f t="shared" si="6"/>
        <v xml:space="preserve"> </v>
      </c>
    </row>
    <row r="2855" spans="1:5" ht="12.5">
      <c r="A2855" s="81" t="str">
        <f t="shared" si="0"/>
        <v xml:space="preserve"> </v>
      </c>
      <c r="B2855" s="81" t="str">
        <f t="shared" si="1"/>
        <v xml:space="preserve"> </v>
      </c>
      <c r="C2855" s="79" t="str">
        <f t="shared" si="7"/>
        <v xml:space="preserve"> </v>
      </c>
      <c r="D2855" s="79" t="str">
        <f t="shared" si="5"/>
        <v xml:space="preserve"> </v>
      </c>
      <c r="E2855" s="79" t="str">
        <f t="shared" si="6"/>
        <v xml:space="preserve"> </v>
      </c>
    </row>
    <row r="2856" spans="1:5" ht="12.5">
      <c r="A2856" s="81" t="str">
        <f t="shared" si="0"/>
        <v xml:space="preserve"> </v>
      </c>
      <c r="B2856" s="81" t="str">
        <f t="shared" si="1"/>
        <v xml:space="preserve"> </v>
      </c>
      <c r="C2856" s="79" t="str">
        <f t="shared" si="7"/>
        <v xml:space="preserve"> </v>
      </c>
      <c r="D2856" s="79" t="str">
        <f t="shared" si="5"/>
        <v xml:space="preserve"> </v>
      </c>
      <c r="E2856" s="79" t="str">
        <f t="shared" si="6"/>
        <v xml:space="preserve"> </v>
      </c>
    </row>
    <row r="2857" spans="1:5" ht="12.5">
      <c r="A2857" s="81" t="str">
        <f t="shared" si="0"/>
        <v xml:space="preserve"> </v>
      </c>
      <c r="B2857" s="81" t="str">
        <f t="shared" si="1"/>
        <v xml:space="preserve"> </v>
      </c>
      <c r="C2857" s="79" t="str">
        <f t="shared" si="7"/>
        <v xml:space="preserve"> </v>
      </c>
      <c r="D2857" s="79" t="str">
        <f t="shared" si="5"/>
        <v xml:space="preserve"> </v>
      </c>
      <c r="E2857" s="79" t="str">
        <f t="shared" si="6"/>
        <v xml:space="preserve"> </v>
      </c>
    </row>
    <row r="2858" spans="1:5" ht="12.5">
      <c r="A2858" s="81" t="str">
        <f t="shared" si="0"/>
        <v xml:space="preserve"> </v>
      </c>
      <c r="B2858" s="81" t="str">
        <f t="shared" si="1"/>
        <v xml:space="preserve"> </v>
      </c>
      <c r="C2858" s="79" t="str">
        <f t="shared" si="7"/>
        <v xml:space="preserve"> </v>
      </c>
      <c r="D2858" s="79" t="str">
        <f t="shared" si="5"/>
        <v xml:space="preserve"> </v>
      </c>
      <c r="E2858" s="79" t="str">
        <f t="shared" si="6"/>
        <v xml:space="preserve"> </v>
      </c>
    </row>
    <row r="2859" spans="1:5" ht="12.5">
      <c r="A2859" s="81" t="str">
        <f t="shared" si="0"/>
        <v xml:space="preserve"> </v>
      </c>
      <c r="B2859" s="81" t="str">
        <f t="shared" si="1"/>
        <v xml:space="preserve"> </v>
      </c>
      <c r="C2859" s="79" t="str">
        <f t="shared" si="7"/>
        <v xml:space="preserve"> </v>
      </c>
      <c r="D2859" s="79" t="str">
        <f t="shared" si="5"/>
        <v xml:space="preserve"> </v>
      </c>
      <c r="E2859" s="79" t="str">
        <f t="shared" si="6"/>
        <v xml:space="preserve"> </v>
      </c>
    </row>
    <row r="2860" spans="1:5" ht="12.5">
      <c r="A2860" s="81" t="str">
        <f t="shared" si="0"/>
        <v xml:space="preserve"> </v>
      </c>
      <c r="B2860" s="81" t="str">
        <f t="shared" si="1"/>
        <v xml:space="preserve"> </v>
      </c>
      <c r="C2860" s="79" t="str">
        <f t="shared" si="7"/>
        <v xml:space="preserve"> </v>
      </c>
      <c r="D2860" s="79" t="str">
        <f t="shared" si="5"/>
        <v xml:space="preserve"> </v>
      </c>
      <c r="E2860" s="79" t="str">
        <f t="shared" si="6"/>
        <v xml:space="preserve"> </v>
      </c>
    </row>
    <row r="2861" spans="1:5" ht="12.5">
      <c r="A2861" s="81" t="str">
        <f t="shared" si="0"/>
        <v xml:space="preserve"> </v>
      </c>
      <c r="B2861" s="81" t="str">
        <f t="shared" si="1"/>
        <v xml:space="preserve"> </v>
      </c>
      <c r="C2861" s="79" t="str">
        <f t="shared" si="7"/>
        <v xml:space="preserve"> </v>
      </c>
      <c r="D2861" s="79" t="str">
        <f t="shared" si="5"/>
        <v xml:space="preserve"> </v>
      </c>
      <c r="E2861" s="79" t="str">
        <f t="shared" si="6"/>
        <v xml:space="preserve"> </v>
      </c>
    </row>
    <row r="2862" spans="1:5" ht="12.5">
      <c r="A2862" s="81" t="str">
        <f t="shared" si="0"/>
        <v xml:space="preserve"> </v>
      </c>
      <c r="B2862" s="81" t="str">
        <f t="shared" si="1"/>
        <v xml:space="preserve"> </v>
      </c>
      <c r="C2862" s="79" t="str">
        <f t="shared" si="7"/>
        <v xml:space="preserve"> </v>
      </c>
      <c r="D2862" s="79" t="str">
        <f t="shared" si="5"/>
        <v xml:space="preserve"> </v>
      </c>
      <c r="E2862" s="79" t="str">
        <f t="shared" si="6"/>
        <v xml:space="preserve"> </v>
      </c>
    </row>
    <row r="2863" spans="1:5" ht="12.5">
      <c r="A2863" s="81" t="str">
        <f t="shared" si="0"/>
        <v xml:space="preserve"> </v>
      </c>
      <c r="B2863" s="81" t="str">
        <f t="shared" si="1"/>
        <v xml:space="preserve"> </v>
      </c>
      <c r="C2863" s="79" t="str">
        <f t="shared" si="7"/>
        <v xml:space="preserve"> </v>
      </c>
      <c r="D2863" s="79" t="str">
        <f t="shared" si="5"/>
        <v xml:space="preserve"> </v>
      </c>
      <c r="E2863" s="79" t="str">
        <f t="shared" si="6"/>
        <v xml:space="preserve"> </v>
      </c>
    </row>
    <row r="2864" spans="1:5" ht="12.5">
      <c r="A2864" s="81" t="str">
        <f t="shared" si="0"/>
        <v xml:space="preserve"> </v>
      </c>
      <c r="B2864" s="81" t="str">
        <f t="shared" si="1"/>
        <v xml:space="preserve"> </v>
      </c>
      <c r="C2864" s="79" t="str">
        <f t="shared" si="7"/>
        <v xml:space="preserve"> </v>
      </c>
      <c r="D2864" s="79" t="str">
        <f t="shared" si="5"/>
        <v xml:space="preserve"> </v>
      </c>
      <c r="E2864" s="79" t="str">
        <f t="shared" si="6"/>
        <v xml:space="preserve"> </v>
      </c>
    </row>
    <row r="2865" spans="1:5" ht="12.5">
      <c r="A2865" s="81" t="str">
        <f t="shared" si="0"/>
        <v xml:space="preserve"> </v>
      </c>
      <c r="B2865" s="81" t="str">
        <f t="shared" si="1"/>
        <v xml:space="preserve"> </v>
      </c>
      <c r="C2865" s="79" t="str">
        <f t="shared" si="7"/>
        <v xml:space="preserve"> </v>
      </c>
      <c r="D2865" s="79" t="str">
        <f t="shared" si="5"/>
        <v xml:space="preserve"> </v>
      </c>
      <c r="E2865" s="79" t="str">
        <f t="shared" si="6"/>
        <v xml:space="preserve"> </v>
      </c>
    </row>
    <row r="2866" spans="1:5" ht="12.5">
      <c r="A2866" s="81" t="str">
        <f t="shared" si="0"/>
        <v xml:space="preserve"> </v>
      </c>
      <c r="B2866" s="81" t="str">
        <f t="shared" si="1"/>
        <v xml:space="preserve"> </v>
      </c>
      <c r="C2866" s="79" t="str">
        <f t="shared" si="7"/>
        <v xml:space="preserve"> </v>
      </c>
      <c r="D2866" s="79" t="str">
        <f t="shared" si="5"/>
        <v xml:space="preserve"> </v>
      </c>
      <c r="E2866" s="79" t="str">
        <f t="shared" si="6"/>
        <v xml:space="preserve"> </v>
      </c>
    </row>
    <row r="2867" spans="1:5" ht="12.5">
      <c r="A2867" s="81" t="str">
        <f t="shared" si="0"/>
        <v xml:space="preserve"> </v>
      </c>
      <c r="B2867" s="81" t="str">
        <f t="shared" si="1"/>
        <v xml:space="preserve"> </v>
      </c>
      <c r="C2867" s="79" t="str">
        <f t="shared" si="7"/>
        <v xml:space="preserve"> </v>
      </c>
      <c r="D2867" s="79" t="str">
        <f t="shared" si="5"/>
        <v xml:space="preserve"> </v>
      </c>
      <c r="E2867" s="79" t="str">
        <f t="shared" si="6"/>
        <v xml:space="preserve"> </v>
      </c>
    </row>
    <row r="2868" spans="1:5" ht="12.5">
      <c r="A2868" s="81" t="str">
        <f t="shared" si="0"/>
        <v xml:space="preserve"> </v>
      </c>
      <c r="B2868" s="81" t="str">
        <f t="shared" si="1"/>
        <v xml:space="preserve"> </v>
      </c>
      <c r="C2868" s="79" t="str">
        <f t="shared" si="7"/>
        <v xml:space="preserve"> </v>
      </c>
      <c r="D2868" s="79" t="str">
        <f t="shared" si="5"/>
        <v xml:space="preserve"> </v>
      </c>
      <c r="E2868" s="79" t="str">
        <f t="shared" si="6"/>
        <v xml:space="preserve"> </v>
      </c>
    </row>
    <row r="2869" spans="1:5" ht="12.5">
      <c r="A2869" s="81" t="str">
        <f t="shared" si="0"/>
        <v xml:space="preserve"> </v>
      </c>
      <c r="B2869" s="81" t="str">
        <f t="shared" si="1"/>
        <v xml:space="preserve"> </v>
      </c>
      <c r="C2869" s="79" t="str">
        <f t="shared" si="7"/>
        <v xml:space="preserve"> </v>
      </c>
      <c r="D2869" s="79" t="str">
        <f t="shared" si="5"/>
        <v xml:space="preserve"> </v>
      </c>
      <c r="E2869" s="79" t="str">
        <f t="shared" si="6"/>
        <v xml:space="preserve"> </v>
      </c>
    </row>
    <row r="2870" spans="1:5" ht="12.5">
      <c r="A2870" s="81" t="str">
        <f t="shared" si="0"/>
        <v xml:space="preserve"> </v>
      </c>
      <c r="B2870" s="81" t="str">
        <f t="shared" si="1"/>
        <v xml:space="preserve"> </v>
      </c>
      <c r="C2870" s="79" t="str">
        <f t="shared" si="7"/>
        <v xml:space="preserve"> </v>
      </c>
      <c r="D2870" s="79" t="str">
        <f t="shared" si="5"/>
        <v xml:space="preserve"> </v>
      </c>
      <c r="E2870" s="79" t="str">
        <f t="shared" si="6"/>
        <v xml:space="preserve"> </v>
      </c>
    </row>
    <row r="2871" spans="1:5" ht="12.5">
      <c r="A2871" s="81" t="str">
        <f t="shared" si="0"/>
        <v xml:space="preserve"> </v>
      </c>
      <c r="B2871" s="81" t="str">
        <f t="shared" si="1"/>
        <v xml:space="preserve"> </v>
      </c>
      <c r="C2871" s="79" t="str">
        <f t="shared" si="7"/>
        <v xml:space="preserve"> </v>
      </c>
      <c r="D2871" s="79" t="str">
        <f t="shared" si="5"/>
        <v xml:space="preserve"> </v>
      </c>
      <c r="E2871" s="79" t="str">
        <f t="shared" si="6"/>
        <v xml:space="preserve"> </v>
      </c>
    </row>
    <row r="2872" spans="1:5" ht="12.5">
      <c r="A2872" s="81" t="str">
        <f t="shared" si="0"/>
        <v xml:space="preserve"> </v>
      </c>
      <c r="B2872" s="81" t="str">
        <f t="shared" si="1"/>
        <v xml:space="preserve"> </v>
      </c>
      <c r="C2872" s="79" t="str">
        <f t="shared" si="7"/>
        <v xml:space="preserve"> </v>
      </c>
      <c r="D2872" s="79" t="str">
        <f t="shared" si="5"/>
        <v xml:space="preserve"> </v>
      </c>
      <c r="E2872" s="79" t="str">
        <f t="shared" si="6"/>
        <v xml:space="preserve"> </v>
      </c>
    </row>
    <row r="2873" spans="1:5" ht="12.5">
      <c r="A2873" s="81" t="str">
        <f t="shared" si="0"/>
        <v xml:space="preserve"> </v>
      </c>
      <c r="B2873" s="81" t="str">
        <f t="shared" si="1"/>
        <v xml:space="preserve"> </v>
      </c>
      <c r="C2873" s="79" t="str">
        <f t="shared" si="7"/>
        <v xml:space="preserve"> </v>
      </c>
      <c r="D2873" s="79" t="str">
        <f t="shared" si="5"/>
        <v xml:space="preserve"> </v>
      </c>
      <c r="E2873" s="79" t="str">
        <f t="shared" si="6"/>
        <v xml:space="preserve"> </v>
      </c>
    </row>
    <row r="2874" spans="1:5" ht="12.5">
      <c r="A2874" s="81" t="str">
        <f t="shared" si="0"/>
        <v xml:space="preserve"> </v>
      </c>
      <c r="B2874" s="81" t="str">
        <f t="shared" si="1"/>
        <v xml:space="preserve"> </v>
      </c>
      <c r="C2874" s="79" t="str">
        <f t="shared" si="7"/>
        <v xml:space="preserve"> </v>
      </c>
      <c r="D2874" s="79" t="str">
        <f t="shared" si="5"/>
        <v xml:space="preserve"> </v>
      </c>
      <c r="E2874" s="79" t="str">
        <f t="shared" si="6"/>
        <v xml:space="preserve"> </v>
      </c>
    </row>
    <row r="2875" spans="1:5" ht="12.5">
      <c r="A2875" s="81" t="str">
        <f t="shared" si="0"/>
        <v xml:space="preserve"> </v>
      </c>
      <c r="B2875" s="81" t="str">
        <f t="shared" si="1"/>
        <v xml:space="preserve"> </v>
      </c>
      <c r="C2875" s="79" t="str">
        <f t="shared" si="7"/>
        <v xml:space="preserve"> </v>
      </c>
      <c r="D2875" s="79" t="str">
        <f t="shared" si="5"/>
        <v xml:space="preserve"> </v>
      </c>
      <c r="E2875" s="79" t="str">
        <f t="shared" si="6"/>
        <v xml:space="preserve"> </v>
      </c>
    </row>
    <row r="2876" spans="1:5" ht="12.5">
      <c r="A2876" s="81" t="str">
        <f t="shared" si="0"/>
        <v xml:space="preserve"> </v>
      </c>
      <c r="B2876" s="81" t="str">
        <f t="shared" si="1"/>
        <v xml:space="preserve"> </v>
      </c>
      <c r="C2876" s="79" t="str">
        <f t="shared" si="7"/>
        <v xml:space="preserve"> </v>
      </c>
      <c r="D2876" s="79" t="str">
        <f t="shared" si="5"/>
        <v xml:space="preserve"> </v>
      </c>
      <c r="E2876" s="79" t="str">
        <f t="shared" si="6"/>
        <v xml:space="preserve"> </v>
      </c>
    </row>
    <row r="2877" spans="1:5" ht="12.5">
      <c r="A2877" s="81" t="str">
        <f t="shared" si="0"/>
        <v xml:space="preserve"> </v>
      </c>
      <c r="B2877" s="81" t="str">
        <f t="shared" si="1"/>
        <v xml:space="preserve"> </v>
      </c>
      <c r="C2877" s="79" t="str">
        <f t="shared" si="7"/>
        <v xml:space="preserve"> </v>
      </c>
      <c r="D2877" s="79" t="str">
        <f t="shared" si="5"/>
        <v xml:space="preserve"> </v>
      </c>
      <c r="E2877" s="79" t="str">
        <f t="shared" si="6"/>
        <v xml:space="preserve"> </v>
      </c>
    </row>
    <row r="2878" spans="1:5" ht="12.5">
      <c r="A2878" s="81" t="str">
        <f t="shared" si="0"/>
        <v xml:space="preserve"> </v>
      </c>
      <c r="B2878" s="81" t="str">
        <f t="shared" si="1"/>
        <v xml:space="preserve"> </v>
      </c>
      <c r="C2878" s="79" t="str">
        <f t="shared" si="7"/>
        <v xml:space="preserve"> </v>
      </c>
      <c r="D2878" s="79" t="str">
        <f t="shared" si="5"/>
        <v xml:space="preserve"> </v>
      </c>
      <c r="E2878" s="79" t="str">
        <f t="shared" si="6"/>
        <v xml:space="preserve"> </v>
      </c>
    </row>
    <row r="2879" spans="1:5" ht="12.5">
      <c r="A2879" s="81" t="str">
        <f t="shared" si="0"/>
        <v xml:space="preserve"> </v>
      </c>
      <c r="B2879" s="81" t="str">
        <f t="shared" si="1"/>
        <v xml:space="preserve"> </v>
      </c>
      <c r="C2879" s="79" t="str">
        <f t="shared" si="7"/>
        <v xml:space="preserve"> </v>
      </c>
      <c r="D2879" s="79" t="str">
        <f t="shared" si="5"/>
        <v xml:space="preserve"> </v>
      </c>
      <c r="E2879" s="79" t="str">
        <f t="shared" si="6"/>
        <v xml:space="preserve"> </v>
      </c>
    </row>
    <row r="2880" spans="1:5" ht="12.5">
      <c r="A2880" s="81" t="str">
        <f t="shared" si="0"/>
        <v xml:space="preserve"> </v>
      </c>
      <c r="B2880" s="81" t="str">
        <f t="shared" si="1"/>
        <v xml:space="preserve"> </v>
      </c>
      <c r="C2880" s="79" t="str">
        <f t="shared" si="7"/>
        <v xml:space="preserve"> </v>
      </c>
      <c r="D2880" s="79" t="str">
        <f t="shared" si="5"/>
        <v xml:space="preserve"> </v>
      </c>
      <c r="E2880" s="79" t="str">
        <f t="shared" si="6"/>
        <v xml:space="preserve"> </v>
      </c>
    </row>
    <row r="2881" spans="1:5" ht="12.5">
      <c r="A2881" s="81" t="str">
        <f t="shared" si="0"/>
        <v xml:space="preserve"> </v>
      </c>
      <c r="B2881" s="81" t="str">
        <f t="shared" si="1"/>
        <v xml:space="preserve"> </v>
      </c>
      <c r="C2881" s="79" t="str">
        <f t="shared" si="7"/>
        <v xml:space="preserve"> </v>
      </c>
      <c r="D2881" s="79" t="str">
        <f t="shared" si="5"/>
        <v xml:space="preserve"> </v>
      </c>
      <c r="E2881" s="79" t="str">
        <f t="shared" si="6"/>
        <v xml:space="preserve"> </v>
      </c>
    </row>
    <row r="2882" spans="1:5" ht="12.5">
      <c r="A2882" s="81" t="str">
        <f t="shared" si="0"/>
        <v xml:space="preserve"> </v>
      </c>
      <c r="B2882" s="81" t="str">
        <f t="shared" si="1"/>
        <v xml:space="preserve"> </v>
      </c>
      <c r="C2882" s="79" t="str">
        <f t="shared" si="7"/>
        <v xml:space="preserve"> </v>
      </c>
      <c r="D2882" s="79" t="str">
        <f t="shared" si="5"/>
        <v xml:space="preserve"> </v>
      </c>
      <c r="E2882" s="79" t="str">
        <f t="shared" si="6"/>
        <v xml:space="preserve"> </v>
      </c>
    </row>
    <row r="2883" spans="1:5" ht="12.5">
      <c r="A2883" s="81" t="str">
        <f t="shared" si="0"/>
        <v xml:space="preserve"> </v>
      </c>
      <c r="B2883" s="81" t="str">
        <f t="shared" si="1"/>
        <v xml:space="preserve"> </v>
      </c>
      <c r="C2883" s="79" t="str">
        <f t="shared" si="7"/>
        <v xml:space="preserve"> </v>
      </c>
      <c r="D2883" s="79" t="str">
        <f t="shared" si="5"/>
        <v xml:space="preserve"> </v>
      </c>
      <c r="E2883" s="79" t="str">
        <f t="shared" si="6"/>
        <v xml:space="preserve"> </v>
      </c>
    </row>
    <row r="2884" spans="1:5" ht="12.5">
      <c r="A2884" s="81" t="str">
        <f t="shared" si="0"/>
        <v xml:space="preserve"> </v>
      </c>
      <c r="B2884" s="81" t="str">
        <f t="shared" si="1"/>
        <v xml:space="preserve"> </v>
      </c>
      <c r="C2884" s="79" t="str">
        <f t="shared" si="7"/>
        <v xml:space="preserve"> </v>
      </c>
      <c r="D2884" s="79" t="str">
        <f t="shared" si="5"/>
        <v xml:space="preserve"> </v>
      </c>
      <c r="E2884" s="79" t="str">
        <f t="shared" si="6"/>
        <v xml:space="preserve"> </v>
      </c>
    </row>
    <row r="2885" spans="1:5" ht="12.5">
      <c r="A2885" s="81" t="str">
        <f t="shared" si="0"/>
        <v xml:space="preserve"> </v>
      </c>
      <c r="B2885" s="81" t="str">
        <f t="shared" si="1"/>
        <v xml:space="preserve"> </v>
      </c>
      <c r="C2885" s="79" t="str">
        <f t="shared" si="7"/>
        <v xml:space="preserve"> </v>
      </c>
      <c r="D2885" s="79" t="str">
        <f t="shared" si="5"/>
        <v xml:space="preserve"> </v>
      </c>
      <c r="E2885" s="79" t="str">
        <f t="shared" si="6"/>
        <v xml:space="preserve"> </v>
      </c>
    </row>
    <row r="2886" spans="1:5" ht="12.5">
      <c r="A2886" s="81" t="str">
        <f t="shared" si="0"/>
        <v xml:space="preserve"> </v>
      </c>
      <c r="B2886" s="81" t="str">
        <f t="shared" si="1"/>
        <v xml:space="preserve"> </v>
      </c>
      <c r="C2886" s="79" t="str">
        <f t="shared" si="7"/>
        <v xml:space="preserve"> </v>
      </c>
      <c r="D2886" s="79" t="str">
        <f t="shared" si="5"/>
        <v xml:space="preserve"> </v>
      </c>
      <c r="E2886" s="79" t="str">
        <f t="shared" si="6"/>
        <v xml:space="preserve"> </v>
      </c>
    </row>
    <row r="2887" spans="1:5" ht="12.5">
      <c r="A2887" s="81" t="str">
        <f t="shared" si="0"/>
        <v xml:space="preserve"> </v>
      </c>
      <c r="B2887" s="81" t="str">
        <f t="shared" si="1"/>
        <v xml:space="preserve"> </v>
      </c>
      <c r="C2887" s="79" t="str">
        <f t="shared" si="7"/>
        <v xml:space="preserve"> </v>
      </c>
      <c r="D2887" s="79" t="str">
        <f t="shared" si="5"/>
        <v xml:space="preserve"> </v>
      </c>
      <c r="E2887" s="79" t="str">
        <f t="shared" si="6"/>
        <v xml:space="preserve"> </v>
      </c>
    </row>
    <row r="2888" spans="1:5" ht="12.5">
      <c r="A2888" s="81" t="str">
        <f t="shared" si="0"/>
        <v xml:space="preserve"> </v>
      </c>
      <c r="B2888" s="81" t="str">
        <f t="shared" si="1"/>
        <v xml:space="preserve"> </v>
      </c>
      <c r="C2888" s="79" t="str">
        <f t="shared" si="7"/>
        <v xml:space="preserve"> </v>
      </c>
      <c r="D2888" s="79" t="str">
        <f t="shared" si="5"/>
        <v xml:space="preserve"> </v>
      </c>
      <c r="E2888" s="79" t="str">
        <f t="shared" si="6"/>
        <v xml:space="preserve"> </v>
      </c>
    </row>
    <row r="2889" spans="1:5" ht="12.5">
      <c r="A2889" s="81" t="str">
        <f t="shared" si="0"/>
        <v xml:space="preserve"> </v>
      </c>
      <c r="B2889" s="81" t="str">
        <f t="shared" si="1"/>
        <v xml:space="preserve"> </v>
      </c>
      <c r="C2889" s="79" t="str">
        <f t="shared" si="7"/>
        <v xml:space="preserve"> </v>
      </c>
      <c r="D2889" s="79" t="str">
        <f t="shared" si="5"/>
        <v xml:space="preserve"> </v>
      </c>
      <c r="E2889" s="79" t="str">
        <f t="shared" si="6"/>
        <v xml:space="preserve"> </v>
      </c>
    </row>
    <row r="2890" spans="1:5" ht="12.5">
      <c r="A2890" s="81" t="str">
        <f t="shared" si="0"/>
        <v xml:space="preserve"> </v>
      </c>
      <c r="B2890" s="81" t="str">
        <f t="shared" si="1"/>
        <v xml:space="preserve"> </v>
      </c>
      <c r="C2890" s="79" t="str">
        <f t="shared" si="7"/>
        <v xml:space="preserve"> </v>
      </c>
      <c r="D2890" s="79" t="str">
        <f t="shared" si="5"/>
        <v xml:space="preserve"> </v>
      </c>
      <c r="E2890" s="79" t="str">
        <f t="shared" si="6"/>
        <v xml:space="preserve"> </v>
      </c>
    </row>
    <row r="2891" spans="1:5" ht="12.5">
      <c r="A2891" s="81" t="str">
        <f t="shared" si="0"/>
        <v xml:space="preserve"> </v>
      </c>
      <c r="B2891" s="81" t="str">
        <f t="shared" si="1"/>
        <v xml:space="preserve"> </v>
      </c>
      <c r="C2891" s="79" t="str">
        <f t="shared" si="7"/>
        <v xml:space="preserve"> </v>
      </c>
      <c r="D2891" s="79" t="str">
        <f t="shared" si="5"/>
        <v xml:space="preserve"> </v>
      </c>
      <c r="E2891" s="79" t="str">
        <f t="shared" si="6"/>
        <v xml:space="preserve"> </v>
      </c>
    </row>
    <row r="2892" spans="1:5" ht="12.5">
      <c r="A2892" s="81" t="str">
        <f t="shared" si="0"/>
        <v xml:space="preserve"> </v>
      </c>
      <c r="B2892" s="81" t="str">
        <f t="shared" si="1"/>
        <v xml:space="preserve"> </v>
      </c>
      <c r="C2892" s="79" t="str">
        <f t="shared" si="7"/>
        <v xml:space="preserve"> </v>
      </c>
      <c r="D2892" s="79" t="str">
        <f t="shared" si="5"/>
        <v xml:space="preserve"> </v>
      </c>
      <c r="E2892" s="79" t="str">
        <f t="shared" si="6"/>
        <v xml:space="preserve"> </v>
      </c>
    </row>
    <row r="2893" spans="1:5" ht="12.5">
      <c r="A2893" s="81" t="str">
        <f t="shared" si="0"/>
        <v xml:space="preserve"> </v>
      </c>
      <c r="B2893" s="81" t="str">
        <f t="shared" si="1"/>
        <v xml:space="preserve"> </v>
      </c>
      <c r="C2893" s="79" t="str">
        <f t="shared" si="7"/>
        <v xml:space="preserve"> </v>
      </c>
      <c r="D2893" s="79" t="str">
        <f t="shared" si="5"/>
        <v xml:space="preserve"> </v>
      </c>
      <c r="E2893" s="79" t="str">
        <f t="shared" si="6"/>
        <v xml:space="preserve"> </v>
      </c>
    </row>
    <row r="2894" spans="1:5" ht="12.5">
      <c r="A2894" s="81" t="str">
        <f t="shared" si="0"/>
        <v xml:space="preserve"> </v>
      </c>
      <c r="B2894" s="81" t="str">
        <f t="shared" si="1"/>
        <v xml:space="preserve"> </v>
      </c>
      <c r="C2894" s="79" t="str">
        <f t="shared" si="7"/>
        <v xml:space="preserve"> </v>
      </c>
      <c r="D2894" s="79" t="str">
        <f t="shared" si="5"/>
        <v xml:space="preserve"> </v>
      </c>
      <c r="E2894" s="79" t="str">
        <f t="shared" si="6"/>
        <v xml:space="preserve"> </v>
      </c>
    </row>
    <row r="2895" spans="1:5" ht="12.5">
      <c r="A2895" s="81" t="str">
        <f t="shared" si="0"/>
        <v xml:space="preserve"> </v>
      </c>
      <c r="B2895" s="81" t="str">
        <f t="shared" si="1"/>
        <v xml:space="preserve"> </v>
      </c>
      <c r="C2895" s="79" t="str">
        <f t="shared" si="7"/>
        <v xml:space="preserve"> </v>
      </c>
      <c r="D2895" s="79" t="str">
        <f t="shared" si="5"/>
        <v xml:space="preserve"> </v>
      </c>
      <c r="E2895" s="79" t="str">
        <f t="shared" si="6"/>
        <v xml:space="preserve"> </v>
      </c>
    </row>
    <row r="2896" spans="1:5" ht="12.5">
      <c r="A2896" s="81" t="str">
        <f t="shared" si="0"/>
        <v xml:space="preserve"> </v>
      </c>
      <c r="B2896" s="81" t="str">
        <f t="shared" si="1"/>
        <v xml:space="preserve"> </v>
      </c>
      <c r="C2896" s="79" t="str">
        <f t="shared" si="7"/>
        <v xml:space="preserve"> </v>
      </c>
      <c r="D2896" s="79" t="str">
        <f t="shared" si="5"/>
        <v xml:space="preserve"> </v>
      </c>
      <c r="E2896" s="79" t="str">
        <f t="shared" si="6"/>
        <v xml:space="preserve"> </v>
      </c>
    </row>
    <row r="2897" spans="1:5" ht="12.5">
      <c r="A2897" s="81" t="str">
        <f t="shared" si="0"/>
        <v xml:space="preserve"> </v>
      </c>
      <c r="B2897" s="81" t="str">
        <f t="shared" si="1"/>
        <v xml:space="preserve"> </v>
      </c>
      <c r="C2897" s="79" t="str">
        <f t="shared" si="7"/>
        <v xml:space="preserve"> </v>
      </c>
      <c r="D2897" s="79" t="str">
        <f t="shared" si="5"/>
        <v xml:space="preserve"> </v>
      </c>
      <c r="E2897" s="79" t="str">
        <f t="shared" si="6"/>
        <v xml:space="preserve"> </v>
      </c>
    </row>
    <row r="2898" spans="1:5" ht="12.5">
      <c r="A2898" s="81" t="str">
        <f t="shared" si="0"/>
        <v xml:space="preserve"> </v>
      </c>
      <c r="B2898" s="81" t="str">
        <f t="shared" si="1"/>
        <v xml:space="preserve"> </v>
      </c>
      <c r="C2898" s="79" t="str">
        <f t="shared" si="7"/>
        <v xml:space="preserve"> </v>
      </c>
      <c r="D2898" s="79" t="str">
        <f t="shared" si="5"/>
        <v xml:space="preserve"> </v>
      </c>
      <c r="E2898" s="79" t="str">
        <f t="shared" si="6"/>
        <v xml:space="preserve"> </v>
      </c>
    </row>
    <row r="2899" spans="1:5" ht="12.5">
      <c r="A2899" s="81" t="str">
        <f t="shared" si="0"/>
        <v xml:space="preserve"> </v>
      </c>
      <c r="B2899" s="81" t="str">
        <f t="shared" si="1"/>
        <v xml:space="preserve"> </v>
      </c>
      <c r="C2899" s="79" t="str">
        <f t="shared" si="7"/>
        <v xml:space="preserve"> </v>
      </c>
      <c r="D2899" s="79" t="str">
        <f t="shared" si="5"/>
        <v xml:space="preserve"> </v>
      </c>
      <c r="E2899" s="79" t="str">
        <f t="shared" si="6"/>
        <v xml:space="preserve"> </v>
      </c>
    </row>
    <row r="2900" spans="1:5" ht="12.5">
      <c r="A2900" s="81" t="str">
        <f t="shared" si="0"/>
        <v xml:space="preserve"> </v>
      </c>
      <c r="B2900" s="81" t="str">
        <f t="shared" si="1"/>
        <v xml:space="preserve"> </v>
      </c>
      <c r="C2900" s="79" t="str">
        <f t="shared" si="7"/>
        <v xml:space="preserve"> </v>
      </c>
      <c r="D2900" s="79" t="str">
        <f t="shared" si="5"/>
        <v xml:space="preserve"> </v>
      </c>
      <c r="E2900" s="79" t="str">
        <f t="shared" si="6"/>
        <v xml:space="preserve"> </v>
      </c>
    </row>
    <row r="2901" spans="1:5" ht="12.5">
      <c r="A2901" s="81" t="str">
        <f t="shared" si="0"/>
        <v xml:space="preserve"> </v>
      </c>
      <c r="B2901" s="81" t="str">
        <f t="shared" si="1"/>
        <v xml:space="preserve"> </v>
      </c>
      <c r="C2901" s="79" t="str">
        <f t="shared" si="7"/>
        <v xml:space="preserve"> </v>
      </c>
      <c r="D2901" s="79" t="str">
        <f t="shared" si="5"/>
        <v xml:space="preserve"> </v>
      </c>
      <c r="E2901" s="79" t="str">
        <f t="shared" si="6"/>
        <v xml:space="preserve"> </v>
      </c>
    </row>
    <row r="2902" spans="1:5" ht="12.5">
      <c r="A2902" s="81" t="str">
        <f t="shared" si="0"/>
        <v xml:space="preserve"> </v>
      </c>
      <c r="B2902" s="81" t="str">
        <f t="shared" si="1"/>
        <v xml:space="preserve"> </v>
      </c>
      <c r="C2902" s="79" t="str">
        <f t="shared" si="7"/>
        <v xml:space="preserve"> </v>
      </c>
      <c r="D2902" s="79" t="str">
        <f t="shared" si="5"/>
        <v xml:space="preserve"> </v>
      </c>
      <c r="E2902" s="79" t="str">
        <f t="shared" si="6"/>
        <v xml:space="preserve"> </v>
      </c>
    </row>
    <row r="2903" spans="1:5" ht="12.5">
      <c r="A2903" s="81" t="str">
        <f t="shared" si="0"/>
        <v xml:space="preserve"> </v>
      </c>
      <c r="B2903" s="81" t="str">
        <f t="shared" si="1"/>
        <v xml:space="preserve"> </v>
      </c>
      <c r="C2903" s="79" t="str">
        <f t="shared" si="7"/>
        <v xml:space="preserve"> </v>
      </c>
      <c r="D2903" s="79" t="str">
        <f t="shared" si="5"/>
        <v xml:space="preserve"> </v>
      </c>
      <c r="E2903" s="79" t="str">
        <f t="shared" si="6"/>
        <v xml:space="preserve"> </v>
      </c>
    </row>
    <row r="2904" spans="1:5" ht="12.5">
      <c r="A2904" s="81" t="str">
        <f t="shared" si="0"/>
        <v xml:space="preserve"> </v>
      </c>
      <c r="B2904" s="81" t="str">
        <f t="shared" si="1"/>
        <v xml:space="preserve"> </v>
      </c>
      <c r="C2904" s="79" t="str">
        <f t="shared" si="7"/>
        <v xml:space="preserve"> </v>
      </c>
      <c r="D2904" s="79" t="str">
        <f t="shared" si="5"/>
        <v xml:space="preserve"> </v>
      </c>
      <c r="E2904" s="79" t="str">
        <f t="shared" si="6"/>
        <v xml:space="preserve"> </v>
      </c>
    </row>
    <row r="2905" spans="1:5" ht="12.5">
      <c r="A2905" s="81" t="str">
        <f t="shared" si="0"/>
        <v xml:space="preserve"> </v>
      </c>
      <c r="B2905" s="81" t="str">
        <f t="shared" si="1"/>
        <v xml:space="preserve"> </v>
      </c>
      <c r="C2905" s="79" t="str">
        <f t="shared" si="7"/>
        <v xml:space="preserve"> </v>
      </c>
      <c r="D2905" s="79" t="str">
        <f t="shared" si="5"/>
        <v xml:space="preserve"> </v>
      </c>
      <c r="E2905" s="79" t="str">
        <f t="shared" si="6"/>
        <v xml:space="preserve"> </v>
      </c>
    </row>
    <row r="2906" spans="1:5" ht="12.5">
      <c r="A2906" s="81" t="str">
        <f t="shared" si="0"/>
        <v xml:space="preserve"> </v>
      </c>
      <c r="B2906" s="81" t="str">
        <f t="shared" si="1"/>
        <v xml:space="preserve"> </v>
      </c>
      <c r="C2906" s="79" t="str">
        <f t="shared" si="7"/>
        <v xml:space="preserve"> </v>
      </c>
      <c r="D2906" s="79" t="str">
        <f t="shared" si="5"/>
        <v xml:space="preserve"> </v>
      </c>
      <c r="E2906" s="79" t="str">
        <f t="shared" si="6"/>
        <v xml:space="preserve"> </v>
      </c>
    </row>
    <row r="2907" spans="1:5" ht="12.5">
      <c r="A2907" s="81" t="str">
        <f t="shared" si="0"/>
        <v xml:space="preserve"> </v>
      </c>
      <c r="B2907" s="81" t="str">
        <f t="shared" si="1"/>
        <v xml:space="preserve"> </v>
      </c>
      <c r="C2907" s="79" t="str">
        <f t="shared" si="7"/>
        <v xml:space="preserve"> </v>
      </c>
      <c r="D2907" s="79" t="str">
        <f t="shared" si="5"/>
        <v xml:space="preserve"> </v>
      </c>
      <c r="E2907" s="79" t="str">
        <f t="shared" si="6"/>
        <v xml:space="preserve"> </v>
      </c>
    </row>
    <row r="2908" spans="1:5" ht="12.5">
      <c r="A2908" s="81" t="str">
        <f t="shared" si="0"/>
        <v xml:space="preserve"> </v>
      </c>
      <c r="B2908" s="81" t="str">
        <f t="shared" si="1"/>
        <v xml:space="preserve"> </v>
      </c>
      <c r="C2908" s="79" t="str">
        <f t="shared" si="7"/>
        <v xml:space="preserve"> </v>
      </c>
      <c r="D2908" s="79" t="str">
        <f t="shared" si="5"/>
        <v xml:space="preserve"> </v>
      </c>
      <c r="E2908" s="79" t="str">
        <f t="shared" si="6"/>
        <v xml:space="preserve"> </v>
      </c>
    </row>
    <row r="2909" spans="1:5" ht="12.5">
      <c r="A2909" s="81" t="str">
        <f t="shared" si="0"/>
        <v xml:space="preserve"> </v>
      </c>
      <c r="B2909" s="81" t="str">
        <f t="shared" si="1"/>
        <v xml:space="preserve"> </v>
      </c>
      <c r="C2909" s="79" t="str">
        <f t="shared" si="7"/>
        <v xml:space="preserve"> </v>
      </c>
      <c r="D2909" s="79" t="str">
        <f t="shared" si="5"/>
        <v xml:space="preserve"> </v>
      </c>
      <c r="E2909" s="79" t="str">
        <f t="shared" si="6"/>
        <v xml:space="preserve"> </v>
      </c>
    </row>
    <row r="2910" spans="1:5" ht="12.5">
      <c r="A2910" s="81" t="str">
        <f t="shared" si="0"/>
        <v xml:space="preserve"> </v>
      </c>
      <c r="B2910" s="81" t="str">
        <f t="shared" si="1"/>
        <v xml:space="preserve"> </v>
      </c>
      <c r="C2910" s="79" t="str">
        <f t="shared" si="7"/>
        <v xml:space="preserve"> </v>
      </c>
      <c r="D2910" s="79" t="str">
        <f t="shared" si="5"/>
        <v xml:space="preserve"> </v>
      </c>
      <c r="E2910" s="79" t="str">
        <f t="shared" si="6"/>
        <v xml:space="preserve"> </v>
      </c>
    </row>
    <row r="2911" spans="1:5" ht="12.5">
      <c r="A2911" s="81" t="str">
        <f t="shared" si="0"/>
        <v xml:space="preserve"> </v>
      </c>
      <c r="B2911" s="81" t="str">
        <f t="shared" si="1"/>
        <v xml:space="preserve"> </v>
      </c>
      <c r="C2911" s="79" t="str">
        <f t="shared" si="7"/>
        <v xml:space="preserve"> </v>
      </c>
      <c r="D2911" s="79" t="str">
        <f t="shared" si="5"/>
        <v xml:space="preserve"> </v>
      </c>
      <c r="E2911" s="79" t="str">
        <f t="shared" si="6"/>
        <v xml:space="preserve"> </v>
      </c>
    </row>
    <row r="2912" spans="1:5" ht="12.5">
      <c r="A2912" s="81" t="str">
        <f t="shared" si="0"/>
        <v xml:space="preserve"> </v>
      </c>
      <c r="B2912" s="81" t="str">
        <f t="shared" si="1"/>
        <v xml:space="preserve"> </v>
      </c>
      <c r="C2912" s="79" t="str">
        <f t="shared" si="7"/>
        <v xml:space="preserve"> </v>
      </c>
      <c r="D2912" s="79" t="str">
        <f t="shared" si="5"/>
        <v xml:space="preserve"> </v>
      </c>
      <c r="E2912" s="79" t="str">
        <f t="shared" si="6"/>
        <v xml:space="preserve"> </v>
      </c>
    </row>
    <row r="2913" spans="1:5" ht="12.5">
      <c r="A2913" s="81" t="str">
        <f t="shared" si="0"/>
        <v xml:space="preserve"> </v>
      </c>
      <c r="B2913" s="81" t="str">
        <f t="shared" si="1"/>
        <v xml:space="preserve"> </v>
      </c>
      <c r="C2913" s="79" t="str">
        <f t="shared" si="7"/>
        <v xml:space="preserve"> </v>
      </c>
      <c r="D2913" s="79" t="str">
        <f t="shared" si="5"/>
        <v xml:space="preserve"> </v>
      </c>
      <c r="E2913" s="79" t="str">
        <f t="shared" si="6"/>
        <v xml:space="preserve"> </v>
      </c>
    </row>
    <row r="2914" spans="1:5" ht="12.5">
      <c r="A2914" s="81" t="str">
        <f t="shared" si="0"/>
        <v xml:space="preserve"> </v>
      </c>
      <c r="B2914" s="81" t="str">
        <f t="shared" si="1"/>
        <v xml:space="preserve"> </v>
      </c>
      <c r="C2914" s="79" t="str">
        <f t="shared" si="7"/>
        <v xml:space="preserve"> </v>
      </c>
      <c r="D2914" s="79" t="str">
        <f t="shared" si="5"/>
        <v xml:space="preserve"> </v>
      </c>
      <c r="E2914" s="79" t="str">
        <f t="shared" si="6"/>
        <v xml:space="preserve"> </v>
      </c>
    </row>
    <row r="2915" spans="1:5" ht="12.5">
      <c r="A2915" s="81" t="str">
        <f t="shared" si="0"/>
        <v xml:space="preserve"> </v>
      </c>
      <c r="B2915" s="81" t="str">
        <f t="shared" si="1"/>
        <v xml:space="preserve"> </v>
      </c>
      <c r="C2915" s="79" t="str">
        <f t="shared" si="7"/>
        <v xml:space="preserve"> </v>
      </c>
      <c r="D2915" s="79" t="str">
        <f t="shared" si="5"/>
        <v xml:space="preserve"> </v>
      </c>
      <c r="E2915" s="79" t="str">
        <f t="shared" si="6"/>
        <v xml:space="preserve"> </v>
      </c>
    </row>
    <row r="2916" spans="1:5" ht="12.5">
      <c r="A2916" s="81" t="str">
        <f t="shared" si="0"/>
        <v xml:space="preserve"> </v>
      </c>
      <c r="B2916" s="81" t="str">
        <f t="shared" si="1"/>
        <v xml:space="preserve"> </v>
      </c>
      <c r="C2916" s="79" t="str">
        <f t="shared" si="7"/>
        <v xml:space="preserve"> </v>
      </c>
      <c r="D2916" s="79" t="str">
        <f t="shared" si="5"/>
        <v xml:space="preserve"> </v>
      </c>
      <c r="E2916" s="79" t="str">
        <f t="shared" si="6"/>
        <v xml:space="preserve"> </v>
      </c>
    </row>
    <row r="2917" spans="1:5" ht="12.5">
      <c r="A2917" s="81" t="str">
        <f t="shared" si="0"/>
        <v xml:space="preserve"> </v>
      </c>
      <c r="B2917" s="81" t="str">
        <f t="shared" si="1"/>
        <v xml:space="preserve"> </v>
      </c>
      <c r="C2917" s="79" t="str">
        <f t="shared" si="7"/>
        <v xml:space="preserve"> </v>
      </c>
      <c r="D2917" s="79" t="str">
        <f t="shared" si="5"/>
        <v xml:space="preserve"> </v>
      </c>
      <c r="E2917" s="79" t="str">
        <f t="shared" si="6"/>
        <v xml:space="preserve"> </v>
      </c>
    </row>
    <row r="2918" spans="1:5" ht="12.5">
      <c r="A2918" s="81" t="str">
        <f t="shared" si="0"/>
        <v xml:space="preserve"> </v>
      </c>
      <c r="B2918" s="81" t="str">
        <f t="shared" si="1"/>
        <v xml:space="preserve"> </v>
      </c>
      <c r="C2918" s="79" t="str">
        <f t="shared" si="7"/>
        <v xml:space="preserve"> </v>
      </c>
      <c r="D2918" s="79" t="str">
        <f t="shared" si="5"/>
        <v xml:space="preserve"> </v>
      </c>
      <c r="E2918" s="79" t="str">
        <f t="shared" si="6"/>
        <v xml:space="preserve"> </v>
      </c>
    </row>
    <row r="2919" spans="1:5" ht="12.5">
      <c r="A2919" s="81" t="str">
        <f t="shared" si="0"/>
        <v xml:space="preserve"> </v>
      </c>
      <c r="B2919" s="81" t="str">
        <f t="shared" si="1"/>
        <v xml:space="preserve"> </v>
      </c>
      <c r="C2919" s="79" t="str">
        <f t="shared" si="7"/>
        <v xml:space="preserve"> </v>
      </c>
      <c r="D2919" s="79" t="str">
        <f t="shared" si="5"/>
        <v xml:space="preserve"> </v>
      </c>
      <c r="E2919" s="79" t="str">
        <f t="shared" si="6"/>
        <v xml:space="preserve"> </v>
      </c>
    </row>
    <row r="2920" spans="1:5" ht="12.5">
      <c r="A2920" s="81" t="str">
        <f t="shared" si="0"/>
        <v xml:space="preserve"> </v>
      </c>
      <c r="B2920" s="81" t="str">
        <f t="shared" si="1"/>
        <v xml:space="preserve"> </v>
      </c>
      <c r="C2920" s="79" t="str">
        <f t="shared" si="7"/>
        <v xml:space="preserve"> </v>
      </c>
      <c r="D2920" s="79" t="str">
        <f t="shared" si="5"/>
        <v xml:space="preserve"> </v>
      </c>
      <c r="E2920" s="79" t="str">
        <f t="shared" si="6"/>
        <v xml:space="preserve"> </v>
      </c>
    </row>
    <row r="2921" spans="1:5" ht="12.5">
      <c r="A2921" s="81" t="str">
        <f t="shared" si="0"/>
        <v xml:space="preserve"> </v>
      </c>
      <c r="B2921" s="81" t="str">
        <f t="shared" si="1"/>
        <v xml:space="preserve"> </v>
      </c>
      <c r="C2921" s="79" t="str">
        <f t="shared" si="7"/>
        <v xml:space="preserve"> </v>
      </c>
      <c r="D2921" s="79" t="str">
        <f t="shared" si="5"/>
        <v xml:space="preserve"> </v>
      </c>
      <c r="E2921" s="79" t="str">
        <f t="shared" si="6"/>
        <v xml:space="preserve"> </v>
      </c>
    </row>
    <row r="2922" spans="1:5" ht="12.5">
      <c r="A2922" s="81" t="str">
        <f t="shared" si="0"/>
        <v xml:space="preserve"> </v>
      </c>
      <c r="B2922" s="81" t="str">
        <f t="shared" si="1"/>
        <v xml:space="preserve"> </v>
      </c>
      <c r="C2922" s="79" t="str">
        <f t="shared" si="7"/>
        <v xml:space="preserve"> </v>
      </c>
      <c r="D2922" s="79" t="str">
        <f t="shared" si="5"/>
        <v xml:space="preserve"> </v>
      </c>
      <c r="E2922" s="79" t="str">
        <f t="shared" si="6"/>
        <v xml:space="preserve"> </v>
      </c>
    </row>
    <row r="2923" spans="1:5" ht="12.5">
      <c r="A2923" s="81" t="str">
        <f t="shared" si="0"/>
        <v xml:space="preserve"> </v>
      </c>
      <c r="B2923" s="81" t="str">
        <f t="shared" si="1"/>
        <v xml:space="preserve"> </v>
      </c>
      <c r="C2923" s="79" t="str">
        <f t="shared" si="7"/>
        <v xml:space="preserve"> </v>
      </c>
      <c r="D2923" s="79" t="str">
        <f t="shared" si="5"/>
        <v xml:space="preserve"> </v>
      </c>
      <c r="E2923" s="79" t="str">
        <f t="shared" si="6"/>
        <v xml:space="preserve"> </v>
      </c>
    </row>
    <row r="2924" spans="1:5" ht="12.5">
      <c r="A2924" s="81" t="str">
        <f t="shared" si="0"/>
        <v xml:space="preserve"> </v>
      </c>
      <c r="B2924" s="81" t="str">
        <f t="shared" si="1"/>
        <v xml:space="preserve"> </v>
      </c>
      <c r="C2924" s="79" t="str">
        <f t="shared" si="7"/>
        <v xml:space="preserve"> </v>
      </c>
      <c r="D2924" s="79" t="str">
        <f t="shared" si="5"/>
        <v xml:space="preserve"> </v>
      </c>
      <c r="E2924" s="79" t="str">
        <f t="shared" si="6"/>
        <v xml:space="preserve"> </v>
      </c>
    </row>
    <row r="2925" spans="1:5" ht="12.5">
      <c r="A2925" s="81" t="str">
        <f t="shared" si="0"/>
        <v xml:space="preserve"> </v>
      </c>
      <c r="B2925" s="81" t="str">
        <f t="shared" si="1"/>
        <v xml:space="preserve"> </v>
      </c>
      <c r="C2925" s="79" t="str">
        <f t="shared" si="7"/>
        <v xml:space="preserve"> </v>
      </c>
      <c r="D2925" s="79" t="str">
        <f t="shared" si="5"/>
        <v xml:space="preserve"> </v>
      </c>
      <c r="E2925" s="79" t="str">
        <f t="shared" si="6"/>
        <v xml:space="preserve"> </v>
      </c>
    </row>
    <row r="2926" spans="1:5" ht="12.5">
      <c r="A2926" s="81" t="str">
        <f t="shared" si="0"/>
        <v xml:space="preserve"> </v>
      </c>
      <c r="B2926" s="81" t="str">
        <f t="shared" si="1"/>
        <v xml:space="preserve"> </v>
      </c>
      <c r="C2926" s="79" t="str">
        <f t="shared" si="7"/>
        <v xml:space="preserve"> </v>
      </c>
      <c r="D2926" s="79" t="str">
        <f t="shared" si="5"/>
        <v xml:space="preserve"> </v>
      </c>
      <c r="E2926" s="79" t="str">
        <f t="shared" si="6"/>
        <v xml:space="preserve"> </v>
      </c>
    </row>
    <row r="2927" spans="1:5" ht="12.5">
      <c r="A2927" s="81" t="str">
        <f t="shared" si="0"/>
        <v xml:space="preserve"> </v>
      </c>
      <c r="B2927" s="81" t="str">
        <f t="shared" si="1"/>
        <v xml:space="preserve"> </v>
      </c>
      <c r="C2927" s="79" t="str">
        <f t="shared" si="7"/>
        <v xml:space="preserve"> </v>
      </c>
      <c r="D2927" s="79" t="str">
        <f t="shared" si="5"/>
        <v xml:space="preserve"> </v>
      </c>
      <c r="E2927" s="79" t="str">
        <f t="shared" si="6"/>
        <v xml:space="preserve"> </v>
      </c>
    </row>
    <row r="2928" spans="1:5" ht="12.5">
      <c r="A2928" s="81" t="str">
        <f t="shared" si="0"/>
        <v xml:space="preserve"> </v>
      </c>
      <c r="B2928" s="81" t="str">
        <f t="shared" si="1"/>
        <v xml:space="preserve"> </v>
      </c>
      <c r="C2928" s="79" t="str">
        <f t="shared" si="7"/>
        <v xml:space="preserve"> </v>
      </c>
      <c r="D2928" s="79" t="str">
        <f t="shared" si="5"/>
        <v xml:space="preserve"> </v>
      </c>
      <c r="E2928" s="79" t="str">
        <f t="shared" si="6"/>
        <v xml:space="preserve"> </v>
      </c>
    </row>
    <row r="2929" spans="1:5" ht="12.5">
      <c r="A2929" s="81" t="str">
        <f t="shared" si="0"/>
        <v xml:space="preserve"> </v>
      </c>
      <c r="B2929" s="81" t="str">
        <f t="shared" si="1"/>
        <v xml:space="preserve"> </v>
      </c>
      <c r="C2929" s="79" t="str">
        <f t="shared" si="7"/>
        <v xml:space="preserve"> </v>
      </c>
      <c r="D2929" s="79" t="str">
        <f t="shared" si="5"/>
        <v xml:space="preserve"> </v>
      </c>
      <c r="E2929" s="79" t="str">
        <f t="shared" si="6"/>
        <v xml:space="preserve"> </v>
      </c>
    </row>
    <row r="2930" spans="1:5" ht="12.5">
      <c r="A2930" s="81" t="str">
        <f t="shared" si="0"/>
        <v xml:space="preserve"> </v>
      </c>
      <c r="B2930" s="81" t="str">
        <f t="shared" si="1"/>
        <v xml:space="preserve"> </v>
      </c>
      <c r="C2930" s="79" t="str">
        <f t="shared" si="7"/>
        <v xml:space="preserve"> </v>
      </c>
      <c r="D2930" s="79" t="str">
        <f t="shared" si="5"/>
        <v xml:space="preserve"> </v>
      </c>
      <c r="E2930" s="79" t="str">
        <f t="shared" si="6"/>
        <v xml:space="preserve"> </v>
      </c>
    </row>
    <row r="2931" spans="1:5" ht="12.5">
      <c r="A2931" s="81" t="str">
        <f t="shared" si="0"/>
        <v xml:space="preserve"> </v>
      </c>
      <c r="B2931" s="81" t="str">
        <f t="shared" si="1"/>
        <v xml:space="preserve"> </v>
      </c>
      <c r="C2931" s="79" t="str">
        <f t="shared" si="7"/>
        <v xml:space="preserve"> </v>
      </c>
      <c r="D2931" s="79" t="str">
        <f t="shared" si="5"/>
        <v xml:space="preserve"> </v>
      </c>
      <c r="E2931" s="79" t="str">
        <f t="shared" si="6"/>
        <v xml:space="preserve"> </v>
      </c>
    </row>
    <row r="2932" spans="1:5" ht="12.5">
      <c r="A2932" s="81" t="str">
        <f t="shared" si="0"/>
        <v xml:space="preserve"> </v>
      </c>
      <c r="B2932" s="81" t="str">
        <f t="shared" si="1"/>
        <v xml:space="preserve"> </v>
      </c>
      <c r="C2932" s="79" t="str">
        <f t="shared" si="7"/>
        <v xml:space="preserve"> </v>
      </c>
      <c r="D2932" s="79" t="str">
        <f t="shared" si="5"/>
        <v xml:space="preserve"> </v>
      </c>
      <c r="E2932" s="79" t="str">
        <f t="shared" si="6"/>
        <v xml:space="preserve"> </v>
      </c>
    </row>
    <row r="2933" spans="1:5" ht="12.5">
      <c r="A2933" s="81" t="str">
        <f t="shared" si="0"/>
        <v xml:space="preserve"> </v>
      </c>
      <c r="B2933" s="81" t="str">
        <f t="shared" si="1"/>
        <v xml:space="preserve"> </v>
      </c>
      <c r="C2933" s="79" t="str">
        <f t="shared" si="7"/>
        <v xml:space="preserve"> </v>
      </c>
      <c r="D2933" s="79" t="str">
        <f t="shared" si="5"/>
        <v xml:space="preserve"> </v>
      </c>
      <c r="E2933" s="79" t="str">
        <f t="shared" si="6"/>
        <v xml:space="preserve"> </v>
      </c>
    </row>
    <row r="2934" spans="1:5" ht="12.5">
      <c r="A2934" s="81" t="str">
        <f t="shared" si="0"/>
        <v xml:space="preserve"> </v>
      </c>
      <c r="B2934" s="81" t="str">
        <f t="shared" si="1"/>
        <v xml:space="preserve"> </v>
      </c>
      <c r="C2934" s="79" t="str">
        <f t="shared" si="7"/>
        <v xml:space="preserve"> </v>
      </c>
      <c r="D2934" s="79" t="str">
        <f t="shared" si="5"/>
        <v xml:space="preserve"> </v>
      </c>
      <c r="E2934" s="79" t="str">
        <f t="shared" si="6"/>
        <v xml:space="preserve"> </v>
      </c>
    </row>
    <row r="2935" spans="1:5" ht="12.5">
      <c r="A2935" s="81" t="str">
        <f t="shared" si="0"/>
        <v xml:space="preserve"> </v>
      </c>
      <c r="B2935" s="81" t="str">
        <f t="shared" si="1"/>
        <v xml:space="preserve"> </v>
      </c>
      <c r="C2935" s="79" t="str">
        <f t="shared" si="7"/>
        <v xml:space="preserve"> </v>
      </c>
      <c r="D2935" s="79" t="str">
        <f t="shared" si="5"/>
        <v xml:space="preserve"> </v>
      </c>
      <c r="E2935" s="79" t="str">
        <f t="shared" si="6"/>
        <v xml:space="preserve"> </v>
      </c>
    </row>
    <row r="2936" spans="1:5" ht="12.5">
      <c r="A2936" s="81" t="str">
        <f t="shared" si="0"/>
        <v xml:space="preserve"> </v>
      </c>
      <c r="B2936" s="81" t="str">
        <f t="shared" si="1"/>
        <v xml:space="preserve"> </v>
      </c>
      <c r="C2936" s="79" t="str">
        <f t="shared" si="7"/>
        <v xml:space="preserve"> </v>
      </c>
      <c r="D2936" s="79" t="str">
        <f t="shared" si="5"/>
        <v xml:space="preserve"> </v>
      </c>
      <c r="E2936" s="79" t="str">
        <f t="shared" si="6"/>
        <v xml:space="preserve"> </v>
      </c>
    </row>
    <row r="2937" spans="1:5" ht="12.5">
      <c r="A2937" s="81" t="str">
        <f t="shared" si="0"/>
        <v xml:space="preserve"> </v>
      </c>
      <c r="B2937" s="81" t="str">
        <f t="shared" si="1"/>
        <v xml:space="preserve"> </v>
      </c>
      <c r="C2937" s="79" t="str">
        <f t="shared" si="7"/>
        <v xml:space="preserve"> </v>
      </c>
      <c r="D2937" s="79" t="str">
        <f t="shared" si="5"/>
        <v xml:space="preserve"> </v>
      </c>
      <c r="E2937" s="79" t="str">
        <f t="shared" si="6"/>
        <v xml:space="preserve"> </v>
      </c>
    </row>
    <row r="2938" spans="1:5" ht="12.5">
      <c r="A2938" s="81" t="str">
        <f t="shared" si="0"/>
        <v xml:space="preserve"> </v>
      </c>
      <c r="B2938" s="81" t="str">
        <f t="shared" si="1"/>
        <v xml:space="preserve"> </v>
      </c>
      <c r="C2938" s="79" t="str">
        <f t="shared" si="7"/>
        <v xml:space="preserve"> </v>
      </c>
      <c r="D2938" s="79" t="str">
        <f t="shared" si="5"/>
        <v xml:space="preserve"> </v>
      </c>
      <c r="E2938" s="79" t="str">
        <f t="shared" si="6"/>
        <v xml:space="preserve"> </v>
      </c>
    </row>
    <row r="2939" spans="1:5" ht="12.5">
      <c r="A2939" s="81" t="str">
        <f t="shared" si="0"/>
        <v xml:space="preserve"> </v>
      </c>
      <c r="B2939" s="81" t="str">
        <f t="shared" si="1"/>
        <v xml:space="preserve"> </v>
      </c>
      <c r="C2939" s="79" t="str">
        <f t="shared" si="7"/>
        <v xml:space="preserve"> </v>
      </c>
      <c r="D2939" s="79" t="str">
        <f t="shared" si="5"/>
        <v xml:space="preserve"> </v>
      </c>
      <c r="E2939" s="79" t="str">
        <f t="shared" si="6"/>
        <v xml:space="preserve"> </v>
      </c>
    </row>
    <row r="2940" spans="1:5" ht="12.5">
      <c r="A2940" s="81" t="str">
        <f t="shared" si="0"/>
        <v xml:space="preserve"> </v>
      </c>
      <c r="B2940" s="81" t="str">
        <f t="shared" si="1"/>
        <v xml:space="preserve"> </v>
      </c>
      <c r="C2940" s="79" t="str">
        <f t="shared" si="7"/>
        <v xml:space="preserve"> </v>
      </c>
      <c r="D2940" s="79" t="str">
        <f t="shared" si="5"/>
        <v xml:space="preserve"> </v>
      </c>
      <c r="E2940" s="79" t="str">
        <f t="shared" si="6"/>
        <v xml:space="preserve"> </v>
      </c>
    </row>
    <row r="2941" spans="1:5" ht="12.5">
      <c r="A2941" s="81" t="str">
        <f t="shared" si="0"/>
        <v xml:space="preserve"> </v>
      </c>
      <c r="B2941" s="81" t="str">
        <f t="shared" si="1"/>
        <v xml:space="preserve"> </v>
      </c>
      <c r="C2941" s="79" t="str">
        <f t="shared" si="7"/>
        <v xml:space="preserve"> </v>
      </c>
      <c r="D2941" s="79" t="str">
        <f t="shared" si="5"/>
        <v xml:space="preserve"> </v>
      </c>
      <c r="E2941" s="79" t="str">
        <f t="shared" si="6"/>
        <v xml:space="preserve"> </v>
      </c>
    </row>
    <row r="2942" spans="1:5" ht="12.5">
      <c r="A2942" s="81" t="str">
        <f t="shared" si="0"/>
        <v xml:space="preserve"> </v>
      </c>
      <c r="B2942" s="81" t="str">
        <f t="shared" si="1"/>
        <v xml:space="preserve"> </v>
      </c>
      <c r="C2942" s="79" t="str">
        <f t="shared" si="7"/>
        <v xml:space="preserve"> </v>
      </c>
      <c r="D2942" s="79" t="str">
        <f t="shared" si="5"/>
        <v xml:space="preserve"> </v>
      </c>
      <c r="E2942" s="79" t="str">
        <f t="shared" si="6"/>
        <v xml:space="preserve"> </v>
      </c>
    </row>
    <row r="2943" spans="1:5" ht="12.5">
      <c r="A2943" s="81" t="str">
        <f t="shared" si="0"/>
        <v xml:space="preserve"> </v>
      </c>
      <c r="B2943" s="81" t="str">
        <f t="shared" si="1"/>
        <v xml:space="preserve"> </v>
      </c>
      <c r="C2943" s="79" t="str">
        <f t="shared" si="7"/>
        <v xml:space="preserve"> </v>
      </c>
      <c r="D2943" s="79" t="str">
        <f t="shared" si="5"/>
        <v xml:space="preserve"> </v>
      </c>
      <c r="E2943" s="79" t="str">
        <f t="shared" si="6"/>
        <v xml:space="preserve"> </v>
      </c>
    </row>
    <row r="2944" spans="1:5" ht="12.5">
      <c r="A2944" s="81" t="str">
        <f t="shared" si="0"/>
        <v xml:space="preserve"> </v>
      </c>
      <c r="B2944" s="81" t="str">
        <f t="shared" si="1"/>
        <v xml:space="preserve"> </v>
      </c>
      <c r="C2944" s="79" t="str">
        <f t="shared" si="7"/>
        <v xml:space="preserve"> </v>
      </c>
      <c r="D2944" s="79" t="str">
        <f t="shared" si="5"/>
        <v xml:space="preserve"> </v>
      </c>
      <c r="E2944" s="79" t="str">
        <f t="shared" si="6"/>
        <v xml:space="preserve"> </v>
      </c>
    </row>
    <row r="2945" spans="1:5" ht="12.5">
      <c r="A2945" s="81" t="str">
        <f t="shared" si="0"/>
        <v xml:space="preserve"> </v>
      </c>
      <c r="B2945" s="81" t="str">
        <f t="shared" si="1"/>
        <v xml:space="preserve"> </v>
      </c>
      <c r="C2945" s="79" t="str">
        <f t="shared" si="7"/>
        <v xml:space="preserve"> </v>
      </c>
      <c r="D2945" s="79" t="str">
        <f t="shared" si="5"/>
        <v xml:space="preserve"> </v>
      </c>
      <c r="E2945" s="79" t="str">
        <f t="shared" si="6"/>
        <v xml:space="preserve"> </v>
      </c>
    </row>
    <row r="2946" spans="1:5" ht="12.5">
      <c r="A2946" s="81" t="str">
        <f t="shared" si="0"/>
        <v xml:space="preserve"> </v>
      </c>
      <c r="B2946" s="81" t="str">
        <f t="shared" si="1"/>
        <v xml:space="preserve"> </v>
      </c>
      <c r="C2946" s="79" t="str">
        <f t="shared" si="7"/>
        <v xml:space="preserve"> </v>
      </c>
      <c r="D2946" s="79" t="str">
        <f t="shared" si="5"/>
        <v xml:space="preserve"> </v>
      </c>
      <c r="E2946" s="79" t="str">
        <f t="shared" si="6"/>
        <v xml:space="preserve"> </v>
      </c>
    </row>
    <row r="2947" spans="1:5" ht="12.5">
      <c r="A2947" s="81" t="str">
        <f t="shared" si="0"/>
        <v xml:space="preserve"> </v>
      </c>
      <c r="B2947" s="81" t="str">
        <f t="shared" si="1"/>
        <v xml:space="preserve"> </v>
      </c>
      <c r="C2947" s="79" t="str">
        <f t="shared" si="7"/>
        <v xml:space="preserve"> </v>
      </c>
      <c r="D2947" s="79" t="str">
        <f t="shared" si="5"/>
        <v xml:space="preserve"> </v>
      </c>
      <c r="E2947" s="79" t="str">
        <f t="shared" si="6"/>
        <v xml:space="preserve"> </v>
      </c>
    </row>
    <row r="2948" spans="1:5" ht="12.5">
      <c r="A2948" s="81" t="str">
        <f t="shared" si="0"/>
        <v xml:space="preserve"> </v>
      </c>
      <c r="B2948" s="81" t="str">
        <f t="shared" si="1"/>
        <v xml:space="preserve"> </v>
      </c>
      <c r="C2948" s="79" t="str">
        <f t="shared" si="7"/>
        <v xml:space="preserve"> </v>
      </c>
      <c r="D2948" s="79" t="str">
        <f t="shared" si="5"/>
        <v xml:space="preserve"> </v>
      </c>
      <c r="E2948" s="79" t="str">
        <f t="shared" si="6"/>
        <v xml:space="preserve"> </v>
      </c>
    </row>
    <row r="2949" spans="1:5" ht="12.5">
      <c r="A2949" s="81" t="str">
        <f t="shared" si="0"/>
        <v xml:space="preserve"> </v>
      </c>
      <c r="B2949" s="81" t="str">
        <f t="shared" si="1"/>
        <v xml:space="preserve"> </v>
      </c>
      <c r="C2949" s="79" t="str">
        <f t="shared" si="7"/>
        <v xml:space="preserve"> </v>
      </c>
      <c r="D2949" s="79" t="str">
        <f t="shared" si="5"/>
        <v xml:space="preserve"> </v>
      </c>
      <c r="E2949" s="79" t="str">
        <f t="shared" si="6"/>
        <v xml:space="preserve"> </v>
      </c>
    </row>
    <row r="2950" spans="1:5" ht="12.5">
      <c r="A2950" s="81" t="str">
        <f t="shared" si="0"/>
        <v xml:space="preserve"> </v>
      </c>
      <c r="B2950" s="81" t="str">
        <f t="shared" si="1"/>
        <v xml:space="preserve"> </v>
      </c>
      <c r="C2950" s="79" t="str">
        <f t="shared" si="7"/>
        <v xml:space="preserve"> </v>
      </c>
      <c r="D2950" s="79" t="str">
        <f t="shared" si="5"/>
        <v xml:space="preserve"> </v>
      </c>
      <c r="E2950" s="79" t="str">
        <f t="shared" si="6"/>
        <v xml:space="preserve"> </v>
      </c>
    </row>
    <row r="2951" spans="1:5" ht="12.5">
      <c r="A2951" s="81" t="str">
        <f t="shared" si="0"/>
        <v xml:space="preserve"> </v>
      </c>
      <c r="B2951" s="81" t="str">
        <f t="shared" si="1"/>
        <v xml:space="preserve"> </v>
      </c>
      <c r="C2951" s="79" t="str">
        <f t="shared" si="7"/>
        <v xml:space="preserve"> </v>
      </c>
      <c r="D2951" s="79" t="str">
        <f t="shared" si="5"/>
        <v xml:space="preserve"> </v>
      </c>
      <c r="E2951" s="79" t="str">
        <f t="shared" si="6"/>
        <v xml:space="preserve"> </v>
      </c>
    </row>
    <row r="2952" spans="1:5" ht="12.5">
      <c r="A2952" s="81" t="str">
        <f t="shared" si="0"/>
        <v xml:space="preserve"> </v>
      </c>
      <c r="B2952" s="81" t="str">
        <f t="shared" si="1"/>
        <v xml:space="preserve"> </v>
      </c>
      <c r="C2952" s="79" t="str">
        <f t="shared" si="7"/>
        <v xml:space="preserve"> </v>
      </c>
      <c r="D2952" s="79" t="str">
        <f t="shared" si="5"/>
        <v xml:space="preserve"> </v>
      </c>
      <c r="E2952" s="79" t="str">
        <f t="shared" si="6"/>
        <v xml:space="preserve"> </v>
      </c>
    </row>
    <row r="2953" spans="1:5" ht="12.5">
      <c r="A2953" s="81" t="str">
        <f t="shared" si="0"/>
        <v xml:space="preserve"> </v>
      </c>
      <c r="B2953" s="81" t="str">
        <f t="shared" si="1"/>
        <v xml:space="preserve"> </v>
      </c>
      <c r="C2953" s="79" t="str">
        <f t="shared" si="7"/>
        <v xml:space="preserve"> </v>
      </c>
      <c r="D2953" s="79" t="str">
        <f t="shared" si="5"/>
        <v xml:space="preserve"> </v>
      </c>
      <c r="E2953" s="79" t="str">
        <f t="shared" si="6"/>
        <v xml:space="preserve"> </v>
      </c>
    </row>
    <row r="2954" spans="1:5" ht="12.5">
      <c r="A2954" s="81" t="str">
        <f t="shared" si="0"/>
        <v xml:space="preserve"> </v>
      </c>
      <c r="B2954" s="81" t="str">
        <f t="shared" si="1"/>
        <v xml:space="preserve"> </v>
      </c>
      <c r="C2954" s="79" t="str">
        <f t="shared" si="7"/>
        <v xml:space="preserve"> </v>
      </c>
      <c r="D2954" s="79" t="str">
        <f t="shared" si="5"/>
        <v xml:space="preserve"> </v>
      </c>
      <c r="E2954" s="79" t="str">
        <f t="shared" si="6"/>
        <v xml:space="preserve"> </v>
      </c>
    </row>
    <row r="2955" spans="1:5" ht="12.5">
      <c r="A2955" s="81" t="str">
        <f t="shared" si="0"/>
        <v xml:space="preserve"> </v>
      </c>
      <c r="B2955" s="81" t="str">
        <f t="shared" si="1"/>
        <v xml:space="preserve"> </v>
      </c>
      <c r="C2955" s="79" t="str">
        <f t="shared" si="7"/>
        <v xml:space="preserve"> </v>
      </c>
      <c r="D2955" s="79" t="str">
        <f t="shared" si="5"/>
        <v xml:space="preserve"> </v>
      </c>
      <c r="E2955" s="79" t="str">
        <f t="shared" si="6"/>
        <v xml:space="preserve"> </v>
      </c>
    </row>
    <row r="2956" spans="1:5" ht="12.5">
      <c r="A2956" s="81" t="str">
        <f t="shared" si="0"/>
        <v xml:space="preserve"> </v>
      </c>
      <c r="B2956" s="81" t="str">
        <f t="shared" si="1"/>
        <v xml:space="preserve"> </v>
      </c>
      <c r="C2956" s="79" t="str">
        <f t="shared" si="7"/>
        <v xml:space="preserve"> </v>
      </c>
      <c r="D2956" s="79" t="str">
        <f t="shared" si="5"/>
        <v xml:space="preserve"> </v>
      </c>
      <c r="E2956" s="79" t="str">
        <f t="shared" si="6"/>
        <v xml:space="preserve"> </v>
      </c>
    </row>
    <row r="2957" spans="1:5" ht="12.5">
      <c r="A2957" s="81" t="str">
        <f t="shared" si="0"/>
        <v xml:space="preserve"> </v>
      </c>
      <c r="B2957" s="81" t="str">
        <f t="shared" si="1"/>
        <v xml:space="preserve"> </v>
      </c>
      <c r="C2957" s="79" t="str">
        <f t="shared" si="7"/>
        <v xml:space="preserve"> </v>
      </c>
      <c r="D2957" s="79" t="str">
        <f t="shared" si="5"/>
        <v xml:space="preserve"> </v>
      </c>
      <c r="E2957" s="79" t="str">
        <f t="shared" si="6"/>
        <v xml:space="preserve"> </v>
      </c>
    </row>
    <row r="2958" spans="1:5" ht="12.5">
      <c r="A2958" s="81" t="str">
        <f t="shared" si="0"/>
        <v xml:space="preserve"> </v>
      </c>
      <c r="B2958" s="81" t="str">
        <f t="shared" si="1"/>
        <v xml:space="preserve"> </v>
      </c>
      <c r="C2958" s="79" t="str">
        <f t="shared" si="7"/>
        <v xml:space="preserve"> </v>
      </c>
      <c r="D2958" s="79" t="str">
        <f t="shared" si="5"/>
        <v xml:space="preserve"> </v>
      </c>
      <c r="E2958" s="79" t="str">
        <f t="shared" si="6"/>
        <v xml:space="preserve"> </v>
      </c>
    </row>
    <row r="2959" spans="1:5" ht="12.5">
      <c r="A2959" s="81" t="str">
        <f t="shared" si="0"/>
        <v xml:space="preserve"> </v>
      </c>
      <c r="B2959" s="81" t="str">
        <f t="shared" si="1"/>
        <v xml:space="preserve"> </v>
      </c>
      <c r="C2959" s="79" t="str">
        <f t="shared" si="7"/>
        <v xml:space="preserve"> </v>
      </c>
      <c r="D2959" s="79" t="str">
        <f t="shared" si="5"/>
        <v xml:space="preserve"> </v>
      </c>
      <c r="E2959" s="79" t="str">
        <f t="shared" si="6"/>
        <v xml:space="preserve"> </v>
      </c>
    </row>
    <row r="2960" spans="1:5" ht="12.5">
      <c r="A2960" s="81" t="str">
        <f t="shared" si="0"/>
        <v xml:space="preserve"> </v>
      </c>
      <c r="B2960" s="81" t="str">
        <f t="shared" si="1"/>
        <v xml:space="preserve"> </v>
      </c>
      <c r="C2960" s="79" t="str">
        <f t="shared" si="7"/>
        <v xml:space="preserve"> </v>
      </c>
      <c r="D2960" s="79" t="str">
        <f t="shared" si="5"/>
        <v xml:space="preserve"> </v>
      </c>
      <c r="E2960" s="79" t="str">
        <f t="shared" si="6"/>
        <v xml:space="preserve"> </v>
      </c>
    </row>
    <row r="2961" spans="1:5" ht="12.5">
      <c r="A2961" s="81" t="str">
        <f t="shared" si="0"/>
        <v xml:space="preserve"> </v>
      </c>
      <c r="B2961" s="81" t="str">
        <f t="shared" si="1"/>
        <v xml:space="preserve"> </v>
      </c>
      <c r="C2961" s="79" t="str">
        <f t="shared" si="7"/>
        <v xml:space="preserve"> </v>
      </c>
      <c r="D2961" s="79" t="str">
        <f t="shared" si="5"/>
        <v xml:space="preserve"> </v>
      </c>
      <c r="E2961" s="79" t="str">
        <f t="shared" si="6"/>
        <v xml:space="preserve"> </v>
      </c>
    </row>
    <row r="2962" spans="1:5" ht="12.5">
      <c r="A2962" s="81" t="str">
        <f t="shared" si="0"/>
        <v xml:space="preserve"> </v>
      </c>
      <c r="B2962" s="81" t="str">
        <f t="shared" si="1"/>
        <v xml:space="preserve"> </v>
      </c>
      <c r="C2962" s="79" t="str">
        <f t="shared" si="7"/>
        <v xml:space="preserve"> </v>
      </c>
      <c r="D2962" s="79" t="str">
        <f t="shared" si="5"/>
        <v xml:space="preserve"> </v>
      </c>
      <c r="E2962" s="79" t="str">
        <f t="shared" si="6"/>
        <v xml:space="preserve"> </v>
      </c>
    </row>
    <row r="2963" spans="1:5" ht="12.5">
      <c r="A2963" s="81" t="str">
        <f t="shared" si="0"/>
        <v xml:space="preserve"> </v>
      </c>
      <c r="B2963" s="81" t="str">
        <f t="shared" si="1"/>
        <v xml:space="preserve"> </v>
      </c>
      <c r="C2963" s="79" t="str">
        <f t="shared" si="7"/>
        <v xml:space="preserve"> </v>
      </c>
      <c r="D2963" s="79" t="str">
        <f t="shared" si="5"/>
        <v xml:space="preserve"> </v>
      </c>
      <c r="E2963" s="79" t="str">
        <f t="shared" si="6"/>
        <v xml:space="preserve"> </v>
      </c>
    </row>
    <row r="2964" spans="1:5" ht="12.5">
      <c r="A2964" s="81" t="str">
        <f t="shared" si="0"/>
        <v xml:space="preserve"> </v>
      </c>
      <c r="B2964" s="81" t="str">
        <f t="shared" si="1"/>
        <v xml:space="preserve"> </v>
      </c>
      <c r="C2964" s="79" t="str">
        <f t="shared" si="7"/>
        <v xml:space="preserve"> </v>
      </c>
      <c r="D2964" s="79" t="str">
        <f t="shared" si="5"/>
        <v xml:space="preserve"> </v>
      </c>
      <c r="E2964" s="79" t="str">
        <f t="shared" si="6"/>
        <v xml:space="preserve"> </v>
      </c>
    </row>
    <row r="2965" spans="1:5" ht="12.5">
      <c r="A2965" s="81" t="str">
        <f t="shared" si="0"/>
        <v xml:space="preserve"> </v>
      </c>
      <c r="B2965" s="81" t="str">
        <f t="shared" si="1"/>
        <v xml:space="preserve"> </v>
      </c>
      <c r="C2965" s="79" t="str">
        <f t="shared" si="7"/>
        <v xml:space="preserve"> </v>
      </c>
      <c r="D2965" s="79" t="str">
        <f t="shared" si="5"/>
        <v xml:space="preserve"> </v>
      </c>
      <c r="E2965" s="79" t="str">
        <f t="shared" si="6"/>
        <v xml:space="preserve"> </v>
      </c>
    </row>
    <row r="2966" spans="1:5" ht="12.5">
      <c r="A2966" s="81" t="str">
        <f t="shared" si="0"/>
        <v xml:space="preserve"> </v>
      </c>
      <c r="B2966" s="81" t="str">
        <f t="shared" si="1"/>
        <v xml:space="preserve"> </v>
      </c>
      <c r="C2966" s="79" t="str">
        <f t="shared" si="7"/>
        <v xml:space="preserve"> </v>
      </c>
      <c r="D2966" s="79" t="str">
        <f t="shared" si="5"/>
        <v xml:space="preserve"> </v>
      </c>
      <c r="E2966" s="79" t="str">
        <f t="shared" si="6"/>
        <v xml:space="preserve"> </v>
      </c>
    </row>
    <row r="2967" spans="1:5" ht="12.5">
      <c r="A2967" s="81" t="str">
        <f t="shared" si="0"/>
        <v xml:space="preserve"> </v>
      </c>
      <c r="B2967" s="81" t="str">
        <f t="shared" si="1"/>
        <v xml:space="preserve"> </v>
      </c>
      <c r="C2967" s="79" t="str">
        <f t="shared" si="7"/>
        <v xml:space="preserve"> </v>
      </c>
      <c r="D2967" s="79" t="str">
        <f t="shared" si="5"/>
        <v xml:space="preserve"> </v>
      </c>
      <c r="E2967" s="79" t="str">
        <f t="shared" si="6"/>
        <v xml:space="preserve"> </v>
      </c>
    </row>
    <row r="2968" spans="1:5" ht="12.5">
      <c r="A2968" s="81" t="str">
        <f t="shared" si="0"/>
        <v xml:space="preserve"> </v>
      </c>
      <c r="B2968" s="81" t="str">
        <f t="shared" si="1"/>
        <v xml:space="preserve"> </v>
      </c>
      <c r="C2968" s="79" t="str">
        <f t="shared" si="7"/>
        <v xml:space="preserve"> </v>
      </c>
      <c r="D2968" s="79" t="str">
        <f t="shared" si="5"/>
        <v xml:space="preserve"> </v>
      </c>
      <c r="E2968" s="79" t="str">
        <f t="shared" si="6"/>
        <v xml:space="preserve"> </v>
      </c>
    </row>
    <row r="2969" spans="1:5" ht="12.5">
      <c r="A2969" s="81" t="str">
        <f t="shared" si="0"/>
        <v xml:space="preserve"> </v>
      </c>
      <c r="B2969" s="81" t="str">
        <f t="shared" si="1"/>
        <v xml:space="preserve"> </v>
      </c>
      <c r="C2969" s="79" t="str">
        <f t="shared" si="7"/>
        <v xml:space="preserve"> </v>
      </c>
      <c r="D2969" s="79" t="str">
        <f t="shared" si="5"/>
        <v xml:space="preserve"> </v>
      </c>
      <c r="E2969" s="79" t="str">
        <f t="shared" si="6"/>
        <v xml:space="preserve"> </v>
      </c>
    </row>
    <row r="2970" spans="1:5" ht="12.5">
      <c r="A2970" s="81" t="str">
        <f t="shared" si="0"/>
        <v xml:space="preserve"> </v>
      </c>
      <c r="B2970" s="81" t="str">
        <f t="shared" si="1"/>
        <v xml:space="preserve"> </v>
      </c>
      <c r="C2970" s="79" t="str">
        <f t="shared" si="7"/>
        <v xml:space="preserve"> </v>
      </c>
      <c r="D2970" s="79" t="str">
        <f t="shared" si="5"/>
        <v xml:space="preserve"> </v>
      </c>
      <c r="E2970" s="79" t="str">
        <f t="shared" si="6"/>
        <v xml:space="preserve"> </v>
      </c>
    </row>
    <row r="2971" spans="1:5" ht="12.5">
      <c r="A2971" s="81" t="str">
        <f t="shared" si="0"/>
        <v xml:space="preserve"> </v>
      </c>
      <c r="B2971" s="81" t="str">
        <f t="shared" si="1"/>
        <v xml:space="preserve"> </v>
      </c>
      <c r="C2971" s="79" t="str">
        <f t="shared" si="7"/>
        <v xml:space="preserve"> </v>
      </c>
      <c r="D2971" s="79" t="str">
        <f t="shared" si="5"/>
        <v xml:space="preserve"> </v>
      </c>
      <c r="E2971" s="79" t="str">
        <f t="shared" si="6"/>
        <v xml:space="preserve"> </v>
      </c>
    </row>
    <row r="2972" spans="1:5" ht="12.5">
      <c r="A2972" s="81" t="str">
        <f t="shared" si="0"/>
        <v xml:space="preserve"> </v>
      </c>
      <c r="B2972" s="81" t="str">
        <f t="shared" si="1"/>
        <v xml:space="preserve"> </v>
      </c>
      <c r="C2972" s="79" t="str">
        <f t="shared" si="7"/>
        <v xml:space="preserve"> </v>
      </c>
      <c r="D2972" s="79" t="str">
        <f t="shared" si="5"/>
        <v xml:space="preserve"> </v>
      </c>
      <c r="E2972" s="79" t="str">
        <f t="shared" si="6"/>
        <v xml:space="preserve"> </v>
      </c>
    </row>
    <row r="2973" spans="1:5" ht="12.5">
      <c r="A2973" s="81" t="str">
        <f t="shared" si="0"/>
        <v xml:space="preserve"> </v>
      </c>
      <c r="B2973" s="81" t="str">
        <f t="shared" si="1"/>
        <v xml:space="preserve"> </v>
      </c>
      <c r="C2973" s="79" t="str">
        <f t="shared" si="7"/>
        <v xml:space="preserve"> </v>
      </c>
      <c r="D2973" s="79" t="str">
        <f t="shared" si="5"/>
        <v xml:space="preserve"> </v>
      </c>
      <c r="E2973" s="79" t="str">
        <f t="shared" si="6"/>
        <v xml:space="preserve"> </v>
      </c>
    </row>
    <row r="2974" spans="1:5" ht="12.5">
      <c r="A2974" s="81" t="str">
        <f t="shared" si="0"/>
        <v xml:space="preserve"> </v>
      </c>
      <c r="B2974" s="81" t="str">
        <f t="shared" si="1"/>
        <v xml:space="preserve"> </v>
      </c>
      <c r="C2974" s="79" t="str">
        <f t="shared" si="7"/>
        <v xml:space="preserve"> </v>
      </c>
      <c r="D2974" s="79" t="str">
        <f t="shared" si="5"/>
        <v xml:space="preserve"> </v>
      </c>
      <c r="E2974" s="79" t="str">
        <f t="shared" si="6"/>
        <v xml:space="preserve"> </v>
      </c>
    </row>
    <row r="2975" spans="1:5" ht="12.5">
      <c r="A2975" s="81" t="str">
        <f t="shared" si="0"/>
        <v xml:space="preserve"> </v>
      </c>
      <c r="B2975" s="81" t="str">
        <f t="shared" si="1"/>
        <v xml:space="preserve"> </v>
      </c>
      <c r="C2975" s="79" t="str">
        <f t="shared" si="7"/>
        <v xml:space="preserve"> </v>
      </c>
      <c r="D2975" s="79" t="str">
        <f t="shared" si="5"/>
        <v xml:space="preserve"> </v>
      </c>
      <c r="E2975" s="79" t="str">
        <f t="shared" si="6"/>
        <v xml:space="preserve"> </v>
      </c>
    </row>
    <row r="2976" spans="1:5" ht="12.5">
      <c r="A2976" s="81" t="str">
        <f t="shared" si="0"/>
        <v xml:space="preserve"> </v>
      </c>
      <c r="B2976" s="81" t="str">
        <f t="shared" si="1"/>
        <v xml:space="preserve"> </v>
      </c>
      <c r="C2976" s="79" t="str">
        <f t="shared" si="7"/>
        <v xml:space="preserve"> </v>
      </c>
      <c r="D2976" s="79" t="str">
        <f t="shared" si="5"/>
        <v xml:space="preserve"> </v>
      </c>
      <c r="E2976" s="79" t="str">
        <f t="shared" si="6"/>
        <v xml:space="preserve"> </v>
      </c>
    </row>
    <row r="2977" spans="1:5" ht="12.5">
      <c r="A2977" s="81" t="str">
        <f t="shared" si="0"/>
        <v xml:space="preserve"> </v>
      </c>
      <c r="B2977" s="81" t="str">
        <f t="shared" si="1"/>
        <v xml:space="preserve"> </v>
      </c>
      <c r="C2977" s="79" t="str">
        <f t="shared" si="7"/>
        <v xml:space="preserve"> </v>
      </c>
      <c r="D2977" s="79" t="str">
        <f t="shared" si="5"/>
        <v xml:space="preserve"> </v>
      </c>
      <c r="E2977" s="79" t="str">
        <f t="shared" si="6"/>
        <v xml:space="preserve"> </v>
      </c>
    </row>
    <row r="2978" spans="1:5" ht="12.5">
      <c r="A2978" s="81" t="str">
        <f t="shared" si="0"/>
        <v xml:space="preserve"> </v>
      </c>
      <c r="B2978" s="81" t="str">
        <f t="shared" si="1"/>
        <v xml:space="preserve"> </v>
      </c>
      <c r="C2978" s="79" t="str">
        <f t="shared" si="7"/>
        <v xml:space="preserve"> </v>
      </c>
      <c r="D2978" s="79" t="str">
        <f t="shared" si="5"/>
        <v xml:space="preserve"> </v>
      </c>
      <c r="E2978" s="79" t="str">
        <f t="shared" si="6"/>
        <v xml:space="preserve"> </v>
      </c>
    </row>
    <row r="2979" spans="1:5" ht="12.5">
      <c r="A2979" s="81" t="str">
        <f t="shared" si="0"/>
        <v xml:space="preserve"> </v>
      </c>
      <c r="B2979" s="81" t="str">
        <f t="shared" si="1"/>
        <v xml:space="preserve"> </v>
      </c>
      <c r="C2979" s="79" t="str">
        <f t="shared" si="7"/>
        <v xml:space="preserve"> </v>
      </c>
      <c r="D2979" s="79" t="str">
        <f t="shared" si="5"/>
        <v xml:space="preserve"> </v>
      </c>
      <c r="E2979" s="79" t="str">
        <f t="shared" si="6"/>
        <v xml:space="preserve"> </v>
      </c>
    </row>
    <row r="2980" spans="1:5" ht="12.5">
      <c r="A2980" s="81" t="str">
        <f t="shared" si="0"/>
        <v xml:space="preserve"> </v>
      </c>
      <c r="B2980" s="81" t="str">
        <f t="shared" si="1"/>
        <v xml:space="preserve"> </v>
      </c>
      <c r="C2980" s="79" t="str">
        <f t="shared" si="7"/>
        <v xml:space="preserve"> </v>
      </c>
      <c r="D2980" s="79" t="str">
        <f t="shared" si="5"/>
        <v xml:space="preserve"> </v>
      </c>
      <c r="E2980" s="79" t="str">
        <f t="shared" si="6"/>
        <v xml:space="preserve"> </v>
      </c>
    </row>
    <row r="2981" spans="1:5" ht="12.5">
      <c r="A2981" s="81" t="str">
        <f t="shared" si="0"/>
        <v xml:space="preserve"> </v>
      </c>
      <c r="B2981" s="81" t="str">
        <f t="shared" si="1"/>
        <v xml:space="preserve"> </v>
      </c>
      <c r="C2981" s="79" t="str">
        <f t="shared" si="7"/>
        <v xml:space="preserve"> </v>
      </c>
      <c r="D2981" s="79" t="str">
        <f t="shared" si="5"/>
        <v xml:space="preserve"> </v>
      </c>
      <c r="E2981" s="79" t="str">
        <f t="shared" si="6"/>
        <v xml:space="preserve"> </v>
      </c>
    </row>
    <row r="2982" spans="1:5" ht="12.5">
      <c r="A2982" s="81" t="str">
        <f t="shared" si="0"/>
        <v xml:space="preserve"> </v>
      </c>
      <c r="B2982" s="81" t="str">
        <f t="shared" si="1"/>
        <v xml:space="preserve"> </v>
      </c>
      <c r="C2982" s="79" t="str">
        <f t="shared" si="7"/>
        <v xml:space="preserve"> </v>
      </c>
      <c r="D2982" s="79" t="str">
        <f t="shared" si="5"/>
        <v xml:space="preserve"> </v>
      </c>
      <c r="E2982" s="79" t="str">
        <f t="shared" si="6"/>
        <v xml:space="preserve"> </v>
      </c>
    </row>
    <row r="2983" spans="1:5" ht="12.5">
      <c r="A2983" s="81" t="str">
        <f t="shared" si="0"/>
        <v xml:space="preserve"> </v>
      </c>
      <c r="B2983" s="81" t="str">
        <f t="shared" si="1"/>
        <v xml:space="preserve"> </v>
      </c>
      <c r="C2983" s="79" t="str">
        <f t="shared" si="7"/>
        <v xml:space="preserve"> </v>
      </c>
      <c r="D2983" s="79" t="str">
        <f t="shared" si="5"/>
        <v xml:space="preserve"> </v>
      </c>
      <c r="E2983" s="79" t="str">
        <f t="shared" si="6"/>
        <v xml:space="preserve"> </v>
      </c>
    </row>
    <row r="2984" spans="1:5" ht="12.5">
      <c r="A2984" s="81" t="str">
        <f t="shared" si="0"/>
        <v xml:space="preserve"> </v>
      </c>
      <c r="B2984" s="81" t="str">
        <f t="shared" si="1"/>
        <v xml:space="preserve"> </v>
      </c>
      <c r="C2984" s="79" t="str">
        <f t="shared" si="7"/>
        <v xml:space="preserve"> </v>
      </c>
      <c r="D2984" s="79" t="str">
        <f t="shared" si="5"/>
        <v xml:space="preserve"> </v>
      </c>
      <c r="E2984" s="79" t="str">
        <f t="shared" si="6"/>
        <v xml:space="preserve"> </v>
      </c>
    </row>
    <row r="2985" spans="1:5" ht="12.5">
      <c r="A2985" s="81" t="str">
        <f t="shared" si="0"/>
        <v xml:space="preserve"> </v>
      </c>
      <c r="B2985" s="81" t="str">
        <f t="shared" si="1"/>
        <v xml:space="preserve"> </v>
      </c>
      <c r="C2985" s="79" t="str">
        <f t="shared" si="7"/>
        <v xml:space="preserve"> </v>
      </c>
      <c r="D2985" s="79" t="str">
        <f t="shared" si="5"/>
        <v xml:space="preserve"> </v>
      </c>
      <c r="E2985" s="79" t="str">
        <f t="shared" si="6"/>
        <v xml:space="preserve"> </v>
      </c>
    </row>
    <row r="2986" spans="1:5" ht="12.5">
      <c r="A2986" s="81" t="str">
        <f t="shared" si="0"/>
        <v xml:space="preserve"> </v>
      </c>
      <c r="B2986" s="81" t="str">
        <f t="shared" si="1"/>
        <v xml:space="preserve"> </v>
      </c>
      <c r="C2986" s="79" t="str">
        <f t="shared" si="7"/>
        <v xml:space="preserve"> </v>
      </c>
      <c r="D2986" s="79" t="str">
        <f t="shared" si="5"/>
        <v xml:space="preserve"> </v>
      </c>
      <c r="E2986" s="79" t="str">
        <f t="shared" si="6"/>
        <v xml:space="preserve"> </v>
      </c>
    </row>
    <row r="2987" spans="1:5" ht="12.5">
      <c r="A2987" s="81" t="str">
        <f t="shared" si="0"/>
        <v xml:space="preserve"> </v>
      </c>
      <c r="B2987" s="81" t="str">
        <f t="shared" si="1"/>
        <v xml:space="preserve"> </v>
      </c>
      <c r="C2987" s="79" t="str">
        <f t="shared" si="7"/>
        <v xml:space="preserve"> </v>
      </c>
      <c r="D2987" s="79" t="str">
        <f t="shared" si="5"/>
        <v xml:space="preserve"> </v>
      </c>
      <c r="E2987" s="79" t="str">
        <f t="shared" si="6"/>
        <v xml:space="preserve"> </v>
      </c>
    </row>
    <row r="2988" spans="1:5" ht="12.5">
      <c r="A2988" s="81" t="str">
        <f t="shared" si="0"/>
        <v xml:space="preserve"> </v>
      </c>
      <c r="B2988" s="81" t="str">
        <f t="shared" si="1"/>
        <v xml:space="preserve"> </v>
      </c>
      <c r="C2988" s="79" t="str">
        <f t="shared" si="7"/>
        <v xml:space="preserve"> </v>
      </c>
      <c r="D2988" s="79" t="str">
        <f t="shared" si="5"/>
        <v xml:space="preserve"> </v>
      </c>
      <c r="E2988" s="79" t="str">
        <f t="shared" si="6"/>
        <v xml:space="preserve"> </v>
      </c>
    </row>
    <row r="2989" spans="1:5" ht="12.5">
      <c r="A2989" s="81" t="str">
        <f t="shared" si="0"/>
        <v xml:space="preserve"> </v>
      </c>
      <c r="B2989" s="81" t="str">
        <f t="shared" si="1"/>
        <v xml:space="preserve"> </v>
      </c>
      <c r="C2989" s="79" t="str">
        <f t="shared" si="7"/>
        <v xml:space="preserve"> </v>
      </c>
      <c r="D2989" s="79" t="str">
        <f t="shared" si="5"/>
        <v xml:space="preserve"> </v>
      </c>
      <c r="E2989" s="79" t="str">
        <f t="shared" si="6"/>
        <v xml:space="preserve"> </v>
      </c>
    </row>
    <row r="2990" spans="1:5" ht="12.5">
      <c r="A2990" s="81" t="str">
        <f t="shared" si="0"/>
        <v xml:space="preserve"> </v>
      </c>
      <c r="B2990" s="81" t="str">
        <f t="shared" si="1"/>
        <v xml:space="preserve"> </v>
      </c>
      <c r="C2990" s="79" t="str">
        <f t="shared" si="7"/>
        <v xml:space="preserve"> </v>
      </c>
      <c r="D2990" s="79" t="str">
        <f t="shared" si="5"/>
        <v xml:space="preserve"> </v>
      </c>
      <c r="E2990" s="79" t="str">
        <f t="shared" si="6"/>
        <v xml:space="preserve"> </v>
      </c>
    </row>
    <row r="2991" spans="1:5" ht="12.5">
      <c r="A2991" s="81" t="str">
        <f t="shared" si="0"/>
        <v xml:space="preserve"> </v>
      </c>
      <c r="B2991" s="81" t="str">
        <f t="shared" si="1"/>
        <v xml:space="preserve"> </v>
      </c>
      <c r="C2991" s="79" t="str">
        <f t="shared" si="7"/>
        <v xml:space="preserve"> </v>
      </c>
      <c r="D2991" s="79" t="str">
        <f t="shared" si="5"/>
        <v xml:space="preserve"> </v>
      </c>
      <c r="E2991" s="79" t="str">
        <f t="shared" si="6"/>
        <v xml:space="preserve"> </v>
      </c>
    </row>
    <row r="2992" spans="1:5" ht="12.5">
      <c r="A2992" s="81" t="str">
        <f t="shared" si="0"/>
        <v xml:space="preserve"> </v>
      </c>
      <c r="B2992" s="81" t="str">
        <f t="shared" si="1"/>
        <v xml:space="preserve"> </v>
      </c>
      <c r="C2992" s="79" t="str">
        <f t="shared" si="7"/>
        <v xml:space="preserve"> </v>
      </c>
      <c r="D2992" s="79" t="str">
        <f t="shared" si="5"/>
        <v xml:space="preserve"> </v>
      </c>
      <c r="E2992" s="79" t="str">
        <f t="shared" si="6"/>
        <v xml:space="preserve"> </v>
      </c>
    </row>
    <row r="2993" spans="1:5" ht="12.5">
      <c r="A2993" s="81" t="str">
        <f t="shared" si="0"/>
        <v xml:space="preserve"> </v>
      </c>
      <c r="B2993" s="81" t="str">
        <f t="shared" si="1"/>
        <v xml:space="preserve"> </v>
      </c>
      <c r="C2993" s="79" t="str">
        <f t="shared" si="7"/>
        <v xml:space="preserve"> </v>
      </c>
      <c r="D2993" s="79" t="str">
        <f t="shared" si="5"/>
        <v xml:space="preserve"> </v>
      </c>
      <c r="E2993" s="79" t="str">
        <f t="shared" si="6"/>
        <v xml:space="preserve"> </v>
      </c>
    </row>
    <row r="2994" spans="1:5" ht="12.5">
      <c r="A2994" s="81" t="str">
        <f t="shared" si="0"/>
        <v xml:space="preserve"> </v>
      </c>
      <c r="B2994" s="81" t="str">
        <f t="shared" si="1"/>
        <v xml:space="preserve"> </v>
      </c>
      <c r="C2994" s="79" t="str">
        <f t="shared" si="7"/>
        <v xml:space="preserve"> </v>
      </c>
      <c r="D2994" s="79" t="str">
        <f t="shared" si="5"/>
        <v xml:space="preserve"> </v>
      </c>
      <c r="E2994" s="79" t="str">
        <f t="shared" si="6"/>
        <v xml:space="preserve"> </v>
      </c>
    </row>
    <row r="2995" spans="1:5" ht="12.5">
      <c r="A2995" s="81" t="str">
        <f t="shared" si="0"/>
        <v xml:space="preserve"> </v>
      </c>
      <c r="B2995" s="81" t="str">
        <f t="shared" si="1"/>
        <v xml:space="preserve"> </v>
      </c>
      <c r="C2995" s="79" t="str">
        <f t="shared" si="7"/>
        <v xml:space="preserve"> </v>
      </c>
      <c r="D2995" s="79" t="str">
        <f t="shared" si="5"/>
        <v xml:space="preserve"> </v>
      </c>
      <c r="E2995" s="79" t="str">
        <f t="shared" si="6"/>
        <v xml:space="preserve"> </v>
      </c>
    </row>
    <row r="2996" spans="1:5" ht="12.5">
      <c r="A2996" s="81" t="str">
        <f t="shared" si="0"/>
        <v xml:space="preserve"> </v>
      </c>
      <c r="B2996" s="81" t="str">
        <f t="shared" si="1"/>
        <v xml:space="preserve"> </v>
      </c>
      <c r="C2996" s="79" t="str">
        <f t="shared" si="7"/>
        <v xml:space="preserve"> </v>
      </c>
      <c r="D2996" s="79" t="str">
        <f t="shared" si="5"/>
        <v xml:space="preserve"> </v>
      </c>
      <c r="E2996" s="79" t="str">
        <f t="shared" si="6"/>
        <v xml:space="preserve"> </v>
      </c>
    </row>
    <row r="2997" spans="1:5" ht="12.5">
      <c r="A2997" s="81" t="str">
        <f t="shared" si="0"/>
        <v xml:space="preserve"> </v>
      </c>
      <c r="B2997" s="81" t="str">
        <f t="shared" si="1"/>
        <v xml:space="preserve"> </v>
      </c>
      <c r="C2997" s="79" t="str">
        <f t="shared" si="7"/>
        <v xml:space="preserve"> </v>
      </c>
      <c r="D2997" s="79" t="str">
        <f t="shared" si="5"/>
        <v xml:space="preserve"> </v>
      </c>
      <c r="E2997" s="79" t="str">
        <f t="shared" si="6"/>
        <v xml:space="preserve"> </v>
      </c>
    </row>
    <row r="2998" spans="1:5" ht="12.5">
      <c r="A2998" s="81" t="str">
        <f t="shared" si="0"/>
        <v xml:space="preserve"> </v>
      </c>
      <c r="B2998" s="81" t="str">
        <f t="shared" si="1"/>
        <v xml:space="preserve"> </v>
      </c>
      <c r="C2998" s="79" t="str">
        <f t="shared" si="7"/>
        <v xml:space="preserve"> </v>
      </c>
      <c r="D2998" s="79" t="str">
        <f t="shared" si="5"/>
        <v xml:space="preserve"> </v>
      </c>
      <c r="E2998" s="79" t="str">
        <f t="shared" si="6"/>
        <v xml:space="preserve"> </v>
      </c>
    </row>
    <row r="2999" spans="1:5" ht="12.5">
      <c r="A2999" s="81" t="str">
        <f t="shared" si="0"/>
        <v xml:space="preserve"> </v>
      </c>
      <c r="B2999" s="81" t="str">
        <f t="shared" si="1"/>
        <v xml:space="preserve"> </v>
      </c>
      <c r="C2999" s="79" t="str">
        <f t="shared" si="7"/>
        <v xml:space="preserve"> </v>
      </c>
      <c r="D2999" s="79" t="str">
        <f t="shared" si="5"/>
        <v xml:space="preserve"> </v>
      </c>
      <c r="E2999" s="79" t="str">
        <f t="shared" si="6"/>
        <v xml:space="preserve"> </v>
      </c>
    </row>
    <row r="3000" spans="1:5" ht="12.5">
      <c r="A3000" s="81" t="str">
        <f t="shared" si="0"/>
        <v xml:space="preserve"> </v>
      </c>
      <c r="B3000" s="81" t="str">
        <f t="shared" si="1"/>
        <v xml:space="preserve"> </v>
      </c>
      <c r="C3000" s="79" t="str">
        <f t="shared" si="7"/>
        <v xml:space="preserve"> </v>
      </c>
      <c r="D3000" s="79" t="str">
        <f t="shared" si="5"/>
        <v xml:space="preserve"> </v>
      </c>
      <c r="E3000" s="79" t="str">
        <f t="shared" si="6"/>
        <v xml:space="preserve"> </v>
      </c>
    </row>
    <row r="3001" spans="1:5" ht="12.5">
      <c r="A3001" s="81" t="str">
        <f t="shared" si="0"/>
        <v xml:space="preserve"> </v>
      </c>
      <c r="B3001" s="81" t="str">
        <f t="shared" si="1"/>
        <v xml:space="preserve"> </v>
      </c>
      <c r="C3001" s="79" t="str">
        <f t="shared" si="7"/>
        <v xml:space="preserve"> </v>
      </c>
      <c r="D3001" s="79" t="str">
        <f t="shared" si="5"/>
        <v xml:space="preserve"> </v>
      </c>
      <c r="E3001" s="79" t="str">
        <f t="shared" si="6"/>
        <v xml:space="preserve"> </v>
      </c>
    </row>
    <row r="3002" spans="1:5" ht="12.5">
      <c r="A3002" s="81" t="str">
        <f t="shared" si="0"/>
        <v xml:space="preserve"> </v>
      </c>
      <c r="B3002" s="81" t="str">
        <f t="shared" si="1"/>
        <v xml:space="preserve"> </v>
      </c>
      <c r="C3002" s="79" t="str">
        <f t="shared" si="7"/>
        <v xml:space="preserve"> </v>
      </c>
      <c r="D3002" s="79" t="str">
        <f t="shared" si="5"/>
        <v xml:space="preserve"> </v>
      </c>
      <c r="E3002" s="79" t="str">
        <f t="shared" si="6"/>
        <v xml:space="preserve"> </v>
      </c>
    </row>
    <row r="3003" spans="1:5" ht="12.5">
      <c r="A3003" s="81" t="str">
        <f t="shared" si="0"/>
        <v xml:space="preserve"> </v>
      </c>
      <c r="B3003" s="81" t="str">
        <f t="shared" si="1"/>
        <v xml:space="preserve"> </v>
      </c>
      <c r="C3003" s="79" t="str">
        <f t="shared" si="7"/>
        <v xml:space="preserve"> </v>
      </c>
      <c r="D3003" s="79" t="str">
        <f t="shared" si="5"/>
        <v xml:space="preserve"> </v>
      </c>
      <c r="E3003" s="79" t="str">
        <f t="shared" si="6"/>
        <v xml:space="preserve"> </v>
      </c>
    </row>
    <row r="3004" spans="1:5" ht="12.5">
      <c r="A3004" s="81" t="str">
        <f t="shared" si="0"/>
        <v xml:space="preserve"> </v>
      </c>
      <c r="B3004" s="81" t="str">
        <f t="shared" si="1"/>
        <v xml:space="preserve"> </v>
      </c>
      <c r="C3004" s="79" t="str">
        <f t="shared" si="7"/>
        <v xml:space="preserve"> </v>
      </c>
      <c r="D3004" s="79" t="str">
        <f t="shared" si="5"/>
        <v xml:space="preserve"> </v>
      </c>
      <c r="E3004" s="79" t="str">
        <f t="shared" si="6"/>
        <v xml:space="preserve"> </v>
      </c>
    </row>
    <row r="3005" spans="1:5" ht="12.5">
      <c r="A3005" s="81" t="str">
        <f t="shared" si="0"/>
        <v xml:space="preserve"> </v>
      </c>
      <c r="B3005" s="81" t="str">
        <f t="shared" si="1"/>
        <v xml:space="preserve"> </v>
      </c>
      <c r="C3005" s="79" t="str">
        <f t="shared" si="7"/>
        <v xml:space="preserve"> </v>
      </c>
      <c r="D3005" s="79" t="str">
        <f t="shared" si="5"/>
        <v xml:space="preserve"> </v>
      </c>
      <c r="E3005" s="79" t="str">
        <f t="shared" si="6"/>
        <v xml:space="preserve"> </v>
      </c>
    </row>
    <row r="3006" spans="1:5" ht="12.5">
      <c r="A3006" s="81" t="str">
        <f t="shared" si="0"/>
        <v xml:space="preserve"> </v>
      </c>
      <c r="B3006" s="81" t="str">
        <f t="shared" si="1"/>
        <v xml:space="preserve"> </v>
      </c>
      <c r="C3006" s="79" t="str">
        <f t="shared" si="7"/>
        <v xml:space="preserve"> </v>
      </c>
      <c r="D3006" s="79" t="str">
        <f t="shared" si="5"/>
        <v xml:space="preserve"> </v>
      </c>
      <c r="E3006" s="79" t="str">
        <f t="shared" si="6"/>
        <v xml:space="preserve"> </v>
      </c>
    </row>
    <row r="3007" spans="1:5" ht="12.5">
      <c r="A3007" s="81" t="str">
        <f t="shared" si="0"/>
        <v xml:space="preserve"> </v>
      </c>
      <c r="B3007" s="81" t="str">
        <f t="shared" si="1"/>
        <v xml:space="preserve"> </v>
      </c>
      <c r="C3007" s="79" t="str">
        <f t="shared" si="7"/>
        <v xml:space="preserve"> </v>
      </c>
      <c r="D3007" s="79" t="str">
        <f t="shared" si="5"/>
        <v xml:space="preserve"> </v>
      </c>
      <c r="E3007" s="79" t="str">
        <f t="shared" si="6"/>
        <v xml:space="preserve"> </v>
      </c>
    </row>
    <row r="3008" spans="1:5" ht="12.5">
      <c r="A3008" s="81" t="str">
        <f t="shared" si="0"/>
        <v xml:space="preserve"> </v>
      </c>
      <c r="B3008" s="81" t="str">
        <f t="shared" si="1"/>
        <v xml:space="preserve"> </v>
      </c>
      <c r="C3008" s="79" t="str">
        <f t="shared" si="7"/>
        <v xml:space="preserve"> </v>
      </c>
      <c r="D3008" s="79" t="str">
        <f t="shared" si="5"/>
        <v xml:space="preserve"> </v>
      </c>
      <c r="E3008" s="79" t="str">
        <f t="shared" si="6"/>
        <v xml:space="preserve"> </v>
      </c>
    </row>
    <row r="3009" spans="1:5" ht="12.5">
      <c r="A3009" s="81" t="str">
        <f t="shared" si="0"/>
        <v xml:space="preserve"> </v>
      </c>
      <c r="B3009" s="81" t="str">
        <f t="shared" si="1"/>
        <v xml:space="preserve"> </v>
      </c>
      <c r="C3009" s="79" t="str">
        <f t="shared" si="7"/>
        <v xml:space="preserve"> </v>
      </c>
      <c r="D3009" s="79" t="str">
        <f t="shared" si="5"/>
        <v xml:space="preserve"> </v>
      </c>
      <c r="E3009" s="79" t="str">
        <f t="shared" si="6"/>
        <v xml:space="preserve"> </v>
      </c>
    </row>
    <row r="3010" spans="1:5" ht="12.5">
      <c r="A3010" s="81" t="str">
        <f t="shared" si="0"/>
        <v xml:space="preserve"> </v>
      </c>
      <c r="B3010" s="81" t="str">
        <f t="shared" si="1"/>
        <v xml:space="preserve"> </v>
      </c>
      <c r="C3010" s="79" t="str">
        <f t="shared" si="7"/>
        <v xml:space="preserve"> </v>
      </c>
      <c r="D3010" s="79" t="str">
        <f t="shared" si="5"/>
        <v xml:space="preserve"> </v>
      </c>
      <c r="E3010" s="79" t="str">
        <f t="shared" si="6"/>
        <v xml:space="preserve"> </v>
      </c>
    </row>
    <row r="3011" spans="1:5" ht="12.5">
      <c r="A3011" s="81" t="str">
        <f t="shared" si="0"/>
        <v xml:space="preserve"> </v>
      </c>
      <c r="B3011" s="81" t="str">
        <f t="shared" si="1"/>
        <v xml:space="preserve"> </v>
      </c>
      <c r="C3011" s="79" t="str">
        <f t="shared" si="7"/>
        <v xml:space="preserve"> </v>
      </c>
      <c r="D3011" s="79" t="str">
        <f t="shared" si="5"/>
        <v xml:space="preserve"> </v>
      </c>
      <c r="E3011" s="79" t="str">
        <f t="shared" si="6"/>
        <v xml:space="preserve"> </v>
      </c>
    </row>
    <row r="3012" spans="1:5" ht="12.5">
      <c r="A3012" s="81" t="str">
        <f t="shared" si="0"/>
        <v xml:space="preserve"> </v>
      </c>
      <c r="B3012" s="81" t="str">
        <f t="shared" si="1"/>
        <v xml:space="preserve"> </v>
      </c>
      <c r="C3012" s="79" t="str">
        <f t="shared" si="7"/>
        <v xml:space="preserve"> </v>
      </c>
      <c r="D3012" s="79" t="str">
        <f t="shared" si="5"/>
        <v xml:space="preserve"> </v>
      </c>
      <c r="E3012" s="79" t="str">
        <f t="shared" si="6"/>
        <v xml:space="preserve"> </v>
      </c>
    </row>
    <row r="3013" spans="1:5" ht="12.5">
      <c r="A3013" s="81" t="str">
        <f t="shared" si="0"/>
        <v xml:space="preserve"> </v>
      </c>
      <c r="B3013" s="81" t="str">
        <f t="shared" si="1"/>
        <v xml:space="preserve"> </v>
      </c>
      <c r="C3013" s="79" t="str">
        <f t="shared" si="7"/>
        <v xml:space="preserve"> </v>
      </c>
      <c r="D3013" s="79" t="str">
        <f t="shared" si="5"/>
        <v xml:space="preserve"> </v>
      </c>
      <c r="E3013" s="79" t="str">
        <f t="shared" si="6"/>
        <v xml:space="preserve"> </v>
      </c>
    </row>
    <row r="3014" spans="1:5" ht="12.5">
      <c r="A3014" s="81" t="str">
        <f t="shared" si="0"/>
        <v xml:space="preserve"> </v>
      </c>
      <c r="B3014" s="81" t="str">
        <f t="shared" si="1"/>
        <v xml:space="preserve"> </v>
      </c>
      <c r="C3014" s="79" t="str">
        <f t="shared" si="7"/>
        <v xml:space="preserve"> </v>
      </c>
      <c r="D3014" s="79" t="str">
        <f t="shared" si="5"/>
        <v xml:space="preserve"> </v>
      </c>
      <c r="E3014" s="79" t="str">
        <f t="shared" si="6"/>
        <v xml:space="preserve"> </v>
      </c>
    </row>
    <row r="3015" spans="1:5" ht="12.5">
      <c r="A3015" s="81" t="str">
        <f t="shared" si="0"/>
        <v xml:space="preserve"> </v>
      </c>
      <c r="B3015" s="81" t="str">
        <f t="shared" si="1"/>
        <v xml:space="preserve"> </v>
      </c>
      <c r="C3015" s="79" t="str">
        <f t="shared" si="7"/>
        <v xml:space="preserve"> </v>
      </c>
      <c r="D3015" s="79" t="str">
        <f t="shared" si="5"/>
        <v xml:space="preserve"> </v>
      </c>
      <c r="E3015" s="79" t="str">
        <f t="shared" si="6"/>
        <v xml:space="preserve"> </v>
      </c>
    </row>
    <row r="3016" spans="1:5" ht="12.5">
      <c r="A3016" s="81" t="str">
        <f t="shared" si="0"/>
        <v xml:space="preserve"> </v>
      </c>
      <c r="B3016" s="81" t="str">
        <f t="shared" si="1"/>
        <v xml:space="preserve"> </v>
      </c>
      <c r="C3016" s="79" t="str">
        <f t="shared" si="7"/>
        <v xml:space="preserve"> </v>
      </c>
      <c r="D3016" s="79" t="str">
        <f t="shared" si="5"/>
        <v xml:space="preserve"> </v>
      </c>
      <c r="E3016" s="79" t="str">
        <f t="shared" si="6"/>
        <v xml:space="preserve"> </v>
      </c>
    </row>
    <row r="3017" spans="1:5" ht="12.5">
      <c r="A3017" s="81" t="str">
        <f t="shared" si="0"/>
        <v xml:space="preserve"> </v>
      </c>
      <c r="B3017" s="81" t="str">
        <f t="shared" si="1"/>
        <v xml:space="preserve"> </v>
      </c>
      <c r="C3017" s="79" t="str">
        <f t="shared" si="7"/>
        <v xml:space="preserve"> </v>
      </c>
      <c r="D3017" s="79" t="str">
        <f t="shared" si="5"/>
        <v xml:space="preserve"> </v>
      </c>
      <c r="E3017" s="79" t="str">
        <f t="shared" si="6"/>
        <v xml:space="preserve"> </v>
      </c>
    </row>
    <row r="3018" spans="1:5" ht="12.5">
      <c r="A3018" s="81" t="str">
        <f t="shared" si="0"/>
        <v xml:space="preserve"> </v>
      </c>
      <c r="B3018" s="81" t="str">
        <f t="shared" si="1"/>
        <v xml:space="preserve"> </v>
      </c>
      <c r="C3018" s="79" t="str">
        <f t="shared" si="7"/>
        <v xml:space="preserve"> </v>
      </c>
      <c r="D3018" s="79" t="str">
        <f t="shared" si="5"/>
        <v xml:space="preserve"> </v>
      </c>
      <c r="E3018" s="79" t="str">
        <f t="shared" si="6"/>
        <v xml:space="preserve"> </v>
      </c>
    </row>
    <row r="3019" spans="1:5" ht="12.5">
      <c r="A3019" s="81" t="str">
        <f t="shared" si="0"/>
        <v xml:space="preserve"> </v>
      </c>
      <c r="B3019" s="81" t="str">
        <f t="shared" si="1"/>
        <v xml:space="preserve"> </v>
      </c>
      <c r="C3019" s="79" t="str">
        <f t="shared" si="7"/>
        <v xml:space="preserve"> </v>
      </c>
      <c r="D3019" s="79" t="str">
        <f t="shared" si="5"/>
        <v xml:space="preserve"> </v>
      </c>
      <c r="E3019" s="79" t="str">
        <f t="shared" si="6"/>
        <v xml:space="preserve"> </v>
      </c>
    </row>
    <row r="3020" spans="1:5" ht="12.5">
      <c r="A3020" s="81" t="str">
        <f t="shared" si="0"/>
        <v xml:space="preserve"> </v>
      </c>
      <c r="B3020" s="81" t="str">
        <f t="shared" si="1"/>
        <v xml:space="preserve"> </v>
      </c>
      <c r="C3020" s="79" t="str">
        <f t="shared" si="7"/>
        <v xml:space="preserve"> </v>
      </c>
      <c r="D3020" s="79" t="str">
        <f t="shared" si="5"/>
        <v xml:space="preserve"> </v>
      </c>
      <c r="E3020" s="79" t="str">
        <f t="shared" si="6"/>
        <v xml:space="preserve"> </v>
      </c>
    </row>
    <row r="3021" spans="1:5" ht="12.5">
      <c r="A3021" s="81" t="str">
        <f t="shared" si="0"/>
        <v xml:space="preserve"> </v>
      </c>
      <c r="B3021" s="81" t="str">
        <f t="shared" si="1"/>
        <v xml:space="preserve"> </v>
      </c>
      <c r="C3021" s="79" t="str">
        <f t="shared" si="7"/>
        <v xml:space="preserve"> </v>
      </c>
      <c r="D3021" s="79" t="str">
        <f t="shared" si="5"/>
        <v xml:space="preserve"> </v>
      </c>
      <c r="E3021" s="79" t="str">
        <f t="shared" si="6"/>
        <v xml:space="preserve"> </v>
      </c>
    </row>
    <row r="3022" spans="1:5" ht="12.5">
      <c r="A3022" s="81" t="str">
        <f t="shared" si="0"/>
        <v xml:space="preserve"> </v>
      </c>
      <c r="B3022" s="81" t="str">
        <f t="shared" si="1"/>
        <v xml:space="preserve"> </v>
      </c>
      <c r="C3022" s="79" t="str">
        <f t="shared" si="7"/>
        <v xml:space="preserve"> </v>
      </c>
      <c r="D3022" s="79" t="str">
        <f t="shared" si="5"/>
        <v xml:space="preserve"> </v>
      </c>
      <c r="E3022" s="79" t="str">
        <f t="shared" si="6"/>
        <v xml:space="preserve"> </v>
      </c>
    </row>
    <row r="3023" spans="1:5" ht="12.5">
      <c r="A3023" s="81" t="str">
        <f t="shared" si="0"/>
        <v xml:space="preserve"> </v>
      </c>
      <c r="B3023" s="81" t="str">
        <f t="shared" si="1"/>
        <v xml:space="preserve"> </v>
      </c>
      <c r="C3023" s="79" t="str">
        <f t="shared" si="7"/>
        <v xml:space="preserve"> </v>
      </c>
      <c r="D3023" s="79" t="str">
        <f t="shared" si="5"/>
        <v xml:space="preserve"> </v>
      </c>
      <c r="E3023" s="79" t="str">
        <f t="shared" si="6"/>
        <v xml:space="preserve"> </v>
      </c>
    </row>
    <row r="3024" spans="1:5" ht="12.5">
      <c r="A3024" s="81" t="str">
        <f t="shared" si="0"/>
        <v xml:space="preserve"> </v>
      </c>
      <c r="B3024" s="81" t="str">
        <f t="shared" si="1"/>
        <v xml:space="preserve"> </v>
      </c>
      <c r="C3024" s="79" t="str">
        <f t="shared" si="7"/>
        <v xml:space="preserve"> </v>
      </c>
      <c r="D3024" s="79" t="str">
        <f t="shared" si="5"/>
        <v xml:space="preserve"> </v>
      </c>
      <c r="E3024" s="79" t="str">
        <f t="shared" si="6"/>
        <v xml:space="preserve"> </v>
      </c>
    </row>
    <row r="3025" spans="1:5" ht="12.5">
      <c r="A3025" s="81" t="str">
        <f t="shared" si="0"/>
        <v xml:space="preserve"> </v>
      </c>
      <c r="B3025" s="81" t="str">
        <f t="shared" si="1"/>
        <v xml:space="preserve"> </v>
      </c>
      <c r="C3025" s="79" t="str">
        <f t="shared" si="7"/>
        <v xml:space="preserve"> </v>
      </c>
      <c r="D3025" s="79" t="str">
        <f t="shared" si="5"/>
        <v xml:space="preserve"> </v>
      </c>
      <c r="E3025" s="79" t="str">
        <f t="shared" si="6"/>
        <v xml:space="preserve"> </v>
      </c>
    </row>
    <row r="3026" spans="1:5" ht="12.5">
      <c r="A3026" s="81" t="str">
        <f t="shared" si="0"/>
        <v xml:space="preserve"> </v>
      </c>
      <c r="B3026" s="81" t="str">
        <f t="shared" si="1"/>
        <v xml:space="preserve"> </v>
      </c>
      <c r="C3026" s="79" t="str">
        <f t="shared" si="7"/>
        <v xml:space="preserve"> </v>
      </c>
      <c r="D3026" s="79" t="str">
        <f t="shared" si="5"/>
        <v xml:space="preserve"> </v>
      </c>
      <c r="E3026" s="79" t="str">
        <f t="shared" si="6"/>
        <v xml:space="preserve"> </v>
      </c>
    </row>
    <row r="3027" spans="1:5" ht="12.5">
      <c r="A3027" s="81" t="str">
        <f t="shared" si="0"/>
        <v xml:space="preserve"> </v>
      </c>
      <c r="B3027" s="81" t="str">
        <f t="shared" si="1"/>
        <v xml:space="preserve"> </v>
      </c>
      <c r="C3027" s="79" t="str">
        <f t="shared" si="7"/>
        <v xml:space="preserve"> </v>
      </c>
      <c r="D3027" s="79" t="str">
        <f t="shared" si="5"/>
        <v xml:space="preserve"> </v>
      </c>
      <c r="E3027" s="79" t="str">
        <f t="shared" si="6"/>
        <v xml:space="preserve"> </v>
      </c>
    </row>
    <row r="3028" spans="1:5" ht="12.5">
      <c r="A3028" s="81" t="str">
        <f t="shared" si="0"/>
        <v xml:space="preserve"> </v>
      </c>
      <c r="B3028" s="81" t="str">
        <f t="shared" si="1"/>
        <v xml:space="preserve"> </v>
      </c>
      <c r="C3028" s="79" t="str">
        <f t="shared" si="7"/>
        <v xml:space="preserve"> </v>
      </c>
      <c r="D3028" s="79" t="str">
        <f t="shared" si="5"/>
        <v xml:space="preserve"> </v>
      </c>
      <c r="E3028" s="79" t="str">
        <f t="shared" si="6"/>
        <v xml:space="preserve"> </v>
      </c>
    </row>
    <row r="3029" spans="1:5" ht="12.5">
      <c r="A3029" s="81" t="str">
        <f t="shared" si="0"/>
        <v xml:space="preserve"> </v>
      </c>
      <c r="B3029" s="81" t="str">
        <f t="shared" si="1"/>
        <v xml:space="preserve"> </v>
      </c>
      <c r="C3029" s="79" t="str">
        <f t="shared" si="7"/>
        <v xml:space="preserve"> </v>
      </c>
      <c r="D3029" s="79" t="str">
        <f t="shared" si="5"/>
        <v xml:space="preserve"> </v>
      </c>
      <c r="E3029" s="79" t="str">
        <f t="shared" si="6"/>
        <v xml:space="preserve"> </v>
      </c>
    </row>
    <row r="3030" spans="1:5" ht="12.5">
      <c r="A3030" s="81" t="str">
        <f t="shared" si="0"/>
        <v xml:space="preserve"> </v>
      </c>
      <c r="B3030" s="81" t="str">
        <f t="shared" si="1"/>
        <v xml:space="preserve"> </v>
      </c>
      <c r="C3030" s="79" t="str">
        <f t="shared" si="7"/>
        <v xml:space="preserve"> </v>
      </c>
      <c r="D3030" s="79" t="str">
        <f t="shared" si="5"/>
        <v xml:space="preserve"> </v>
      </c>
      <c r="E3030" s="79" t="str">
        <f t="shared" si="6"/>
        <v xml:space="preserve"> </v>
      </c>
    </row>
    <row r="3031" spans="1:5" ht="12.5">
      <c r="A3031" s="81" t="str">
        <f t="shared" si="0"/>
        <v xml:space="preserve"> </v>
      </c>
      <c r="B3031" s="81" t="str">
        <f t="shared" si="1"/>
        <v xml:space="preserve"> </v>
      </c>
      <c r="C3031" s="79" t="str">
        <f t="shared" si="7"/>
        <v xml:space="preserve"> </v>
      </c>
      <c r="D3031" s="79" t="str">
        <f t="shared" si="5"/>
        <v xml:space="preserve"> </v>
      </c>
      <c r="E3031" s="79" t="str">
        <f t="shared" si="6"/>
        <v xml:space="preserve"> </v>
      </c>
    </row>
    <row r="3032" spans="1:5" ht="12.5">
      <c r="A3032" s="81" t="str">
        <f t="shared" si="0"/>
        <v xml:space="preserve"> </v>
      </c>
      <c r="B3032" s="81" t="str">
        <f t="shared" si="1"/>
        <v xml:space="preserve"> </v>
      </c>
      <c r="C3032" s="79" t="str">
        <f t="shared" si="7"/>
        <v xml:space="preserve"> </v>
      </c>
      <c r="D3032" s="79" t="str">
        <f t="shared" si="5"/>
        <v xml:space="preserve"> </v>
      </c>
      <c r="E3032" s="79" t="str">
        <f t="shared" si="6"/>
        <v xml:space="preserve"> </v>
      </c>
    </row>
    <row r="3033" spans="1:5" ht="12.5">
      <c r="A3033" s="81" t="str">
        <f t="shared" si="0"/>
        <v xml:space="preserve"> </v>
      </c>
      <c r="B3033" s="81" t="str">
        <f t="shared" si="1"/>
        <v xml:space="preserve"> </v>
      </c>
      <c r="C3033" s="79" t="str">
        <f t="shared" si="7"/>
        <v xml:space="preserve"> </v>
      </c>
      <c r="D3033" s="79" t="str">
        <f t="shared" si="5"/>
        <v xml:space="preserve"> </v>
      </c>
      <c r="E3033" s="79" t="str">
        <f t="shared" si="6"/>
        <v xml:space="preserve"> </v>
      </c>
    </row>
    <row r="3034" spans="1:5" ht="12.5">
      <c r="A3034" s="81" t="str">
        <f t="shared" si="0"/>
        <v xml:space="preserve"> </v>
      </c>
      <c r="B3034" s="81" t="str">
        <f t="shared" si="1"/>
        <v xml:space="preserve"> </v>
      </c>
      <c r="C3034" s="79" t="str">
        <f t="shared" si="7"/>
        <v xml:space="preserve"> </v>
      </c>
      <c r="D3034" s="79" t="str">
        <f t="shared" si="5"/>
        <v xml:space="preserve"> </v>
      </c>
      <c r="E3034" s="79" t="str">
        <f t="shared" si="6"/>
        <v xml:space="preserve"> </v>
      </c>
    </row>
    <row r="3035" spans="1:5" ht="12.5">
      <c r="A3035" s="81" t="str">
        <f t="shared" si="0"/>
        <v xml:space="preserve"> </v>
      </c>
      <c r="B3035" s="81" t="str">
        <f t="shared" si="1"/>
        <v xml:space="preserve"> </v>
      </c>
      <c r="C3035" s="79" t="str">
        <f t="shared" si="7"/>
        <v xml:space="preserve"> </v>
      </c>
      <c r="D3035" s="79" t="str">
        <f t="shared" si="5"/>
        <v xml:space="preserve"> </v>
      </c>
      <c r="E3035" s="79" t="str">
        <f t="shared" si="6"/>
        <v xml:space="preserve"> </v>
      </c>
    </row>
    <row r="3036" spans="1:5" ht="12.5">
      <c r="A3036" s="81" t="str">
        <f t="shared" si="0"/>
        <v xml:space="preserve"> </v>
      </c>
      <c r="B3036" s="81" t="str">
        <f t="shared" si="1"/>
        <v xml:space="preserve"> </v>
      </c>
      <c r="C3036" s="79" t="str">
        <f t="shared" si="7"/>
        <v xml:space="preserve"> </v>
      </c>
      <c r="D3036" s="79" t="str">
        <f t="shared" si="5"/>
        <v xml:space="preserve"> </v>
      </c>
      <c r="E3036" s="79" t="str">
        <f t="shared" si="6"/>
        <v xml:space="preserve"> </v>
      </c>
    </row>
    <row r="3037" spans="1:5" ht="12.5">
      <c r="A3037" s="81" t="str">
        <f t="shared" si="0"/>
        <v xml:space="preserve"> </v>
      </c>
      <c r="B3037" s="81" t="str">
        <f t="shared" si="1"/>
        <v xml:space="preserve"> </v>
      </c>
      <c r="C3037" s="79" t="str">
        <f t="shared" si="7"/>
        <v xml:space="preserve"> </v>
      </c>
      <c r="D3037" s="79" t="str">
        <f t="shared" si="5"/>
        <v xml:space="preserve"> </v>
      </c>
      <c r="E3037" s="79" t="str">
        <f t="shared" si="6"/>
        <v xml:space="preserve"> </v>
      </c>
    </row>
    <row r="3038" spans="1:5" ht="12.5">
      <c r="A3038" s="81" t="str">
        <f t="shared" si="0"/>
        <v xml:space="preserve"> </v>
      </c>
      <c r="B3038" s="81" t="str">
        <f t="shared" si="1"/>
        <v xml:space="preserve"> </v>
      </c>
      <c r="C3038" s="79" t="str">
        <f t="shared" si="7"/>
        <v xml:space="preserve"> </v>
      </c>
      <c r="D3038" s="79" t="str">
        <f t="shared" si="5"/>
        <v xml:space="preserve"> </v>
      </c>
      <c r="E3038" s="79" t="str">
        <f t="shared" si="6"/>
        <v xml:space="preserve"> </v>
      </c>
    </row>
    <row r="3039" spans="1:5" ht="12.5">
      <c r="A3039" s="81" t="str">
        <f t="shared" si="0"/>
        <v xml:space="preserve"> </v>
      </c>
      <c r="B3039" s="81" t="str">
        <f t="shared" si="1"/>
        <v xml:space="preserve"> </v>
      </c>
      <c r="C3039" s="79" t="str">
        <f t="shared" si="7"/>
        <v xml:space="preserve"> </v>
      </c>
      <c r="D3039" s="79" t="str">
        <f t="shared" si="5"/>
        <v xml:space="preserve"> </v>
      </c>
      <c r="E3039" s="79" t="str">
        <f t="shared" si="6"/>
        <v xml:space="preserve"> </v>
      </c>
    </row>
    <row r="3040" spans="1:5" ht="12.5">
      <c r="A3040" s="81" t="str">
        <f t="shared" si="0"/>
        <v xml:space="preserve"> </v>
      </c>
      <c r="B3040" s="81" t="str">
        <f t="shared" si="1"/>
        <v xml:space="preserve"> </v>
      </c>
      <c r="C3040" s="79" t="str">
        <f t="shared" si="7"/>
        <v xml:space="preserve"> </v>
      </c>
      <c r="D3040" s="79" t="str">
        <f t="shared" si="5"/>
        <v xml:space="preserve"> </v>
      </c>
      <c r="E3040" s="79" t="str">
        <f t="shared" si="6"/>
        <v xml:space="preserve"> </v>
      </c>
    </row>
    <row r="3041" spans="1:5" ht="12.5">
      <c r="A3041" s="81" t="str">
        <f t="shared" si="0"/>
        <v xml:space="preserve"> </v>
      </c>
      <c r="B3041" s="81" t="str">
        <f t="shared" si="1"/>
        <v xml:space="preserve"> </v>
      </c>
      <c r="C3041" s="79" t="str">
        <f t="shared" si="7"/>
        <v xml:space="preserve"> </v>
      </c>
      <c r="D3041" s="79" t="str">
        <f t="shared" si="5"/>
        <v xml:space="preserve"> </v>
      </c>
      <c r="E3041" s="79" t="str">
        <f t="shared" si="6"/>
        <v xml:space="preserve"> </v>
      </c>
    </row>
    <row r="3042" spans="1:5" ht="12.5">
      <c r="A3042" s="81" t="str">
        <f t="shared" si="0"/>
        <v xml:space="preserve"> </v>
      </c>
      <c r="B3042" s="81" t="str">
        <f t="shared" si="1"/>
        <v xml:space="preserve"> </v>
      </c>
      <c r="C3042" s="79" t="str">
        <f t="shared" si="7"/>
        <v xml:space="preserve"> </v>
      </c>
      <c r="D3042" s="79" t="str">
        <f t="shared" si="5"/>
        <v xml:space="preserve"> </v>
      </c>
      <c r="E3042" s="79" t="str">
        <f t="shared" si="6"/>
        <v xml:space="preserve"> </v>
      </c>
    </row>
    <row r="3043" spans="1:5" ht="12.5">
      <c r="A3043" s="81" t="str">
        <f t="shared" si="0"/>
        <v xml:space="preserve"> </v>
      </c>
      <c r="B3043" s="81" t="str">
        <f t="shared" si="1"/>
        <v xml:space="preserve"> </v>
      </c>
      <c r="C3043" s="79" t="str">
        <f t="shared" si="7"/>
        <v xml:space="preserve"> </v>
      </c>
      <c r="D3043" s="79" t="str">
        <f t="shared" si="5"/>
        <v xml:space="preserve"> </v>
      </c>
      <c r="E3043" s="79" t="str">
        <f t="shared" si="6"/>
        <v xml:space="preserve"> </v>
      </c>
    </row>
    <row r="3044" spans="1:5" ht="12.5">
      <c r="A3044" s="81" t="str">
        <f t="shared" si="0"/>
        <v xml:space="preserve"> </v>
      </c>
      <c r="B3044" s="81" t="str">
        <f t="shared" si="1"/>
        <v xml:space="preserve"> </v>
      </c>
      <c r="C3044" s="79" t="str">
        <f t="shared" si="7"/>
        <v xml:space="preserve"> </v>
      </c>
      <c r="D3044" s="79" t="str">
        <f t="shared" si="5"/>
        <v xml:space="preserve"> </v>
      </c>
      <c r="E3044" s="79" t="str">
        <f t="shared" si="6"/>
        <v xml:space="preserve"> </v>
      </c>
    </row>
    <row r="3045" spans="1:5" ht="12.5">
      <c r="A3045" s="81" t="str">
        <f t="shared" si="0"/>
        <v xml:space="preserve"> </v>
      </c>
      <c r="B3045" s="81" t="str">
        <f t="shared" si="1"/>
        <v xml:space="preserve"> </v>
      </c>
      <c r="C3045" s="79" t="str">
        <f t="shared" si="7"/>
        <v xml:space="preserve"> </v>
      </c>
      <c r="D3045" s="79" t="str">
        <f t="shared" si="5"/>
        <v xml:space="preserve"> </v>
      </c>
      <c r="E3045" s="79" t="str">
        <f t="shared" si="6"/>
        <v xml:space="preserve"> </v>
      </c>
    </row>
    <row r="3046" spans="1:5" ht="12.5">
      <c r="A3046" s="81" t="str">
        <f t="shared" si="0"/>
        <v xml:space="preserve"> </v>
      </c>
      <c r="B3046" s="81" t="str">
        <f t="shared" si="1"/>
        <v xml:space="preserve"> </v>
      </c>
      <c r="C3046" s="79" t="str">
        <f t="shared" si="7"/>
        <v xml:space="preserve"> </v>
      </c>
      <c r="D3046" s="79" t="str">
        <f t="shared" si="5"/>
        <v xml:space="preserve"> </v>
      </c>
      <c r="E3046" s="79" t="str">
        <f t="shared" si="6"/>
        <v xml:space="preserve"> </v>
      </c>
    </row>
    <row r="3047" spans="1:5" ht="12.5">
      <c r="A3047" s="81" t="str">
        <f t="shared" si="0"/>
        <v xml:space="preserve"> </v>
      </c>
      <c r="B3047" s="81" t="str">
        <f t="shared" si="1"/>
        <v xml:space="preserve"> </v>
      </c>
      <c r="C3047" s="79" t="str">
        <f t="shared" si="7"/>
        <v xml:space="preserve"> </v>
      </c>
      <c r="D3047" s="79" t="str">
        <f t="shared" si="5"/>
        <v xml:space="preserve"> </v>
      </c>
      <c r="E3047" s="79" t="str">
        <f t="shared" si="6"/>
        <v xml:space="preserve"> </v>
      </c>
    </row>
    <row r="3048" spans="1:5" ht="12.5">
      <c r="A3048" s="81" t="str">
        <f t="shared" si="0"/>
        <v xml:space="preserve"> </v>
      </c>
      <c r="B3048" s="81" t="str">
        <f t="shared" si="1"/>
        <v xml:space="preserve"> </v>
      </c>
      <c r="C3048" s="79" t="str">
        <f t="shared" si="7"/>
        <v xml:space="preserve"> </v>
      </c>
      <c r="D3048" s="79" t="str">
        <f t="shared" si="5"/>
        <v xml:space="preserve"> </v>
      </c>
      <c r="E3048" s="79" t="str">
        <f t="shared" si="6"/>
        <v xml:space="preserve"> </v>
      </c>
    </row>
    <row r="3049" spans="1:5" ht="12.5">
      <c r="A3049" s="81" t="str">
        <f t="shared" si="0"/>
        <v xml:space="preserve"> </v>
      </c>
      <c r="B3049" s="81" t="str">
        <f t="shared" si="1"/>
        <v xml:space="preserve"> </v>
      </c>
      <c r="C3049" s="79" t="str">
        <f t="shared" si="7"/>
        <v xml:space="preserve"> </v>
      </c>
      <c r="D3049" s="79" t="str">
        <f t="shared" si="5"/>
        <v xml:space="preserve"> </v>
      </c>
      <c r="E3049" s="79" t="str">
        <f t="shared" si="6"/>
        <v xml:space="preserve"> </v>
      </c>
    </row>
    <row r="3050" spans="1:5" ht="12.5">
      <c r="A3050" s="81" t="str">
        <f t="shared" si="0"/>
        <v xml:space="preserve"> </v>
      </c>
      <c r="B3050" s="81" t="str">
        <f t="shared" si="1"/>
        <v xml:space="preserve"> </v>
      </c>
      <c r="C3050" s="79" t="str">
        <f t="shared" si="7"/>
        <v xml:space="preserve"> </v>
      </c>
      <c r="D3050" s="79" t="str">
        <f t="shared" si="5"/>
        <v xml:space="preserve"> </v>
      </c>
      <c r="E3050" s="79" t="str">
        <f t="shared" si="6"/>
        <v xml:space="preserve"> </v>
      </c>
    </row>
    <row r="3051" spans="1:5" ht="12.5">
      <c r="A3051" s="81" t="str">
        <f t="shared" si="0"/>
        <v xml:space="preserve"> </v>
      </c>
      <c r="B3051" s="81" t="str">
        <f t="shared" si="1"/>
        <v xml:space="preserve"> </v>
      </c>
      <c r="C3051" s="79" t="str">
        <f t="shared" si="7"/>
        <v xml:space="preserve"> </v>
      </c>
      <c r="D3051" s="79" t="str">
        <f t="shared" si="5"/>
        <v xml:space="preserve"> </v>
      </c>
      <c r="E3051" s="79" t="str">
        <f t="shared" si="6"/>
        <v xml:space="preserve"> </v>
      </c>
    </row>
    <row r="3052" spans="1:5" ht="12.5">
      <c r="A3052" s="81" t="str">
        <f t="shared" si="0"/>
        <v xml:space="preserve"> </v>
      </c>
      <c r="B3052" s="81" t="str">
        <f t="shared" si="1"/>
        <v xml:space="preserve"> </v>
      </c>
      <c r="C3052" s="79" t="str">
        <f t="shared" si="7"/>
        <v xml:space="preserve"> </v>
      </c>
      <c r="D3052" s="79" t="str">
        <f t="shared" si="5"/>
        <v xml:space="preserve"> </v>
      </c>
      <c r="E3052" s="79" t="str">
        <f t="shared" si="6"/>
        <v xml:space="preserve"> </v>
      </c>
    </row>
    <row r="3053" spans="1:5" ht="12.5">
      <c r="A3053" s="81" t="str">
        <f t="shared" si="0"/>
        <v xml:space="preserve"> </v>
      </c>
      <c r="B3053" s="81" t="str">
        <f t="shared" si="1"/>
        <v xml:space="preserve"> </v>
      </c>
      <c r="C3053" s="79" t="str">
        <f t="shared" si="7"/>
        <v xml:space="preserve"> </v>
      </c>
      <c r="D3053" s="79" t="str">
        <f t="shared" si="5"/>
        <v xml:space="preserve"> </v>
      </c>
      <c r="E3053" s="79" t="str">
        <f t="shared" si="6"/>
        <v xml:space="preserve"> </v>
      </c>
    </row>
    <row r="3054" spans="1:5" ht="12.5">
      <c r="A3054" s="81" t="str">
        <f t="shared" si="0"/>
        <v xml:space="preserve"> </v>
      </c>
      <c r="B3054" s="81" t="str">
        <f t="shared" si="1"/>
        <v xml:space="preserve"> </v>
      </c>
      <c r="C3054" s="79" t="str">
        <f t="shared" si="7"/>
        <v xml:space="preserve"> </v>
      </c>
      <c r="D3054" s="79" t="str">
        <f t="shared" si="5"/>
        <v xml:space="preserve"> </v>
      </c>
      <c r="E3054" s="79" t="str">
        <f t="shared" si="6"/>
        <v xml:space="preserve"> </v>
      </c>
    </row>
    <row r="3055" spans="1:5" ht="12.5">
      <c r="A3055" s="81" t="str">
        <f t="shared" si="0"/>
        <v xml:space="preserve"> </v>
      </c>
      <c r="B3055" s="81" t="str">
        <f t="shared" si="1"/>
        <v xml:space="preserve"> </v>
      </c>
      <c r="C3055" s="79" t="str">
        <f t="shared" si="7"/>
        <v xml:space="preserve"> </v>
      </c>
      <c r="D3055" s="79" t="str">
        <f t="shared" si="5"/>
        <v xml:space="preserve"> </v>
      </c>
      <c r="E3055" s="79" t="str">
        <f t="shared" si="6"/>
        <v xml:space="preserve"> </v>
      </c>
    </row>
    <row r="3056" spans="1:5" ht="12.5">
      <c r="A3056" s="81" t="str">
        <f t="shared" si="0"/>
        <v xml:space="preserve"> </v>
      </c>
      <c r="B3056" s="81" t="str">
        <f t="shared" si="1"/>
        <v xml:space="preserve"> </v>
      </c>
      <c r="C3056" s="79" t="str">
        <f t="shared" si="7"/>
        <v xml:space="preserve"> </v>
      </c>
      <c r="D3056" s="79" t="str">
        <f t="shared" si="5"/>
        <v xml:space="preserve"> </v>
      </c>
      <c r="E3056" s="79" t="str">
        <f t="shared" si="6"/>
        <v xml:space="preserve"> </v>
      </c>
    </row>
    <row r="3057" spans="1:5" ht="12.5">
      <c r="A3057" s="81" t="str">
        <f t="shared" si="0"/>
        <v xml:space="preserve"> </v>
      </c>
      <c r="B3057" s="81" t="str">
        <f t="shared" si="1"/>
        <v xml:space="preserve"> </v>
      </c>
      <c r="C3057" s="79" t="str">
        <f t="shared" si="7"/>
        <v xml:space="preserve"> </v>
      </c>
      <c r="D3057" s="79" t="str">
        <f t="shared" si="5"/>
        <v xml:space="preserve"> </v>
      </c>
      <c r="E3057" s="79" t="str">
        <f t="shared" si="6"/>
        <v xml:space="preserve"> </v>
      </c>
    </row>
    <row r="3058" spans="1:5" ht="12.5">
      <c r="A3058" s="81" t="str">
        <f t="shared" si="0"/>
        <v xml:space="preserve"> </v>
      </c>
      <c r="B3058" s="81" t="str">
        <f t="shared" si="1"/>
        <v xml:space="preserve"> </v>
      </c>
      <c r="C3058" s="79" t="str">
        <f t="shared" si="7"/>
        <v xml:space="preserve"> </v>
      </c>
      <c r="D3058" s="79" t="str">
        <f t="shared" si="5"/>
        <v xml:space="preserve"> </v>
      </c>
      <c r="E3058" s="79" t="str">
        <f t="shared" si="6"/>
        <v xml:space="preserve"> </v>
      </c>
    </row>
    <row r="3059" spans="1:5" ht="12.5">
      <c r="A3059" s="81" t="str">
        <f t="shared" si="0"/>
        <v xml:space="preserve"> </v>
      </c>
      <c r="B3059" s="81" t="str">
        <f t="shared" si="1"/>
        <v xml:space="preserve"> </v>
      </c>
      <c r="C3059" s="79" t="str">
        <f t="shared" si="7"/>
        <v xml:space="preserve"> </v>
      </c>
      <c r="D3059" s="79" t="str">
        <f t="shared" si="5"/>
        <v xml:space="preserve"> </v>
      </c>
      <c r="E3059" s="79" t="str">
        <f t="shared" si="6"/>
        <v xml:space="preserve"> </v>
      </c>
    </row>
    <row r="3060" spans="1:5" ht="12.5">
      <c r="A3060" s="81" t="str">
        <f t="shared" si="0"/>
        <v xml:space="preserve"> </v>
      </c>
      <c r="B3060" s="81" t="str">
        <f t="shared" si="1"/>
        <v xml:space="preserve"> </v>
      </c>
      <c r="C3060" s="79" t="str">
        <f t="shared" si="7"/>
        <v xml:space="preserve"> </v>
      </c>
      <c r="D3060" s="79" t="str">
        <f t="shared" si="5"/>
        <v xml:space="preserve"> </v>
      </c>
      <c r="E3060" s="79" t="str">
        <f t="shared" si="6"/>
        <v xml:space="preserve"> </v>
      </c>
    </row>
    <row r="3061" spans="1:5" ht="12.5">
      <c r="A3061" s="81" t="str">
        <f t="shared" si="0"/>
        <v xml:space="preserve"> </v>
      </c>
      <c r="B3061" s="81" t="str">
        <f t="shared" si="1"/>
        <v xml:space="preserve"> </v>
      </c>
      <c r="C3061" s="79" t="str">
        <f t="shared" si="7"/>
        <v xml:space="preserve"> </v>
      </c>
      <c r="D3061" s="79" t="str">
        <f t="shared" si="5"/>
        <v xml:space="preserve"> </v>
      </c>
      <c r="E3061" s="79" t="str">
        <f t="shared" si="6"/>
        <v xml:space="preserve"> </v>
      </c>
    </row>
    <row r="3062" spans="1:5" ht="12.5">
      <c r="A3062" s="81" t="str">
        <f t="shared" si="0"/>
        <v xml:space="preserve"> </v>
      </c>
      <c r="B3062" s="81" t="str">
        <f t="shared" si="1"/>
        <v xml:space="preserve"> </v>
      </c>
      <c r="C3062" s="79" t="str">
        <f t="shared" si="7"/>
        <v xml:space="preserve"> </v>
      </c>
      <c r="D3062" s="79" t="str">
        <f t="shared" si="5"/>
        <v xml:space="preserve"> </v>
      </c>
      <c r="E3062" s="79" t="str">
        <f t="shared" si="6"/>
        <v xml:space="preserve"> </v>
      </c>
    </row>
    <row r="3063" spans="1:5" ht="12.5">
      <c r="A3063" s="81" t="str">
        <f t="shared" si="0"/>
        <v xml:space="preserve"> </v>
      </c>
      <c r="B3063" s="81" t="str">
        <f t="shared" si="1"/>
        <v xml:space="preserve"> </v>
      </c>
      <c r="C3063" s="79" t="str">
        <f t="shared" si="7"/>
        <v xml:space="preserve"> </v>
      </c>
      <c r="D3063" s="79" t="str">
        <f t="shared" si="5"/>
        <v xml:space="preserve"> </v>
      </c>
      <c r="E3063" s="79" t="str">
        <f t="shared" si="6"/>
        <v xml:space="preserve"> </v>
      </c>
    </row>
    <row r="3064" spans="1:5" ht="12.5">
      <c r="A3064" s="81" t="str">
        <f t="shared" si="0"/>
        <v xml:space="preserve"> </v>
      </c>
      <c r="B3064" s="81" t="str">
        <f t="shared" si="1"/>
        <v xml:space="preserve"> </v>
      </c>
      <c r="C3064" s="79" t="str">
        <f t="shared" si="7"/>
        <v xml:space="preserve"> </v>
      </c>
      <c r="D3064" s="79" t="str">
        <f t="shared" si="5"/>
        <v xml:space="preserve"> </v>
      </c>
      <c r="E3064" s="79" t="str">
        <f t="shared" si="6"/>
        <v xml:space="preserve"> </v>
      </c>
    </row>
    <row r="3065" spans="1:5" ht="12.5">
      <c r="A3065" s="81" t="str">
        <f t="shared" si="0"/>
        <v xml:space="preserve"> </v>
      </c>
      <c r="B3065" s="81" t="str">
        <f t="shared" si="1"/>
        <v xml:space="preserve"> </v>
      </c>
      <c r="C3065" s="79" t="str">
        <f t="shared" si="7"/>
        <v xml:space="preserve"> </v>
      </c>
      <c r="D3065" s="79" t="str">
        <f t="shared" si="5"/>
        <v xml:space="preserve"> </v>
      </c>
      <c r="E3065" s="79" t="str">
        <f t="shared" si="6"/>
        <v xml:space="preserve"> </v>
      </c>
    </row>
    <row r="3066" spans="1:5" ht="12.5">
      <c r="A3066" s="81" t="str">
        <f t="shared" si="0"/>
        <v xml:space="preserve"> </v>
      </c>
      <c r="B3066" s="81" t="str">
        <f t="shared" si="1"/>
        <v xml:space="preserve"> </v>
      </c>
      <c r="C3066" s="79" t="str">
        <f t="shared" si="7"/>
        <v xml:space="preserve"> </v>
      </c>
      <c r="D3066" s="79" t="str">
        <f t="shared" si="5"/>
        <v xml:space="preserve"> </v>
      </c>
      <c r="E3066" s="79" t="str">
        <f t="shared" si="6"/>
        <v xml:space="preserve"> </v>
      </c>
    </row>
    <row r="3067" spans="1:5" ht="12.5">
      <c r="A3067" s="81" t="str">
        <f t="shared" si="0"/>
        <v xml:space="preserve"> </v>
      </c>
      <c r="B3067" s="81" t="str">
        <f t="shared" si="1"/>
        <v xml:space="preserve"> </v>
      </c>
      <c r="C3067" s="79" t="str">
        <f t="shared" si="7"/>
        <v xml:space="preserve"> </v>
      </c>
      <c r="D3067" s="79" t="str">
        <f t="shared" si="5"/>
        <v xml:space="preserve"> </v>
      </c>
      <c r="E3067" s="79" t="str">
        <f t="shared" si="6"/>
        <v xml:space="preserve"> </v>
      </c>
    </row>
    <row r="3068" spans="1:5" ht="12.5">
      <c r="A3068" s="81" t="str">
        <f t="shared" si="0"/>
        <v xml:space="preserve"> </v>
      </c>
      <c r="B3068" s="81" t="str">
        <f t="shared" si="1"/>
        <v xml:space="preserve"> </v>
      </c>
      <c r="C3068" s="79" t="str">
        <f t="shared" si="7"/>
        <v xml:space="preserve"> </v>
      </c>
      <c r="D3068" s="79" t="str">
        <f t="shared" si="5"/>
        <v xml:space="preserve"> </v>
      </c>
      <c r="E3068" s="79" t="str">
        <f t="shared" si="6"/>
        <v xml:space="preserve"> </v>
      </c>
    </row>
    <row r="3069" spans="1:5" ht="12.5">
      <c r="A3069" s="81" t="str">
        <f t="shared" si="0"/>
        <v xml:space="preserve"> </v>
      </c>
      <c r="B3069" s="81" t="str">
        <f t="shared" si="1"/>
        <v xml:space="preserve"> </v>
      </c>
      <c r="C3069" s="79" t="str">
        <f t="shared" si="7"/>
        <v xml:space="preserve"> </v>
      </c>
      <c r="D3069" s="79" t="str">
        <f t="shared" si="5"/>
        <v xml:space="preserve"> </v>
      </c>
      <c r="E3069" s="79" t="str">
        <f t="shared" si="6"/>
        <v xml:space="preserve"> </v>
      </c>
    </row>
    <row r="3070" spans="1:5" ht="12.5">
      <c r="A3070" s="81" t="str">
        <f t="shared" si="0"/>
        <v xml:space="preserve"> </v>
      </c>
      <c r="B3070" s="81" t="str">
        <f t="shared" si="1"/>
        <v xml:space="preserve"> </v>
      </c>
      <c r="C3070" s="79" t="str">
        <f t="shared" si="7"/>
        <v xml:space="preserve"> </v>
      </c>
      <c r="D3070" s="79" t="str">
        <f t="shared" si="5"/>
        <v xml:space="preserve"> </v>
      </c>
      <c r="E3070" s="79" t="str">
        <f t="shared" si="6"/>
        <v xml:space="preserve"> </v>
      </c>
    </row>
    <row r="3071" spans="1:5" ht="12.5">
      <c r="A3071" s="81" t="str">
        <f t="shared" si="0"/>
        <v xml:space="preserve"> </v>
      </c>
      <c r="B3071" s="81" t="str">
        <f t="shared" si="1"/>
        <v xml:space="preserve"> </v>
      </c>
      <c r="C3071" s="79" t="str">
        <f t="shared" si="7"/>
        <v xml:space="preserve"> </v>
      </c>
      <c r="D3071" s="79" t="str">
        <f t="shared" si="5"/>
        <v xml:space="preserve"> </v>
      </c>
      <c r="E3071" s="79" t="str">
        <f t="shared" si="6"/>
        <v xml:space="preserve"> </v>
      </c>
    </row>
    <row r="3072" spans="1:5" ht="12.5">
      <c r="A3072" s="81" t="str">
        <f t="shared" si="0"/>
        <v xml:space="preserve"> </v>
      </c>
      <c r="B3072" s="81" t="str">
        <f t="shared" si="1"/>
        <v xml:space="preserve"> </v>
      </c>
      <c r="C3072" s="79" t="str">
        <f t="shared" si="7"/>
        <v xml:space="preserve"> </v>
      </c>
      <c r="D3072" s="79" t="str">
        <f t="shared" si="5"/>
        <v xml:space="preserve"> </v>
      </c>
      <c r="E3072" s="79" t="str">
        <f t="shared" si="6"/>
        <v xml:space="preserve"> </v>
      </c>
    </row>
    <row r="3073" spans="1:5" ht="12.5">
      <c r="A3073" s="81" t="str">
        <f t="shared" si="0"/>
        <v xml:space="preserve"> </v>
      </c>
      <c r="B3073" s="81" t="str">
        <f t="shared" si="1"/>
        <v xml:space="preserve"> </v>
      </c>
      <c r="C3073" s="79" t="str">
        <f t="shared" si="7"/>
        <v xml:space="preserve"> </v>
      </c>
      <c r="D3073" s="79" t="str">
        <f t="shared" si="5"/>
        <v xml:space="preserve"> </v>
      </c>
      <c r="E3073" s="79" t="str">
        <f t="shared" si="6"/>
        <v xml:space="preserve"> </v>
      </c>
    </row>
    <row r="3074" spans="1:5" ht="12.5">
      <c r="A3074" s="81" t="str">
        <f t="shared" si="0"/>
        <v xml:space="preserve"> </v>
      </c>
      <c r="B3074" s="81" t="str">
        <f t="shared" si="1"/>
        <v xml:space="preserve"> </v>
      </c>
      <c r="C3074" s="79" t="str">
        <f t="shared" si="7"/>
        <v xml:space="preserve"> </v>
      </c>
      <c r="D3074" s="79" t="str">
        <f t="shared" si="5"/>
        <v xml:space="preserve"> </v>
      </c>
      <c r="E3074" s="79" t="str">
        <f t="shared" si="6"/>
        <v xml:space="preserve"> </v>
      </c>
    </row>
    <row r="3075" spans="1:5" ht="12.5">
      <c r="A3075" s="81" t="str">
        <f t="shared" si="0"/>
        <v xml:space="preserve"> </v>
      </c>
      <c r="B3075" s="81" t="str">
        <f t="shared" si="1"/>
        <v xml:space="preserve"> </v>
      </c>
      <c r="C3075" s="79" t="str">
        <f t="shared" si="7"/>
        <v xml:space="preserve"> </v>
      </c>
      <c r="D3075" s="79" t="str">
        <f t="shared" si="5"/>
        <v xml:space="preserve"> </v>
      </c>
      <c r="E3075" s="79" t="str">
        <f t="shared" si="6"/>
        <v xml:space="preserve"> </v>
      </c>
    </row>
    <row r="3076" spans="1:5" ht="12.5">
      <c r="A3076" s="81" t="str">
        <f t="shared" si="0"/>
        <v xml:space="preserve"> </v>
      </c>
      <c r="B3076" s="81" t="str">
        <f t="shared" si="1"/>
        <v xml:space="preserve"> </v>
      </c>
      <c r="C3076" s="79" t="str">
        <f t="shared" si="7"/>
        <v xml:space="preserve"> </v>
      </c>
      <c r="D3076" s="79" t="str">
        <f t="shared" si="5"/>
        <v xml:space="preserve"> </v>
      </c>
      <c r="E3076" s="79" t="str">
        <f t="shared" si="6"/>
        <v xml:space="preserve"> </v>
      </c>
    </row>
    <row r="3077" spans="1:5" ht="12.5">
      <c r="A3077" s="81" t="str">
        <f t="shared" si="0"/>
        <v xml:space="preserve"> </v>
      </c>
      <c r="B3077" s="81" t="str">
        <f t="shared" si="1"/>
        <v xml:space="preserve"> </v>
      </c>
      <c r="C3077" s="79" t="str">
        <f t="shared" si="7"/>
        <v xml:space="preserve"> </v>
      </c>
      <c r="D3077" s="79" t="str">
        <f t="shared" si="5"/>
        <v xml:space="preserve"> </v>
      </c>
      <c r="E3077" s="79" t="str">
        <f t="shared" si="6"/>
        <v xml:space="preserve"> </v>
      </c>
    </row>
    <row r="3078" spans="1:5" ht="12.5">
      <c r="A3078" s="81" t="str">
        <f t="shared" si="0"/>
        <v xml:space="preserve"> </v>
      </c>
      <c r="B3078" s="81" t="str">
        <f t="shared" si="1"/>
        <v xml:space="preserve"> </v>
      </c>
      <c r="C3078" s="79" t="str">
        <f t="shared" si="7"/>
        <v xml:space="preserve"> </v>
      </c>
      <c r="D3078" s="79" t="str">
        <f t="shared" si="5"/>
        <v xml:space="preserve"> </v>
      </c>
      <c r="E3078" s="79" t="str">
        <f t="shared" si="6"/>
        <v xml:space="preserve"> </v>
      </c>
    </row>
    <row r="3079" spans="1:5" ht="12.5">
      <c r="A3079" s="81" t="str">
        <f t="shared" si="0"/>
        <v xml:space="preserve"> </v>
      </c>
      <c r="B3079" s="81" t="str">
        <f t="shared" si="1"/>
        <v xml:space="preserve"> </v>
      </c>
      <c r="C3079" s="79" t="str">
        <f t="shared" si="7"/>
        <v xml:space="preserve"> </v>
      </c>
      <c r="D3079" s="79" t="str">
        <f t="shared" si="5"/>
        <v xml:space="preserve"> </v>
      </c>
      <c r="E3079" s="79" t="str">
        <f t="shared" si="6"/>
        <v xml:space="preserve"> </v>
      </c>
    </row>
    <row r="3080" spans="1:5" ht="12.5">
      <c r="A3080" s="81" t="str">
        <f t="shared" si="0"/>
        <v xml:space="preserve"> </v>
      </c>
      <c r="B3080" s="81" t="str">
        <f t="shared" si="1"/>
        <v xml:space="preserve"> </v>
      </c>
      <c r="C3080" s="79" t="str">
        <f t="shared" si="7"/>
        <v xml:space="preserve"> </v>
      </c>
      <c r="D3080" s="79" t="str">
        <f t="shared" si="5"/>
        <v xml:space="preserve"> </v>
      </c>
      <c r="E3080" s="79" t="str">
        <f t="shared" si="6"/>
        <v xml:space="preserve"> </v>
      </c>
    </row>
    <row r="3081" spans="1:5" ht="12.5">
      <c r="A3081" s="81" t="str">
        <f t="shared" si="0"/>
        <v xml:space="preserve"> </v>
      </c>
      <c r="B3081" s="81" t="str">
        <f t="shared" si="1"/>
        <v xml:space="preserve"> </v>
      </c>
      <c r="C3081" s="79" t="str">
        <f t="shared" si="7"/>
        <v xml:space="preserve"> </v>
      </c>
      <c r="D3081" s="79" t="str">
        <f t="shared" si="5"/>
        <v xml:space="preserve"> </v>
      </c>
      <c r="E3081" s="79" t="str">
        <f t="shared" si="6"/>
        <v xml:space="preserve"> </v>
      </c>
    </row>
    <row r="3082" spans="1:5" ht="12.5">
      <c r="A3082" s="81" t="str">
        <f t="shared" si="0"/>
        <v xml:space="preserve"> </v>
      </c>
      <c r="B3082" s="81" t="str">
        <f t="shared" si="1"/>
        <v xml:space="preserve"> </v>
      </c>
      <c r="C3082" s="79" t="str">
        <f t="shared" si="7"/>
        <v xml:space="preserve"> </v>
      </c>
      <c r="D3082" s="79" t="str">
        <f t="shared" si="5"/>
        <v xml:space="preserve"> </v>
      </c>
      <c r="E3082" s="79" t="str">
        <f t="shared" si="6"/>
        <v xml:space="preserve"> </v>
      </c>
    </row>
    <row r="3083" spans="1:5" ht="12.5">
      <c r="A3083" s="81" t="str">
        <f t="shared" si="0"/>
        <v xml:space="preserve"> </v>
      </c>
      <c r="B3083" s="81" t="str">
        <f t="shared" si="1"/>
        <v xml:space="preserve"> </v>
      </c>
      <c r="C3083" s="79" t="str">
        <f t="shared" si="7"/>
        <v xml:space="preserve"> </v>
      </c>
      <c r="D3083" s="79" t="str">
        <f t="shared" si="5"/>
        <v xml:space="preserve"> </v>
      </c>
      <c r="E3083" s="79" t="str">
        <f t="shared" si="6"/>
        <v xml:space="preserve"> </v>
      </c>
    </row>
    <row r="3084" spans="1:5" ht="12.5">
      <c r="A3084" s="81" t="str">
        <f t="shared" si="0"/>
        <v xml:space="preserve"> </v>
      </c>
      <c r="B3084" s="81" t="str">
        <f t="shared" si="1"/>
        <v xml:space="preserve"> </v>
      </c>
      <c r="C3084" s="79" t="str">
        <f t="shared" si="7"/>
        <v xml:space="preserve"> </v>
      </c>
      <c r="D3084" s="79" t="str">
        <f t="shared" si="5"/>
        <v xml:space="preserve"> </v>
      </c>
      <c r="E3084" s="79" t="str">
        <f t="shared" si="6"/>
        <v xml:space="preserve"> </v>
      </c>
    </row>
    <row r="3085" spans="1:5" ht="12.5">
      <c r="A3085" s="81" t="str">
        <f t="shared" si="0"/>
        <v xml:space="preserve"> </v>
      </c>
      <c r="B3085" s="81" t="str">
        <f t="shared" si="1"/>
        <v xml:space="preserve"> </v>
      </c>
      <c r="C3085" s="79" t="str">
        <f t="shared" si="7"/>
        <v xml:space="preserve"> </v>
      </c>
      <c r="D3085" s="79" t="str">
        <f t="shared" si="5"/>
        <v xml:space="preserve"> </v>
      </c>
      <c r="E3085" s="79" t="str">
        <f t="shared" si="6"/>
        <v xml:space="preserve"> </v>
      </c>
    </row>
    <row r="3086" spans="1:5" ht="12.5">
      <c r="A3086" s="81" t="str">
        <f t="shared" si="0"/>
        <v xml:space="preserve"> </v>
      </c>
      <c r="B3086" s="81" t="str">
        <f t="shared" si="1"/>
        <v xml:space="preserve"> </v>
      </c>
      <c r="C3086" s="79" t="str">
        <f t="shared" si="7"/>
        <v xml:space="preserve"> </v>
      </c>
      <c r="D3086" s="79" t="str">
        <f t="shared" si="5"/>
        <v xml:space="preserve"> </v>
      </c>
      <c r="E3086" s="79" t="str">
        <f t="shared" si="6"/>
        <v xml:space="preserve"> </v>
      </c>
    </row>
    <row r="3087" spans="1:5" ht="12.5">
      <c r="A3087" s="81" t="str">
        <f t="shared" si="0"/>
        <v xml:space="preserve"> </v>
      </c>
      <c r="B3087" s="81" t="str">
        <f t="shared" si="1"/>
        <v xml:space="preserve"> </v>
      </c>
      <c r="C3087" s="79" t="str">
        <f t="shared" si="7"/>
        <v xml:space="preserve"> </v>
      </c>
      <c r="D3087" s="79" t="str">
        <f t="shared" si="5"/>
        <v xml:space="preserve"> </v>
      </c>
      <c r="E3087" s="79" t="str">
        <f t="shared" si="6"/>
        <v xml:space="preserve"> </v>
      </c>
    </row>
    <row r="3088" spans="1:5" ht="12.5">
      <c r="A3088" s="81" t="str">
        <f t="shared" si="0"/>
        <v xml:space="preserve"> </v>
      </c>
      <c r="B3088" s="81" t="str">
        <f t="shared" si="1"/>
        <v xml:space="preserve"> </v>
      </c>
      <c r="C3088" s="79" t="str">
        <f t="shared" si="7"/>
        <v xml:space="preserve"> </v>
      </c>
      <c r="D3088" s="79" t="str">
        <f t="shared" si="5"/>
        <v xml:space="preserve"> </v>
      </c>
      <c r="E3088" s="79" t="str">
        <f t="shared" si="6"/>
        <v xml:space="preserve"> </v>
      </c>
    </row>
    <row r="3089" spans="1:5" ht="12.5">
      <c r="A3089" s="81" t="str">
        <f t="shared" si="0"/>
        <v xml:space="preserve"> </v>
      </c>
      <c r="B3089" s="81" t="str">
        <f t="shared" si="1"/>
        <v xml:space="preserve"> </v>
      </c>
      <c r="C3089" s="79" t="str">
        <f t="shared" si="7"/>
        <v xml:space="preserve"> </v>
      </c>
      <c r="D3089" s="79" t="str">
        <f t="shared" si="5"/>
        <v xml:space="preserve"> </v>
      </c>
      <c r="E3089" s="79" t="str">
        <f t="shared" si="6"/>
        <v xml:space="preserve"> </v>
      </c>
    </row>
    <row r="3090" spans="1:5" ht="12.5">
      <c r="A3090" s="81" t="str">
        <f t="shared" si="0"/>
        <v xml:space="preserve"> </v>
      </c>
      <c r="B3090" s="81" t="str">
        <f t="shared" si="1"/>
        <v xml:space="preserve"> </v>
      </c>
      <c r="C3090" s="79" t="str">
        <f t="shared" si="7"/>
        <v xml:space="preserve"> </v>
      </c>
      <c r="D3090" s="79" t="str">
        <f t="shared" si="5"/>
        <v xml:space="preserve"> </v>
      </c>
      <c r="E3090" s="79" t="str">
        <f t="shared" si="6"/>
        <v xml:space="preserve"> </v>
      </c>
    </row>
    <row r="3091" spans="1:5" ht="12.5">
      <c r="A3091" s="81" t="str">
        <f t="shared" si="0"/>
        <v xml:space="preserve"> </v>
      </c>
      <c r="B3091" s="81" t="str">
        <f t="shared" si="1"/>
        <v xml:space="preserve"> </v>
      </c>
      <c r="C3091" s="79" t="str">
        <f t="shared" si="7"/>
        <v xml:space="preserve"> </v>
      </c>
      <c r="D3091" s="79" t="str">
        <f t="shared" si="5"/>
        <v xml:space="preserve"> </v>
      </c>
      <c r="E3091" s="79" t="str">
        <f t="shared" si="6"/>
        <v xml:space="preserve"> </v>
      </c>
    </row>
    <row r="3092" spans="1:5" ht="12.5">
      <c r="A3092" s="81" t="str">
        <f t="shared" si="0"/>
        <v xml:space="preserve"> </v>
      </c>
      <c r="B3092" s="81" t="str">
        <f t="shared" si="1"/>
        <v xml:space="preserve"> </v>
      </c>
      <c r="C3092" s="79" t="str">
        <f t="shared" si="7"/>
        <v xml:space="preserve"> </v>
      </c>
      <c r="D3092" s="79" t="str">
        <f t="shared" si="5"/>
        <v xml:space="preserve"> </v>
      </c>
      <c r="E3092" s="79" t="str">
        <f t="shared" si="6"/>
        <v xml:space="preserve"> </v>
      </c>
    </row>
    <row r="3093" spans="1:5" ht="12.5">
      <c r="A3093" s="81" t="str">
        <f t="shared" si="0"/>
        <v xml:space="preserve"> </v>
      </c>
      <c r="B3093" s="81" t="str">
        <f t="shared" si="1"/>
        <v xml:space="preserve"> </v>
      </c>
      <c r="C3093" s="79" t="str">
        <f t="shared" si="7"/>
        <v xml:space="preserve"> </v>
      </c>
      <c r="D3093" s="79" t="str">
        <f t="shared" si="5"/>
        <v xml:space="preserve"> </v>
      </c>
      <c r="E3093" s="79" t="str">
        <f t="shared" si="6"/>
        <v xml:space="preserve"> </v>
      </c>
    </row>
    <row r="3094" spans="1:5" ht="12.5">
      <c r="A3094" s="81" t="str">
        <f t="shared" si="0"/>
        <v xml:space="preserve"> </v>
      </c>
      <c r="B3094" s="81" t="str">
        <f t="shared" si="1"/>
        <v xml:space="preserve"> </v>
      </c>
      <c r="C3094" s="79" t="str">
        <f t="shared" si="7"/>
        <v xml:space="preserve"> </v>
      </c>
      <c r="D3094" s="79" t="str">
        <f t="shared" si="5"/>
        <v xml:space="preserve"> </v>
      </c>
      <c r="E3094" s="79" t="str">
        <f t="shared" si="6"/>
        <v xml:space="preserve"> </v>
      </c>
    </row>
    <row r="3095" spans="1:5" ht="12.5">
      <c r="A3095" s="81" t="str">
        <f t="shared" si="0"/>
        <v xml:space="preserve"> </v>
      </c>
      <c r="B3095" s="81" t="str">
        <f t="shared" si="1"/>
        <v xml:space="preserve"> </v>
      </c>
      <c r="C3095" s="79" t="str">
        <f t="shared" si="7"/>
        <v xml:space="preserve"> </v>
      </c>
      <c r="D3095" s="79" t="str">
        <f t="shared" si="5"/>
        <v xml:space="preserve"> </v>
      </c>
      <c r="E3095" s="79" t="str">
        <f t="shared" si="6"/>
        <v xml:space="preserve"> </v>
      </c>
    </row>
    <row r="3096" spans="1:5" ht="12.5">
      <c r="A3096" s="81" t="str">
        <f t="shared" si="0"/>
        <v xml:space="preserve"> </v>
      </c>
      <c r="B3096" s="81" t="str">
        <f t="shared" si="1"/>
        <v xml:space="preserve"> </v>
      </c>
      <c r="C3096" s="79" t="str">
        <f t="shared" si="7"/>
        <v xml:space="preserve"> </v>
      </c>
      <c r="D3096" s="79" t="str">
        <f t="shared" si="5"/>
        <v xml:space="preserve"> </v>
      </c>
      <c r="E3096" s="79" t="str">
        <f t="shared" si="6"/>
        <v xml:space="preserve"> </v>
      </c>
    </row>
    <row r="3097" spans="1:5" ht="12.5">
      <c r="A3097" s="81" t="str">
        <f t="shared" si="0"/>
        <v xml:space="preserve"> </v>
      </c>
      <c r="B3097" s="81" t="str">
        <f t="shared" si="1"/>
        <v xml:space="preserve"> </v>
      </c>
      <c r="C3097" s="79" t="str">
        <f t="shared" si="7"/>
        <v xml:space="preserve"> </v>
      </c>
      <c r="D3097" s="79" t="str">
        <f t="shared" si="5"/>
        <v xml:space="preserve"> </v>
      </c>
      <c r="E3097" s="79" t="str">
        <f t="shared" si="6"/>
        <v xml:space="preserve"> </v>
      </c>
    </row>
    <row r="3098" spans="1:5" ht="12.5">
      <c r="A3098" s="81" t="str">
        <f t="shared" si="0"/>
        <v xml:space="preserve"> </v>
      </c>
      <c r="B3098" s="81" t="str">
        <f t="shared" si="1"/>
        <v xml:space="preserve"> </v>
      </c>
      <c r="C3098" s="79" t="str">
        <f t="shared" si="7"/>
        <v xml:space="preserve"> </v>
      </c>
      <c r="D3098" s="79" t="str">
        <f t="shared" si="5"/>
        <v xml:space="preserve"> </v>
      </c>
      <c r="E3098" s="79" t="str">
        <f t="shared" si="6"/>
        <v xml:space="preserve"> </v>
      </c>
    </row>
    <row r="3099" spans="1:5" ht="12.5">
      <c r="A3099" s="81" t="str">
        <f t="shared" si="0"/>
        <v xml:space="preserve"> </v>
      </c>
      <c r="B3099" s="81" t="str">
        <f t="shared" si="1"/>
        <v xml:space="preserve"> </v>
      </c>
      <c r="C3099" s="79" t="str">
        <f t="shared" si="7"/>
        <v xml:space="preserve"> </v>
      </c>
      <c r="D3099" s="79" t="str">
        <f t="shared" si="5"/>
        <v xml:space="preserve"> </v>
      </c>
      <c r="E3099" s="79" t="str">
        <f t="shared" si="6"/>
        <v xml:space="preserve"> </v>
      </c>
    </row>
    <row r="3100" spans="1:5" ht="12.5">
      <c r="A3100" s="81" t="str">
        <f t="shared" si="0"/>
        <v xml:space="preserve"> </v>
      </c>
      <c r="B3100" s="81" t="str">
        <f t="shared" si="1"/>
        <v xml:space="preserve"> </v>
      </c>
      <c r="C3100" s="79" t="str">
        <f t="shared" si="7"/>
        <v xml:space="preserve"> </v>
      </c>
      <c r="D3100" s="79" t="str">
        <f t="shared" si="5"/>
        <v xml:space="preserve"> </v>
      </c>
      <c r="E3100" s="79" t="str">
        <f t="shared" si="6"/>
        <v xml:space="preserve"> </v>
      </c>
    </row>
    <row r="3101" spans="1:5" ht="12.5">
      <c r="A3101" s="81" t="str">
        <f t="shared" si="0"/>
        <v xml:space="preserve"> </v>
      </c>
      <c r="B3101" s="81" t="str">
        <f t="shared" si="1"/>
        <v xml:space="preserve"> </v>
      </c>
      <c r="C3101" s="79" t="str">
        <f t="shared" si="7"/>
        <v xml:space="preserve"> </v>
      </c>
      <c r="D3101" s="79" t="str">
        <f t="shared" si="5"/>
        <v xml:space="preserve"> </v>
      </c>
      <c r="E3101" s="79" t="str">
        <f t="shared" si="6"/>
        <v xml:space="preserve"> </v>
      </c>
    </row>
    <row r="3102" spans="1:5" ht="12.5">
      <c r="A3102" s="81" t="str">
        <f t="shared" si="0"/>
        <v xml:space="preserve"> </v>
      </c>
      <c r="B3102" s="81" t="str">
        <f t="shared" si="1"/>
        <v xml:space="preserve"> </v>
      </c>
      <c r="C3102" s="79" t="str">
        <f t="shared" si="7"/>
        <v xml:space="preserve"> </v>
      </c>
      <c r="D3102" s="79" t="str">
        <f t="shared" si="5"/>
        <v xml:space="preserve"> </v>
      </c>
      <c r="E3102" s="79" t="str">
        <f t="shared" si="6"/>
        <v xml:space="preserve"> </v>
      </c>
    </row>
    <row r="3103" spans="1:5" ht="12.5">
      <c r="A3103" s="81" t="str">
        <f t="shared" si="0"/>
        <v xml:space="preserve"> </v>
      </c>
      <c r="B3103" s="81" t="str">
        <f t="shared" si="1"/>
        <v xml:space="preserve"> </v>
      </c>
      <c r="C3103" s="79" t="str">
        <f t="shared" si="7"/>
        <v xml:space="preserve"> </v>
      </c>
      <c r="D3103" s="79" t="str">
        <f t="shared" si="5"/>
        <v xml:space="preserve"> </v>
      </c>
      <c r="E3103" s="79" t="str">
        <f t="shared" si="6"/>
        <v xml:space="preserve"> </v>
      </c>
    </row>
    <row r="3104" spans="1:5" ht="12.5">
      <c r="A3104" s="81" t="str">
        <f t="shared" si="0"/>
        <v xml:space="preserve"> </v>
      </c>
      <c r="B3104" s="81" t="str">
        <f t="shared" si="1"/>
        <v xml:space="preserve"> </v>
      </c>
      <c r="C3104" s="79" t="str">
        <f t="shared" si="7"/>
        <v xml:space="preserve"> </v>
      </c>
      <c r="D3104" s="79" t="str">
        <f t="shared" si="5"/>
        <v xml:space="preserve"> </v>
      </c>
      <c r="E3104" s="79" t="str">
        <f t="shared" si="6"/>
        <v xml:space="preserve"> </v>
      </c>
    </row>
    <row r="3105" spans="1:5" ht="12.5">
      <c r="A3105" s="81" t="str">
        <f t="shared" si="0"/>
        <v xml:space="preserve"> </v>
      </c>
      <c r="B3105" s="81" t="str">
        <f t="shared" si="1"/>
        <v xml:space="preserve"> </v>
      </c>
      <c r="C3105" s="79" t="str">
        <f t="shared" si="7"/>
        <v xml:space="preserve"> </v>
      </c>
      <c r="D3105" s="79" t="str">
        <f t="shared" si="5"/>
        <v xml:space="preserve"> </v>
      </c>
      <c r="E3105" s="79" t="str">
        <f t="shared" si="6"/>
        <v xml:space="preserve"> </v>
      </c>
    </row>
    <row r="3106" spans="1:5" ht="12.5">
      <c r="A3106" s="81" t="str">
        <f t="shared" si="0"/>
        <v xml:space="preserve"> </v>
      </c>
      <c r="B3106" s="81" t="str">
        <f t="shared" si="1"/>
        <v xml:space="preserve"> </v>
      </c>
      <c r="C3106" s="79" t="str">
        <f t="shared" si="7"/>
        <v xml:space="preserve"> </v>
      </c>
      <c r="D3106" s="79" t="str">
        <f t="shared" si="5"/>
        <v xml:space="preserve"> </v>
      </c>
      <c r="E3106" s="79" t="str">
        <f t="shared" si="6"/>
        <v xml:space="preserve"> </v>
      </c>
    </row>
    <row r="3107" spans="1:5" ht="12.5">
      <c r="A3107" s="81" t="str">
        <f t="shared" si="0"/>
        <v xml:space="preserve"> </v>
      </c>
      <c r="B3107" s="81" t="str">
        <f t="shared" si="1"/>
        <v xml:space="preserve"> </v>
      </c>
      <c r="C3107" s="79" t="str">
        <f t="shared" si="7"/>
        <v xml:space="preserve"> </v>
      </c>
      <c r="D3107" s="79" t="str">
        <f t="shared" si="5"/>
        <v xml:space="preserve"> </v>
      </c>
      <c r="E3107" s="79" t="str">
        <f t="shared" si="6"/>
        <v xml:space="preserve"> </v>
      </c>
    </row>
    <row r="3108" spans="1:5" ht="12.5">
      <c r="A3108" s="81" t="str">
        <f t="shared" si="0"/>
        <v xml:space="preserve"> </v>
      </c>
      <c r="B3108" s="81" t="str">
        <f t="shared" si="1"/>
        <v xml:space="preserve"> </v>
      </c>
      <c r="C3108" s="79" t="str">
        <f t="shared" si="7"/>
        <v xml:space="preserve"> </v>
      </c>
      <c r="D3108" s="79" t="str">
        <f t="shared" si="5"/>
        <v xml:space="preserve"> </v>
      </c>
      <c r="E3108" s="79" t="str">
        <f t="shared" si="6"/>
        <v xml:space="preserve"> </v>
      </c>
    </row>
    <row r="3109" spans="1:5" ht="12.5">
      <c r="A3109" s="81" t="str">
        <f t="shared" si="0"/>
        <v xml:space="preserve"> </v>
      </c>
      <c r="B3109" s="81" t="str">
        <f t="shared" si="1"/>
        <v xml:space="preserve"> </v>
      </c>
      <c r="C3109" s="79" t="str">
        <f t="shared" si="7"/>
        <v xml:space="preserve"> </v>
      </c>
      <c r="D3109" s="79" t="str">
        <f t="shared" si="5"/>
        <v xml:space="preserve"> </v>
      </c>
      <c r="E3109" s="79" t="str">
        <f t="shared" si="6"/>
        <v xml:space="preserve"> </v>
      </c>
    </row>
    <row r="3110" spans="1:5" ht="12.5">
      <c r="A3110" s="81" t="str">
        <f t="shared" si="0"/>
        <v xml:space="preserve"> </v>
      </c>
      <c r="B3110" s="81" t="str">
        <f t="shared" si="1"/>
        <v xml:space="preserve"> </v>
      </c>
      <c r="C3110" s="79" t="str">
        <f t="shared" si="7"/>
        <v xml:space="preserve"> </v>
      </c>
      <c r="D3110" s="79" t="str">
        <f t="shared" si="5"/>
        <v xml:space="preserve"> </v>
      </c>
      <c r="E3110" s="79" t="str">
        <f t="shared" si="6"/>
        <v xml:space="preserve"> </v>
      </c>
    </row>
    <row r="3111" spans="1:5" ht="12.5">
      <c r="A3111" s="81" t="str">
        <f t="shared" si="0"/>
        <v xml:space="preserve"> </v>
      </c>
      <c r="B3111" s="81" t="str">
        <f t="shared" si="1"/>
        <v xml:space="preserve"> </v>
      </c>
      <c r="C3111" s="79" t="str">
        <f t="shared" si="7"/>
        <v xml:space="preserve"> </v>
      </c>
      <c r="D3111" s="79" t="str">
        <f t="shared" si="5"/>
        <v xml:space="preserve"> </v>
      </c>
      <c r="E3111" s="79" t="str">
        <f t="shared" si="6"/>
        <v xml:space="preserve"> </v>
      </c>
    </row>
    <row r="3112" spans="1:5" ht="12.5">
      <c r="A3112" s="81" t="str">
        <f t="shared" si="0"/>
        <v xml:space="preserve"> </v>
      </c>
      <c r="B3112" s="81" t="str">
        <f t="shared" si="1"/>
        <v xml:space="preserve"> </v>
      </c>
      <c r="C3112" s="79" t="str">
        <f t="shared" si="7"/>
        <v xml:space="preserve"> </v>
      </c>
      <c r="D3112" s="79" t="str">
        <f t="shared" si="5"/>
        <v xml:space="preserve"> </v>
      </c>
      <c r="E3112" s="79" t="str">
        <f t="shared" si="6"/>
        <v xml:space="preserve"> </v>
      </c>
    </row>
    <row r="3113" spans="1:5" ht="12.5">
      <c r="A3113" s="81" t="str">
        <f t="shared" si="0"/>
        <v xml:space="preserve"> </v>
      </c>
      <c r="B3113" s="81" t="str">
        <f t="shared" si="1"/>
        <v xml:space="preserve"> </v>
      </c>
      <c r="C3113" s="79" t="str">
        <f t="shared" si="7"/>
        <v xml:space="preserve"> </v>
      </c>
      <c r="D3113" s="79" t="str">
        <f t="shared" si="5"/>
        <v xml:space="preserve"> </v>
      </c>
      <c r="E3113" s="79" t="str">
        <f t="shared" si="6"/>
        <v xml:space="preserve"> </v>
      </c>
    </row>
    <row r="3114" spans="1:5" ht="12.5">
      <c r="A3114" s="81" t="str">
        <f t="shared" si="0"/>
        <v xml:space="preserve"> </v>
      </c>
      <c r="B3114" s="81" t="str">
        <f t="shared" si="1"/>
        <v xml:space="preserve"> </v>
      </c>
      <c r="C3114" s="79" t="str">
        <f t="shared" si="7"/>
        <v xml:space="preserve"> </v>
      </c>
      <c r="D3114" s="79" t="str">
        <f t="shared" si="5"/>
        <v xml:space="preserve"> </v>
      </c>
      <c r="E3114" s="79" t="str">
        <f t="shared" si="6"/>
        <v xml:space="preserve"> </v>
      </c>
    </row>
    <row r="3115" spans="1:5" ht="12.5">
      <c r="A3115" s="81" t="str">
        <f t="shared" si="0"/>
        <v xml:space="preserve"> </v>
      </c>
      <c r="B3115" s="81" t="str">
        <f t="shared" si="1"/>
        <v xml:space="preserve"> </v>
      </c>
      <c r="C3115" s="79" t="str">
        <f t="shared" si="7"/>
        <v xml:space="preserve"> </v>
      </c>
      <c r="D3115" s="79" t="str">
        <f t="shared" si="5"/>
        <v xml:space="preserve"> </v>
      </c>
      <c r="E3115" s="79" t="str">
        <f t="shared" si="6"/>
        <v xml:space="preserve"> </v>
      </c>
    </row>
    <row r="3116" spans="1:5" ht="12.5">
      <c r="A3116" s="81" t="str">
        <f t="shared" si="0"/>
        <v xml:space="preserve"> </v>
      </c>
      <c r="B3116" s="81" t="str">
        <f t="shared" si="1"/>
        <v xml:space="preserve"> </v>
      </c>
      <c r="C3116" s="79" t="str">
        <f t="shared" si="7"/>
        <v xml:space="preserve"> </v>
      </c>
      <c r="D3116" s="79" t="str">
        <f t="shared" si="5"/>
        <v xml:space="preserve"> </v>
      </c>
      <c r="E3116" s="79" t="str">
        <f t="shared" si="6"/>
        <v xml:space="preserve"> </v>
      </c>
    </row>
    <row r="3117" spans="1:5" ht="12.5">
      <c r="A3117" s="81" t="str">
        <f t="shared" si="0"/>
        <v xml:space="preserve"> </v>
      </c>
      <c r="B3117" s="81" t="str">
        <f t="shared" si="1"/>
        <v xml:space="preserve"> </v>
      </c>
      <c r="C3117" s="79" t="str">
        <f t="shared" si="7"/>
        <v xml:space="preserve"> </v>
      </c>
      <c r="D3117" s="79" t="str">
        <f t="shared" si="5"/>
        <v xml:space="preserve"> </v>
      </c>
      <c r="E3117" s="79" t="str">
        <f t="shared" si="6"/>
        <v xml:space="preserve"> </v>
      </c>
    </row>
    <row r="3118" spans="1:5" ht="12.5">
      <c r="A3118" s="81" t="str">
        <f t="shared" si="0"/>
        <v xml:space="preserve"> </v>
      </c>
      <c r="B3118" s="81" t="str">
        <f t="shared" si="1"/>
        <v xml:space="preserve"> </v>
      </c>
      <c r="C3118" s="79" t="str">
        <f t="shared" si="7"/>
        <v xml:space="preserve"> </v>
      </c>
      <c r="D3118" s="79" t="str">
        <f t="shared" si="5"/>
        <v xml:space="preserve"> </v>
      </c>
      <c r="E3118" s="79" t="str">
        <f t="shared" si="6"/>
        <v xml:space="preserve"> </v>
      </c>
    </row>
    <row r="3119" spans="1:5" ht="12.5">
      <c r="A3119" s="81" t="str">
        <f t="shared" si="0"/>
        <v xml:space="preserve"> </v>
      </c>
      <c r="B3119" s="81" t="str">
        <f t="shared" si="1"/>
        <v xml:space="preserve"> </v>
      </c>
      <c r="C3119" s="79" t="str">
        <f t="shared" si="7"/>
        <v xml:space="preserve"> </v>
      </c>
      <c r="D3119" s="79" t="str">
        <f t="shared" si="5"/>
        <v xml:space="preserve"> </v>
      </c>
      <c r="E3119" s="79" t="str">
        <f t="shared" si="6"/>
        <v xml:space="preserve"> </v>
      </c>
    </row>
    <row r="3120" spans="1:5" ht="12.5">
      <c r="A3120" s="81" t="str">
        <f t="shared" si="0"/>
        <v xml:space="preserve"> </v>
      </c>
      <c r="B3120" s="81" t="str">
        <f t="shared" si="1"/>
        <v xml:space="preserve"> </v>
      </c>
      <c r="C3120" s="79" t="str">
        <f t="shared" si="7"/>
        <v xml:space="preserve"> </v>
      </c>
      <c r="D3120" s="79" t="str">
        <f t="shared" si="5"/>
        <v xml:space="preserve"> </v>
      </c>
      <c r="E3120" s="79" t="str">
        <f t="shared" si="6"/>
        <v xml:space="preserve"> </v>
      </c>
    </row>
    <row r="3121" spans="1:5" ht="12.5">
      <c r="A3121" s="81" t="str">
        <f t="shared" si="0"/>
        <v xml:space="preserve"> </v>
      </c>
      <c r="B3121" s="81" t="str">
        <f t="shared" si="1"/>
        <v xml:space="preserve"> </v>
      </c>
      <c r="C3121" s="79" t="str">
        <f t="shared" si="7"/>
        <v xml:space="preserve"> </v>
      </c>
      <c r="D3121" s="79" t="str">
        <f t="shared" si="5"/>
        <v xml:space="preserve"> </v>
      </c>
      <c r="E3121" s="79" t="str">
        <f t="shared" si="6"/>
        <v xml:space="preserve"> </v>
      </c>
    </row>
    <row r="3122" spans="1:5" ht="12.5">
      <c r="A3122" s="81" t="str">
        <f t="shared" si="0"/>
        <v xml:space="preserve"> </v>
      </c>
      <c r="B3122" s="81" t="str">
        <f t="shared" si="1"/>
        <v xml:space="preserve"> </v>
      </c>
      <c r="C3122" s="79" t="str">
        <f t="shared" si="7"/>
        <v xml:space="preserve"> </v>
      </c>
      <c r="D3122" s="79" t="str">
        <f t="shared" si="5"/>
        <v xml:space="preserve"> </v>
      </c>
      <c r="E3122" s="79" t="str">
        <f t="shared" si="6"/>
        <v xml:space="preserve"> </v>
      </c>
    </row>
    <row r="3123" spans="1:5" ht="12.5">
      <c r="A3123" s="81" t="str">
        <f t="shared" si="0"/>
        <v xml:space="preserve"> </v>
      </c>
      <c r="B3123" s="81" t="str">
        <f t="shared" si="1"/>
        <v xml:space="preserve"> </v>
      </c>
      <c r="C3123" s="79" t="str">
        <f t="shared" si="7"/>
        <v xml:space="preserve"> </v>
      </c>
      <c r="D3123" s="79" t="str">
        <f t="shared" si="5"/>
        <v xml:space="preserve"> </v>
      </c>
      <c r="E3123" s="79" t="str">
        <f t="shared" si="6"/>
        <v xml:space="preserve"> </v>
      </c>
    </row>
    <row r="3124" spans="1:5" ht="12.5">
      <c r="A3124" s="81" t="str">
        <f t="shared" si="0"/>
        <v xml:space="preserve"> </v>
      </c>
      <c r="B3124" s="81" t="str">
        <f t="shared" si="1"/>
        <v xml:space="preserve"> </v>
      </c>
      <c r="C3124" s="79" t="str">
        <f t="shared" si="7"/>
        <v xml:space="preserve"> </v>
      </c>
      <c r="D3124" s="79" t="str">
        <f t="shared" si="5"/>
        <v xml:space="preserve"> </v>
      </c>
      <c r="E3124" s="79" t="str">
        <f t="shared" si="6"/>
        <v xml:space="preserve"> </v>
      </c>
    </row>
    <row r="3125" spans="1:5" ht="12.5">
      <c r="A3125" s="81" t="str">
        <f t="shared" si="0"/>
        <v xml:space="preserve"> </v>
      </c>
      <c r="B3125" s="81" t="str">
        <f t="shared" si="1"/>
        <v xml:space="preserve"> </v>
      </c>
      <c r="C3125" s="79" t="str">
        <f t="shared" si="7"/>
        <v xml:space="preserve"> </v>
      </c>
      <c r="D3125" s="79" t="str">
        <f t="shared" si="5"/>
        <v xml:space="preserve"> </v>
      </c>
      <c r="E3125" s="79" t="str">
        <f t="shared" si="6"/>
        <v xml:space="preserve"> </v>
      </c>
    </row>
    <row r="3126" spans="1:5" ht="12.5">
      <c r="A3126" s="81" t="str">
        <f t="shared" si="0"/>
        <v xml:space="preserve"> </v>
      </c>
      <c r="B3126" s="81" t="str">
        <f t="shared" si="1"/>
        <v xml:space="preserve"> </v>
      </c>
      <c r="C3126" s="79" t="str">
        <f t="shared" si="7"/>
        <v xml:space="preserve"> </v>
      </c>
      <c r="D3126" s="79" t="str">
        <f t="shared" si="5"/>
        <v xml:space="preserve"> </v>
      </c>
      <c r="E3126" s="79" t="str">
        <f t="shared" si="6"/>
        <v xml:space="preserve"> </v>
      </c>
    </row>
    <row r="3127" spans="1:5" ht="12.5">
      <c r="A3127" s="81" t="str">
        <f t="shared" si="0"/>
        <v xml:space="preserve"> </v>
      </c>
      <c r="B3127" s="81" t="str">
        <f t="shared" si="1"/>
        <v xml:space="preserve"> </v>
      </c>
      <c r="C3127" s="79" t="str">
        <f t="shared" si="7"/>
        <v xml:space="preserve"> </v>
      </c>
      <c r="D3127" s="79" t="str">
        <f t="shared" si="5"/>
        <v xml:space="preserve"> </v>
      </c>
      <c r="E3127" s="79" t="str">
        <f t="shared" si="6"/>
        <v xml:space="preserve"> </v>
      </c>
    </row>
    <row r="3128" spans="1:5" ht="12.5">
      <c r="A3128" s="81" t="str">
        <f t="shared" si="0"/>
        <v xml:space="preserve"> </v>
      </c>
      <c r="B3128" s="81" t="str">
        <f t="shared" si="1"/>
        <v xml:space="preserve"> </v>
      </c>
      <c r="C3128" s="79" t="str">
        <f t="shared" si="7"/>
        <v xml:space="preserve"> </v>
      </c>
      <c r="D3128" s="79" t="str">
        <f t="shared" si="5"/>
        <v xml:space="preserve"> </v>
      </c>
      <c r="E3128" s="79" t="str">
        <f t="shared" si="6"/>
        <v xml:space="preserve"> </v>
      </c>
    </row>
    <row r="3129" spans="1:5" ht="12.5">
      <c r="A3129" s="81" t="str">
        <f t="shared" si="0"/>
        <v xml:space="preserve"> </v>
      </c>
      <c r="B3129" s="81" t="str">
        <f t="shared" si="1"/>
        <v xml:space="preserve"> </v>
      </c>
      <c r="C3129" s="79" t="str">
        <f t="shared" si="7"/>
        <v xml:space="preserve"> </v>
      </c>
      <c r="D3129" s="79" t="str">
        <f t="shared" si="5"/>
        <v xml:space="preserve"> </v>
      </c>
      <c r="E3129" s="79" t="str">
        <f t="shared" si="6"/>
        <v xml:space="preserve"> </v>
      </c>
    </row>
    <row r="3130" spans="1:5" ht="12.5">
      <c r="A3130" s="81" t="str">
        <f t="shared" si="0"/>
        <v xml:space="preserve"> </v>
      </c>
      <c r="B3130" s="81" t="str">
        <f t="shared" si="1"/>
        <v xml:space="preserve"> </v>
      </c>
      <c r="C3130" s="79" t="str">
        <f t="shared" si="7"/>
        <v xml:space="preserve"> </v>
      </c>
      <c r="D3130" s="79" t="str">
        <f t="shared" si="5"/>
        <v xml:space="preserve"> </v>
      </c>
      <c r="E3130" s="79" t="str">
        <f t="shared" si="6"/>
        <v xml:space="preserve"> </v>
      </c>
    </row>
    <row r="3131" spans="1:5" ht="12.5">
      <c r="A3131" s="81" t="str">
        <f t="shared" si="0"/>
        <v xml:space="preserve"> </v>
      </c>
      <c r="B3131" s="81" t="str">
        <f t="shared" si="1"/>
        <v xml:space="preserve"> </v>
      </c>
      <c r="C3131" s="79" t="str">
        <f t="shared" si="7"/>
        <v xml:space="preserve"> </v>
      </c>
      <c r="D3131" s="79" t="str">
        <f t="shared" si="5"/>
        <v xml:space="preserve"> </v>
      </c>
      <c r="E3131" s="79" t="str">
        <f t="shared" si="6"/>
        <v xml:space="preserve"> </v>
      </c>
    </row>
    <row r="3132" spans="1:5" ht="12.5">
      <c r="A3132" s="81" t="str">
        <f t="shared" si="0"/>
        <v xml:space="preserve"> </v>
      </c>
      <c r="B3132" s="81" t="str">
        <f t="shared" si="1"/>
        <v xml:space="preserve"> </v>
      </c>
      <c r="C3132" s="79" t="str">
        <f t="shared" si="7"/>
        <v xml:space="preserve"> </v>
      </c>
      <c r="D3132" s="79" t="str">
        <f t="shared" si="5"/>
        <v xml:space="preserve"> </v>
      </c>
      <c r="E3132" s="79" t="str">
        <f t="shared" si="6"/>
        <v xml:space="preserve"> </v>
      </c>
    </row>
    <row r="3133" spans="1:5" ht="12.5">
      <c r="A3133" s="81" t="str">
        <f t="shared" si="0"/>
        <v xml:space="preserve"> </v>
      </c>
      <c r="B3133" s="81" t="str">
        <f t="shared" si="1"/>
        <v xml:space="preserve"> </v>
      </c>
      <c r="C3133" s="79" t="str">
        <f t="shared" si="7"/>
        <v xml:space="preserve"> </v>
      </c>
      <c r="D3133" s="79" t="str">
        <f t="shared" si="5"/>
        <v xml:space="preserve"> </v>
      </c>
      <c r="E3133" s="79" t="str">
        <f t="shared" si="6"/>
        <v xml:space="preserve"> </v>
      </c>
    </row>
    <row r="3134" spans="1:5" ht="12.5">
      <c r="A3134" s="81" t="str">
        <f t="shared" si="0"/>
        <v xml:space="preserve"> </v>
      </c>
      <c r="B3134" s="81" t="str">
        <f t="shared" si="1"/>
        <v xml:space="preserve"> </v>
      </c>
      <c r="C3134" s="79" t="str">
        <f t="shared" si="7"/>
        <v xml:space="preserve"> </v>
      </c>
      <c r="D3134" s="79" t="str">
        <f t="shared" si="5"/>
        <v xml:space="preserve"> </v>
      </c>
      <c r="E3134" s="79" t="str">
        <f t="shared" si="6"/>
        <v xml:space="preserve"> </v>
      </c>
    </row>
    <row r="3135" spans="1:5" ht="12.5">
      <c r="A3135" s="81" t="str">
        <f t="shared" si="0"/>
        <v xml:space="preserve"> </v>
      </c>
      <c r="B3135" s="81" t="str">
        <f t="shared" si="1"/>
        <v xml:space="preserve"> </v>
      </c>
      <c r="C3135" s="79" t="str">
        <f t="shared" si="7"/>
        <v xml:space="preserve"> </v>
      </c>
      <c r="D3135" s="79" t="str">
        <f t="shared" si="5"/>
        <v xml:space="preserve"> </v>
      </c>
      <c r="E3135" s="79" t="str">
        <f t="shared" si="6"/>
        <v xml:space="preserve"> </v>
      </c>
    </row>
    <row r="3136" spans="1:5" ht="12.5">
      <c r="A3136" s="81" t="str">
        <f t="shared" si="0"/>
        <v xml:space="preserve"> </v>
      </c>
      <c r="B3136" s="81" t="str">
        <f t="shared" si="1"/>
        <v xml:space="preserve"> </v>
      </c>
      <c r="C3136" s="79" t="str">
        <f t="shared" si="7"/>
        <v xml:space="preserve"> </v>
      </c>
      <c r="D3136" s="79" t="str">
        <f t="shared" si="5"/>
        <v xml:space="preserve"> </v>
      </c>
      <c r="E3136" s="79" t="str">
        <f t="shared" si="6"/>
        <v xml:space="preserve"> </v>
      </c>
    </row>
    <row r="3137" spans="1:5" ht="12.5">
      <c r="A3137" s="81" t="str">
        <f t="shared" si="0"/>
        <v xml:space="preserve"> </v>
      </c>
      <c r="B3137" s="81" t="str">
        <f t="shared" si="1"/>
        <v xml:space="preserve"> </v>
      </c>
      <c r="C3137" s="79" t="str">
        <f t="shared" si="7"/>
        <v xml:space="preserve"> </v>
      </c>
      <c r="D3137" s="79" t="str">
        <f t="shared" si="5"/>
        <v xml:space="preserve"> </v>
      </c>
      <c r="E3137" s="79" t="str">
        <f t="shared" si="6"/>
        <v xml:space="preserve"> </v>
      </c>
    </row>
    <row r="3138" spans="1:5" ht="12.5">
      <c r="A3138" s="81" t="str">
        <f t="shared" si="0"/>
        <v xml:space="preserve"> </v>
      </c>
      <c r="B3138" s="81" t="str">
        <f t="shared" si="1"/>
        <v xml:space="preserve"> </v>
      </c>
      <c r="C3138" s="79" t="str">
        <f t="shared" si="7"/>
        <v xml:space="preserve"> </v>
      </c>
      <c r="D3138" s="79" t="str">
        <f t="shared" si="5"/>
        <v xml:space="preserve"> </v>
      </c>
      <c r="E3138" s="79" t="str">
        <f t="shared" si="6"/>
        <v xml:space="preserve"> </v>
      </c>
    </row>
    <row r="3139" spans="1:5" ht="12.5">
      <c r="A3139" s="81" t="str">
        <f t="shared" si="0"/>
        <v xml:space="preserve"> </v>
      </c>
      <c r="B3139" s="81" t="str">
        <f t="shared" si="1"/>
        <v xml:space="preserve"> </v>
      </c>
      <c r="C3139" s="79" t="str">
        <f t="shared" si="7"/>
        <v xml:space="preserve"> </v>
      </c>
      <c r="D3139" s="79" t="str">
        <f t="shared" si="5"/>
        <v xml:space="preserve"> </v>
      </c>
      <c r="E3139" s="79" t="str">
        <f t="shared" si="6"/>
        <v xml:space="preserve"> </v>
      </c>
    </row>
    <row r="3140" spans="1:5" ht="12.5">
      <c r="A3140" s="81" t="str">
        <f t="shared" si="0"/>
        <v xml:space="preserve"> </v>
      </c>
      <c r="B3140" s="81" t="str">
        <f t="shared" si="1"/>
        <v xml:space="preserve"> </v>
      </c>
      <c r="C3140" s="79" t="str">
        <f t="shared" si="7"/>
        <v xml:space="preserve"> </v>
      </c>
      <c r="D3140" s="79" t="str">
        <f t="shared" si="5"/>
        <v xml:space="preserve"> </v>
      </c>
      <c r="E3140" s="79" t="str">
        <f t="shared" si="6"/>
        <v xml:space="preserve"> </v>
      </c>
    </row>
    <row r="3141" spans="1:5" ht="12.5">
      <c r="A3141" s="81" t="str">
        <f t="shared" si="0"/>
        <v xml:space="preserve"> </v>
      </c>
      <c r="B3141" s="81" t="str">
        <f t="shared" si="1"/>
        <v xml:space="preserve"> </v>
      </c>
      <c r="C3141" s="79" t="str">
        <f t="shared" si="7"/>
        <v xml:space="preserve"> </v>
      </c>
      <c r="D3141" s="79" t="str">
        <f t="shared" si="5"/>
        <v xml:space="preserve"> </v>
      </c>
      <c r="E3141" s="79" t="str">
        <f t="shared" si="6"/>
        <v xml:space="preserve"> </v>
      </c>
    </row>
    <row r="3142" spans="1:5" ht="12.5">
      <c r="A3142" s="81" t="str">
        <f t="shared" si="0"/>
        <v xml:space="preserve"> </v>
      </c>
      <c r="B3142" s="81" t="str">
        <f t="shared" si="1"/>
        <v xml:space="preserve"> </v>
      </c>
      <c r="C3142" s="79" t="str">
        <f t="shared" si="7"/>
        <v xml:space="preserve"> </v>
      </c>
      <c r="D3142" s="79" t="str">
        <f t="shared" si="5"/>
        <v xml:space="preserve"> </v>
      </c>
      <c r="E3142" s="79" t="str">
        <f t="shared" si="6"/>
        <v xml:space="preserve"> </v>
      </c>
    </row>
    <row r="3143" spans="1:5" ht="12.5">
      <c r="A3143" s="81" t="str">
        <f t="shared" si="0"/>
        <v xml:space="preserve"> </v>
      </c>
      <c r="B3143" s="81" t="str">
        <f t="shared" si="1"/>
        <v xml:space="preserve"> </v>
      </c>
      <c r="C3143" s="79" t="str">
        <f t="shared" si="7"/>
        <v xml:space="preserve"> </v>
      </c>
      <c r="D3143" s="79" t="str">
        <f t="shared" si="5"/>
        <v xml:space="preserve"> </v>
      </c>
      <c r="E3143" s="79" t="str">
        <f t="shared" si="6"/>
        <v xml:space="preserve"> </v>
      </c>
    </row>
    <row r="3144" spans="1:5" ht="12.5">
      <c r="A3144" s="81" t="str">
        <f t="shared" si="0"/>
        <v xml:space="preserve"> </v>
      </c>
      <c r="B3144" s="81" t="str">
        <f t="shared" si="1"/>
        <v xml:space="preserve"> </v>
      </c>
      <c r="C3144" s="79" t="str">
        <f t="shared" si="7"/>
        <v xml:space="preserve"> </v>
      </c>
      <c r="D3144" s="79" t="str">
        <f t="shared" si="5"/>
        <v xml:space="preserve"> </v>
      </c>
      <c r="E3144" s="79" t="str">
        <f t="shared" si="6"/>
        <v xml:space="preserve"> </v>
      </c>
    </row>
    <row r="3145" spans="1:5" ht="12.5">
      <c r="A3145" s="81" t="str">
        <f t="shared" si="0"/>
        <v xml:space="preserve"> </v>
      </c>
      <c r="B3145" s="81" t="str">
        <f t="shared" si="1"/>
        <v xml:space="preserve"> </v>
      </c>
      <c r="C3145" s="79" t="str">
        <f t="shared" si="7"/>
        <v xml:space="preserve"> </v>
      </c>
      <c r="D3145" s="79" t="str">
        <f t="shared" si="5"/>
        <v xml:space="preserve"> </v>
      </c>
      <c r="E3145" s="79" t="str">
        <f t="shared" si="6"/>
        <v xml:space="preserve"> </v>
      </c>
    </row>
    <row r="3146" spans="1:5" ht="12.5">
      <c r="A3146" s="81" t="str">
        <f t="shared" si="0"/>
        <v xml:space="preserve"> </v>
      </c>
      <c r="B3146" s="81" t="str">
        <f t="shared" si="1"/>
        <v xml:space="preserve"> </v>
      </c>
      <c r="C3146" s="79" t="str">
        <f t="shared" si="7"/>
        <v xml:space="preserve"> </v>
      </c>
      <c r="D3146" s="79" t="str">
        <f t="shared" si="5"/>
        <v xml:space="preserve"> </v>
      </c>
      <c r="E3146" s="79" t="str">
        <f t="shared" si="6"/>
        <v xml:space="preserve"> </v>
      </c>
    </row>
    <row r="3147" spans="1:5" ht="12.5">
      <c r="A3147" s="81" t="str">
        <f t="shared" si="0"/>
        <v xml:space="preserve"> </v>
      </c>
      <c r="B3147" s="81" t="str">
        <f t="shared" si="1"/>
        <v xml:space="preserve"> </v>
      </c>
      <c r="C3147" s="79" t="str">
        <f t="shared" si="7"/>
        <v xml:space="preserve"> </v>
      </c>
      <c r="D3147" s="79" t="str">
        <f t="shared" si="5"/>
        <v xml:space="preserve"> </v>
      </c>
      <c r="E3147" s="79" t="str">
        <f t="shared" si="6"/>
        <v xml:space="preserve"> </v>
      </c>
    </row>
    <row r="3148" spans="1:5" ht="12.5">
      <c r="A3148" s="81" t="str">
        <f t="shared" si="0"/>
        <v xml:space="preserve"> </v>
      </c>
      <c r="B3148" s="81" t="str">
        <f t="shared" si="1"/>
        <v xml:space="preserve"> </v>
      </c>
      <c r="C3148" s="79" t="str">
        <f t="shared" si="7"/>
        <v xml:space="preserve"> </v>
      </c>
      <c r="D3148" s="79" t="str">
        <f t="shared" si="5"/>
        <v xml:space="preserve"> </v>
      </c>
      <c r="E3148" s="79" t="str">
        <f t="shared" si="6"/>
        <v xml:space="preserve"> </v>
      </c>
    </row>
    <row r="3149" spans="1:5" ht="12.5">
      <c r="A3149" s="81" t="str">
        <f t="shared" si="0"/>
        <v xml:space="preserve"> </v>
      </c>
      <c r="B3149" s="81" t="str">
        <f t="shared" si="1"/>
        <v xml:space="preserve"> </v>
      </c>
      <c r="C3149" s="79" t="str">
        <f t="shared" si="7"/>
        <v xml:space="preserve"> </v>
      </c>
      <c r="D3149" s="79" t="str">
        <f t="shared" si="5"/>
        <v xml:space="preserve"> </v>
      </c>
      <c r="E3149" s="79" t="str">
        <f t="shared" si="6"/>
        <v xml:space="preserve"> </v>
      </c>
    </row>
    <row r="3150" spans="1:5" ht="12.5">
      <c r="A3150" s="81" t="str">
        <f t="shared" si="0"/>
        <v xml:space="preserve"> </v>
      </c>
      <c r="B3150" s="81" t="str">
        <f t="shared" si="1"/>
        <v xml:space="preserve"> </v>
      </c>
      <c r="C3150" s="79" t="str">
        <f t="shared" si="7"/>
        <v xml:space="preserve"> </v>
      </c>
      <c r="D3150" s="79" t="str">
        <f t="shared" si="5"/>
        <v xml:space="preserve"> </v>
      </c>
      <c r="E3150" s="79" t="str">
        <f t="shared" si="6"/>
        <v xml:space="preserve"> </v>
      </c>
    </row>
    <row r="3151" spans="1:5" ht="12.5">
      <c r="A3151" s="81" t="str">
        <f t="shared" si="0"/>
        <v xml:space="preserve"> </v>
      </c>
      <c r="B3151" s="81" t="str">
        <f t="shared" si="1"/>
        <v xml:space="preserve"> </v>
      </c>
      <c r="C3151" s="79" t="str">
        <f t="shared" si="7"/>
        <v xml:space="preserve"> </v>
      </c>
      <c r="D3151" s="79" t="str">
        <f t="shared" si="5"/>
        <v xml:space="preserve"> </v>
      </c>
      <c r="E3151" s="79" t="str">
        <f t="shared" si="6"/>
        <v xml:space="preserve"> </v>
      </c>
    </row>
    <row r="3152" spans="1:5" ht="12.5">
      <c r="A3152" s="81" t="str">
        <f t="shared" si="0"/>
        <v xml:space="preserve"> </v>
      </c>
      <c r="B3152" s="81" t="str">
        <f t="shared" si="1"/>
        <v xml:space="preserve"> </v>
      </c>
      <c r="C3152" s="79" t="str">
        <f t="shared" si="7"/>
        <v xml:space="preserve"> </v>
      </c>
      <c r="D3152" s="79" t="str">
        <f t="shared" si="5"/>
        <v xml:space="preserve"> </v>
      </c>
      <c r="E3152" s="79" t="str">
        <f t="shared" si="6"/>
        <v xml:space="preserve"> </v>
      </c>
    </row>
    <row r="3153" spans="1:5" ht="12.5">
      <c r="A3153" s="81" t="str">
        <f t="shared" si="0"/>
        <v xml:space="preserve"> </v>
      </c>
      <c r="B3153" s="81" t="str">
        <f t="shared" si="1"/>
        <v xml:space="preserve"> </v>
      </c>
      <c r="C3153" s="79" t="str">
        <f t="shared" si="7"/>
        <v xml:space="preserve"> </v>
      </c>
      <c r="D3153" s="79" t="str">
        <f t="shared" si="5"/>
        <v xml:space="preserve"> </v>
      </c>
      <c r="E3153" s="79" t="str">
        <f t="shared" si="6"/>
        <v xml:space="preserve"> </v>
      </c>
    </row>
    <row r="3154" spans="1:5" ht="12.5">
      <c r="A3154" s="81" t="str">
        <f t="shared" si="0"/>
        <v xml:space="preserve"> </v>
      </c>
      <c r="B3154" s="81" t="str">
        <f t="shared" si="1"/>
        <v xml:space="preserve"> </v>
      </c>
      <c r="C3154" s="79" t="str">
        <f t="shared" si="7"/>
        <v xml:space="preserve"> </v>
      </c>
      <c r="D3154" s="79" t="str">
        <f t="shared" si="5"/>
        <v xml:space="preserve"> </v>
      </c>
      <c r="E3154" s="79" t="str">
        <f t="shared" si="6"/>
        <v xml:space="preserve"> </v>
      </c>
    </row>
    <row r="3155" spans="1:5" ht="12.5">
      <c r="A3155" s="81" t="str">
        <f t="shared" si="0"/>
        <v xml:space="preserve"> </v>
      </c>
      <c r="B3155" s="81" t="str">
        <f t="shared" si="1"/>
        <v xml:space="preserve"> </v>
      </c>
      <c r="C3155" s="79" t="str">
        <f t="shared" si="7"/>
        <v xml:space="preserve"> </v>
      </c>
      <c r="D3155" s="79" t="str">
        <f t="shared" si="5"/>
        <v xml:space="preserve"> </v>
      </c>
      <c r="E3155" s="79" t="str">
        <f t="shared" si="6"/>
        <v xml:space="preserve"> </v>
      </c>
    </row>
    <row r="3156" spans="1:5" ht="12.5">
      <c r="A3156" s="81" t="str">
        <f t="shared" si="0"/>
        <v xml:space="preserve"> </v>
      </c>
      <c r="B3156" s="81" t="str">
        <f t="shared" si="1"/>
        <v xml:space="preserve"> </v>
      </c>
      <c r="C3156" s="79" t="str">
        <f t="shared" si="7"/>
        <v xml:space="preserve"> </v>
      </c>
      <c r="D3156" s="79" t="str">
        <f t="shared" si="5"/>
        <v xml:space="preserve"> </v>
      </c>
      <c r="E3156" s="79" t="str">
        <f t="shared" si="6"/>
        <v xml:space="preserve"> </v>
      </c>
    </row>
    <row r="3157" spans="1:5" ht="12.5">
      <c r="A3157" s="81" t="str">
        <f t="shared" si="0"/>
        <v xml:space="preserve"> </v>
      </c>
      <c r="B3157" s="81" t="str">
        <f t="shared" si="1"/>
        <v xml:space="preserve"> </v>
      </c>
      <c r="C3157" s="79" t="str">
        <f t="shared" si="7"/>
        <v xml:space="preserve"> </v>
      </c>
      <c r="D3157" s="79" t="str">
        <f t="shared" si="5"/>
        <v xml:space="preserve"> </v>
      </c>
      <c r="E3157" s="79" t="str">
        <f t="shared" si="6"/>
        <v xml:space="preserve"> </v>
      </c>
    </row>
    <row r="3158" spans="1:5" ht="12.5">
      <c r="A3158" s="81" t="str">
        <f t="shared" si="0"/>
        <v xml:space="preserve"> </v>
      </c>
      <c r="B3158" s="81" t="str">
        <f t="shared" si="1"/>
        <v xml:space="preserve"> </v>
      </c>
      <c r="C3158" s="79" t="str">
        <f t="shared" si="7"/>
        <v xml:space="preserve"> </v>
      </c>
      <c r="D3158" s="79" t="str">
        <f t="shared" si="5"/>
        <v xml:space="preserve"> </v>
      </c>
      <c r="E3158" s="79" t="str">
        <f t="shared" si="6"/>
        <v xml:space="preserve"> </v>
      </c>
    </row>
    <row r="3159" spans="1:5" ht="12.5">
      <c r="A3159" s="81" t="str">
        <f t="shared" si="0"/>
        <v xml:space="preserve"> </v>
      </c>
      <c r="B3159" s="81" t="str">
        <f t="shared" si="1"/>
        <v xml:space="preserve"> </v>
      </c>
      <c r="C3159" s="79" t="str">
        <f t="shared" si="7"/>
        <v xml:space="preserve"> </v>
      </c>
      <c r="D3159" s="79" t="str">
        <f t="shared" si="5"/>
        <v xml:space="preserve"> </v>
      </c>
      <c r="E3159" s="79" t="str">
        <f t="shared" si="6"/>
        <v xml:space="preserve"> </v>
      </c>
    </row>
    <row r="3160" spans="1:5" ht="12.5">
      <c r="A3160" s="81" t="str">
        <f t="shared" si="0"/>
        <v xml:space="preserve"> </v>
      </c>
      <c r="B3160" s="81" t="str">
        <f t="shared" si="1"/>
        <v xml:space="preserve"> </v>
      </c>
      <c r="C3160" s="79" t="str">
        <f t="shared" si="7"/>
        <v xml:space="preserve"> </v>
      </c>
      <c r="D3160" s="79" t="str">
        <f t="shared" si="5"/>
        <v xml:space="preserve"> </v>
      </c>
      <c r="E3160" s="79" t="str">
        <f t="shared" si="6"/>
        <v xml:space="preserve"> </v>
      </c>
    </row>
    <row r="3161" spans="1:5" ht="12.5">
      <c r="A3161" s="81" t="str">
        <f t="shared" si="0"/>
        <v xml:space="preserve"> </v>
      </c>
      <c r="B3161" s="81" t="str">
        <f t="shared" si="1"/>
        <v xml:space="preserve"> </v>
      </c>
      <c r="C3161" s="79" t="str">
        <f t="shared" si="7"/>
        <v xml:space="preserve"> </v>
      </c>
      <c r="D3161" s="79" t="str">
        <f t="shared" si="5"/>
        <v xml:space="preserve"> </v>
      </c>
      <c r="E3161" s="79" t="str">
        <f t="shared" si="6"/>
        <v xml:space="preserve"> </v>
      </c>
    </row>
    <row r="3162" spans="1:5" ht="12.5">
      <c r="A3162" s="81" t="str">
        <f t="shared" si="0"/>
        <v xml:space="preserve"> </v>
      </c>
      <c r="B3162" s="81" t="str">
        <f t="shared" si="1"/>
        <v xml:space="preserve"> </v>
      </c>
      <c r="C3162" s="79" t="str">
        <f t="shared" si="7"/>
        <v xml:space="preserve"> </v>
      </c>
      <c r="D3162" s="79" t="str">
        <f t="shared" si="5"/>
        <v xml:space="preserve"> </v>
      </c>
      <c r="E3162" s="79" t="str">
        <f t="shared" si="6"/>
        <v xml:space="preserve"> </v>
      </c>
    </row>
    <row r="3163" spans="1:5" ht="12.5">
      <c r="A3163" s="81" t="str">
        <f t="shared" si="0"/>
        <v xml:space="preserve"> </v>
      </c>
      <c r="B3163" s="81" t="str">
        <f t="shared" si="1"/>
        <v xml:space="preserve"> </v>
      </c>
      <c r="C3163" s="79" t="str">
        <f t="shared" si="7"/>
        <v xml:space="preserve"> </v>
      </c>
      <c r="D3163" s="79" t="str">
        <f t="shared" si="5"/>
        <v xml:space="preserve"> </v>
      </c>
      <c r="E3163" s="79" t="str">
        <f t="shared" si="6"/>
        <v xml:space="preserve"> </v>
      </c>
    </row>
    <row r="3164" spans="1:5" ht="12.5">
      <c r="A3164" s="81" t="str">
        <f t="shared" si="0"/>
        <v xml:space="preserve"> </v>
      </c>
      <c r="B3164" s="81" t="str">
        <f t="shared" si="1"/>
        <v xml:space="preserve"> </v>
      </c>
      <c r="C3164" s="79" t="str">
        <f t="shared" si="7"/>
        <v xml:space="preserve"> </v>
      </c>
      <c r="D3164" s="79" t="str">
        <f t="shared" si="5"/>
        <v xml:space="preserve"> </v>
      </c>
      <c r="E3164" s="79" t="str">
        <f t="shared" si="6"/>
        <v xml:space="preserve"> </v>
      </c>
    </row>
    <row r="3165" spans="1:5" ht="12.5">
      <c r="A3165" s="81" t="str">
        <f t="shared" si="0"/>
        <v xml:space="preserve"> </v>
      </c>
      <c r="B3165" s="81" t="str">
        <f t="shared" si="1"/>
        <v xml:space="preserve"> </v>
      </c>
      <c r="C3165" s="79" t="str">
        <f t="shared" si="7"/>
        <v xml:space="preserve"> </v>
      </c>
      <c r="D3165" s="79" t="str">
        <f t="shared" si="5"/>
        <v xml:space="preserve"> </v>
      </c>
      <c r="E3165" s="79" t="str">
        <f t="shared" si="6"/>
        <v xml:space="preserve"> </v>
      </c>
    </row>
    <row r="3166" spans="1:5" ht="12.5">
      <c r="A3166" s="81" t="str">
        <f t="shared" si="0"/>
        <v xml:space="preserve"> </v>
      </c>
      <c r="B3166" s="81" t="str">
        <f t="shared" si="1"/>
        <v xml:space="preserve"> </v>
      </c>
      <c r="C3166" s="79" t="str">
        <f t="shared" si="7"/>
        <v xml:space="preserve"> </v>
      </c>
      <c r="D3166" s="79" t="str">
        <f t="shared" si="5"/>
        <v xml:space="preserve"> </v>
      </c>
      <c r="E3166" s="79" t="str">
        <f t="shared" si="6"/>
        <v xml:space="preserve"> </v>
      </c>
    </row>
    <row r="3167" spans="1:5" ht="12.5">
      <c r="A3167" s="81" t="str">
        <f t="shared" si="0"/>
        <v xml:space="preserve"> </v>
      </c>
      <c r="B3167" s="81" t="str">
        <f t="shared" si="1"/>
        <v xml:space="preserve"> </v>
      </c>
      <c r="C3167" s="79" t="str">
        <f t="shared" si="7"/>
        <v xml:space="preserve"> </v>
      </c>
      <c r="D3167" s="79" t="str">
        <f t="shared" si="5"/>
        <v xml:space="preserve"> </v>
      </c>
      <c r="E3167" s="79" t="str">
        <f t="shared" si="6"/>
        <v xml:space="preserve"> </v>
      </c>
    </row>
    <row r="3168" spans="1:5" ht="12.5">
      <c r="A3168" s="81" t="str">
        <f t="shared" si="0"/>
        <v xml:space="preserve"> </v>
      </c>
      <c r="B3168" s="81" t="str">
        <f t="shared" si="1"/>
        <v xml:space="preserve"> </v>
      </c>
      <c r="C3168" s="79" t="str">
        <f t="shared" si="7"/>
        <v xml:space="preserve"> </v>
      </c>
      <c r="D3168" s="79" t="str">
        <f t="shared" si="5"/>
        <v xml:space="preserve"> </v>
      </c>
      <c r="E3168" s="79" t="str">
        <f t="shared" si="6"/>
        <v xml:space="preserve"> </v>
      </c>
    </row>
    <row r="3169" spans="1:5" ht="12.5">
      <c r="A3169" s="81" t="str">
        <f t="shared" si="0"/>
        <v xml:space="preserve"> </v>
      </c>
      <c r="B3169" s="81" t="str">
        <f t="shared" si="1"/>
        <v xml:space="preserve"> </v>
      </c>
      <c r="C3169" s="79" t="str">
        <f t="shared" si="7"/>
        <v xml:space="preserve"> </v>
      </c>
      <c r="D3169" s="79" t="str">
        <f t="shared" si="5"/>
        <v xml:space="preserve"> </v>
      </c>
      <c r="E3169" s="79" t="str">
        <f t="shared" si="6"/>
        <v xml:space="preserve"> </v>
      </c>
    </row>
    <row r="3170" spans="1:5" ht="12.5">
      <c r="A3170" s="81" t="str">
        <f t="shared" si="0"/>
        <v xml:space="preserve"> </v>
      </c>
      <c r="B3170" s="81" t="str">
        <f t="shared" si="1"/>
        <v xml:space="preserve"> </v>
      </c>
      <c r="C3170" s="79" t="str">
        <f t="shared" si="7"/>
        <v xml:space="preserve"> </v>
      </c>
      <c r="D3170" s="79" t="str">
        <f t="shared" si="5"/>
        <v xml:space="preserve"> </v>
      </c>
      <c r="E3170" s="79" t="str">
        <f t="shared" si="6"/>
        <v xml:space="preserve"> </v>
      </c>
    </row>
    <row r="3171" spans="1:5" ht="12.5">
      <c r="A3171" s="81" t="str">
        <f t="shared" si="0"/>
        <v xml:space="preserve"> </v>
      </c>
      <c r="B3171" s="81" t="str">
        <f t="shared" si="1"/>
        <v xml:space="preserve"> </v>
      </c>
      <c r="C3171" s="79" t="str">
        <f t="shared" si="7"/>
        <v xml:space="preserve"> </v>
      </c>
      <c r="D3171" s="79" t="str">
        <f t="shared" si="5"/>
        <v xml:space="preserve"> </v>
      </c>
      <c r="E3171" s="79" t="str">
        <f t="shared" si="6"/>
        <v xml:space="preserve"> </v>
      </c>
    </row>
    <row r="3172" spans="1:5" ht="12.5">
      <c r="A3172" s="81" t="str">
        <f t="shared" si="0"/>
        <v xml:space="preserve"> </v>
      </c>
      <c r="B3172" s="81" t="str">
        <f t="shared" si="1"/>
        <v xml:space="preserve"> </v>
      </c>
      <c r="C3172" s="79" t="str">
        <f t="shared" si="7"/>
        <v xml:space="preserve"> </v>
      </c>
      <c r="D3172" s="79" t="str">
        <f t="shared" si="5"/>
        <v xml:space="preserve"> </v>
      </c>
      <c r="E3172" s="79" t="str">
        <f t="shared" si="6"/>
        <v xml:space="preserve"> </v>
      </c>
    </row>
    <row r="3173" spans="1:5" ht="12.5">
      <c r="A3173" s="81" t="str">
        <f t="shared" si="0"/>
        <v xml:space="preserve"> </v>
      </c>
      <c r="B3173" s="81" t="str">
        <f t="shared" si="1"/>
        <v xml:space="preserve"> </v>
      </c>
      <c r="C3173" s="79" t="str">
        <f t="shared" si="7"/>
        <v xml:space="preserve"> </v>
      </c>
      <c r="D3173" s="79" t="str">
        <f t="shared" si="5"/>
        <v xml:space="preserve"> </v>
      </c>
      <c r="E3173" s="79" t="str">
        <f t="shared" si="6"/>
        <v xml:space="preserve"> </v>
      </c>
    </row>
    <row r="3174" spans="1:5" ht="12.5">
      <c r="A3174" s="81" t="str">
        <f t="shared" si="0"/>
        <v xml:space="preserve"> </v>
      </c>
      <c r="B3174" s="81" t="str">
        <f t="shared" si="1"/>
        <v xml:space="preserve"> </v>
      </c>
      <c r="C3174" s="79" t="str">
        <f t="shared" si="7"/>
        <v xml:space="preserve"> </v>
      </c>
      <c r="D3174" s="79" t="str">
        <f t="shared" si="5"/>
        <v xml:space="preserve"> </v>
      </c>
      <c r="E3174" s="79" t="str">
        <f t="shared" si="6"/>
        <v xml:space="preserve"> </v>
      </c>
    </row>
    <row r="3175" spans="1:5" ht="12.5">
      <c r="A3175" s="81" t="str">
        <f t="shared" si="0"/>
        <v xml:space="preserve"> </v>
      </c>
      <c r="B3175" s="81" t="str">
        <f t="shared" si="1"/>
        <v xml:space="preserve"> </v>
      </c>
      <c r="C3175" s="79" t="str">
        <f t="shared" si="7"/>
        <v xml:space="preserve"> </v>
      </c>
      <c r="D3175" s="79" t="str">
        <f t="shared" si="5"/>
        <v xml:space="preserve"> </v>
      </c>
      <c r="E3175" s="79" t="str">
        <f t="shared" si="6"/>
        <v xml:space="preserve"> </v>
      </c>
    </row>
    <row r="3176" spans="1:5" ht="12.5">
      <c r="A3176" s="81" t="str">
        <f t="shared" si="0"/>
        <v xml:space="preserve"> </v>
      </c>
      <c r="B3176" s="81" t="str">
        <f t="shared" si="1"/>
        <v xml:space="preserve"> </v>
      </c>
      <c r="C3176" s="79" t="str">
        <f t="shared" si="7"/>
        <v xml:space="preserve"> </v>
      </c>
      <c r="D3176" s="79" t="str">
        <f t="shared" si="5"/>
        <v xml:space="preserve"> </v>
      </c>
      <c r="E3176" s="79" t="str">
        <f t="shared" si="6"/>
        <v xml:space="preserve"> </v>
      </c>
    </row>
    <row r="3177" spans="1:5" ht="12.5">
      <c r="A3177" s="81" t="str">
        <f t="shared" si="0"/>
        <v xml:space="preserve"> </v>
      </c>
      <c r="B3177" s="81" t="str">
        <f t="shared" si="1"/>
        <v xml:space="preserve"> </v>
      </c>
      <c r="C3177" s="79" t="str">
        <f t="shared" si="7"/>
        <v xml:space="preserve"> </v>
      </c>
      <c r="D3177" s="79" t="str">
        <f t="shared" si="5"/>
        <v xml:space="preserve"> </v>
      </c>
      <c r="E3177" s="79" t="str">
        <f t="shared" si="6"/>
        <v xml:space="preserve"> </v>
      </c>
    </row>
    <row r="3178" spans="1:5" ht="12.5">
      <c r="A3178" s="81" t="str">
        <f t="shared" si="0"/>
        <v xml:space="preserve"> </v>
      </c>
      <c r="B3178" s="81" t="str">
        <f t="shared" si="1"/>
        <v xml:space="preserve"> </v>
      </c>
      <c r="C3178" s="79" t="str">
        <f t="shared" si="7"/>
        <v xml:space="preserve"> </v>
      </c>
      <c r="D3178" s="79" t="str">
        <f t="shared" si="5"/>
        <v xml:space="preserve"> </v>
      </c>
      <c r="E3178" s="79" t="str">
        <f t="shared" si="6"/>
        <v xml:space="preserve"> </v>
      </c>
    </row>
    <row r="3179" spans="1:5" ht="12.5">
      <c r="A3179" s="81" t="str">
        <f t="shared" si="0"/>
        <v xml:space="preserve"> </v>
      </c>
      <c r="B3179" s="81" t="str">
        <f t="shared" si="1"/>
        <v xml:space="preserve"> </v>
      </c>
      <c r="C3179" s="79" t="str">
        <f t="shared" si="7"/>
        <v xml:space="preserve"> </v>
      </c>
      <c r="D3179" s="79" t="str">
        <f t="shared" si="5"/>
        <v xml:space="preserve"> </v>
      </c>
      <c r="E3179" s="79" t="str">
        <f t="shared" si="6"/>
        <v xml:space="preserve"> </v>
      </c>
    </row>
    <row r="3180" spans="1:5" ht="12.5">
      <c r="A3180" s="81" t="str">
        <f t="shared" si="0"/>
        <v xml:space="preserve"> </v>
      </c>
      <c r="B3180" s="81" t="str">
        <f t="shared" si="1"/>
        <v xml:space="preserve"> </v>
      </c>
      <c r="C3180" s="79" t="str">
        <f t="shared" si="7"/>
        <v xml:space="preserve"> </v>
      </c>
      <c r="D3180" s="79" t="str">
        <f t="shared" si="5"/>
        <v xml:space="preserve"> </v>
      </c>
      <c r="E3180" s="79" t="str">
        <f t="shared" si="6"/>
        <v xml:space="preserve"> </v>
      </c>
    </row>
    <row r="3181" spans="1:5" ht="12.5">
      <c r="A3181" s="81" t="str">
        <f t="shared" si="0"/>
        <v xml:space="preserve"> </v>
      </c>
      <c r="B3181" s="81" t="str">
        <f t="shared" si="1"/>
        <v xml:space="preserve"> </v>
      </c>
      <c r="C3181" s="79" t="str">
        <f t="shared" si="7"/>
        <v xml:space="preserve"> </v>
      </c>
      <c r="D3181" s="79" t="str">
        <f t="shared" si="5"/>
        <v xml:space="preserve"> </v>
      </c>
      <c r="E3181" s="79" t="str">
        <f t="shared" si="6"/>
        <v xml:space="preserve"> </v>
      </c>
    </row>
    <row r="3182" spans="1:5" ht="12.5">
      <c r="A3182" s="81" t="str">
        <f t="shared" si="0"/>
        <v xml:space="preserve"> </v>
      </c>
      <c r="B3182" s="81" t="str">
        <f t="shared" si="1"/>
        <v xml:space="preserve"> </v>
      </c>
      <c r="C3182" s="79" t="str">
        <f t="shared" si="7"/>
        <v xml:space="preserve"> </v>
      </c>
      <c r="D3182" s="79" t="str">
        <f t="shared" si="5"/>
        <v xml:space="preserve"> </v>
      </c>
      <c r="E3182" s="79" t="str">
        <f t="shared" si="6"/>
        <v xml:space="preserve"> </v>
      </c>
    </row>
    <row r="3183" spans="1:5" ht="12.5">
      <c r="A3183" s="81" t="str">
        <f t="shared" si="0"/>
        <v xml:space="preserve"> </v>
      </c>
      <c r="B3183" s="81" t="str">
        <f t="shared" si="1"/>
        <v xml:space="preserve"> </v>
      </c>
      <c r="C3183" s="79" t="str">
        <f t="shared" si="7"/>
        <v xml:space="preserve"> </v>
      </c>
      <c r="D3183" s="79" t="str">
        <f t="shared" si="5"/>
        <v xml:space="preserve"> </v>
      </c>
      <c r="E3183" s="79" t="str">
        <f t="shared" si="6"/>
        <v xml:space="preserve"> </v>
      </c>
    </row>
    <row r="3184" spans="1:5" ht="12.5">
      <c r="A3184" s="81" t="str">
        <f t="shared" si="0"/>
        <v xml:space="preserve"> </v>
      </c>
      <c r="B3184" s="81" t="str">
        <f t="shared" si="1"/>
        <v xml:space="preserve"> </v>
      </c>
      <c r="C3184" s="79" t="str">
        <f t="shared" si="7"/>
        <v xml:space="preserve"> </v>
      </c>
      <c r="D3184" s="79" t="str">
        <f t="shared" si="5"/>
        <v xml:space="preserve"> </v>
      </c>
      <c r="E3184" s="79" t="str">
        <f t="shared" si="6"/>
        <v xml:space="preserve"> </v>
      </c>
    </row>
    <row r="3185" spans="1:5" ht="12.5">
      <c r="A3185" s="81" t="str">
        <f t="shared" si="0"/>
        <v xml:space="preserve"> </v>
      </c>
      <c r="B3185" s="81" t="str">
        <f t="shared" si="1"/>
        <v xml:space="preserve"> </v>
      </c>
      <c r="C3185" s="79" t="str">
        <f t="shared" si="7"/>
        <v xml:space="preserve"> </v>
      </c>
      <c r="D3185" s="79" t="str">
        <f t="shared" si="5"/>
        <v xml:space="preserve"> </v>
      </c>
      <c r="E3185" s="79" t="str">
        <f t="shared" si="6"/>
        <v xml:space="preserve"> </v>
      </c>
    </row>
    <row r="3186" spans="1:5" ht="12.5">
      <c r="A3186" s="81" t="str">
        <f t="shared" si="0"/>
        <v xml:space="preserve"> </v>
      </c>
      <c r="B3186" s="81" t="str">
        <f t="shared" si="1"/>
        <v xml:space="preserve"> </v>
      </c>
      <c r="C3186" s="79" t="str">
        <f t="shared" si="7"/>
        <v xml:space="preserve"> </v>
      </c>
      <c r="D3186" s="79" t="str">
        <f t="shared" si="5"/>
        <v xml:space="preserve"> </v>
      </c>
      <c r="E3186" s="79" t="str">
        <f t="shared" si="6"/>
        <v xml:space="preserve"> </v>
      </c>
    </row>
    <row r="3187" spans="1:5" ht="12.5">
      <c r="A3187" s="81" t="str">
        <f t="shared" si="0"/>
        <v xml:space="preserve"> </v>
      </c>
      <c r="B3187" s="81" t="str">
        <f t="shared" si="1"/>
        <v xml:space="preserve"> </v>
      </c>
      <c r="C3187" s="79" t="str">
        <f t="shared" si="7"/>
        <v xml:space="preserve"> </v>
      </c>
      <c r="D3187" s="79" t="str">
        <f t="shared" si="5"/>
        <v xml:space="preserve"> </v>
      </c>
      <c r="E3187" s="79" t="str">
        <f t="shared" si="6"/>
        <v xml:space="preserve"> </v>
      </c>
    </row>
    <row r="3188" spans="1:5" ht="12.5">
      <c r="A3188" s="81" t="str">
        <f t="shared" si="0"/>
        <v xml:space="preserve"> </v>
      </c>
      <c r="B3188" s="81" t="str">
        <f t="shared" si="1"/>
        <v xml:space="preserve"> </v>
      </c>
      <c r="C3188" s="79" t="str">
        <f t="shared" si="7"/>
        <v xml:space="preserve"> </v>
      </c>
      <c r="D3188" s="79" t="str">
        <f t="shared" si="5"/>
        <v xml:space="preserve"> </v>
      </c>
      <c r="E3188" s="79" t="str">
        <f t="shared" si="6"/>
        <v xml:space="preserve"> </v>
      </c>
    </row>
    <row r="3189" spans="1:5" ht="12.5">
      <c r="A3189" s="81" t="str">
        <f t="shared" si="0"/>
        <v xml:space="preserve"> </v>
      </c>
      <c r="B3189" s="81" t="str">
        <f t="shared" si="1"/>
        <v xml:space="preserve"> </v>
      </c>
      <c r="C3189" s="79" t="str">
        <f t="shared" si="7"/>
        <v xml:space="preserve"> </v>
      </c>
      <c r="D3189" s="79" t="str">
        <f t="shared" si="5"/>
        <v xml:space="preserve"> </v>
      </c>
      <c r="E3189" s="79" t="str">
        <f t="shared" si="6"/>
        <v xml:space="preserve"> </v>
      </c>
    </row>
    <row r="3190" spans="1:5" ht="12.5">
      <c r="A3190" s="81" t="str">
        <f t="shared" si="0"/>
        <v xml:space="preserve"> </v>
      </c>
      <c r="B3190" s="81" t="str">
        <f t="shared" si="1"/>
        <v xml:space="preserve"> </v>
      </c>
      <c r="C3190" s="79" t="str">
        <f t="shared" si="7"/>
        <v xml:space="preserve"> </v>
      </c>
      <c r="D3190" s="79" t="str">
        <f t="shared" si="5"/>
        <v xml:space="preserve"> </v>
      </c>
      <c r="E3190" s="79" t="str">
        <f t="shared" si="6"/>
        <v xml:space="preserve"> </v>
      </c>
    </row>
    <row r="3191" spans="1:5" ht="12.5">
      <c r="A3191" s="81" t="str">
        <f t="shared" si="0"/>
        <v xml:space="preserve"> </v>
      </c>
      <c r="B3191" s="81" t="str">
        <f t="shared" si="1"/>
        <v xml:space="preserve"> </v>
      </c>
      <c r="C3191" s="79" t="str">
        <f t="shared" si="7"/>
        <v xml:space="preserve"> </v>
      </c>
      <c r="D3191" s="79" t="str">
        <f t="shared" si="5"/>
        <v xml:space="preserve"> </v>
      </c>
      <c r="E3191" s="79" t="str">
        <f t="shared" si="6"/>
        <v xml:space="preserve"> </v>
      </c>
    </row>
    <row r="3192" spans="1:5" ht="12.5">
      <c r="A3192" s="81" t="str">
        <f t="shared" si="0"/>
        <v xml:space="preserve"> </v>
      </c>
      <c r="B3192" s="81" t="str">
        <f t="shared" si="1"/>
        <v xml:space="preserve"> </v>
      </c>
      <c r="C3192" s="79" t="str">
        <f t="shared" si="7"/>
        <v xml:space="preserve"> </v>
      </c>
      <c r="D3192" s="79" t="str">
        <f t="shared" si="5"/>
        <v xml:space="preserve"> </v>
      </c>
      <c r="E3192" s="79" t="str">
        <f t="shared" si="6"/>
        <v xml:space="preserve"> </v>
      </c>
    </row>
    <row r="3193" spans="1:5" ht="12.5">
      <c r="A3193" s="81" t="str">
        <f t="shared" si="0"/>
        <v xml:space="preserve"> </v>
      </c>
      <c r="B3193" s="81" t="str">
        <f t="shared" si="1"/>
        <v xml:space="preserve"> </v>
      </c>
      <c r="C3193" s="79" t="str">
        <f t="shared" si="7"/>
        <v xml:space="preserve"> </v>
      </c>
      <c r="D3193" s="79" t="str">
        <f t="shared" si="5"/>
        <v xml:space="preserve"> </v>
      </c>
      <c r="E3193" s="79" t="str">
        <f t="shared" si="6"/>
        <v xml:space="preserve"> </v>
      </c>
    </row>
    <row r="3194" spans="1:5" ht="12.5">
      <c r="A3194" s="81" t="str">
        <f t="shared" si="0"/>
        <v xml:space="preserve"> </v>
      </c>
      <c r="B3194" s="81" t="str">
        <f t="shared" si="1"/>
        <v xml:space="preserve"> </v>
      </c>
      <c r="C3194" s="79" t="str">
        <f t="shared" si="7"/>
        <v xml:space="preserve"> </v>
      </c>
      <c r="D3194" s="79" t="str">
        <f t="shared" si="5"/>
        <v xml:space="preserve"> </v>
      </c>
      <c r="E3194" s="79" t="str">
        <f t="shared" si="6"/>
        <v xml:space="preserve"> </v>
      </c>
    </row>
    <row r="3195" spans="1:5" ht="12.5">
      <c r="A3195" s="81" t="str">
        <f t="shared" si="0"/>
        <v xml:space="preserve"> </v>
      </c>
      <c r="B3195" s="81" t="str">
        <f t="shared" si="1"/>
        <v xml:space="preserve"> </v>
      </c>
      <c r="C3195" s="79" t="str">
        <f t="shared" si="7"/>
        <v xml:space="preserve"> </v>
      </c>
      <c r="D3195" s="79" t="str">
        <f t="shared" si="5"/>
        <v xml:space="preserve"> </v>
      </c>
      <c r="E3195" s="79" t="str">
        <f t="shared" si="6"/>
        <v xml:space="preserve"> </v>
      </c>
    </row>
    <row r="3196" spans="1:5" ht="12.5">
      <c r="A3196" s="81" t="str">
        <f t="shared" si="0"/>
        <v xml:space="preserve"> </v>
      </c>
      <c r="B3196" s="81" t="str">
        <f t="shared" si="1"/>
        <v xml:space="preserve"> </v>
      </c>
      <c r="C3196" s="79" t="str">
        <f t="shared" si="7"/>
        <v xml:space="preserve"> </v>
      </c>
      <c r="D3196" s="79" t="str">
        <f t="shared" si="5"/>
        <v xml:space="preserve"> </v>
      </c>
      <c r="E3196" s="79" t="str">
        <f t="shared" si="6"/>
        <v xml:space="preserve"> </v>
      </c>
    </row>
    <row r="3197" spans="1:5" ht="12.5">
      <c r="A3197" s="81" t="str">
        <f t="shared" si="0"/>
        <v xml:space="preserve"> </v>
      </c>
      <c r="B3197" s="81" t="str">
        <f t="shared" si="1"/>
        <v xml:space="preserve"> </v>
      </c>
      <c r="C3197" s="79" t="str">
        <f t="shared" si="7"/>
        <v xml:space="preserve"> </v>
      </c>
      <c r="D3197" s="79" t="str">
        <f t="shared" si="5"/>
        <v xml:space="preserve"> </v>
      </c>
      <c r="E3197" s="79" t="str">
        <f t="shared" si="6"/>
        <v xml:space="preserve"> </v>
      </c>
    </row>
    <row r="3198" spans="1:5" ht="12.5">
      <c r="A3198" s="81" t="str">
        <f t="shared" si="0"/>
        <v xml:space="preserve"> </v>
      </c>
      <c r="B3198" s="81" t="str">
        <f t="shared" si="1"/>
        <v xml:space="preserve"> </v>
      </c>
      <c r="C3198" s="79" t="str">
        <f t="shared" si="7"/>
        <v xml:space="preserve"> </v>
      </c>
      <c r="D3198" s="79" t="str">
        <f t="shared" si="5"/>
        <v xml:space="preserve"> </v>
      </c>
      <c r="E3198" s="79" t="str">
        <f t="shared" si="6"/>
        <v xml:space="preserve"> </v>
      </c>
    </row>
    <row r="3199" spans="1:5" ht="12.5">
      <c r="A3199" s="81" t="str">
        <f t="shared" si="0"/>
        <v xml:space="preserve"> </v>
      </c>
      <c r="B3199" s="81" t="str">
        <f t="shared" si="1"/>
        <v xml:space="preserve"> </v>
      </c>
      <c r="C3199" s="79" t="str">
        <f t="shared" si="7"/>
        <v xml:space="preserve"> </v>
      </c>
      <c r="D3199" s="79" t="str">
        <f t="shared" si="5"/>
        <v xml:space="preserve"> </v>
      </c>
      <c r="E3199" s="79" t="str">
        <f t="shared" si="6"/>
        <v xml:space="preserve"> </v>
      </c>
    </row>
    <row r="3200" spans="1:5" ht="12.5">
      <c r="A3200" s="81" t="str">
        <f t="shared" si="0"/>
        <v xml:space="preserve"> </v>
      </c>
      <c r="B3200" s="81" t="str">
        <f t="shared" si="1"/>
        <v xml:space="preserve"> </v>
      </c>
      <c r="C3200" s="79" t="str">
        <f t="shared" si="7"/>
        <v xml:space="preserve"> </v>
      </c>
      <c r="D3200" s="79" t="str">
        <f t="shared" si="5"/>
        <v xml:space="preserve"> </v>
      </c>
      <c r="E3200" s="79" t="str">
        <f t="shared" si="6"/>
        <v xml:space="preserve"> </v>
      </c>
    </row>
    <row r="3201" spans="1:5" ht="12.5">
      <c r="A3201" s="81" t="str">
        <f t="shared" si="0"/>
        <v xml:space="preserve"> </v>
      </c>
      <c r="B3201" s="81" t="str">
        <f t="shared" si="1"/>
        <v xml:space="preserve"> </v>
      </c>
      <c r="C3201" s="79" t="str">
        <f t="shared" si="7"/>
        <v xml:space="preserve"> </v>
      </c>
      <c r="D3201" s="79" t="str">
        <f t="shared" si="5"/>
        <v xml:space="preserve"> </v>
      </c>
      <c r="E3201" s="79" t="str">
        <f t="shared" si="6"/>
        <v xml:space="preserve"> </v>
      </c>
    </row>
    <row r="3202" spans="1:5" ht="12.5">
      <c r="A3202" s="81" t="str">
        <f t="shared" si="0"/>
        <v xml:space="preserve"> </v>
      </c>
      <c r="B3202" s="81" t="str">
        <f t="shared" si="1"/>
        <v xml:space="preserve"> </v>
      </c>
      <c r="C3202" s="79" t="str">
        <f t="shared" si="7"/>
        <v xml:space="preserve"> </v>
      </c>
      <c r="D3202" s="79" t="str">
        <f t="shared" si="5"/>
        <v xml:space="preserve"> </v>
      </c>
      <c r="E3202" s="79" t="str">
        <f t="shared" si="6"/>
        <v xml:space="preserve"> </v>
      </c>
    </row>
    <row r="3203" spans="1:5" ht="12.5">
      <c r="A3203" s="81" t="str">
        <f t="shared" si="0"/>
        <v xml:space="preserve"> </v>
      </c>
      <c r="B3203" s="81" t="str">
        <f t="shared" si="1"/>
        <v xml:space="preserve"> </v>
      </c>
      <c r="C3203" s="79" t="str">
        <f t="shared" si="7"/>
        <v xml:space="preserve"> </v>
      </c>
      <c r="D3203" s="79" t="str">
        <f t="shared" si="5"/>
        <v xml:space="preserve"> </v>
      </c>
      <c r="E3203" s="79" t="str">
        <f t="shared" si="6"/>
        <v xml:space="preserve"> </v>
      </c>
    </row>
    <row r="3204" spans="1:5" ht="12.5">
      <c r="A3204" s="81" t="str">
        <f t="shared" si="0"/>
        <v xml:space="preserve"> </v>
      </c>
      <c r="B3204" s="81" t="str">
        <f t="shared" si="1"/>
        <v xml:space="preserve"> </v>
      </c>
      <c r="C3204" s="79" t="str">
        <f t="shared" si="7"/>
        <v xml:space="preserve"> </v>
      </c>
      <c r="D3204" s="79" t="str">
        <f t="shared" si="5"/>
        <v xml:space="preserve"> </v>
      </c>
      <c r="E3204" s="79" t="str">
        <f t="shared" si="6"/>
        <v xml:space="preserve"> </v>
      </c>
    </row>
    <row r="3205" spans="1:5" ht="12.5">
      <c r="A3205" s="81" t="str">
        <f t="shared" si="0"/>
        <v xml:space="preserve"> </v>
      </c>
      <c r="B3205" s="81" t="str">
        <f t="shared" si="1"/>
        <v xml:space="preserve"> </v>
      </c>
      <c r="C3205" s="79" t="str">
        <f t="shared" si="7"/>
        <v xml:space="preserve"> </v>
      </c>
      <c r="D3205" s="79" t="str">
        <f t="shared" si="5"/>
        <v xml:space="preserve"> </v>
      </c>
      <c r="E3205" s="79" t="str">
        <f t="shared" si="6"/>
        <v xml:space="preserve"> </v>
      </c>
    </row>
    <row r="3206" spans="1:5" ht="12.5">
      <c r="A3206" s="81" t="str">
        <f t="shared" si="0"/>
        <v xml:space="preserve"> </v>
      </c>
      <c r="B3206" s="81" t="str">
        <f t="shared" si="1"/>
        <v xml:space="preserve"> </v>
      </c>
      <c r="C3206" s="79" t="str">
        <f t="shared" si="7"/>
        <v xml:space="preserve"> </v>
      </c>
      <c r="D3206" s="79" t="str">
        <f t="shared" si="5"/>
        <v xml:space="preserve"> </v>
      </c>
      <c r="E3206" s="79" t="str">
        <f t="shared" si="6"/>
        <v xml:space="preserve"> </v>
      </c>
    </row>
    <row r="3207" spans="1:5" ht="12.5">
      <c r="A3207" s="81" t="str">
        <f t="shared" si="0"/>
        <v xml:space="preserve"> </v>
      </c>
      <c r="B3207" s="81" t="str">
        <f t="shared" si="1"/>
        <v xml:space="preserve"> </v>
      </c>
      <c r="C3207" s="79" t="str">
        <f t="shared" si="7"/>
        <v xml:space="preserve"> </v>
      </c>
      <c r="D3207" s="79" t="str">
        <f t="shared" si="5"/>
        <v xml:space="preserve"> </v>
      </c>
      <c r="E3207" s="79" t="str">
        <f t="shared" si="6"/>
        <v xml:space="preserve"> </v>
      </c>
    </row>
    <row r="3208" spans="1:5" ht="12.5">
      <c r="A3208" s="81" t="str">
        <f t="shared" si="0"/>
        <v xml:space="preserve"> </v>
      </c>
      <c r="B3208" s="81" t="str">
        <f t="shared" si="1"/>
        <v xml:space="preserve"> </v>
      </c>
      <c r="C3208" s="79" t="str">
        <f t="shared" si="7"/>
        <v xml:space="preserve"> </v>
      </c>
      <c r="D3208" s="79" t="str">
        <f t="shared" si="5"/>
        <v xml:space="preserve"> </v>
      </c>
      <c r="E3208" s="79" t="str">
        <f t="shared" si="6"/>
        <v xml:space="preserve"> </v>
      </c>
    </row>
    <row r="3209" spans="1:5" ht="12.5">
      <c r="A3209" s="81" t="str">
        <f t="shared" si="0"/>
        <v xml:space="preserve"> </v>
      </c>
      <c r="B3209" s="81" t="str">
        <f t="shared" si="1"/>
        <v xml:space="preserve"> </v>
      </c>
      <c r="C3209" s="79" t="str">
        <f t="shared" si="7"/>
        <v xml:space="preserve"> </v>
      </c>
      <c r="D3209" s="79" t="str">
        <f t="shared" si="5"/>
        <v xml:space="preserve"> </v>
      </c>
      <c r="E3209" s="79" t="str">
        <f t="shared" si="6"/>
        <v xml:space="preserve"> </v>
      </c>
    </row>
    <row r="3210" spans="1:5" ht="12.5">
      <c r="A3210" s="81" t="str">
        <f t="shared" si="0"/>
        <v xml:space="preserve"> </v>
      </c>
      <c r="B3210" s="81" t="str">
        <f t="shared" si="1"/>
        <v xml:space="preserve"> </v>
      </c>
      <c r="C3210" s="79" t="str">
        <f t="shared" si="7"/>
        <v xml:space="preserve"> </v>
      </c>
      <c r="D3210" s="79" t="str">
        <f t="shared" si="5"/>
        <v xml:space="preserve"> </v>
      </c>
      <c r="E3210" s="79" t="str">
        <f t="shared" si="6"/>
        <v xml:space="preserve"> </v>
      </c>
    </row>
    <row r="3211" spans="1:5" ht="12.5">
      <c r="A3211" s="81" t="str">
        <f t="shared" si="0"/>
        <v xml:space="preserve"> </v>
      </c>
      <c r="B3211" s="81" t="str">
        <f t="shared" si="1"/>
        <v xml:space="preserve"> </v>
      </c>
      <c r="C3211" s="79" t="str">
        <f t="shared" si="7"/>
        <v xml:space="preserve"> </v>
      </c>
      <c r="D3211" s="79" t="str">
        <f t="shared" si="5"/>
        <v xml:space="preserve"> </v>
      </c>
      <c r="E3211" s="79" t="str">
        <f t="shared" si="6"/>
        <v xml:space="preserve"> </v>
      </c>
    </row>
    <row r="3212" spans="1:5" ht="12.5">
      <c r="A3212" s="81" t="str">
        <f t="shared" si="0"/>
        <v xml:space="preserve"> </v>
      </c>
      <c r="B3212" s="81" t="str">
        <f t="shared" si="1"/>
        <v xml:space="preserve"> </v>
      </c>
      <c r="C3212" s="79" t="str">
        <f t="shared" si="7"/>
        <v xml:space="preserve"> </v>
      </c>
      <c r="D3212" s="79" t="str">
        <f t="shared" si="5"/>
        <v xml:space="preserve"> </v>
      </c>
      <c r="E3212" s="79" t="str">
        <f t="shared" si="6"/>
        <v xml:space="preserve"> </v>
      </c>
    </row>
    <row r="3213" spans="1:5" ht="12.5">
      <c r="A3213" s="81" t="str">
        <f t="shared" si="0"/>
        <v xml:space="preserve"> </v>
      </c>
      <c r="B3213" s="81" t="str">
        <f t="shared" si="1"/>
        <v xml:space="preserve"> </v>
      </c>
      <c r="C3213" s="79" t="str">
        <f t="shared" si="7"/>
        <v xml:space="preserve"> </v>
      </c>
      <c r="D3213" s="79" t="str">
        <f t="shared" si="5"/>
        <v xml:space="preserve"> </v>
      </c>
      <c r="E3213" s="79" t="str">
        <f t="shared" si="6"/>
        <v xml:space="preserve"> </v>
      </c>
    </row>
    <row r="3214" spans="1:5" ht="12.5">
      <c r="A3214" s="81" t="str">
        <f t="shared" si="0"/>
        <v xml:space="preserve"> </v>
      </c>
      <c r="B3214" s="81" t="str">
        <f t="shared" si="1"/>
        <v xml:space="preserve"> </v>
      </c>
      <c r="C3214" s="79" t="str">
        <f t="shared" si="7"/>
        <v xml:space="preserve"> </v>
      </c>
      <c r="D3214" s="79" t="str">
        <f t="shared" si="5"/>
        <v xml:space="preserve"> </v>
      </c>
      <c r="E3214" s="79" t="str">
        <f t="shared" si="6"/>
        <v xml:space="preserve"> </v>
      </c>
    </row>
    <row r="3215" spans="1:5" ht="12.5">
      <c r="A3215" s="81" t="str">
        <f t="shared" si="0"/>
        <v xml:space="preserve"> </v>
      </c>
      <c r="B3215" s="81" t="str">
        <f t="shared" si="1"/>
        <v xml:space="preserve"> </v>
      </c>
      <c r="C3215" s="79" t="str">
        <f t="shared" si="7"/>
        <v xml:space="preserve"> </v>
      </c>
      <c r="D3215" s="79" t="str">
        <f t="shared" si="5"/>
        <v xml:space="preserve"> </v>
      </c>
      <c r="E3215" s="79" t="str">
        <f t="shared" si="6"/>
        <v xml:space="preserve"> </v>
      </c>
    </row>
    <row r="3216" spans="1:5" ht="12.5">
      <c r="A3216" s="81" t="str">
        <f t="shared" si="0"/>
        <v xml:space="preserve"> </v>
      </c>
      <c r="B3216" s="81" t="str">
        <f t="shared" si="1"/>
        <v xml:space="preserve"> </v>
      </c>
      <c r="C3216" s="79" t="str">
        <f t="shared" si="7"/>
        <v xml:space="preserve"> </v>
      </c>
      <c r="D3216" s="79" t="str">
        <f t="shared" si="5"/>
        <v xml:space="preserve"> </v>
      </c>
      <c r="E3216" s="79" t="str">
        <f t="shared" si="6"/>
        <v xml:space="preserve"> </v>
      </c>
    </row>
    <row r="3217" spans="1:5" ht="12.5">
      <c r="A3217" s="81" t="str">
        <f t="shared" si="0"/>
        <v xml:space="preserve"> </v>
      </c>
      <c r="B3217" s="81" t="str">
        <f t="shared" si="1"/>
        <v xml:space="preserve"> </v>
      </c>
      <c r="C3217" s="79" t="str">
        <f t="shared" si="7"/>
        <v xml:space="preserve"> </v>
      </c>
      <c r="D3217" s="79" t="str">
        <f t="shared" si="5"/>
        <v xml:space="preserve"> </v>
      </c>
      <c r="E3217" s="79" t="str">
        <f t="shared" si="6"/>
        <v xml:space="preserve"> </v>
      </c>
    </row>
    <row r="3218" spans="1:5" ht="12.5">
      <c r="A3218" s="81" t="str">
        <f t="shared" si="0"/>
        <v xml:space="preserve"> </v>
      </c>
      <c r="B3218" s="81" t="str">
        <f t="shared" si="1"/>
        <v xml:space="preserve"> </v>
      </c>
      <c r="C3218" s="79" t="str">
        <f t="shared" si="7"/>
        <v xml:space="preserve"> </v>
      </c>
      <c r="D3218" s="79" t="str">
        <f t="shared" si="5"/>
        <v xml:space="preserve"> </v>
      </c>
      <c r="E3218" s="79" t="str">
        <f t="shared" si="6"/>
        <v xml:space="preserve"> </v>
      </c>
    </row>
    <row r="3219" spans="1:5" ht="12.5">
      <c r="A3219" s="81" t="str">
        <f t="shared" si="0"/>
        <v xml:space="preserve"> </v>
      </c>
      <c r="B3219" s="81" t="str">
        <f t="shared" si="1"/>
        <v xml:space="preserve"> </v>
      </c>
      <c r="C3219" s="79" t="str">
        <f t="shared" si="7"/>
        <v xml:space="preserve"> </v>
      </c>
      <c r="D3219" s="79" t="str">
        <f t="shared" si="5"/>
        <v xml:space="preserve"> </v>
      </c>
      <c r="E3219" s="79" t="str">
        <f t="shared" si="6"/>
        <v xml:space="preserve"> </v>
      </c>
    </row>
    <row r="3220" spans="1:5" ht="12.5">
      <c r="A3220" s="81" t="str">
        <f t="shared" si="0"/>
        <v xml:space="preserve"> </v>
      </c>
      <c r="B3220" s="81" t="str">
        <f t="shared" si="1"/>
        <v xml:space="preserve"> </v>
      </c>
      <c r="C3220" s="79" t="str">
        <f t="shared" si="7"/>
        <v xml:space="preserve"> </v>
      </c>
      <c r="D3220" s="79" t="str">
        <f t="shared" si="5"/>
        <v xml:space="preserve"> </v>
      </c>
      <c r="E3220" s="79" t="str">
        <f t="shared" si="6"/>
        <v xml:space="preserve"> </v>
      </c>
    </row>
    <row r="3221" spans="1:5" ht="12.5">
      <c r="A3221" s="81" t="str">
        <f t="shared" si="0"/>
        <v xml:space="preserve"> </v>
      </c>
      <c r="B3221" s="81" t="str">
        <f t="shared" si="1"/>
        <v xml:space="preserve"> </v>
      </c>
      <c r="C3221" s="79" t="str">
        <f t="shared" si="7"/>
        <v xml:space="preserve"> </v>
      </c>
      <c r="D3221" s="79" t="str">
        <f t="shared" si="5"/>
        <v xml:space="preserve"> </v>
      </c>
      <c r="E3221" s="79" t="str">
        <f t="shared" si="6"/>
        <v xml:space="preserve"> </v>
      </c>
    </row>
    <row r="3222" spans="1:5" ht="12.5">
      <c r="A3222" s="81" t="str">
        <f t="shared" si="0"/>
        <v xml:space="preserve"> </v>
      </c>
      <c r="B3222" s="81" t="str">
        <f t="shared" si="1"/>
        <v xml:space="preserve"> </v>
      </c>
      <c r="C3222" s="79" t="str">
        <f t="shared" si="7"/>
        <v xml:space="preserve"> </v>
      </c>
      <c r="D3222" s="79" t="str">
        <f t="shared" si="5"/>
        <v xml:space="preserve"> </v>
      </c>
      <c r="E3222" s="79" t="str">
        <f t="shared" si="6"/>
        <v xml:space="preserve"> </v>
      </c>
    </row>
    <row r="3223" spans="1:5" ht="12.5">
      <c r="A3223" s="81" t="str">
        <f t="shared" si="0"/>
        <v xml:space="preserve"> </v>
      </c>
      <c r="B3223" s="81" t="str">
        <f t="shared" si="1"/>
        <v xml:space="preserve"> </v>
      </c>
      <c r="C3223" s="79" t="str">
        <f t="shared" si="7"/>
        <v xml:space="preserve"> </v>
      </c>
      <c r="D3223" s="79" t="str">
        <f t="shared" si="5"/>
        <v xml:space="preserve"> </v>
      </c>
      <c r="E3223" s="79" t="str">
        <f t="shared" si="6"/>
        <v xml:space="preserve"> </v>
      </c>
    </row>
    <row r="3224" spans="1:5" ht="12.5">
      <c r="A3224" s="81" t="str">
        <f t="shared" si="0"/>
        <v xml:space="preserve"> </v>
      </c>
      <c r="B3224" s="81" t="str">
        <f t="shared" si="1"/>
        <v xml:space="preserve"> </v>
      </c>
      <c r="C3224" s="79" t="str">
        <f t="shared" si="7"/>
        <v xml:space="preserve"> </v>
      </c>
      <c r="D3224" s="79" t="str">
        <f t="shared" si="5"/>
        <v xml:space="preserve"> </v>
      </c>
      <c r="E3224" s="79" t="str">
        <f t="shared" si="6"/>
        <v xml:space="preserve"> </v>
      </c>
    </row>
    <row r="3225" spans="1:5" ht="12.5">
      <c r="A3225" s="81" t="str">
        <f t="shared" si="0"/>
        <v xml:space="preserve"> </v>
      </c>
      <c r="B3225" s="81" t="str">
        <f t="shared" si="1"/>
        <v xml:space="preserve"> </v>
      </c>
      <c r="C3225" s="79" t="str">
        <f t="shared" si="7"/>
        <v xml:space="preserve"> </v>
      </c>
      <c r="D3225" s="79" t="str">
        <f t="shared" si="5"/>
        <v xml:space="preserve"> </v>
      </c>
      <c r="E3225" s="79" t="str">
        <f t="shared" si="6"/>
        <v xml:space="preserve"> </v>
      </c>
    </row>
    <row r="3226" spans="1:5" ht="12.5">
      <c r="A3226" s="81" t="str">
        <f t="shared" si="0"/>
        <v xml:space="preserve"> </v>
      </c>
      <c r="B3226" s="81" t="str">
        <f t="shared" si="1"/>
        <v xml:space="preserve"> </v>
      </c>
      <c r="C3226" s="79" t="str">
        <f t="shared" si="7"/>
        <v xml:space="preserve"> </v>
      </c>
      <c r="D3226" s="79" t="str">
        <f t="shared" si="5"/>
        <v xml:space="preserve"> </v>
      </c>
      <c r="E3226" s="79" t="str">
        <f t="shared" si="6"/>
        <v xml:space="preserve"> </v>
      </c>
    </row>
    <row r="3227" spans="1:5" ht="12.5">
      <c r="A3227" s="81" t="str">
        <f t="shared" si="0"/>
        <v xml:space="preserve"> </v>
      </c>
      <c r="B3227" s="81" t="str">
        <f t="shared" si="1"/>
        <v xml:space="preserve"> </v>
      </c>
      <c r="C3227" s="79" t="str">
        <f t="shared" si="7"/>
        <v xml:space="preserve"> </v>
      </c>
      <c r="D3227" s="79" t="str">
        <f t="shared" si="5"/>
        <v xml:space="preserve"> </v>
      </c>
      <c r="E3227" s="79" t="str">
        <f t="shared" si="6"/>
        <v xml:space="preserve"> </v>
      </c>
    </row>
    <row r="3228" spans="1:5" ht="12.5">
      <c r="A3228" s="81" t="str">
        <f t="shared" si="0"/>
        <v xml:space="preserve"> </v>
      </c>
      <c r="B3228" s="81" t="str">
        <f t="shared" si="1"/>
        <v xml:space="preserve"> </v>
      </c>
      <c r="C3228" s="79" t="str">
        <f t="shared" si="7"/>
        <v xml:space="preserve"> </v>
      </c>
      <c r="D3228" s="79" t="str">
        <f t="shared" si="5"/>
        <v xml:space="preserve"> </v>
      </c>
      <c r="E3228" s="79" t="str">
        <f t="shared" si="6"/>
        <v xml:space="preserve"> </v>
      </c>
    </row>
    <row r="3229" spans="1:5" ht="12.5">
      <c r="A3229" s="81" t="str">
        <f t="shared" si="0"/>
        <v xml:space="preserve"> </v>
      </c>
      <c r="B3229" s="81" t="str">
        <f t="shared" si="1"/>
        <v xml:space="preserve"> </v>
      </c>
      <c r="C3229" s="79" t="str">
        <f t="shared" si="7"/>
        <v xml:space="preserve"> </v>
      </c>
      <c r="D3229" s="79" t="str">
        <f t="shared" si="5"/>
        <v xml:space="preserve"> </v>
      </c>
      <c r="E3229" s="79" t="str">
        <f t="shared" si="6"/>
        <v xml:space="preserve"> </v>
      </c>
    </row>
    <row r="3230" spans="1:5" ht="12.5">
      <c r="A3230" s="81" t="str">
        <f t="shared" si="0"/>
        <v xml:space="preserve"> </v>
      </c>
      <c r="B3230" s="81" t="str">
        <f t="shared" si="1"/>
        <v xml:space="preserve"> </v>
      </c>
      <c r="C3230" s="79" t="str">
        <f t="shared" si="7"/>
        <v xml:space="preserve"> </v>
      </c>
      <c r="D3230" s="79" t="str">
        <f t="shared" si="5"/>
        <v xml:space="preserve"> </v>
      </c>
      <c r="E3230" s="79" t="str">
        <f t="shared" si="6"/>
        <v xml:space="preserve"> </v>
      </c>
    </row>
    <row r="3231" spans="1:5" ht="12.5">
      <c r="A3231" s="81" t="str">
        <f t="shared" si="0"/>
        <v xml:space="preserve"> </v>
      </c>
      <c r="B3231" s="81" t="str">
        <f t="shared" si="1"/>
        <v xml:space="preserve"> </v>
      </c>
      <c r="C3231" s="79" t="str">
        <f t="shared" si="7"/>
        <v xml:space="preserve"> </v>
      </c>
      <c r="D3231" s="79" t="str">
        <f t="shared" si="5"/>
        <v xml:space="preserve"> </v>
      </c>
      <c r="E3231" s="79" t="str">
        <f t="shared" si="6"/>
        <v xml:space="preserve"> </v>
      </c>
    </row>
    <row r="3232" spans="1:5" ht="12.5">
      <c r="A3232" s="81" t="str">
        <f t="shared" si="0"/>
        <v xml:space="preserve"> </v>
      </c>
      <c r="B3232" s="81" t="str">
        <f t="shared" si="1"/>
        <v xml:space="preserve"> </v>
      </c>
      <c r="C3232" s="79" t="str">
        <f t="shared" si="7"/>
        <v xml:space="preserve"> </v>
      </c>
      <c r="D3232" s="79" t="str">
        <f t="shared" si="5"/>
        <v xml:space="preserve"> </v>
      </c>
      <c r="E3232" s="79" t="str">
        <f t="shared" si="6"/>
        <v xml:space="preserve"> </v>
      </c>
    </row>
    <row r="3233" spans="1:5" ht="12.5">
      <c r="A3233" s="81" t="str">
        <f t="shared" si="0"/>
        <v xml:space="preserve"> </v>
      </c>
      <c r="B3233" s="81" t="str">
        <f t="shared" si="1"/>
        <v xml:space="preserve"> </v>
      </c>
      <c r="C3233" s="79" t="str">
        <f t="shared" si="7"/>
        <v xml:space="preserve"> </v>
      </c>
      <c r="D3233" s="79" t="str">
        <f t="shared" si="5"/>
        <v xml:space="preserve"> </v>
      </c>
      <c r="E3233" s="79" t="str">
        <f t="shared" si="6"/>
        <v xml:space="preserve"> </v>
      </c>
    </row>
    <row r="3234" spans="1:5" ht="12.5">
      <c r="A3234" s="81" t="str">
        <f t="shared" si="0"/>
        <v xml:space="preserve"> </v>
      </c>
      <c r="B3234" s="81" t="str">
        <f t="shared" si="1"/>
        <v xml:space="preserve"> </v>
      </c>
      <c r="C3234" s="79" t="str">
        <f t="shared" si="7"/>
        <v xml:space="preserve"> </v>
      </c>
      <c r="D3234" s="79" t="str">
        <f t="shared" si="5"/>
        <v xml:space="preserve"> </v>
      </c>
      <c r="E3234" s="79" t="str">
        <f t="shared" si="6"/>
        <v xml:space="preserve"> </v>
      </c>
    </row>
    <row r="3235" spans="1:5" ht="12.5">
      <c r="A3235" s="81" t="str">
        <f t="shared" si="0"/>
        <v xml:space="preserve"> </v>
      </c>
      <c r="B3235" s="81" t="str">
        <f t="shared" si="1"/>
        <v xml:space="preserve"> </v>
      </c>
      <c r="C3235" s="79" t="str">
        <f t="shared" si="7"/>
        <v xml:space="preserve"> </v>
      </c>
      <c r="D3235" s="79" t="str">
        <f t="shared" si="5"/>
        <v xml:space="preserve"> </v>
      </c>
      <c r="E3235" s="79" t="str">
        <f t="shared" si="6"/>
        <v xml:space="preserve"> </v>
      </c>
    </row>
    <row r="3236" spans="1:5" ht="12.5">
      <c r="A3236" s="81" t="str">
        <f t="shared" si="0"/>
        <v xml:space="preserve"> </v>
      </c>
      <c r="B3236" s="81" t="str">
        <f t="shared" si="1"/>
        <v xml:space="preserve"> </v>
      </c>
      <c r="C3236" s="79" t="str">
        <f t="shared" si="7"/>
        <v xml:space="preserve"> </v>
      </c>
      <c r="D3236" s="79" t="str">
        <f t="shared" si="5"/>
        <v xml:space="preserve"> </v>
      </c>
      <c r="E3236" s="79" t="str">
        <f t="shared" si="6"/>
        <v xml:space="preserve"> </v>
      </c>
    </row>
    <row r="3237" spans="1:5" ht="12.5">
      <c r="A3237" s="81" t="str">
        <f t="shared" si="0"/>
        <v xml:space="preserve"> </v>
      </c>
      <c r="B3237" s="81" t="str">
        <f t="shared" si="1"/>
        <v xml:space="preserve"> </v>
      </c>
      <c r="C3237" s="79" t="str">
        <f t="shared" si="7"/>
        <v xml:space="preserve"> </v>
      </c>
      <c r="D3237" s="79" t="str">
        <f t="shared" si="5"/>
        <v xml:space="preserve"> </v>
      </c>
      <c r="E3237" s="79" t="str">
        <f t="shared" si="6"/>
        <v xml:space="preserve"> </v>
      </c>
    </row>
    <row r="3238" spans="1:5" ht="12.5">
      <c r="A3238" s="81" t="str">
        <f t="shared" si="0"/>
        <v xml:space="preserve"> </v>
      </c>
      <c r="B3238" s="81" t="str">
        <f t="shared" si="1"/>
        <v xml:space="preserve"> </v>
      </c>
      <c r="C3238" s="79" t="str">
        <f t="shared" si="7"/>
        <v xml:space="preserve"> </v>
      </c>
      <c r="D3238" s="79" t="str">
        <f t="shared" si="5"/>
        <v xml:space="preserve"> </v>
      </c>
      <c r="E3238" s="79" t="str">
        <f t="shared" si="6"/>
        <v xml:space="preserve"> </v>
      </c>
    </row>
    <row r="3239" spans="1:5" ht="12.5">
      <c r="A3239" s="81" t="str">
        <f t="shared" si="0"/>
        <v xml:space="preserve"> </v>
      </c>
      <c r="B3239" s="81" t="str">
        <f t="shared" si="1"/>
        <v xml:space="preserve"> </v>
      </c>
      <c r="C3239" s="79" t="str">
        <f t="shared" si="7"/>
        <v xml:space="preserve"> </v>
      </c>
      <c r="D3239" s="79" t="str">
        <f t="shared" si="5"/>
        <v xml:space="preserve"> </v>
      </c>
      <c r="E3239" s="79" t="str">
        <f t="shared" si="6"/>
        <v xml:space="preserve"> </v>
      </c>
    </row>
    <row r="3240" spans="1:5" ht="12.5">
      <c r="A3240" s="81" t="str">
        <f t="shared" si="0"/>
        <v xml:space="preserve"> </v>
      </c>
      <c r="B3240" s="81" t="str">
        <f t="shared" si="1"/>
        <v xml:space="preserve"> </v>
      </c>
      <c r="C3240" s="79" t="str">
        <f t="shared" si="7"/>
        <v xml:space="preserve"> </v>
      </c>
      <c r="D3240" s="79" t="str">
        <f t="shared" si="5"/>
        <v xml:space="preserve"> </v>
      </c>
      <c r="E3240" s="79" t="str">
        <f t="shared" si="6"/>
        <v xml:space="preserve"> </v>
      </c>
    </row>
    <row r="3241" spans="1:5" ht="12.5">
      <c r="A3241" s="81" t="str">
        <f t="shared" si="0"/>
        <v xml:space="preserve"> </v>
      </c>
      <c r="B3241" s="81" t="str">
        <f t="shared" si="1"/>
        <v xml:space="preserve"> </v>
      </c>
      <c r="C3241" s="79" t="str">
        <f t="shared" si="7"/>
        <v xml:space="preserve"> </v>
      </c>
      <c r="D3241" s="79" t="str">
        <f t="shared" si="5"/>
        <v xml:space="preserve"> </v>
      </c>
      <c r="E3241" s="79" t="str">
        <f t="shared" si="6"/>
        <v xml:space="preserve"> </v>
      </c>
    </row>
    <row r="3242" spans="1:5" ht="12.5">
      <c r="A3242" s="81" t="str">
        <f t="shared" si="0"/>
        <v xml:space="preserve"> </v>
      </c>
      <c r="B3242" s="81" t="str">
        <f t="shared" si="1"/>
        <v xml:space="preserve"> </v>
      </c>
      <c r="C3242" s="79" t="str">
        <f t="shared" si="7"/>
        <v xml:space="preserve"> </v>
      </c>
      <c r="D3242" s="79" t="str">
        <f t="shared" si="5"/>
        <v xml:space="preserve"> </v>
      </c>
      <c r="E3242" s="79" t="str">
        <f t="shared" si="6"/>
        <v xml:space="preserve"> </v>
      </c>
    </row>
    <row r="3243" spans="1:5" ht="12.5">
      <c r="A3243" s="81" t="str">
        <f t="shared" si="0"/>
        <v xml:space="preserve"> </v>
      </c>
      <c r="B3243" s="81" t="str">
        <f t="shared" si="1"/>
        <v xml:space="preserve"> </v>
      </c>
      <c r="C3243" s="79" t="str">
        <f t="shared" si="7"/>
        <v xml:space="preserve"> </v>
      </c>
      <c r="D3243" s="79" t="str">
        <f t="shared" si="5"/>
        <v xml:space="preserve"> </v>
      </c>
      <c r="E3243" s="79" t="str">
        <f t="shared" si="6"/>
        <v xml:space="preserve"> </v>
      </c>
    </row>
    <row r="3244" spans="1:5" ht="12.5">
      <c r="A3244" s="81" t="str">
        <f t="shared" si="0"/>
        <v xml:space="preserve"> </v>
      </c>
      <c r="B3244" s="81" t="str">
        <f t="shared" si="1"/>
        <v xml:space="preserve"> </v>
      </c>
      <c r="C3244" s="79" t="str">
        <f t="shared" si="7"/>
        <v xml:space="preserve"> </v>
      </c>
      <c r="D3244" s="79" t="str">
        <f t="shared" si="5"/>
        <v xml:space="preserve"> </v>
      </c>
      <c r="E3244" s="79" t="str">
        <f t="shared" si="6"/>
        <v xml:space="preserve"> </v>
      </c>
    </row>
    <row r="3245" spans="1:5" ht="12.5">
      <c r="A3245" s="81" t="str">
        <f t="shared" si="0"/>
        <v xml:space="preserve"> </v>
      </c>
      <c r="B3245" s="81" t="str">
        <f t="shared" si="1"/>
        <v xml:space="preserve"> </v>
      </c>
      <c r="C3245" s="79" t="str">
        <f t="shared" si="7"/>
        <v xml:space="preserve"> </v>
      </c>
      <c r="D3245" s="79" t="str">
        <f t="shared" si="5"/>
        <v xml:space="preserve"> </v>
      </c>
      <c r="E3245" s="79" t="str">
        <f t="shared" si="6"/>
        <v xml:space="preserve"> </v>
      </c>
    </row>
    <row r="3246" spans="1:5" ht="12.5">
      <c r="A3246" s="81" t="str">
        <f t="shared" si="0"/>
        <v xml:space="preserve"> </v>
      </c>
      <c r="B3246" s="81" t="str">
        <f t="shared" si="1"/>
        <v xml:space="preserve"> </v>
      </c>
      <c r="C3246" s="79" t="str">
        <f t="shared" si="7"/>
        <v xml:space="preserve"> </v>
      </c>
      <c r="D3246" s="79" t="str">
        <f t="shared" si="5"/>
        <v xml:space="preserve"> </v>
      </c>
      <c r="E3246" s="79" t="str">
        <f t="shared" si="6"/>
        <v xml:space="preserve"> </v>
      </c>
    </row>
    <row r="3247" spans="1:5" ht="12.5">
      <c r="A3247" s="81" t="str">
        <f t="shared" si="0"/>
        <v xml:space="preserve"> </v>
      </c>
      <c r="B3247" s="81" t="str">
        <f t="shared" si="1"/>
        <v xml:space="preserve"> </v>
      </c>
      <c r="C3247" s="79" t="str">
        <f t="shared" si="7"/>
        <v xml:space="preserve"> </v>
      </c>
      <c r="D3247" s="79" t="str">
        <f t="shared" si="5"/>
        <v xml:space="preserve"> </v>
      </c>
      <c r="E3247" s="79" t="str">
        <f t="shared" si="6"/>
        <v xml:space="preserve"> </v>
      </c>
    </row>
    <row r="3248" spans="1:5" ht="12.5">
      <c r="A3248" s="81" t="str">
        <f t="shared" si="0"/>
        <v xml:space="preserve"> </v>
      </c>
      <c r="B3248" s="81" t="str">
        <f t="shared" si="1"/>
        <v xml:space="preserve"> </v>
      </c>
      <c r="C3248" s="79" t="str">
        <f t="shared" si="7"/>
        <v xml:space="preserve"> </v>
      </c>
      <c r="D3248" s="79" t="str">
        <f t="shared" si="5"/>
        <v xml:space="preserve"> </v>
      </c>
      <c r="E3248" s="79" t="str">
        <f t="shared" si="6"/>
        <v xml:space="preserve"> </v>
      </c>
    </row>
    <row r="3249" spans="1:5" ht="12.5">
      <c r="A3249" s="81" t="str">
        <f t="shared" si="0"/>
        <v xml:space="preserve"> </v>
      </c>
      <c r="B3249" s="81" t="str">
        <f t="shared" si="1"/>
        <v xml:space="preserve"> </v>
      </c>
      <c r="C3249" s="79" t="str">
        <f t="shared" si="7"/>
        <v xml:space="preserve"> </v>
      </c>
      <c r="D3249" s="79" t="str">
        <f t="shared" si="5"/>
        <v xml:space="preserve"> </v>
      </c>
      <c r="E3249" s="79" t="str">
        <f t="shared" si="6"/>
        <v xml:space="preserve"> </v>
      </c>
    </row>
    <row r="3250" spans="1:5" ht="12.5">
      <c r="A3250" s="81" t="str">
        <f t="shared" si="0"/>
        <v xml:space="preserve"> </v>
      </c>
      <c r="B3250" s="81" t="str">
        <f t="shared" si="1"/>
        <v xml:space="preserve"> </v>
      </c>
      <c r="C3250" s="79" t="str">
        <f t="shared" si="7"/>
        <v xml:space="preserve"> </v>
      </c>
      <c r="D3250" s="79" t="str">
        <f t="shared" si="5"/>
        <v xml:space="preserve"> </v>
      </c>
      <c r="E3250" s="79" t="str">
        <f t="shared" si="6"/>
        <v xml:space="preserve"> </v>
      </c>
    </row>
    <row r="3251" spans="1:5" ht="12.5">
      <c r="A3251" s="81" t="str">
        <f t="shared" si="0"/>
        <v xml:space="preserve"> </v>
      </c>
      <c r="B3251" s="81" t="str">
        <f t="shared" si="1"/>
        <v xml:space="preserve"> </v>
      </c>
      <c r="C3251" s="79" t="str">
        <f t="shared" si="7"/>
        <v xml:space="preserve"> </v>
      </c>
      <c r="D3251" s="79" t="str">
        <f t="shared" si="5"/>
        <v xml:space="preserve"> </v>
      </c>
      <c r="E3251" s="79" t="str">
        <f t="shared" si="6"/>
        <v xml:space="preserve"> </v>
      </c>
    </row>
    <row r="3252" spans="1:5" ht="12.5">
      <c r="A3252" s="81" t="str">
        <f t="shared" si="0"/>
        <v xml:space="preserve"> </v>
      </c>
      <c r="B3252" s="81" t="str">
        <f t="shared" si="1"/>
        <v xml:space="preserve"> </v>
      </c>
      <c r="C3252" s="79" t="str">
        <f t="shared" si="7"/>
        <v xml:space="preserve"> </v>
      </c>
      <c r="D3252" s="79" t="str">
        <f t="shared" si="5"/>
        <v xml:space="preserve"> </v>
      </c>
      <c r="E3252" s="79" t="str">
        <f t="shared" si="6"/>
        <v xml:space="preserve"> </v>
      </c>
    </row>
    <row r="3253" spans="1:5" ht="12.5">
      <c r="A3253" s="81" t="str">
        <f t="shared" si="0"/>
        <v xml:space="preserve"> </v>
      </c>
      <c r="B3253" s="81" t="str">
        <f t="shared" si="1"/>
        <v xml:space="preserve"> </v>
      </c>
      <c r="C3253" s="79" t="str">
        <f t="shared" si="7"/>
        <v xml:space="preserve"> </v>
      </c>
      <c r="D3253" s="79" t="str">
        <f t="shared" si="5"/>
        <v xml:space="preserve"> </v>
      </c>
      <c r="E3253" s="79" t="str">
        <f t="shared" si="6"/>
        <v xml:space="preserve"> </v>
      </c>
    </row>
    <row r="3254" spans="1:5" ht="12.5">
      <c r="A3254" s="81" t="str">
        <f t="shared" si="0"/>
        <v xml:space="preserve"> </v>
      </c>
      <c r="B3254" s="81" t="str">
        <f t="shared" si="1"/>
        <v xml:space="preserve"> </v>
      </c>
      <c r="C3254" s="79" t="str">
        <f t="shared" si="7"/>
        <v xml:space="preserve"> </v>
      </c>
      <c r="D3254" s="79" t="str">
        <f t="shared" si="5"/>
        <v xml:space="preserve"> </v>
      </c>
      <c r="E3254" s="79" t="str">
        <f t="shared" si="6"/>
        <v xml:space="preserve"> </v>
      </c>
    </row>
    <row r="3255" spans="1:5" ht="12.5">
      <c r="A3255" s="81" t="str">
        <f t="shared" si="0"/>
        <v xml:space="preserve"> </v>
      </c>
      <c r="B3255" s="81" t="str">
        <f t="shared" si="1"/>
        <v xml:space="preserve"> </v>
      </c>
      <c r="C3255" s="79" t="str">
        <f t="shared" si="7"/>
        <v xml:space="preserve"> </v>
      </c>
      <c r="D3255" s="79" t="str">
        <f t="shared" si="5"/>
        <v xml:space="preserve"> </v>
      </c>
      <c r="E3255" s="79" t="str">
        <f t="shared" si="6"/>
        <v xml:space="preserve"> </v>
      </c>
    </row>
    <row r="3256" spans="1:5" ht="12.5">
      <c r="A3256" s="81" t="str">
        <f t="shared" si="0"/>
        <v xml:space="preserve"> </v>
      </c>
      <c r="B3256" s="81" t="str">
        <f t="shared" si="1"/>
        <v xml:space="preserve"> </v>
      </c>
      <c r="C3256" s="79" t="str">
        <f t="shared" si="7"/>
        <v xml:space="preserve"> </v>
      </c>
      <c r="D3256" s="79" t="str">
        <f t="shared" si="5"/>
        <v xml:space="preserve"> </v>
      </c>
      <c r="E3256" s="79" t="str">
        <f t="shared" si="6"/>
        <v xml:space="preserve"> </v>
      </c>
    </row>
    <row r="3257" spans="1:5" ht="12.5">
      <c r="A3257" s="81" t="str">
        <f t="shared" si="0"/>
        <v xml:space="preserve"> </v>
      </c>
      <c r="B3257" s="81" t="str">
        <f t="shared" si="1"/>
        <v xml:space="preserve"> </v>
      </c>
      <c r="C3257" s="79" t="str">
        <f t="shared" si="7"/>
        <v xml:space="preserve"> </v>
      </c>
      <c r="D3257" s="79" t="str">
        <f t="shared" si="5"/>
        <v xml:space="preserve"> </v>
      </c>
      <c r="E3257" s="79" t="str">
        <f t="shared" si="6"/>
        <v xml:space="preserve"> </v>
      </c>
    </row>
    <row r="3258" spans="1:5" ht="12.5">
      <c r="A3258" s="81" t="str">
        <f t="shared" si="0"/>
        <v xml:space="preserve"> </v>
      </c>
      <c r="B3258" s="81" t="str">
        <f t="shared" si="1"/>
        <v xml:space="preserve"> </v>
      </c>
      <c r="C3258" s="79" t="str">
        <f t="shared" si="7"/>
        <v xml:space="preserve"> </v>
      </c>
      <c r="D3258" s="79" t="str">
        <f t="shared" si="5"/>
        <v xml:space="preserve"> </v>
      </c>
      <c r="E3258" s="79" t="str">
        <f t="shared" si="6"/>
        <v xml:space="preserve"> </v>
      </c>
    </row>
    <row r="3259" spans="1:5" ht="12.5">
      <c r="A3259" s="81" t="str">
        <f t="shared" si="0"/>
        <v xml:space="preserve"> </v>
      </c>
      <c r="B3259" s="81" t="str">
        <f t="shared" si="1"/>
        <v xml:space="preserve"> </v>
      </c>
      <c r="C3259" s="79" t="str">
        <f t="shared" si="7"/>
        <v xml:space="preserve"> </v>
      </c>
      <c r="D3259" s="79" t="str">
        <f t="shared" si="5"/>
        <v xml:space="preserve"> </v>
      </c>
      <c r="E3259" s="79" t="str">
        <f t="shared" si="6"/>
        <v xml:space="preserve"> </v>
      </c>
    </row>
    <row r="3260" spans="1:5" ht="12.5">
      <c r="A3260" s="81" t="str">
        <f t="shared" si="0"/>
        <v xml:space="preserve"> </v>
      </c>
      <c r="B3260" s="81" t="str">
        <f t="shared" si="1"/>
        <v xml:space="preserve"> </v>
      </c>
      <c r="C3260" s="79" t="str">
        <f t="shared" si="7"/>
        <v xml:space="preserve"> </v>
      </c>
      <c r="D3260" s="79" t="str">
        <f t="shared" si="5"/>
        <v xml:space="preserve"> </v>
      </c>
      <c r="E3260" s="79" t="str">
        <f t="shared" si="6"/>
        <v xml:space="preserve"> </v>
      </c>
    </row>
    <row r="3261" spans="1:5" ht="12.5">
      <c r="A3261" s="81" t="str">
        <f t="shared" si="0"/>
        <v xml:space="preserve"> </v>
      </c>
      <c r="B3261" s="81" t="str">
        <f t="shared" si="1"/>
        <v xml:space="preserve"> </v>
      </c>
      <c r="C3261" s="79" t="str">
        <f t="shared" si="7"/>
        <v xml:space="preserve"> </v>
      </c>
      <c r="D3261" s="79" t="str">
        <f t="shared" si="5"/>
        <v xml:space="preserve"> </v>
      </c>
      <c r="E3261" s="79" t="str">
        <f t="shared" si="6"/>
        <v xml:space="preserve"> </v>
      </c>
    </row>
    <row r="3262" spans="1:5" ht="12.5">
      <c r="A3262" s="81" t="str">
        <f t="shared" si="0"/>
        <v xml:space="preserve"> </v>
      </c>
      <c r="B3262" s="81" t="str">
        <f t="shared" si="1"/>
        <v xml:space="preserve"> </v>
      </c>
      <c r="C3262" s="79" t="str">
        <f t="shared" si="7"/>
        <v xml:space="preserve"> </v>
      </c>
      <c r="D3262" s="79" t="str">
        <f t="shared" si="5"/>
        <v xml:space="preserve"> </v>
      </c>
      <c r="E3262" s="79" t="str">
        <f t="shared" si="6"/>
        <v xml:space="preserve"> </v>
      </c>
    </row>
    <row r="3263" spans="1:5" ht="12.5">
      <c r="A3263" s="81" t="str">
        <f t="shared" si="0"/>
        <v xml:space="preserve"> </v>
      </c>
      <c r="B3263" s="81" t="str">
        <f t="shared" si="1"/>
        <v xml:space="preserve"> </v>
      </c>
      <c r="C3263" s="79" t="str">
        <f t="shared" si="7"/>
        <v xml:space="preserve"> </v>
      </c>
      <c r="D3263" s="79" t="str">
        <f t="shared" si="5"/>
        <v xml:space="preserve"> </v>
      </c>
      <c r="E3263" s="79" t="str">
        <f t="shared" si="6"/>
        <v xml:space="preserve"> </v>
      </c>
    </row>
    <row r="3264" spans="1:5" ht="12.5">
      <c r="A3264" s="81" t="str">
        <f t="shared" si="0"/>
        <v xml:space="preserve"> </v>
      </c>
      <c r="B3264" s="81" t="str">
        <f t="shared" si="1"/>
        <v xml:space="preserve"> </v>
      </c>
      <c r="C3264" s="79" t="str">
        <f t="shared" si="7"/>
        <v xml:space="preserve"> </v>
      </c>
      <c r="D3264" s="79" t="str">
        <f t="shared" si="5"/>
        <v xml:space="preserve"> </v>
      </c>
      <c r="E3264" s="79" t="str">
        <f t="shared" si="6"/>
        <v xml:space="preserve"> </v>
      </c>
    </row>
    <row r="3265" spans="1:5" ht="12.5">
      <c r="A3265" s="81" t="str">
        <f t="shared" si="0"/>
        <v xml:space="preserve"> </v>
      </c>
      <c r="B3265" s="81" t="str">
        <f t="shared" si="1"/>
        <v xml:space="preserve"> </v>
      </c>
      <c r="C3265" s="79" t="str">
        <f t="shared" si="7"/>
        <v xml:space="preserve"> </v>
      </c>
      <c r="D3265" s="79" t="str">
        <f t="shared" si="5"/>
        <v xml:space="preserve"> </v>
      </c>
      <c r="E3265" s="79" t="str">
        <f t="shared" si="6"/>
        <v xml:space="preserve"> </v>
      </c>
    </row>
    <row r="3266" spans="1:5" ht="12.5">
      <c r="A3266" s="81" t="str">
        <f t="shared" si="0"/>
        <v xml:space="preserve"> </v>
      </c>
      <c r="B3266" s="81" t="str">
        <f t="shared" si="1"/>
        <v xml:space="preserve"> </v>
      </c>
      <c r="C3266" s="79" t="str">
        <f t="shared" si="7"/>
        <v xml:space="preserve"> </v>
      </c>
      <c r="D3266" s="79" t="str">
        <f t="shared" si="5"/>
        <v xml:space="preserve"> </v>
      </c>
      <c r="E3266" s="79" t="str">
        <f t="shared" si="6"/>
        <v xml:space="preserve"> </v>
      </c>
    </row>
    <row r="3267" spans="1:5" ht="12.5">
      <c r="A3267" s="81" t="str">
        <f t="shared" si="0"/>
        <v xml:space="preserve"> </v>
      </c>
      <c r="B3267" s="81" t="str">
        <f t="shared" si="1"/>
        <v xml:space="preserve"> </v>
      </c>
      <c r="C3267" s="79" t="str">
        <f t="shared" si="7"/>
        <v xml:space="preserve"> </v>
      </c>
      <c r="D3267" s="79" t="str">
        <f t="shared" si="5"/>
        <v xml:space="preserve"> </v>
      </c>
      <c r="E3267" s="79" t="str">
        <f t="shared" si="6"/>
        <v xml:space="preserve"> </v>
      </c>
    </row>
    <row r="3268" spans="1:5" ht="12.5">
      <c r="A3268" s="81" t="str">
        <f t="shared" si="0"/>
        <v xml:space="preserve"> </v>
      </c>
      <c r="B3268" s="81" t="str">
        <f t="shared" si="1"/>
        <v xml:space="preserve"> </v>
      </c>
      <c r="C3268" s="79" t="str">
        <f t="shared" si="7"/>
        <v xml:space="preserve"> </v>
      </c>
      <c r="D3268" s="79" t="str">
        <f t="shared" si="5"/>
        <v xml:space="preserve"> </v>
      </c>
      <c r="E3268" s="79" t="str">
        <f t="shared" si="6"/>
        <v xml:space="preserve"> </v>
      </c>
    </row>
    <row r="3269" spans="1:5" ht="12.5">
      <c r="A3269" s="81" t="str">
        <f t="shared" si="0"/>
        <v xml:space="preserve"> </v>
      </c>
      <c r="B3269" s="81" t="str">
        <f t="shared" si="1"/>
        <v xml:space="preserve"> </v>
      </c>
      <c r="C3269" s="79" t="str">
        <f t="shared" si="7"/>
        <v xml:space="preserve"> </v>
      </c>
      <c r="D3269" s="79" t="str">
        <f t="shared" si="5"/>
        <v xml:space="preserve"> </v>
      </c>
      <c r="E3269" s="79" t="str">
        <f t="shared" si="6"/>
        <v xml:space="preserve"> </v>
      </c>
    </row>
    <row r="3270" spans="1:5" ht="12.5">
      <c r="A3270" s="81" t="str">
        <f t="shared" si="0"/>
        <v xml:space="preserve"> </v>
      </c>
      <c r="B3270" s="81" t="str">
        <f t="shared" si="1"/>
        <v xml:space="preserve"> </v>
      </c>
      <c r="C3270" s="79" t="str">
        <f t="shared" si="7"/>
        <v xml:space="preserve"> </v>
      </c>
      <c r="D3270" s="79" t="str">
        <f t="shared" si="5"/>
        <v xml:space="preserve"> </v>
      </c>
      <c r="E3270" s="79" t="str">
        <f t="shared" si="6"/>
        <v xml:space="preserve"> </v>
      </c>
    </row>
    <row r="3271" spans="1:5" ht="12.5">
      <c r="A3271" s="81" t="str">
        <f t="shared" si="0"/>
        <v xml:space="preserve"> </v>
      </c>
      <c r="B3271" s="81" t="str">
        <f t="shared" si="1"/>
        <v xml:space="preserve"> </v>
      </c>
      <c r="C3271" s="79" t="str">
        <f t="shared" si="7"/>
        <v xml:space="preserve"> </v>
      </c>
      <c r="D3271" s="79" t="str">
        <f t="shared" si="5"/>
        <v xml:space="preserve"> </v>
      </c>
      <c r="E3271" s="79" t="str">
        <f t="shared" si="6"/>
        <v xml:space="preserve"> </v>
      </c>
    </row>
    <row r="3272" spans="1:5" ht="12.5">
      <c r="A3272" s="81" t="str">
        <f t="shared" si="0"/>
        <v xml:space="preserve"> </v>
      </c>
      <c r="B3272" s="81" t="str">
        <f t="shared" si="1"/>
        <v xml:space="preserve"> </v>
      </c>
      <c r="C3272" s="79" t="str">
        <f t="shared" si="7"/>
        <v xml:space="preserve"> </v>
      </c>
      <c r="D3272" s="79" t="str">
        <f t="shared" si="5"/>
        <v xml:space="preserve"> </v>
      </c>
      <c r="E3272" s="79" t="str">
        <f t="shared" si="6"/>
        <v xml:space="preserve"> </v>
      </c>
    </row>
    <row r="3273" spans="1:5" ht="12.5">
      <c r="A3273" s="81" t="str">
        <f t="shared" si="0"/>
        <v xml:space="preserve"> </v>
      </c>
      <c r="B3273" s="81" t="str">
        <f t="shared" si="1"/>
        <v xml:space="preserve"> </v>
      </c>
      <c r="C3273" s="79" t="str">
        <f t="shared" si="7"/>
        <v xml:space="preserve"> </v>
      </c>
      <c r="D3273" s="79" t="str">
        <f t="shared" si="5"/>
        <v xml:space="preserve"> </v>
      </c>
      <c r="E3273" s="79" t="str">
        <f t="shared" si="6"/>
        <v xml:space="preserve"> </v>
      </c>
    </row>
    <row r="3274" spans="1:5" ht="12.5">
      <c r="A3274" s="81" t="str">
        <f t="shared" si="0"/>
        <v xml:space="preserve"> </v>
      </c>
      <c r="B3274" s="81" t="str">
        <f t="shared" si="1"/>
        <v xml:space="preserve"> </v>
      </c>
      <c r="C3274" s="79" t="str">
        <f t="shared" si="7"/>
        <v xml:space="preserve"> </v>
      </c>
      <c r="D3274" s="79" t="str">
        <f t="shared" si="5"/>
        <v xml:space="preserve"> </v>
      </c>
      <c r="E3274" s="79" t="str">
        <f t="shared" si="6"/>
        <v xml:space="preserve"> </v>
      </c>
    </row>
    <row r="3275" spans="1:5" ht="12.5">
      <c r="A3275" s="81" t="str">
        <f t="shared" si="0"/>
        <v xml:space="preserve"> </v>
      </c>
      <c r="B3275" s="81" t="str">
        <f t="shared" si="1"/>
        <v xml:space="preserve"> </v>
      </c>
      <c r="C3275" s="79" t="str">
        <f t="shared" si="7"/>
        <v xml:space="preserve"> </v>
      </c>
      <c r="D3275" s="79" t="str">
        <f t="shared" si="5"/>
        <v xml:space="preserve"> </v>
      </c>
      <c r="E3275" s="79" t="str">
        <f t="shared" si="6"/>
        <v xml:space="preserve"> </v>
      </c>
    </row>
    <row r="3276" spans="1:5" ht="12.5">
      <c r="A3276" s="81" t="str">
        <f t="shared" si="0"/>
        <v xml:space="preserve"> </v>
      </c>
      <c r="B3276" s="81" t="str">
        <f t="shared" si="1"/>
        <v xml:space="preserve"> </v>
      </c>
      <c r="C3276" s="79" t="str">
        <f t="shared" si="7"/>
        <v xml:space="preserve"> </v>
      </c>
      <c r="D3276" s="79" t="str">
        <f t="shared" si="5"/>
        <v xml:space="preserve"> </v>
      </c>
      <c r="E3276" s="79" t="str">
        <f t="shared" si="6"/>
        <v xml:space="preserve"> </v>
      </c>
    </row>
    <row r="3277" spans="1:5" ht="12.5">
      <c r="A3277" s="81" t="str">
        <f t="shared" si="0"/>
        <v xml:space="preserve"> </v>
      </c>
      <c r="B3277" s="81" t="str">
        <f t="shared" si="1"/>
        <v xml:space="preserve"> </v>
      </c>
      <c r="C3277" s="79" t="str">
        <f t="shared" si="7"/>
        <v xml:space="preserve"> </v>
      </c>
      <c r="D3277" s="79" t="str">
        <f t="shared" si="5"/>
        <v xml:space="preserve"> </v>
      </c>
      <c r="E3277" s="79" t="str">
        <f t="shared" si="6"/>
        <v xml:space="preserve"> </v>
      </c>
    </row>
    <row r="3278" spans="1:5" ht="12.5">
      <c r="A3278" s="81" t="str">
        <f t="shared" si="0"/>
        <v xml:space="preserve"> </v>
      </c>
      <c r="B3278" s="81" t="str">
        <f t="shared" si="1"/>
        <v xml:space="preserve"> </v>
      </c>
      <c r="C3278" s="79" t="str">
        <f t="shared" si="7"/>
        <v xml:space="preserve"> </v>
      </c>
      <c r="D3278" s="79" t="str">
        <f t="shared" si="5"/>
        <v xml:space="preserve"> </v>
      </c>
      <c r="E3278" s="79" t="str">
        <f t="shared" si="6"/>
        <v xml:space="preserve"> </v>
      </c>
    </row>
    <row r="3279" spans="1:5" ht="12.5">
      <c r="A3279" s="81" t="str">
        <f t="shared" si="0"/>
        <v xml:space="preserve"> </v>
      </c>
      <c r="B3279" s="81" t="str">
        <f t="shared" si="1"/>
        <v xml:space="preserve"> </v>
      </c>
      <c r="C3279" s="79" t="str">
        <f t="shared" si="7"/>
        <v xml:space="preserve"> </v>
      </c>
      <c r="D3279" s="79" t="str">
        <f t="shared" si="5"/>
        <v xml:space="preserve"> </v>
      </c>
      <c r="E3279" s="79" t="str">
        <f t="shared" si="6"/>
        <v xml:space="preserve"> </v>
      </c>
    </row>
    <row r="3280" spans="1:5" ht="12.5">
      <c r="A3280" s="81" t="str">
        <f t="shared" si="0"/>
        <v xml:space="preserve"> </v>
      </c>
      <c r="B3280" s="81" t="str">
        <f t="shared" si="1"/>
        <v xml:space="preserve"> </v>
      </c>
      <c r="C3280" s="79" t="str">
        <f t="shared" si="7"/>
        <v xml:space="preserve"> </v>
      </c>
      <c r="D3280" s="79" t="str">
        <f t="shared" si="5"/>
        <v xml:space="preserve"> </v>
      </c>
      <c r="E3280" s="79" t="str">
        <f t="shared" si="6"/>
        <v xml:space="preserve"> </v>
      </c>
    </row>
    <row r="3281" spans="1:5" ht="12.5">
      <c r="A3281" s="81" t="str">
        <f t="shared" si="0"/>
        <v xml:space="preserve"> </v>
      </c>
      <c r="B3281" s="81" t="str">
        <f t="shared" si="1"/>
        <v xml:space="preserve"> </v>
      </c>
      <c r="C3281" s="79" t="str">
        <f t="shared" si="7"/>
        <v xml:space="preserve"> </v>
      </c>
      <c r="D3281" s="79" t="str">
        <f t="shared" si="5"/>
        <v xml:space="preserve"> </v>
      </c>
      <c r="E3281" s="79" t="str">
        <f t="shared" si="6"/>
        <v xml:space="preserve"> </v>
      </c>
    </row>
    <row r="3282" spans="1:5" ht="12.5">
      <c r="A3282" s="81" t="str">
        <f t="shared" si="0"/>
        <v xml:space="preserve"> </v>
      </c>
      <c r="B3282" s="81" t="str">
        <f t="shared" si="1"/>
        <v xml:space="preserve"> </v>
      </c>
      <c r="C3282" s="79" t="str">
        <f t="shared" si="7"/>
        <v xml:space="preserve"> </v>
      </c>
      <c r="D3282" s="79" t="str">
        <f t="shared" si="5"/>
        <v xml:space="preserve"> </v>
      </c>
      <c r="E3282" s="79" t="str">
        <f t="shared" si="6"/>
        <v xml:space="preserve"> </v>
      </c>
    </row>
    <row r="3283" spans="1:5" ht="12.5">
      <c r="A3283" s="81" t="str">
        <f t="shared" si="0"/>
        <v xml:space="preserve"> </v>
      </c>
      <c r="B3283" s="81" t="str">
        <f t="shared" si="1"/>
        <v xml:space="preserve"> </v>
      </c>
      <c r="C3283" s="79" t="str">
        <f t="shared" si="7"/>
        <v xml:space="preserve"> </v>
      </c>
      <c r="D3283" s="79" t="str">
        <f t="shared" si="5"/>
        <v xml:space="preserve"> </v>
      </c>
      <c r="E3283" s="79" t="str">
        <f t="shared" si="6"/>
        <v xml:space="preserve"> </v>
      </c>
    </row>
    <row r="3284" spans="1:5" ht="12.5">
      <c r="A3284" s="81" t="str">
        <f t="shared" si="0"/>
        <v xml:space="preserve"> </v>
      </c>
      <c r="B3284" s="81" t="str">
        <f t="shared" si="1"/>
        <v xml:space="preserve"> </v>
      </c>
      <c r="C3284" s="79" t="str">
        <f t="shared" si="7"/>
        <v xml:space="preserve"> </v>
      </c>
      <c r="D3284" s="79" t="str">
        <f t="shared" si="5"/>
        <v xml:space="preserve"> </v>
      </c>
      <c r="E3284" s="79" t="str">
        <f t="shared" si="6"/>
        <v xml:space="preserve"> </v>
      </c>
    </row>
    <row r="3285" spans="1:5" ht="12.5">
      <c r="A3285" s="81" t="str">
        <f t="shared" si="0"/>
        <v xml:space="preserve"> </v>
      </c>
      <c r="B3285" s="81" t="str">
        <f t="shared" si="1"/>
        <v xml:space="preserve"> </v>
      </c>
      <c r="C3285" s="79" t="str">
        <f t="shared" si="7"/>
        <v xml:space="preserve"> </v>
      </c>
      <c r="D3285" s="79" t="str">
        <f t="shared" si="5"/>
        <v xml:space="preserve"> </v>
      </c>
      <c r="E3285" s="79" t="str">
        <f t="shared" si="6"/>
        <v xml:space="preserve"> </v>
      </c>
    </row>
    <row r="3286" spans="1:5" ht="12.5">
      <c r="A3286" s="81" t="str">
        <f t="shared" si="0"/>
        <v xml:space="preserve"> </v>
      </c>
      <c r="B3286" s="81" t="str">
        <f t="shared" si="1"/>
        <v xml:space="preserve"> </v>
      </c>
      <c r="C3286" s="79" t="str">
        <f t="shared" si="7"/>
        <v xml:space="preserve"> </v>
      </c>
      <c r="D3286" s="79" t="str">
        <f t="shared" si="5"/>
        <v xml:space="preserve"> </v>
      </c>
      <c r="E3286" s="79" t="str">
        <f t="shared" si="6"/>
        <v xml:space="preserve"> </v>
      </c>
    </row>
    <row r="3287" spans="1:5" ht="12.5">
      <c r="A3287" s="81" t="str">
        <f t="shared" si="0"/>
        <v xml:space="preserve"> </v>
      </c>
      <c r="B3287" s="81" t="str">
        <f t="shared" si="1"/>
        <v xml:space="preserve"> </v>
      </c>
      <c r="C3287" s="79" t="str">
        <f t="shared" si="7"/>
        <v xml:space="preserve"> </v>
      </c>
      <c r="D3287" s="79" t="str">
        <f t="shared" si="5"/>
        <v xml:space="preserve"> </v>
      </c>
      <c r="E3287" s="79" t="str">
        <f t="shared" si="6"/>
        <v xml:space="preserve"> </v>
      </c>
    </row>
    <row r="3288" spans="1:5" ht="12.5">
      <c r="A3288" s="81" t="str">
        <f t="shared" si="0"/>
        <v xml:space="preserve"> </v>
      </c>
      <c r="B3288" s="81" t="str">
        <f t="shared" si="1"/>
        <v xml:space="preserve"> </v>
      </c>
      <c r="C3288" s="79" t="str">
        <f t="shared" si="7"/>
        <v xml:space="preserve"> </v>
      </c>
      <c r="D3288" s="79" t="str">
        <f t="shared" si="5"/>
        <v xml:space="preserve"> </v>
      </c>
      <c r="E3288" s="79" t="str">
        <f t="shared" si="6"/>
        <v xml:space="preserve"> </v>
      </c>
    </row>
    <row r="3289" spans="1:5" ht="12.5">
      <c r="A3289" s="81" t="str">
        <f t="shared" si="0"/>
        <v xml:space="preserve"> </v>
      </c>
      <c r="B3289" s="81" t="str">
        <f t="shared" si="1"/>
        <v xml:space="preserve"> </v>
      </c>
      <c r="C3289" s="79" t="str">
        <f t="shared" si="7"/>
        <v xml:space="preserve"> </v>
      </c>
      <c r="D3289" s="79" t="str">
        <f t="shared" si="5"/>
        <v xml:space="preserve"> </v>
      </c>
      <c r="E3289" s="79" t="str">
        <f t="shared" si="6"/>
        <v xml:space="preserve"> </v>
      </c>
    </row>
    <row r="3290" spans="1:5" ht="12.5">
      <c r="A3290" s="81" t="str">
        <f t="shared" si="0"/>
        <v xml:space="preserve"> </v>
      </c>
      <c r="B3290" s="81" t="str">
        <f t="shared" si="1"/>
        <v xml:space="preserve"> </v>
      </c>
      <c r="C3290" s="79" t="str">
        <f t="shared" si="7"/>
        <v xml:space="preserve"> </v>
      </c>
      <c r="D3290" s="79" t="str">
        <f t="shared" si="5"/>
        <v xml:space="preserve"> </v>
      </c>
      <c r="E3290" s="79" t="str">
        <f t="shared" si="6"/>
        <v xml:space="preserve"> </v>
      </c>
    </row>
    <row r="3291" spans="1:5" ht="12.5">
      <c r="A3291" s="81" t="str">
        <f t="shared" si="0"/>
        <v xml:space="preserve"> </v>
      </c>
      <c r="B3291" s="81" t="str">
        <f t="shared" si="1"/>
        <v xml:space="preserve"> </v>
      </c>
      <c r="C3291" s="79" t="str">
        <f t="shared" si="7"/>
        <v xml:space="preserve"> </v>
      </c>
      <c r="D3291" s="79" t="str">
        <f t="shared" si="5"/>
        <v xml:space="preserve"> </v>
      </c>
      <c r="E3291" s="79" t="str">
        <f t="shared" si="6"/>
        <v xml:space="preserve"> </v>
      </c>
    </row>
    <row r="3292" spans="1:5" ht="12.5">
      <c r="A3292" s="81" t="str">
        <f t="shared" si="0"/>
        <v xml:space="preserve"> </v>
      </c>
      <c r="B3292" s="81" t="str">
        <f t="shared" si="1"/>
        <v xml:space="preserve"> </v>
      </c>
      <c r="C3292" s="79" t="str">
        <f t="shared" si="7"/>
        <v xml:space="preserve"> </v>
      </c>
      <c r="D3292" s="79" t="str">
        <f t="shared" si="5"/>
        <v xml:space="preserve"> </v>
      </c>
      <c r="E3292" s="79" t="str">
        <f t="shared" si="6"/>
        <v xml:space="preserve"> </v>
      </c>
    </row>
    <row r="3293" spans="1:5" ht="12.5">
      <c r="A3293" s="81" t="str">
        <f t="shared" si="0"/>
        <v xml:space="preserve"> </v>
      </c>
      <c r="B3293" s="81" t="str">
        <f t="shared" si="1"/>
        <v xml:space="preserve"> </v>
      </c>
      <c r="C3293" s="79" t="str">
        <f t="shared" si="7"/>
        <v xml:space="preserve"> </v>
      </c>
      <c r="D3293" s="79" t="str">
        <f t="shared" si="5"/>
        <v xml:space="preserve"> </v>
      </c>
      <c r="E3293" s="79" t="str">
        <f t="shared" si="6"/>
        <v xml:space="preserve"> </v>
      </c>
    </row>
    <row r="3294" spans="1:5" ht="12.5">
      <c r="A3294" s="81" t="str">
        <f t="shared" si="0"/>
        <v xml:space="preserve"> </v>
      </c>
      <c r="B3294" s="81" t="str">
        <f t="shared" si="1"/>
        <v xml:space="preserve"> </v>
      </c>
      <c r="C3294" s="79" t="str">
        <f t="shared" si="7"/>
        <v xml:space="preserve"> </v>
      </c>
      <c r="D3294" s="79" t="str">
        <f t="shared" si="5"/>
        <v xml:space="preserve"> </v>
      </c>
      <c r="E3294" s="79" t="str">
        <f t="shared" si="6"/>
        <v xml:space="preserve"> </v>
      </c>
    </row>
    <row r="3295" spans="1:5" ht="12.5">
      <c r="A3295" s="81" t="str">
        <f t="shared" si="0"/>
        <v xml:space="preserve"> </v>
      </c>
      <c r="B3295" s="81" t="str">
        <f t="shared" si="1"/>
        <v xml:space="preserve"> </v>
      </c>
      <c r="C3295" s="79" t="str">
        <f t="shared" si="7"/>
        <v xml:space="preserve"> </v>
      </c>
      <c r="D3295" s="79" t="str">
        <f t="shared" si="5"/>
        <v xml:space="preserve"> </v>
      </c>
      <c r="E3295" s="79" t="str">
        <f t="shared" si="6"/>
        <v xml:space="preserve"> </v>
      </c>
    </row>
    <row r="3296" spans="1:5" ht="12.5">
      <c r="A3296" s="81" t="str">
        <f t="shared" si="0"/>
        <v xml:space="preserve"> </v>
      </c>
      <c r="B3296" s="81" t="str">
        <f t="shared" si="1"/>
        <v xml:space="preserve"> </v>
      </c>
      <c r="C3296" s="79" t="str">
        <f t="shared" si="7"/>
        <v xml:space="preserve"> </v>
      </c>
      <c r="D3296" s="79" t="str">
        <f t="shared" si="5"/>
        <v xml:space="preserve"> </v>
      </c>
      <c r="E3296" s="79" t="str">
        <f t="shared" si="6"/>
        <v xml:space="preserve"> </v>
      </c>
    </row>
    <row r="3297" spans="1:5" ht="12.5">
      <c r="A3297" s="81" t="str">
        <f t="shared" si="0"/>
        <v xml:space="preserve"> </v>
      </c>
      <c r="B3297" s="81" t="str">
        <f t="shared" si="1"/>
        <v xml:space="preserve"> </v>
      </c>
      <c r="C3297" s="79" t="str">
        <f t="shared" si="7"/>
        <v xml:space="preserve"> </v>
      </c>
      <c r="D3297" s="79" t="str">
        <f t="shared" si="5"/>
        <v xml:space="preserve"> </v>
      </c>
      <c r="E3297" s="79" t="str">
        <f t="shared" si="6"/>
        <v xml:space="preserve"> </v>
      </c>
    </row>
    <row r="3298" spans="1:5" ht="12.5">
      <c r="A3298" s="81" t="str">
        <f t="shared" si="0"/>
        <v xml:space="preserve"> </v>
      </c>
      <c r="B3298" s="81" t="str">
        <f t="shared" si="1"/>
        <v xml:space="preserve"> </v>
      </c>
      <c r="C3298" s="79" t="str">
        <f t="shared" si="7"/>
        <v xml:space="preserve"> </v>
      </c>
      <c r="D3298" s="79" t="str">
        <f t="shared" si="5"/>
        <v xml:space="preserve"> </v>
      </c>
      <c r="E3298" s="79" t="str">
        <f t="shared" si="6"/>
        <v xml:space="preserve"> </v>
      </c>
    </row>
    <row r="3299" spans="1:5" ht="12.5">
      <c r="A3299" s="81" t="str">
        <f t="shared" si="0"/>
        <v xml:space="preserve"> </v>
      </c>
      <c r="B3299" s="81" t="str">
        <f t="shared" si="1"/>
        <v xml:space="preserve"> </v>
      </c>
      <c r="C3299" s="79" t="str">
        <f t="shared" si="7"/>
        <v xml:space="preserve"> </v>
      </c>
      <c r="D3299" s="79" t="str">
        <f t="shared" si="5"/>
        <v xml:space="preserve"> </v>
      </c>
      <c r="E3299" s="79" t="str">
        <f t="shared" si="6"/>
        <v xml:space="preserve"> </v>
      </c>
    </row>
    <row r="3300" spans="1:5" ht="12.5">
      <c r="A3300" s="81" t="str">
        <f t="shared" si="0"/>
        <v xml:space="preserve"> </v>
      </c>
      <c r="B3300" s="81" t="str">
        <f t="shared" si="1"/>
        <v xml:space="preserve"> </v>
      </c>
      <c r="C3300" s="79" t="str">
        <f t="shared" si="7"/>
        <v xml:space="preserve"> </v>
      </c>
      <c r="D3300" s="79" t="str">
        <f t="shared" si="5"/>
        <v xml:space="preserve"> </v>
      </c>
      <c r="E3300" s="79" t="str">
        <f t="shared" si="6"/>
        <v xml:space="preserve"> </v>
      </c>
    </row>
    <row r="3301" spans="1:5" ht="12.5">
      <c r="A3301" s="81" t="str">
        <f t="shared" si="0"/>
        <v xml:space="preserve"> </v>
      </c>
      <c r="B3301" s="81" t="str">
        <f t="shared" si="1"/>
        <v xml:space="preserve"> </v>
      </c>
      <c r="C3301" s="79" t="str">
        <f t="shared" si="7"/>
        <v xml:space="preserve"> </v>
      </c>
      <c r="D3301" s="79" t="str">
        <f t="shared" si="5"/>
        <v xml:space="preserve"> </v>
      </c>
      <c r="E3301" s="79" t="str">
        <f t="shared" si="6"/>
        <v xml:space="preserve"> </v>
      </c>
    </row>
    <row r="3302" spans="1:5" ht="12.5">
      <c r="A3302" s="81" t="str">
        <f t="shared" si="0"/>
        <v xml:space="preserve"> </v>
      </c>
      <c r="B3302" s="81" t="str">
        <f t="shared" si="1"/>
        <v xml:space="preserve"> </v>
      </c>
      <c r="C3302" s="79" t="str">
        <f t="shared" si="7"/>
        <v xml:space="preserve"> </v>
      </c>
      <c r="D3302" s="79" t="str">
        <f t="shared" si="5"/>
        <v xml:space="preserve"> </v>
      </c>
      <c r="E3302" s="79" t="str">
        <f t="shared" si="6"/>
        <v xml:space="preserve"> </v>
      </c>
    </row>
    <row r="3303" spans="1:5" ht="12.5">
      <c r="A3303" s="81" t="str">
        <f t="shared" si="0"/>
        <v xml:space="preserve"> </v>
      </c>
      <c r="B3303" s="81" t="str">
        <f t="shared" si="1"/>
        <v xml:space="preserve"> </v>
      </c>
      <c r="C3303" s="79" t="str">
        <f t="shared" si="7"/>
        <v xml:space="preserve"> </v>
      </c>
      <c r="D3303" s="79" t="str">
        <f t="shared" si="5"/>
        <v xml:space="preserve"> </v>
      </c>
      <c r="E3303" s="79" t="str">
        <f t="shared" si="6"/>
        <v xml:space="preserve"> </v>
      </c>
    </row>
    <row r="3304" spans="1:5" ht="12.5">
      <c r="A3304" s="81" t="str">
        <f t="shared" si="0"/>
        <v xml:space="preserve"> </v>
      </c>
      <c r="B3304" s="81" t="str">
        <f t="shared" si="1"/>
        <v xml:space="preserve"> </v>
      </c>
      <c r="C3304" s="79" t="str">
        <f t="shared" si="7"/>
        <v xml:space="preserve"> </v>
      </c>
      <c r="D3304" s="79" t="str">
        <f t="shared" si="5"/>
        <v xml:space="preserve"> </v>
      </c>
      <c r="E3304" s="79" t="str">
        <f t="shared" si="6"/>
        <v xml:space="preserve"> </v>
      </c>
    </row>
    <row r="3305" spans="1:5" ht="12.5">
      <c r="A3305" s="81" t="str">
        <f t="shared" si="0"/>
        <v xml:space="preserve"> </v>
      </c>
      <c r="B3305" s="81" t="str">
        <f t="shared" si="1"/>
        <v xml:space="preserve"> </v>
      </c>
      <c r="C3305" s="79" t="str">
        <f t="shared" si="7"/>
        <v xml:space="preserve"> </v>
      </c>
      <c r="D3305" s="79" t="str">
        <f t="shared" si="5"/>
        <v xml:space="preserve"> </v>
      </c>
      <c r="E3305" s="79" t="str">
        <f t="shared" si="6"/>
        <v xml:space="preserve"> </v>
      </c>
    </row>
    <row r="3306" spans="1:5" ht="12.5">
      <c r="A3306" s="81" t="str">
        <f t="shared" si="0"/>
        <v xml:space="preserve"> </v>
      </c>
      <c r="B3306" s="81" t="str">
        <f t="shared" si="1"/>
        <v xml:space="preserve"> </v>
      </c>
      <c r="C3306" s="79" t="str">
        <f t="shared" si="7"/>
        <v xml:space="preserve"> </v>
      </c>
      <c r="D3306" s="79" t="str">
        <f t="shared" si="5"/>
        <v xml:space="preserve"> </v>
      </c>
      <c r="E3306" s="79" t="str">
        <f t="shared" si="6"/>
        <v xml:space="preserve"> </v>
      </c>
    </row>
    <row r="3307" spans="1:5" ht="12.5">
      <c r="A3307" s="81" t="str">
        <f t="shared" si="0"/>
        <v xml:space="preserve"> </v>
      </c>
      <c r="B3307" s="81" t="str">
        <f t="shared" si="1"/>
        <v xml:space="preserve"> </v>
      </c>
      <c r="C3307" s="79" t="str">
        <f t="shared" si="7"/>
        <v xml:space="preserve"> </v>
      </c>
      <c r="D3307" s="79" t="str">
        <f t="shared" si="5"/>
        <v xml:space="preserve"> </v>
      </c>
      <c r="E3307" s="79" t="str">
        <f t="shared" si="6"/>
        <v xml:space="preserve"> </v>
      </c>
    </row>
    <row r="3308" spans="1:5" ht="12.5">
      <c r="A3308" s="81" t="str">
        <f t="shared" si="0"/>
        <v xml:space="preserve"> </v>
      </c>
      <c r="B3308" s="81" t="str">
        <f t="shared" si="1"/>
        <v xml:space="preserve"> </v>
      </c>
      <c r="C3308" s="79" t="str">
        <f t="shared" si="7"/>
        <v xml:space="preserve"> </v>
      </c>
      <c r="D3308" s="79" t="str">
        <f t="shared" si="5"/>
        <v xml:space="preserve"> </v>
      </c>
      <c r="E3308" s="79" t="str">
        <f t="shared" si="6"/>
        <v xml:space="preserve"> </v>
      </c>
    </row>
    <row r="3309" spans="1:5" ht="12.5">
      <c r="A3309" s="81" t="str">
        <f t="shared" si="0"/>
        <v xml:space="preserve"> </v>
      </c>
      <c r="B3309" s="81" t="str">
        <f t="shared" si="1"/>
        <v xml:space="preserve"> </v>
      </c>
      <c r="C3309" s="79" t="str">
        <f t="shared" si="7"/>
        <v xml:space="preserve"> </v>
      </c>
      <c r="D3309" s="79" t="str">
        <f t="shared" si="5"/>
        <v xml:space="preserve"> </v>
      </c>
      <c r="E3309" s="79" t="str">
        <f t="shared" si="6"/>
        <v xml:space="preserve"> </v>
      </c>
    </row>
    <row r="3310" spans="1:5" ht="12.5">
      <c r="A3310" s="81" t="str">
        <f t="shared" si="0"/>
        <v xml:space="preserve"> </v>
      </c>
      <c r="B3310" s="81" t="str">
        <f t="shared" si="1"/>
        <v xml:space="preserve"> </v>
      </c>
      <c r="C3310" s="79" t="str">
        <f t="shared" si="7"/>
        <v xml:space="preserve"> </v>
      </c>
      <c r="D3310" s="79" t="str">
        <f t="shared" si="5"/>
        <v xml:space="preserve"> </v>
      </c>
      <c r="E3310" s="79" t="str">
        <f t="shared" si="6"/>
        <v xml:space="preserve"> </v>
      </c>
    </row>
    <row r="3311" spans="1:5" ht="12.5">
      <c r="A3311" s="81" t="str">
        <f t="shared" si="0"/>
        <v xml:space="preserve"> </v>
      </c>
      <c r="B3311" s="81" t="str">
        <f t="shared" si="1"/>
        <v xml:space="preserve"> </v>
      </c>
      <c r="C3311" s="79" t="str">
        <f t="shared" si="7"/>
        <v xml:space="preserve"> </v>
      </c>
      <c r="D3311" s="79" t="str">
        <f t="shared" si="5"/>
        <v xml:space="preserve"> </v>
      </c>
      <c r="E3311" s="79" t="str">
        <f t="shared" si="6"/>
        <v xml:space="preserve"> </v>
      </c>
    </row>
    <row r="3312" spans="1:5" ht="12.5">
      <c r="A3312" s="81" t="str">
        <f t="shared" si="0"/>
        <v xml:space="preserve"> </v>
      </c>
      <c r="B3312" s="81" t="str">
        <f t="shared" si="1"/>
        <v xml:space="preserve"> </v>
      </c>
      <c r="C3312" s="79" t="str">
        <f t="shared" si="7"/>
        <v xml:space="preserve"> </v>
      </c>
      <c r="D3312" s="79" t="str">
        <f t="shared" si="5"/>
        <v xml:space="preserve"> </v>
      </c>
      <c r="E3312" s="79" t="str">
        <f t="shared" si="6"/>
        <v xml:space="preserve"> </v>
      </c>
    </row>
    <row r="3313" spans="1:5" ht="12.5">
      <c r="A3313" s="81" t="str">
        <f t="shared" si="0"/>
        <v xml:space="preserve"> </v>
      </c>
      <c r="B3313" s="81" t="str">
        <f t="shared" si="1"/>
        <v xml:space="preserve"> </v>
      </c>
      <c r="C3313" s="79" t="str">
        <f t="shared" si="7"/>
        <v xml:space="preserve"> </v>
      </c>
      <c r="D3313" s="79" t="str">
        <f t="shared" si="5"/>
        <v xml:space="preserve"> </v>
      </c>
      <c r="E3313" s="79" t="str">
        <f t="shared" si="6"/>
        <v xml:space="preserve"> </v>
      </c>
    </row>
    <row r="3314" spans="1:5" ht="12.5">
      <c r="A3314" s="81" t="str">
        <f t="shared" si="0"/>
        <v xml:space="preserve"> </v>
      </c>
      <c r="B3314" s="81" t="str">
        <f t="shared" si="1"/>
        <v xml:space="preserve"> </v>
      </c>
      <c r="C3314" s="79" t="str">
        <f t="shared" si="7"/>
        <v xml:space="preserve"> </v>
      </c>
      <c r="D3314" s="79" t="str">
        <f t="shared" si="5"/>
        <v xml:space="preserve"> </v>
      </c>
      <c r="E3314" s="79" t="str">
        <f t="shared" si="6"/>
        <v xml:space="preserve"> </v>
      </c>
    </row>
    <row r="3315" spans="1:5" ht="12.5">
      <c r="A3315" s="81" t="str">
        <f t="shared" si="0"/>
        <v xml:space="preserve"> </v>
      </c>
      <c r="B3315" s="81" t="str">
        <f t="shared" si="1"/>
        <v xml:space="preserve"> </v>
      </c>
      <c r="C3315" s="79" t="str">
        <f t="shared" si="7"/>
        <v xml:space="preserve"> </v>
      </c>
      <c r="D3315" s="79" t="str">
        <f t="shared" si="5"/>
        <v xml:space="preserve"> </v>
      </c>
      <c r="E3315" s="79" t="str">
        <f t="shared" si="6"/>
        <v xml:space="preserve"> </v>
      </c>
    </row>
    <row r="3316" spans="1:5" ht="12.5">
      <c r="A3316" s="81" t="str">
        <f t="shared" si="0"/>
        <v xml:space="preserve"> </v>
      </c>
      <c r="B3316" s="81" t="str">
        <f t="shared" si="1"/>
        <v xml:space="preserve"> </v>
      </c>
      <c r="C3316" s="79" t="str">
        <f t="shared" si="7"/>
        <v xml:space="preserve"> </v>
      </c>
      <c r="D3316" s="79" t="str">
        <f t="shared" si="5"/>
        <v xml:space="preserve"> </v>
      </c>
      <c r="E3316" s="79" t="str">
        <f t="shared" si="6"/>
        <v xml:space="preserve"> </v>
      </c>
    </row>
    <row r="3317" spans="1:5" ht="12.5">
      <c r="A3317" s="81" t="str">
        <f t="shared" si="0"/>
        <v xml:space="preserve"> </v>
      </c>
      <c r="B3317" s="81" t="str">
        <f t="shared" si="1"/>
        <v xml:space="preserve"> </v>
      </c>
      <c r="C3317" s="79" t="str">
        <f t="shared" si="7"/>
        <v xml:space="preserve"> </v>
      </c>
      <c r="D3317" s="79" t="str">
        <f t="shared" si="5"/>
        <v xml:space="preserve"> </v>
      </c>
      <c r="E3317" s="79" t="str">
        <f t="shared" si="6"/>
        <v xml:space="preserve"> </v>
      </c>
    </row>
    <row r="3318" spans="1:5" ht="12.5">
      <c r="A3318" s="81" t="str">
        <f t="shared" si="0"/>
        <v xml:space="preserve"> </v>
      </c>
      <c r="B3318" s="81" t="str">
        <f t="shared" si="1"/>
        <v xml:space="preserve"> </v>
      </c>
      <c r="C3318" s="79" t="str">
        <f t="shared" si="7"/>
        <v xml:space="preserve"> </v>
      </c>
      <c r="D3318" s="79" t="str">
        <f t="shared" si="5"/>
        <v xml:space="preserve"> </v>
      </c>
      <c r="E3318" s="79" t="str">
        <f t="shared" si="6"/>
        <v xml:space="preserve"> </v>
      </c>
    </row>
    <row r="3319" spans="1:5" ht="12.5">
      <c r="A3319" s="81" t="str">
        <f t="shared" si="0"/>
        <v xml:space="preserve"> </v>
      </c>
      <c r="B3319" s="81" t="str">
        <f t="shared" si="1"/>
        <v xml:space="preserve"> </v>
      </c>
      <c r="C3319" s="79" t="str">
        <f t="shared" si="7"/>
        <v xml:space="preserve"> </v>
      </c>
      <c r="D3319" s="79" t="str">
        <f t="shared" si="5"/>
        <v xml:space="preserve"> </v>
      </c>
      <c r="E3319" s="79" t="str">
        <f t="shared" si="6"/>
        <v xml:space="preserve"> </v>
      </c>
    </row>
    <row r="3320" spans="1:5" ht="12.5">
      <c r="A3320" s="81" t="str">
        <f t="shared" si="0"/>
        <v xml:space="preserve"> </v>
      </c>
      <c r="B3320" s="81" t="str">
        <f t="shared" si="1"/>
        <v xml:space="preserve"> </v>
      </c>
      <c r="C3320" s="79" t="str">
        <f t="shared" si="7"/>
        <v xml:space="preserve"> </v>
      </c>
      <c r="D3320" s="79" t="str">
        <f t="shared" si="5"/>
        <v xml:space="preserve"> </v>
      </c>
      <c r="E3320" s="79" t="str">
        <f t="shared" si="6"/>
        <v xml:space="preserve"> </v>
      </c>
    </row>
    <row r="3321" spans="1:5" ht="12.5">
      <c r="A3321" s="81" t="str">
        <f t="shared" si="0"/>
        <v xml:space="preserve"> </v>
      </c>
      <c r="B3321" s="81" t="str">
        <f t="shared" si="1"/>
        <v xml:space="preserve"> </v>
      </c>
      <c r="C3321" s="79" t="str">
        <f t="shared" si="7"/>
        <v xml:space="preserve"> </v>
      </c>
      <c r="D3321" s="79" t="str">
        <f t="shared" si="5"/>
        <v xml:space="preserve"> </v>
      </c>
      <c r="E3321" s="79" t="str">
        <f t="shared" si="6"/>
        <v xml:space="preserve"> </v>
      </c>
    </row>
    <row r="3322" spans="1:5" ht="12.5">
      <c r="A3322" s="81" t="str">
        <f t="shared" si="0"/>
        <v xml:space="preserve"> </v>
      </c>
      <c r="B3322" s="81" t="str">
        <f t="shared" si="1"/>
        <v xml:space="preserve"> </v>
      </c>
      <c r="C3322" s="79" t="str">
        <f t="shared" si="7"/>
        <v xml:space="preserve"> </v>
      </c>
      <c r="D3322" s="79" t="str">
        <f t="shared" si="5"/>
        <v xml:space="preserve"> </v>
      </c>
      <c r="E3322" s="79" t="str">
        <f t="shared" si="6"/>
        <v xml:space="preserve"> </v>
      </c>
    </row>
    <row r="3323" spans="1:5" ht="12.5">
      <c r="A3323" s="81" t="str">
        <f t="shared" si="0"/>
        <v xml:space="preserve"> </v>
      </c>
      <c r="B3323" s="81" t="str">
        <f t="shared" si="1"/>
        <v xml:space="preserve"> </v>
      </c>
      <c r="C3323" s="79" t="str">
        <f t="shared" si="7"/>
        <v xml:space="preserve"> </v>
      </c>
      <c r="D3323" s="79" t="str">
        <f t="shared" si="5"/>
        <v xml:space="preserve"> </v>
      </c>
      <c r="E3323" s="79" t="str">
        <f t="shared" si="6"/>
        <v xml:space="preserve"> </v>
      </c>
    </row>
    <row r="3324" spans="1:5" ht="12.5">
      <c r="A3324" s="81" t="str">
        <f t="shared" si="0"/>
        <v xml:space="preserve"> </v>
      </c>
      <c r="B3324" s="81" t="str">
        <f t="shared" si="1"/>
        <v xml:space="preserve"> </v>
      </c>
      <c r="C3324" s="79" t="str">
        <f t="shared" si="7"/>
        <v xml:space="preserve"> </v>
      </c>
      <c r="D3324" s="79" t="str">
        <f t="shared" si="5"/>
        <v xml:space="preserve"> </v>
      </c>
      <c r="E3324" s="79" t="str">
        <f t="shared" si="6"/>
        <v xml:space="preserve"> </v>
      </c>
    </row>
    <row r="3325" spans="1:5" ht="12.5">
      <c r="A3325" s="81" t="str">
        <f t="shared" si="0"/>
        <v xml:space="preserve"> </v>
      </c>
      <c r="B3325" s="81" t="str">
        <f t="shared" si="1"/>
        <v xml:space="preserve"> </v>
      </c>
      <c r="C3325" s="79" t="str">
        <f t="shared" si="7"/>
        <v xml:space="preserve"> </v>
      </c>
      <c r="D3325" s="79" t="str">
        <f t="shared" si="5"/>
        <v xml:space="preserve"> </v>
      </c>
      <c r="E3325" s="79" t="str">
        <f t="shared" si="6"/>
        <v xml:space="preserve"> </v>
      </c>
    </row>
    <row r="3326" spans="1:5" ht="12.5">
      <c r="A3326" s="81" t="str">
        <f t="shared" si="0"/>
        <v xml:space="preserve"> </v>
      </c>
      <c r="B3326" s="81" t="str">
        <f t="shared" si="1"/>
        <v xml:space="preserve"> </v>
      </c>
      <c r="C3326" s="79" t="str">
        <f t="shared" si="7"/>
        <v xml:space="preserve"> </v>
      </c>
      <c r="D3326" s="79" t="str">
        <f t="shared" si="5"/>
        <v xml:space="preserve"> </v>
      </c>
      <c r="E3326" s="79" t="str">
        <f t="shared" si="6"/>
        <v xml:space="preserve"> </v>
      </c>
    </row>
    <row r="3327" spans="1:5" ht="12.5">
      <c r="A3327" s="81" t="str">
        <f t="shared" si="0"/>
        <v xml:space="preserve"> </v>
      </c>
      <c r="B3327" s="81" t="str">
        <f t="shared" si="1"/>
        <v xml:space="preserve"> </v>
      </c>
      <c r="C3327" s="79" t="str">
        <f t="shared" si="7"/>
        <v xml:space="preserve"> </v>
      </c>
      <c r="D3327" s="79" t="str">
        <f t="shared" si="5"/>
        <v xml:space="preserve"> </v>
      </c>
      <c r="E3327" s="79" t="str">
        <f t="shared" si="6"/>
        <v xml:space="preserve"> </v>
      </c>
    </row>
    <row r="3328" spans="1:5" ht="12.5">
      <c r="A3328" s="81" t="str">
        <f t="shared" si="0"/>
        <v xml:space="preserve"> </v>
      </c>
      <c r="B3328" s="81" t="str">
        <f t="shared" si="1"/>
        <v xml:space="preserve"> </v>
      </c>
      <c r="C3328" s="79" t="str">
        <f t="shared" si="7"/>
        <v xml:space="preserve"> </v>
      </c>
      <c r="D3328" s="79" t="str">
        <f t="shared" si="5"/>
        <v xml:space="preserve"> </v>
      </c>
      <c r="E3328" s="79" t="str">
        <f t="shared" si="6"/>
        <v xml:space="preserve"> </v>
      </c>
    </row>
    <row r="3329" spans="1:5" ht="12.5">
      <c r="A3329" s="81" t="str">
        <f t="shared" si="0"/>
        <v xml:space="preserve"> </v>
      </c>
      <c r="B3329" s="81" t="str">
        <f t="shared" si="1"/>
        <v xml:space="preserve"> </v>
      </c>
      <c r="C3329" s="79" t="str">
        <f t="shared" si="7"/>
        <v xml:space="preserve"> </v>
      </c>
      <c r="D3329" s="79" t="str">
        <f t="shared" si="5"/>
        <v xml:space="preserve"> </v>
      </c>
      <c r="E3329" s="79" t="str">
        <f t="shared" si="6"/>
        <v xml:space="preserve"> </v>
      </c>
    </row>
    <row r="3330" spans="1:5" ht="12.5">
      <c r="A3330" s="81" t="str">
        <f t="shared" si="0"/>
        <v xml:space="preserve"> </v>
      </c>
      <c r="B3330" s="81" t="str">
        <f t="shared" si="1"/>
        <v xml:space="preserve"> </v>
      </c>
      <c r="C3330" s="79" t="str">
        <f t="shared" si="7"/>
        <v xml:space="preserve"> </v>
      </c>
      <c r="D3330" s="79" t="str">
        <f t="shared" si="5"/>
        <v xml:space="preserve"> </v>
      </c>
      <c r="E3330" s="79" t="str">
        <f t="shared" si="6"/>
        <v xml:space="preserve"> </v>
      </c>
    </row>
    <row r="3331" spans="1:5" ht="12.5">
      <c r="A3331" s="81" t="str">
        <f t="shared" si="0"/>
        <v xml:space="preserve"> </v>
      </c>
      <c r="B3331" s="81" t="str">
        <f t="shared" si="1"/>
        <v xml:space="preserve"> </v>
      </c>
      <c r="C3331" s="79" t="str">
        <f t="shared" si="7"/>
        <v xml:space="preserve"> </v>
      </c>
      <c r="D3331" s="79" t="str">
        <f t="shared" si="5"/>
        <v xml:space="preserve"> </v>
      </c>
      <c r="E3331" s="79" t="str">
        <f t="shared" si="6"/>
        <v xml:space="preserve"> </v>
      </c>
    </row>
    <row r="3332" spans="1:5" ht="12.5">
      <c r="A3332" s="81" t="str">
        <f t="shared" si="0"/>
        <v xml:space="preserve"> </v>
      </c>
      <c r="B3332" s="81" t="str">
        <f t="shared" si="1"/>
        <v xml:space="preserve"> </v>
      </c>
      <c r="C3332" s="79" t="str">
        <f t="shared" si="7"/>
        <v xml:space="preserve"> </v>
      </c>
      <c r="D3332" s="79" t="str">
        <f t="shared" si="5"/>
        <v xml:space="preserve"> </v>
      </c>
      <c r="E3332" s="79" t="str">
        <f t="shared" si="6"/>
        <v xml:space="preserve"> </v>
      </c>
    </row>
    <row r="3333" spans="1:5" ht="12.5">
      <c r="A3333" s="81" t="str">
        <f t="shared" si="0"/>
        <v xml:space="preserve"> </v>
      </c>
      <c r="B3333" s="81" t="str">
        <f t="shared" si="1"/>
        <v xml:space="preserve"> </v>
      </c>
      <c r="C3333" s="79" t="str">
        <f t="shared" si="7"/>
        <v xml:space="preserve"> </v>
      </c>
      <c r="D3333" s="79" t="str">
        <f t="shared" si="5"/>
        <v xml:space="preserve"> </v>
      </c>
      <c r="E3333" s="79" t="str">
        <f t="shared" si="6"/>
        <v xml:space="preserve"> </v>
      </c>
    </row>
    <row r="3334" spans="1:5" ht="12.5">
      <c r="A3334" s="81" t="str">
        <f t="shared" si="0"/>
        <v xml:space="preserve"> </v>
      </c>
      <c r="B3334" s="81" t="str">
        <f t="shared" si="1"/>
        <v xml:space="preserve"> </v>
      </c>
      <c r="C3334" s="79" t="str">
        <f t="shared" si="7"/>
        <v xml:space="preserve"> </v>
      </c>
      <c r="D3334" s="79" t="str">
        <f t="shared" si="5"/>
        <v xml:space="preserve"> </v>
      </c>
      <c r="E3334" s="79" t="str">
        <f t="shared" si="6"/>
        <v xml:space="preserve"> </v>
      </c>
    </row>
    <row r="3335" spans="1:5" ht="12.5">
      <c r="A3335" s="81" t="str">
        <f t="shared" si="0"/>
        <v xml:space="preserve"> </v>
      </c>
      <c r="B3335" s="81" t="str">
        <f t="shared" si="1"/>
        <v xml:space="preserve"> </v>
      </c>
      <c r="C3335" s="79" t="str">
        <f t="shared" si="7"/>
        <v xml:space="preserve"> </v>
      </c>
      <c r="D3335" s="79" t="str">
        <f t="shared" si="5"/>
        <v xml:space="preserve"> </v>
      </c>
      <c r="E3335" s="79" t="str">
        <f t="shared" si="6"/>
        <v xml:space="preserve"> </v>
      </c>
    </row>
    <row r="3336" spans="1:5" ht="12.5">
      <c r="A3336" s="81" t="str">
        <f t="shared" si="0"/>
        <v xml:space="preserve"> </v>
      </c>
      <c r="B3336" s="81" t="str">
        <f t="shared" si="1"/>
        <v xml:space="preserve"> </v>
      </c>
      <c r="C3336" s="79" t="str">
        <f t="shared" si="7"/>
        <v xml:space="preserve"> </v>
      </c>
      <c r="D3336" s="79" t="str">
        <f t="shared" si="5"/>
        <v xml:space="preserve"> </v>
      </c>
      <c r="E3336" s="79" t="str">
        <f t="shared" si="6"/>
        <v xml:space="preserve"> </v>
      </c>
    </row>
    <row r="3337" spans="1:5" ht="12.5">
      <c r="A3337" s="81" t="str">
        <f t="shared" si="0"/>
        <v xml:space="preserve"> </v>
      </c>
      <c r="B3337" s="81" t="str">
        <f t="shared" si="1"/>
        <v xml:space="preserve"> </v>
      </c>
      <c r="C3337" s="79" t="str">
        <f t="shared" si="7"/>
        <v xml:space="preserve"> </v>
      </c>
      <c r="D3337" s="79" t="str">
        <f t="shared" si="5"/>
        <v xml:space="preserve"> </v>
      </c>
      <c r="E3337" s="79" t="str">
        <f t="shared" si="6"/>
        <v xml:space="preserve"> </v>
      </c>
    </row>
    <row r="3338" spans="1:5" ht="12.5">
      <c r="A3338" s="81" t="str">
        <f t="shared" si="0"/>
        <v xml:space="preserve"> </v>
      </c>
      <c r="B3338" s="81" t="str">
        <f t="shared" si="1"/>
        <v xml:space="preserve"> </v>
      </c>
      <c r="C3338" s="79" t="str">
        <f t="shared" si="7"/>
        <v xml:space="preserve"> </v>
      </c>
      <c r="D3338" s="79" t="str">
        <f t="shared" si="5"/>
        <v xml:space="preserve"> </v>
      </c>
      <c r="E3338" s="79" t="str">
        <f t="shared" si="6"/>
        <v xml:space="preserve"> </v>
      </c>
    </row>
    <row r="3339" spans="1:5" ht="12.5">
      <c r="A3339" s="81" t="str">
        <f t="shared" si="0"/>
        <v xml:space="preserve"> </v>
      </c>
      <c r="B3339" s="81" t="str">
        <f t="shared" si="1"/>
        <v xml:space="preserve"> </v>
      </c>
      <c r="C3339" s="79" t="str">
        <f t="shared" si="7"/>
        <v xml:space="preserve"> </v>
      </c>
      <c r="D3339" s="79" t="str">
        <f t="shared" si="5"/>
        <v xml:space="preserve"> </v>
      </c>
      <c r="E3339" s="79" t="str">
        <f t="shared" si="6"/>
        <v xml:space="preserve"> </v>
      </c>
    </row>
    <row r="3340" spans="1:5" ht="12.5">
      <c r="A3340" s="81" t="str">
        <f t="shared" si="0"/>
        <v xml:space="preserve"> </v>
      </c>
      <c r="B3340" s="81" t="str">
        <f t="shared" si="1"/>
        <v xml:space="preserve"> </v>
      </c>
      <c r="C3340" s="79" t="str">
        <f t="shared" si="7"/>
        <v xml:space="preserve"> </v>
      </c>
      <c r="D3340" s="79" t="str">
        <f t="shared" si="5"/>
        <v xml:space="preserve"> </v>
      </c>
      <c r="E3340" s="79" t="str">
        <f t="shared" si="6"/>
        <v xml:space="preserve"> </v>
      </c>
    </row>
    <row r="3341" spans="1:5" ht="12.5">
      <c r="A3341" s="81" t="str">
        <f t="shared" si="0"/>
        <v xml:space="preserve"> </v>
      </c>
      <c r="B3341" s="81" t="str">
        <f t="shared" si="1"/>
        <v xml:space="preserve"> </v>
      </c>
      <c r="C3341" s="79" t="str">
        <f t="shared" si="7"/>
        <v xml:space="preserve"> </v>
      </c>
      <c r="D3341" s="79" t="str">
        <f t="shared" si="5"/>
        <v xml:space="preserve"> </v>
      </c>
      <c r="E3341" s="79" t="str">
        <f t="shared" si="6"/>
        <v xml:space="preserve"> </v>
      </c>
    </row>
    <row r="3342" spans="1:5" ht="12.5">
      <c r="A3342" s="81" t="str">
        <f t="shared" si="0"/>
        <v xml:space="preserve"> </v>
      </c>
      <c r="B3342" s="81" t="str">
        <f t="shared" si="1"/>
        <v xml:space="preserve"> </v>
      </c>
      <c r="C3342" s="79" t="str">
        <f t="shared" si="7"/>
        <v xml:space="preserve"> </v>
      </c>
      <c r="D3342" s="79" t="str">
        <f t="shared" si="5"/>
        <v xml:space="preserve"> </v>
      </c>
      <c r="E3342" s="79" t="str">
        <f t="shared" si="6"/>
        <v xml:space="preserve"> </v>
      </c>
    </row>
    <row r="3343" spans="1:5" ht="12.5">
      <c r="A3343" s="81" t="str">
        <f t="shared" si="0"/>
        <v xml:space="preserve"> </v>
      </c>
      <c r="B3343" s="81" t="str">
        <f t="shared" si="1"/>
        <v xml:space="preserve"> </v>
      </c>
      <c r="C3343" s="79" t="str">
        <f t="shared" si="7"/>
        <v xml:space="preserve"> </v>
      </c>
      <c r="D3343" s="79" t="str">
        <f t="shared" si="5"/>
        <v xml:space="preserve"> </v>
      </c>
      <c r="E3343" s="79" t="str">
        <f t="shared" si="6"/>
        <v xml:space="preserve"> </v>
      </c>
    </row>
    <row r="3344" spans="1:5" ht="12.5">
      <c r="A3344" s="81" t="str">
        <f t="shared" si="0"/>
        <v xml:space="preserve"> </v>
      </c>
      <c r="B3344" s="81" t="str">
        <f t="shared" si="1"/>
        <v xml:space="preserve"> </v>
      </c>
      <c r="C3344" s="79" t="str">
        <f t="shared" si="7"/>
        <v xml:space="preserve"> </v>
      </c>
      <c r="D3344" s="79" t="str">
        <f t="shared" si="5"/>
        <v xml:space="preserve"> </v>
      </c>
      <c r="E3344" s="79" t="str">
        <f t="shared" si="6"/>
        <v xml:space="preserve"> </v>
      </c>
    </row>
    <row r="3345" spans="1:5" ht="12.5">
      <c r="A3345" s="81" t="str">
        <f t="shared" si="0"/>
        <v xml:space="preserve"> </v>
      </c>
      <c r="B3345" s="81" t="str">
        <f t="shared" si="1"/>
        <v xml:space="preserve"> </v>
      </c>
      <c r="C3345" s="79" t="str">
        <f t="shared" si="7"/>
        <v xml:space="preserve"> </v>
      </c>
      <c r="D3345" s="79" t="str">
        <f t="shared" si="5"/>
        <v xml:space="preserve"> </v>
      </c>
      <c r="E3345" s="79" t="str">
        <f t="shared" si="6"/>
        <v xml:space="preserve"> </v>
      </c>
    </row>
    <row r="3346" spans="1:5" ht="12.5">
      <c r="A3346" s="81" t="str">
        <f t="shared" si="0"/>
        <v xml:space="preserve"> </v>
      </c>
      <c r="B3346" s="81" t="str">
        <f t="shared" si="1"/>
        <v xml:space="preserve"> </v>
      </c>
      <c r="C3346" s="79" t="str">
        <f t="shared" si="7"/>
        <v xml:space="preserve"> </v>
      </c>
      <c r="D3346" s="79" t="str">
        <f t="shared" si="5"/>
        <v xml:space="preserve"> </v>
      </c>
      <c r="E3346" s="79" t="str">
        <f t="shared" si="6"/>
        <v xml:space="preserve"> </v>
      </c>
    </row>
    <row r="3347" spans="1:5" ht="12.5">
      <c r="A3347" s="81" t="str">
        <f t="shared" si="0"/>
        <v xml:space="preserve"> </v>
      </c>
      <c r="B3347" s="81" t="str">
        <f t="shared" si="1"/>
        <v xml:space="preserve"> </v>
      </c>
      <c r="C3347" s="79" t="str">
        <f t="shared" si="7"/>
        <v xml:space="preserve"> </v>
      </c>
      <c r="D3347" s="79" t="str">
        <f t="shared" si="5"/>
        <v xml:space="preserve"> </v>
      </c>
      <c r="E3347" s="79" t="str">
        <f t="shared" si="6"/>
        <v xml:space="preserve"> </v>
      </c>
    </row>
    <row r="3348" spans="1:5" ht="12.5">
      <c r="A3348" s="81" t="str">
        <f t="shared" si="0"/>
        <v xml:space="preserve"> </v>
      </c>
      <c r="B3348" s="81" t="str">
        <f t="shared" si="1"/>
        <v xml:space="preserve"> </v>
      </c>
      <c r="C3348" s="79" t="str">
        <f t="shared" si="7"/>
        <v xml:space="preserve"> </v>
      </c>
      <c r="D3348" s="79" t="str">
        <f t="shared" si="5"/>
        <v xml:space="preserve"> </v>
      </c>
      <c r="E3348" s="79" t="str">
        <f t="shared" si="6"/>
        <v xml:space="preserve"> </v>
      </c>
    </row>
    <row r="3349" spans="1:5" ht="12.5">
      <c r="A3349" s="81" t="str">
        <f t="shared" si="0"/>
        <v xml:space="preserve"> </v>
      </c>
      <c r="B3349" s="81" t="str">
        <f t="shared" si="1"/>
        <v xml:space="preserve"> </v>
      </c>
      <c r="C3349" s="79" t="str">
        <f t="shared" si="7"/>
        <v xml:space="preserve"> </v>
      </c>
      <c r="D3349" s="79" t="str">
        <f t="shared" si="5"/>
        <v xml:space="preserve"> </v>
      </c>
      <c r="E3349" s="79" t="str">
        <f t="shared" si="6"/>
        <v xml:space="preserve"> </v>
      </c>
    </row>
    <row r="3350" spans="1:5" ht="12.5">
      <c r="A3350" s="81" t="str">
        <f t="shared" si="0"/>
        <v xml:space="preserve"> </v>
      </c>
      <c r="B3350" s="81" t="str">
        <f t="shared" si="1"/>
        <v xml:space="preserve"> </v>
      </c>
      <c r="C3350" s="79" t="str">
        <f t="shared" si="7"/>
        <v xml:space="preserve"> </v>
      </c>
      <c r="D3350" s="79" t="str">
        <f t="shared" si="5"/>
        <v xml:space="preserve"> </v>
      </c>
      <c r="E3350" s="79" t="str">
        <f t="shared" si="6"/>
        <v xml:space="preserve"> </v>
      </c>
    </row>
    <row r="3351" spans="1:5" ht="12.5">
      <c r="A3351" s="81" t="str">
        <f t="shared" si="0"/>
        <v xml:space="preserve"> </v>
      </c>
      <c r="B3351" s="81" t="str">
        <f t="shared" si="1"/>
        <v xml:space="preserve"> </v>
      </c>
      <c r="C3351" s="79" t="str">
        <f t="shared" si="7"/>
        <v xml:space="preserve"> </v>
      </c>
      <c r="D3351" s="79" t="str">
        <f t="shared" si="5"/>
        <v xml:space="preserve"> </v>
      </c>
      <c r="E3351" s="79" t="str">
        <f t="shared" si="6"/>
        <v xml:space="preserve"> </v>
      </c>
    </row>
    <row r="3352" spans="1:5" ht="12.5">
      <c r="A3352" s="81" t="str">
        <f t="shared" si="0"/>
        <v xml:space="preserve"> </v>
      </c>
      <c r="B3352" s="81" t="str">
        <f t="shared" si="1"/>
        <v xml:space="preserve"> </v>
      </c>
      <c r="C3352" s="79" t="str">
        <f t="shared" si="7"/>
        <v xml:space="preserve"> </v>
      </c>
      <c r="D3352" s="79" t="str">
        <f t="shared" si="5"/>
        <v xml:space="preserve"> </v>
      </c>
      <c r="E3352" s="79" t="str">
        <f t="shared" si="6"/>
        <v xml:space="preserve"> </v>
      </c>
    </row>
    <row r="3353" spans="1:5" ht="12.5">
      <c r="A3353" s="81" t="str">
        <f t="shared" si="0"/>
        <v xml:space="preserve"> </v>
      </c>
      <c r="B3353" s="81" t="str">
        <f t="shared" si="1"/>
        <v xml:space="preserve"> </v>
      </c>
      <c r="C3353" s="79" t="str">
        <f t="shared" si="7"/>
        <v xml:space="preserve"> </v>
      </c>
      <c r="D3353" s="79" t="str">
        <f t="shared" si="5"/>
        <v xml:space="preserve"> </v>
      </c>
      <c r="E3353" s="79" t="str">
        <f t="shared" si="6"/>
        <v xml:space="preserve"> </v>
      </c>
    </row>
    <row r="3354" spans="1:5" ht="12.5">
      <c r="A3354" s="81" t="str">
        <f t="shared" si="0"/>
        <v xml:space="preserve"> </v>
      </c>
      <c r="B3354" s="81" t="str">
        <f t="shared" si="1"/>
        <v xml:space="preserve"> </v>
      </c>
      <c r="C3354" s="79" t="str">
        <f t="shared" si="7"/>
        <v xml:space="preserve"> </v>
      </c>
      <c r="D3354" s="79" t="str">
        <f t="shared" si="5"/>
        <v xml:space="preserve"> </v>
      </c>
      <c r="E3354" s="79" t="str">
        <f t="shared" si="6"/>
        <v xml:space="preserve"> </v>
      </c>
    </row>
    <row r="3355" spans="1:5" ht="12.5">
      <c r="A3355" s="81" t="str">
        <f t="shared" si="0"/>
        <v xml:space="preserve"> </v>
      </c>
      <c r="B3355" s="81" t="str">
        <f t="shared" si="1"/>
        <v xml:space="preserve"> </v>
      </c>
      <c r="C3355" s="79" t="str">
        <f t="shared" si="7"/>
        <v xml:space="preserve"> </v>
      </c>
      <c r="D3355" s="79" t="str">
        <f t="shared" si="5"/>
        <v xml:space="preserve"> </v>
      </c>
      <c r="E3355" s="79" t="str">
        <f t="shared" si="6"/>
        <v xml:space="preserve"> </v>
      </c>
    </row>
    <row r="3356" spans="1:5" ht="12.5">
      <c r="A3356" s="81" t="str">
        <f t="shared" si="0"/>
        <v xml:space="preserve"> </v>
      </c>
      <c r="B3356" s="81" t="str">
        <f t="shared" si="1"/>
        <v xml:space="preserve"> </v>
      </c>
      <c r="C3356" s="79" t="str">
        <f t="shared" si="7"/>
        <v xml:space="preserve"> </v>
      </c>
      <c r="D3356" s="79" t="str">
        <f t="shared" si="5"/>
        <v xml:space="preserve"> </v>
      </c>
      <c r="E3356" s="79" t="str">
        <f t="shared" si="6"/>
        <v xml:space="preserve"> </v>
      </c>
    </row>
    <row r="3357" spans="1:5" ht="12.5">
      <c r="A3357" s="81" t="str">
        <f t="shared" si="0"/>
        <v xml:space="preserve"> </v>
      </c>
      <c r="B3357" s="81" t="str">
        <f t="shared" si="1"/>
        <v xml:space="preserve"> </v>
      </c>
      <c r="C3357" s="79" t="str">
        <f t="shared" si="7"/>
        <v xml:space="preserve"> </v>
      </c>
      <c r="D3357" s="79" t="str">
        <f t="shared" si="5"/>
        <v xml:space="preserve"> </v>
      </c>
      <c r="E3357" s="79" t="str">
        <f t="shared" si="6"/>
        <v xml:space="preserve"> </v>
      </c>
    </row>
    <row r="3358" spans="1:5" ht="12.5">
      <c r="A3358" s="81" t="str">
        <f t="shared" si="0"/>
        <v xml:space="preserve"> </v>
      </c>
      <c r="B3358" s="81" t="str">
        <f t="shared" si="1"/>
        <v xml:space="preserve"> </v>
      </c>
      <c r="C3358" s="79" t="str">
        <f t="shared" si="7"/>
        <v xml:space="preserve"> </v>
      </c>
      <c r="D3358" s="79" t="str">
        <f t="shared" si="5"/>
        <v xml:space="preserve"> </v>
      </c>
      <c r="E3358" s="79" t="str">
        <f t="shared" si="6"/>
        <v xml:space="preserve"> </v>
      </c>
    </row>
    <row r="3359" spans="1:5" ht="12.5">
      <c r="A3359" s="81" t="str">
        <f t="shared" si="0"/>
        <v xml:space="preserve"> </v>
      </c>
      <c r="B3359" s="81" t="str">
        <f t="shared" si="1"/>
        <v xml:space="preserve"> </v>
      </c>
      <c r="C3359" s="79" t="str">
        <f t="shared" si="7"/>
        <v xml:space="preserve"> </v>
      </c>
      <c r="D3359" s="79" t="str">
        <f t="shared" si="5"/>
        <v xml:space="preserve"> </v>
      </c>
      <c r="E3359" s="79" t="str">
        <f t="shared" si="6"/>
        <v xml:space="preserve"> </v>
      </c>
    </row>
    <row r="3360" spans="1:5" ht="12.5">
      <c r="A3360" s="81" t="str">
        <f t="shared" si="0"/>
        <v xml:space="preserve"> </v>
      </c>
      <c r="B3360" s="81" t="str">
        <f t="shared" si="1"/>
        <v xml:space="preserve"> </v>
      </c>
      <c r="C3360" s="79" t="str">
        <f t="shared" si="7"/>
        <v xml:space="preserve"> </v>
      </c>
      <c r="D3360" s="79" t="str">
        <f t="shared" si="5"/>
        <v xml:space="preserve"> </v>
      </c>
      <c r="E3360" s="79" t="str">
        <f t="shared" si="6"/>
        <v xml:space="preserve"> </v>
      </c>
    </row>
    <row r="3361" spans="1:5" ht="12.5">
      <c r="A3361" s="81" t="str">
        <f t="shared" si="0"/>
        <v xml:space="preserve"> </v>
      </c>
      <c r="B3361" s="81" t="str">
        <f t="shared" si="1"/>
        <v xml:space="preserve"> </v>
      </c>
      <c r="C3361" s="79" t="str">
        <f t="shared" si="7"/>
        <v xml:space="preserve"> </v>
      </c>
      <c r="D3361" s="79" t="str">
        <f t="shared" si="5"/>
        <v xml:space="preserve"> </v>
      </c>
      <c r="E3361" s="79" t="str">
        <f t="shared" si="6"/>
        <v xml:space="preserve"> </v>
      </c>
    </row>
    <row r="3362" spans="1:5" ht="12.5">
      <c r="A3362" s="81" t="str">
        <f t="shared" si="0"/>
        <v xml:space="preserve"> </v>
      </c>
      <c r="B3362" s="81" t="str">
        <f t="shared" si="1"/>
        <v xml:space="preserve"> </v>
      </c>
      <c r="C3362" s="79" t="str">
        <f t="shared" si="7"/>
        <v xml:space="preserve"> </v>
      </c>
      <c r="D3362" s="79" t="str">
        <f t="shared" si="5"/>
        <v xml:space="preserve"> </v>
      </c>
      <c r="E3362" s="79" t="str">
        <f t="shared" si="6"/>
        <v xml:space="preserve"> </v>
      </c>
    </row>
    <row r="3363" spans="1:5" ht="12.5">
      <c r="A3363" s="81" t="str">
        <f t="shared" si="0"/>
        <v xml:space="preserve"> </v>
      </c>
      <c r="B3363" s="81" t="str">
        <f t="shared" si="1"/>
        <v xml:space="preserve"> </v>
      </c>
      <c r="C3363" s="79" t="str">
        <f t="shared" si="7"/>
        <v xml:space="preserve"> </v>
      </c>
      <c r="D3363" s="79" t="str">
        <f t="shared" si="5"/>
        <v xml:space="preserve"> </v>
      </c>
      <c r="E3363" s="79" t="str">
        <f t="shared" si="6"/>
        <v xml:space="preserve"> </v>
      </c>
    </row>
    <row r="3364" spans="1:5" ht="12.5">
      <c r="A3364" s="81" t="str">
        <f t="shared" si="0"/>
        <v xml:space="preserve"> </v>
      </c>
      <c r="B3364" s="81" t="str">
        <f t="shared" si="1"/>
        <v xml:space="preserve"> </v>
      </c>
      <c r="C3364" s="79" t="str">
        <f t="shared" si="7"/>
        <v xml:space="preserve"> </v>
      </c>
      <c r="D3364" s="79" t="str">
        <f t="shared" si="5"/>
        <v xml:space="preserve"> </v>
      </c>
      <c r="E3364" s="79" t="str">
        <f t="shared" si="6"/>
        <v xml:space="preserve"> </v>
      </c>
    </row>
    <row r="3365" spans="1:5" ht="12.5">
      <c r="A3365" s="81" t="str">
        <f t="shared" si="0"/>
        <v xml:space="preserve"> </v>
      </c>
      <c r="B3365" s="81" t="str">
        <f t="shared" si="1"/>
        <v xml:space="preserve"> </v>
      </c>
      <c r="C3365" s="79" t="str">
        <f t="shared" si="7"/>
        <v xml:space="preserve"> </v>
      </c>
      <c r="D3365" s="79" t="str">
        <f t="shared" si="5"/>
        <v xml:space="preserve"> </v>
      </c>
      <c r="E3365" s="79" t="str">
        <f t="shared" si="6"/>
        <v xml:space="preserve"> </v>
      </c>
    </row>
    <row r="3366" spans="1:5" ht="12.5">
      <c r="A3366" s="81" t="str">
        <f t="shared" si="0"/>
        <v xml:space="preserve"> </v>
      </c>
      <c r="B3366" s="81" t="str">
        <f t="shared" si="1"/>
        <v xml:space="preserve"> </v>
      </c>
      <c r="C3366" s="79" t="str">
        <f t="shared" si="7"/>
        <v xml:space="preserve"> </v>
      </c>
      <c r="D3366" s="79" t="str">
        <f t="shared" si="5"/>
        <v xml:space="preserve"> </v>
      </c>
      <c r="E3366" s="79" t="str">
        <f t="shared" si="6"/>
        <v xml:space="preserve"> </v>
      </c>
    </row>
    <row r="3367" spans="1:5" ht="12.5">
      <c r="A3367" s="81" t="str">
        <f t="shared" si="0"/>
        <v xml:space="preserve"> </v>
      </c>
      <c r="B3367" s="81" t="str">
        <f t="shared" si="1"/>
        <v xml:space="preserve"> </v>
      </c>
      <c r="C3367" s="79" t="str">
        <f t="shared" si="7"/>
        <v xml:space="preserve"> </v>
      </c>
      <c r="D3367" s="79" t="str">
        <f t="shared" si="5"/>
        <v xml:space="preserve"> </v>
      </c>
      <c r="E3367" s="79" t="str">
        <f t="shared" si="6"/>
        <v xml:space="preserve"> </v>
      </c>
    </row>
    <row r="3368" spans="1:5" ht="12.5">
      <c r="A3368" s="81" t="str">
        <f t="shared" si="0"/>
        <v xml:space="preserve"> </v>
      </c>
      <c r="B3368" s="81" t="str">
        <f t="shared" si="1"/>
        <v xml:space="preserve"> </v>
      </c>
      <c r="C3368" s="79" t="str">
        <f t="shared" si="7"/>
        <v xml:space="preserve"> </v>
      </c>
      <c r="D3368" s="79" t="str">
        <f t="shared" si="5"/>
        <v xml:space="preserve"> </v>
      </c>
      <c r="E3368" s="79" t="str">
        <f t="shared" si="6"/>
        <v xml:space="preserve"> </v>
      </c>
    </row>
    <row r="3369" spans="1:5" ht="12.5">
      <c r="A3369" s="81" t="str">
        <f t="shared" si="0"/>
        <v xml:space="preserve"> </v>
      </c>
      <c r="B3369" s="81" t="str">
        <f t="shared" si="1"/>
        <v xml:space="preserve"> </v>
      </c>
      <c r="C3369" s="79" t="str">
        <f t="shared" si="7"/>
        <v xml:space="preserve"> </v>
      </c>
      <c r="D3369" s="79" t="str">
        <f t="shared" si="5"/>
        <v xml:space="preserve"> </v>
      </c>
      <c r="E3369" s="79" t="str">
        <f t="shared" si="6"/>
        <v xml:space="preserve"> </v>
      </c>
    </row>
    <row r="3370" spans="1:5" ht="12.5">
      <c r="A3370" s="81" t="str">
        <f t="shared" si="0"/>
        <v xml:space="preserve"> </v>
      </c>
      <c r="B3370" s="81" t="str">
        <f t="shared" si="1"/>
        <v xml:space="preserve"> </v>
      </c>
      <c r="C3370" s="79" t="str">
        <f t="shared" si="7"/>
        <v xml:space="preserve"> </v>
      </c>
      <c r="D3370" s="79" t="str">
        <f t="shared" si="5"/>
        <v xml:space="preserve"> </v>
      </c>
      <c r="E3370" s="79" t="str">
        <f t="shared" si="6"/>
        <v xml:space="preserve"> </v>
      </c>
    </row>
    <row r="3371" spans="1:5" ht="12.5">
      <c r="A3371" s="81" t="str">
        <f t="shared" si="0"/>
        <v xml:space="preserve"> </v>
      </c>
      <c r="B3371" s="81" t="str">
        <f t="shared" si="1"/>
        <v xml:space="preserve"> </v>
      </c>
      <c r="C3371" s="79" t="str">
        <f t="shared" si="7"/>
        <v xml:space="preserve"> </v>
      </c>
      <c r="D3371" s="79" t="str">
        <f t="shared" si="5"/>
        <v xml:space="preserve"> </v>
      </c>
      <c r="E3371" s="79" t="str">
        <f t="shared" si="6"/>
        <v xml:space="preserve"> </v>
      </c>
    </row>
    <row r="3372" spans="1:5" ht="12.5">
      <c r="A3372" s="81" t="str">
        <f t="shared" si="0"/>
        <v xml:space="preserve"> </v>
      </c>
      <c r="B3372" s="81" t="str">
        <f t="shared" si="1"/>
        <v xml:space="preserve"> </v>
      </c>
      <c r="C3372" s="79" t="str">
        <f t="shared" si="7"/>
        <v xml:space="preserve"> </v>
      </c>
      <c r="D3372" s="79" t="str">
        <f t="shared" si="5"/>
        <v xml:space="preserve"> </v>
      </c>
      <c r="E3372" s="79" t="str">
        <f t="shared" si="6"/>
        <v xml:space="preserve"> </v>
      </c>
    </row>
    <row r="3373" spans="1:5" ht="12.5">
      <c r="A3373" s="81" t="str">
        <f t="shared" si="0"/>
        <v xml:space="preserve"> </v>
      </c>
      <c r="B3373" s="81" t="str">
        <f t="shared" si="1"/>
        <v xml:space="preserve"> </v>
      </c>
      <c r="C3373" s="79" t="str">
        <f t="shared" si="7"/>
        <v xml:space="preserve"> </v>
      </c>
      <c r="D3373" s="79" t="str">
        <f t="shared" si="5"/>
        <v xml:space="preserve"> </v>
      </c>
      <c r="E3373" s="79" t="str">
        <f t="shared" si="6"/>
        <v xml:space="preserve"> </v>
      </c>
    </row>
    <row r="3374" spans="1:5" ht="12.5">
      <c r="A3374" s="81" t="str">
        <f t="shared" si="0"/>
        <v xml:space="preserve"> </v>
      </c>
      <c r="B3374" s="81" t="str">
        <f t="shared" si="1"/>
        <v xml:space="preserve"> </v>
      </c>
      <c r="C3374" s="79" t="str">
        <f t="shared" si="7"/>
        <v xml:space="preserve"> </v>
      </c>
      <c r="D3374" s="79" t="str">
        <f t="shared" si="5"/>
        <v xml:space="preserve"> </v>
      </c>
      <c r="E3374" s="79" t="str">
        <f t="shared" si="6"/>
        <v xml:space="preserve"> </v>
      </c>
    </row>
    <row r="3375" spans="1:5" ht="12.5">
      <c r="A3375" s="81" t="str">
        <f t="shared" si="0"/>
        <v xml:space="preserve"> </v>
      </c>
      <c r="B3375" s="81" t="str">
        <f t="shared" si="1"/>
        <v xml:space="preserve"> </v>
      </c>
      <c r="C3375" s="79" t="str">
        <f t="shared" si="7"/>
        <v xml:space="preserve"> </v>
      </c>
      <c r="D3375" s="79" t="str">
        <f t="shared" si="5"/>
        <v xml:space="preserve"> </v>
      </c>
      <c r="E3375" s="79" t="str">
        <f t="shared" si="6"/>
        <v xml:space="preserve"> </v>
      </c>
    </row>
    <row r="3376" spans="1:5" ht="12.5">
      <c r="A3376" s="81" t="str">
        <f t="shared" si="0"/>
        <v xml:space="preserve"> </v>
      </c>
      <c r="B3376" s="81" t="str">
        <f t="shared" si="1"/>
        <v xml:space="preserve"> </v>
      </c>
      <c r="C3376" s="79" t="str">
        <f t="shared" si="7"/>
        <v xml:space="preserve"> </v>
      </c>
      <c r="D3376" s="79" t="str">
        <f t="shared" si="5"/>
        <v xml:space="preserve"> </v>
      </c>
      <c r="E3376" s="79" t="str">
        <f t="shared" si="6"/>
        <v xml:space="preserve"> </v>
      </c>
    </row>
    <row r="3377" spans="1:5" ht="12.5">
      <c r="A3377" s="81" t="str">
        <f t="shared" si="0"/>
        <v xml:space="preserve"> </v>
      </c>
      <c r="B3377" s="81" t="str">
        <f t="shared" si="1"/>
        <v xml:space="preserve"> </v>
      </c>
      <c r="C3377" s="79" t="str">
        <f t="shared" si="7"/>
        <v xml:space="preserve"> </v>
      </c>
      <c r="D3377" s="79" t="str">
        <f t="shared" si="5"/>
        <v xml:space="preserve"> </v>
      </c>
      <c r="E3377" s="79" t="str">
        <f t="shared" si="6"/>
        <v xml:space="preserve"> </v>
      </c>
    </row>
    <row r="3378" spans="1:5" ht="12.5">
      <c r="A3378" s="81" t="str">
        <f t="shared" si="0"/>
        <v xml:space="preserve"> </v>
      </c>
      <c r="B3378" s="81" t="str">
        <f t="shared" si="1"/>
        <v xml:space="preserve"> </v>
      </c>
      <c r="C3378" s="79" t="str">
        <f t="shared" si="7"/>
        <v xml:space="preserve"> </v>
      </c>
      <c r="D3378" s="79" t="str">
        <f t="shared" si="5"/>
        <v xml:space="preserve"> </v>
      </c>
      <c r="E3378" s="79" t="str">
        <f t="shared" si="6"/>
        <v xml:space="preserve"> </v>
      </c>
    </row>
    <row r="3379" spans="1:5" ht="12.5">
      <c r="A3379" s="81" t="str">
        <f t="shared" si="0"/>
        <v xml:space="preserve"> </v>
      </c>
      <c r="B3379" s="81" t="str">
        <f t="shared" si="1"/>
        <v xml:space="preserve"> </v>
      </c>
      <c r="C3379" s="79" t="str">
        <f t="shared" si="7"/>
        <v xml:space="preserve"> </v>
      </c>
      <c r="D3379" s="79" t="str">
        <f t="shared" si="5"/>
        <v xml:space="preserve"> </v>
      </c>
      <c r="E3379" s="79" t="str">
        <f t="shared" si="6"/>
        <v xml:space="preserve"> </v>
      </c>
    </row>
    <row r="3380" spans="1:5" ht="12.5">
      <c r="A3380" s="81" t="str">
        <f t="shared" si="0"/>
        <v xml:space="preserve"> </v>
      </c>
      <c r="B3380" s="81" t="str">
        <f t="shared" si="1"/>
        <v xml:space="preserve"> </v>
      </c>
      <c r="C3380" s="79" t="str">
        <f t="shared" si="7"/>
        <v xml:space="preserve"> </v>
      </c>
      <c r="D3380" s="79" t="str">
        <f t="shared" si="5"/>
        <v xml:space="preserve"> </v>
      </c>
      <c r="E3380" s="79" t="str">
        <f t="shared" si="6"/>
        <v xml:space="preserve"> </v>
      </c>
    </row>
    <row r="3381" spans="1:5" ht="12.5">
      <c r="A3381" s="81" t="str">
        <f t="shared" si="0"/>
        <v xml:space="preserve"> </v>
      </c>
      <c r="B3381" s="81" t="str">
        <f t="shared" si="1"/>
        <v xml:space="preserve"> </v>
      </c>
      <c r="C3381" s="79" t="str">
        <f t="shared" si="7"/>
        <v xml:space="preserve"> </v>
      </c>
      <c r="D3381" s="79" t="str">
        <f t="shared" si="5"/>
        <v xml:space="preserve"> </v>
      </c>
      <c r="E3381" s="79" t="str">
        <f t="shared" si="6"/>
        <v xml:space="preserve"> </v>
      </c>
    </row>
    <row r="3382" spans="1:5" ht="12.5">
      <c r="A3382" s="81" t="str">
        <f t="shared" si="0"/>
        <v xml:space="preserve"> </v>
      </c>
      <c r="B3382" s="81" t="str">
        <f t="shared" si="1"/>
        <v xml:space="preserve"> </v>
      </c>
      <c r="C3382" s="79" t="str">
        <f t="shared" si="7"/>
        <v xml:space="preserve"> </v>
      </c>
      <c r="D3382" s="79" t="str">
        <f t="shared" si="5"/>
        <v xml:space="preserve"> </v>
      </c>
      <c r="E3382" s="79" t="str">
        <f t="shared" si="6"/>
        <v xml:space="preserve"> </v>
      </c>
    </row>
    <row r="3383" spans="1:5" ht="12.5">
      <c r="A3383" s="81" t="str">
        <f t="shared" si="0"/>
        <v xml:space="preserve"> </v>
      </c>
      <c r="B3383" s="81" t="str">
        <f t="shared" si="1"/>
        <v xml:space="preserve"> </v>
      </c>
      <c r="C3383" s="79" t="str">
        <f t="shared" si="7"/>
        <v xml:space="preserve"> </v>
      </c>
      <c r="D3383" s="79" t="str">
        <f t="shared" si="5"/>
        <v xml:space="preserve"> </v>
      </c>
      <c r="E3383" s="79" t="str">
        <f t="shared" si="6"/>
        <v xml:space="preserve"> </v>
      </c>
    </row>
    <row r="3384" spans="1:5" ht="12.5">
      <c r="A3384" s="81" t="str">
        <f t="shared" si="0"/>
        <v xml:space="preserve"> </v>
      </c>
      <c r="B3384" s="81" t="str">
        <f t="shared" si="1"/>
        <v xml:space="preserve"> </v>
      </c>
      <c r="C3384" s="79" t="str">
        <f t="shared" si="7"/>
        <v xml:space="preserve"> </v>
      </c>
      <c r="D3384" s="79" t="str">
        <f t="shared" si="5"/>
        <v xml:space="preserve"> </v>
      </c>
      <c r="E3384" s="79" t="str">
        <f t="shared" si="6"/>
        <v xml:space="preserve"> </v>
      </c>
    </row>
    <row r="3385" spans="1:5" ht="12.5">
      <c r="A3385" s="81" t="str">
        <f t="shared" si="0"/>
        <v xml:space="preserve"> </v>
      </c>
      <c r="B3385" s="81" t="str">
        <f t="shared" si="1"/>
        <v xml:space="preserve"> </v>
      </c>
      <c r="C3385" s="79" t="str">
        <f t="shared" si="7"/>
        <v xml:space="preserve"> </v>
      </c>
      <c r="D3385" s="79" t="str">
        <f t="shared" si="5"/>
        <v xml:space="preserve"> </v>
      </c>
      <c r="E3385" s="79" t="str">
        <f t="shared" si="6"/>
        <v xml:space="preserve"> </v>
      </c>
    </row>
    <row r="3386" spans="1:5" ht="12.5">
      <c r="A3386" s="81" t="str">
        <f t="shared" si="0"/>
        <v xml:space="preserve"> </v>
      </c>
      <c r="B3386" s="81" t="str">
        <f t="shared" si="1"/>
        <v xml:space="preserve"> </v>
      </c>
      <c r="C3386" s="79" t="str">
        <f t="shared" si="7"/>
        <v xml:space="preserve"> </v>
      </c>
      <c r="D3386" s="79" t="str">
        <f t="shared" si="5"/>
        <v xml:space="preserve"> </v>
      </c>
      <c r="E3386" s="79" t="str">
        <f t="shared" si="6"/>
        <v xml:space="preserve"> </v>
      </c>
    </row>
    <row r="3387" spans="1:5" ht="12.5">
      <c r="A3387" s="81" t="str">
        <f t="shared" si="0"/>
        <v xml:space="preserve"> </v>
      </c>
      <c r="B3387" s="81" t="str">
        <f t="shared" si="1"/>
        <v xml:space="preserve"> </v>
      </c>
      <c r="C3387" s="79" t="str">
        <f t="shared" si="7"/>
        <v xml:space="preserve"> </v>
      </c>
      <c r="D3387" s="79" t="str">
        <f t="shared" si="5"/>
        <v xml:space="preserve"> </v>
      </c>
      <c r="E3387" s="79" t="str">
        <f t="shared" si="6"/>
        <v xml:space="preserve"> </v>
      </c>
    </row>
    <row r="3388" spans="1:5" ht="12.5">
      <c r="A3388" s="81" t="str">
        <f t="shared" si="0"/>
        <v xml:space="preserve"> </v>
      </c>
      <c r="B3388" s="81" t="str">
        <f t="shared" si="1"/>
        <v xml:space="preserve"> </v>
      </c>
      <c r="C3388" s="79" t="str">
        <f t="shared" si="7"/>
        <v xml:space="preserve"> </v>
      </c>
      <c r="D3388" s="79" t="str">
        <f t="shared" si="5"/>
        <v xml:space="preserve"> </v>
      </c>
      <c r="E3388" s="79" t="str">
        <f t="shared" si="6"/>
        <v xml:space="preserve"> </v>
      </c>
    </row>
    <row r="3389" spans="1:5" ht="12.5">
      <c r="A3389" s="81" t="str">
        <f t="shared" si="0"/>
        <v xml:space="preserve"> </v>
      </c>
      <c r="B3389" s="81" t="str">
        <f t="shared" si="1"/>
        <v xml:space="preserve"> </v>
      </c>
      <c r="C3389" s="79" t="str">
        <f t="shared" si="7"/>
        <v xml:space="preserve"> </v>
      </c>
      <c r="D3389" s="79" t="str">
        <f t="shared" si="5"/>
        <v xml:space="preserve"> </v>
      </c>
      <c r="E3389" s="79" t="str">
        <f t="shared" si="6"/>
        <v xml:space="preserve"> </v>
      </c>
    </row>
    <row r="3390" spans="1:5" ht="12.5">
      <c r="A3390" s="81" t="str">
        <f t="shared" si="0"/>
        <v xml:space="preserve"> </v>
      </c>
      <c r="B3390" s="81" t="str">
        <f t="shared" si="1"/>
        <v xml:space="preserve"> </v>
      </c>
      <c r="C3390" s="79" t="str">
        <f t="shared" si="7"/>
        <v xml:space="preserve"> </v>
      </c>
      <c r="D3390" s="79" t="str">
        <f t="shared" si="5"/>
        <v xml:space="preserve"> </v>
      </c>
      <c r="E3390" s="79" t="str">
        <f t="shared" si="6"/>
        <v xml:space="preserve"> </v>
      </c>
    </row>
    <row r="3391" spans="1:5" ht="12.5">
      <c r="A3391" s="81" t="str">
        <f t="shared" si="0"/>
        <v xml:space="preserve"> </v>
      </c>
      <c r="B3391" s="81" t="str">
        <f t="shared" si="1"/>
        <v xml:space="preserve"> </v>
      </c>
      <c r="C3391" s="79" t="str">
        <f t="shared" si="7"/>
        <v xml:space="preserve"> </v>
      </c>
      <c r="D3391" s="79" t="str">
        <f t="shared" si="5"/>
        <v xml:space="preserve"> </v>
      </c>
      <c r="E3391" s="79" t="str">
        <f t="shared" si="6"/>
        <v xml:space="preserve"> </v>
      </c>
    </row>
    <row r="3392" spans="1:5" ht="12.5">
      <c r="A3392" s="81" t="str">
        <f t="shared" si="0"/>
        <v xml:space="preserve"> </v>
      </c>
      <c r="B3392" s="81" t="str">
        <f t="shared" si="1"/>
        <v xml:space="preserve"> </v>
      </c>
      <c r="C3392" s="79" t="str">
        <f t="shared" si="7"/>
        <v xml:space="preserve"> </v>
      </c>
      <c r="D3392" s="79" t="str">
        <f t="shared" si="5"/>
        <v xml:space="preserve"> </v>
      </c>
      <c r="E3392" s="79" t="str">
        <f t="shared" si="6"/>
        <v xml:space="preserve"> </v>
      </c>
    </row>
    <row r="3393" spans="1:5" ht="12.5">
      <c r="A3393" s="81" t="str">
        <f t="shared" si="0"/>
        <v xml:space="preserve"> </v>
      </c>
      <c r="B3393" s="81" t="str">
        <f t="shared" si="1"/>
        <v xml:space="preserve"> </v>
      </c>
      <c r="C3393" s="79" t="str">
        <f t="shared" si="7"/>
        <v xml:space="preserve"> </v>
      </c>
      <c r="D3393" s="79" t="str">
        <f t="shared" si="5"/>
        <v xml:space="preserve"> </v>
      </c>
      <c r="E3393" s="79" t="str">
        <f t="shared" si="6"/>
        <v xml:space="preserve"> </v>
      </c>
    </row>
    <row r="3394" spans="1:5" ht="12.5">
      <c r="A3394" s="81" t="str">
        <f t="shared" si="0"/>
        <v xml:space="preserve"> </v>
      </c>
      <c r="B3394" s="81" t="str">
        <f t="shared" si="1"/>
        <v xml:space="preserve"> </v>
      </c>
      <c r="C3394" s="79" t="str">
        <f t="shared" si="7"/>
        <v xml:space="preserve"> </v>
      </c>
      <c r="D3394" s="79" t="str">
        <f t="shared" si="5"/>
        <v xml:space="preserve"> </v>
      </c>
      <c r="E3394" s="79" t="str">
        <f t="shared" si="6"/>
        <v xml:space="preserve"> </v>
      </c>
    </row>
    <row r="3395" spans="1:5" ht="12.5">
      <c r="A3395" s="81" t="str">
        <f t="shared" si="0"/>
        <v xml:space="preserve"> </v>
      </c>
      <c r="B3395" s="81" t="str">
        <f t="shared" si="1"/>
        <v xml:space="preserve"> </v>
      </c>
      <c r="C3395" s="79" t="str">
        <f t="shared" si="7"/>
        <v xml:space="preserve"> </v>
      </c>
      <c r="D3395" s="79" t="str">
        <f t="shared" si="5"/>
        <v xml:space="preserve"> </v>
      </c>
      <c r="E3395" s="79" t="str">
        <f t="shared" si="6"/>
        <v xml:space="preserve"> </v>
      </c>
    </row>
    <row r="3396" spans="1:5" ht="12.5">
      <c r="A3396" s="81" t="str">
        <f t="shared" si="0"/>
        <v xml:space="preserve"> </v>
      </c>
      <c r="B3396" s="81" t="str">
        <f t="shared" si="1"/>
        <v xml:space="preserve"> </v>
      </c>
      <c r="C3396" s="79" t="str">
        <f t="shared" si="7"/>
        <v xml:space="preserve"> </v>
      </c>
      <c r="D3396" s="79" t="str">
        <f t="shared" si="5"/>
        <v xml:space="preserve"> </v>
      </c>
      <c r="E3396" s="79" t="str">
        <f t="shared" si="6"/>
        <v xml:space="preserve"> </v>
      </c>
    </row>
    <row r="3397" spans="1:5" ht="12.5">
      <c r="A3397" s="81" t="str">
        <f t="shared" si="0"/>
        <v xml:space="preserve"> </v>
      </c>
      <c r="B3397" s="81" t="str">
        <f t="shared" si="1"/>
        <v xml:space="preserve"> </v>
      </c>
      <c r="C3397" s="79" t="str">
        <f t="shared" si="7"/>
        <v xml:space="preserve"> </v>
      </c>
      <c r="D3397" s="79" t="str">
        <f t="shared" si="5"/>
        <v xml:space="preserve"> </v>
      </c>
      <c r="E3397" s="79" t="str">
        <f t="shared" si="6"/>
        <v xml:space="preserve"> </v>
      </c>
    </row>
    <row r="3398" spans="1:5" ht="12.5">
      <c r="A3398" s="81" t="str">
        <f t="shared" si="0"/>
        <v xml:space="preserve"> </v>
      </c>
      <c r="B3398" s="81" t="str">
        <f t="shared" si="1"/>
        <v xml:space="preserve"> </v>
      </c>
      <c r="C3398" s="79" t="str">
        <f t="shared" si="7"/>
        <v xml:space="preserve"> </v>
      </c>
      <c r="D3398" s="79" t="str">
        <f t="shared" si="5"/>
        <v xml:space="preserve"> </v>
      </c>
      <c r="E3398" s="79" t="str">
        <f t="shared" si="6"/>
        <v xml:space="preserve"> </v>
      </c>
    </row>
    <row r="3399" spans="1:5" ht="12.5">
      <c r="A3399" s="81" t="str">
        <f t="shared" si="0"/>
        <v xml:space="preserve"> </v>
      </c>
      <c r="B3399" s="81" t="str">
        <f t="shared" si="1"/>
        <v xml:space="preserve"> </v>
      </c>
      <c r="C3399" s="79" t="str">
        <f t="shared" si="7"/>
        <v xml:space="preserve"> </v>
      </c>
      <c r="D3399" s="79" t="str">
        <f t="shared" si="5"/>
        <v xml:space="preserve"> </v>
      </c>
      <c r="E3399" s="79" t="str">
        <f t="shared" si="6"/>
        <v xml:space="preserve"> </v>
      </c>
    </row>
    <row r="3400" spans="1:5" ht="12.5">
      <c r="A3400" s="81" t="str">
        <f t="shared" si="0"/>
        <v xml:space="preserve"> </v>
      </c>
      <c r="B3400" s="81" t="str">
        <f t="shared" si="1"/>
        <v xml:space="preserve"> </v>
      </c>
      <c r="C3400" s="79" t="str">
        <f t="shared" si="7"/>
        <v xml:space="preserve"> </v>
      </c>
      <c r="D3400" s="79" t="str">
        <f t="shared" si="5"/>
        <v xml:space="preserve"> </v>
      </c>
      <c r="E3400" s="79" t="str">
        <f t="shared" si="6"/>
        <v xml:space="preserve"> </v>
      </c>
    </row>
    <row r="3401" spans="1:5" ht="12.5">
      <c r="A3401" s="81" t="str">
        <f t="shared" si="0"/>
        <v xml:space="preserve"> </v>
      </c>
      <c r="B3401" s="81" t="str">
        <f t="shared" si="1"/>
        <v xml:space="preserve"> </v>
      </c>
      <c r="C3401" s="79" t="str">
        <f t="shared" si="7"/>
        <v xml:space="preserve"> </v>
      </c>
      <c r="D3401" s="79" t="str">
        <f t="shared" si="5"/>
        <v xml:space="preserve"> </v>
      </c>
      <c r="E3401" s="79" t="str">
        <f t="shared" si="6"/>
        <v xml:space="preserve"> </v>
      </c>
    </row>
    <row r="3402" spans="1:5" ht="12.5">
      <c r="A3402" s="81" t="str">
        <f t="shared" si="0"/>
        <v xml:space="preserve"> </v>
      </c>
      <c r="B3402" s="81" t="str">
        <f t="shared" si="1"/>
        <v xml:space="preserve"> </v>
      </c>
      <c r="C3402" s="79" t="str">
        <f t="shared" si="7"/>
        <v xml:space="preserve"> </v>
      </c>
      <c r="D3402" s="79" t="str">
        <f t="shared" si="5"/>
        <v xml:space="preserve"> </v>
      </c>
      <c r="E3402" s="79" t="str">
        <f t="shared" si="6"/>
        <v xml:space="preserve"> </v>
      </c>
    </row>
    <row r="3403" spans="1:5" ht="12.5">
      <c r="A3403" s="81" t="str">
        <f t="shared" si="0"/>
        <v xml:space="preserve"> </v>
      </c>
      <c r="B3403" s="81" t="str">
        <f t="shared" si="1"/>
        <v xml:space="preserve"> </v>
      </c>
      <c r="C3403" s="79" t="str">
        <f t="shared" si="7"/>
        <v xml:space="preserve"> </v>
      </c>
      <c r="D3403" s="79" t="str">
        <f t="shared" si="5"/>
        <v xml:space="preserve"> </v>
      </c>
      <c r="E3403" s="79" t="str">
        <f t="shared" si="6"/>
        <v xml:space="preserve"> </v>
      </c>
    </row>
    <row r="3404" spans="1:5" ht="12.5">
      <c r="A3404" s="81" t="str">
        <f t="shared" si="0"/>
        <v xml:space="preserve"> </v>
      </c>
      <c r="B3404" s="81" t="str">
        <f t="shared" si="1"/>
        <v xml:space="preserve"> </v>
      </c>
      <c r="C3404" s="79" t="str">
        <f t="shared" si="7"/>
        <v xml:space="preserve"> </v>
      </c>
      <c r="D3404" s="79" t="str">
        <f t="shared" si="5"/>
        <v xml:space="preserve"> </v>
      </c>
      <c r="E3404" s="79" t="str">
        <f t="shared" si="6"/>
        <v xml:space="preserve"> </v>
      </c>
    </row>
    <row r="3405" spans="1:5" ht="12.5">
      <c r="A3405" s="81" t="str">
        <f t="shared" si="0"/>
        <v xml:space="preserve"> </v>
      </c>
      <c r="B3405" s="81" t="str">
        <f t="shared" si="1"/>
        <v xml:space="preserve"> </v>
      </c>
      <c r="C3405" s="79" t="str">
        <f t="shared" si="7"/>
        <v xml:space="preserve"> </v>
      </c>
      <c r="D3405" s="79" t="str">
        <f t="shared" si="5"/>
        <v xml:space="preserve"> </v>
      </c>
      <c r="E3405" s="79" t="str">
        <f t="shared" si="6"/>
        <v xml:space="preserve"> </v>
      </c>
    </row>
    <row r="3406" spans="1:5" ht="12.5">
      <c r="A3406" s="81" t="str">
        <f t="shared" si="0"/>
        <v xml:space="preserve"> </v>
      </c>
      <c r="B3406" s="81" t="str">
        <f t="shared" si="1"/>
        <v xml:space="preserve"> </v>
      </c>
      <c r="C3406" s="79" t="str">
        <f t="shared" si="7"/>
        <v xml:space="preserve"> </v>
      </c>
      <c r="D3406" s="79" t="str">
        <f t="shared" si="5"/>
        <v xml:space="preserve"> </v>
      </c>
      <c r="E3406" s="79" t="str">
        <f t="shared" si="6"/>
        <v xml:space="preserve"> </v>
      </c>
    </row>
    <row r="3407" spans="1:5" ht="12.5">
      <c r="A3407" s="81" t="str">
        <f t="shared" si="0"/>
        <v xml:space="preserve"> </v>
      </c>
      <c r="B3407" s="81" t="str">
        <f t="shared" si="1"/>
        <v xml:space="preserve"> </v>
      </c>
      <c r="C3407" s="79" t="str">
        <f t="shared" si="7"/>
        <v xml:space="preserve"> </v>
      </c>
      <c r="D3407" s="79" t="str">
        <f t="shared" si="5"/>
        <v xml:space="preserve"> </v>
      </c>
      <c r="E3407" s="79" t="str">
        <f t="shared" si="6"/>
        <v xml:space="preserve"> </v>
      </c>
    </row>
    <row r="3408" spans="1:5" ht="12.5">
      <c r="A3408" s="81" t="str">
        <f t="shared" si="0"/>
        <v xml:space="preserve"> </v>
      </c>
      <c r="B3408" s="81" t="str">
        <f t="shared" si="1"/>
        <v xml:space="preserve"> </v>
      </c>
      <c r="C3408" s="79" t="str">
        <f t="shared" si="7"/>
        <v xml:space="preserve"> </v>
      </c>
      <c r="D3408" s="79" t="str">
        <f t="shared" si="5"/>
        <v xml:space="preserve"> </v>
      </c>
      <c r="E3408" s="79" t="str">
        <f t="shared" si="6"/>
        <v xml:space="preserve"> </v>
      </c>
    </row>
    <row r="3409" spans="1:5" ht="12.5">
      <c r="A3409" s="81" t="str">
        <f t="shared" si="0"/>
        <v xml:space="preserve"> </v>
      </c>
      <c r="B3409" s="81" t="str">
        <f t="shared" si="1"/>
        <v xml:space="preserve"> </v>
      </c>
      <c r="C3409" s="79" t="str">
        <f t="shared" si="7"/>
        <v xml:space="preserve"> </v>
      </c>
      <c r="D3409" s="79" t="str">
        <f t="shared" si="5"/>
        <v xml:space="preserve"> </v>
      </c>
      <c r="E3409" s="79" t="str">
        <f t="shared" si="6"/>
        <v xml:space="preserve"> </v>
      </c>
    </row>
    <row r="3410" spans="1:5" ht="12.5">
      <c r="A3410" s="81" t="str">
        <f t="shared" si="0"/>
        <v xml:space="preserve"> </v>
      </c>
      <c r="B3410" s="81" t="str">
        <f t="shared" si="1"/>
        <v xml:space="preserve"> </v>
      </c>
      <c r="C3410" s="79" t="str">
        <f t="shared" si="7"/>
        <v xml:space="preserve"> </v>
      </c>
      <c r="D3410" s="79" t="str">
        <f t="shared" si="5"/>
        <v xml:space="preserve"> </v>
      </c>
      <c r="E3410" s="79" t="str">
        <f t="shared" si="6"/>
        <v xml:space="preserve"> </v>
      </c>
    </row>
    <row r="3411" spans="1:5" ht="12.5">
      <c r="A3411" s="81" t="str">
        <f t="shared" si="0"/>
        <v xml:space="preserve"> </v>
      </c>
      <c r="B3411" s="81" t="str">
        <f t="shared" si="1"/>
        <v xml:space="preserve"> </v>
      </c>
      <c r="C3411" s="79" t="str">
        <f t="shared" si="7"/>
        <v xml:space="preserve"> </v>
      </c>
      <c r="D3411" s="79" t="str">
        <f t="shared" si="5"/>
        <v xml:space="preserve"> </v>
      </c>
      <c r="E3411" s="79" t="str">
        <f t="shared" si="6"/>
        <v xml:space="preserve"> </v>
      </c>
    </row>
    <row r="3412" spans="1:5" ht="12.5">
      <c r="A3412" s="81" t="str">
        <f t="shared" si="0"/>
        <v xml:space="preserve"> </v>
      </c>
      <c r="B3412" s="81" t="str">
        <f t="shared" si="1"/>
        <v xml:space="preserve"> </v>
      </c>
      <c r="C3412" s="79" t="str">
        <f t="shared" si="7"/>
        <v xml:space="preserve"> </v>
      </c>
      <c r="D3412" s="79" t="str">
        <f t="shared" si="5"/>
        <v xml:space="preserve"> </v>
      </c>
      <c r="E3412" s="79" t="str">
        <f t="shared" si="6"/>
        <v xml:space="preserve"> </v>
      </c>
    </row>
    <row r="3413" spans="1:5" ht="12.5">
      <c r="A3413" s="81" t="str">
        <f t="shared" si="0"/>
        <v xml:space="preserve"> </v>
      </c>
      <c r="B3413" s="81" t="str">
        <f t="shared" si="1"/>
        <v xml:space="preserve"> </v>
      </c>
      <c r="C3413" s="79" t="str">
        <f t="shared" si="7"/>
        <v xml:space="preserve"> </v>
      </c>
      <c r="D3413" s="79" t="str">
        <f t="shared" si="5"/>
        <v xml:space="preserve"> </v>
      </c>
      <c r="E3413" s="79" t="str">
        <f t="shared" si="6"/>
        <v xml:space="preserve"> </v>
      </c>
    </row>
    <row r="3414" spans="1:5" ht="12.5">
      <c r="A3414" s="81" t="str">
        <f t="shared" si="0"/>
        <v xml:space="preserve"> </v>
      </c>
      <c r="B3414" s="81" t="str">
        <f t="shared" si="1"/>
        <v xml:space="preserve"> </v>
      </c>
      <c r="C3414" s="79" t="str">
        <f t="shared" si="7"/>
        <v xml:space="preserve"> </v>
      </c>
      <c r="D3414" s="79" t="str">
        <f t="shared" si="5"/>
        <v xml:space="preserve"> </v>
      </c>
      <c r="E3414" s="79" t="str">
        <f t="shared" si="6"/>
        <v xml:space="preserve"> </v>
      </c>
    </row>
    <row r="3415" spans="1:5" ht="12.5">
      <c r="A3415" s="81" t="str">
        <f t="shared" si="0"/>
        <v xml:space="preserve"> </v>
      </c>
      <c r="B3415" s="81" t="str">
        <f t="shared" si="1"/>
        <v xml:space="preserve"> </v>
      </c>
      <c r="C3415" s="79" t="str">
        <f t="shared" si="7"/>
        <v xml:space="preserve"> </v>
      </c>
      <c r="D3415" s="79" t="str">
        <f t="shared" si="5"/>
        <v xml:space="preserve"> </v>
      </c>
      <c r="E3415" s="79" t="str">
        <f t="shared" si="6"/>
        <v xml:space="preserve"> </v>
      </c>
    </row>
    <row r="3416" spans="1:5" ht="12.5">
      <c r="A3416" s="81" t="str">
        <f t="shared" si="0"/>
        <v xml:space="preserve"> </v>
      </c>
      <c r="B3416" s="81" t="str">
        <f t="shared" si="1"/>
        <v xml:space="preserve"> </v>
      </c>
      <c r="C3416" s="79" t="str">
        <f t="shared" si="7"/>
        <v xml:space="preserve"> </v>
      </c>
      <c r="D3416" s="79" t="str">
        <f t="shared" si="5"/>
        <v xml:space="preserve"> </v>
      </c>
      <c r="E3416" s="79" t="str">
        <f t="shared" si="6"/>
        <v xml:space="preserve"> </v>
      </c>
    </row>
    <row r="3417" spans="1:5" ht="12.5">
      <c r="A3417" s="81" t="str">
        <f t="shared" si="0"/>
        <v xml:space="preserve"> </v>
      </c>
      <c r="B3417" s="81" t="str">
        <f t="shared" si="1"/>
        <v xml:space="preserve"> </v>
      </c>
      <c r="C3417" s="79" t="str">
        <f t="shared" si="7"/>
        <v xml:space="preserve"> </v>
      </c>
      <c r="D3417" s="79" t="str">
        <f t="shared" si="5"/>
        <v xml:space="preserve"> </v>
      </c>
      <c r="E3417" s="79" t="str">
        <f t="shared" si="6"/>
        <v xml:space="preserve"> </v>
      </c>
    </row>
    <row r="3418" spans="1:5" ht="12.5">
      <c r="A3418" s="81" t="str">
        <f t="shared" si="0"/>
        <v xml:space="preserve"> </v>
      </c>
      <c r="B3418" s="81" t="str">
        <f t="shared" si="1"/>
        <v xml:space="preserve"> </v>
      </c>
      <c r="C3418" s="79" t="str">
        <f t="shared" si="7"/>
        <v xml:space="preserve"> </v>
      </c>
      <c r="D3418" s="79" t="str">
        <f t="shared" si="5"/>
        <v xml:space="preserve"> </v>
      </c>
      <c r="E3418" s="79" t="str">
        <f t="shared" si="6"/>
        <v xml:space="preserve"> </v>
      </c>
    </row>
    <row r="3419" spans="1:5" ht="12.5">
      <c r="A3419" s="81" t="str">
        <f t="shared" si="0"/>
        <v xml:space="preserve"> </v>
      </c>
      <c r="B3419" s="81" t="str">
        <f t="shared" si="1"/>
        <v xml:space="preserve"> </v>
      </c>
      <c r="C3419" s="79" t="str">
        <f t="shared" si="7"/>
        <v xml:space="preserve"> </v>
      </c>
      <c r="D3419" s="79" t="str">
        <f t="shared" si="5"/>
        <v xml:space="preserve"> </v>
      </c>
      <c r="E3419" s="79" t="str">
        <f t="shared" si="6"/>
        <v xml:space="preserve"> </v>
      </c>
    </row>
    <row r="3420" spans="1:5" ht="12.5">
      <c r="A3420" s="81" t="str">
        <f t="shared" si="0"/>
        <v xml:space="preserve"> </v>
      </c>
      <c r="B3420" s="81" t="str">
        <f t="shared" si="1"/>
        <v xml:space="preserve"> </v>
      </c>
      <c r="C3420" s="79" t="str">
        <f t="shared" si="7"/>
        <v xml:space="preserve"> </v>
      </c>
      <c r="D3420" s="79" t="str">
        <f t="shared" si="5"/>
        <v xml:space="preserve"> </v>
      </c>
      <c r="E3420" s="79" t="str">
        <f t="shared" si="6"/>
        <v xml:space="preserve"> </v>
      </c>
    </row>
    <row r="3421" spans="1:5" ht="12.5">
      <c r="A3421" s="81" t="str">
        <f t="shared" si="0"/>
        <v xml:space="preserve"> </v>
      </c>
      <c r="B3421" s="81" t="str">
        <f t="shared" si="1"/>
        <v xml:space="preserve"> </v>
      </c>
      <c r="C3421" s="79" t="str">
        <f t="shared" si="7"/>
        <v xml:space="preserve"> </v>
      </c>
      <c r="D3421" s="79" t="str">
        <f t="shared" si="5"/>
        <v xml:space="preserve"> </v>
      </c>
      <c r="E3421" s="79" t="str">
        <f t="shared" si="6"/>
        <v xml:space="preserve"> </v>
      </c>
    </row>
    <row r="3422" spans="1:5" ht="12.5">
      <c r="A3422" s="81" t="str">
        <f t="shared" si="0"/>
        <v xml:space="preserve"> </v>
      </c>
      <c r="B3422" s="81" t="str">
        <f t="shared" si="1"/>
        <v xml:space="preserve"> </v>
      </c>
      <c r="C3422" s="79" t="str">
        <f t="shared" si="7"/>
        <v xml:space="preserve"> </v>
      </c>
      <c r="D3422" s="79" t="str">
        <f t="shared" si="5"/>
        <v xml:space="preserve"> </v>
      </c>
      <c r="E3422" s="79" t="str">
        <f t="shared" si="6"/>
        <v xml:space="preserve"> </v>
      </c>
    </row>
    <row r="3423" spans="1:5" ht="12.5">
      <c r="A3423" s="81" t="str">
        <f t="shared" si="0"/>
        <v xml:space="preserve"> </v>
      </c>
      <c r="B3423" s="81" t="str">
        <f t="shared" si="1"/>
        <v xml:space="preserve"> </v>
      </c>
      <c r="C3423" s="79" t="str">
        <f t="shared" si="7"/>
        <v xml:space="preserve"> </v>
      </c>
      <c r="D3423" s="79" t="str">
        <f t="shared" si="5"/>
        <v xml:space="preserve"> </v>
      </c>
      <c r="E3423" s="79" t="str">
        <f t="shared" si="6"/>
        <v xml:space="preserve"> </v>
      </c>
    </row>
    <row r="3424" spans="1:5" ht="12.5">
      <c r="A3424" s="81" t="str">
        <f t="shared" si="0"/>
        <v xml:space="preserve"> </v>
      </c>
      <c r="B3424" s="81" t="str">
        <f t="shared" si="1"/>
        <v xml:space="preserve"> </v>
      </c>
      <c r="C3424" s="79" t="str">
        <f t="shared" si="7"/>
        <v xml:space="preserve"> </v>
      </c>
      <c r="D3424" s="79" t="str">
        <f t="shared" si="5"/>
        <v xml:space="preserve"> </v>
      </c>
      <c r="E3424" s="79" t="str">
        <f t="shared" si="6"/>
        <v xml:space="preserve"> </v>
      </c>
    </row>
    <row r="3425" spans="1:5" ht="12.5">
      <c r="A3425" s="81" t="str">
        <f t="shared" si="0"/>
        <v xml:space="preserve"> </v>
      </c>
      <c r="B3425" s="81" t="str">
        <f t="shared" si="1"/>
        <v xml:space="preserve"> </v>
      </c>
      <c r="C3425" s="79" t="str">
        <f t="shared" si="7"/>
        <v xml:space="preserve"> </v>
      </c>
      <c r="D3425" s="79" t="str">
        <f t="shared" si="5"/>
        <v xml:space="preserve"> </v>
      </c>
      <c r="E3425" s="79" t="str">
        <f t="shared" si="6"/>
        <v xml:space="preserve"> </v>
      </c>
    </row>
    <row r="3426" spans="1:5" ht="12.5">
      <c r="A3426" s="81" t="str">
        <f t="shared" si="0"/>
        <v xml:space="preserve"> </v>
      </c>
      <c r="B3426" s="81" t="str">
        <f t="shared" si="1"/>
        <v xml:space="preserve"> </v>
      </c>
      <c r="C3426" s="79" t="str">
        <f t="shared" si="7"/>
        <v xml:space="preserve"> </v>
      </c>
      <c r="D3426" s="79" t="str">
        <f t="shared" si="5"/>
        <v xml:space="preserve"> </v>
      </c>
      <c r="E3426" s="79" t="str">
        <f t="shared" si="6"/>
        <v xml:space="preserve"> </v>
      </c>
    </row>
    <row r="3427" spans="1:5" ht="12.5">
      <c r="A3427" s="81" t="str">
        <f t="shared" si="0"/>
        <v xml:space="preserve"> </v>
      </c>
      <c r="B3427" s="81" t="str">
        <f t="shared" si="1"/>
        <v xml:space="preserve"> </v>
      </c>
      <c r="C3427" s="79" t="str">
        <f t="shared" si="7"/>
        <v xml:space="preserve"> </v>
      </c>
      <c r="D3427" s="79" t="str">
        <f t="shared" si="5"/>
        <v xml:space="preserve"> </v>
      </c>
      <c r="E3427" s="79" t="str">
        <f t="shared" si="6"/>
        <v xml:space="preserve"> </v>
      </c>
    </row>
    <row r="3428" spans="1:5" ht="12.5">
      <c r="A3428" s="81" t="str">
        <f t="shared" si="0"/>
        <v xml:space="preserve"> </v>
      </c>
      <c r="B3428" s="81" t="str">
        <f t="shared" si="1"/>
        <v xml:space="preserve"> </v>
      </c>
      <c r="C3428" s="79" t="str">
        <f t="shared" si="7"/>
        <v xml:space="preserve"> </v>
      </c>
      <c r="D3428" s="79" t="str">
        <f t="shared" si="5"/>
        <v xml:space="preserve"> </v>
      </c>
      <c r="E3428" s="79" t="str">
        <f t="shared" si="6"/>
        <v xml:space="preserve"> </v>
      </c>
    </row>
    <row r="3429" spans="1:5" ht="12.5">
      <c r="A3429" s="81" t="str">
        <f t="shared" si="0"/>
        <v xml:space="preserve"> </v>
      </c>
      <c r="B3429" s="81" t="str">
        <f t="shared" si="1"/>
        <v xml:space="preserve"> </v>
      </c>
      <c r="C3429" s="79" t="str">
        <f t="shared" si="7"/>
        <v xml:space="preserve"> </v>
      </c>
      <c r="D3429" s="79" t="str">
        <f t="shared" si="5"/>
        <v xml:space="preserve"> </v>
      </c>
      <c r="E3429" s="79" t="str">
        <f t="shared" si="6"/>
        <v xml:space="preserve"> </v>
      </c>
    </row>
    <row r="3430" spans="1:5" ht="12.5">
      <c r="A3430" s="81" t="str">
        <f t="shared" si="0"/>
        <v xml:space="preserve"> </v>
      </c>
      <c r="B3430" s="81" t="str">
        <f t="shared" si="1"/>
        <v xml:space="preserve"> </v>
      </c>
      <c r="C3430" s="79" t="str">
        <f t="shared" si="7"/>
        <v xml:space="preserve"> </v>
      </c>
      <c r="D3430" s="79" t="str">
        <f t="shared" si="5"/>
        <v xml:space="preserve"> </v>
      </c>
      <c r="E3430" s="79" t="str">
        <f t="shared" si="6"/>
        <v xml:space="preserve"> </v>
      </c>
    </row>
    <row r="3431" spans="1:5" ht="12.5">
      <c r="A3431" s="81" t="str">
        <f t="shared" si="0"/>
        <v xml:space="preserve"> </v>
      </c>
      <c r="B3431" s="81" t="str">
        <f t="shared" si="1"/>
        <v xml:space="preserve"> </v>
      </c>
      <c r="C3431" s="79" t="str">
        <f t="shared" si="7"/>
        <v xml:space="preserve"> </v>
      </c>
      <c r="D3431" s="79" t="str">
        <f t="shared" si="5"/>
        <v xml:space="preserve"> </v>
      </c>
      <c r="E3431" s="79" t="str">
        <f t="shared" si="6"/>
        <v xml:space="preserve"> </v>
      </c>
    </row>
    <row r="3432" spans="1:5" ht="12.5">
      <c r="A3432" s="81" t="str">
        <f t="shared" si="0"/>
        <v xml:space="preserve"> </v>
      </c>
      <c r="B3432" s="81" t="str">
        <f t="shared" si="1"/>
        <v xml:space="preserve"> </v>
      </c>
      <c r="C3432" s="79" t="str">
        <f t="shared" si="7"/>
        <v xml:space="preserve"> </v>
      </c>
      <c r="D3432" s="79" t="str">
        <f t="shared" si="5"/>
        <v xml:space="preserve"> </v>
      </c>
      <c r="E3432" s="79" t="str">
        <f t="shared" si="6"/>
        <v xml:space="preserve"> </v>
      </c>
    </row>
    <row r="3433" spans="1:5" ht="12.5">
      <c r="A3433" s="81" t="str">
        <f t="shared" si="0"/>
        <v xml:space="preserve"> </v>
      </c>
      <c r="B3433" s="81" t="str">
        <f t="shared" si="1"/>
        <v xml:space="preserve"> </v>
      </c>
      <c r="C3433" s="79" t="str">
        <f t="shared" si="7"/>
        <v xml:space="preserve"> </v>
      </c>
      <c r="D3433" s="79" t="str">
        <f t="shared" si="5"/>
        <v xml:space="preserve"> </v>
      </c>
      <c r="E3433" s="79" t="str">
        <f t="shared" si="6"/>
        <v xml:space="preserve"> </v>
      </c>
    </row>
    <row r="3434" spans="1:5" ht="12.5">
      <c r="A3434" s="81" t="str">
        <f t="shared" si="0"/>
        <v xml:space="preserve"> </v>
      </c>
      <c r="B3434" s="81" t="str">
        <f t="shared" si="1"/>
        <v xml:space="preserve"> </v>
      </c>
      <c r="C3434" s="79" t="str">
        <f t="shared" si="7"/>
        <v xml:space="preserve"> </v>
      </c>
      <c r="D3434" s="79" t="str">
        <f t="shared" si="5"/>
        <v xml:space="preserve"> </v>
      </c>
      <c r="E3434" s="79" t="str">
        <f t="shared" si="6"/>
        <v xml:space="preserve"> </v>
      </c>
    </row>
    <row r="3435" spans="1:5" ht="12.5">
      <c r="A3435" s="81" t="str">
        <f t="shared" si="0"/>
        <v xml:space="preserve"> </v>
      </c>
      <c r="B3435" s="81" t="str">
        <f t="shared" si="1"/>
        <v xml:space="preserve"> </v>
      </c>
      <c r="C3435" s="79" t="str">
        <f t="shared" si="7"/>
        <v xml:space="preserve"> </v>
      </c>
      <c r="D3435" s="79" t="str">
        <f t="shared" si="5"/>
        <v xml:space="preserve"> </v>
      </c>
      <c r="E3435" s="79" t="str">
        <f t="shared" si="6"/>
        <v xml:space="preserve"> </v>
      </c>
    </row>
    <row r="3436" spans="1:5" ht="12.5">
      <c r="A3436" s="81" t="str">
        <f t="shared" si="0"/>
        <v xml:space="preserve"> </v>
      </c>
      <c r="B3436" s="81" t="str">
        <f t="shared" si="1"/>
        <v xml:space="preserve"> </v>
      </c>
      <c r="C3436" s="79" t="str">
        <f t="shared" si="7"/>
        <v xml:space="preserve"> </v>
      </c>
      <c r="D3436" s="79" t="str">
        <f t="shared" si="5"/>
        <v xml:space="preserve"> </v>
      </c>
      <c r="E3436" s="79" t="str">
        <f t="shared" si="6"/>
        <v xml:space="preserve"> </v>
      </c>
    </row>
    <row r="3437" spans="1:5" ht="12.5">
      <c r="A3437" s="81" t="str">
        <f t="shared" si="0"/>
        <v xml:space="preserve"> </v>
      </c>
      <c r="B3437" s="81" t="str">
        <f t="shared" si="1"/>
        <v xml:space="preserve"> </v>
      </c>
      <c r="C3437" s="79" t="str">
        <f t="shared" si="7"/>
        <v xml:space="preserve"> </v>
      </c>
      <c r="D3437" s="79" t="str">
        <f t="shared" si="5"/>
        <v xml:space="preserve"> </v>
      </c>
      <c r="E3437" s="79" t="str">
        <f t="shared" si="6"/>
        <v xml:space="preserve"> </v>
      </c>
    </row>
    <row r="3438" spans="1:5" ht="12.5">
      <c r="A3438" s="81" t="str">
        <f t="shared" si="0"/>
        <v xml:space="preserve"> </v>
      </c>
      <c r="B3438" s="81" t="str">
        <f t="shared" si="1"/>
        <v xml:space="preserve"> </v>
      </c>
      <c r="C3438" s="79" t="str">
        <f t="shared" si="7"/>
        <v xml:space="preserve"> </v>
      </c>
      <c r="D3438" s="79" t="str">
        <f t="shared" si="5"/>
        <v xml:space="preserve"> </v>
      </c>
      <c r="E3438" s="79" t="str">
        <f t="shared" si="6"/>
        <v xml:space="preserve"> </v>
      </c>
    </row>
    <row r="3439" spans="1:5" ht="12.5">
      <c r="A3439" s="81" t="str">
        <f t="shared" si="0"/>
        <v xml:space="preserve"> </v>
      </c>
      <c r="B3439" s="81" t="str">
        <f t="shared" si="1"/>
        <v xml:space="preserve"> </v>
      </c>
      <c r="C3439" s="79" t="str">
        <f t="shared" si="7"/>
        <v xml:space="preserve"> </v>
      </c>
      <c r="D3439" s="79" t="str">
        <f t="shared" si="5"/>
        <v xml:space="preserve"> </v>
      </c>
      <c r="E3439" s="79" t="str">
        <f t="shared" si="6"/>
        <v xml:space="preserve"> </v>
      </c>
    </row>
    <row r="3440" spans="1:5" ht="12.5">
      <c r="A3440" s="81" t="str">
        <f t="shared" si="0"/>
        <v xml:space="preserve"> </v>
      </c>
      <c r="B3440" s="81" t="str">
        <f t="shared" si="1"/>
        <v xml:space="preserve"> </v>
      </c>
      <c r="C3440" s="79" t="str">
        <f t="shared" si="7"/>
        <v xml:space="preserve"> </v>
      </c>
      <c r="D3440" s="79" t="str">
        <f t="shared" si="5"/>
        <v xml:space="preserve"> </v>
      </c>
      <c r="E3440" s="79" t="str">
        <f t="shared" si="6"/>
        <v xml:space="preserve"> </v>
      </c>
    </row>
    <row r="3441" spans="1:5" ht="12.5">
      <c r="A3441" s="81" t="str">
        <f t="shared" si="0"/>
        <v xml:space="preserve"> </v>
      </c>
      <c r="B3441" s="81" t="str">
        <f t="shared" si="1"/>
        <v xml:space="preserve"> </v>
      </c>
      <c r="C3441" s="79" t="str">
        <f t="shared" si="7"/>
        <v xml:space="preserve"> </v>
      </c>
      <c r="D3441" s="79" t="str">
        <f t="shared" si="5"/>
        <v xml:space="preserve"> </v>
      </c>
      <c r="E3441" s="79" t="str">
        <f t="shared" si="6"/>
        <v xml:space="preserve"> </v>
      </c>
    </row>
    <row r="3442" spans="1:5" ht="12.5">
      <c r="A3442" s="81" t="str">
        <f t="shared" si="0"/>
        <v xml:space="preserve"> </v>
      </c>
      <c r="B3442" s="81" t="str">
        <f t="shared" si="1"/>
        <v xml:space="preserve"> </v>
      </c>
      <c r="C3442" s="79" t="str">
        <f t="shared" si="7"/>
        <v xml:space="preserve"> </v>
      </c>
      <c r="D3442" s="79" t="str">
        <f t="shared" si="5"/>
        <v xml:space="preserve"> </v>
      </c>
      <c r="E3442" s="79" t="str">
        <f t="shared" si="6"/>
        <v xml:space="preserve"> </v>
      </c>
    </row>
    <row r="3443" spans="1:5" ht="12.5">
      <c r="A3443" s="81" t="str">
        <f t="shared" si="0"/>
        <v xml:space="preserve"> </v>
      </c>
      <c r="B3443" s="81" t="str">
        <f t="shared" si="1"/>
        <v xml:space="preserve"> </v>
      </c>
      <c r="C3443" s="79" t="str">
        <f t="shared" si="7"/>
        <v xml:space="preserve"> </v>
      </c>
      <c r="D3443" s="79" t="str">
        <f t="shared" si="5"/>
        <v xml:space="preserve"> </v>
      </c>
      <c r="E3443" s="79" t="str">
        <f t="shared" si="6"/>
        <v xml:space="preserve"> </v>
      </c>
    </row>
    <row r="3444" spans="1:5" ht="12.5">
      <c r="A3444" s="81" t="str">
        <f t="shared" si="0"/>
        <v xml:space="preserve"> </v>
      </c>
      <c r="B3444" s="81" t="str">
        <f t="shared" si="1"/>
        <v xml:space="preserve"> </v>
      </c>
      <c r="C3444" s="79" t="str">
        <f t="shared" si="7"/>
        <v xml:space="preserve"> </v>
      </c>
      <c r="D3444" s="79" t="str">
        <f t="shared" si="5"/>
        <v xml:space="preserve"> </v>
      </c>
      <c r="E3444" s="79" t="str">
        <f t="shared" si="6"/>
        <v xml:space="preserve"> </v>
      </c>
    </row>
    <row r="3445" spans="1:5" ht="12.5">
      <c r="A3445" s="81" t="str">
        <f t="shared" si="0"/>
        <v xml:space="preserve"> </v>
      </c>
      <c r="B3445" s="81" t="str">
        <f t="shared" si="1"/>
        <v xml:space="preserve"> </v>
      </c>
      <c r="C3445" s="79" t="str">
        <f t="shared" si="7"/>
        <v xml:space="preserve"> </v>
      </c>
      <c r="D3445" s="79" t="str">
        <f t="shared" si="5"/>
        <v xml:space="preserve"> </v>
      </c>
      <c r="E3445" s="79" t="str">
        <f t="shared" si="6"/>
        <v xml:space="preserve"> </v>
      </c>
    </row>
    <row r="3446" spans="1:5" ht="12.5">
      <c r="A3446" s="81" t="str">
        <f t="shared" si="0"/>
        <v xml:space="preserve"> </v>
      </c>
      <c r="B3446" s="81" t="str">
        <f t="shared" si="1"/>
        <v xml:space="preserve"> </v>
      </c>
      <c r="C3446" s="79" t="str">
        <f t="shared" si="7"/>
        <v xml:space="preserve"> </v>
      </c>
      <c r="D3446" s="79" t="str">
        <f t="shared" si="5"/>
        <v xml:space="preserve"> </v>
      </c>
      <c r="E3446" s="79" t="str">
        <f t="shared" si="6"/>
        <v xml:space="preserve"> </v>
      </c>
    </row>
    <row r="3447" spans="1:5" ht="12.5">
      <c r="A3447" s="81" t="str">
        <f t="shared" si="0"/>
        <v xml:space="preserve"> </v>
      </c>
      <c r="B3447" s="81" t="str">
        <f t="shared" si="1"/>
        <v xml:space="preserve"> </v>
      </c>
      <c r="C3447" s="79" t="str">
        <f t="shared" si="7"/>
        <v xml:space="preserve"> </v>
      </c>
      <c r="D3447" s="79" t="str">
        <f t="shared" si="5"/>
        <v xml:space="preserve"> </v>
      </c>
      <c r="E3447" s="79" t="str">
        <f t="shared" si="6"/>
        <v xml:space="preserve"> </v>
      </c>
    </row>
    <row r="3448" spans="1:5" ht="12.5">
      <c r="A3448" s="81" t="str">
        <f t="shared" si="0"/>
        <v xml:space="preserve"> </v>
      </c>
      <c r="B3448" s="81" t="str">
        <f t="shared" si="1"/>
        <v xml:space="preserve"> </v>
      </c>
      <c r="C3448" s="79" t="str">
        <f t="shared" si="7"/>
        <v xml:space="preserve"> </v>
      </c>
      <c r="D3448" s="79" t="str">
        <f t="shared" si="5"/>
        <v xml:space="preserve"> </v>
      </c>
      <c r="E3448" s="79" t="str">
        <f t="shared" si="6"/>
        <v xml:space="preserve"> </v>
      </c>
    </row>
    <row r="3449" spans="1:5" ht="12.5">
      <c r="A3449" s="81" t="str">
        <f t="shared" si="0"/>
        <v xml:space="preserve"> </v>
      </c>
      <c r="B3449" s="81" t="str">
        <f t="shared" si="1"/>
        <v xml:space="preserve"> </v>
      </c>
      <c r="C3449" s="79" t="str">
        <f t="shared" si="7"/>
        <v xml:space="preserve"> </v>
      </c>
      <c r="D3449" s="79" t="str">
        <f t="shared" si="5"/>
        <v xml:space="preserve"> </v>
      </c>
      <c r="E3449" s="79" t="str">
        <f t="shared" si="6"/>
        <v xml:space="preserve"> </v>
      </c>
    </row>
    <row r="3450" spans="1:5" ht="12.5">
      <c r="A3450" s="81" t="str">
        <f t="shared" si="0"/>
        <v xml:space="preserve"> </v>
      </c>
      <c r="B3450" s="81" t="str">
        <f t="shared" si="1"/>
        <v xml:space="preserve"> </v>
      </c>
      <c r="C3450" s="79" t="str">
        <f t="shared" si="7"/>
        <v xml:space="preserve"> </v>
      </c>
      <c r="D3450" s="79" t="str">
        <f t="shared" si="5"/>
        <v xml:space="preserve"> </v>
      </c>
      <c r="E3450" s="79" t="str">
        <f t="shared" si="6"/>
        <v xml:space="preserve"> </v>
      </c>
    </row>
    <row r="3451" spans="1:5" ht="12.5">
      <c r="A3451" s="81" t="str">
        <f t="shared" si="0"/>
        <v xml:space="preserve"> </v>
      </c>
      <c r="B3451" s="81" t="str">
        <f t="shared" si="1"/>
        <v xml:space="preserve"> </v>
      </c>
      <c r="C3451" s="79" t="str">
        <f t="shared" si="7"/>
        <v xml:space="preserve"> </v>
      </c>
      <c r="D3451" s="79" t="str">
        <f t="shared" si="5"/>
        <v xml:space="preserve"> </v>
      </c>
      <c r="E3451" s="79" t="str">
        <f t="shared" si="6"/>
        <v xml:space="preserve"> </v>
      </c>
    </row>
    <row r="3452" spans="1:5" ht="12.5">
      <c r="A3452" s="81" t="str">
        <f t="shared" si="0"/>
        <v xml:space="preserve"> </v>
      </c>
      <c r="B3452" s="81" t="str">
        <f t="shared" si="1"/>
        <v xml:space="preserve"> </v>
      </c>
      <c r="C3452" s="79" t="str">
        <f t="shared" si="7"/>
        <v xml:space="preserve"> </v>
      </c>
      <c r="D3452" s="79" t="str">
        <f t="shared" si="5"/>
        <v xml:space="preserve"> </v>
      </c>
      <c r="E3452" s="79" t="str">
        <f t="shared" si="6"/>
        <v xml:space="preserve"> </v>
      </c>
    </row>
    <row r="3453" spans="1:5" ht="12.5">
      <c r="A3453" s="81" t="str">
        <f t="shared" si="0"/>
        <v xml:space="preserve"> </v>
      </c>
      <c r="B3453" s="81" t="str">
        <f t="shared" si="1"/>
        <v xml:space="preserve"> </v>
      </c>
      <c r="C3453" s="79" t="str">
        <f t="shared" si="7"/>
        <v xml:space="preserve"> </v>
      </c>
      <c r="D3453" s="79" t="str">
        <f t="shared" si="5"/>
        <v xml:space="preserve"> </v>
      </c>
      <c r="E3453" s="79" t="str">
        <f t="shared" si="6"/>
        <v xml:space="preserve"> </v>
      </c>
    </row>
    <row r="3454" spans="1:5" ht="12.5">
      <c r="A3454" s="81" t="str">
        <f t="shared" si="0"/>
        <v xml:space="preserve"> </v>
      </c>
      <c r="B3454" s="81" t="str">
        <f t="shared" si="1"/>
        <v xml:space="preserve"> </v>
      </c>
      <c r="C3454" s="79" t="str">
        <f t="shared" si="7"/>
        <v xml:space="preserve"> </v>
      </c>
      <c r="D3454" s="79" t="str">
        <f t="shared" si="5"/>
        <v xml:space="preserve"> </v>
      </c>
      <c r="E3454" s="79" t="str">
        <f t="shared" si="6"/>
        <v xml:space="preserve"> </v>
      </c>
    </row>
    <row r="3455" spans="1:5" ht="12.5">
      <c r="A3455" s="81" t="str">
        <f t="shared" si="0"/>
        <v xml:space="preserve"> </v>
      </c>
      <c r="B3455" s="81" t="str">
        <f t="shared" si="1"/>
        <v xml:space="preserve"> </v>
      </c>
      <c r="C3455" s="79" t="str">
        <f t="shared" si="7"/>
        <v xml:space="preserve"> </v>
      </c>
      <c r="D3455" s="79" t="str">
        <f t="shared" si="5"/>
        <v xml:space="preserve"> </v>
      </c>
      <c r="E3455" s="79" t="str">
        <f t="shared" si="6"/>
        <v xml:space="preserve"> </v>
      </c>
    </row>
    <row r="3456" spans="1:5" ht="12.5">
      <c r="A3456" s="81" t="str">
        <f t="shared" si="0"/>
        <v xml:space="preserve"> </v>
      </c>
      <c r="B3456" s="81" t="str">
        <f t="shared" si="1"/>
        <v xml:space="preserve"> </v>
      </c>
      <c r="C3456" s="79" t="str">
        <f t="shared" si="7"/>
        <v xml:space="preserve"> </v>
      </c>
      <c r="D3456" s="79" t="str">
        <f t="shared" si="5"/>
        <v xml:space="preserve"> </v>
      </c>
      <c r="E3456" s="79" t="str">
        <f t="shared" si="6"/>
        <v xml:space="preserve"> </v>
      </c>
    </row>
    <row r="3457" spans="1:5" ht="12.5">
      <c r="A3457" s="81" t="str">
        <f t="shared" si="0"/>
        <v xml:space="preserve"> </v>
      </c>
      <c r="B3457" s="81" t="str">
        <f t="shared" si="1"/>
        <v xml:space="preserve"> </v>
      </c>
      <c r="C3457" s="79" t="str">
        <f t="shared" si="7"/>
        <v xml:space="preserve"> </v>
      </c>
      <c r="D3457" s="79" t="str">
        <f t="shared" si="5"/>
        <v xml:space="preserve"> </v>
      </c>
      <c r="E3457" s="79" t="str">
        <f t="shared" si="6"/>
        <v xml:space="preserve"> </v>
      </c>
    </row>
    <row r="3458" spans="1:5" ht="12.5">
      <c r="A3458" s="81" t="str">
        <f t="shared" si="0"/>
        <v xml:space="preserve"> </v>
      </c>
      <c r="B3458" s="81" t="str">
        <f t="shared" si="1"/>
        <v xml:space="preserve"> </v>
      </c>
      <c r="C3458" s="79" t="str">
        <f t="shared" si="7"/>
        <v xml:space="preserve"> </v>
      </c>
      <c r="D3458" s="79" t="str">
        <f t="shared" si="5"/>
        <v xml:space="preserve"> </v>
      </c>
      <c r="E3458" s="79" t="str">
        <f t="shared" si="6"/>
        <v xml:space="preserve"> </v>
      </c>
    </row>
    <row r="3459" spans="1:5" ht="12.5">
      <c r="A3459" s="81" t="str">
        <f t="shared" si="0"/>
        <v xml:space="preserve"> </v>
      </c>
      <c r="B3459" s="81" t="str">
        <f t="shared" si="1"/>
        <v xml:space="preserve"> </v>
      </c>
      <c r="C3459" s="79" t="str">
        <f t="shared" si="7"/>
        <v xml:space="preserve"> </v>
      </c>
      <c r="D3459" s="79" t="str">
        <f t="shared" si="5"/>
        <v xml:space="preserve"> </v>
      </c>
      <c r="E3459" s="79" t="str">
        <f t="shared" si="6"/>
        <v xml:space="preserve"> </v>
      </c>
    </row>
    <row r="3460" spans="1:5" ht="12.5">
      <c r="A3460" s="81" t="str">
        <f t="shared" si="0"/>
        <v xml:space="preserve"> </v>
      </c>
      <c r="B3460" s="81" t="str">
        <f t="shared" si="1"/>
        <v xml:space="preserve"> </v>
      </c>
      <c r="C3460" s="79" t="str">
        <f t="shared" si="7"/>
        <v xml:space="preserve"> </v>
      </c>
      <c r="D3460" s="79" t="str">
        <f t="shared" si="5"/>
        <v xml:space="preserve"> </v>
      </c>
      <c r="E3460" s="79" t="str">
        <f t="shared" si="6"/>
        <v xml:space="preserve"> </v>
      </c>
    </row>
    <row r="3461" spans="1:5" ht="12.5">
      <c r="A3461" s="81" t="str">
        <f t="shared" si="0"/>
        <v xml:space="preserve"> </v>
      </c>
      <c r="B3461" s="81" t="str">
        <f t="shared" si="1"/>
        <v xml:space="preserve"> </v>
      </c>
      <c r="C3461" s="79" t="str">
        <f t="shared" si="7"/>
        <v xml:space="preserve"> </v>
      </c>
      <c r="D3461" s="79" t="str">
        <f t="shared" si="5"/>
        <v xml:space="preserve"> </v>
      </c>
      <c r="E3461" s="79" t="str">
        <f t="shared" si="6"/>
        <v xml:space="preserve"> </v>
      </c>
    </row>
    <row r="3462" spans="1:5" ht="12.5">
      <c r="A3462" s="81" t="str">
        <f t="shared" si="0"/>
        <v xml:space="preserve"> </v>
      </c>
      <c r="B3462" s="81" t="str">
        <f t="shared" si="1"/>
        <v xml:space="preserve"> </v>
      </c>
      <c r="C3462" s="79" t="str">
        <f t="shared" si="7"/>
        <v xml:space="preserve"> </v>
      </c>
      <c r="D3462" s="79" t="str">
        <f t="shared" si="5"/>
        <v xml:space="preserve"> </v>
      </c>
      <c r="E3462" s="79" t="str">
        <f t="shared" si="6"/>
        <v xml:space="preserve"> </v>
      </c>
    </row>
    <row r="3463" spans="1:5" ht="12.5">
      <c r="A3463" s="81" t="str">
        <f t="shared" si="0"/>
        <v xml:space="preserve"> </v>
      </c>
      <c r="B3463" s="81" t="str">
        <f t="shared" si="1"/>
        <v xml:space="preserve"> </v>
      </c>
      <c r="C3463" s="79" t="str">
        <f t="shared" si="7"/>
        <v xml:space="preserve"> </v>
      </c>
      <c r="D3463" s="79" t="str">
        <f t="shared" si="5"/>
        <v xml:space="preserve"> </v>
      </c>
      <c r="E3463" s="79" t="str">
        <f t="shared" si="6"/>
        <v xml:space="preserve"> </v>
      </c>
    </row>
    <row r="3464" spans="1:5" ht="12.5">
      <c r="A3464" s="81" t="str">
        <f t="shared" si="0"/>
        <v xml:space="preserve"> </v>
      </c>
      <c r="B3464" s="81" t="str">
        <f t="shared" si="1"/>
        <v xml:space="preserve"> </v>
      </c>
      <c r="C3464" s="79" t="str">
        <f t="shared" si="7"/>
        <v xml:space="preserve"> </v>
      </c>
      <c r="D3464" s="79" t="str">
        <f t="shared" si="5"/>
        <v xml:space="preserve"> </v>
      </c>
      <c r="E3464" s="79" t="str">
        <f t="shared" si="6"/>
        <v xml:space="preserve"> </v>
      </c>
    </row>
    <row r="3465" spans="1:5" ht="12.5">
      <c r="A3465" s="81" t="str">
        <f t="shared" si="0"/>
        <v xml:space="preserve"> </v>
      </c>
      <c r="B3465" s="81" t="str">
        <f t="shared" si="1"/>
        <v xml:space="preserve"> </v>
      </c>
      <c r="C3465" s="79" t="str">
        <f t="shared" si="7"/>
        <v xml:space="preserve"> </v>
      </c>
      <c r="D3465" s="79" t="str">
        <f t="shared" si="5"/>
        <v xml:space="preserve"> </v>
      </c>
      <c r="E3465" s="79" t="str">
        <f t="shared" si="6"/>
        <v xml:space="preserve"> </v>
      </c>
    </row>
    <row r="3466" spans="1:5" ht="12.5">
      <c r="A3466" s="81" t="str">
        <f t="shared" si="0"/>
        <v xml:space="preserve"> </v>
      </c>
      <c r="B3466" s="81" t="str">
        <f t="shared" si="1"/>
        <v xml:space="preserve"> </v>
      </c>
      <c r="C3466" s="79" t="str">
        <f t="shared" si="7"/>
        <v xml:space="preserve"> </v>
      </c>
      <c r="D3466" s="79" t="str">
        <f t="shared" si="5"/>
        <v xml:space="preserve"> </v>
      </c>
      <c r="E3466" s="79" t="str">
        <f t="shared" si="6"/>
        <v xml:space="preserve"> </v>
      </c>
    </row>
    <row r="3467" spans="1:5" ht="12.5">
      <c r="A3467" s="81" t="str">
        <f t="shared" si="0"/>
        <v xml:space="preserve"> </v>
      </c>
      <c r="B3467" s="81" t="str">
        <f t="shared" si="1"/>
        <v xml:space="preserve"> </v>
      </c>
      <c r="C3467" s="79" t="str">
        <f t="shared" si="7"/>
        <v xml:space="preserve"> </v>
      </c>
      <c r="D3467" s="79" t="str">
        <f t="shared" si="5"/>
        <v xml:space="preserve"> </v>
      </c>
      <c r="E3467" s="79" t="str">
        <f t="shared" si="6"/>
        <v xml:space="preserve"> </v>
      </c>
    </row>
    <row r="3468" spans="1:5" ht="12.5">
      <c r="A3468" s="81" t="str">
        <f t="shared" si="0"/>
        <v xml:space="preserve"> </v>
      </c>
      <c r="B3468" s="81" t="str">
        <f t="shared" si="1"/>
        <v xml:space="preserve"> </v>
      </c>
      <c r="C3468" s="79" t="str">
        <f t="shared" si="7"/>
        <v xml:space="preserve"> </v>
      </c>
      <c r="D3468" s="79" t="str">
        <f t="shared" si="5"/>
        <v xml:space="preserve"> </v>
      </c>
      <c r="E3468" s="79" t="str">
        <f t="shared" si="6"/>
        <v xml:space="preserve"> </v>
      </c>
    </row>
    <row r="3469" spans="1:5" ht="12.5">
      <c r="A3469" s="81" t="str">
        <f t="shared" si="0"/>
        <v xml:space="preserve"> </v>
      </c>
      <c r="B3469" s="81" t="str">
        <f t="shared" si="1"/>
        <v xml:space="preserve"> </v>
      </c>
      <c r="C3469" s="79" t="str">
        <f t="shared" si="7"/>
        <v xml:space="preserve"> </v>
      </c>
      <c r="D3469" s="79" t="str">
        <f t="shared" si="5"/>
        <v xml:space="preserve"> </v>
      </c>
      <c r="E3469" s="79" t="str">
        <f t="shared" si="6"/>
        <v xml:space="preserve"> </v>
      </c>
    </row>
    <row r="3470" spans="1:5" ht="12.5">
      <c r="A3470" s="81" t="str">
        <f t="shared" si="0"/>
        <v xml:space="preserve"> </v>
      </c>
      <c r="B3470" s="81" t="str">
        <f t="shared" si="1"/>
        <v xml:space="preserve"> </v>
      </c>
      <c r="C3470" s="79" t="str">
        <f t="shared" si="7"/>
        <v xml:space="preserve"> </v>
      </c>
      <c r="D3470" s="79" t="str">
        <f t="shared" si="5"/>
        <v xml:space="preserve"> </v>
      </c>
      <c r="E3470" s="79" t="str">
        <f t="shared" si="6"/>
        <v xml:space="preserve"> </v>
      </c>
    </row>
    <row r="3471" spans="1:5" ht="12.5">
      <c r="A3471" s="81" t="str">
        <f t="shared" si="0"/>
        <v xml:space="preserve"> </v>
      </c>
      <c r="B3471" s="81" t="str">
        <f t="shared" si="1"/>
        <v xml:space="preserve"> </v>
      </c>
      <c r="C3471" s="79" t="str">
        <f t="shared" si="7"/>
        <v xml:space="preserve"> </v>
      </c>
      <c r="D3471" s="79" t="str">
        <f t="shared" si="5"/>
        <v xml:space="preserve"> </v>
      </c>
      <c r="E3471" s="79" t="str">
        <f t="shared" si="6"/>
        <v xml:space="preserve"> </v>
      </c>
    </row>
    <row r="3472" spans="1:5" ht="12.5">
      <c r="A3472" s="81" t="str">
        <f t="shared" si="0"/>
        <v xml:space="preserve"> </v>
      </c>
      <c r="B3472" s="81" t="str">
        <f t="shared" si="1"/>
        <v xml:space="preserve"> </v>
      </c>
      <c r="C3472" s="79" t="str">
        <f t="shared" si="7"/>
        <v xml:space="preserve"> </v>
      </c>
      <c r="D3472" s="79" t="str">
        <f t="shared" si="5"/>
        <v xml:space="preserve"> </v>
      </c>
      <c r="E3472" s="79" t="str">
        <f t="shared" si="6"/>
        <v xml:space="preserve"> </v>
      </c>
    </row>
    <row r="3473" spans="1:5" ht="12.5">
      <c r="A3473" s="81" t="str">
        <f t="shared" si="0"/>
        <v xml:space="preserve"> </v>
      </c>
      <c r="B3473" s="81" t="str">
        <f t="shared" si="1"/>
        <v xml:space="preserve"> </v>
      </c>
      <c r="C3473" s="79" t="str">
        <f t="shared" si="7"/>
        <v xml:space="preserve"> </v>
      </c>
      <c r="D3473" s="79" t="str">
        <f t="shared" si="5"/>
        <v xml:space="preserve"> </v>
      </c>
      <c r="E3473" s="79" t="str">
        <f t="shared" si="6"/>
        <v xml:space="preserve"> </v>
      </c>
    </row>
    <row r="3474" spans="1:5" ht="12.5">
      <c r="A3474" s="81" t="str">
        <f t="shared" si="0"/>
        <v xml:space="preserve"> </v>
      </c>
      <c r="B3474" s="81" t="str">
        <f t="shared" si="1"/>
        <v xml:space="preserve"> </v>
      </c>
      <c r="C3474" s="79" t="str">
        <f t="shared" si="7"/>
        <v xml:space="preserve"> </v>
      </c>
      <c r="D3474" s="79" t="str">
        <f t="shared" si="5"/>
        <v xml:space="preserve"> </v>
      </c>
      <c r="E3474" s="79" t="str">
        <f t="shared" si="6"/>
        <v xml:space="preserve"> </v>
      </c>
    </row>
    <row r="3475" spans="1:5" ht="12.5">
      <c r="A3475" s="81" t="str">
        <f t="shared" si="0"/>
        <v xml:space="preserve"> </v>
      </c>
      <c r="B3475" s="81" t="str">
        <f t="shared" si="1"/>
        <v xml:space="preserve"> </v>
      </c>
      <c r="C3475" s="79" t="str">
        <f t="shared" si="7"/>
        <v xml:space="preserve"> </v>
      </c>
      <c r="D3475" s="79" t="str">
        <f t="shared" si="5"/>
        <v xml:space="preserve"> </v>
      </c>
      <c r="E3475" s="79" t="str">
        <f t="shared" si="6"/>
        <v xml:space="preserve"> </v>
      </c>
    </row>
    <row r="3476" spans="1:5" ht="12.5">
      <c r="A3476" s="81" t="str">
        <f t="shared" si="0"/>
        <v xml:space="preserve"> </v>
      </c>
      <c r="B3476" s="81" t="str">
        <f t="shared" si="1"/>
        <v xml:space="preserve"> </v>
      </c>
      <c r="C3476" s="79" t="str">
        <f t="shared" si="7"/>
        <v xml:space="preserve"> </v>
      </c>
      <c r="D3476" s="79" t="str">
        <f t="shared" si="5"/>
        <v xml:space="preserve"> </v>
      </c>
      <c r="E3476" s="79" t="str">
        <f t="shared" si="6"/>
        <v xml:space="preserve"> </v>
      </c>
    </row>
    <row r="3477" spans="1:5" ht="12.5">
      <c r="A3477" s="81" t="str">
        <f t="shared" si="0"/>
        <v xml:space="preserve"> </v>
      </c>
      <c r="B3477" s="81" t="str">
        <f t="shared" si="1"/>
        <v xml:space="preserve"> </v>
      </c>
      <c r="C3477" s="79" t="str">
        <f t="shared" si="7"/>
        <v xml:space="preserve"> </v>
      </c>
      <c r="D3477" s="79" t="str">
        <f t="shared" si="5"/>
        <v xml:space="preserve"> </v>
      </c>
      <c r="E3477" s="79" t="str">
        <f t="shared" si="6"/>
        <v xml:space="preserve"> </v>
      </c>
    </row>
    <row r="3478" spans="1:5" ht="12.5">
      <c r="A3478" s="81" t="str">
        <f t="shared" si="0"/>
        <v xml:space="preserve"> </v>
      </c>
      <c r="B3478" s="81" t="str">
        <f t="shared" si="1"/>
        <v xml:space="preserve"> </v>
      </c>
      <c r="C3478" s="79" t="str">
        <f t="shared" si="7"/>
        <v xml:space="preserve"> </v>
      </c>
      <c r="D3478" s="79" t="str">
        <f t="shared" si="5"/>
        <v xml:space="preserve"> </v>
      </c>
      <c r="E3478" s="79" t="str">
        <f t="shared" si="6"/>
        <v xml:space="preserve"> </v>
      </c>
    </row>
    <row r="3479" spans="1:5" ht="12.5">
      <c r="A3479" s="81" t="str">
        <f t="shared" si="0"/>
        <v xml:space="preserve"> </v>
      </c>
      <c r="B3479" s="81" t="str">
        <f t="shared" si="1"/>
        <v xml:space="preserve"> </v>
      </c>
      <c r="C3479" s="79" t="str">
        <f t="shared" si="7"/>
        <v xml:space="preserve"> </v>
      </c>
      <c r="D3479" s="79" t="str">
        <f t="shared" si="5"/>
        <v xml:space="preserve"> </v>
      </c>
      <c r="E3479" s="79" t="str">
        <f t="shared" si="6"/>
        <v xml:space="preserve"> </v>
      </c>
    </row>
    <row r="3480" spans="1:5" ht="12.5">
      <c r="A3480" s="81" t="str">
        <f t="shared" si="0"/>
        <v xml:space="preserve"> </v>
      </c>
      <c r="B3480" s="81" t="str">
        <f t="shared" si="1"/>
        <v xml:space="preserve"> </v>
      </c>
      <c r="C3480" s="79" t="str">
        <f t="shared" si="7"/>
        <v xml:space="preserve"> </v>
      </c>
      <c r="D3480" s="79" t="str">
        <f t="shared" si="5"/>
        <v xml:space="preserve"> </v>
      </c>
      <c r="E3480" s="79" t="str">
        <f t="shared" si="6"/>
        <v xml:space="preserve"> </v>
      </c>
    </row>
    <row r="3481" spans="1:5" ht="12.5">
      <c r="A3481" s="81" t="str">
        <f t="shared" si="0"/>
        <v xml:space="preserve"> </v>
      </c>
      <c r="B3481" s="81" t="str">
        <f t="shared" si="1"/>
        <v xml:space="preserve"> </v>
      </c>
      <c r="C3481" s="79" t="str">
        <f t="shared" si="7"/>
        <v xml:space="preserve"> </v>
      </c>
      <c r="D3481" s="79" t="str">
        <f t="shared" si="5"/>
        <v xml:space="preserve"> </v>
      </c>
      <c r="E3481" s="79" t="str">
        <f t="shared" si="6"/>
        <v xml:space="preserve"> </v>
      </c>
    </row>
    <row r="3482" spans="1:5" ht="12.5">
      <c r="A3482" s="81" t="str">
        <f t="shared" si="0"/>
        <v xml:space="preserve"> </v>
      </c>
      <c r="B3482" s="81" t="str">
        <f t="shared" si="1"/>
        <v xml:space="preserve"> </v>
      </c>
      <c r="C3482" s="79" t="str">
        <f t="shared" si="7"/>
        <v xml:space="preserve"> </v>
      </c>
      <c r="D3482" s="79" t="str">
        <f t="shared" si="5"/>
        <v xml:space="preserve"> </v>
      </c>
      <c r="E3482" s="79" t="str">
        <f t="shared" si="6"/>
        <v xml:space="preserve"> </v>
      </c>
    </row>
    <row r="3483" spans="1:5" ht="12.5">
      <c r="A3483" s="81" t="str">
        <f t="shared" si="0"/>
        <v xml:space="preserve"> </v>
      </c>
      <c r="B3483" s="81" t="str">
        <f t="shared" si="1"/>
        <v xml:space="preserve"> </v>
      </c>
      <c r="C3483" s="79" t="str">
        <f t="shared" si="7"/>
        <v xml:space="preserve"> </v>
      </c>
      <c r="D3483" s="79" t="str">
        <f t="shared" si="5"/>
        <v xml:space="preserve"> </v>
      </c>
      <c r="E3483" s="79" t="str">
        <f t="shared" si="6"/>
        <v xml:space="preserve"> </v>
      </c>
    </row>
    <row r="3484" spans="1:5" ht="12.5">
      <c r="A3484" s="81" t="str">
        <f t="shared" si="0"/>
        <v xml:space="preserve"> </v>
      </c>
      <c r="B3484" s="81" t="str">
        <f t="shared" si="1"/>
        <v xml:space="preserve"> </v>
      </c>
      <c r="C3484" s="79" t="str">
        <f t="shared" si="7"/>
        <v xml:space="preserve"> </v>
      </c>
      <c r="D3484" s="79" t="str">
        <f t="shared" si="5"/>
        <v xml:space="preserve"> </v>
      </c>
      <c r="E3484" s="79" t="str">
        <f t="shared" si="6"/>
        <v xml:space="preserve"> </v>
      </c>
    </row>
    <row r="3485" spans="1:5" ht="12.5">
      <c r="A3485" s="81" t="str">
        <f t="shared" si="0"/>
        <v xml:space="preserve"> </v>
      </c>
      <c r="B3485" s="81" t="str">
        <f t="shared" si="1"/>
        <v xml:space="preserve"> </v>
      </c>
      <c r="C3485" s="79" t="str">
        <f t="shared" si="7"/>
        <v xml:space="preserve"> </v>
      </c>
      <c r="D3485" s="79" t="str">
        <f t="shared" si="5"/>
        <v xml:space="preserve"> </v>
      </c>
      <c r="E3485" s="79" t="str">
        <f t="shared" si="6"/>
        <v xml:space="preserve"> </v>
      </c>
    </row>
    <row r="3486" spans="1:5" ht="12.5">
      <c r="A3486" s="81" t="str">
        <f t="shared" si="0"/>
        <v xml:space="preserve"> </v>
      </c>
      <c r="B3486" s="81" t="str">
        <f t="shared" si="1"/>
        <v xml:space="preserve"> </v>
      </c>
      <c r="C3486" s="79" t="str">
        <f t="shared" si="7"/>
        <v xml:space="preserve"> </v>
      </c>
      <c r="D3486" s="79" t="str">
        <f t="shared" si="5"/>
        <v xml:space="preserve"> </v>
      </c>
      <c r="E3486" s="79" t="str">
        <f t="shared" si="6"/>
        <v xml:space="preserve"> </v>
      </c>
    </row>
    <row r="3487" spans="1:5" ht="12.5">
      <c r="A3487" s="81" t="str">
        <f t="shared" si="0"/>
        <v xml:space="preserve"> </v>
      </c>
      <c r="B3487" s="81" t="str">
        <f t="shared" si="1"/>
        <v xml:space="preserve"> </v>
      </c>
      <c r="C3487" s="79" t="str">
        <f t="shared" si="7"/>
        <v xml:space="preserve"> </v>
      </c>
      <c r="D3487" s="79" t="str">
        <f t="shared" si="5"/>
        <v xml:space="preserve"> </v>
      </c>
      <c r="E3487" s="79" t="str">
        <f t="shared" si="6"/>
        <v xml:space="preserve"> </v>
      </c>
    </row>
    <row r="3488" spans="1:5" ht="12.5">
      <c r="A3488" s="81" t="str">
        <f t="shared" si="0"/>
        <v xml:space="preserve"> </v>
      </c>
      <c r="B3488" s="81" t="str">
        <f t="shared" si="1"/>
        <v xml:space="preserve"> </v>
      </c>
      <c r="C3488" s="79" t="str">
        <f t="shared" si="7"/>
        <v xml:space="preserve"> </v>
      </c>
      <c r="D3488" s="79" t="str">
        <f t="shared" si="5"/>
        <v xml:space="preserve"> </v>
      </c>
      <c r="E3488" s="79" t="str">
        <f t="shared" si="6"/>
        <v xml:space="preserve"> </v>
      </c>
    </row>
    <row r="3489" spans="1:5" ht="12.5">
      <c r="A3489" s="81" t="str">
        <f t="shared" si="0"/>
        <v xml:space="preserve"> </v>
      </c>
      <c r="B3489" s="81" t="str">
        <f t="shared" si="1"/>
        <v xml:space="preserve"> </v>
      </c>
      <c r="C3489" s="79" t="str">
        <f t="shared" si="7"/>
        <v xml:space="preserve"> </v>
      </c>
      <c r="D3489" s="79" t="str">
        <f t="shared" si="5"/>
        <v xml:space="preserve"> </v>
      </c>
      <c r="E3489" s="79" t="str">
        <f t="shared" si="6"/>
        <v xml:space="preserve"> </v>
      </c>
    </row>
    <row r="3490" spans="1:5" ht="12.5">
      <c r="A3490" s="81" t="str">
        <f t="shared" si="0"/>
        <v xml:space="preserve"> </v>
      </c>
      <c r="B3490" s="81" t="str">
        <f t="shared" si="1"/>
        <v xml:space="preserve"> </v>
      </c>
      <c r="C3490" s="79" t="str">
        <f t="shared" si="7"/>
        <v xml:space="preserve"> </v>
      </c>
      <c r="D3490" s="79" t="str">
        <f t="shared" si="5"/>
        <v xml:space="preserve"> </v>
      </c>
      <c r="E3490" s="79" t="str">
        <f t="shared" si="6"/>
        <v xml:space="preserve"> </v>
      </c>
    </row>
    <row r="3491" spans="1:5" ht="12.5">
      <c r="A3491" s="81" t="str">
        <f t="shared" si="0"/>
        <v xml:space="preserve"> </v>
      </c>
      <c r="B3491" s="81" t="str">
        <f t="shared" si="1"/>
        <v xml:space="preserve"> </v>
      </c>
      <c r="C3491" s="79" t="str">
        <f t="shared" si="7"/>
        <v xml:space="preserve"> </v>
      </c>
      <c r="D3491" s="79" t="str">
        <f t="shared" si="5"/>
        <v xml:space="preserve"> </v>
      </c>
      <c r="E3491" s="79" t="str">
        <f t="shared" si="6"/>
        <v xml:space="preserve"> </v>
      </c>
    </row>
    <row r="3492" spans="1:5" ht="12.5">
      <c r="A3492" s="81" t="str">
        <f t="shared" si="0"/>
        <v xml:space="preserve"> </v>
      </c>
      <c r="B3492" s="81" t="str">
        <f t="shared" si="1"/>
        <v xml:space="preserve"> </v>
      </c>
      <c r="C3492" s="79" t="str">
        <f t="shared" si="7"/>
        <v xml:space="preserve"> </v>
      </c>
      <c r="D3492" s="79" t="str">
        <f t="shared" si="5"/>
        <v xml:space="preserve"> </v>
      </c>
      <c r="E3492" s="79" t="str">
        <f t="shared" si="6"/>
        <v xml:space="preserve"> </v>
      </c>
    </row>
    <row r="3493" spans="1:5" ht="12.5">
      <c r="A3493" s="81" t="str">
        <f t="shared" si="0"/>
        <v xml:space="preserve"> </v>
      </c>
      <c r="B3493" s="81" t="str">
        <f t="shared" si="1"/>
        <v xml:space="preserve"> </v>
      </c>
      <c r="C3493" s="79" t="str">
        <f t="shared" si="7"/>
        <v xml:space="preserve"> </v>
      </c>
      <c r="D3493" s="79" t="str">
        <f t="shared" si="5"/>
        <v xml:space="preserve"> </v>
      </c>
      <c r="E3493" s="79" t="str">
        <f t="shared" si="6"/>
        <v xml:space="preserve"> </v>
      </c>
    </row>
    <row r="3494" spans="1:5" ht="12.5">
      <c r="A3494" s="81" t="str">
        <f t="shared" si="0"/>
        <v xml:space="preserve"> </v>
      </c>
      <c r="B3494" s="81" t="str">
        <f t="shared" si="1"/>
        <v xml:space="preserve"> </v>
      </c>
      <c r="C3494" s="79" t="str">
        <f t="shared" si="7"/>
        <v xml:space="preserve"> </v>
      </c>
      <c r="D3494" s="79" t="str">
        <f t="shared" si="5"/>
        <v xml:space="preserve"> </v>
      </c>
      <c r="E3494" s="79" t="str">
        <f t="shared" si="6"/>
        <v xml:space="preserve"> </v>
      </c>
    </row>
    <row r="3495" spans="1:5" ht="12.5">
      <c r="A3495" s="81" t="str">
        <f t="shared" si="0"/>
        <v xml:space="preserve"> </v>
      </c>
      <c r="B3495" s="81" t="str">
        <f t="shared" si="1"/>
        <v xml:space="preserve"> </v>
      </c>
      <c r="C3495" s="79" t="str">
        <f t="shared" si="7"/>
        <v xml:space="preserve"> </v>
      </c>
      <c r="D3495" s="79" t="str">
        <f t="shared" si="5"/>
        <v xml:space="preserve"> </v>
      </c>
      <c r="E3495" s="79" t="str">
        <f t="shared" si="6"/>
        <v xml:space="preserve"> </v>
      </c>
    </row>
    <row r="3496" spans="1:5" ht="12.5">
      <c r="A3496" s="81" t="str">
        <f t="shared" si="0"/>
        <v xml:space="preserve"> </v>
      </c>
      <c r="B3496" s="81" t="str">
        <f t="shared" si="1"/>
        <v xml:space="preserve"> </v>
      </c>
      <c r="C3496" s="79" t="str">
        <f t="shared" si="7"/>
        <v xml:space="preserve"> </v>
      </c>
      <c r="D3496" s="79" t="str">
        <f t="shared" si="5"/>
        <v xml:space="preserve"> </v>
      </c>
      <c r="E3496" s="79" t="str">
        <f t="shared" si="6"/>
        <v xml:space="preserve"> </v>
      </c>
    </row>
    <row r="3497" spans="1:5" ht="12.5">
      <c r="A3497" s="81" t="str">
        <f t="shared" si="0"/>
        <v xml:space="preserve"> </v>
      </c>
      <c r="B3497" s="81" t="str">
        <f t="shared" si="1"/>
        <v xml:space="preserve"> </v>
      </c>
      <c r="C3497" s="79" t="str">
        <f t="shared" si="7"/>
        <v xml:space="preserve"> </v>
      </c>
      <c r="D3497" s="79" t="str">
        <f t="shared" si="5"/>
        <v xml:space="preserve"> </v>
      </c>
      <c r="E3497" s="79" t="str">
        <f t="shared" si="6"/>
        <v xml:space="preserve"> </v>
      </c>
    </row>
    <row r="3498" spans="1:5" ht="12.5">
      <c r="A3498" s="81" t="str">
        <f t="shared" si="0"/>
        <v xml:space="preserve"> </v>
      </c>
      <c r="B3498" s="81" t="str">
        <f t="shared" si="1"/>
        <v xml:space="preserve"> </v>
      </c>
      <c r="C3498" s="79" t="str">
        <f t="shared" si="7"/>
        <v xml:space="preserve"> </v>
      </c>
      <c r="D3498" s="79" t="str">
        <f t="shared" si="5"/>
        <v xml:space="preserve"> </v>
      </c>
      <c r="E3498" s="79" t="str">
        <f t="shared" si="6"/>
        <v xml:space="preserve"> </v>
      </c>
    </row>
    <row r="3499" spans="1:5" ht="12.5">
      <c r="A3499" s="81" t="str">
        <f t="shared" si="0"/>
        <v xml:space="preserve"> </v>
      </c>
      <c r="B3499" s="81" t="str">
        <f t="shared" si="1"/>
        <v xml:space="preserve"> </v>
      </c>
      <c r="C3499" s="79" t="str">
        <f t="shared" si="7"/>
        <v xml:space="preserve"> </v>
      </c>
      <c r="D3499" s="79" t="str">
        <f t="shared" si="5"/>
        <v xml:space="preserve"> </v>
      </c>
      <c r="E3499" s="79" t="str">
        <f t="shared" si="6"/>
        <v xml:space="preserve"> </v>
      </c>
    </row>
    <row r="3500" spans="1:5" ht="12.5">
      <c r="A3500" s="81" t="str">
        <f t="shared" si="0"/>
        <v xml:space="preserve"> </v>
      </c>
      <c r="B3500" s="81" t="str">
        <f t="shared" si="1"/>
        <v xml:space="preserve"> </v>
      </c>
      <c r="C3500" s="79" t="str">
        <f t="shared" si="7"/>
        <v xml:space="preserve"> </v>
      </c>
      <c r="D3500" s="79" t="str">
        <f t="shared" si="5"/>
        <v xml:space="preserve"> </v>
      </c>
      <c r="E3500" s="79" t="str">
        <f t="shared" si="6"/>
        <v xml:space="preserve"> </v>
      </c>
    </row>
    <row r="3501" spans="1:5" ht="12.5">
      <c r="A3501" s="81" t="str">
        <f t="shared" si="0"/>
        <v xml:space="preserve"> </v>
      </c>
      <c r="B3501" s="81" t="str">
        <f t="shared" si="1"/>
        <v xml:space="preserve"> </v>
      </c>
      <c r="C3501" s="79" t="str">
        <f t="shared" si="7"/>
        <v xml:space="preserve"> </v>
      </c>
      <c r="D3501" s="79" t="str">
        <f t="shared" si="5"/>
        <v xml:space="preserve"> </v>
      </c>
      <c r="E3501" s="79" t="str">
        <f t="shared" si="6"/>
        <v xml:space="preserve"> </v>
      </c>
    </row>
    <row r="3502" spans="1:5" ht="12.5">
      <c r="A3502" s="81" t="str">
        <f t="shared" si="0"/>
        <v xml:space="preserve"> </v>
      </c>
      <c r="B3502" s="81" t="str">
        <f t="shared" si="1"/>
        <v xml:space="preserve"> </v>
      </c>
      <c r="C3502" s="79" t="str">
        <f t="shared" si="7"/>
        <v xml:space="preserve"> </v>
      </c>
      <c r="D3502" s="79" t="str">
        <f t="shared" si="5"/>
        <v xml:space="preserve"> </v>
      </c>
      <c r="E3502" s="79" t="str">
        <f t="shared" si="6"/>
        <v xml:space="preserve"> </v>
      </c>
    </row>
    <row r="3503" spans="1:5" ht="12.5">
      <c r="A3503" s="81" t="str">
        <f t="shared" si="0"/>
        <v xml:space="preserve"> </v>
      </c>
      <c r="B3503" s="81" t="str">
        <f t="shared" si="1"/>
        <v xml:space="preserve"> </v>
      </c>
      <c r="C3503" s="79" t="str">
        <f t="shared" si="7"/>
        <v xml:space="preserve"> </v>
      </c>
      <c r="D3503" s="79" t="str">
        <f t="shared" si="5"/>
        <v xml:space="preserve"> </v>
      </c>
      <c r="E3503" s="79" t="str">
        <f t="shared" si="6"/>
        <v xml:space="preserve"> </v>
      </c>
    </row>
    <row r="3504" spans="1:5" ht="12.5">
      <c r="A3504" s="81" t="str">
        <f t="shared" si="0"/>
        <v xml:space="preserve"> </v>
      </c>
      <c r="B3504" s="81" t="str">
        <f t="shared" si="1"/>
        <v xml:space="preserve"> </v>
      </c>
      <c r="C3504" s="79" t="str">
        <f t="shared" si="7"/>
        <v xml:space="preserve"> </v>
      </c>
      <c r="D3504" s="79" t="str">
        <f t="shared" si="5"/>
        <v xml:space="preserve"> </v>
      </c>
      <c r="E3504" s="79" t="str">
        <f t="shared" si="6"/>
        <v xml:space="preserve"> </v>
      </c>
    </row>
    <row r="3505" spans="1:5" ht="12.5">
      <c r="A3505" s="81" t="str">
        <f t="shared" si="0"/>
        <v xml:space="preserve"> </v>
      </c>
      <c r="B3505" s="81" t="str">
        <f t="shared" si="1"/>
        <v xml:space="preserve"> </v>
      </c>
      <c r="C3505" s="79" t="str">
        <f t="shared" si="7"/>
        <v xml:space="preserve"> </v>
      </c>
      <c r="D3505" s="79" t="str">
        <f t="shared" si="5"/>
        <v xml:space="preserve"> </v>
      </c>
      <c r="E3505" s="79" t="str">
        <f t="shared" si="6"/>
        <v xml:space="preserve"> </v>
      </c>
    </row>
    <row r="3506" spans="1:5" ht="12.5">
      <c r="A3506" s="81" t="str">
        <f t="shared" si="0"/>
        <v xml:space="preserve"> </v>
      </c>
      <c r="B3506" s="81" t="str">
        <f t="shared" si="1"/>
        <v xml:space="preserve"> </v>
      </c>
      <c r="C3506" s="79" t="str">
        <f t="shared" si="7"/>
        <v xml:space="preserve"> </v>
      </c>
      <c r="D3506" s="79" t="str">
        <f t="shared" si="5"/>
        <v xml:space="preserve"> </v>
      </c>
      <c r="E3506" s="79" t="str">
        <f t="shared" si="6"/>
        <v xml:space="preserve"> </v>
      </c>
    </row>
    <row r="3507" spans="1:5" ht="12.5">
      <c r="A3507" s="81" t="str">
        <f t="shared" si="0"/>
        <v xml:space="preserve"> </v>
      </c>
      <c r="B3507" s="81" t="str">
        <f t="shared" si="1"/>
        <v xml:space="preserve"> </v>
      </c>
      <c r="C3507" s="79" t="str">
        <f t="shared" si="7"/>
        <v xml:space="preserve"> </v>
      </c>
      <c r="D3507" s="79" t="str">
        <f t="shared" si="5"/>
        <v xml:space="preserve"> </v>
      </c>
      <c r="E3507" s="79" t="str">
        <f t="shared" si="6"/>
        <v xml:space="preserve"> </v>
      </c>
    </row>
    <row r="3508" spans="1:5" ht="12.5">
      <c r="A3508" s="81" t="str">
        <f t="shared" si="0"/>
        <v xml:space="preserve"> </v>
      </c>
      <c r="B3508" s="81" t="str">
        <f t="shared" si="1"/>
        <v xml:space="preserve"> </v>
      </c>
      <c r="C3508" s="79" t="str">
        <f t="shared" si="7"/>
        <v xml:space="preserve"> </v>
      </c>
      <c r="D3508" s="79" t="str">
        <f t="shared" si="5"/>
        <v xml:space="preserve"> </v>
      </c>
      <c r="E3508" s="79" t="str">
        <f t="shared" si="6"/>
        <v xml:space="preserve"> </v>
      </c>
    </row>
    <row r="3509" spans="1:5" ht="12.5">
      <c r="A3509" s="81" t="str">
        <f t="shared" si="0"/>
        <v xml:space="preserve"> </v>
      </c>
      <c r="B3509" s="81" t="str">
        <f t="shared" si="1"/>
        <v xml:space="preserve"> </v>
      </c>
      <c r="C3509" s="79" t="str">
        <f t="shared" si="7"/>
        <v xml:space="preserve"> </v>
      </c>
      <c r="D3509" s="79" t="str">
        <f t="shared" si="5"/>
        <v xml:space="preserve"> </v>
      </c>
      <c r="E3509" s="79" t="str">
        <f t="shared" si="6"/>
        <v xml:space="preserve"> </v>
      </c>
    </row>
    <row r="3510" spans="1:5" ht="12.5">
      <c r="A3510" s="81" t="str">
        <f t="shared" si="0"/>
        <v xml:space="preserve"> </v>
      </c>
      <c r="B3510" s="81" t="str">
        <f t="shared" si="1"/>
        <v xml:space="preserve"> </v>
      </c>
      <c r="C3510" s="79" t="str">
        <f t="shared" si="7"/>
        <v xml:space="preserve"> </v>
      </c>
      <c r="D3510" s="79" t="str">
        <f t="shared" si="5"/>
        <v xml:space="preserve"> </v>
      </c>
      <c r="E3510" s="79" t="str">
        <f t="shared" si="6"/>
        <v xml:space="preserve"> </v>
      </c>
    </row>
    <row r="3511" spans="1:5" ht="12.5">
      <c r="A3511" s="81" t="str">
        <f t="shared" si="0"/>
        <v xml:space="preserve"> </v>
      </c>
      <c r="B3511" s="81" t="str">
        <f t="shared" si="1"/>
        <v xml:space="preserve"> </v>
      </c>
      <c r="C3511" s="79" t="str">
        <f t="shared" si="7"/>
        <v xml:space="preserve"> </v>
      </c>
      <c r="D3511" s="79" t="str">
        <f t="shared" si="5"/>
        <v xml:space="preserve"> </v>
      </c>
      <c r="E3511" s="79" t="str">
        <f t="shared" si="6"/>
        <v xml:space="preserve"> </v>
      </c>
    </row>
    <row r="3512" spans="1:5" ht="12.5">
      <c r="A3512" s="81" t="str">
        <f t="shared" si="0"/>
        <v xml:space="preserve"> </v>
      </c>
      <c r="B3512" s="81" t="str">
        <f t="shared" si="1"/>
        <v xml:space="preserve"> </v>
      </c>
      <c r="C3512" s="79" t="str">
        <f t="shared" si="7"/>
        <v xml:space="preserve"> </v>
      </c>
      <c r="D3512" s="79" t="str">
        <f t="shared" si="5"/>
        <v xml:space="preserve"> </v>
      </c>
      <c r="E3512" s="79" t="str">
        <f t="shared" si="6"/>
        <v xml:space="preserve"> </v>
      </c>
    </row>
    <row r="3513" spans="1:5" ht="12.5">
      <c r="A3513" s="81" t="str">
        <f t="shared" si="0"/>
        <v xml:space="preserve"> </v>
      </c>
      <c r="B3513" s="81" t="str">
        <f t="shared" si="1"/>
        <v xml:space="preserve"> </v>
      </c>
      <c r="C3513" s="79" t="str">
        <f t="shared" si="7"/>
        <v xml:space="preserve"> </v>
      </c>
      <c r="D3513" s="79" t="str">
        <f t="shared" si="5"/>
        <v xml:space="preserve"> </v>
      </c>
      <c r="E3513" s="79" t="str">
        <f t="shared" si="6"/>
        <v xml:space="preserve"> </v>
      </c>
    </row>
    <row r="3514" spans="1:5" ht="12.5">
      <c r="A3514" s="81" t="str">
        <f t="shared" si="0"/>
        <v xml:space="preserve"> </v>
      </c>
      <c r="B3514" s="81" t="str">
        <f t="shared" si="1"/>
        <v xml:space="preserve"> </v>
      </c>
      <c r="C3514" s="79" t="str">
        <f t="shared" si="7"/>
        <v xml:space="preserve"> </v>
      </c>
      <c r="D3514" s="79" t="str">
        <f t="shared" si="5"/>
        <v xml:space="preserve"> </v>
      </c>
      <c r="E3514" s="79" t="str">
        <f t="shared" si="6"/>
        <v xml:space="preserve"> </v>
      </c>
    </row>
    <row r="3515" spans="1:5" ht="12.5">
      <c r="A3515" s="81" t="str">
        <f t="shared" si="0"/>
        <v xml:space="preserve"> </v>
      </c>
      <c r="B3515" s="81" t="str">
        <f t="shared" si="1"/>
        <v xml:space="preserve"> </v>
      </c>
      <c r="C3515" s="79" t="str">
        <f t="shared" si="7"/>
        <v xml:space="preserve"> </v>
      </c>
      <c r="D3515" s="79" t="str">
        <f t="shared" si="5"/>
        <v xml:space="preserve"> </v>
      </c>
      <c r="E3515" s="79" t="str">
        <f t="shared" si="6"/>
        <v xml:space="preserve"> </v>
      </c>
    </row>
    <row r="3516" spans="1:5" ht="12.5">
      <c r="A3516" s="81" t="str">
        <f t="shared" si="0"/>
        <v xml:space="preserve"> </v>
      </c>
      <c r="B3516" s="81" t="str">
        <f t="shared" si="1"/>
        <v xml:space="preserve"> </v>
      </c>
      <c r="C3516" s="79" t="str">
        <f t="shared" si="7"/>
        <v xml:space="preserve"> </v>
      </c>
      <c r="D3516" s="79" t="str">
        <f t="shared" si="5"/>
        <v xml:space="preserve"> </v>
      </c>
      <c r="E3516" s="79" t="str">
        <f t="shared" si="6"/>
        <v xml:space="preserve"> </v>
      </c>
    </row>
    <row r="3517" spans="1:5" ht="12.5">
      <c r="A3517" s="81" t="str">
        <f t="shared" si="0"/>
        <v xml:space="preserve"> </v>
      </c>
      <c r="B3517" s="81" t="str">
        <f t="shared" si="1"/>
        <v xml:space="preserve"> </v>
      </c>
      <c r="C3517" s="79" t="str">
        <f t="shared" si="7"/>
        <v xml:space="preserve"> </v>
      </c>
      <c r="D3517" s="79" t="str">
        <f t="shared" si="5"/>
        <v xml:space="preserve"> </v>
      </c>
      <c r="E3517" s="79" t="str">
        <f t="shared" si="6"/>
        <v xml:space="preserve"> </v>
      </c>
    </row>
    <row r="3518" spans="1:5" ht="12.5">
      <c r="A3518" s="81" t="str">
        <f t="shared" si="0"/>
        <v xml:space="preserve"> </v>
      </c>
      <c r="B3518" s="81" t="str">
        <f t="shared" si="1"/>
        <v xml:space="preserve"> </v>
      </c>
      <c r="C3518" s="79" t="str">
        <f t="shared" si="7"/>
        <v xml:space="preserve"> </v>
      </c>
      <c r="D3518" s="79" t="str">
        <f t="shared" si="5"/>
        <v xml:space="preserve"> </v>
      </c>
      <c r="E3518" s="79" t="str">
        <f t="shared" si="6"/>
        <v xml:space="preserve"> </v>
      </c>
    </row>
    <row r="3519" spans="1:5" ht="12.5">
      <c r="A3519" s="81" t="str">
        <f t="shared" si="0"/>
        <v xml:space="preserve"> </v>
      </c>
      <c r="B3519" s="81" t="str">
        <f t="shared" si="1"/>
        <v xml:space="preserve"> </v>
      </c>
      <c r="C3519" s="79" t="str">
        <f t="shared" si="7"/>
        <v xml:space="preserve"> </v>
      </c>
      <c r="D3519" s="79" t="str">
        <f t="shared" si="5"/>
        <v xml:space="preserve"> </v>
      </c>
      <c r="E3519" s="79" t="str">
        <f t="shared" si="6"/>
        <v xml:space="preserve"> </v>
      </c>
    </row>
    <row r="3520" spans="1:5" ht="12.5">
      <c r="A3520" s="81" t="str">
        <f t="shared" si="0"/>
        <v xml:space="preserve"> </v>
      </c>
      <c r="B3520" s="81" t="str">
        <f t="shared" si="1"/>
        <v xml:space="preserve"> </v>
      </c>
      <c r="C3520" s="79" t="str">
        <f t="shared" si="7"/>
        <v xml:space="preserve"> </v>
      </c>
      <c r="D3520" s="79" t="str">
        <f t="shared" si="5"/>
        <v xml:space="preserve"> </v>
      </c>
      <c r="E3520" s="79" t="str">
        <f t="shared" si="6"/>
        <v xml:space="preserve"> </v>
      </c>
    </row>
    <row r="3521" spans="1:5" ht="12.5">
      <c r="A3521" s="81" t="str">
        <f t="shared" si="0"/>
        <v xml:space="preserve"> </v>
      </c>
      <c r="B3521" s="81" t="str">
        <f t="shared" si="1"/>
        <v xml:space="preserve"> </v>
      </c>
      <c r="C3521" s="79" t="str">
        <f t="shared" si="7"/>
        <v xml:space="preserve"> </v>
      </c>
      <c r="D3521" s="79" t="str">
        <f t="shared" si="5"/>
        <v xml:space="preserve"> </v>
      </c>
      <c r="E3521" s="79" t="str">
        <f t="shared" si="6"/>
        <v xml:space="preserve"> </v>
      </c>
    </row>
    <row r="3522" spans="1:5" ht="12.5">
      <c r="A3522" s="81" t="str">
        <f t="shared" si="0"/>
        <v xml:space="preserve"> </v>
      </c>
      <c r="B3522" s="81" t="str">
        <f t="shared" si="1"/>
        <v xml:space="preserve"> </v>
      </c>
      <c r="C3522" s="79" t="str">
        <f t="shared" si="7"/>
        <v xml:space="preserve"> </v>
      </c>
      <c r="D3522" s="79" t="str">
        <f t="shared" si="5"/>
        <v xml:space="preserve"> </v>
      </c>
      <c r="E3522" s="79" t="str">
        <f t="shared" si="6"/>
        <v xml:space="preserve"> </v>
      </c>
    </row>
    <row r="3523" spans="1:5" ht="12.5">
      <c r="A3523" s="81" t="str">
        <f t="shared" si="0"/>
        <v xml:space="preserve"> </v>
      </c>
      <c r="B3523" s="81" t="str">
        <f t="shared" si="1"/>
        <v xml:space="preserve"> </v>
      </c>
      <c r="C3523" s="79" t="str">
        <f t="shared" si="7"/>
        <v xml:space="preserve"> </v>
      </c>
      <c r="D3523" s="79" t="str">
        <f t="shared" si="5"/>
        <v xml:space="preserve"> </v>
      </c>
      <c r="E3523" s="79" t="str">
        <f t="shared" si="6"/>
        <v xml:space="preserve"> </v>
      </c>
    </row>
    <row r="3524" spans="1:5" ht="12.5">
      <c r="A3524" s="81" t="str">
        <f t="shared" si="0"/>
        <v xml:space="preserve"> </v>
      </c>
      <c r="B3524" s="81" t="str">
        <f t="shared" si="1"/>
        <v xml:space="preserve"> </v>
      </c>
      <c r="C3524" s="79" t="str">
        <f t="shared" si="7"/>
        <v xml:space="preserve"> </v>
      </c>
      <c r="D3524" s="79" t="str">
        <f t="shared" si="5"/>
        <v xml:space="preserve"> </v>
      </c>
      <c r="E3524" s="79" t="str">
        <f t="shared" si="6"/>
        <v xml:space="preserve"> </v>
      </c>
    </row>
    <row r="3525" spans="1:5" ht="12.5">
      <c r="A3525" s="81" t="str">
        <f t="shared" si="0"/>
        <v xml:space="preserve"> </v>
      </c>
      <c r="B3525" s="81" t="str">
        <f t="shared" si="1"/>
        <v xml:space="preserve"> </v>
      </c>
      <c r="C3525" s="79" t="str">
        <f t="shared" si="7"/>
        <v xml:space="preserve"> </v>
      </c>
      <c r="D3525" s="79" t="str">
        <f t="shared" si="5"/>
        <v xml:space="preserve"> </v>
      </c>
      <c r="E3525" s="79" t="str">
        <f t="shared" si="6"/>
        <v xml:space="preserve"> </v>
      </c>
    </row>
    <row r="3526" spans="1:5" ht="12.5">
      <c r="A3526" s="81" t="str">
        <f t="shared" si="0"/>
        <v xml:space="preserve"> </v>
      </c>
      <c r="B3526" s="81" t="str">
        <f t="shared" si="1"/>
        <v xml:space="preserve"> </v>
      </c>
      <c r="C3526" s="79" t="str">
        <f t="shared" si="7"/>
        <v xml:space="preserve"> </v>
      </c>
      <c r="D3526" s="79" t="str">
        <f t="shared" si="5"/>
        <v xml:space="preserve"> </v>
      </c>
      <c r="E3526" s="79" t="str">
        <f t="shared" si="6"/>
        <v xml:space="preserve"> </v>
      </c>
    </row>
    <row r="3527" spans="1:5" ht="12.5">
      <c r="A3527" s="81" t="str">
        <f t="shared" si="0"/>
        <v xml:space="preserve"> </v>
      </c>
      <c r="B3527" s="81" t="str">
        <f t="shared" si="1"/>
        <v xml:space="preserve"> </v>
      </c>
      <c r="C3527" s="79" t="str">
        <f t="shared" si="7"/>
        <v xml:space="preserve"> </v>
      </c>
      <c r="D3527" s="79" t="str">
        <f t="shared" si="5"/>
        <v xml:space="preserve"> </v>
      </c>
      <c r="E3527" s="79" t="str">
        <f t="shared" si="6"/>
        <v xml:space="preserve"> </v>
      </c>
    </row>
    <row r="3528" spans="1:5" ht="12.5">
      <c r="A3528" s="81" t="str">
        <f t="shared" si="0"/>
        <v xml:space="preserve"> </v>
      </c>
      <c r="B3528" s="81" t="str">
        <f t="shared" si="1"/>
        <v xml:space="preserve"> </v>
      </c>
      <c r="C3528" s="79" t="str">
        <f t="shared" si="7"/>
        <v xml:space="preserve"> </v>
      </c>
      <c r="D3528" s="79" t="str">
        <f t="shared" si="5"/>
        <v xml:space="preserve"> </v>
      </c>
      <c r="E3528" s="79" t="str">
        <f t="shared" si="6"/>
        <v xml:space="preserve"> </v>
      </c>
    </row>
    <row r="3529" spans="1:5" ht="12.5">
      <c r="A3529" s="81" t="str">
        <f t="shared" si="0"/>
        <v xml:space="preserve"> </v>
      </c>
      <c r="B3529" s="81" t="str">
        <f t="shared" si="1"/>
        <v xml:space="preserve"> </v>
      </c>
      <c r="C3529" s="79" t="str">
        <f t="shared" si="7"/>
        <v xml:space="preserve"> </v>
      </c>
      <c r="D3529" s="79" t="str">
        <f t="shared" si="5"/>
        <v xml:space="preserve"> </v>
      </c>
      <c r="E3529" s="79" t="str">
        <f t="shared" si="6"/>
        <v xml:space="preserve"> </v>
      </c>
    </row>
    <row r="3530" spans="1:5" ht="12.5">
      <c r="A3530" s="81" t="str">
        <f t="shared" si="0"/>
        <v xml:space="preserve"> </v>
      </c>
      <c r="B3530" s="81" t="str">
        <f t="shared" si="1"/>
        <v xml:space="preserve"> </v>
      </c>
      <c r="C3530" s="79" t="str">
        <f t="shared" si="7"/>
        <v xml:space="preserve"> </v>
      </c>
      <c r="D3530" s="79" t="str">
        <f t="shared" si="5"/>
        <v xml:space="preserve"> </v>
      </c>
      <c r="E3530" s="79" t="str">
        <f t="shared" si="6"/>
        <v xml:space="preserve"> </v>
      </c>
    </row>
    <row r="3531" spans="1:5" ht="12.5">
      <c r="A3531" s="81" t="str">
        <f t="shared" si="0"/>
        <v xml:space="preserve"> </v>
      </c>
      <c r="B3531" s="81" t="str">
        <f t="shared" si="1"/>
        <v xml:space="preserve"> </v>
      </c>
      <c r="C3531" s="79" t="str">
        <f t="shared" si="7"/>
        <v xml:space="preserve"> </v>
      </c>
      <c r="D3531" s="79" t="str">
        <f t="shared" si="5"/>
        <v xml:space="preserve"> </v>
      </c>
      <c r="E3531" s="79" t="str">
        <f t="shared" si="6"/>
        <v xml:space="preserve"> </v>
      </c>
    </row>
    <row r="3532" spans="1:5" ht="12.5">
      <c r="A3532" s="81" t="str">
        <f t="shared" si="0"/>
        <v xml:space="preserve"> </v>
      </c>
      <c r="B3532" s="81" t="str">
        <f t="shared" si="1"/>
        <v xml:space="preserve"> </v>
      </c>
      <c r="C3532" s="79" t="str">
        <f t="shared" si="7"/>
        <v xml:space="preserve"> </v>
      </c>
      <c r="D3532" s="79" t="str">
        <f t="shared" si="5"/>
        <v xml:space="preserve"> </v>
      </c>
      <c r="E3532" s="79" t="str">
        <f t="shared" si="6"/>
        <v xml:space="preserve"> </v>
      </c>
    </row>
    <row r="3533" spans="1:5" ht="12.5">
      <c r="A3533" s="81" t="str">
        <f t="shared" si="0"/>
        <v xml:space="preserve"> </v>
      </c>
      <c r="B3533" s="81" t="str">
        <f t="shared" si="1"/>
        <v xml:space="preserve"> </v>
      </c>
      <c r="C3533" s="79" t="str">
        <f t="shared" si="7"/>
        <v xml:space="preserve"> </v>
      </c>
      <c r="D3533" s="79" t="str">
        <f t="shared" si="5"/>
        <v xml:space="preserve"> </v>
      </c>
      <c r="E3533" s="79" t="str">
        <f t="shared" si="6"/>
        <v xml:space="preserve"> </v>
      </c>
    </row>
    <row r="3534" spans="1:5" ht="12.5">
      <c r="A3534" s="81" t="str">
        <f t="shared" si="0"/>
        <v xml:space="preserve"> </v>
      </c>
      <c r="B3534" s="81" t="str">
        <f t="shared" si="1"/>
        <v xml:space="preserve"> </v>
      </c>
      <c r="C3534" s="79" t="str">
        <f t="shared" si="7"/>
        <v xml:space="preserve"> </v>
      </c>
      <c r="D3534" s="79" t="str">
        <f t="shared" si="5"/>
        <v xml:space="preserve"> </v>
      </c>
      <c r="E3534" s="79" t="str">
        <f t="shared" si="6"/>
        <v xml:space="preserve"> </v>
      </c>
    </row>
    <row r="3535" spans="1:5" ht="12.5">
      <c r="A3535" s="81" t="str">
        <f t="shared" si="0"/>
        <v xml:space="preserve"> </v>
      </c>
      <c r="B3535" s="81" t="str">
        <f t="shared" si="1"/>
        <v xml:space="preserve"> </v>
      </c>
      <c r="C3535" s="79" t="str">
        <f t="shared" si="7"/>
        <v xml:space="preserve"> </v>
      </c>
      <c r="D3535" s="79" t="str">
        <f t="shared" si="5"/>
        <v xml:space="preserve"> </v>
      </c>
      <c r="E3535" s="79" t="str">
        <f t="shared" si="6"/>
        <v xml:space="preserve"> </v>
      </c>
    </row>
    <row r="3536" spans="1:5" ht="12.5">
      <c r="A3536" s="81" t="str">
        <f t="shared" si="0"/>
        <v xml:space="preserve"> </v>
      </c>
      <c r="B3536" s="81" t="str">
        <f t="shared" si="1"/>
        <v xml:space="preserve"> </v>
      </c>
      <c r="C3536" s="79" t="str">
        <f t="shared" si="7"/>
        <v xml:space="preserve"> </v>
      </c>
      <c r="D3536" s="79" t="str">
        <f t="shared" si="5"/>
        <v xml:space="preserve"> </v>
      </c>
      <c r="E3536" s="79" t="str">
        <f t="shared" si="6"/>
        <v xml:space="preserve"> </v>
      </c>
    </row>
    <row r="3537" spans="1:5" ht="12.5">
      <c r="A3537" s="81" t="str">
        <f t="shared" si="0"/>
        <v xml:space="preserve"> </v>
      </c>
      <c r="B3537" s="81" t="str">
        <f t="shared" si="1"/>
        <v xml:space="preserve"> </v>
      </c>
      <c r="C3537" s="79" t="str">
        <f t="shared" si="7"/>
        <v xml:space="preserve"> </v>
      </c>
      <c r="D3537" s="79" t="str">
        <f t="shared" si="5"/>
        <v xml:space="preserve"> </v>
      </c>
      <c r="E3537" s="79" t="str">
        <f t="shared" si="6"/>
        <v xml:space="preserve"> </v>
      </c>
    </row>
    <row r="3538" spans="1:5" ht="12.5">
      <c r="A3538" s="81" t="str">
        <f t="shared" si="0"/>
        <v xml:space="preserve"> </v>
      </c>
      <c r="B3538" s="81" t="str">
        <f t="shared" si="1"/>
        <v xml:space="preserve"> </v>
      </c>
      <c r="C3538" s="79" t="str">
        <f t="shared" si="7"/>
        <v xml:space="preserve"> </v>
      </c>
      <c r="D3538" s="79" t="str">
        <f t="shared" si="5"/>
        <v xml:space="preserve"> </v>
      </c>
      <c r="E3538" s="79" t="str">
        <f t="shared" si="6"/>
        <v xml:space="preserve"> </v>
      </c>
    </row>
    <row r="3539" spans="1:5" ht="12.5">
      <c r="A3539" s="81" t="str">
        <f t="shared" si="0"/>
        <v xml:space="preserve"> </v>
      </c>
      <c r="B3539" s="81" t="str">
        <f t="shared" si="1"/>
        <v xml:space="preserve"> </v>
      </c>
      <c r="C3539" s="79" t="str">
        <f t="shared" si="7"/>
        <v xml:space="preserve"> </v>
      </c>
      <c r="D3539" s="79" t="str">
        <f t="shared" si="5"/>
        <v xml:space="preserve"> </v>
      </c>
      <c r="E3539" s="79" t="str">
        <f t="shared" si="6"/>
        <v xml:space="preserve"> </v>
      </c>
    </row>
    <row r="3540" spans="1:5" ht="12.5">
      <c r="A3540" s="81" t="str">
        <f t="shared" si="0"/>
        <v xml:space="preserve"> </v>
      </c>
      <c r="B3540" s="81" t="str">
        <f t="shared" si="1"/>
        <v xml:space="preserve"> </v>
      </c>
      <c r="C3540" s="79" t="str">
        <f t="shared" si="7"/>
        <v xml:space="preserve"> </v>
      </c>
      <c r="D3540" s="79" t="str">
        <f t="shared" si="5"/>
        <v xml:space="preserve"> </v>
      </c>
      <c r="E3540" s="79" t="str">
        <f t="shared" si="6"/>
        <v xml:space="preserve"> </v>
      </c>
    </row>
    <row r="3541" spans="1:5" ht="12.5">
      <c r="A3541" s="81" t="str">
        <f t="shared" si="0"/>
        <v xml:space="preserve"> </v>
      </c>
      <c r="B3541" s="81" t="str">
        <f t="shared" si="1"/>
        <v xml:space="preserve"> </v>
      </c>
      <c r="C3541" s="79" t="str">
        <f t="shared" si="7"/>
        <v xml:space="preserve"> </v>
      </c>
      <c r="D3541" s="79" t="str">
        <f t="shared" si="5"/>
        <v xml:space="preserve"> </v>
      </c>
      <c r="E3541" s="79" t="str">
        <f t="shared" si="6"/>
        <v xml:space="preserve"> </v>
      </c>
    </row>
    <row r="3542" spans="1:5" ht="12.5">
      <c r="A3542" s="81" t="str">
        <f t="shared" si="0"/>
        <v xml:space="preserve"> </v>
      </c>
      <c r="B3542" s="81" t="str">
        <f t="shared" si="1"/>
        <v xml:space="preserve"> </v>
      </c>
      <c r="C3542" s="79" t="str">
        <f t="shared" si="7"/>
        <v xml:space="preserve"> </v>
      </c>
      <c r="D3542" s="79" t="str">
        <f t="shared" si="5"/>
        <v xml:space="preserve"> </v>
      </c>
      <c r="E3542" s="79" t="str">
        <f t="shared" si="6"/>
        <v xml:space="preserve"> </v>
      </c>
    </row>
    <row r="3543" spans="1:5" ht="12.5">
      <c r="A3543" s="81" t="str">
        <f t="shared" si="0"/>
        <v xml:space="preserve"> </v>
      </c>
      <c r="B3543" s="81" t="str">
        <f t="shared" si="1"/>
        <v xml:space="preserve"> </v>
      </c>
      <c r="C3543" s="79" t="str">
        <f t="shared" si="7"/>
        <v xml:space="preserve"> </v>
      </c>
      <c r="D3543" s="79" t="str">
        <f t="shared" si="5"/>
        <v xml:space="preserve"> </v>
      </c>
      <c r="E3543" s="79" t="str">
        <f t="shared" si="6"/>
        <v xml:space="preserve"> </v>
      </c>
    </row>
    <row r="3544" spans="1:5" ht="12.5">
      <c r="A3544" s="81" t="str">
        <f t="shared" si="0"/>
        <v xml:space="preserve"> </v>
      </c>
      <c r="B3544" s="81" t="str">
        <f t="shared" si="1"/>
        <v xml:space="preserve"> </v>
      </c>
      <c r="C3544" s="79" t="str">
        <f t="shared" si="7"/>
        <v xml:space="preserve"> </v>
      </c>
      <c r="D3544" s="79" t="str">
        <f t="shared" si="5"/>
        <v xml:space="preserve"> </v>
      </c>
      <c r="E3544" s="79" t="str">
        <f t="shared" si="6"/>
        <v xml:space="preserve"> </v>
      </c>
    </row>
    <row r="3545" spans="1:5" ht="12.5">
      <c r="A3545" s="81" t="str">
        <f t="shared" si="0"/>
        <v xml:space="preserve"> </v>
      </c>
      <c r="B3545" s="81" t="str">
        <f t="shared" si="1"/>
        <v xml:space="preserve"> </v>
      </c>
      <c r="C3545" s="79" t="str">
        <f t="shared" si="7"/>
        <v xml:space="preserve"> </v>
      </c>
      <c r="D3545" s="79" t="str">
        <f t="shared" si="5"/>
        <v xml:space="preserve"> </v>
      </c>
      <c r="E3545" s="79" t="str">
        <f t="shared" si="6"/>
        <v xml:space="preserve"> </v>
      </c>
    </row>
    <row r="3546" spans="1:5" ht="12.5">
      <c r="A3546" s="81" t="str">
        <f t="shared" si="0"/>
        <v xml:space="preserve"> </v>
      </c>
      <c r="B3546" s="81" t="str">
        <f t="shared" si="1"/>
        <v xml:space="preserve"> </v>
      </c>
      <c r="C3546" s="79" t="str">
        <f t="shared" si="7"/>
        <v xml:space="preserve"> </v>
      </c>
      <c r="D3546" s="79" t="str">
        <f t="shared" si="5"/>
        <v xml:space="preserve"> </v>
      </c>
      <c r="E3546" s="79" t="str">
        <f t="shared" si="6"/>
        <v xml:space="preserve"> </v>
      </c>
    </row>
    <row r="3547" spans="1:5" ht="12.5">
      <c r="A3547" s="81" t="str">
        <f t="shared" si="0"/>
        <v xml:space="preserve"> </v>
      </c>
      <c r="B3547" s="81" t="str">
        <f t="shared" si="1"/>
        <v xml:space="preserve"> </v>
      </c>
      <c r="C3547" s="79" t="str">
        <f t="shared" si="7"/>
        <v xml:space="preserve"> </v>
      </c>
      <c r="D3547" s="79" t="str">
        <f t="shared" si="5"/>
        <v xml:space="preserve"> </v>
      </c>
      <c r="E3547" s="79" t="str">
        <f t="shared" si="6"/>
        <v xml:space="preserve"> </v>
      </c>
    </row>
    <row r="3548" spans="1:5" ht="12.5">
      <c r="A3548" s="81" t="str">
        <f t="shared" si="0"/>
        <v xml:space="preserve"> </v>
      </c>
      <c r="B3548" s="81" t="str">
        <f t="shared" si="1"/>
        <v xml:space="preserve"> </v>
      </c>
      <c r="C3548" s="79" t="str">
        <f t="shared" si="7"/>
        <v xml:space="preserve"> </v>
      </c>
      <c r="D3548" s="79" t="str">
        <f t="shared" si="5"/>
        <v xml:space="preserve"> </v>
      </c>
      <c r="E3548" s="79" t="str">
        <f t="shared" si="6"/>
        <v xml:space="preserve"> </v>
      </c>
    </row>
    <row r="3549" spans="1:5" ht="12.5">
      <c r="A3549" s="81" t="str">
        <f t="shared" si="0"/>
        <v xml:space="preserve"> </v>
      </c>
      <c r="B3549" s="81" t="str">
        <f t="shared" si="1"/>
        <v xml:space="preserve"> </v>
      </c>
      <c r="C3549" s="79" t="str">
        <f t="shared" si="7"/>
        <v xml:space="preserve"> </v>
      </c>
      <c r="D3549" s="79" t="str">
        <f t="shared" si="5"/>
        <v xml:space="preserve"> </v>
      </c>
      <c r="E3549" s="79" t="str">
        <f t="shared" si="6"/>
        <v xml:space="preserve"> </v>
      </c>
    </row>
    <row r="3550" spans="1:5" ht="12.5">
      <c r="A3550" s="81" t="str">
        <f t="shared" si="0"/>
        <v xml:space="preserve"> </v>
      </c>
      <c r="B3550" s="81" t="str">
        <f t="shared" si="1"/>
        <v xml:space="preserve"> </v>
      </c>
      <c r="C3550" s="79" t="str">
        <f t="shared" si="7"/>
        <v xml:space="preserve"> </v>
      </c>
      <c r="D3550" s="79" t="str">
        <f t="shared" si="5"/>
        <v xml:space="preserve"> </v>
      </c>
      <c r="E3550" s="79" t="str">
        <f t="shared" si="6"/>
        <v xml:space="preserve"> </v>
      </c>
    </row>
    <row r="3551" spans="1:5" ht="12.5">
      <c r="A3551" s="81" t="str">
        <f t="shared" si="0"/>
        <v xml:space="preserve"> </v>
      </c>
      <c r="B3551" s="81" t="str">
        <f t="shared" si="1"/>
        <v xml:space="preserve"> </v>
      </c>
      <c r="C3551" s="79" t="str">
        <f t="shared" si="7"/>
        <v xml:space="preserve"> </v>
      </c>
      <c r="D3551" s="79" t="str">
        <f t="shared" si="5"/>
        <v xml:space="preserve"> </v>
      </c>
      <c r="E3551" s="79" t="str">
        <f t="shared" si="6"/>
        <v xml:space="preserve"> </v>
      </c>
    </row>
    <row r="3552" spans="1:5" ht="12.5">
      <c r="A3552" s="81" t="str">
        <f t="shared" si="0"/>
        <v xml:space="preserve"> </v>
      </c>
      <c r="B3552" s="81" t="str">
        <f t="shared" si="1"/>
        <v xml:space="preserve"> </v>
      </c>
      <c r="C3552" s="79" t="str">
        <f t="shared" si="7"/>
        <v xml:space="preserve"> </v>
      </c>
      <c r="D3552" s="79" t="str">
        <f t="shared" si="5"/>
        <v xml:space="preserve"> </v>
      </c>
      <c r="E3552" s="79" t="str">
        <f t="shared" si="6"/>
        <v xml:space="preserve"> </v>
      </c>
    </row>
    <row r="3553" spans="1:5" ht="12.5">
      <c r="A3553" s="81" t="str">
        <f t="shared" si="0"/>
        <v xml:space="preserve"> </v>
      </c>
      <c r="B3553" s="81" t="str">
        <f t="shared" si="1"/>
        <v xml:space="preserve"> </v>
      </c>
      <c r="C3553" s="79" t="str">
        <f t="shared" si="7"/>
        <v xml:space="preserve"> </v>
      </c>
      <c r="D3553" s="79" t="str">
        <f t="shared" si="5"/>
        <v xml:space="preserve"> </v>
      </c>
      <c r="E3553" s="79" t="str">
        <f t="shared" si="6"/>
        <v xml:space="preserve"> </v>
      </c>
    </row>
    <row r="3554" spans="1:5" ht="12.5">
      <c r="A3554" s="81" t="str">
        <f t="shared" si="0"/>
        <v xml:space="preserve"> </v>
      </c>
      <c r="B3554" s="81" t="str">
        <f t="shared" si="1"/>
        <v xml:space="preserve"> </v>
      </c>
      <c r="C3554" s="79" t="str">
        <f t="shared" si="7"/>
        <v xml:space="preserve"> </v>
      </c>
      <c r="D3554" s="79" t="str">
        <f t="shared" si="5"/>
        <v xml:space="preserve"> </v>
      </c>
      <c r="E3554" s="79" t="str">
        <f t="shared" si="6"/>
        <v xml:space="preserve"> </v>
      </c>
    </row>
    <row r="3555" spans="1:5" ht="12.5">
      <c r="A3555" s="81" t="str">
        <f t="shared" si="0"/>
        <v xml:space="preserve"> </v>
      </c>
      <c r="B3555" s="81" t="str">
        <f t="shared" si="1"/>
        <v xml:space="preserve"> </v>
      </c>
      <c r="C3555" s="79" t="str">
        <f t="shared" si="7"/>
        <v xml:space="preserve"> </v>
      </c>
      <c r="D3555" s="79" t="str">
        <f t="shared" si="5"/>
        <v xml:space="preserve"> </v>
      </c>
      <c r="E3555" s="79" t="str">
        <f t="shared" si="6"/>
        <v xml:space="preserve"> </v>
      </c>
    </row>
    <row r="3556" spans="1:5" ht="12.5">
      <c r="A3556" s="81" t="str">
        <f t="shared" si="0"/>
        <v xml:space="preserve"> </v>
      </c>
      <c r="B3556" s="81" t="str">
        <f t="shared" si="1"/>
        <v xml:space="preserve"> </v>
      </c>
      <c r="C3556" s="79" t="str">
        <f t="shared" si="7"/>
        <v xml:space="preserve"> </v>
      </c>
      <c r="D3556" s="79" t="str">
        <f t="shared" si="5"/>
        <v xml:space="preserve"> </v>
      </c>
      <c r="E3556" s="79" t="str">
        <f t="shared" si="6"/>
        <v xml:space="preserve"> </v>
      </c>
    </row>
    <row r="3557" spans="1:5" ht="12.5">
      <c r="A3557" s="81" t="str">
        <f t="shared" si="0"/>
        <v xml:space="preserve"> </v>
      </c>
      <c r="B3557" s="81" t="str">
        <f t="shared" si="1"/>
        <v xml:space="preserve"> </v>
      </c>
      <c r="C3557" s="79" t="str">
        <f t="shared" si="7"/>
        <v xml:space="preserve"> </v>
      </c>
      <c r="D3557" s="79" t="str">
        <f t="shared" si="5"/>
        <v xml:space="preserve"> </v>
      </c>
      <c r="E3557" s="79" t="str">
        <f t="shared" si="6"/>
        <v xml:space="preserve"> </v>
      </c>
    </row>
    <row r="3558" spans="1:5" ht="12.5">
      <c r="A3558" s="81" t="str">
        <f t="shared" si="0"/>
        <v xml:space="preserve"> </v>
      </c>
      <c r="B3558" s="81" t="str">
        <f t="shared" si="1"/>
        <v xml:space="preserve"> </v>
      </c>
      <c r="C3558" s="79" t="str">
        <f t="shared" si="7"/>
        <v xml:space="preserve"> </v>
      </c>
      <c r="D3558" s="79" t="str">
        <f t="shared" si="5"/>
        <v xml:space="preserve"> </v>
      </c>
      <c r="E3558" s="79" t="str">
        <f t="shared" si="6"/>
        <v xml:space="preserve"> </v>
      </c>
    </row>
    <row r="3559" spans="1:5" ht="12.5">
      <c r="A3559" s="81" t="str">
        <f t="shared" si="0"/>
        <v xml:space="preserve"> </v>
      </c>
      <c r="B3559" s="81" t="str">
        <f t="shared" si="1"/>
        <v xml:space="preserve"> </v>
      </c>
      <c r="C3559" s="79" t="str">
        <f t="shared" si="7"/>
        <v xml:space="preserve"> </v>
      </c>
      <c r="D3559" s="79" t="str">
        <f t="shared" si="5"/>
        <v xml:space="preserve"> </v>
      </c>
      <c r="E3559" s="79" t="str">
        <f t="shared" si="6"/>
        <v xml:space="preserve"> </v>
      </c>
    </row>
    <row r="3560" spans="1:5" ht="12.5">
      <c r="A3560" s="81" t="str">
        <f t="shared" si="0"/>
        <v xml:space="preserve"> </v>
      </c>
      <c r="B3560" s="81" t="str">
        <f t="shared" si="1"/>
        <v xml:space="preserve"> </v>
      </c>
      <c r="C3560" s="79" t="str">
        <f t="shared" si="7"/>
        <v xml:space="preserve"> </v>
      </c>
      <c r="D3560" s="79" t="str">
        <f t="shared" si="5"/>
        <v xml:space="preserve"> </v>
      </c>
      <c r="E3560" s="79" t="str">
        <f t="shared" si="6"/>
        <v xml:space="preserve"> </v>
      </c>
    </row>
    <row r="3561" spans="1:5" ht="12.5">
      <c r="A3561" s="81" t="str">
        <f t="shared" si="0"/>
        <v xml:space="preserve"> </v>
      </c>
      <c r="B3561" s="81" t="str">
        <f t="shared" si="1"/>
        <v xml:space="preserve"> </v>
      </c>
      <c r="C3561" s="79" t="str">
        <f t="shared" si="7"/>
        <v xml:space="preserve"> </v>
      </c>
      <c r="D3561" s="79" t="str">
        <f t="shared" si="5"/>
        <v xml:space="preserve"> </v>
      </c>
      <c r="E3561" s="79" t="str">
        <f t="shared" si="6"/>
        <v xml:space="preserve"> </v>
      </c>
    </row>
    <row r="3562" spans="1:5" ht="12.5">
      <c r="A3562" s="81" t="str">
        <f t="shared" si="0"/>
        <v xml:space="preserve"> </v>
      </c>
      <c r="B3562" s="81" t="str">
        <f t="shared" si="1"/>
        <v xml:space="preserve"> </v>
      </c>
      <c r="C3562" s="79" t="str">
        <f t="shared" si="7"/>
        <v xml:space="preserve"> </v>
      </c>
      <c r="D3562" s="79" t="str">
        <f t="shared" si="5"/>
        <v xml:space="preserve"> </v>
      </c>
      <c r="E3562" s="79" t="str">
        <f t="shared" si="6"/>
        <v xml:space="preserve"> </v>
      </c>
    </row>
    <row r="3563" spans="1:5" ht="12.5">
      <c r="A3563" s="81" t="str">
        <f t="shared" si="0"/>
        <v xml:space="preserve"> </v>
      </c>
      <c r="B3563" s="81" t="str">
        <f t="shared" si="1"/>
        <v xml:space="preserve"> </v>
      </c>
      <c r="C3563" s="79" t="str">
        <f t="shared" si="7"/>
        <v xml:space="preserve"> </v>
      </c>
      <c r="D3563" s="79" t="str">
        <f t="shared" si="5"/>
        <v xml:space="preserve"> </v>
      </c>
      <c r="E3563" s="79" t="str">
        <f t="shared" si="6"/>
        <v xml:space="preserve"> </v>
      </c>
    </row>
    <row r="3564" spans="1:5" ht="12.5">
      <c r="A3564" s="81" t="str">
        <f t="shared" si="0"/>
        <v xml:space="preserve"> </v>
      </c>
      <c r="B3564" s="81" t="str">
        <f t="shared" si="1"/>
        <v xml:space="preserve"> </v>
      </c>
      <c r="C3564" s="79" t="str">
        <f t="shared" si="7"/>
        <v xml:space="preserve"> </v>
      </c>
      <c r="D3564" s="79" t="str">
        <f t="shared" si="5"/>
        <v xml:space="preserve"> </v>
      </c>
      <c r="E3564" s="79" t="str">
        <f t="shared" si="6"/>
        <v xml:space="preserve"> </v>
      </c>
    </row>
    <row r="3565" spans="1:5" ht="12.5">
      <c r="A3565" s="81" t="str">
        <f t="shared" si="0"/>
        <v xml:space="preserve"> </v>
      </c>
      <c r="B3565" s="81" t="str">
        <f t="shared" si="1"/>
        <v xml:space="preserve"> </v>
      </c>
      <c r="C3565" s="79" t="str">
        <f t="shared" si="7"/>
        <v xml:space="preserve"> </v>
      </c>
      <c r="D3565" s="79" t="str">
        <f t="shared" si="5"/>
        <v xml:space="preserve"> </v>
      </c>
      <c r="E3565" s="79" t="str">
        <f t="shared" si="6"/>
        <v xml:space="preserve"> </v>
      </c>
    </row>
    <row r="3566" spans="1:5" ht="12.5">
      <c r="A3566" s="81" t="str">
        <f t="shared" si="0"/>
        <v xml:space="preserve"> </v>
      </c>
      <c r="B3566" s="81" t="str">
        <f t="shared" si="1"/>
        <v xml:space="preserve"> </v>
      </c>
      <c r="C3566" s="79" t="str">
        <f t="shared" si="7"/>
        <v xml:space="preserve"> </v>
      </c>
      <c r="D3566" s="79" t="str">
        <f t="shared" si="5"/>
        <v xml:space="preserve"> </v>
      </c>
      <c r="E3566" s="79" t="str">
        <f t="shared" si="6"/>
        <v xml:space="preserve"> </v>
      </c>
    </row>
    <row r="3567" spans="1:5" ht="12.5">
      <c r="A3567" s="81" t="str">
        <f t="shared" si="0"/>
        <v xml:space="preserve"> </v>
      </c>
      <c r="B3567" s="81" t="str">
        <f t="shared" si="1"/>
        <v xml:space="preserve"> </v>
      </c>
      <c r="C3567" s="79" t="str">
        <f t="shared" si="7"/>
        <v xml:space="preserve"> </v>
      </c>
      <c r="D3567" s="79" t="str">
        <f t="shared" si="5"/>
        <v xml:space="preserve"> </v>
      </c>
      <c r="E3567" s="79" t="str">
        <f t="shared" si="6"/>
        <v xml:space="preserve"> </v>
      </c>
    </row>
    <row r="3568" spans="1:5" ht="12.5">
      <c r="A3568" s="81" t="str">
        <f t="shared" si="0"/>
        <v xml:space="preserve"> </v>
      </c>
      <c r="B3568" s="81" t="str">
        <f t="shared" si="1"/>
        <v xml:space="preserve"> </v>
      </c>
      <c r="C3568" s="79" t="str">
        <f t="shared" si="7"/>
        <v xml:space="preserve"> </v>
      </c>
      <c r="D3568" s="79" t="str">
        <f t="shared" si="5"/>
        <v xml:space="preserve"> </v>
      </c>
      <c r="E3568" s="79" t="str">
        <f t="shared" si="6"/>
        <v xml:space="preserve"> </v>
      </c>
    </row>
    <row r="3569" spans="1:5" ht="12.5">
      <c r="A3569" s="81" t="str">
        <f t="shared" si="0"/>
        <v xml:space="preserve"> </v>
      </c>
      <c r="B3569" s="81" t="str">
        <f t="shared" si="1"/>
        <v xml:space="preserve"> </v>
      </c>
      <c r="C3569" s="79" t="str">
        <f t="shared" si="7"/>
        <v xml:space="preserve"> </v>
      </c>
      <c r="D3569" s="79" t="str">
        <f t="shared" si="5"/>
        <v xml:space="preserve"> </v>
      </c>
      <c r="E3569" s="79" t="str">
        <f t="shared" si="6"/>
        <v xml:space="preserve"> </v>
      </c>
    </row>
    <row r="3570" spans="1:5" ht="12.5">
      <c r="A3570" s="81" t="str">
        <f t="shared" si="0"/>
        <v xml:space="preserve"> </v>
      </c>
      <c r="B3570" s="81" t="str">
        <f t="shared" si="1"/>
        <v xml:space="preserve"> </v>
      </c>
      <c r="C3570" s="79" t="str">
        <f t="shared" si="7"/>
        <v xml:space="preserve"> </v>
      </c>
      <c r="D3570" s="79" t="str">
        <f t="shared" si="5"/>
        <v xml:space="preserve"> </v>
      </c>
      <c r="E3570" s="79" t="str">
        <f t="shared" si="6"/>
        <v xml:space="preserve"> </v>
      </c>
    </row>
    <row r="3571" spans="1:5" ht="12.5">
      <c r="A3571" s="81" t="str">
        <f t="shared" si="0"/>
        <v xml:space="preserve"> </v>
      </c>
      <c r="B3571" s="81" t="str">
        <f t="shared" si="1"/>
        <v xml:space="preserve"> </v>
      </c>
      <c r="C3571" s="79" t="str">
        <f t="shared" si="7"/>
        <v xml:space="preserve"> </v>
      </c>
      <c r="D3571" s="79" t="str">
        <f t="shared" si="5"/>
        <v xml:space="preserve"> </v>
      </c>
      <c r="E3571" s="79" t="str">
        <f t="shared" si="6"/>
        <v xml:space="preserve"> </v>
      </c>
    </row>
    <row r="3572" spans="1:5" ht="12.5">
      <c r="A3572" s="81" t="str">
        <f t="shared" si="0"/>
        <v xml:space="preserve"> </v>
      </c>
      <c r="B3572" s="81" t="str">
        <f t="shared" si="1"/>
        <v xml:space="preserve"> </v>
      </c>
      <c r="C3572" s="79" t="str">
        <f t="shared" si="7"/>
        <v xml:space="preserve"> </v>
      </c>
      <c r="D3572" s="79" t="str">
        <f t="shared" si="5"/>
        <v xml:space="preserve"> </v>
      </c>
      <c r="E3572" s="79" t="str">
        <f t="shared" si="6"/>
        <v xml:space="preserve"> </v>
      </c>
    </row>
    <row r="3573" spans="1:5" ht="12.5">
      <c r="A3573" s="81" t="str">
        <f t="shared" si="0"/>
        <v xml:space="preserve"> </v>
      </c>
      <c r="B3573" s="81" t="str">
        <f t="shared" si="1"/>
        <v xml:space="preserve"> </v>
      </c>
      <c r="C3573" s="79" t="str">
        <f t="shared" si="7"/>
        <v xml:space="preserve"> </v>
      </c>
      <c r="D3573" s="79" t="str">
        <f t="shared" si="5"/>
        <v xml:space="preserve"> </v>
      </c>
      <c r="E3573" s="79" t="str">
        <f t="shared" si="6"/>
        <v xml:space="preserve"> </v>
      </c>
    </row>
    <row r="3574" spans="1:5" ht="12.5">
      <c r="A3574" s="81" t="str">
        <f t="shared" si="0"/>
        <v xml:space="preserve"> </v>
      </c>
      <c r="B3574" s="81" t="str">
        <f t="shared" si="1"/>
        <v xml:space="preserve"> </v>
      </c>
      <c r="C3574" s="79" t="str">
        <f t="shared" si="7"/>
        <v xml:space="preserve"> </v>
      </c>
      <c r="D3574" s="79" t="str">
        <f t="shared" si="5"/>
        <v xml:space="preserve"> </v>
      </c>
      <c r="E3574" s="79" t="str">
        <f t="shared" si="6"/>
        <v xml:space="preserve"> </v>
      </c>
    </row>
    <row r="3575" spans="1:5" ht="12.5">
      <c r="A3575" s="81" t="str">
        <f t="shared" si="0"/>
        <v xml:space="preserve"> </v>
      </c>
      <c r="B3575" s="81" t="str">
        <f t="shared" si="1"/>
        <v xml:space="preserve"> </v>
      </c>
      <c r="C3575" s="79" t="str">
        <f t="shared" si="7"/>
        <v xml:space="preserve"> </v>
      </c>
      <c r="D3575" s="79" t="str">
        <f t="shared" si="5"/>
        <v xml:space="preserve"> </v>
      </c>
      <c r="E3575" s="79" t="str">
        <f t="shared" si="6"/>
        <v xml:space="preserve"> </v>
      </c>
    </row>
    <row r="3576" spans="1:5" ht="12.5">
      <c r="A3576" s="81" t="str">
        <f t="shared" si="0"/>
        <v xml:space="preserve"> </v>
      </c>
      <c r="B3576" s="81" t="str">
        <f t="shared" si="1"/>
        <v xml:space="preserve"> </v>
      </c>
      <c r="C3576" s="79" t="str">
        <f t="shared" si="7"/>
        <v xml:space="preserve"> </v>
      </c>
      <c r="D3576" s="79" t="str">
        <f t="shared" si="5"/>
        <v xml:space="preserve"> </v>
      </c>
      <c r="E3576" s="79" t="str">
        <f t="shared" si="6"/>
        <v xml:space="preserve"> </v>
      </c>
    </row>
    <row r="3577" spans="1:5" ht="12.5">
      <c r="A3577" s="81" t="str">
        <f t="shared" si="0"/>
        <v xml:space="preserve"> </v>
      </c>
      <c r="B3577" s="81" t="str">
        <f t="shared" si="1"/>
        <v xml:space="preserve"> </v>
      </c>
      <c r="C3577" s="79" t="str">
        <f t="shared" si="7"/>
        <v xml:space="preserve"> </v>
      </c>
      <c r="D3577" s="79" t="str">
        <f t="shared" si="5"/>
        <v xml:space="preserve"> </v>
      </c>
      <c r="E3577" s="79" t="str">
        <f t="shared" si="6"/>
        <v xml:space="preserve"> </v>
      </c>
    </row>
    <row r="3578" spans="1:5" ht="12.5">
      <c r="A3578" s="81" t="str">
        <f t="shared" si="0"/>
        <v xml:space="preserve"> </v>
      </c>
      <c r="B3578" s="81" t="str">
        <f t="shared" si="1"/>
        <v xml:space="preserve"> </v>
      </c>
      <c r="C3578" s="79" t="str">
        <f t="shared" si="7"/>
        <v xml:space="preserve"> </v>
      </c>
      <c r="D3578" s="79" t="str">
        <f t="shared" si="5"/>
        <v xml:space="preserve"> </v>
      </c>
      <c r="E3578" s="79" t="str">
        <f t="shared" si="6"/>
        <v xml:space="preserve"> </v>
      </c>
    </row>
    <row r="3579" spans="1:5" ht="12.5">
      <c r="A3579" s="81" t="str">
        <f t="shared" si="0"/>
        <v xml:space="preserve"> </v>
      </c>
      <c r="B3579" s="81" t="str">
        <f t="shared" si="1"/>
        <v xml:space="preserve"> </v>
      </c>
      <c r="C3579" s="79" t="str">
        <f t="shared" si="7"/>
        <v xml:space="preserve"> </v>
      </c>
      <c r="D3579" s="79" t="str">
        <f t="shared" si="5"/>
        <v xml:space="preserve"> </v>
      </c>
      <c r="E3579" s="79" t="str">
        <f t="shared" si="6"/>
        <v xml:space="preserve"> </v>
      </c>
    </row>
    <row r="3580" spans="1:5" ht="12.5">
      <c r="A3580" s="81" t="str">
        <f t="shared" si="0"/>
        <v xml:space="preserve"> </v>
      </c>
      <c r="B3580" s="81" t="str">
        <f t="shared" si="1"/>
        <v xml:space="preserve"> </v>
      </c>
      <c r="C3580" s="79" t="str">
        <f t="shared" si="7"/>
        <v xml:space="preserve"> </v>
      </c>
      <c r="D3580" s="79" t="str">
        <f t="shared" si="5"/>
        <v xml:space="preserve"> </v>
      </c>
      <c r="E3580" s="79" t="str">
        <f t="shared" si="6"/>
        <v xml:space="preserve"> </v>
      </c>
    </row>
    <row r="3581" spans="1:5" ht="12.5">
      <c r="A3581" s="81" t="str">
        <f t="shared" si="0"/>
        <v xml:space="preserve"> </v>
      </c>
      <c r="B3581" s="81" t="str">
        <f t="shared" si="1"/>
        <v xml:space="preserve"> </v>
      </c>
      <c r="C3581" s="79" t="str">
        <f t="shared" si="7"/>
        <v xml:space="preserve"> </v>
      </c>
      <c r="D3581" s="79" t="str">
        <f t="shared" si="5"/>
        <v xml:space="preserve"> </v>
      </c>
      <c r="E3581" s="79" t="str">
        <f t="shared" si="6"/>
        <v xml:space="preserve"> </v>
      </c>
    </row>
    <row r="3582" spans="1:5" ht="12.5">
      <c r="A3582" s="81" t="str">
        <f t="shared" si="0"/>
        <v xml:space="preserve"> </v>
      </c>
      <c r="B3582" s="81" t="str">
        <f t="shared" si="1"/>
        <v xml:space="preserve"> </v>
      </c>
      <c r="C3582" s="79" t="str">
        <f t="shared" si="7"/>
        <v xml:space="preserve"> </v>
      </c>
      <c r="D3582" s="79" t="str">
        <f t="shared" si="5"/>
        <v xml:space="preserve"> </v>
      </c>
      <c r="E3582" s="79" t="str">
        <f t="shared" si="6"/>
        <v xml:space="preserve"> </v>
      </c>
    </row>
    <row r="3583" spans="1:5" ht="12.5">
      <c r="A3583" s="81" t="str">
        <f t="shared" si="0"/>
        <v xml:space="preserve"> </v>
      </c>
      <c r="B3583" s="81" t="str">
        <f t="shared" si="1"/>
        <v xml:space="preserve"> </v>
      </c>
      <c r="C3583" s="79" t="str">
        <f t="shared" si="7"/>
        <v xml:space="preserve"> </v>
      </c>
      <c r="D3583" s="79" t="str">
        <f t="shared" si="5"/>
        <v xml:space="preserve"> </v>
      </c>
      <c r="E3583" s="79" t="str">
        <f t="shared" si="6"/>
        <v xml:space="preserve"> </v>
      </c>
    </row>
    <row r="3584" spans="1:5" ht="12.5">
      <c r="A3584" s="81" t="str">
        <f t="shared" si="0"/>
        <v xml:space="preserve"> </v>
      </c>
      <c r="B3584" s="81" t="str">
        <f t="shared" si="1"/>
        <v xml:space="preserve"> </v>
      </c>
      <c r="C3584" s="79" t="str">
        <f t="shared" si="7"/>
        <v xml:space="preserve"> </v>
      </c>
      <c r="D3584" s="79" t="str">
        <f t="shared" si="5"/>
        <v xml:space="preserve"> </v>
      </c>
      <c r="E3584" s="79" t="str">
        <f t="shared" si="6"/>
        <v xml:space="preserve"> </v>
      </c>
    </row>
    <row r="3585" spans="1:5" ht="12.5">
      <c r="A3585" s="81" t="str">
        <f t="shared" si="0"/>
        <v xml:space="preserve"> </v>
      </c>
      <c r="B3585" s="81" t="str">
        <f t="shared" si="1"/>
        <v xml:space="preserve"> </v>
      </c>
      <c r="C3585" s="79" t="str">
        <f t="shared" si="7"/>
        <v xml:space="preserve"> </v>
      </c>
      <c r="D3585" s="79" t="str">
        <f t="shared" si="5"/>
        <v xml:space="preserve"> </v>
      </c>
      <c r="E3585" s="79" t="str">
        <f t="shared" si="6"/>
        <v xml:space="preserve"> </v>
      </c>
    </row>
    <row r="3586" spans="1:5" ht="12.5">
      <c r="A3586" s="81" t="str">
        <f t="shared" si="0"/>
        <v xml:space="preserve"> </v>
      </c>
      <c r="B3586" s="81" t="str">
        <f t="shared" si="1"/>
        <v xml:space="preserve"> </v>
      </c>
      <c r="C3586" s="79" t="str">
        <f t="shared" si="7"/>
        <v xml:space="preserve"> </v>
      </c>
      <c r="D3586" s="79" t="str">
        <f t="shared" si="5"/>
        <v xml:space="preserve"> </v>
      </c>
      <c r="E3586" s="79" t="str">
        <f t="shared" si="6"/>
        <v xml:space="preserve"> </v>
      </c>
    </row>
    <row r="3587" spans="1:5" ht="12.5">
      <c r="A3587" s="81" t="str">
        <f t="shared" si="0"/>
        <v xml:space="preserve"> </v>
      </c>
      <c r="B3587" s="81" t="str">
        <f t="shared" si="1"/>
        <v xml:space="preserve"> </v>
      </c>
      <c r="C3587" s="79" t="str">
        <f t="shared" si="7"/>
        <v xml:space="preserve"> </v>
      </c>
      <c r="D3587" s="79" t="str">
        <f t="shared" si="5"/>
        <v xml:space="preserve"> </v>
      </c>
      <c r="E3587" s="79" t="str">
        <f t="shared" si="6"/>
        <v xml:space="preserve"> </v>
      </c>
    </row>
    <row r="3588" spans="1:5" ht="12.5">
      <c r="A3588" s="81" t="str">
        <f t="shared" si="0"/>
        <v xml:space="preserve"> </v>
      </c>
      <c r="B3588" s="81" t="str">
        <f t="shared" si="1"/>
        <v xml:space="preserve"> </v>
      </c>
      <c r="C3588" s="79" t="str">
        <f t="shared" si="7"/>
        <v xml:space="preserve"> </v>
      </c>
      <c r="D3588" s="79" t="str">
        <f t="shared" si="5"/>
        <v xml:space="preserve"> </v>
      </c>
      <c r="E3588" s="79" t="str">
        <f t="shared" si="6"/>
        <v xml:space="preserve"> </v>
      </c>
    </row>
    <row r="3589" spans="1:5" ht="12.5">
      <c r="A3589" s="81" t="str">
        <f t="shared" si="0"/>
        <v xml:space="preserve"> </v>
      </c>
      <c r="B3589" s="81" t="str">
        <f t="shared" si="1"/>
        <v xml:space="preserve"> </v>
      </c>
      <c r="C3589" s="79" t="str">
        <f t="shared" si="7"/>
        <v xml:space="preserve"> </v>
      </c>
      <c r="D3589" s="79" t="str">
        <f t="shared" si="5"/>
        <v xml:space="preserve"> </v>
      </c>
      <c r="E3589" s="79" t="str">
        <f t="shared" si="6"/>
        <v xml:space="preserve"> </v>
      </c>
    </row>
    <row r="3590" spans="1:5" ht="12.5">
      <c r="A3590" s="81" t="str">
        <f t="shared" si="0"/>
        <v xml:space="preserve"> </v>
      </c>
      <c r="B3590" s="81" t="str">
        <f t="shared" si="1"/>
        <v xml:space="preserve"> </v>
      </c>
      <c r="C3590" s="79" t="str">
        <f t="shared" si="7"/>
        <v xml:space="preserve"> </v>
      </c>
      <c r="D3590" s="79" t="str">
        <f t="shared" si="5"/>
        <v xml:space="preserve"> </v>
      </c>
      <c r="E3590" s="79" t="str">
        <f t="shared" si="6"/>
        <v xml:space="preserve"> </v>
      </c>
    </row>
    <row r="3591" spans="1:5" ht="12.5">
      <c r="A3591" s="81" t="str">
        <f t="shared" si="0"/>
        <v xml:space="preserve"> </v>
      </c>
      <c r="B3591" s="81" t="str">
        <f t="shared" si="1"/>
        <v xml:space="preserve"> </v>
      </c>
      <c r="C3591" s="79" t="str">
        <f t="shared" si="7"/>
        <v xml:space="preserve"> </v>
      </c>
      <c r="D3591" s="79" t="str">
        <f t="shared" si="5"/>
        <v xml:space="preserve"> </v>
      </c>
      <c r="E3591" s="79" t="str">
        <f t="shared" si="6"/>
        <v xml:space="preserve"> </v>
      </c>
    </row>
    <row r="3592" spans="1:5" ht="12.5">
      <c r="A3592" s="81" t="str">
        <f t="shared" si="0"/>
        <v xml:space="preserve"> </v>
      </c>
      <c r="B3592" s="81" t="str">
        <f t="shared" si="1"/>
        <v xml:space="preserve"> </v>
      </c>
      <c r="C3592" s="79" t="str">
        <f t="shared" si="7"/>
        <v xml:space="preserve"> </v>
      </c>
      <c r="D3592" s="79" t="str">
        <f t="shared" si="5"/>
        <v xml:space="preserve"> </v>
      </c>
      <c r="E3592" s="79" t="str">
        <f t="shared" si="6"/>
        <v xml:space="preserve"> </v>
      </c>
    </row>
    <row r="3593" spans="1:5" ht="12.5">
      <c r="A3593" s="81" t="str">
        <f t="shared" si="0"/>
        <v xml:space="preserve"> </v>
      </c>
      <c r="B3593" s="81" t="str">
        <f t="shared" si="1"/>
        <v xml:space="preserve"> </v>
      </c>
      <c r="C3593" s="79" t="str">
        <f t="shared" si="7"/>
        <v xml:space="preserve"> </v>
      </c>
      <c r="D3593" s="79" t="str">
        <f t="shared" si="5"/>
        <v xml:space="preserve"> </v>
      </c>
      <c r="E3593" s="79" t="str">
        <f t="shared" si="6"/>
        <v xml:space="preserve"> </v>
      </c>
    </row>
    <row r="3594" spans="1:5" ht="12.5">
      <c r="A3594" s="81" t="str">
        <f t="shared" si="0"/>
        <v xml:space="preserve"> </v>
      </c>
      <c r="B3594" s="81" t="str">
        <f t="shared" si="1"/>
        <v xml:space="preserve"> </v>
      </c>
      <c r="C3594" s="79" t="str">
        <f t="shared" si="7"/>
        <v xml:space="preserve"> </v>
      </c>
      <c r="D3594" s="79" t="str">
        <f t="shared" si="5"/>
        <v xml:space="preserve"> </v>
      </c>
      <c r="E3594" s="79" t="str">
        <f t="shared" si="6"/>
        <v xml:space="preserve"> </v>
      </c>
    </row>
    <row r="3595" spans="1:5" ht="12.5">
      <c r="A3595" s="81" t="str">
        <f t="shared" si="0"/>
        <v xml:space="preserve"> </v>
      </c>
      <c r="B3595" s="81" t="str">
        <f t="shared" si="1"/>
        <v xml:space="preserve"> </v>
      </c>
      <c r="C3595" s="79" t="str">
        <f t="shared" si="7"/>
        <v xml:space="preserve"> </v>
      </c>
      <c r="D3595" s="79" t="str">
        <f t="shared" si="5"/>
        <v xml:space="preserve"> </v>
      </c>
      <c r="E3595" s="79" t="str">
        <f t="shared" si="6"/>
        <v xml:space="preserve"> </v>
      </c>
    </row>
    <row r="3596" spans="1:5" ht="12.5">
      <c r="A3596" s="81" t="str">
        <f t="shared" si="0"/>
        <v xml:space="preserve"> </v>
      </c>
      <c r="B3596" s="81" t="str">
        <f t="shared" si="1"/>
        <v xml:space="preserve"> </v>
      </c>
      <c r="C3596" s="79" t="str">
        <f t="shared" si="7"/>
        <v xml:space="preserve"> </v>
      </c>
      <c r="D3596" s="79" t="str">
        <f t="shared" si="5"/>
        <v xml:space="preserve"> </v>
      </c>
      <c r="E3596" s="79" t="str">
        <f t="shared" si="6"/>
        <v xml:space="preserve"> </v>
      </c>
    </row>
    <row r="3597" spans="1:5" ht="12.5">
      <c r="A3597" s="81" t="str">
        <f t="shared" si="0"/>
        <v xml:space="preserve"> </v>
      </c>
      <c r="B3597" s="81" t="str">
        <f t="shared" si="1"/>
        <v xml:space="preserve"> </v>
      </c>
      <c r="C3597" s="79" t="str">
        <f t="shared" si="7"/>
        <v xml:space="preserve"> </v>
      </c>
      <c r="D3597" s="79" t="str">
        <f t="shared" si="5"/>
        <v xml:space="preserve"> </v>
      </c>
      <c r="E3597" s="79" t="str">
        <f t="shared" si="6"/>
        <v xml:space="preserve"> </v>
      </c>
    </row>
    <row r="3598" spans="1:5" ht="12.5">
      <c r="A3598" s="81" t="str">
        <f t="shared" si="0"/>
        <v xml:space="preserve"> </v>
      </c>
      <c r="B3598" s="81" t="str">
        <f t="shared" si="1"/>
        <v xml:space="preserve"> </v>
      </c>
      <c r="C3598" s="79" t="str">
        <f t="shared" si="7"/>
        <v xml:space="preserve"> </v>
      </c>
      <c r="D3598" s="79" t="str">
        <f t="shared" si="5"/>
        <v xml:space="preserve"> </v>
      </c>
      <c r="E3598" s="79" t="str">
        <f t="shared" si="6"/>
        <v xml:space="preserve"> </v>
      </c>
    </row>
    <row r="3599" spans="1:5" ht="12.5">
      <c r="A3599" s="81" t="str">
        <f t="shared" si="0"/>
        <v xml:space="preserve"> </v>
      </c>
      <c r="B3599" s="81" t="str">
        <f t="shared" si="1"/>
        <v xml:space="preserve"> </v>
      </c>
      <c r="C3599" s="79" t="str">
        <f t="shared" si="7"/>
        <v xml:space="preserve"> </v>
      </c>
      <c r="D3599" s="79" t="str">
        <f t="shared" si="5"/>
        <v xml:space="preserve"> </v>
      </c>
      <c r="E3599" s="79" t="str">
        <f t="shared" si="6"/>
        <v xml:space="preserve"> </v>
      </c>
    </row>
    <row r="3600" spans="1:5" ht="12.5">
      <c r="A3600" s="81" t="str">
        <f t="shared" si="0"/>
        <v xml:space="preserve"> </v>
      </c>
      <c r="B3600" s="81" t="str">
        <f t="shared" si="1"/>
        <v xml:space="preserve"> </v>
      </c>
      <c r="C3600" s="79" t="str">
        <f t="shared" si="7"/>
        <v xml:space="preserve"> </v>
      </c>
      <c r="D3600" s="79" t="str">
        <f t="shared" si="5"/>
        <v xml:space="preserve"> </v>
      </c>
      <c r="E3600" s="79" t="str">
        <f t="shared" si="6"/>
        <v xml:space="preserve"> </v>
      </c>
    </row>
    <row r="3601" spans="1:5" ht="12.5">
      <c r="A3601" s="81" t="str">
        <f t="shared" si="0"/>
        <v xml:space="preserve"> </v>
      </c>
      <c r="B3601" s="81" t="str">
        <f t="shared" si="1"/>
        <v xml:space="preserve"> </v>
      </c>
      <c r="C3601" s="79" t="str">
        <f t="shared" si="7"/>
        <v xml:space="preserve"> </v>
      </c>
      <c r="D3601" s="79" t="str">
        <f t="shared" si="5"/>
        <v xml:space="preserve"> </v>
      </c>
      <c r="E3601" s="79" t="str">
        <f t="shared" si="6"/>
        <v xml:space="preserve"> </v>
      </c>
    </row>
    <row r="3602" spans="1:5" ht="12.5">
      <c r="A3602" s="81" t="str">
        <f t="shared" si="0"/>
        <v xml:space="preserve"> </v>
      </c>
      <c r="B3602" s="81" t="str">
        <f t="shared" si="1"/>
        <v xml:space="preserve"> </v>
      </c>
      <c r="C3602" s="79" t="str">
        <f t="shared" si="7"/>
        <v xml:space="preserve"> </v>
      </c>
      <c r="D3602" s="79" t="str">
        <f t="shared" si="5"/>
        <v xml:space="preserve"> </v>
      </c>
      <c r="E3602" s="79" t="str">
        <f t="shared" si="6"/>
        <v xml:space="preserve"> </v>
      </c>
    </row>
    <row r="3603" spans="1:5" ht="12.5">
      <c r="A3603" s="81" t="str">
        <f t="shared" si="0"/>
        <v xml:space="preserve"> </v>
      </c>
      <c r="B3603" s="81" t="str">
        <f t="shared" si="1"/>
        <v xml:space="preserve"> </v>
      </c>
      <c r="C3603" s="79" t="str">
        <f t="shared" si="7"/>
        <v xml:space="preserve"> </v>
      </c>
      <c r="D3603" s="79" t="str">
        <f t="shared" si="5"/>
        <v xml:space="preserve"> </v>
      </c>
      <c r="E3603" s="79" t="str">
        <f t="shared" si="6"/>
        <v xml:space="preserve"> </v>
      </c>
    </row>
    <row r="3604" spans="1:5" ht="12.5">
      <c r="A3604" s="81" t="str">
        <f t="shared" si="0"/>
        <v xml:space="preserve"> </v>
      </c>
      <c r="B3604" s="81" t="str">
        <f t="shared" si="1"/>
        <v xml:space="preserve"> </v>
      </c>
      <c r="C3604" s="79" t="str">
        <f t="shared" si="7"/>
        <v xml:space="preserve"> </v>
      </c>
      <c r="D3604" s="79" t="str">
        <f t="shared" si="5"/>
        <v xml:space="preserve"> </v>
      </c>
      <c r="E3604" s="79" t="str">
        <f t="shared" si="6"/>
        <v xml:space="preserve"> </v>
      </c>
    </row>
    <row r="3605" spans="1:5" ht="12.5">
      <c r="A3605" s="81" t="str">
        <f t="shared" si="0"/>
        <v xml:space="preserve"> </v>
      </c>
      <c r="B3605" s="81" t="str">
        <f t="shared" si="1"/>
        <v xml:space="preserve"> </v>
      </c>
      <c r="C3605" s="79" t="str">
        <f t="shared" si="7"/>
        <v xml:space="preserve"> </v>
      </c>
      <c r="D3605" s="79" t="str">
        <f t="shared" si="5"/>
        <v xml:space="preserve"> </v>
      </c>
      <c r="E3605" s="79" t="str">
        <f t="shared" si="6"/>
        <v xml:space="preserve"> </v>
      </c>
    </row>
    <row r="3606" spans="1:5" ht="12.5">
      <c r="A3606" s="81" t="str">
        <f t="shared" si="0"/>
        <v xml:space="preserve"> </v>
      </c>
      <c r="B3606" s="81" t="str">
        <f t="shared" si="1"/>
        <v xml:space="preserve"> </v>
      </c>
      <c r="C3606" s="79" t="str">
        <f t="shared" si="7"/>
        <v xml:space="preserve"> </v>
      </c>
      <c r="D3606" s="79" t="str">
        <f t="shared" si="5"/>
        <v xml:space="preserve"> </v>
      </c>
      <c r="E3606" s="79" t="str">
        <f t="shared" si="6"/>
        <v xml:space="preserve"> </v>
      </c>
    </row>
    <row r="3607" spans="1:5" ht="12.5">
      <c r="A3607" s="81" t="str">
        <f t="shared" si="0"/>
        <v xml:space="preserve"> </v>
      </c>
      <c r="B3607" s="81" t="str">
        <f t="shared" si="1"/>
        <v xml:space="preserve"> </v>
      </c>
      <c r="C3607" s="79" t="str">
        <f t="shared" si="7"/>
        <v xml:space="preserve"> </v>
      </c>
      <c r="D3607" s="79" t="str">
        <f t="shared" si="5"/>
        <v xml:space="preserve"> </v>
      </c>
      <c r="E3607" s="79" t="str">
        <f t="shared" si="6"/>
        <v xml:space="preserve"> </v>
      </c>
    </row>
    <row r="3608" spans="1:5" ht="12.5">
      <c r="A3608" s="81" t="str">
        <f t="shared" si="0"/>
        <v xml:space="preserve"> </v>
      </c>
      <c r="B3608" s="81" t="str">
        <f t="shared" si="1"/>
        <v xml:space="preserve"> </v>
      </c>
      <c r="C3608" s="79" t="str">
        <f t="shared" si="7"/>
        <v xml:space="preserve"> </v>
      </c>
      <c r="D3608" s="79" t="str">
        <f t="shared" si="5"/>
        <v xml:space="preserve"> </v>
      </c>
      <c r="E3608" s="79" t="str">
        <f t="shared" si="6"/>
        <v xml:space="preserve"> </v>
      </c>
    </row>
    <row r="3609" spans="1:5" ht="12.5">
      <c r="A3609" s="81" t="str">
        <f t="shared" si="0"/>
        <v xml:space="preserve"> </v>
      </c>
      <c r="B3609" s="81" t="str">
        <f t="shared" si="1"/>
        <v xml:space="preserve"> </v>
      </c>
      <c r="C3609" s="79" t="str">
        <f t="shared" si="7"/>
        <v xml:space="preserve"> </v>
      </c>
      <c r="D3609" s="79" t="str">
        <f t="shared" si="5"/>
        <v xml:space="preserve"> </v>
      </c>
      <c r="E3609" s="79" t="str">
        <f t="shared" si="6"/>
        <v xml:space="preserve"> </v>
      </c>
    </row>
    <row r="3610" spans="1:5" ht="12.5">
      <c r="A3610" s="81" t="str">
        <f t="shared" si="0"/>
        <v xml:space="preserve"> </v>
      </c>
      <c r="B3610" s="81" t="str">
        <f t="shared" si="1"/>
        <v xml:space="preserve"> </v>
      </c>
      <c r="C3610" s="79" t="str">
        <f t="shared" si="7"/>
        <v xml:space="preserve"> </v>
      </c>
      <c r="D3610" s="79" t="str">
        <f t="shared" si="5"/>
        <v xml:space="preserve"> </v>
      </c>
      <c r="E3610" s="79" t="str">
        <f t="shared" si="6"/>
        <v xml:space="preserve"> </v>
      </c>
    </row>
    <row r="3611" spans="1:5" ht="12.5">
      <c r="A3611" s="81" t="str">
        <f t="shared" si="0"/>
        <v xml:space="preserve"> </v>
      </c>
      <c r="B3611" s="81" t="str">
        <f t="shared" si="1"/>
        <v xml:space="preserve"> </v>
      </c>
      <c r="C3611" s="79" t="str">
        <f t="shared" si="7"/>
        <v xml:space="preserve"> </v>
      </c>
      <c r="D3611" s="79" t="str">
        <f t="shared" si="5"/>
        <v xml:space="preserve"> </v>
      </c>
      <c r="E3611" s="79" t="str">
        <f t="shared" si="6"/>
        <v xml:space="preserve"> </v>
      </c>
    </row>
    <row r="3612" spans="1:5" ht="12.5">
      <c r="A3612" s="81" t="str">
        <f t="shared" si="0"/>
        <v xml:space="preserve"> </v>
      </c>
      <c r="B3612" s="81" t="str">
        <f t="shared" si="1"/>
        <v xml:space="preserve"> </v>
      </c>
      <c r="C3612" s="79" t="str">
        <f t="shared" si="7"/>
        <v xml:space="preserve"> </v>
      </c>
      <c r="D3612" s="79" t="str">
        <f t="shared" si="5"/>
        <v xml:space="preserve"> </v>
      </c>
      <c r="E3612" s="79" t="str">
        <f t="shared" si="6"/>
        <v xml:space="preserve"> </v>
      </c>
    </row>
    <row r="3613" spans="1:5" ht="12.5">
      <c r="A3613" s="81" t="str">
        <f t="shared" si="0"/>
        <v xml:space="preserve"> </v>
      </c>
      <c r="B3613" s="81" t="str">
        <f t="shared" si="1"/>
        <v xml:space="preserve"> </v>
      </c>
      <c r="C3613" s="79" t="str">
        <f t="shared" si="7"/>
        <v xml:space="preserve"> </v>
      </c>
      <c r="D3613" s="79" t="str">
        <f t="shared" si="5"/>
        <v xml:space="preserve"> </v>
      </c>
      <c r="E3613" s="79" t="str">
        <f t="shared" si="6"/>
        <v xml:space="preserve"> </v>
      </c>
    </row>
    <row r="3614" spans="1:5" ht="12.5">
      <c r="A3614" s="81" t="str">
        <f t="shared" si="0"/>
        <v xml:space="preserve"> </v>
      </c>
      <c r="B3614" s="81" t="str">
        <f t="shared" si="1"/>
        <v xml:space="preserve"> </v>
      </c>
      <c r="C3614" s="79" t="str">
        <f t="shared" si="7"/>
        <v xml:space="preserve"> </v>
      </c>
      <c r="D3614" s="79" t="str">
        <f t="shared" si="5"/>
        <v xml:space="preserve"> </v>
      </c>
      <c r="E3614" s="79" t="str">
        <f t="shared" si="6"/>
        <v xml:space="preserve"> </v>
      </c>
    </row>
    <row r="3615" spans="1:5" ht="12.5">
      <c r="A3615" s="81" t="str">
        <f t="shared" si="0"/>
        <v xml:space="preserve"> </v>
      </c>
      <c r="B3615" s="81" t="str">
        <f t="shared" si="1"/>
        <v xml:space="preserve"> </v>
      </c>
      <c r="C3615" s="79" t="str">
        <f t="shared" si="7"/>
        <v xml:space="preserve"> </v>
      </c>
      <c r="D3615" s="79" t="str">
        <f t="shared" si="5"/>
        <v xml:space="preserve"> </v>
      </c>
      <c r="E3615" s="79" t="str">
        <f t="shared" si="6"/>
        <v xml:space="preserve"> </v>
      </c>
    </row>
    <row r="3616" spans="1:5" ht="12.5">
      <c r="A3616" s="81" t="str">
        <f t="shared" si="0"/>
        <v xml:space="preserve"> </v>
      </c>
      <c r="B3616" s="81" t="str">
        <f t="shared" si="1"/>
        <v xml:space="preserve"> </v>
      </c>
      <c r="C3616" s="79" t="str">
        <f t="shared" si="7"/>
        <v xml:space="preserve"> </v>
      </c>
      <c r="D3616" s="79" t="str">
        <f t="shared" si="5"/>
        <v xml:space="preserve"> </v>
      </c>
      <c r="E3616" s="79" t="str">
        <f t="shared" si="6"/>
        <v xml:space="preserve"> </v>
      </c>
    </row>
    <row r="3617" spans="1:5" ht="12.5">
      <c r="A3617" s="81" t="str">
        <f t="shared" si="0"/>
        <v xml:space="preserve"> </v>
      </c>
      <c r="B3617" s="81" t="str">
        <f t="shared" si="1"/>
        <v xml:space="preserve"> </v>
      </c>
      <c r="C3617" s="79" t="str">
        <f t="shared" si="7"/>
        <v xml:space="preserve"> </v>
      </c>
      <c r="D3617" s="79" t="str">
        <f t="shared" si="5"/>
        <v xml:space="preserve"> </v>
      </c>
      <c r="E3617" s="79" t="str">
        <f t="shared" si="6"/>
        <v xml:space="preserve"> </v>
      </c>
    </row>
    <row r="3618" spans="1:5" ht="12.5">
      <c r="A3618" s="81" t="str">
        <f t="shared" si="0"/>
        <v xml:space="preserve"> </v>
      </c>
      <c r="B3618" s="81" t="str">
        <f t="shared" si="1"/>
        <v xml:space="preserve"> </v>
      </c>
      <c r="C3618" s="79" t="str">
        <f t="shared" si="7"/>
        <v xml:space="preserve"> </v>
      </c>
      <c r="D3618" s="79" t="str">
        <f t="shared" si="5"/>
        <v xml:space="preserve"> </v>
      </c>
      <c r="E3618" s="79" t="str">
        <f t="shared" si="6"/>
        <v xml:space="preserve"> </v>
      </c>
    </row>
    <row r="3619" spans="1:5" ht="12.5">
      <c r="A3619" s="81" t="str">
        <f t="shared" si="0"/>
        <v xml:space="preserve"> </v>
      </c>
      <c r="B3619" s="81" t="str">
        <f t="shared" si="1"/>
        <v xml:space="preserve"> </v>
      </c>
      <c r="C3619" s="79" t="str">
        <f t="shared" si="7"/>
        <v xml:space="preserve"> </v>
      </c>
      <c r="D3619" s="79" t="str">
        <f t="shared" si="5"/>
        <v xml:space="preserve"> </v>
      </c>
      <c r="E3619" s="79" t="str">
        <f t="shared" si="6"/>
        <v xml:space="preserve"> </v>
      </c>
    </row>
    <row r="3620" spans="1:5" ht="12.5">
      <c r="A3620" s="81" t="str">
        <f t="shared" si="0"/>
        <v xml:space="preserve"> </v>
      </c>
      <c r="B3620" s="81" t="str">
        <f t="shared" si="1"/>
        <v xml:space="preserve"> </v>
      </c>
      <c r="C3620" s="79" t="str">
        <f t="shared" si="7"/>
        <v xml:space="preserve"> </v>
      </c>
      <c r="D3620" s="79" t="str">
        <f t="shared" si="5"/>
        <v xml:space="preserve"> </v>
      </c>
      <c r="E3620" s="79" t="str">
        <f t="shared" si="6"/>
        <v xml:space="preserve"> </v>
      </c>
    </row>
    <row r="3621" spans="1:5" ht="12.5">
      <c r="A3621" s="81" t="str">
        <f t="shared" si="0"/>
        <v xml:space="preserve"> </v>
      </c>
      <c r="B3621" s="81" t="str">
        <f t="shared" si="1"/>
        <v xml:space="preserve"> </v>
      </c>
      <c r="C3621" s="79" t="str">
        <f t="shared" si="7"/>
        <v xml:space="preserve"> </v>
      </c>
      <c r="D3621" s="79" t="str">
        <f t="shared" si="5"/>
        <v xml:space="preserve"> </v>
      </c>
      <c r="E3621" s="79" t="str">
        <f t="shared" si="6"/>
        <v xml:space="preserve"> </v>
      </c>
    </row>
    <row r="3622" spans="1:5" ht="12.5">
      <c r="A3622" s="81" t="str">
        <f t="shared" si="0"/>
        <v xml:space="preserve"> </v>
      </c>
      <c r="B3622" s="81" t="str">
        <f t="shared" si="1"/>
        <v xml:space="preserve"> </v>
      </c>
      <c r="C3622" s="79" t="str">
        <f t="shared" si="7"/>
        <v xml:space="preserve"> </v>
      </c>
      <c r="D3622" s="79" t="str">
        <f t="shared" si="5"/>
        <v xml:space="preserve"> </v>
      </c>
      <c r="E3622" s="79" t="str">
        <f t="shared" si="6"/>
        <v xml:space="preserve"> </v>
      </c>
    </row>
    <row r="3623" spans="1:5" ht="12.5">
      <c r="A3623" s="81" t="str">
        <f t="shared" si="0"/>
        <v xml:space="preserve"> </v>
      </c>
      <c r="B3623" s="81" t="str">
        <f t="shared" si="1"/>
        <v xml:space="preserve"> </v>
      </c>
      <c r="C3623" s="79" t="str">
        <f t="shared" si="7"/>
        <v xml:space="preserve"> </v>
      </c>
      <c r="D3623" s="79" t="str">
        <f t="shared" si="5"/>
        <v xml:space="preserve"> </v>
      </c>
      <c r="E3623" s="79" t="str">
        <f t="shared" si="6"/>
        <v xml:space="preserve"> </v>
      </c>
    </row>
    <row r="3624" spans="1:5" ht="12.5">
      <c r="A3624" s="81" t="str">
        <f t="shared" si="0"/>
        <v xml:space="preserve"> </v>
      </c>
      <c r="B3624" s="81" t="str">
        <f t="shared" si="1"/>
        <v xml:space="preserve"> </v>
      </c>
      <c r="C3624" s="79" t="str">
        <f t="shared" si="7"/>
        <v xml:space="preserve"> </v>
      </c>
      <c r="D3624" s="79" t="str">
        <f t="shared" si="5"/>
        <v xml:space="preserve"> </v>
      </c>
      <c r="E3624" s="79" t="str">
        <f t="shared" si="6"/>
        <v xml:space="preserve"> </v>
      </c>
    </row>
    <row r="3625" spans="1:5" ht="12.5">
      <c r="A3625" s="81" t="str">
        <f t="shared" si="0"/>
        <v xml:space="preserve"> </v>
      </c>
      <c r="B3625" s="81" t="str">
        <f t="shared" si="1"/>
        <v xml:space="preserve"> </v>
      </c>
      <c r="C3625" s="79" t="str">
        <f t="shared" si="7"/>
        <v xml:space="preserve"> </v>
      </c>
      <c r="D3625" s="79" t="str">
        <f t="shared" si="5"/>
        <v xml:space="preserve"> </v>
      </c>
      <c r="E3625" s="79" t="str">
        <f t="shared" si="6"/>
        <v xml:space="preserve"> </v>
      </c>
    </row>
    <row r="3626" spans="1:5" ht="12.5">
      <c r="A3626" s="81" t="str">
        <f t="shared" si="0"/>
        <v xml:space="preserve"> </v>
      </c>
      <c r="B3626" s="81" t="str">
        <f t="shared" si="1"/>
        <v xml:space="preserve"> </v>
      </c>
      <c r="C3626" s="79" t="str">
        <f t="shared" si="7"/>
        <v xml:space="preserve"> </v>
      </c>
      <c r="D3626" s="79" t="str">
        <f t="shared" si="5"/>
        <v xml:space="preserve"> </v>
      </c>
      <c r="E3626" s="79" t="str">
        <f t="shared" si="6"/>
        <v xml:space="preserve"> </v>
      </c>
    </row>
    <row r="3627" spans="1:5" ht="12.5">
      <c r="A3627" s="81" t="str">
        <f t="shared" si="0"/>
        <v xml:space="preserve"> </v>
      </c>
      <c r="B3627" s="81" t="str">
        <f t="shared" si="1"/>
        <v xml:space="preserve"> </v>
      </c>
      <c r="C3627" s="79" t="str">
        <f t="shared" si="7"/>
        <v xml:space="preserve"> </v>
      </c>
      <c r="D3627" s="79" t="str">
        <f t="shared" si="5"/>
        <v xml:space="preserve"> </v>
      </c>
      <c r="E3627" s="79" t="str">
        <f t="shared" si="6"/>
        <v xml:space="preserve"> </v>
      </c>
    </row>
    <row r="3628" spans="1:5" ht="12.5">
      <c r="A3628" s="81" t="str">
        <f t="shared" si="0"/>
        <v xml:space="preserve"> </v>
      </c>
      <c r="B3628" s="81" t="str">
        <f t="shared" si="1"/>
        <v xml:space="preserve"> </v>
      </c>
      <c r="C3628" s="79" t="str">
        <f t="shared" si="7"/>
        <v xml:space="preserve"> </v>
      </c>
      <c r="D3628" s="79" t="str">
        <f t="shared" si="5"/>
        <v xml:space="preserve"> </v>
      </c>
      <c r="E3628" s="79" t="str">
        <f t="shared" si="6"/>
        <v xml:space="preserve"> </v>
      </c>
    </row>
    <row r="3629" spans="1:5" ht="12.5">
      <c r="A3629" s="81" t="str">
        <f t="shared" si="0"/>
        <v xml:space="preserve"> </v>
      </c>
      <c r="B3629" s="81" t="str">
        <f t="shared" si="1"/>
        <v xml:space="preserve"> </v>
      </c>
      <c r="C3629" s="79" t="str">
        <f t="shared" si="7"/>
        <v xml:space="preserve"> </v>
      </c>
      <c r="D3629" s="79" t="str">
        <f t="shared" si="5"/>
        <v xml:space="preserve"> </v>
      </c>
      <c r="E3629" s="79" t="str">
        <f t="shared" si="6"/>
        <v xml:space="preserve"> </v>
      </c>
    </row>
    <row r="3630" spans="1:5" ht="12.5">
      <c r="A3630" s="81" t="str">
        <f t="shared" si="0"/>
        <v xml:space="preserve"> </v>
      </c>
      <c r="B3630" s="81" t="str">
        <f t="shared" si="1"/>
        <v xml:space="preserve"> </v>
      </c>
      <c r="C3630" s="79" t="str">
        <f t="shared" si="7"/>
        <v xml:space="preserve"> </v>
      </c>
      <c r="D3630" s="79" t="str">
        <f t="shared" si="5"/>
        <v xml:space="preserve"> </v>
      </c>
      <c r="E3630" s="79" t="str">
        <f t="shared" si="6"/>
        <v xml:space="preserve"> </v>
      </c>
    </row>
    <row r="3631" spans="1:5" ht="12.5">
      <c r="A3631" s="81" t="str">
        <f t="shared" si="0"/>
        <v xml:space="preserve"> </v>
      </c>
      <c r="B3631" s="81" t="str">
        <f t="shared" si="1"/>
        <v xml:space="preserve"> </v>
      </c>
      <c r="C3631" s="79" t="str">
        <f t="shared" si="7"/>
        <v xml:space="preserve"> </v>
      </c>
      <c r="D3631" s="79" t="str">
        <f t="shared" si="5"/>
        <v xml:space="preserve"> </v>
      </c>
      <c r="E3631" s="79" t="str">
        <f t="shared" si="6"/>
        <v xml:space="preserve"> </v>
      </c>
    </row>
    <row r="3632" spans="1:5" ht="12.5">
      <c r="A3632" s="81" t="str">
        <f t="shared" si="0"/>
        <v xml:space="preserve"> </v>
      </c>
      <c r="B3632" s="81" t="str">
        <f t="shared" si="1"/>
        <v xml:space="preserve"> </v>
      </c>
      <c r="C3632" s="79" t="str">
        <f t="shared" si="7"/>
        <v xml:space="preserve"> </v>
      </c>
      <c r="D3632" s="79" t="str">
        <f t="shared" si="5"/>
        <v xml:space="preserve"> </v>
      </c>
      <c r="E3632" s="79" t="str">
        <f t="shared" si="6"/>
        <v xml:space="preserve"> </v>
      </c>
    </row>
    <row r="3633" spans="1:5" ht="12.5">
      <c r="A3633" s="81" t="str">
        <f t="shared" si="0"/>
        <v xml:space="preserve"> </v>
      </c>
      <c r="B3633" s="81" t="str">
        <f t="shared" si="1"/>
        <v xml:space="preserve"> </v>
      </c>
      <c r="C3633" s="79" t="str">
        <f t="shared" si="7"/>
        <v xml:space="preserve"> </v>
      </c>
      <c r="D3633" s="79" t="str">
        <f t="shared" si="5"/>
        <v xml:space="preserve"> </v>
      </c>
      <c r="E3633" s="79" t="str">
        <f t="shared" si="6"/>
        <v xml:space="preserve"> </v>
      </c>
    </row>
    <row r="3634" spans="1:5" ht="12.5">
      <c r="A3634" s="81" t="str">
        <f t="shared" si="0"/>
        <v xml:space="preserve"> </v>
      </c>
      <c r="B3634" s="81" t="str">
        <f t="shared" si="1"/>
        <v xml:space="preserve"> </v>
      </c>
      <c r="C3634" s="79" t="str">
        <f t="shared" si="7"/>
        <v xml:space="preserve"> </v>
      </c>
      <c r="D3634" s="79" t="str">
        <f t="shared" si="5"/>
        <v xml:space="preserve"> </v>
      </c>
      <c r="E3634" s="79" t="str">
        <f t="shared" si="6"/>
        <v xml:space="preserve"> </v>
      </c>
    </row>
    <row r="3635" spans="1:5" ht="12.5">
      <c r="A3635" s="81" t="str">
        <f t="shared" si="0"/>
        <v xml:space="preserve"> </v>
      </c>
      <c r="B3635" s="81" t="str">
        <f t="shared" si="1"/>
        <v xml:space="preserve"> </v>
      </c>
      <c r="C3635" s="79" t="str">
        <f t="shared" si="7"/>
        <v xml:space="preserve"> </v>
      </c>
      <c r="D3635" s="79" t="str">
        <f t="shared" si="5"/>
        <v xml:space="preserve"> </v>
      </c>
      <c r="E3635" s="79" t="str">
        <f t="shared" si="6"/>
        <v xml:space="preserve"> </v>
      </c>
    </row>
    <row r="3636" spans="1:5" ht="12.5">
      <c r="A3636" s="81" t="str">
        <f t="shared" si="0"/>
        <v xml:space="preserve"> </v>
      </c>
      <c r="B3636" s="81" t="str">
        <f t="shared" si="1"/>
        <v xml:space="preserve"> </v>
      </c>
      <c r="C3636" s="79" t="str">
        <f t="shared" si="7"/>
        <v xml:space="preserve"> </v>
      </c>
      <c r="D3636" s="79" t="str">
        <f t="shared" si="5"/>
        <v xml:space="preserve"> </v>
      </c>
      <c r="E3636" s="79" t="str">
        <f t="shared" si="6"/>
        <v xml:space="preserve"> </v>
      </c>
    </row>
    <row r="3637" spans="1:5" ht="12.5">
      <c r="A3637" s="81" t="str">
        <f t="shared" si="0"/>
        <v xml:space="preserve"> </v>
      </c>
      <c r="B3637" s="81" t="str">
        <f t="shared" si="1"/>
        <v xml:space="preserve"> </v>
      </c>
      <c r="C3637" s="79" t="str">
        <f t="shared" si="7"/>
        <v xml:space="preserve"> </v>
      </c>
      <c r="D3637" s="79" t="str">
        <f t="shared" si="5"/>
        <v xml:space="preserve"> </v>
      </c>
      <c r="E3637" s="79" t="str">
        <f t="shared" si="6"/>
        <v xml:space="preserve"> </v>
      </c>
    </row>
    <row r="3638" spans="1:5" ht="12.5">
      <c r="A3638" s="81" t="str">
        <f t="shared" si="0"/>
        <v xml:space="preserve"> </v>
      </c>
      <c r="B3638" s="81" t="str">
        <f t="shared" si="1"/>
        <v xml:space="preserve"> </v>
      </c>
      <c r="C3638" s="79" t="str">
        <f t="shared" si="7"/>
        <v xml:space="preserve"> </v>
      </c>
      <c r="D3638" s="79" t="str">
        <f t="shared" si="5"/>
        <v xml:space="preserve"> </v>
      </c>
      <c r="E3638" s="79" t="str">
        <f t="shared" si="6"/>
        <v xml:space="preserve"> </v>
      </c>
    </row>
    <row r="3639" spans="1:5" ht="12.5">
      <c r="A3639" s="81" t="str">
        <f t="shared" si="0"/>
        <v xml:space="preserve"> </v>
      </c>
      <c r="B3639" s="81" t="str">
        <f t="shared" si="1"/>
        <v xml:space="preserve"> </v>
      </c>
      <c r="C3639" s="79" t="str">
        <f t="shared" si="7"/>
        <v xml:space="preserve"> </v>
      </c>
      <c r="D3639" s="79" t="str">
        <f t="shared" si="5"/>
        <v xml:space="preserve"> </v>
      </c>
      <c r="E3639" s="79" t="str">
        <f t="shared" si="6"/>
        <v xml:space="preserve"> </v>
      </c>
    </row>
    <row r="3640" spans="1:5" ht="12.5">
      <c r="A3640" s="81" t="str">
        <f t="shared" si="0"/>
        <v xml:space="preserve"> </v>
      </c>
      <c r="B3640" s="81" t="str">
        <f t="shared" si="1"/>
        <v xml:space="preserve"> </v>
      </c>
      <c r="C3640" s="79" t="str">
        <f t="shared" si="7"/>
        <v xml:space="preserve"> </v>
      </c>
      <c r="D3640" s="79" t="str">
        <f t="shared" si="5"/>
        <v xml:space="preserve"> </v>
      </c>
      <c r="E3640" s="79" t="str">
        <f t="shared" si="6"/>
        <v xml:space="preserve"> </v>
      </c>
    </row>
    <row r="3641" spans="1:5" ht="12.5">
      <c r="A3641" s="81" t="str">
        <f t="shared" si="0"/>
        <v xml:space="preserve"> </v>
      </c>
      <c r="B3641" s="81" t="str">
        <f t="shared" si="1"/>
        <v xml:space="preserve"> </v>
      </c>
      <c r="C3641" s="79" t="str">
        <f t="shared" si="7"/>
        <v xml:space="preserve"> </v>
      </c>
      <c r="D3641" s="79" t="str">
        <f t="shared" si="5"/>
        <v xml:space="preserve"> </v>
      </c>
      <c r="E3641" s="79" t="str">
        <f t="shared" si="6"/>
        <v xml:space="preserve"> </v>
      </c>
    </row>
    <row r="3642" spans="1:5" ht="12.5">
      <c r="A3642" s="81" t="str">
        <f t="shared" si="0"/>
        <v xml:space="preserve"> </v>
      </c>
      <c r="B3642" s="81" t="str">
        <f t="shared" si="1"/>
        <v xml:space="preserve"> </v>
      </c>
      <c r="C3642" s="79" t="str">
        <f t="shared" si="7"/>
        <v xml:space="preserve"> </v>
      </c>
      <c r="D3642" s="79" t="str">
        <f t="shared" si="5"/>
        <v xml:space="preserve"> </v>
      </c>
      <c r="E3642" s="79" t="str">
        <f t="shared" si="6"/>
        <v xml:space="preserve"> </v>
      </c>
    </row>
    <row r="3643" spans="1:5" ht="12.5">
      <c r="A3643" s="81" t="str">
        <f t="shared" si="0"/>
        <v xml:space="preserve"> </v>
      </c>
      <c r="B3643" s="81" t="str">
        <f t="shared" si="1"/>
        <v xml:space="preserve"> </v>
      </c>
      <c r="C3643" s="79" t="str">
        <f t="shared" si="7"/>
        <v xml:space="preserve"> </v>
      </c>
      <c r="D3643" s="79" t="str">
        <f t="shared" si="5"/>
        <v xml:space="preserve"> </v>
      </c>
      <c r="E3643" s="79" t="str">
        <f t="shared" si="6"/>
        <v xml:space="preserve"> </v>
      </c>
    </row>
    <row r="3644" spans="1:5" ht="12.5">
      <c r="A3644" s="81" t="str">
        <f t="shared" si="0"/>
        <v xml:space="preserve"> </v>
      </c>
      <c r="B3644" s="81" t="str">
        <f t="shared" si="1"/>
        <v xml:space="preserve"> </v>
      </c>
      <c r="C3644" s="79" t="str">
        <f t="shared" si="7"/>
        <v xml:space="preserve"> </v>
      </c>
      <c r="D3644" s="79" t="str">
        <f t="shared" si="5"/>
        <v xml:space="preserve"> </v>
      </c>
      <c r="E3644" s="79" t="str">
        <f t="shared" si="6"/>
        <v xml:space="preserve"> </v>
      </c>
    </row>
    <row r="3645" spans="1:5" ht="12.5">
      <c r="A3645" s="81" t="str">
        <f t="shared" si="0"/>
        <v xml:space="preserve"> </v>
      </c>
      <c r="B3645" s="81" t="str">
        <f t="shared" si="1"/>
        <v xml:space="preserve"> </v>
      </c>
      <c r="C3645" s="79" t="str">
        <f t="shared" si="7"/>
        <v xml:space="preserve"> </v>
      </c>
      <c r="D3645" s="79" t="str">
        <f t="shared" si="5"/>
        <v xml:space="preserve"> </v>
      </c>
      <c r="E3645" s="79" t="str">
        <f t="shared" si="6"/>
        <v xml:space="preserve"> </v>
      </c>
    </row>
    <row r="3646" spans="1:5" ht="12.5">
      <c r="A3646" s="81" t="str">
        <f t="shared" si="0"/>
        <v xml:space="preserve"> </v>
      </c>
      <c r="B3646" s="81" t="str">
        <f t="shared" si="1"/>
        <v xml:space="preserve"> </v>
      </c>
      <c r="C3646" s="79" t="str">
        <f t="shared" si="7"/>
        <v xml:space="preserve"> </v>
      </c>
      <c r="D3646" s="79" t="str">
        <f t="shared" si="5"/>
        <v xml:space="preserve"> </v>
      </c>
      <c r="E3646" s="79" t="str">
        <f t="shared" si="6"/>
        <v xml:space="preserve"> </v>
      </c>
    </row>
    <row r="3647" spans="1:5" ht="12.5">
      <c r="A3647" s="81" t="str">
        <f t="shared" si="0"/>
        <v xml:space="preserve"> </v>
      </c>
      <c r="B3647" s="81" t="str">
        <f t="shared" si="1"/>
        <v xml:space="preserve"> </v>
      </c>
      <c r="C3647" s="79" t="str">
        <f t="shared" si="7"/>
        <v xml:space="preserve"> </v>
      </c>
      <c r="D3647" s="79" t="str">
        <f t="shared" si="5"/>
        <v xml:space="preserve"> </v>
      </c>
      <c r="E3647" s="79" t="str">
        <f t="shared" si="6"/>
        <v xml:space="preserve"> </v>
      </c>
    </row>
    <row r="3648" spans="1:5" ht="12.5">
      <c r="A3648" s="81" t="str">
        <f t="shared" si="0"/>
        <v xml:space="preserve"> </v>
      </c>
      <c r="B3648" s="81" t="str">
        <f t="shared" si="1"/>
        <v xml:space="preserve"> </v>
      </c>
      <c r="C3648" s="79" t="str">
        <f t="shared" si="7"/>
        <v xml:space="preserve"> </v>
      </c>
      <c r="D3648" s="79" t="str">
        <f t="shared" si="5"/>
        <v xml:space="preserve"> </v>
      </c>
      <c r="E3648" s="79" t="str">
        <f t="shared" si="6"/>
        <v xml:space="preserve"> </v>
      </c>
    </row>
    <row r="3649" spans="1:5" ht="12.5">
      <c r="A3649" s="81" t="str">
        <f t="shared" si="0"/>
        <v xml:space="preserve"> </v>
      </c>
      <c r="B3649" s="81" t="str">
        <f t="shared" si="1"/>
        <v xml:space="preserve"> </v>
      </c>
      <c r="C3649" s="79" t="str">
        <f t="shared" si="7"/>
        <v xml:space="preserve"> </v>
      </c>
      <c r="D3649" s="79" t="str">
        <f t="shared" si="5"/>
        <v xml:space="preserve"> </v>
      </c>
      <c r="E3649" s="79" t="str">
        <f t="shared" si="6"/>
        <v xml:space="preserve"> </v>
      </c>
    </row>
    <row r="3650" spans="1:5" ht="12.5">
      <c r="A3650" s="81" t="str">
        <f t="shared" si="0"/>
        <v xml:space="preserve"> </v>
      </c>
      <c r="B3650" s="81" t="str">
        <f t="shared" si="1"/>
        <v xml:space="preserve"> </v>
      </c>
      <c r="C3650" s="79" t="str">
        <f t="shared" si="7"/>
        <v xml:space="preserve"> </v>
      </c>
      <c r="D3650" s="79" t="str">
        <f t="shared" si="5"/>
        <v xml:space="preserve"> </v>
      </c>
      <c r="E3650" s="79" t="str">
        <f t="shared" si="6"/>
        <v xml:space="preserve"> </v>
      </c>
    </row>
    <row r="3651" spans="1:5" ht="12.5">
      <c r="A3651" s="81" t="str">
        <f t="shared" si="0"/>
        <v xml:space="preserve"> </v>
      </c>
      <c r="B3651" s="81" t="str">
        <f t="shared" si="1"/>
        <v xml:space="preserve"> </v>
      </c>
      <c r="C3651" s="79" t="str">
        <f t="shared" si="7"/>
        <v xml:space="preserve"> </v>
      </c>
      <c r="D3651" s="79" t="str">
        <f t="shared" si="5"/>
        <v xml:space="preserve"> </v>
      </c>
      <c r="E3651" s="79" t="str">
        <f t="shared" si="6"/>
        <v xml:space="preserve"> </v>
      </c>
    </row>
    <row r="3652" spans="1:5" ht="12.5">
      <c r="A3652" s="81" t="str">
        <f t="shared" si="0"/>
        <v xml:space="preserve"> </v>
      </c>
      <c r="B3652" s="81" t="str">
        <f t="shared" si="1"/>
        <v xml:space="preserve"> </v>
      </c>
      <c r="C3652" s="79" t="str">
        <f t="shared" si="7"/>
        <v xml:space="preserve"> </v>
      </c>
      <c r="D3652" s="79" t="str">
        <f t="shared" si="5"/>
        <v xml:space="preserve"> </v>
      </c>
      <c r="E3652" s="79" t="str">
        <f t="shared" si="6"/>
        <v xml:space="preserve"> </v>
      </c>
    </row>
    <row r="3653" spans="1:5" ht="12.5">
      <c r="A3653" s="81" t="str">
        <f t="shared" si="0"/>
        <v xml:space="preserve"> </v>
      </c>
      <c r="B3653" s="81" t="str">
        <f t="shared" si="1"/>
        <v xml:space="preserve"> </v>
      </c>
      <c r="C3653" s="79" t="str">
        <f t="shared" si="7"/>
        <v xml:space="preserve"> </v>
      </c>
      <c r="D3653" s="79" t="str">
        <f t="shared" si="5"/>
        <v xml:space="preserve"> </v>
      </c>
      <c r="E3653" s="79" t="str">
        <f t="shared" si="6"/>
        <v xml:space="preserve"> </v>
      </c>
    </row>
    <row r="3654" spans="1:5" ht="12.5">
      <c r="A3654" s="81" t="str">
        <f t="shared" si="0"/>
        <v xml:space="preserve"> </v>
      </c>
      <c r="B3654" s="81" t="str">
        <f t="shared" si="1"/>
        <v xml:space="preserve"> </v>
      </c>
      <c r="C3654" s="79" t="str">
        <f t="shared" si="7"/>
        <v xml:space="preserve"> </v>
      </c>
      <c r="D3654" s="79" t="str">
        <f t="shared" si="5"/>
        <v xml:space="preserve"> </v>
      </c>
      <c r="E3654" s="79" t="str">
        <f t="shared" si="6"/>
        <v xml:space="preserve"> </v>
      </c>
    </row>
    <row r="3655" spans="1:5" ht="12.5">
      <c r="A3655" s="81" t="str">
        <f t="shared" si="0"/>
        <v xml:space="preserve"> </v>
      </c>
      <c r="B3655" s="81" t="str">
        <f t="shared" si="1"/>
        <v xml:space="preserve"> </v>
      </c>
      <c r="C3655" s="79" t="str">
        <f t="shared" si="7"/>
        <v xml:space="preserve"> </v>
      </c>
      <c r="D3655" s="79" t="str">
        <f t="shared" si="5"/>
        <v xml:space="preserve"> </v>
      </c>
      <c r="E3655" s="79" t="str">
        <f t="shared" si="6"/>
        <v xml:space="preserve"> </v>
      </c>
    </row>
    <row r="3656" spans="1:5" ht="12.5">
      <c r="A3656" s="81" t="str">
        <f t="shared" si="0"/>
        <v xml:space="preserve"> </v>
      </c>
      <c r="B3656" s="81" t="str">
        <f t="shared" si="1"/>
        <v xml:space="preserve"> </v>
      </c>
      <c r="C3656" s="79" t="str">
        <f t="shared" si="7"/>
        <v xml:space="preserve"> </v>
      </c>
      <c r="D3656" s="79" t="str">
        <f t="shared" si="5"/>
        <v xml:space="preserve"> </v>
      </c>
      <c r="E3656" s="79" t="str">
        <f t="shared" si="6"/>
        <v xml:space="preserve"> </v>
      </c>
    </row>
    <row r="3657" spans="1:5" ht="12.5">
      <c r="A3657" s="81" t="str">
        <f t="shared" si="0"/>
        <v xml:space="preserve"> </v>
      </c>
      <c r="B3657" s="81" t="str">
        <f t="shared" si="1"/>
        <v xml:space="preserve"> </v>
      </c>
      <c r="C3657" s="79" t="str">
        <f t="shared" si="7"/>
        <v xml:space="preserve"> </v>
      </c>
      <c r="D3657" s="79" t="str">
        <f t="shared" si="5"/>
        <v xml:space="preserve"> </v>
      </c>
      <c r="E3657" s="79" t="str">
        <f t="shared" si="6"/>
        <v xml:space="preserve"> </v>
      </c>
    </row>
    <row r="3658" spans="1:5" ht="12.5">
      <c r="A3658" s="81" t="str">
        <f t="shared" si="0"/>
        <v xml:space="preserve"> </v>
      </c>
      <c r="B3658" s="81" t="str">
        <f t="shared" si="1"/>
        <v xml:space="preserve"> </v>
      </c>
      <c r="C3658" s="79" t="str">
        <f t="shared" si="7"/>
        <v xml:space="preserve"> </v>
      </c>
      <c r="D3658" s="79" t="str">
        <f t="shared" si="5"/>
        <v xml:space="preserve"> </v>
      </c>
      <c r="E3658" s="79" t="str">
        <f t="shared" si="6"/>
        <v xml:space="preserve"> </v>
      </c>
    </row>
    <row r="3659" spans="1:5" ht="12.5">
      <c r="A3659" s="81" t="str">
        <f t="shared" si="0"/>
        <v xml:space="preserve"> </v>
      </c>
      <c r="B3659" s="81" t="str">
        <f t="shared" si="1"/>
        <v xml:space="preserve"> </v>
      </c>
      <c r="C3659" s="79" t="str">
        <f t="shared" si="7"/>
        <v xml:space="preserve"> </v>
      </c>
      <c r="D3659" s="79" t="str">
        <f t="shared" si="5"/>
        <v xml:space="preserve"> </v>
      </c>
      <c r="E3659" s="79" t="str">
        <f t="shared" si="6"/>
        <v xml:space="preserve"> </v>
      </c>
    </row>
    <row r="3660" spans="1:5" ht="12.5">
      <c r="A3660" s="81" t="str">
        <f t="shared" si="0"/>
        <v xml:space="preserve"> </v>
      </c>
      <c r="B3660" s="81" t="str">
        <f t="shared" si="1"/>
        <v xml:space="preserve"> </v>
      </c>
      <c r="C3660" s="79" t="str">
        <f t="shared" si="7"/>
        <v xml:space="preserve"> </v>
      </c>
      <c r="D3660" s="79" t="str">
        <f t="shared" si="5"/>
        <v xml:space="preserve"> </v>
      </c>
      <c r="E3660" s="79" t="str">
        <f t="shared" si="6"/>
        <v xml:space="preserve"> </v>
      </c>
    </row>
    <row r="3661" spans="1:5" ht="12.5">
      <c r="A3661" s="81" t="str">
        <f t="shared" si="0"/>
        <v xml:space="preserve"> </v>
      </c>
      <c r="B3661" s="81" t="str">
        <f t="shared" si="1"/>
        <v xml:space="preserve"> </v>
      </c>
      <c r="C3661" s="79" t="str">
        <f t="shared" si="7"/>
        <v xml:space="preserve"> </v>
      </c>
      <c r="D3661" s="79" t="str">
        <f t="shared" si="5"/>
        <v xml:space="preserve"> </v>
      </c>
      <c r="E3661" s="79" t="str">
        <f t="shared" si="6"/>
        <v xml:space="preserve"> </v>
      </c>
    </row>
    <row r="3662" spans="1:5" ht="12.5">
      <c r="A3662" s="81" t="str">
        <f t="shared" si="0"/>
        <v xml:space="preserve"> </v>
      </c>
      <c r="B3662" s="81" t="str">
        <f t="shared" si="1"/>
        <v xml:space="preserve"> </v>
      </c>
      <c r="C3662" s="79" t="str">
        <f t="shared" si="7"/>
        <v xml:space="preserve"> </v>
      </c>
      <c r="D3662" s="79" t="str">
        <f t="shared" si="5"/>
        <v xml:space="preserve"> </v>
      </c>
      <c r="E3662" s="79" t="str">
        <f t="shared" si="6"/>
        <v xml:space="preserve"> </v>
      </c>
    </row>
    <row r="3663" spans="1:5" ht="12.5">
      <c r="A3663" s="81" t="str">
        <f t="shared" si="0"/>
        <v xml:space="preserve"> </v>
      </c>
      <c r="B3663" s="81" t="str">
        <f t="shared" si="1"/>
        <v xml:space="preserve"> </v>
      </c>
      <c r="C3663" s="79" t="str">
        <f t="shared" si="7"/>
        <v xml:space="preserve"> </v>
      </c>
      <c r="D3663" s="79" t="str">
        <f t="shared" si="5"/>
        <v xml:space="preserve"> </v>
      </c>
      <c r="E3663" s="79" t="str">
        <f t="shared" si="6"/>
        <v xml:space="preserve"> </v>
      </c>
    </row>
    <row r="3664" spans="1:5" ht="12.5">
      <c r="A3664" s="81" t="str">
        <f t="shared" si="0"/>
        <v xml:space="preserve"> </v>
      </c>
      <c r="B3664" s="81" t="str">
        <f t="shared" si="1"/>
        <v xml:space="preserve"> </v>
      </c>
      <c r="C3664" s="79" t="str">
        <f t="shared" si="7"/>
        <v xml:space="preserve"> </v>
      </c>
      <c r="D3664" s="79" t="str">
        <f t="shared" si="5"/>
        <v xml:space="preserve"> </v>
      </c>
      <c r="E3664" s="79" t="str">
        <f t="shared" si="6"/>
        <v xml:space="preserve"> </v>
      </c>
    </row>
    <row r="3665" spans="1:5" ht="12.5">
      <c r="A3665" s="81" t="str">
        <f t="shared" si="0"/>
        <v xml:space="preserve"> </v>
      </c>
      <c r="B3665" s="81" t="str">
        <f t="shared" si="1"/>
        <v xml:space="preserve"> </v>
      </c>
      <c r="C3665" s="79" t="str">
        <f t="shared" si="7"/>
        <v xml:space="preserve"> </v>
      </c>
      <c r="D3665" s="79" t="str">
        <f t="shared" si="5"/>
        <v xml:space="preserve"> </v>
      </c>
      <c r="E3665" s="79" t="str">
        <f t="shared" si="6"/>
        <v xml:space="preserve"> </v>
      </c>
    </row>
    <row r="3666" spans="1:5" ht="12.5">
      <c r="A3666" s="81" t="str">
        <f t="shared" si="0"/>
        <v xml:space="preserve"> </v>
      </c>
      <c r="B3666" s="81" t="str">
        <f t="shared" si="1"/>
        <v xml:space="preserve"> </v>
      </c>
      <c r="C3666" s="79" t="str">
        <f t="shared" si="7"/>
        <v xml:space="preserve"> </v>
      </c>
      <c r="D3666" s="79" t="str">
        <f t="shared" si="5"/>
        <v xml:space="preserve"> </v>
      </c>
      <c r="E3666" s="79" t="str">
        <f t="shared" si="6"/>
        <v xml:space="preserve"> </v>
      </c>
    </row>
    <row r="3667" spans="1:5" ht="12.5">
      <c r="A3667" s="81" t="str">
        <f t="shared" si="0"/>
        <v xml:space="preserve"> </v>
      </c>
      <c r="B3667" s="81" t="str">
        <f t="shared" si="1"/>
        <v xml:space="preserve"> </v>
      </c>
      <c r="C3667" s="79" t="str">
        <f t="shared" si="7"/>
        <v xml:space="preserve"> </v>
      </c>
      <c r="D3667" s="79" t="str">
        <f t="shared" si="5"/>
        <v xml:space="preserve"> </v>
      </c>
      <c r="E3667" s="79" t="str">
        <f t="shared" si="6"/>
        <v xml:space="preserve"> </v>
      </c>
    </row>
    <row r="3668" spans="1:5" ht="12.5">
      <c r="A3668" s="81" t="str">
        <f t="shared" si="0"/>
        <v xml:space="preserve"> </v>
      </c>
      <c r="B3668" s="81" t="str">
        <f t="shared" si="1"/>
        <v xml:space="preserve"> </v>
      </c>
      <c r="C3668" s="79" t="str">
        <f t="shared" si="7"/>
        <v xml:space="preserve"> </v>
      </c>
      <c r="D3668" s="79" t="str">
        <f t="shared" si="5"/>
        <v xml:space="preserve"> </v>
      </c>
      <c r="E3668" s="79" t="str">
        <f t="shared" si="6"/>
        <v xml:space="preserve"> </v>
      </c>
    </row>
    <row r="3669" spans="1:5" ht="12.5">
      <c r="A3669" s="81" t="str">
        <f t="shared" si="0"/>
        <v xml:space="preserve"> </v>
      </c>
      <c r="B3669" s="81" t="str">
        <f t="shared" si="1"/>
        <v xml:space="preserve"> </v>
      </c>
      <c r="C3669" s="79" t="str">
        <f t="shared" si="7"/>
        <v xml:space="preserve"> </v>
      </c>
      <c r="D3669" s="79" t="str">
        <f t="shared" si="5"/>
        <v xml:space="preserve"> </v>
      </c>
      <c r="E3669" s="79" t="str">
        <f t="shared" si="6"/>
        <v xml:space="preserve"> </v>
      </c>
    </row>
    <row r="3670" spans="1:5" ht="12.5">
      <c r="A3670" s="81" t="str">
        <f t="shared" si="0"/>
        <v xml:space="preserve"> </v>
      </c>
      <c r="B3670" s="81" t="str">
        <f t="shared" si="1"/>
        <v xml:space="preserve"> </v>
      </c>
      <c r="C3670" s="79" t="str">
        <f t="shared" si="7"/>
        <v xml:space="preserve"> </v>
      </c>
      <c r="D3670" s="79" t="str">
        <f t="shared" si="5"/>
        <v xml:space="preserve"> </v>
      </c>
      <c r="E3670" s="79" t="str">
        <f t="shared" si="6"/>
        <v xml:space="preserve"> </v>
      </c>
    </row>
    <row r="3671" spans="1:5" ht="12.5">
      <c r="A3671" s="81" t="str">
        <f t="shared" si="0"/>
        <v xml:space="preserve"> </v>
      </c>
      <c r="B3671" s="81" t="str">
        <f t="shared" si="1"/>
        <v xml:space="preserve"> </v>
      </c>
      <c r="C3671" s="79" t="str">
        <f t="shared" si="7"/>
        <v xml:space="preserve"> </v>
      </c>
      <c r="D3671" s="79" t="str">
        <f t="shared" si="5"/>
        <v xml:space="preserve"> </v>
      </c>
      <c r="E3671" s="79" t="str">
        <f t="shared" si="6"/>
        <v xml:space="preserve"> </v>
      </c>
    </row>
    <row r="3672" spans="1:5" ht="12.5">
      <c r="A3672" s="81" t="str">
        <f t="shared" si="0"/>
        <v xml:space="preserve"> </v>
      </c>
      <c r="B3672" s="81" t="str">
        <f t="shared" si="1"/>
        <v xml:space="preserve"> </v>
      </c>
      <c r="C3672" s="79" t="str">
        <f t="shared" si="7"/>
        <v xml:space="preserve"> </v>
      </c>
      <c r="D3672" s="79" t="str">
        <f t="shared" si="5"/>
        <v xml:space="preserve"> </v>
      </c>
      <c r="E3672" s="79" t="str">
        <f t="shared" si="6"/>
        <v xml:space="preserve"> </v>
      </c>
    </row>
    <row r="3673" spans="1:5" ht="12.5">
      <c r="A3673" s="81" t="str">
        <f t="shared" si="0"/>
        <v xml:space="preserve"> </v>
      </c>
      <c r="B3673" s="81" t="str">
        <f t="shared" si="1"/>
        <v xml:space="preserve"> </v>
      </c>
      <c r="C3673" s="79" t="str">
        <f t="shared" si="7"/>
        <v xml:space="preserve"> </v>
      </c>
      <c r="D3673" s="79" t="str">
        <f t="shared" si="5"/>
        <v xml:space="preserve"> </v>
      </c>
      <c r="E3673" s="79" t="str">
        <f t="shared" si="6"/>
        <v xml:space="preserve"> </v>
      </c>
    </row>
    <row r="3674" spans="1:5" ht="12.5">
      <c r="A3674" s="81" t="str">
        <f t="shared" si="0"/>
        <v xml:space="preserve"> </v>
      </c>
      <c r="B3674" s="81" t="str">
        <f t="shared" si="1"/>
        <v xml:space="preserve"> </v>
      </c>
      <c r="C3674" s="79" t="str">
        <f t="shared" si="7"/>
        <v xml:space="preserve"> </v>
      </c>
      <c r="D3674" s="79" t="str">
        <f t="shared" si="5"/>
        <v xml:space="preserve"> </v>
      </c>
      <c r="E3674" s="79" t="str">
        <f t="shared" si="6"/>
        <v xml:space="preserve"> </v>
      </c>
    </row>
    <row r="3675" spans="1:5" ht="12.5">
      <c r="A3675" s="81" t="str">
        <f t="shared" si="0"/>
        <v xml:space="preserve"> </v>
      </c>
      <c r="B3675" s="81" t="str">
        <f t="shared" si="1"/>
        <v xml:space="preserve"> </v>
      </c>
      <c r="C3675" s="79" t="str">
        <f t="shared" si="7"/>
        <v xml:space="preserve"> </v>
      </c>
      <c r="D3675" s="79" t="str">
        <f t="shared" si="5"/>
        <v xml:space="preserve"> </v>
      </c>
      <c r="E3675" s="79" t="str">
        <f t="shared" si="6"/>
        <v xml:space="preserve"> </v>
      </c>
    </row>
    <row r="3676" spans="1:5" ht="12.5">
      <c r="A3676" s="81" t="str">
        <f t="shared" si="0"/>
        <v xml:space="preserve"> </v>
      </c>
      <c r="B3676" s="81" t="str">
        <f t="shared" si="1"/>
        <v xml:space="preserve"> </v>
      </c>
      <c r="C3676" s="79" t="str">
        <f t="shared" si="7"/>
        <v xml:space="preserve"> </v>
      </c>
      <c r="D3676" s="79" t="str">
        <f t="shared" si="5"/>
        <v xml:space="preserve"> </v>
      </c>
      <c r="E3676" s="79" t="str">
        <f t="shared" si="6"/>
        <v xml:space="preserve"> </v>
      </c>
    </row>
    <row r="3677" spans="1:5" ht="12.5">
      <c r="A3677" s="81" t="str">
        <f t="shared" si="0"/>
        <v xml:space="preserve"> </v>
      </c>
      <c r="B3677" s="81" t="str">
        <f t="shared" si="1"/>
        <v xml:space="preserve"> </v>
      </c>
      <c r="C3677" s="79" t="str">
        <f t="shared" si="7"/>
        <v xml:space="preserve"> </v>
      </c>
      <c r="D3677" s="79" t="str">
        <f t="shared" si="5"/>
        <v xml:space="preserve"> </v>
      </c>
      <c r="E3677" s="79" t="str">
        <f t="shared" si="6"/>
        <v xml:space="preserve"> </v>
      </c>
    </row>
    <row r="3678" spans="1:5" ht="12.5">
      <c r="A3678" s="81" t="str">
        <f t="shared" si="0"/>
        <v xml:space="preserve"> </v>
      </c>
      <c r="B3678" s="81" t="str">
        <f t="shared" si="1"/>
        <v xml:space="preserve"> </v>
      </c>
      <c r="C3678" s="79" t="str">
        <f t="shared" si="7"/>
        <v xml:space="preserve"> </v>
      </c>
      <c r="D3678" s="79" t="str">
        <f t="shared" si="5"/>
        <v xml:space="preserve"> </v>
      </c>
      <c r="E3678" s="79" t="str">
        <f t="shared" si="6"/>
        <v xml:space="preserve"> </v>
      </c>
    </row>
    <row r="3679" spans="1:5" ht="12.5">
      <c r="A3679" s="81" t="str">
        <f t="shared" si="0"/>
        <v xml:space="preserve"> </v>
      </c>
      <c r="B3679" s="81" t="str">
        <f t="shared" si="1"/>
        <v xml:space="preserve"> </v>
      </c>
      <c r="C3679" s="79" t="str">
        <f t="shared" si="7"/>
        <v xml:space="preserve"> </v>
      </c>
      <c r="D3679" s="79" t="str">
        <f t="shared" si="5"/>
        <v xml:space="preserve"> </v>
      </c>
      <c r="E3679" s="79" t="str">
        <f t="shared" si="6"/>
        <v xml:space="preserve"> </v>
      </c>
    </row>
    <row r="3680" spans="1:5" ht="12.5">
      <c r="A3680" s="81" t="str">
        <f t="shared" si="0"/>
        <v xml:space="preserve"> </v>
      </c>
      <c r="B3680" s="81" t="str">
        <f t="shared" si="1"/>
        <v xml:space="preserve"> </v>
      </c>
      <c r="C3680" s="79" t="str">
        <f t="shared" si="7"/>
        <v xml:space="preserve"> </v>
      </c>
      <c r="D3680" s="79" t="str">
        <f t="shared" si="5"/>
        <v xml:space="preserve"> </v>
      </c>
      <c r="E3680" s="79" t="str">
        <f t="shared" si="6"/>
        <v xml:space="preserve"> </v>
      </c>
    </row>
    <row r="3681" spans="1:5" ht="12.5">
      <c r="A3681" s="81" t="str">
        <f t="shared" si="0"/>
        <v xml:space="preserve"> </v>
      </c>
      <c r="B3681" s="81" t="str">
        <f t="shared" si="1"/>
        <v xml:space="preserve"> </v>
      </c>
      <c r="C3681" s="79" t="str">
        <f t="shared" si="7"/>
        <v xml:space="preserve"> </v>
      </c>
      <c r="D3681" s="79" t="str">
        <f t="shared" si="5"/>
        <v xml:space="preserve"> </v>
      </c>
      <c r="E3681" s="79" t="str">
        <f t="shared" si="6"/>
        <v xml:space="preserve"> </v>
      </c>
    </row>
    <row r="3682" spans="1:5" ht="12.5">
      <c r="A3682" s="81" t="str">
        <f t="shared" si="0"/>
        <v xml:space="preserve"> </v>
      </c>
      <c r="B3682" s="81" t="str">
        <f t="shared" si="1"/>
        <v xml:space="preserve"> </v>
      </c>
      <c r="C3682" s="79" t="str">
        <f t="shared" si="7"/>
        <v xml:space="preserve"> </v>
      </c>
      <c r="D3682" s="79" t="str">
        <f t="shared" si="5"/>
        <v xml:space="preserve"> </v>
      </c>
      <c r="E3682" s="79" t="str">
        <f t="shared" si="6"/>
        <v xml:space="preserve"> </v>
      </c>
    </row>
    <row r="3683" spans="1:5" ht="12.5">
      <c r="A3683" s="81" t="str">
        <f t="shared" si="0"/>
        <v xml:space="preserve"> </v>
      </c>
      <c r="B3683" s="81" t="str">
        <f t="shared" si="1"/>
        <v xml:space="preserve"> </v>
      </c>
      <c r="C3683" s="79" t="str">
        <f t="shared" si="7"/>
        <v xml:space="preserve"> </v>
      </c>
      <c r="D3683" s="79" t="str">
        <f t="shared" si="5"/>
        <v xml:space="preserve"> </v>
      </c>
      <c r="E3683" s="79" t="str">
        <f t="shared" si="6"/>
        <v xml:space="preserve"> </v>
      </c>
    </row>
    <row r="3684" spans="1:5" ht="12.5">
      <c r="A3684" s="81" t="str">
        <f t="shared" si="0"/>
        <v xml:space="preserve"> </v>
      </c>
      <c r="B3684" s="81" t="str">
        <f t="shared" si="1"/>
        <v xml:space="preserve"> </v>
      </c>
      <c r="C3684" s="79" t="str">
        <f t="shared" si="7"/>
        <v xml:space="preserve"> </v>
      </c>
      <c r="D3684" s="79" t="str">
        <f t="shared" si="5"/>
        <v xml:space="preserve"> </v>
      </c>
      <c r="E3684" s="79" t="str">
        <f t="shared" si="6"/>
        <v xml:space="preserve"> </v>
      </c>
    </row>
    <row r="3685" spans="1:5" ht="12.5">
      <c r="A3685" s="81" t="str">
        <f t="shared" si="0"/>
        <v xml:space="preserve"> </v>
      </c>
      <c r="B3685" s="81" t="str">
        <f t="shared" si="1"/>
        <v xml:space="preserve"> </v>
      </c>
      <c r="C3685" s="79" t="str">
        <f t="shared" si="7"/>
        <v xml:space="preserve"> </v>
      </c>
      <c r="D3685" s="79" t="str">
        <f t="shared" si="5"/>
        <v xml:space="preserve"> </v>
      </c>
      <c r="E3685" s="79" t="str">
        <f t="shared" si="6"/>
        <v xml:space="preserve"> </v>
      </c>
    </row>
    <row r="3686" spans="1:5" ht="12.5">
      <c r="A3686" s="81" t="str">
        <f t="shared" si="0"/>
        <v xml:space="preserve"> </v>
      </c>
      <c r="B3686" s="81" t="str">
        <f t="shared" si="1"/>
        <v xml:space="preserve"> </v>
      </c>
      <c r="C3686" s="79" t="str">
        <f t="shared" si="7"/>
        <v xml:space="preserve"> </v>
      </c>
      <c r="D3686" s="79" t="str">
        <f t="shared" si="5"/>
        <v xml:space="preserve"> </v>
      </c>
      <c r="E3686" s="79" t="str">
        <f t="shared" si="6"/>
        <v xml:space="preserve"> </v>
      </c>
    </row>
    <row r="3687" spans="1:5" ht="12.5">
      <c r="A3687" s="81" t="str">
        <f t="shared" si="0"/>
        <v xml:space="preserve"> </v>
      </c>
      <c r="B3687" s="81" t="str">
        <f t="shared" si="1"/>
        <v xml:space="preserve"> </v>
      </c>
      <c r="C3687" s="79" t="str">
        <f t="shared" si="7"/>
        <v xml:space="preserve"> </v>
      </c>
      <c r="D3687" s="79" t="str">
        <f t="shared" si="5"/>
        <v xml:space="preserve"> </v>
      </c>
      <c r="E3687" s="79" t="str">
        <f t="shared" si="6"/>
        <v xml:space="preserve"> </v>
      </c>
    </row>
    <row r="3688" spans="1:5" ht="12.5">
      <c r="A3688" s="81" t="str">
        <f t="shared" si="0"/>
        <v xml:space="preserve"> </v>
      </c>
      <c r="B3688" s="81" t="str">
        <f t="shared" si="1"/>
        <v xml:space="preserve"> </v>
      </c>
      <c r="C3688" s="79" t="str">
        <f t="shared" si="7"/>
        <v xml:space="preserve"> </v>
      </c>
      <c r="D3688" s="79" t="str">
        <f t="shared" si="5"/>
        <v xml:space="preserve"> </v>
      </c>
      <c r="E3688" s="79" t="str">
        <f t="shared" si="6"/>
        <v xml:space="preserve"> </v>
      </c>
    </row>
    <row r="3689" spans="1:5" ht="12.5">
      <c r="A3689" s="81" t="str">
        <f t="shared" si="0"/>
        <v xml:space="preserve"> </v>
      </c>
      <c r="B3689" s="81" t="str">
        <f t="shared" si="1"/>
        <v xml:space="preserve"> </v>
      </c>
      <c r="C3689" s="79" t="str">
        <f t="shared" si="7"/>
        <v xml:space="preserve"> </v>
      </c>
      <c r="D3689" s="79" t="str">
        <f t="shared" si="5"/>
        <v xml:space="preserve"> </v>
      </c>
      <c r="E3689" s="79" t="str">
        <f t="shared" si="6"/>
        <v xml:space="preserve"> </v>
      </c>
    </row>
    <row r="3690" spans="1:5" ht="12.5">
      <c r="A3690" s="81" t="str">
        <f t="shared" si="0"/>
        <v xml:space="preserve"> </v>
      </c>
      <c r="B3690" s="81" t="str">
        <f t="shared" si="1"/>
        <v xml:space="preserve"> </v>
      </c>
      <c r="C3690" s="79" t="str">
        <f t="shared" si="7"/>
        <v xml:space="preserve"> </v>
      </c>
      <c r="D3690" s="79" t="str">
        <f t="shared" si="5"/>
        <v xml:space="preserve"> </v>
      </c>
      <c r="E3690" s="79" t="str">
        <f t="shared" si="6"/>
        <v xml:space="preserve"> </v>
      </c>
    </row>
    <row r="3691" spans="1:5" ht="12.5">
      <c r="A3691" s="81" t="str">
        <f t="shared" si="0"/>
        <v xml:space="preserve"> </v>
      </c>
      <c r="B3691" s="81" t="str">
        <f t="shared" si="1"/>
        <v xml:space="preserve"> </v>
      </c>
      <c r="C3691" s="79" t="str">
        <f t="shared" si="7"/>
        <v xml:space="preserve"> </v>
      </c>
      <c r="D3691" s="79" t="str">
        <f t="shared" si="5"/>
        <v xml:space="preserve"> </v>
      </c>
      <c r="E3691" s="79" t="str">
        <f t="shared" si="6"/>
        <v xml:space="preserve"> </v>
      </c>
    </row>
    <row r="3692" spans="1:5" ht="12.5">
      <c r="A3692" s="81" t="str">
        <f t="shared" si="0"/>
        <v xml:space="preserve"> </v>
      </c>
      <c r="B3692" s="81" t="str">
        <f t="shared" si="1"/>
        <v xml:space="preserve"> </v>
      </c>
      <c r="C3692" s="79" t="str">
        <f t="shared" si="7"/>
        <v xml:space="preserve"> </v>
      </c>
      <c r="D3692" s="79" t="str">
        <f t="shared" si="5"/>
        <v xml:space="preserve"> </v>
      </c>
      <c r="E3692" s="79" t="str">
        <f t="shared" si="6"/>
        <v xml:space="preserve"> </v>
      </c>
    </row>
    <row r="3693" spans="1:5" ht="12.5">
      <c r="A3693" s="81" t="str">
        <f t="shared" si="0"/>
        <v xml:space="preserve"> </v>
      </c>
      <c r="B3693" s="81" t="str">
        <f t="shared" si="1"/>
        <v xml:space="preserve"> </v>
      </c>
      <c r="C3693" s="79" t="str">
        <f t="shared" si="7"/>
        <v xml:space="preserve"> </v>
      </c>
      <c r="D3693" s="79" t="str">
        <f t="shared" si="5"/>
        <v xml:space="preserve"> </v>
      </c>
      <c r="E3693" s="79" t="str">
        <f t="shared" si="6"/>
        <v xml:space="preserve"> </v>
      </c>
    </row>
    <row r="3694" spans="1:5" ht="12.5">
      <c r="A3694" s="81" t="str">
        <f t="shared" si="0"/>
        <v xml:space="preserve"> </v>
      </c>
      <c r="B3694" s="81" t="str">
        <f t="shared" si="1"/>
        <v xml:space="preserve"> </v>
      </c>
      <c r="C3694" s="79" t="str">
        <f t="shared" si="7"/>
        <v xml:space="preserve"> </v>
      </c>
      <c r="D3694" s="79" t="str">
        <f t="shared" si="5"/>
        <v xml:space="preserve"> </v>
      </c>
      <c r="E3694" s="79" t="str">
        <f t="shared" si="6"/>
        <v xml:space="preserve"> </v>
      </c>
    </row>
    <row r="3695" spans="1:5" ht="12.5">
      <c r="A3695" s="81" t="str">
        <f t="shared" si="0"/>
        <v xml:space="preserve"> </v>
      </c>
      <c r="B3695" s="81" t="str">
        <f t="shared" si="1"/>
        <v xml:space="preserve"> </v>
      </c>
      <c r="C3695" s="79" t="str">
        <f t="shared" si="7"/>
        <v xml:space="preserve"> </v>
      </c>
      <c r="D3695" s="79" t="str">
        <f t="shared" si="5"/>
        <v xml:space="preserve"> </v>
      </c>
      <c r="E3695" s="79" t="str">
        <f t="shared" si="6"/>
        <v xml:space="preserve"> </v>
      </c>
    </row>
    <row r="3696" spans="1:5" ht="12.5">
      <c r="A3696" s="81" t="str">
        <f t="shared" si="0"/>
        <v xml:space="preserve"> </v>
      </c>
      <c r="B3696" s="81" t="str">
        <f t="shared" si="1"/>
        <v xml:space="preserve"> </v>
      </c>
      <c r="C3696" s="79" t="str">
        <f t="shared" si="7"/>
        <v xml:space="preserve"> </v>
      </c>
      <c r="D3696" s="79" t="str">
        <f t="shared" si="5"/>
        <v xml:space="preserve"> </v>
      </c>
      <c r="E3696" s="79" t="str">
        <f t="shared" si="6"/>
        <v xml:space="preserve"> </v>
      </c>
    </row>
    <row r="3697" spans="1:5" ht="12.5">
      <c r="A3697" s="81" t="str">
        <f t="shared" si="0"/>
        <v xml:space="preserve"> </v>
      </c>
      <c r="B3697" s="81" t="str">
        <f t="shared" si="1"/>
        <v xml:space="preserve"> </v>
      </c>
      <c r="C3697" s="79" t="str">
        <f t="shared" si="7"/>
        <v xml:space="preserve"> </v>
      </c>
      <c r="D3697" s="79" t="str">
        <f t="shared" si="5"/>
        <v xml:space="preserve"> </v>
      </c>
      <c r="E3697" s="79" t="str">
        <f t="shared" si="6"/>
        <v xml:space="preserve"> </v>
      </c>
    </row>
    <row r="3698" spans="1:5" ht="12.5">
      <c r="A3698" s="81" t="str">
        <f t="shared" si="0"/>
        <v xml:space="preserve"> </v>
      </c>
      <c r="B3698" s="81" t="str">
        <f t="shared" si="1"/>
        <v xml:space="preserve"> </v>
      </c>
      <c r="C3698" s="79" t="str">
        <f t="shared" si="7"/>
        <v xml:space="preserve"> </v>
      </c>
      <c r="D3698" s="79" t="str">
        <f t="shared" si="5"/>
        <v xml:space="preserve"> </v>
      </c>
      <c r="E3698" s="79" t="str">
        <f t="shared" si="6"/>
        <v xml:space="preserve"> </v>
      </c>
    </row>
    <row r="3699" spans="1:5" ht="12.5">
      <c r="A3699" s="81" t="str">
        <f t="shared" si="0"/>
        <v xml:space="preserve"> </v>
      </c>
      <c r="B3699" s="81" t="str">
        <f t="shared" si="1"/>
        <v xml:space="preserve"> </v>
      </c>
      <c r="C3699" s="79" t="str">
        <f t="shared" si="7"/>
        <v xml:space="preserve"> </v>
      </c>
      <c r="D3699" s="79" t="str">
        <f t="shared" si="5"/>
        <v xml:space="preserve"> </v>
      </c>
      <c r="E3699" s="79" t="str">
        <f t="shared" si="6"/>
        <v xml:space="preserve"> </v>
      </c>
    </row>
    <row r="3700" spans="1:5" ht="12.5">
      <c r="A3700" s="81" t="str">
        <f t="shared" si="0"/>
        <v xml:space="preserve"> </v>
      </c>
      <c r="B3700" s="81" t="str">
        <f t="shared" si="1"/>
        <v xml:space="preserve"> </v>
      </c>
      <c r="C3700" s="79" t="str">
        <f t="shared" si="7"/>
        <v xml:space="preserve"> </v>
      </c>
      <c r="D3700" s="79" t="str">
        <f t="shared" si="5"/>
        <v xml:space="preserve"> </v>
      </c>
      <c r="E3700" s="79" t="str">
        <f t="shared" si="6"/>
        <v xml:space="preserve"> </v>
      </c>
    </row>
    <row r="3701" spans="1:5" ht="12.5">
      <c r="A3701" s="81" t="str">
        <f t="shared" si="0"/>
        <v xml:space="preserve"> </v>
      </c>
      <c r="B3701" s="81" t="str">
        <f t="shared" si="1"/>
        <v xml:space="preserve"> </v>
      </c>
      <c r="C3701" s="79" t="str">
        <f t="shared" si="7"/>
        <v xml:space="preserve"> </v>
      </c>
      <c r="D3701" s="79" t="str">
        <f t="shared" si="5"/>
        <v xml:space="preserve"> </v>
      </c>
      <c r="E3701" s="79" t="str">
        <f t="shared" si="6"/>
        <v xml:space="preserve"> </v>
      </c>
    </row>
    <row r="3702" spans="1:5" ht="12.5">
      <c r="A3702" s="81" t="str">
        <f t="shared" si="0"/>
        <v xml:space="preserve"> </v>
      </c>
      <c r="B3702" s="81" t="str">
        <f t="shared" si="1"/>
        <v xml:space="preserve"> </v>
      </c>
      <c r="C3702" s="79" t="str">
        <f t="shared" si="7"/>
        <v xml:space="preserve"> </v>
      </c>
      <c r="D3702" s="79" t="str">
        <f t="shared" si="5"/>
        <v xml:space="preserve"> </v>
      </c>
      <c r="E3702" s="79" t="str">
        <f t="shared" si="6"/>
        <v xml:space="preserve"> </v>
      </c>
    </row>
    <row r="3703" spans="1:5" ht="12.5">
      <c r="A3703" s="81" t="str">
        <f t="shared" si="0"/>
        <v xml:space="preserve"> </v>
      </c>
      <c r="B3703" s="81" t="str">
        <f t="shared" si="1"/>
        <v xml:space="preserve"> </v>
      </c>
      <c r="C3703" s="79" t="str">
        <f t="shared" si="7"/>
        <v xml:space="preserve"> </v>
      </c>
      <c r="D3703" s="79" t="str">
        <f t="shared" si="5"/>
        <v xml:space="preserve"> </v>
      </c>
      <c r="E3703" s="79" t="str">
        <f t="shared" si="6"/>
        <v xml:space="preserve"> </v>
      </c>
    </row>
    <row r="3704" spans="1:5" ht="12.5">
      <c r="A3704" s="81" t="str">
        <f t="shared" si="0"/>
        <v xml:space="preserve"> </v>
      </c>
      <c r="B3704" s="81" t="str">
        <f t="shared" si="1"/>
        <v xml:space="preserve"> </v>
      </c>
      <c r="C3704" s="79" t="str">
        <f t="shared" si="7"/>
        <v xml:space="preserve"> </v>
      </c>
      <c r="D3704" s="79" t="str">
        <f t="shared" si="5"/>
        <v xml:space="preserve"> </v>
      </c>
      <c r="E3704" s="79" t="str">
        <f t="shared" si="6"/>
        <v xml:space="preserve"> </v>
      </c>
    </row>
    <row r="3705" spans="1:5" ht="12.5">
      <c r="A3705" s="81" t="str">
        <f t="shared" si="0"/>
        <v xml:space="preserve"> </v>
      </c>
      <c r="B3705" s="81" t="str">
        <f t="shared" si="1"/>
        <v xml:space="preserve"> </v>
      </c>
      <c r="C3705" s="79" t="str">
        <f t="shared" si="7"/>
        <v xml:space="preserve"> </v>
      </c>
      <c r="D3705" s="79" t="str">
        <f t="shared" si="5"/>
        <v xml:space="preserve"> </v>
      </c>
      <c r="E3705" s="79" t="str">
        <f t="shared" si="6"/>
        <v xml:space="preserve"> </v>
      </c>
    </row>
    <row r="3706" spans="1:5" ht="12.5">
      <c r="A3706" s="81" t="str">
        <f t="shared" si="0"/>
        <v xml:space="preserve"> </v>
      </c>
      <c r="B3706" s="81" t="str">
        <f t="shared" si="1"/>
        <v xml:space="preserve"> </v>
      </c>
      <c r="C3706" s="79" t="str">
        <f t="shared" si="7"/>
        <v xml:space="preserve"> </v>
      </c>
      <c r="D3706" s="79" t="str">
        <f t="shared" si="5"/>
        <v xml:space="preserve"> </v>
      </c>
      <c r="E3706" s="79" t="str">
        <f t="shared" si="6"/>
        <v xml:space="preserve"> </v>
      </c>
    </row>
    <row r="3707" spans="1:5" ht="12.5">
      <c r="A3707" s="81" t="str">
        <f t="shared" si="0"/>
        <v xml:space="preserve"> </v>
      </c>
      <c r="B3707" s="81" t="str">
        <f t="shared" si="1"/>
        <v xml:space="preserve"> </v>
      </c>
      <c r="C3707" s="79" t="str">
        <f t="shared" si="7"/>
        <v xml:space="preserve"> </v>
      </c>
      <c r="D3707" s="79" t="str">
        <f t="shared" si="5"/>
        <v xml:space="preserve"> </v>
      </c>
      <c r="E3707" s="79" t="str">
        <f t="shared" si="6"/>
        <v xml:space="preserve"> </v>
      </c>
    </row>
    <row r="3708" spans="1:5" ht="12.5">
      <c r="A3708" s="81" t="str">
        <f t="shared" si="0"/>
        <v xml:space="preserve"> </v>
      </c>
      <c r="B3708" s="81" t="str">
        <f t="shared" si="1"/>
        <v xml:space="preserve"> </v>
      </c>
      <c r="C3708" s="79" t="str">
        <f t="shared" si="7"/>
        <v xml:space="preserve"> </v>
      </c>
      <c r="D3708" s="79" t="str">
        <f t="shared" si="5"/>
        <v xml:space="preserve"> </v>
      </c>
      <c r="E3708" s="79" t="str">
        <f t="shared" si="6"/>
        <v xml:space="preserve"> </v>
      </c>
    </row>
    <row r="3709" spans="1:5" ht="12.5">
      <c r="A3709" s="81" t="str">
        <f t="shared" si="0"/>
        <v xml:space="preserve"> </v>
      </c>
      <c r="B3709" s="81" t="str">
        <f t="shared" si="1"/>
        <v xml:space="preserve"> </v>
      </c>
      <c r="C3709" s="79" t="str">
        <f t="shared" si="7"/>
        <v xml:space="preserve"> </v>
      </c>
      <c r="D3709" s="79" t="str">
        <f t="shared" si="5"/>
        <v xml:space="preserve"> </v>
      </c>
      <c r="E3709" s="79" t="str">
        <f t="shared" si="6"/>
        <v xml:space="preserve"> </v>
      </c>
    </row>
    <row r="3710" spans="1:5" ht="12.5">
      <c r="A3710" s="81" t="str">
        <f t="shared" si="0"/>
        <v xml:space="preserve"> </v>
      </c>
      <c r="B3710" s="81" t="str">
        <f t="shared" si="1"/>
        <v xml:space="preserve"> </v>
      </c>
      <c r="C3710" s="79" t="str">
        <f t="shared" si="7"/>
        <v xml:space="preserve"> </v>
      </c>
      <c r="D3710" s="79" t="str">
        <f t="shared" si="5"/>
        <v xml:space="preserve"> </v>
      </c>
      <c r="E3710" s="79" t="str">
        <f t="shared" si="6"/>
        <v xml:space="preserve"> </v>
      </c>
    </row>
    <row r="3711" spans="1:5" ht="12.5">
      <c r="A3711" s="81" t="str">
        <f t="shared" si="0"/>
        <v xml:space="preserve"> </v>
      </c>
      <c r="B3711" s="81" t="str">
        <f t="shared" si="1"/>
        <v xml:space="preserve"> </v>
      </c>
      <c r="C3711" s="79" t="str">
        <f t="shared" si="7"/>
        <v xml:space="preserve"> </v>
      </c>
      <c r="D3711" s="79" t="str">
        <f t="shared" si="5"/>
        <v xml:space="preserve"> </v>
      </c>
      <c r="E3711" s="79" t="str">
        <f t="shared" si="6"/>
        <v xml:space="preserve"> </v>
      </c>
    </row>
    <row r="3712" spans="1:5" ht="12.5">
      <c r="A3712" s="81" t="str">
        <f t="shared" si="0"/>
        <v xml:space="preserve"> </v>
      </c>
      <c r="B3712" s="81" t="str">
        <f t="shared" si="1"/>
        <v xml:space="preserve"> </v>
      </c>
      <c r="C3712" s="79" t="str">
        <f t="shared" si="7"/>
        <v xml:space="preserve"> </v>
      </c>
      <c r="D3712" s="79" t="str">
        <f t="shared" si="5"/>
        <v xml:space="preserve"> </v>
      </c>
      <c r="E3712" s="79" t="str">
        <f t="shared" si="6"/>
        <v xml:space="preserve"> </v>
      </c>
    </row>
    <row r="3713" spans="1:5" ht="12.5">
      <c r="A3713" s="81" t="str">
        <f t="shared" si="0"/>
        <v xml:space="preserve"> </v>
      </c>
      <c r="B3713" s="81" t="str">
        <f t="shared" si="1"/>
        <v xml:space="preserve"> </v>
      </c>
      <c r="C3713" s="79" t="str">
        <f t="shared" si="7"/>
        <v xml:space="preserve"> </v>
      </c>
      <c r="D3713" s="79" t="str">
        <f t="shared" si="5"/>
        <v xml:space="preserve"> </v>
      </c>
      <c r="E3713" s="79" t="str">
        <f t="shared" si="6"/>
        <v xml:space="preserve"> </v>
      </c>
    </row>
    <row r="3714" spans="1:5" ht="12.5">
      <c r="A3714" s="81" t="str">
        <f t="shared" si="0"/>
        <v xml:space="preserve"> </v>
      </c>
      <c r="B3714" s="81" t="str">
        <f t="shared" si="1"/>
        <v xml:space="preserve"> </v>
      </c>
      <c r="C3714" s="79" t="str">
        <f t="shared" si="7"/>
        <v xml:space="preserve"> </v>
      </c>
      <c r="D3714" s="79" t="str">
        <f t="shared" si="5"/>
        <v xml:space="preserve"> </v>
      </c>
      <c r="E3714" s="79" t="str">
        <f t="shared" si="6"/>
        <v xml:space="preserve"> </v>
      </c>
    </row>
    <row r="3715" spans="1:5" ht="12.5">
      <c r="A3715" s="81" t="str">
        <f t="shared" si="0"/>
        <v xml:space="preserve"> </v>
      </c>
      <c r="B3715" s="81" t="str">
        <f t="shared" si="1"/>
        <v xml:space="preserve"> </v>
      </c>
      <c r="C3715" s="79" t="str">
        <f t="shared" si="7"/>
        <v xml:space="preserve"> </v>
      </c>
      <c r="D3715" s="79" t="str">
        <f t="shared" si="5"/>
        <v xml:space="preserve"> </v>
      </c>
      <c r="E3715" s="79" t="str">
        <f t="shared" si="6"/>
        <v xml:space="preserve"> </v>
      </c>
    </row>
    <row r="3716" spans="1:5" ht="12.5">
      <c r="A3716" s="81" t="str">
        <f t="shared" si="0"/>
        <v xml:space="preserve"> </v>
      </c>
      <c r="B3716" s="81" t="str">
        <f t="shared" si="1"/>
        <v xml:space="preserve"> </v>
      </c>
      <c r="C3716" s="79" t="str">
        <f t="shared" si="7"/>
        <v xml:space="preserve"> </v>
      </c>
      <c r="D3716" s="79" t="str">
        <f t="shared" si="5"/>
        <v xml:space="preserve"> </v>
      </c>
      <c r="E3716" s="79" t="str">
        <f t="shared" si="6"/>
        <v xml:space="preserve"> </v>
      </c>
    </row>
    <row r="3717" spans="1:5" ht="12.5">
      <c r="A3717" s="81" t="str">
        <f t="shared" si="0"/>
        <v xml:space="preserve"> </v>
      </c>
      <c r="B3717" s="81" t="str">
        <f t="shared" si="1"/>
        <v xml:space="preserve"> </v>
      </c>
      <c r="C3717" s="79" t="str">
        <f t="shared" si="7"/>
        <v xml:space="preserve"> </v>
      </c>
      <c r="D3717" s="79" t="str">
        <f t="shared" si="5"/>
        <v xml:space="preserve"> </v>
      </c>
      <c r="E3717" s="79" t="str">
        <f t="shared" si="6"/>
        <v xml:space="preserve"> </v>
      </c>
    </row>
    <row r="3718" spans="1:5" ht="12.5">
      <c r="A3718" s="81" t="str">
        <f t="shared" si="0"/>
        <v xml:space="preserve"> </v>
      </c>
      <c r="B3718" s="81" t="str">
        <f t="shared" si="1"/>
        <v xml:space="preserve"> </v>
      </c>
      <c r="C3718" s="79" t="str">
        <f t="shared" si="7"/>
        <v xml:space="preserve"> </v>
      </c>
      <c r="D3718" s="79" t="str">
        <f t="shared" si="5"/>
        <v xml:space="preserve"> </v>
      </c>
      <c r="E3718" s="79" t="str">
        <f t="shared" si="6"/>
        <v xml:space="preserve"> </v>
      </c>
    </row>
    <row r="3719" spans="1:5" ht="12.5">
      <c r="A3719" s="81" t="str">
        <f t="shared" si="0"/>
        <v xml:space="preserve"> </v>
      </c>
      <c r="B3719" s="81" t="str">
        <f t="shared" si="1"/>
        <v xml:space="preserve"> </v>
      </c>
      <c r="C3719" s="79" t="str">
        <f t="shared" si="7"/>
        <v xml:space="preserve"> </v>
      </c>
      <c r="D3719" s="79" t="str">
        <f t="shared" si="5"/>
        <v xml:space="preserve"> </v>
      </c>
      <c r="E3719" s="79" t="str">
        <f t="shared" si="6"/>
        <v xml:space="preserve"> </v>
      </c>
    </row>
    <row r="3720" spans="1:5" ht="12.5">
      <c r="A3720" s="81" t="str">
        <f t="shared" si="0"/>
        <v xml:space="preserve"> </v>
      </c>
      <c r="B3720" s="81" t="str">
        <f t="shared" si="1"/>
        <v xml:space="preserve"> </v>
      </c>
      <c r="C3720" s="79" t="str">
        <f t="shared" si="7"/>
        <v xml:space="preserve"> </v>
      </c>
      <c r="D3720" s="79" t="str">
        <f t="shared" si="5"/>
        <v xml:space="preserve"> </v>
      </c>
      <c r="E3720" s="79" t="str">
        <f t="shared" si="6"/>
        <v xml:space="preserve"> </v>
      </c>
    </row>
    <row r="3721" spans="1:5" ht="12.5">
      <c r="A3721" s="81" t="str">
        <f t="shared" si="0"/>
        <v xml:space="preserve"> </v>
      </c>
      <c r="B3721" s="81" t="str">
        <f t="shared" si="1"/>
        <v xml:space="preserve"> </v>
      </c>
      <c r="C3721" s="79" t="str">
        <f t="shared" si="7"/>
        <v xml:space="preserve"> </v>
      </c>
      <c r="D3721" s="79" t="str">
        <f t="shared" si="5"/>
        <v xml:space="preserve"> </v>
      </c>
      <c r="E3721" s="79" t="str">
        <f t="shared" si="6"/>
        <v xml:space="preserve"> </v>
      </c>
    </row>
    <row r="3722" spans="1:5" ht="12.5">
      <c r="A3722" s="81" t="str">
        <f t="shared" si="0"/>
        <v xml:space="preserve"> </v>
      </c>
      <c r="B3722" s="81" t="str">
        <f t="shared" si="1"/>
        <v xml:space="preserve"> </v>
      </c>
      <c r="C3722" s="79" t="str">
        <f t="shared" si="7"/>
        <v xml:space="preserve"> </v>
      </c>
      <c r="D3722" s="79" t="str">
        <f t="shared" si="5"/>
        <v xml:space="preserve"> </v>
      </c>
      <c r="E3722" s="79" t="str">
        <f t="shared" si="6"/>
        <v xml:space="preserve"> </v>
      </c>
    </row>
    <row r="3723" spans="1:5" ht="12.5">
      <c r="A3723" s="81" t="str">
        <f t="shared" si="0"/>
        <v xml:space="preserve"> </v>
      </c>
      <c r="B3723" s="81" t="str">
        <f t="shared" si="1"/>
        <v xml:space="preserve"> </v>
      </c>
      <c r="C3723" s="79" t="str">
        <f t="shared" si="7"/>
        <v xml:space="preserve"> </v>
      </c>
      <c r="D3723" s="79" t="str">
        <f t="shared" si="5"/>
        <v xml:space="preserve"> </v>
      </c>
      <c r="E3723" s="79" t="str">
        <f t="shared" si="6"/>
        <v xml:space="preserve"> </v>
      </c>
    </row>
    <row r="3724" spans="1:5" ht="12.5">
      <c r="A3724" s="81" t="str">
        <f t="shared" si="0"/>
        <v xml:space="preserve"> </v>
      </c>
      <c r="B3724" s="81" t="str">
        <f t="shared" si="1"/>
        <v xml:space="preserve"> </v>
      </c>
      <c r="C3724" s="79" t="str">
        <f t="shared" si="7"/>
        <v xml:space="preserve"> </v>
      </c>
      <c r="D3724" s="79" t="str">
        <f t="shared" si="5"/>
        <v xml:space="preserve"> </v>
      </c>
      <c r="E3724" s="79" t="str">
        <f t="shared" si="6"/>
        <v xml:space="preserve"> </v>
      </c>
    </row>
    <row r="3725" spans="1:5" ht="12.5">
      <c r="A3725" s="81" t="str">
        <f t="shared" si="0"/>
        <v xml:space="preserve"> </v>
      </c>
      <c r="B3725" s="81" t="str">
        <f t="shared" si="1"/>
        <v xml:space="preserve"> </v>
      </c>
      <c r="C3725" s="79" t="str">
        <f t="shared" si="7"/>
        <v xml:space="preserve"> </v>
      </c>
      <c r="D3725" s="79" t="str">
        <f t="shared" si="5"/>
        <v xml:space="preserve"> </v>
      </c>
      <c r="E3725" s="79" t="str">
        <f t="shared" si="6"/>
        <v xml:space="preserve"> </v>
      </c>
    </row>
    <row r="3726" spans="1:5" ht="12.5">
      <c r="A3726" s="81" t="str">
        <f t="shared" si="0"/>
        <v xml:space="preserve"> </v>
      </c>
      <c r="B3726" s="81" t="str">
        <f t="shared" si="1"/>
        <v xml:space="preserve"> </v>
      </c>
      <c r="C3726" s="79" t="str">
        <f t="shared" si="7"/>
        <v xml:space="preserve"> </v>
      </c>
      <c r="D3726" s="79" t="str">
        <f t="shared" si="5"/>
        <v xml:space="preserve"> </v>
      </c>
      <c r="E3726" s="79" t="str">
        <f t="shared" si="6"/>
        <v xml:space="preserve"> </v>
      </c>
    </row>
    <row r="3727" spans="1:5" ht="12.5">
      <c r="A3727" s="81" t="str">
        <f t="shared" si="0"/>
        <v xml:space="preserve"> </v>
      </c>
      <c r="B3727" s="81" t="str">
        <f t="shared" si="1"/>
        <v xml:space="preserve"> </v>
      </c>
      <c r="C3727" s="79" t="str">
        <f t="shared" si="7"/>
        <v xml:space="preserve"> </v>
      </c>
      <c r="D3727" s="79" t="str">
        <f t="shared" si="5"/>
        <v xml:space="preserve"> </v>
      </c>
      <c r="E3727" s="79" t="str">
        <f t="shared" si="6"/>
        <v xml:space="preserve"> </v>
      </c>
    </row>
    <row r="3728" spans="1:5" ht="12.5">
      <c r="A3728" s="81" t="str">
        <f t="shared" si="0"/>
        <v xml:space="preserve"> </v>
      </c>
      <c r="B3728" s="81" t="str">
        <f t="shared" si="1"/>
        <v xml:space="preserve"> </v>
      </c>
      <c r="C3728" s="79" t="str">
        <f t="shared" si="7"/>
        <v xml:space="preserve"> </v>
      </c>
      <c r="D3728" s="79" t="str">
        <f t="shared" si="5"/>
        <v xml:space="preserve"> </v>
      </c>
      <c r="E3728" s="79" t="str">
        <f t="shared" si="6"/>
        <v xml:space="preserve"> </v>
      </c>
    </row>
    <row r="3729" spans="1:5" ht="12.5">
      <c r="A3729" s="81" t="str">
        <f t="shared" si="0"/>
        <v xml:space="preserve"> </v>
      </c>
      <c r="B3729" s="81" t="str">
        <f t="shared" si="1"/>
        <v xml:space="preserve"> </v>
      </c>
      <c r="C3729" s="79" t="str">
        <f t="shared" si="7"/>
        <v xml:space="preserve"> </v>
      </c>
      <c r="D3729" s="79" t="str">
        <f t="shared" si="5"/>
        <v xml:space="preserve"> </v>
      </c>
      <c r="E3729" s="79" t="str">
        <f t="shared" si="6"/>
        <v xml:space="preserve"> </v>
      </c>
    </row>
    <row r="3730" spans="1:5" ht="12.5">
      <c r="A3730" s="81" t="str">
        <f t="shared" si="0"/>
        <v xml:space="preserve"> </v>
      </c>
      <c r="B3730" s="81" t="str">
        <f t="shared" si="1"/>
        <v xml:space="preserve"> </v>
      </c>
      <c r="C3730" s="79" t="str">
        <f t="shared" si="7"/>
        <v xml:space="preserve"> </v>
      </c>
      <c r="D3730" s="79" t="str">
        <f t="shared" si="5"/>
        <v xml:space="preserve"> </v>
      </c>
      <c r="E3730" s="79" t="str">
        <f t="shared" si="6"/>
        <v xml:space="preserve"> </v>
      </c>
    </row>
    <row r="3731" spans="1:5" ht="12.5">
      <c r="A3731" s="81" t="str">
        <f t="shared" si="0"/>
        <v xml:space="preserve"> </v>
      </c>
      <c r="B3731" s="81" t="str">
        <f t="shared" si="1"/>
        <v xml:space="preserve"> </v>
      </c>
      <c r="C3731" s="79" t="str">
        <f t="shared" si="7"/>
        <v xml:space="preserve"> </v>
      </c>
      <c r="D3731" s="79" t="str">
        <f t="shared" si="5"/>
        <v xml:space="preserve"> </v>
      </c>
      <c r="E3731" s="79" t="str">
        <f t="shared" si="6"/>
        <v xml:space="preserve"> </v>
      </c>
    </row>
    <row r="3732" spans="1:5" ht="12.5">
      <c r="A3732" s="81" t="str">
        <f t="shared" si="0"/>
        <v xml:space="preserve"> </v>
      </c>
      <c r="B3732" s="81" t="str">
        <f t="shared" si="1"/>
        <v xml:space="preserve"> </v>
      </c>
      <c r="C3732" s="79" t="str">
        <f t="shared" si="7"/>
        <v xml:space="preserve"> </v>
      </c>
      <c r="D3732" s="79" t="str">
        <f t="shared" si="5"/>
        <v xml:space="preserve"> </v>
      </c>
      <c r="E3732" s="79" t="str">
        <f t="shared" si="6"/>
        <v xml:space="preserve"> </v>
      </c>
    </row>
    <row r="3733" spans="1:5" ht="12.5">
      <c r="A3733" s="81" t="str">
        <f t="shared" si="0"/>
        <v xml:space="preserve"> </v>
      </c>
      <c r="B3733" s="81" t="str">
        <f t="shared" si="1"/>
        <v xml:space="preserve"> </v>
      </c>
      <c r="C3733" s="79" t="str">
        <f t="shared" si="7"/>
        <v xml:space="preserve"> </v>
      </c>
      <c r="D3733" s="79" t="str">
        <f t="shared" si="5"/>
        <v xml:space="preserve"> </v>
      </c>
      <c r="E3733" s="79" t="str">
        <f t="shared" si="6"/>
        <v xml:space="preserve"> </v>
      </c>
    </row>
    <row r="3734" spans="1:5" ht="12.5">
      <c r="A3734" s="81" t="str">
        <f t="shared" si="0"/>
        <v xml:space="preserve"> </v>
      </c>
      <c r="B3734" s="81" t="str">
        <f t="shared" si="1"/>
        <v xml:space="preserve"> </v>
      </c>
      <c r="C3734" s="79" t="str">
        <f t="shared" si="7"/>
        <v xml:space="preserve"> </v>
      </c>
      <c r="D3734" s="79" t="str">
        <f t="shared" si="5"/>
        <v xml:space="preserve"> </v>
      </c>
      <c r="E3734" s="79" t="str">
        <f t="shared" si="6"/>
        <v xml:space="preserve"> </v>
      </c>
    </row>
    <row r="3735" spans="1:5" ht="12.5">
      <c r="A3735" s="81" t="str">
        <f t="shared" si="0"/>
        <v xml:space="preserve"> </v>
      </c>
      <c r="B3735" s="81" t="str">
        <f t="shared" si="1"/>
        <v xml:space="preserve"> </v>
      </c>
      <c r="C3735" s="79" t="str">
        <f t="shared" si="7"/>
        <v xml:space="preserve"> </v>
      </c>
      <c r="D3735" s="79" t="str">
        <f t="shared" si="5"/>
        <v xml:space="preserve"> </v>
      </c>
      <c r="E3735" s="79" t="str">
        <f t="shared" si="6"/>
        <v xml:space="preserve"> </v>
      </c>
    </row>
    <row r="3736" spans="1:5" ht="12.5">
      <c r="A3736" s="81" t="str">
        <f t="shared" si="0"/>
        <v xml:space="preserve"> </v>
      </c>
      <c r="B3736" s="81" t="str">
        <f t="shared" si="1"/>
        <v xml:space="preserve"> </v>
      </c>
      <c r="C3736" s="79" t="str">
        <f t="shared" si="7"/>
        <v xml:space="preserve"> </v>
      </c>
      <c r="D3736" s="79" t="str">
        <f t="shared" si="5"/>
        <v xml:space="preserve"> </v>
      </c>
      <c r="E3736" s="79" t="str">
        <f t="shared" si="6"/>
        <v xml:space="preserve"> </v>
      </c>
    </row>
    <row r="3737" spans="1:5" ht="12.5">
      <c r="A3737" s="81" t="str">
        <f t="shared" si="0"/>
        <v xml:space="preserve"> </v>
      </c>
      <c r="B3737" s="81" t="str">
        <f t="shared" si="1"/>
        <v xml:space="preserve"> </v>
      </c>
      <c r="C3737" s="79" t="str">
        <f t="shared" si="7"/>
        <v xml:space="preserve"> </v>
      </c>
      <c r="D3737" s="79" t="str">
        <f t="shared" si="5"/>
        <v xml:space="preserve"> </v>
      </c>
      <c r="E3737" s="79" t="str">
        <f t="shared" si="6"/>
        <v xml:space="preserve"> </v>
      </c>
    </row>
    <row r="3738" spans="1:5" ht="12.5">
      <c r="A3738" s="81" t="str">
        <f t="shared" si="0"/>
        <v xml:space="preserve"> </v>
      </c>
      <c r="B3738" s="81" t="str">
        <f t="shared" si="1"/>
        <v xml:space="preserve"> </v>
      </c>
      <c r="C3738" s="79" t="str">
        <f t="shared" si="7"/>
        <v xml:space="preserve"> </v>
      </c>
      <c r="D3738" s="79" t="str">
        <f t="shared" si="5"/>
        <v xml:space="preserve"> </v>
      </c>
      <c r="E3738" s="79" t="str">
        <f t="shared" si="6"/>
        <v xml:space="preserve"> </v>
      </c>
    </row>
    <row r="3739" spans="1:5" ht="12.5">
      <c r="A3739" s="81" t="str">
        <f t="shared" si="0"/>
        <v xml:space="preserve"> </v>
      </c>
      <c r="B3739" s="81" t="str">
        <f t="shared" si="1"/>
        <v xml:space="preserve"> </v>
      </c>
      <c r="C3739" s="79" t="str">
        <f t="shared" si="7"/>
        <v xml:space="preserve"> </v>
      </c>
      <c r="D3739" s="79" t="str">
        <f t="shared" si="5"/>
        <v xml:space="preserve"> </v>
      </c>
      <c r="E3739" s="79" t="str">
        <f t="shared" si="6"/>
        <v xml:space="preserve"> </v>
      </c>
    </row>
    <row r="3740" spans="1:5" ht="12.5">
      <c r="A3740" s="81" t="str">
        <f t="shared" si="0"/>
        <v xml:space="preserve"> </v>
      </c>
      <c r="B3740" s="81" t="str">
        <f t="shared" si="1"/>
        <v xml:space="preserve"> </v>
      </c>
      <c r="C3740" s="79" t="str">
        <f t="shared" si="7"/>
        <v xml:space="preserve"> </v>
      </c>
      <c r="D3740" s="79" t="str">
        <f t="shared" si="5"/>
        <v xml:space="preserve"> </v>
      </c>
      <c r="E3740" s="79" t="str">
        <f t="shared" si="6"/>
        <v xml:space="preserve"> </v>
      </c>
    </row>
    <row r="3741" spans="1:5" ht="12.5">
      <c r="A3741" s="81" t="str">
        <f t="shared" si="0"/>
        <v xml:space="preserve"> </v>
      </c>
      <c r="B3741" s="81" t="str">
        <f t="shared" si="1"/>
        <v xml:space="preserve"> </v>
      </c>
      <c r="C3741" s="79" t="str">
        <f t="shared" si="7"/>
        <v xml:space="preserve"> </v>
      </c>
      <c r="D3741" s="79" t="str">
        <f t="shared" si="5"/>
        <v xml:space="preserve"> </v>
      </c>
      <c r="E3741" s="79" t="str">
        <f t="shared" si="6"/>
        <v xml:space="preserve"> </v>
      </c>
    </row>
    <row r="3742" spans="1:5" ht="12.5">
      <c r="A3742" s="81" t="str">
        <f t="shared" si="0"/>
        <v xml:space="preserve"> </v>
      </c>
      <c r="B3742" s="81" t="str">
        <f t="shared" si="1"/>
        <v xml:space="preserve"> </v>
      </c>
      <c r="C3742" s="79" t="str">
        <f t="shared" si="7"/>
        <v xml:space="preserve"> </v>
      </c>
      <c r="D3742" s="79" t="str">
        <f t="shared" si="5"/>
        <v xml:space="preserve"> </v>
      </c>
      <c r="E3742" s="79" t="str">
        <f t="shared" si="6"/>
        <v xml:space="preserve"> </v>
      </c>
    </row>
    <row r="3743" spans="1:5" ht="12.5">
      <c r="A3743" s="81" t="str">
        <f t="shared" si="0"/>
        <v xml:space="preserve"> </v>
      </c>
      <c r="B3743" s="81" t="str">
        <f t="shared" si="1"/>
        <v xml:space="preserve"> </v>
      </c>
      <c r="C3743" s="79" t="str">
        <f t="shared" si="7"/>
        <v xml:space="preserve"> </v>
      </c>
      <c r="D3743" s="79" t="str">
        <f t="shared" si="5"/>
        <v xml:space="preserve"> </v>
      </c>
      <c r="E3743" s="79" t="str">
        <f t="shared" si="6"/>
        <v xml:space="preserve"> </v>
      </c>
    </row>
    <row r="3744" spans="1:5" ht="12.5">
      <c r="A3744" s="81" t="str">
        <f t="shared" si="0"/>
        <v xml:space="preserve"> </v>
      </c>
      <c r="B3744" s="81" t="str">
        <f t="shared" si="1"/>
        <v xml:space="preserve"> </v>
      </c>
      <c r="C3744" s="79" t="str">
        <f t="shared" si="7"/>
        <v xml:space="preserve"> </v>
      </c>
      <c r="D3744" s="79" t="str">
        <f t="shared" si="5"/>
        <v xml:space="preserve"> </v>
      </c>
      <c r="E3744" s="79" t="str">
        <f t="shared" si="6"/>
        <v xml:space="preserve"> </v>
      </c>
    </row>
    <row r="3745" spans="1:5" ht="12.5">
      <c r="A3745" s="81" t="str">
        <f t="shared" si="0"/>
        <v xml:space="preserve"> </v>
      </c>
      <c r="B3745" s="81" t="str">
        <f t="shared" si="1"/>
        <v xml:space="preserve"> </v>
      </c>
      <c r="C3745" s="79" t="str">
        <f t="shared" si="7"/>
        <v xml:space="preserve"> </v>
      </c>
      <c r="D3745" s="79" t="str">
        <f t="shared" si="5"/>
        <v xml:space="preserve"> </v>
      </c>
      <c r="E3745" s="79" t="str">
        <f t="shared" si="6"/>
        <v xml:space="preserve"> </v>
      </c>
    </row>
    <row r="3746" spans="1:5" ht="12.5">
      <c r="A3746" s="81" t="str">
        <f t="shared" si="0"/>
        <v xml:space="preserve"> </v>
      </c>
      <c r="B3746" s="81" t="str">
        <f t="shared" si="1"/>
        <v xml:space="preserve"> </v>
      </c>
      <c r="C3746" s="79" t="str">
        <f t="shared" si="7"/>
        <v xml:space="preserve"> </v>
      </c>
      <c r="D3746" s="79" t="str">
        <f t="shared" si="5"/>
        <v xml:space="preserve"> </v>
      </c>
      <c r="E3746" s="79" t="str">
        <f t="shared" si="6"/>
        <v xml:space="preserve"> </v>
      </c>
    </row>
    <row r="3747" spans="1:5" ht="12.5">
      <c r="A3747" s="81" t="str">
        <f t="shared" si="0"/>
        <v xml:space="preserve"> </v>
      </c>
      <c r="B3747" s="81" t="str">
        <f t="shared" si="1"/>
        <v xml:space="preserve"> </v>
      </c>
      <c r="C3747" s="79" t="str">
        <f t="shared" si="7"/>
        <v xml:space="preserve"> </v>
      </c>
      <c r="D3747" s="79" t="str">
        <f t="shared" si="5"/>
        <v xml:space="preserve"> </v>
      </c>
      <c r="E3747" s="79" t="str">
        <f t="shared" si="6"/>
        <v xml:space="preserve"> </v>
      </c>
    </row>
    <row r="3748" spans="1:5" ht="12.5">
      <c r="A3748" s="81" t="str">
        <f t="shared" si="0"/>
        <v xml:space="preserve"> </v>
      </c>
      <c r="B3748" s="81" t="str">
        <f t="shared" si="1"/>
        <v xml:space="preserve"> </v>
      </c>
      <c r="C3748" s="79" t="str">
        <f t="shared" si="7"/>
        <v xml:space="preserve"> </v>
      </c>
      <c r="D3748" s="79" t="str">
        <f t="shared" si="5"/>
        <v xml:space="preserve"> </v>
      </c>
      <c r="E3748" s="79" t="str">
        <f t="shared" si="6"/>
        <v xml:space="preserve"> </v>
      </c>
    </row>
    <row r="3749" spans="1:5" ht="12.5">
      <c r="A3749" s="81" t="str">
        <f t="shared" si="0"/>
        <v xml:space="preserve"> </v>
      </c>
      <c r="B3749" s="81" t="str">
        <f t="shared" si="1"/>
        <v xml:space="preserve"> </v>
      </c>
      <c r="C3749" s="79" t="str">
        <f t="shared" si="7"/>
        <v xml:space="preserve"> </v>
      </c>
      <c r="D3749" s="79" t="str">
        <f t="shared" si="5"/>
        <v xml:space="preserve"> </v>
      </c>
      <c r="E3749" s="79" t="str">
        <f t="shared" si="6"/>
        <v xml:space="preserve"> </v>
      </c>
    </row>
    <row r="3750" spans="1:5" ht="12.5">
      <c r="A3750" s="81" t="str">
        <f t="shared" si="0"/>
        <v xml:space="preserve"> </v>
      </c>
      <c r="B3750" s="81" t="str">
        <f t="shared" si="1"/>
        <v xml:space="preserve"> </v>
      </c>
      <c r="C3750" s="79" t="str">
        <f t="shared" si="7"/>
        <v xml:space="preserve"> </v>
      </c>
      <c r="D3750" s="79" t="str">
        <f t="shared" si="5"/>
        <v xml:space="preserve"> </v>
      </c>
      <c r="E3750" s="79" t="str">
        <f t="shared" si="6"/>
        <v xml:space="preserve"> </v>
      </c>
    </row>
    <row r="3751" spans="1:5" ht="12.5">
      <c r="A3751" s="81" t="str">
        <f t="shared" si="0"/>
        <v xml:space="preserve"> </v>
      </c>
      <c r="B3751" s="81" t="str">
        <f t="shared" si="1"/>
        <v xml:space="preserve"> </v>
      </c>
      <c r="C3751" s="79" t="str">
        <f t="shared" si="7"/>
        <v xml:space="preserve"> </v>
      </c>
      <c r="D3751" s="79" t="str">
        <f t="shared" si="5"/>
        <v xml:space="preserve"> </v>
      </c>
      <c r="E3751" s="79" t="str">
        <f t="shared" si="6"/>
        <v xml:space="preserve"> </v>
      </c>
    </row>
    <row r="3752" spans="1:5" ht="12.5">
      <c r="A3752" s="81" t="str">
        <f t="shared" si="0"/>
        <v xml:space="preserve"> </v>
      </c>
      <c r="B3752" s="81" t="str">
        <f t="shared" si="1"/>
        <v xml:space="preserve"> </v>
      </c>
      <c r="C3752" s="79" t="str">
        <f t="shared" si="7"/>
        <v xml:space="preserve"> </v>
      </c>
      <c r="D3752" s="79" t="str">
        <f t="shared" si="5"/>
        <v xml:space="preserve"> </v>
      </c>
      <c r="E3752" s="79" t="str">
        <f t="shared" si="6"/>
        <v xml:space="preserve"> </v>
      </c>
    </row>
    <row r="3753" spans="1:5" ht="12.5">
      <c r="A3753" s="81" t="str">
        <f t="shared" si="0"/>
        <v xml:space="preserve"> </v>
      </c>
      <c r="B3753" s="81" t="str">
        <f t="shared" si="1"/>
        <v xml:space="preserve"> </v>
      </c>
      <c r="C3753" s="79" t="str">
        <f t="shared" si="7"/>
        <v xml:space="preserve"> </v>
      </c>
      <c r="D3753" s="79" t="str">
        <f t="shared" si="5"/>
        <v xml:space="preserve"> </v>
      </c>
      <c r="E3753" s="79" t="str">
        <f t="shared" si="6"/>
        <v xml:space="preserve"> </v>
      </c>
    </row>
    <row r="3754" spans="1:5" ht="12.5">
      <c r="A3754" s="81" t="str">
        <f t="shared" si="0"/>
        <v xml:space="preserve"> </v>
      </c>
      <c r="B3754" s="81" t="str">
        <f t="shared" si="1"/>
        <v xml:space="preserve"> </v>
      </c>
      <c r="C3754" s="79" t="str">
        <f t="shared" si="7"/>
        <v xml:space="preserve"> </v>
      </c>
      <c r="D3754" s="79" t="str">
        <f t="shared" si="5"/>
        <v xml:space="preserve"> </v>
      </c>
      <c r="E3754" s="79" t="str">
        <f t="shared" si="6"/>
        <v xml:space="preserve"> </v>
      </c>
    </row>
    <row r="3755" spans="1:5" ht="12.5">
      <c r="A3755" s="81" t="str">
        <f t="shared" si="0"/>
        <v xml:space="preserve"> </v>
      </c>
      <c r="B3755" s="81" t="str">
        <f t="shared" si="1"/>
        <v xml:space="preserve"> </v>
      </c>
      <c r="C3755" s="79" t="str">
        <f t="shared" si="7"/>
        <v xml:space="preserve"> </v>
      </c>
      <c r="D3755" s="79" t="str">
        <f t="shared" si="5"/>
        <v xml:space="preserve"> </v>
      </c>
      <c r="E3755" s="79" t="str">
        <f t="shared" si="6"/>
        <v xml:space="preserve"> </v>
      </c>
    </row>
    <row r="3756" spans="1:5" ht="12.5">
      <c r="A3756" s="81" t="str">
        <f t="shared" si="0"/>
        <v xml:space="preserve"> </v>
      </c>
      <c r="B3756" s="81" t="str">
        <f t="shared" si="1"/>
        <v xml:space="preserve"> </v>
      </c>
      <c r="C3756" s="79" t="str">
        <f t="shared" si="7"/>
        <v xml:space="preserve"> </v>
      </c>
      <c r="D3756" s="79" t="str">
        <f t="shared" si="5"/>
        <v xml:space="preserve"> </v>
      </c>
      <c r="E3756" s="79" t="str">
        <f t="shared" si="6"/>
        <v xml:space="preserve"> </v>
      </c>
    </row>
    <row r="3757" spans="1:5" ht="12.5">
      <c r="A3757" s="81" t="str">
        <f t="shared" si="0"/>
        <v xml:space="preserve"> </v>
      </c>
      <c r="B3757" s="81" t="str">
        <f t="shared" si="1"/>
        <v xml:space="preserve"> </v>
      </c>
      <c r="C3757" s="79" t="str">
        <f t="shared" si="7"/>
        <v xml:space="preserve"> </v>
      </c>
      <c r="D3757" s="79" t="str">
        <f t="shared" si="5"/>
        <v xml:space="preserve"> </v>
      </c>
      <c r="E3757" s="79" t="str">
        <f t="shared" si="6"/>
        <v xml:space="preserve"> </v>
      </c>
    </row>
    <row r="3758" spans="1:5" ht="12.5">
      <c r="A3758" s="81" t="str">
        <f t="shared" si="0"/>
        <v xml:space="preserve"> </v>
      </c>
      <c r="B3758" s="81" t="str">
        <f t="shared" si="1"/>
        <v xml:space="preserve"> </v>
      </c>
      <c r="C3758" s="79" t="str">
        <f t="shared" si="7"/>
        <v xml:space="preserve"> </v>
      </c>
      <c r="D3758" s="79" t="str">
        <f t="shared" si="5"/>
        <v xml:space="preserve"> </v>
      </c>
      <c r="E3758" s="79" t="str">
        <f t="shared" si="6"/>
        <v xml:space="preserve"> </v>
      </c>
    </row>
    <row r="3759" spans="1:5" ht="12.5">
      <c r="A3759" s="81" t="str">
        <f t="shared" si="0"/>
        <v xml:space="preserve"> </v>
      </c>
      <c r="B3759" s="81" t="str">
        <f t="shared" si="1"/>
        <v xml:space="preserve"> </v>
      </c>
      <c r="C3759" s="79" t="str">
        <f t="shared" si="7"/>
        <v xml:space="preserve"> </v>
      </c>
      <c r="D3759" s="79" t="str">
        <f t="shared" si="5"/>
        <v xml:space="preserve"> </v>
      </c>
      <c r="E3759" s="79" t="str">
        <f t="shared" si="6"/>
        <v xml:space="preserve"> </v>
      </c>
    </row>
    <row r="3760" spans="1:5" ht="12.5">
      <c r="A3760" s="81" t="str">
        <f t="shared" si="0"/>
        <v xml:space="preserve"> </v>
      </c>
      <c r="B3760" s="81" t="str">
        <f t="shared" si="1"/>
        <v xml:space="preserve"> </v>
      </c>
      <c r="C3760" s="79" t="str">
        <f t="shared" si="7"/>
        <v xml:space="preserve"> </v>
      </c>
      <c r="D3760" s="79" t="str">
        <f t="shared" si="5"/>
        <v xml:space="preserve"> </v>
      </c>
      <c r="E3760" s="79" t="str">
        <f t="shared" si="6"/>
        <v xml:space="preserve"> </v>
      </c>
    </row>
    <row r="3761" spans="1:5" ht="12.5">
      <c r="A3761" s="81" t="str">
        <f t="shared" si="0"/>
        <v xml:space="preserve"> </v>
      </c>
      <c r="B3761" s="81" t="str">
        <f t="shared" si="1"/>
        <v xml:space="preserve"> </v>
      </c>
      <c r="C3761" s="79" t="str">
        <f t="shared" si="7"/>
        <v xml:space="preserve"> </v>
      </c>
      <c r="D3761" s="79" t="str">
        <f t="shared" si="5"/>
        <v xml:space="preserve"> </v>
      </c>
      <c r="E3761" s="79" t="str">
        <f t="shared" si="6"/>
        <v xml:space="preserve"> </v>
      </c>
    </row>
    <row r="3762" spans="1:5" ht="12.5">
      <c r="A3762" s="81" t="str">
        <f t="shared" si="0"/>
        <v xml:space="preserve"> </v>
      </c>
      <c r="B3762" s="81" t="str">
        <f t="shared" si="1"/>
        <v xml:space="preserve"> </v>
      </c>
      <c r="C3762" s="79" t="str">
        <f t="shared" si="7"/>
        <v xml:space="preserve"> </v>
      </c>
      <c r="D3762" s="79" t="str">
        <f t="shared" si="5"/>
        <v xml:space="preserve"> </v>
      </c>
      <c r="E3762" s="79" t="str">
        <f t="shared" si="6"/>
        <v xml:space="preserve"> </v>
      </c>
    </row>
    <row r="3763" spans="1:5" ht="12.5">
      <c r="A3763" s="81" t="str">
        <f t="shared" si="0"/>
        <v xml:space="preserve"> </v>
      </c>
      <c r="B3763" s="81" t="str">
        <f t="shared" si="1"/>
        <v xml:space="preserve"> </v>
      </c>
      <c r="C3763" s="79" t="str">
        <f t="shared" si="7"/>
        <v xml:space="preserve"> </v>
      </c>
      <c r="D3763" s="79" t="str">
        <f t="shared" si="5"/>
        <v xml:space="preserve"> </v>
      </c>
      <c r="E3763" s="79" t="str">
        <f t="shared" si="6"/>
        <v xml:space="preserve"> </v>
      </c>
    </row>
    <row r="3764" spans="1:5" ht="12.5">
      <c r="A3764" s="81" t="str">
        <f t="shared" si="0"/>
        <v xml:space="preserve"> </v>
      </c>
      <c r="B3764" s="81" t="str">
        <f t="shared" si="1"/>
        <v xml:space="preserve"> </v>
      </c>
      <c r="C3764" s="79" t="str">
        <f t="shared" si="7"/>
        <v xml:space="preserve"> </v>
      </c>
      <c r="D3764" s="79" t="str">
        <f t="shared" si="5"/>
        <v xml:space="preserve"> </v>
      </c>
      <c r="E3764" s="79" t="str">
        <f t="shared" si="6"/>
        <v xml:space="preserve"> </v>
      </c>
    </row>
    <row r="3765" spans="1:5" ht="12.5">
      <c r="A3765" s="81" t="str">
        <f t="shared" si="0"/>
        <v xml:space="preserve"> </v>
      </c>
      <c r="B3765" s="81" t="str">
        <f t="shared" si="1"/>
        <v xml:space="preserve"> </v>
      </c>
      <c r="C3765" s="79" t="str">
        <f t="shared" si="7"/>
        <v xml:space="preserve"> </v>
      </c>
      <c r="D3765" s="79" t="str">
        <f t="shared" si="5"/>
        <v xml:space="preserve"> </v>
      </c>
      <c r="E3765" s="79" t="str">
        <f t="shared" si="6"/>
        <v xml:space="preserve"> </v>
      </c>
    </row>
    <row r="3766" spans="1:5" ht="12.5">
      <c r="A3766" s="81" t="str">
        <f t="shared" si="0"/>
        <v xml:space="preserve"> </v>
      </c>
      <c r="B3766" s="81" t="str">
        <f t="shared" si="1"/>
        <v xml:space="preserve"> </v>
      </c>
      <c r="C3766" s="79" t="str">
        <f t="shared" si="7"/>
        <v xml:space="preserve"> </v>
      </c>
      <c r="D3766" s="79" t="str">
        <f t="shared" si="5"/>
        <v xml:space="preserve"> </v>
      </c>
      <c r="E3766" s="79" t="str">
        <f t="shared" si="6"/>
        <v xml:space="preserve"> </v>
      </c>
    </row>
    <row r="3767" spans="1:5" ht="12.5">
      <c r="A3767" s="81" t="str">
        <f t="shared" si="0"/>
        <v xml:space="preserve"> </v>
      </c>
      <c r="B3767" s="81" t="str">
        <f t="shared" si="1"/>
        <v xml:space="preserve"> </v>
      </c>
      <c r="C3767" s="79" t="str">
        <f t="shared" si="7"/>
        <v xml:space="preserve"> </v>
      </c>
      <c r="D3767" s="79" t="str">
        <f t="shared" si="5"/>
        <v xml:space="preserve"> </v>
      </c>
      <c r="E3767" s="79" t="str">
        <f t="shared" si="6"/>
        <v xml:space="preserve"> </v>
      </c>
    </row>
    <row r="3768" spans="1:5" ht="12.5">
      <c r="A3768" s="81" t="str">
        <f t="shared" si="0"/>
        <v xml:space="preserve"> </v>
      </c>
      <c r="B3768" s="81" t="str">
        <f t="shared" si="1"/>
        <v xml:space="preserve"> </v>
      </c>
      <c r="C3768" s="79" t="str">
        <f t="shared" si="7"/>
        <v xml:space="preserve"> </v>
      </c>
      <c r="D3768" s="79" t="str">
        <f t="shared" si="5"/>
        <v xml:space="preserve"> </v>
      </c>
      <c r="E3768" s="79" t="str">
        <f t="shared" si="6"/>
        <v xml:space="preserve"> </v>
      </c>
    </row>
    <row r="3769" spans="1:5" ht="12.5">
      <c r="A3769" s="81" t="str">
        <f t="shared" si="0"/>
        <v xml:space="preserve"> </v>
      </c>
      <c r="B3769" s="81" t="str">
        <f t="shared" si="1"/>
        <v xml:space="preserve"> </v>
      </c>
      <c r="C3769" s="79" t="str">
        <f t="shared" si="7"/>
        <v xml:space="preserve"> </v>
      </c>
      <c r="D3769" s="79" t="str">
        <f t="shared" si="5"/>
        <v xml:space="preserve"> </v>
      </c>
      <c r="E3769" s="79" t="str">
        <f t="shared" si="6"/>
        <v xml:space="preserve"> </v>
      </c>
    </row>
    <row r="3770" spans="1:5" ht="12.5">
      <c r="A3770" s="81" t="str">
        <f t="shared" si="0"/>
        <v xml:space="preserve"> </v>
      </c>
      <c r="B3770" s="81" t="str">
        <f t="shared" si="1"/>
        <v xml:space="preserve"> </v>
      </c>
      <c r="C3770" s="79" t="str">
        <f t="shared" si="7"/>
        <v xml:space="preserve"> </v>
      </c>
      <c r="D3770" s="79" t="str">
        <f t="shared" si="5"/>
        <v xml:space="preserve"> </v>
      </c>
      <c r="E3770" s="79" t="str">
        <f t="shared" si="6"/>
        <v xml:space="preserve"> </v>
      </c>
    </row>
    <row r="3771" spans="1:5" ht="12.5">
      <c r="A3771" s="81" t="str">
        <f t="shared" si="0"/>
        <v xml:space="preserve"> </v>
      </c>
      <c r="B3771" s="81" t="str">
        <f t="shared" si="1"/>
        <v xml:space="preserve"> </v>
      </c>
      <c r="C3771" s="79" t="str">
        <f t="shared" si="7"/>
        <v xml:space="preserve"> </v>
      </c>
      <c r="D3771" s="79" t="str">
        <f t="shared" si="5"/>
        <v xml:space="preserve"> </v>
      </c>
      <c r="E3771" s="79" t="str">
        <f t="shared" si="6"/>
        <v xml:space="preserve"> </v>
      </c>
    </row>
    <row r="3772" spans="1:5" ht="12.5">
      <c r="A3772" s="81" t="str">
        <f t="shared" si="0"/>
        <v xml:space="preserve"> </v>
      </c>
      <c r="B3772" s="81" t="str">
        <f t="shared" si="1"/>
        <v xml:space="preserve"> </v>
      </c>
      <c r="C3772" s="79" t="str">
        <f t="shared" si="7"/>
        <v xml:space="preserve"> </v>
      </c>
      <c r="D3772" s="79" t="str">
        <f t="shared" si="5"/>
        <v xml:space="preserve"> </v>
      </c>
      <c r="E3772" s="79" t="str">
        <f t="shared" si="6"/>
        <v xml:space="preserve"> </v>
      </c>
    </row>
    <row r="3773" spans="1:5" ht="12.5">
      <c r="A3773" s="81" t="str">
        <f t="shared" si="0"/>
        <v xml:space="preserve"> </v>
      </c>
      <c r="B3773" s="81" t="str">
        <f t="shared" si="1"/>
        <v xml:space="preserve"> </v>
      </c>
      <c r="C3773" s="79" t="str">
        <f t="shared" si="7"/>
        <v xml:space="preserve"> </v>
      </c>
      <c r="D3773" s="79" t="str">
        <f t="shared" si="5"/>
        <v xml:space="preserve"> </v>
      </c>
      <c r="E3773" s="79" t="str">
        <f t="shared" si="6"/>
        <v xml:space="preserve"> </v>
      </c>
    </row>
    <row r="3774" spans="1:5" ht="12.5">
      <c r="A3774" s="81" t="str">
        <f t="shared" si="0"/>
        <v xml:space="preserve"> </v>
      </c>
      <c r="B3774" s="81" t="str">
        <f t="shared" si="1"/>
        <v xml:space="preserve"> </v>
      </c>
      <c r="C3774" s="79" t="str">
        <f t="shared" si="7"/>
        <v xml:space="preserve"> </v>
      </c>
      <c r="D3774" s="79" t="str">
        <f t="shared" si="5"/>
        <v xml:space="preserve"> </v>
      </c>
      <c r="E3774" s="79" t="str">
        <f t="shared" si="6"/>
        <v xml:space="preserve"> </v>
      </c>
    </row>
    <row r="3775" spans="1:5" ht="12.5">
      <c r="A3775" s="81" t="str">
        <f t="shared" si="0"/>
        <v xml:space="preserve"> </v>
      </c>
      <c r="B3775" s="81" t="str">
        <f t="shared" si="1"/>
        <v xml:space="preserve"> </v>
      </c>
      <c r="C3775" s="79" t="str">
        <f t="shared" si="7"/>
        <v xml:space="preserve"> </v>
      </c>
      <c r="D3775" s="79" t="str">
        <f t="shared" si="5"/>
        <v xml:space="preserve"> </v>
      </c>
      <c r="E3775" s="79" t="str">
        <f t="shared" si="6"/>
        <v xml:space="preserve"> </v>
      </c>
    </row>
    <row r="3776" spans="1:5" ht="12.5">
      <c r="A3776" s="81" t="str">
        <f t="shared" si="0"/>
        <v xml:space="preserve"> </v>
      </c>
      <c r="B3776" s="81" t="str">
        <f t="shared" si="1"/>
        <v xml:space="preserve"> </v>
      </c>
      <c r="C3776" s="79" t="str">
        <f t="shared" si="7"/>
        <v xml:space="preserve"> </v>
      </c>
      <c r="D3776" s="79" t="str">
        <f t="shared" si="5"/>
        <v xml:space="preserve"> </v>
      </c>
      <c r="E3776" s="79" t="str">
        <f t="shared" si="6"/>
        <v xml:space="preserve"> </v>
      </c>
    </row>
    <row r="3777" spans="1:5" ht="12.5">
      <c r="A3777" s="81" t="str">
        <f t="shared" si="0"/>
        <v xml:space="preserve"> </v>
      </c>
      <c r="B3777" s="81" t="str">
        <f t="shared" si="1"/>
        <v xml:space="preserve"> </v>
      </c>
      <c r="C3777" s="79" t="str">
        <f t="shared" si="7"/>
        <v xml:space="preserve"> </v>
      </c>
      <c r="D3777" s="79" t="str">
        <f t="shared" si="5"/>
        <v xml:space="preserve"> </v>
      </c>
      <c r="E3777" s="79" t="str">
        <f t="shared" si="6"/>
        <v xml:space="preserve"> </v>
      </c>
    </row>
    <row r="3778" spans="1:5" ht="12.5">
      <c r="A3778" s="81" t="str">
        <f t="shared" si="0"/>
        <v xml:space="preserve"> </v>
      </c>
      <c r="B3778" s="81" t="str">
        <f t="shared" si="1"/>
        <v xml:space="preserve"> </v>
      </c>
      <c r="C3778" s="79" t="str">
        <f t="shared" si="7"/>
        <v xml:space="preserve"> </v>
      </c>
      <c r="D3778" s="79" t="str">
        <f t="shared" si="5"/>
        <v xml:space="preserve"> </v>
      </c>
      <c r="E3778" s="79" t="str">
        <f t="shared" si="6"/>
        <v xml:space="preserve"> </v>
      </c>
    </row>
    <row r="3779" spans="1:5" ht="12.5">
      <c r="A3779" s="81" t="str">
        <f t="shared" si="0"/>
        <v xml:space="preserve"> </v>
      </c>
      <c r="B3779" s="81" t="str">
        <f t="shared" si="1"/>
        <v xml:space="preserve"> </v>
      </c>
      <c r="C3779" s="79" t="str">
        <f t="shared" si="7"/>
        <v xml:space="preserve"> </v>
      </c>
      <c r="D3779" s="79" t="str">
        <f t="shared" si="5"/>
        <v xml:space="preserve"> </v>
      </c>
      <c r="E3779" s="79" t="str">
        <f t="shared" si="6"/>
        <v xml:space="preserve"> </v>
      </c>
    </row>
    <row r="3780" spans="1:5" ht="12.5">
      <c r="A3780" s="81" t="str">
        <f t="shared" si="0"/>
        <v xml:space="preserve"> </v>
      </c>
      <c r="B3780" s="81" t="str">
        <f t="shared" si="1"/>
        <v xml:space="preserve"> </v>
      </c>
      <c r="C3780" s="79" t="str">
        <f t="shared" si="7"/>
        <v xml:space="preserve"> </v>
      </c>
      <c r="D3780" s="79" t="str">
        <f t="shared" si="5"/>
        <v xml:space="preserve"> </v>
      </c>
      <c r="E3780" s="79" t="str">
        <f t="shared" si="6"/>
        <v xml:space="preserve"> </v>
      </c>
    </row>
    <row r="3781" spans="1:5" ht="12.5">
      <c r="A3781" s="81" t="str">
        <f t="shared" si="0"/>
        <v xml:space="preserve"> </v>
      </c>
      <c r="B3781" s="81" t="str">
        <f t="shared" si="1"/>
        <v xml:space="preserve"> </v>
      </c>
      <c r="C3781" s="79" t="str">
        <f t="shared" si="7"/>
        <v xml:space="preserve"> </v>
      </c>
      <c r="D3781" s="79" t="str">
        <f t="shared" si="5"/>
        <v xml:space="preserve"> </v>
      </c>
      <c r="E3781" s="79" t="str">
        <f t="shared" si="6"/>
        <v xml:space="preserve"> </v>
      </c>
    </row>
    <row r="3782" spans="1:5" ht="12.5">
      <c r="A3782" s="81" t="str">
        <f t="shared" si="0"/>
        <v xml:space="preserve"> </v>
      </c>
      <c r="B3782" s="81" t="str">
        <f t="shared" si="1"/>
        <v xml:space="preserve"> </v>
      </c>
      <c r="C3782" s="79" t="str">
        <f t="shared" si="7"/>
        <v xml:space="preserve"> </v>
      </c>
      <c r="D3782" s="79" t="str">
        <f t="shared" si="5"/>
        <v xml:space="preserve"> </v>
      </c>
      <c r="E3782" s="79" t="str">
        <f t="shared" si="6"/>
        <v xml:space="preserve"> </v>
      </c>
    </row>
    <row r="3783" spans="1:5" ht="12.5">
      <c r="A3783" s="81" t="str">
        <f t="shared" si="0"/>
        <v xml:space="preserve"> </v>
      </c>
      <c r="B3783" s="81" t="str">
        <f t="shared" si="1"/>
        <v xml:space="preserve"> </v>
      </c>
      <c r="C3783" s="79" t="str">
        <f t="shared" si="7"/>
        <v xml:space="preserve"> </v>
      </c>
      <c r="D3783" s="79" t="str">
        <f t="shared" si="5"/>
        <v xml:space="preserve"> </v>
      </c>
      <c r="E3783" s="79" t="str">
        <f t="shared" si="6"/>
        <v xml:space="preserve"> </v>
      </c>
    </row>
    <row r="3784" spans="1:5" ht="12.5">
      <c r="A3784" s="81" t="str">
        <f t="shared" si="0"/>
        <v xml:space="preserve"> </v>
      </c>
      <c r="B3784" s="81" t="str">
        <f t="shared" si="1"/>
        <v xml:space="preserve"> </v>
      </c>
      <c r="C3784" s="79" t="str">
        <f t="shared" si="7"/>
        <v xml:space="preserve"> </v>
      </c>
      <c r="D3784" s="79" t="str">
        <f t="shared" si="5"/>
        <v xml:space="preserve"> </v>
      </c>
      <c r="E3784" s="79" t="str">
        <f t="shared" si="6"/>
        <v xml:space="preserve"> </v>
      </c>
    </row>
    <row r="3785" spans="1:5" ht="12.5">
      <c r="A3785" s="81" t="str">
        <f t="shared" si="0"/>
        <v xml:space="preserve"> </v>
      </c>
      <c r="B3785" s="81" t="str">
        <f t="shared" si="1"/>
        <v xml:space="preserve"> </v>
      </c>
      <c r="C3785" s="79" t="str">
        <f t="shared" si="7"/>
        <v xml:space="preserve"> </v>
      </c>
      <c r="D3785" s="79" t="str">
        <f t="shared" si="5"/>
        <v xml:space="preserve"> </v>
      </c>
      <c r="E3785" s="79" t="str">
        <f t="shared" si="6"/>
        <v xml:space="preserve"> </v>
      </c>
    </row>
    <row r="3786" spans="1:5" ht="12.5">
      <c r="A3786" s="81" t="str">
        <f t="shared" si="0"/>
        <v xml:space="preserve"> </v>
      </c>
      <c r="B3786" s="81" t="str">
        <f t="shared" si="1"/>
        <v xml:space="preserve"> </v>
      </c>
      <c r="C3786" s="79" t="str">
        <f t="shared" si="7"/>
        <v xml:space="preserve"> </v>
      </c>
      <c r="D3786" s="79" t="str">
        <f t="shared" si="5"/>
        <v xml:space="preserve"> </v>
      </c>
      <c r="E3786" s="79" t="str">
        <f t="shared" si="6"/>
        <v xml:space="preserve"> </v>
      </c>
    </row>
    <row r="3787" spans="1:5" ht="12.5">
      <c r="A3787" s="81" t="str">
        <f t="shared" si="0"/>
        <v xml:space="preserve"> </v>
      </c>
      <c r="B3787" s="81" t="str">
        <f t="shared" si="1"/>
        <v xml:space="preserve"> </v>
      </c>
      <c r="C3787" s="79" t="str">
        <f t="shared" si="7"/>
        <v xml:space="preserve"> </v>
      </c>
      <c r="D3787" s="79" t="str">
        <f t="shared" si="5"/>
        <v xml:space="preserve"> </v>
      </c>
      <c r="E3787" s="79" t="str">
        <f t="shared" si="6"/>
        <v xml:space="preserve"> </v>
      </c>
    </row>
    <row r="3788" spans="1:5" ht="12.5">
      <c r="A3788" s="81" t="str">
        <f t="shared" si="0"/>
        <v xml:space="preserve"> </v>
      </c>
      <c r="B3788" s="81" t="str">
        <f t="shared" si="1"/>
        <v xml:space="preserve"> </v>
      </c>
      <c r="C3788" s="79" t="str">
        <f t="shared" si="7"/>
        <v xml:space="preserve"> </v>
      </c>
      <c r="D3788" s="79" t="str">
        <f t="shared" si="5"/>
        <v xml:space="preserve"> </v>
      </c>
      <c r="E3788" s="79" t="str">
        <f t="shared" si="6"/>
        <v xml:space="preserve"> </v>
      </c>
    </row>
    <row r="3789" spans="1:5" ht="12.5">
      <c r="A3789" s="81" t="str">
        <f t="shared" si="0"/>
        <v xml:space="preserve"> </v>
      </c>
      <c r="B3789" s="81" t="str">
        <f t="shared" si="1"/>
        <v xml:space="preserve"> </v>
      </c>
      <c r="C3789" s="79" t="str">
        <f t="shared" si="7"/>
        <v xml:space="preserve"> </v>
      </c>
      <c r="D3789" s="79" t="str">
        <f t="shared" si="5"/>
        <v xml:space="preserve"> </v>
      </c>
      <c r="E3789" s="79" t="str">
        <f t="shared" si="6"/>
        <v xml:space="preserve"> </v>
      </c>
    </row>
    <row r="3790" spans="1:5" ht="12.5">
      <c r="A3790" s="81" t="str">
        <f t="shared" si="0"/>
        <v xml:space="preserve"> </v>
      </c>
      <c r="B3790" s="81" t="str">
        <f t="shared" si="1"/>
        <v xml:space="preserve"> </v>
      </c>
      <c r="C3790" s="79" t="str">
        <f t="shared" si="7"/>
        <v xml:space="preserve"> </v>
      </c>
      <c r="D3790" s="79" t="str">
        <f t="shared" si="5"/>
        <v xml:space="preserve"> </v>
      </c>
      <c r="E3790" s="79" t="str">
        <f t="shared" si="6"/>
        <v xml:space="preserve"> </v>
      </c>
    </row>
    <row r="3791" spans="1:5" ht="12.5">
      <c r="A3791" s="81" t="str">
        <f t="shared" si="0"/>
        <v xml:space="preserve"> </v>
      </c>
      <c r="B3791" s="81" t="str">
        <f t="shared" si="1"/>
        <v xml:space="preserve"> </v>
      </c>
      <c r="C3791" s="79" t="str">
        <f t="shared" si="7"/>
        <v xml:space="preserve"> </v>
      </c>
      <c r="D3791" s="79" t="str">
        <f t="shared" si="5"/>
        <v xml:space="preserve"> </v>
      </c>
      <c r="E3791" s="79" t="str">
        <f t="shared" si="6"/>
        <v xml:space="preserve"> </v>
      </c>
    </row>
    <row r="3792" spans="1:5" ht="12.5">
      <c r="A3792" s="81" t="str">
        <f t="shared" si="0"/>
        <v xml:space="preserve"> </v>
      </c>
      <c r="B3792" s="81" t="str">
        <f t="shared" si="1"/>
        <v xml:space="preserve"> </v>
      </c>
      <c r="C3792" s="79" t="str">
        <f t="shared" si="7"/>
        <v xml:space="preserve"> </v>
      </c>
      <c r="D3792" s="79" t="str">
        <f t="shared" si="5"/>
        <v xml:space="preserve"> </v>
      </c>
      <c r="E3792" s="79" t="str">
        <f t="shared" si="6"/>
        <v xml:space="preserve"> </v>
      </c>
    </row>
    <row r="3793" spans="1:5" ht="12.5">
      <c r="A3793" s="81" t="str">
        <f t="shared" si="0"/>
        <v xml:space="preserve"> </v>
      </c>
      <c r="B3793" s="81" t="str">
        <f t="shared" si="1"/>
        <v xml:space="preserve"> </v>
      </c>
      <c r="C3793" s="79" t="str">
        <f t="shared" si="7"/>
        <v xml:space="preserve"> </v>
      </c>
      <c r="D3793" s="79" t="str">
        <f t="shared" si="5"/>
        <v xml:space="preserve"> </v>
      </c>
      <c r="E3793" s="79" t="str">
        <f t="shared" si="6"/>
        <v xml:space="preserve"> </v>
      </c>
    </row>
    <row r="3794" spans="1:5" ht="12.5">
      <c r="A3794" s="81" t="str">
        <f t="shared" si="0"/>
        <v xml:space="preserve"> </v>
      </c>
      <c r="B3794" s="81" t="str">
        <f t="shared" si="1"/>
        <v xml:space="preserve"> </v>
      </c>
      <c r="C3794" s="79" t="str">
        <f t="shared" si="7"/>
        <v xml:space="preserve"> </v>
      </c>
      <c r="D3794" s="79" t="str">
        <f t="shared" si="5"/>
        <v xml:space="preserve"> </v>
      </c>
      <c r="E3794" s="79" t="str">
        <f t="shared" si="6"/>
        <v xml:space="preserve"> </v>
      </c>
    </row>
    <row r="3795" spans="1:5" ht="12.5">
      <c r="A3795" s="81" t="str">
        <f t="shared" si="0"/>
        <v xml:space="preserve"> </v>
      </c>
      <c r="B3795" s="81" t="str">
        <f t="shared" si="1"/>
        <v xml:space="preserve"> </v>
      </c>
      <c r="C3795" s="79" t="str">
        <f t="shared" si="7"/>
        <v xml:space="preserve"> </v>
      </c>
      <c r="D3795" s="79" t="str">
        <f t="shared" si="5"/>
        <v xml:space="preserve"> </v>
      </c>
      <c r="E3795" s="79" t="str">
        <f t="shared" si="6"/>
        <v xml:space="preserve"> </v>
      </c>
    </row>
    <row r="3796" spans="1:5" ht="12.5">
      <c r="A3796" s="81" t="str">
        <f t="shared" si="0"/>
        <v xml:space="preserve"> </v>
      </c>
      <c r="B3796" s="81" t="str">
        <f t="shared" si="1"/>
        <v xml:space="preserve"> </v>
      </c>
      <c r="C3796" s="79" t="str">
        <f t="shared" si="7"/>
        <v xml:space="preserve"> </v>
      </c>
      <c r="D3796" s="79" t="str">
        <f t="shared" si="5"/>
        <v xml:space="preserve"> </v>
      </c>
      <c r="E3796" s="79" t="str">
        <f t="shared" si="6"/>
        <v xml:space="preserve"> </v>
      </c>
    </row>
    <row r="3797" spans="1:5" ht="12.5">
      <c r="A3797" s="81" t="str">
        <f t="shared" si="0"/>
        <v xml:space="preserve"> </v>
      </c>
      <c r="B3797" s="81" t="str">
        <f t="shared" si="1"/>
        <v xml:space="preserve"> </v>
      </c>
      <c r="C3797" s="79" t="str">
        <f t="shared" si="7"/>
        <v xml:space="preserve"> </v>
      </c>
      <c r="D3797" s="79" t="str">
        <f t="shared" si="5"/>
        <v xml:space="preserve"> </v>
      </c>
      <c r="E3797" s="79" t="str">
        <f t="shared" si="6"/>
        <v xml:space="preserve"> </v>
      </c>
    </row>
    <row r="3798" spans="1:5" ht="12.5">
      <c r="A3798" s="81" t="str">
        <f t="shared" si="0"/>
        <v xml:space="preserve"> </v>
      </c>
      <c r="B3798" s="81" t="str">
        <f t="shared" si="1"/>
        <v xml:space="preserve"> </v>
      </c>
      <c r="C3798" s="79" t="str">
        <f t="shared" si="7"/>
        <v xml:space="preserve"> </v>
      </c>
      <c r="D3798" s="79" t="str">
        <f t="shared" si="5"/>
        <v xml:space="preserve"> </v>
      </c>
      <c r="E3798" s="79" t="str">
        <f t="shared" si="6"/>
        <v xml:space="preserve"> </v>
      </c>
    </row>
    <row r="3799" spans="1:5" ht="12.5">
      <c r="A3799" s="81" t="str">
        <f t="shared" si="0"/>
        <v xml:space="preserve"> </v>
      </c>
      <c r="B3799" s="81" t="str">
        <f t="shared" si="1"/>
        <v xml:space="preserve"> </v>
      </c>
      <c r="C3799" s="79" t="str">
        <f t="shared" si="7"/>
        <v xml:space="preserve"> </v>
      </c>
      <c r="D3799" s="79" t="str">
        <f t="shared" si="5"/>
        <v xml:space="preserve"> </v>
      </c>
      <c r="E3799" s="79" t="str">
        <f t="shared" si="6"/>
        <v xml:space="preserve"> </v>
      </c>
    </row>
    <row r="3800" spans="1:5" ht="12.5">
      <c r="A3800" s="81" t="str">
        <f t="shared" si="0"/>
        <v xml:space="preserve"> </v>
      </c>
      <c r="B3800" s="81" t="str">
        <f t="shared" si="1"/>
        <v xml:space="preserve"> </v>
      </c>
      <c r="C3800" s="79" t="str">
        <f t="shared" si="7"/>
        <v xml:space="preserve"> </v>
      </c>
      <c r="D3800" s="79" t="str">
        <f t="shared" si="5"/>
        <v xml:space="preserve"> </v>
      </c>
      <c r="E3800" s="79" t="str">
        <f t="shared" si="6"/>
        <v xml:space="preserve"> </v>
      </c>
    </row>
    <row r="3801" spans="1:5" ht="12.5">
      <c r="A3801" s="81" t="str">
        <f t="shared" si="0"/>
        <v xml:space="preserve"> </v>
      </c>
      <c r="B3801" s="81" t="str">
        <f t="shared" si="1"/>
        <v xml:space="preserve"> </v>
      </c>
      <c r="C3801" s="79" t="str">
        <f t="shared" si="7"/>
        <v xml:space="preserve"> </v>
      </c>
      <c r="D3801" s="79" t="str">
        <f t="shared" si="5"/>
        <v xml:space="preserve"> </v>
      </c>
      <c r="E3801" s="79" t="str">
        <f t="shared" si="6"/>
        <v xml:space="preserve"> </v>
      </c>
    </row>
    <row r="3802" spans="1:5" ht="12.5">
      <c r="A3802" s="81" t="str">
        <f t="shared" si="0"/>
        <v xml:space="preserve"> </v>
      </c>
      <c r="B3802" s="81" t="str">
        <f t="shared" si="1"/>
        <v xml:space="preserve"> </v>
      </c>
      <c r="C3802" s="79" t="str">
        <f t="shared" si="7"/>
        <v xml:space="preserve"> </v>
      </c>
      <c r="D3802" s="79" t="str">
        <f t="shared" si="5"/>
        <v xml:space="preserve"> </v>
      </c>
      <c r="E3802" s="79" t="str">
        <f t="shared" si="6"/>
        <v xml:space="preserve"> </v>
      </c>
    </row>
    <row r="3803" spans="1:5" ht="12.5">
      <c r="A3803" s="81" t="str">
        <f t="shared" si="0"/>
        <v xml:space="preserve"> </v>
      </c>
      <c r="B3803" s="81" t="str">
        <f t="shared" si="1"/>
        <v xml:space="preserve"> </v>
      </c>
      <c r="C3803" s="79" t="str">
        <f t="shared" si="7"/>
        <v xml:space="preserve"> </v>
      </c>
      <c r="D3803" s="79" t="str">
        <f t="shared" si="5"/>
        <v xml:space="preserve"> </v>
      </c>
      <c r="E3803" s="79" t="str">
        <f t="shared" si="6"/>
        <v xml:space="preserve"> </v>
      </c>
    </row>
    <row r="3804" spans="1:5" ht="12.5">
      <c r="A3804" s="81" t="str">
        <f t="shared" si="0"/>
        <v xml:space="preserve"> </v>
      </c>
      <c r="B3804" s="81" t="str">
        <f t="shared" si="1"/>
        <v xml:space="preserve"> </v>
      </c>
      <c r="C3804" s="79" t="str">
        <f t="shared" si="7"/>
        <v xml:space="preserve"> </v>
      </c>
      <c r="D3804" s="79" t="str">
        <f t="shared" si="5"/>
        <v xml:space="preserve"> </v>
      </c>
      <c r="E3804" s="79" t="str">
        <f t="shared" si="6"/>
        <v xml:space="preserve"> </v>
      </c>
    </row>
    <row r="3805" spans="1:5" ht="12.5">
      <c r="A3805" s="81" t="str">
        <f t="shared" si="0"/>
        <v xml:space="preserve"> </v>
      </c>
      <c r="B3805" s="81" t="str">
        <f t="shared" si="1"/>
        <v xml:space="preserve"> </v>
      </c>
      <c r="C3805" s="79" t="str">
        <f t="shared" si="7"/>
        <v xml:space="preserve"> </v>
      </c>
      <c r="D3805" s="79" t="str">
        <f t="shared" si="5"/>
        <v xml:space="preserve"> </v>
      </c>
      <c r="E3805" s="79" t="str">
        <f t="shared" si="6"/>
        <v xml:space="preserve"> </v>
      </c>
    </row>
    <row r="3806" spans="1:5" ht="12.5">
      <c r="A3806" s="81" t="str">
        <f t="shared" si="0"/>
        <v xml:space="preserve"> </v>
      </c>
      <c r="B3806" s="81" t="str">
        <f t="shared" si="1"/>
        <v xml:space="preserve"> </v>
      </c>
      <c r="C3806" s="79" t="str">
        <f t="shared" si="7"/>
        <v xml:space="preserve"> </v>
      </c>
      <c r="D3806" s="79" t="str">
        <f t="shared" si="5"/>
        <v xml:space="preserve"> </v>
      </c>
      <c r="E3806" s="79" t="str">
        <f t="shared" si="6"/>
        <v xml:space="preserve"> </v>
      </c>
    </row>
    <row r="3807" spans="1:5" ht="12.5">
      <c r="A3807" s="81" t="str">
        <f t="shared" si="0"/>
        <v xml:space="preserve"> </v>
      </c>
      <c r="B3807" s="81" t="str">
        <f t="shared" si="1"/>
        <v xml:space="preserve"> </v>
      </c>
      <c r="C3807" s="79" t="str">
        <f t="shared" si="7"/>
        <v xml:space="preserve"> </v>
      </c>
      <c r="D3807" s="79" t="str">
        <f t="shared" si="5"/>
        <v xml:space="preserve"> </v>
      </c>
      <c r="E3807" s="79" t="str">
        <f t="shared" si="6"/>
        <v xml:space="preserve"> </v>
      </c>
    </row>
    <row r="3808" spans="1:5" ht="12.5">
      <c r="A3808" s="81" t="str">
        <f t="shared" si="0"/>
        <v xml:space="preserve"> </v>
      </c>
      <c r="B3808" s="81" t="str">
        <f t="shared" si="1"/>
        <v xml:space="preserve"> </v>
      </c>
      <c r="C3808" s="79" t="str">
        <f t="shared" si="7"/>
        <v xml:space="preserve"> </v>
      </c>
      <c r="D3808" s="79" t="str">
        <f t="shared" si="5"/>
        <v xml:space="preserve"> </v>
      </c>
      <c r="E3808" s="79" t="str">
        <f t="shared" si="6"/>
        <v xml:space="preserve"> </v>
      </c>
    </row>
    <row r="3809" spans="1:5" ht="12.5">
      <c r="A3809" s="81" t="str">
        <f t="shared" si="0"/>
        <v xml:space="preserve"> </v>
      </c>
      <c r="B3809" s="81" t="str">
        <f t="shared" si="1"/>
        <v xml:space="preserve"> </v>
      </c>
      <c r="C3809" s="79" t="str">
        <f t="shared" si="7"/>
        <v xml:space="preserve"> </v>
      </c>
      <c r="D3809" s="79" t="str">
        <f t="shared" si="5"/>
        <v xml:space="preserve"> </v>
      </c>
      <c r="E3809" s="79" t="str">
        <f t="shared" si="6"/>
        <v xml:space="preserve"> </v>
      </c>
    </row>
    <row r="3810" spans="1:5" ht="12.5">
      <c r="A3810" s="81" t="str">
        <f t="shared" si="0"/>
        <v xml:space="preserve"> </v>
      </c>
      <c r="B3810" s="81" t="str">
        <f t="shared" si="1"/>
        <v xml:space="preserve"> </v>
      </c>
      <c r="C3810" s="79" t="str">
        <f t="shared" si="7"/>
        <v xml:space="preserve"> </v>
      </c>
      <c r="D3810" s="79" t="str">
        <f t="shared" si="5"/>
        <v xml:space="preserve"> </v>
      </c>
      <c r="E3810" s="79" t="str">
        <f t="shared" si="6"/>
        <v xml:space="preserve"> </v>
      </c>
    </row>
    <row r="3811" spans="1:5" ht="12.5">
      <c r="A3811" s="81" t="str">
        <f t="shared" si="0"/>
        <v xml:space="preserve"> </v>
      </c>
      <c r="B3811" s="81" t="str">
        <f t="shared" si="1"/>
        <v xml:space="preserve"> </v>
      </c>
      <c r="C3811" s="79" t="str">
        <f t="shared" si="7"/>
        <v xml:space="preserve"> </v>
      </c>
      <c r="D3811" s="79" t="str">
        <f t="shared" si="5"/>
        <v xml:space="preserve"> </v>
      </c>
      <c r="E3811" s="79" t="str">
        <f t="shared" si="6"/>
        <v xml:space="preserve"> </v>
      </c>
    </row>
    <row r="3812" spans="1:5" ht="12.5">
      <c r="A3812" s="81" t="str">
        <f t="shared" si="0"/>
        <v xml:space="preserve"> </v>
      </c>
      <c r="B3812" s="81" t="str">
        <f t="shared" si="1"/>
        <v xml:space="preserve"> </v>
      </c>
      <c r="C3812" s="79" t="str">
        <f t="shared" si="7"/>
        <v xml:space="preserve"> </v>
      </c>
      <c r="D3812" s="79" t="str">
        <f t="shared" si="5"/>
        <v xml:space="preserve"> </v>
      </c>
      <c r="E3812" s="79" t="str">
        <f t="shared" si="6"/>
        <v xml:space="preserve"> </v>
      </c>
    </row>
    <row r="3813" spans="1:5" ht="12.5">
      <c r="A3813" s="81" t="str">
        <f t="shared" si="0"/>
        <v xml:space="preserve"> </v>
      </c>
      <c r="B3813" s="81" t="str">
        <f t="shared" si="1"/>
        <v xml:space="preserve"> </v>
      </c>
      <c r="C3813" s="79" t="str">
        <f t="shared" si="7"/>
        <v xml:space="preserve"> </v>
      </c>
      <c r="D3813" s="79" t="str">
        <f t="shared" si="5"/>
        <v xml:space="preserve"> </v>
      </c>
      <c r="E3813" s="79" t="str">
        <f t="shared" si="6"/>
        <v xml:space="preserve"> </v>
      </c>
    </row>
    <row r="3814" spans="1:5" ht="12.5">
      <c r="A3814" s="81" t="str">
        <f t="shared" si="0"/>
        <v xml:space="preserve"> </v>
      </c>
      <c r="B3814" s="81" t="str">
        <f t="shared" si="1"/>
        <v xml:space="preserve"> </v>
      </c>
      <c r="C3814" s="79" t="str">
        <f t="shared" si="7"/>
        <v xml:space="preserve"> </v>
      </c>
      <c r="D3814" s="79" t="str">
        <f t="shared" si="5"/>
        <v xml:space="preserve"> </v>
      </c>
      <c r="E3814" s="79" t="str">
        <f t="shared" si="6"/>
        <v xml:space="preserve"> </v>
      </c>
    </row>
    <row r="3815" spans="1:5" ht="12.5">
      <c r="A3815" s="81" t="str">
        <f t="shared" si="0"/>
        <v xml:space="preserve"> </v>
      </c>
      <c r="B3815" s="81" t="str">
        <f t="shared" si="1"/>
        <v xml:space="preserve"> </v>
      </c>
      <c r="C3815" s="79" t="str">
        <f t="shared" si="7"/>
        <v xml:space="preserve"> </v>
      </c>
      <c r="D3815" s="79" t="str">
        <f t="shared" si="5"/>
        <v xml:space="preserve"> </v>
      </c>
      <c r="E3815" s="79" t="str">
        <f t="shared" si="6"/>
        <v xml:space="preserve"> </v>
      </c>
    </row>
    <row r="3816" spans="1:5" ht="12.5">
      <c r="A3816" s="81" t="str">
        <f t="shared" si="0"/>
        <v xml:space="preserve"> </v>
      </c>
      <c r="B3816" s="81" t="str">
        <f t="shared" si="1"/>
        <v xml:space="preserve"> </v>
      </c>
      <c r="C3816" s="79" t="str">
        <f t="shared" si="7"/>
        <v xml:space="preserve"> </v>
      </c>
      <c r="D3816" s="79" t="str">
        <f t="shared" si="5"/>
        <v xml:space="preserve"> </v>
      </c>
      <c r="E3816" s="79" t="str">
        <f t="shared" si="6"/>
        <v xml:space="preserve"> </v>
      </c>
    </row>
    <row r="3817" spans="1:5" ht="12.5">
      <c r="A3817" s="81" t="str">
        <f t="shared" si="0"/>
        <v xml:space="preserve"> </v>
      </c>
      <c r="B3817" s="81" t="str">
        <f t="shared" si="1"/>
        <v xml:space="preserve"> </v>
      </c>
      <c r="C3817" s="79" t="str">
        <f t="shared" si="7"/>
        <v xml:space="preserve"> </v>
      </c>
      <c r="D3817" s="79" t="str">
        <f t="shared" si="5"/>
        <v xml:space="preserve"> </v>
      </c>
      <c r="E3817" s="79" t="str">
        <f t="shared" si="6"/>
        <v xml:space="preserve"> </v>
      </c>
    </row>
    <row r="3818" spans="1:5" ht="12.5">
      <c r="A3818" s="81" t="str">
        <f t="shared" si="0"/>
        <v xml:space="preserve"> </v>
      </c>
      <c r="B3818" s="81" t="str">
        <f t="shared" si="1"/>
        <v xml:space="preserve"> </v>
      </c>
      <c r="C3818" s="79" t="str">
        <f t="shared" si="7"/>
        <v xml:space="preserve"> </v>
      </c>
      <c r="D3818" s="79" t="str">
        <f t="shared" si="5"/>
        <v xml:space="preserve"> </v>
      </c>
      <c r="E3818" s="79" t="str">
        <f t="shared" si="6"/>
        <v xml:space="preserve"> </v>
      </c>
    </row>
    <row r="3819" spans="1:5" ht="12.5">
      <c r="A3819" s="81" t="str">
        <f t="shared" si="0"/>
        <v xml:space="preserve"> </v>
      </c>
      <c r="B3819" s="81" t="str">
        <f t="shared" si="1"/>
        <v xml:space="preserve"> </v>
      </c>
      <c r="C3819" s="79" t="str">
        <f t="shared" si="7"/>
        <v xml:space="preserve"> </v>
      </c>
      <c r="D3819" s="79" t="str">
        <f t="shared" si="5"/>
        <v xml:space="preserve"> </v>
      </c>
      <c r="E3819" s="79" t="str">
        <f t="shared" si="6"/>
        <v xml:space="preserve"> </v>
      </c>
    </row>
    <row r="3820" spans="1:5" ht="12.5">
      <c r="A3820" s="81" t="str">
        <f t="shared" si="0"/>
        <v xml:space="preserve"> </v>
      </c>
      <c r="B3820" s="81" t="str">
        <f t="shared" si="1"/>
        <v xml:space="preserve"> </v>
      </c>
      <c r="C3820" s="79" t="str">
        <f t="shared" si="7"/>
        <v xml:space="preserve"> </v>
      </c>
      <c r="D3820" s="79" t="str">
        <f t="shared" si="5"/>
        <v xml:space="preserve"> </v>
      </c>
      <c r="E3820" s="79" t="str">
        <f t="shared" si="6"/>
        <v xml:space="preserve"> </v>
      </c>
    </row>
    <row r="3821" spans="1:5" ht="12.5">
      <c r="A3821" s="81" t="str">
        <f t="shared" si="0"/>
        <v xml:space="preserve"> </v>
      </c>
      <c r="B3821" s="81" t="str">
        <f t="shared" si="1"/>
        <v xml:space="preserve"> </v>
      </c>
      <c r="C3821" s="79" t="str">
        <f t="shared" si="7"/>
        <v xml:space="preserve"> </v>
      </c>
      <c r="D3821" s="79" t="str">
        <f t="shared" si="5"/>
        <v xml:space="preserve"> </v>
      </c>
      <c r="E3821" s="79" t="str">
        <f t="shared" si="6"/>
        <v xml:space="preserve"> </v>
      </c>
    </row>
    <row r="3822" spans="1:5" ht="12.5">
      <c r="A3822" s="81" t="str">
        <f t="shared" si="0"/>
        <v xml:space="preserve"> </v>
      </c>
      <c r="B3822" s="81" t="str">
        <f t="shared" si="1"/>
        <v xml:space="preserve"> </v>
      </c>
      <c r="C3822" s="79" t="str">
        <f t="shared" si="7"/>
        <v xml:space="preserve"> </v>
      </c>
      <c r="D3822" s="79" t="str">
        <f t="shared" si="5"/>
        <v xml:space="preserve"> </v>
      </c>
      <c r="E3822" s="79" t="str">
        <f t="shared" si="6"/>
        <v xml:space="preserve"> </v>
      </c>
    </row>
    <row r="3823" spans="1:5" ht="12.5">
      <c r="A3823" s="81" t="str">
        <f t="shared" si="0"/>
        <v xml:space="preserve"> </v>
      </c>
      <c r="B3823" s="81" t="str">
        <f t="shared" si="1"/>
        <v xml:space="preserve"> </v>
      </c>
      <c r="C3823" s="79" t="str">
        <f t="shared" si="7"/>
        <v xml:space="preserve"> </v>
      </c>
      <c r="D3823" s="79" t="str">
        <f t="shared" si="5"/>
        <v xml:space="preserve"> </v>
      </c>
      <c r="E3823" s="79" t="str">
        <f t="shared" si="6"/>
        <v xml:space="preserve"> </v>
      </c>
    </row>
    <row r="3824" spans="1:5" ht="12.5">
      <c r="A3824" s="81" t="str">
        <f t="shared" si="0"/>
        <v xml:space="preserve"> </v>
      </c>
      <c r="B3824" s="81" t="str">
        <f t="shared" si="1"/>
        <v xml:space="preserve"> </v>
      </c>
      <c r="C3824" s="79" t="str">
        <f t="shared" si="7"/>
        <v xml:space="preserve"> </v>
      </c>
      <c r="D3824" s="79" t="str">
        <f t="shared" si="5"/>
        <v xml:space="preserve"> </v>
      </c>
      <c r="E3824" s="79" t="str">
        <f t="shared" si="6"/>
        <v xml:space="preserve"> </v>
      </c>
    </row>
    <row r="3825" spans="1:5" ht="12.5">
      <c r="A3825" s="81" t="str">
        <f t="shared" si="0"/>
        <v xml:space="preserve"> </v>
      </c>
      <c r="B3825" s="81" t="str">
        <f t="shared" si="1"/>
        <v xml:space="preserve"> </v>
      </c>
      <c r="C3825" s="79" t="str">
        <f t="shared" si="7"/>
        <v xml:space="preserve"> </v>
      </c>
      <c r="D3825" s="79" t="str">
        <f t="shared" si="5"/>
        <v xml:space="preserve"> </v>
      </c>
      <c r="E3825" s="79" t="str">
        <f t="shared" si="6"/>
        <v xml:space="preserve"> </v>
      </c>
    </row>
    <row r="3826" spans="1:5" ht="12.5">
      <c r="A3826" s="81" t="str">
        <f t="shared" si="0"/>
        <v xml:space="preserve"> </v>
      </c>
      <c r="B3826" s="81" t="str">
        <f t="shared" si="1"/>
        <v xml:space="preserve"> </v>
      </c>
      <c r="C3826" s="79" t="str">
        <f t="shared" si="7"/>
        <v xml:space="preserve"> </v>
      </c>
      <c r="D3826" s="79" t="str">
        <f t="shared" si="5"/>
        <v xml:space="preserve"> </v>
      </c>
      <c r="E3826" s="79" t="str">
        <f t="shared" si="6"/>
        <v xml:space="preserve"> </v>
      </c>
    </row>
    <row r="3827" spans="1:5" ht="12.5">
      <c r="A3827" s="81" t="str">
        <f t="shared" si="0"/>
        <v xml:space="preserve"> </v>
      </c>
      <c r="B3827" s="81" t="str">
        <f t="shared" si="1"/>
        <v xml:space="preserve"> </v>
      </c>
      <c r="C3827" s="79" t="str">
        <f t="shared" si="7"/>
        <v xml:space="preserve"> </v>
      </c>
      <c r="D3827" s="79" t="str">
        <f t="shared" si="5"/>
        <v xml:space="preserve"> </v>
      </c>
      <c r="E3827" s="79" t="str">
        <f t="shared" si="6"/>
        <v xml:space="preserve"> </v>
      </c>
    </row>
    <row r="3828" spans="1:5" ht="12.5">
      <c r="A3828" s="81" t="str">
        <f t="shared" si="0"/>
        <v xml:space="preserve"> </v>
      </c>
      <c r="B3828" s="81" t="str">
        <f t="shared" si="1"/>
        <v xml:space="preserve"> </v>
      </c>
      <c r="C3828" s="79" t="str">
        <f t="shared" si="7"/>
        <v xml:space="preserve"> </v>
      </c>
      <c r="D3828" s="79" t="str">
        <f t="shared" si="5"/>
        <v xml:space="preserve"> </v>
      </c>
      <c r="E3828" s="79" t="str">
        <f t="shared" si="6"/>
        <v xml:space="preserve"> </v>
      </c>
    </row>
    <row r="3829" spans="1:5" ht="12.5">
      <c r="A3829" s="81" t="str">
        <f t="shared" si="0"/>
        <v xml:space="preserve"> </v>
      </c>
      <c r="B3829" s="81" t="str">
        <f t="shared" si="1"/>
        <v xml:space="preserve"> </v>
      </c>
      <c r="C3829" s="79" t="str">
        <f t="shared" si="7"/>
        <v xml:space="preserve"> </v>
      </c>
      <c r="D3829" s="79" t="str">
        <f t="shared" si="5"/>
        <v xml:space="preserve"> </v>
      </c>
      <c r="E3829" s="79" t="str">
        <f t="shared" si="6"/>
        <v xml:space="preserve"> </v>
      </c>
    </row>
    <row r="3830" spans="1:5" ht="12.5">
      <c r="A3830" s="81" t="str">
        <f t="shared" si="0"/>
        <v xml:space="preserve"> </v>
      </c>
      <c r="B3830" s="81" t="str">
        <f t="shared" si="1"/>
        <v xml:space="preserve"> </v>
      </c>
      <c r="C3830" s="79" t="str">
        <f t="shared" si="7"/>
        <v xml:space="preserve"> </v>
      </c>
      <c r="D3830" s="79" t="str">
        <f t="shared" si="5"/>
        <v xml:space="preserve"> </v>
      </c>
      <c r="E3830" s="79" t="str">
        <f t="shared" si="6"/>
        <v xml:space="preserve"> </v>
      </c>
    </row>
    <row r="3831" spans="1:5" ht="12.5">
      <c r="A3831" s="81" t="str">
        <f t="shared" si="0"/>
        <v xml:space="preserve"> </v>
      </c>
      <c r="B3831" s="81" t="str">
        <f t="shared" si="1"/>
        <v xml:space="preserve"> </v>
      </c>
      <c r="C3831" s="79" t="str">
        <f t="shared" si="7"/>
        <v xml:space="preserve"> </v>
      </c>
      <c r="D3831" s="79" t="str">
        <f t="shared" si="5"/>
        <v xml:space="preserve"> </v>
      </c>
      <c r="E3831" s="79" t="str">
        <f t="shared" si="6"/>
        <v xml:space="preserve"> </v>
      </c>
    </row>
    <row r="3832" spans="1:5" ht="12.5">
      <c r="A3832" s="81" t="str">
        <f t="shared" si="0"/>
        <v xml:space="preserve"> </v>
      </c>
      <c r="B3832" s="81" t="str">
        <f t="shared" si="1"/>
        <v xml:space="preserve"> </v>
      </c>
      <c r="C3832" s="79" t="str">
        <f t="shared" si="7"/>
        <v xml:space="preserve"> </v>
      </c>
      <c r="D3832" s="79" t="str">
        <f t="shared" si="5"/>
        <v xml:space="preserve"> </v>
      </c>
      <c r="E3832" s="79" t="str">
        <f t="shared" si="6"/>
        <v xml:space="preserve"> </v>
      </c>
    </row>
    <row r="3833" spans="1:5" ht="12.5">
      <c r="A3833" s="81" t="str">
        <f t="shared" si="0"/>
        <v xml:space="preserve"> </v>
      </c>
      <c r="B3833" s="81" t="str">
        <f t="shared" si="1"/>
        <v xml:space="preserve"> </v>
      </c>
      <c r="C3833" s="79" t="str">
        <f t="shared" si="7"/>
        <v xml:space="preserve"> </v>
      </c>
      <c r="D3833" s="79" t="str">
        <f t="shared" si="5"/>
        <v xml:space="preserve"> </v>
      </c>
      <c r="E3833" s="79" t="str">
        <f t="shared" si="6"/>
        <v xml:space="preserve"> </v>
      </c>
    </row>
    <row r="3834" spans="1:5" ht="12.5">
      <c r="A3834" s="81" t="str">
        <f t="shared" si="0"/>
        <v xml:space="preserve"> </v>
      </c>
      <c r="B3834" s="81" t="str">
        <f t="shared" si="1"/>
        <v xml:space="preserve"> </v>
      </c>
      <c r="C3834" s="79" t="str">
        <f t="shared" si="7"/>
        <v xml:space="preserve"> </v>
      </c>
      <c r="D3834" s="79" t="str">
        <f t="shared" si="5"/>
        <v xml:space="preserve"> </v>
      </c>
      <c r="E3834" s="79" t="str">
        <f t="shared" si="6"/>
        <v xml:space="preserve"> </v>
      </c>
    </row>
    <row r="3835" spans="1:5" ht="12.5">
      <c r="A3835" s="81" t="str">
        <f t="shared" si="0"/>
        <v xml:space="preserve"> </v>
      </c>
      <c r="B3835" s="81" t="str">
        <f t="shared" si="1"/>
        <v xml:space="preserve"> </v>
      </c>
      <c r="C3835" s="79" t="str">
        <f t="shared" si="7"/>
        <v xml:space="preserve"> </v>
      </c>
      <c r="D3835" s="79" t="str">
        <f t="shared" si="5"/>
        <v xml:space="preserve"> </v>
      </c>
      <c r="E3835" s="79" t="str">
        <f t="shared" si="6"/>
        <v xml:space="preserve"> </v>
      </c>
    </row>
    <row r="3836" spans="1:5" ht="12.5">
      <c r="A3836" s="81" t="str">
        <f t="shared" si="0"/>
        <v xml:space="preserve"> </v>
      </c>
      <c r="B3836" s="81" t="str">
        <f t="shared" si="1"/>
        <v xml:space="preserve"> </v>
      </c>
      <c r="C3836" s="79" t="str">
        <f t="shared" si="7"/>
        <v xml:space="preserve"> </v>
      </c>
      <c r="D3836" s="79" t="str">
        <f t="shared" si="5"/>
        <v xml:space="preserve"> </v>
      </c>
      <c r="E3836" s="79" t="str">
        <f t="shared" si="6"/>
        <v xml:space="preserve"> </v>
      </c>
    </row>
    <row r="3837" spans="1:5" ht="12.5">
      <c r="A3837" s="81" t="str">
        <f t="shared" si="0"/>
        <v xml:space="preserve"> </v>
      </c>
      <c r="B3837" s="81" t="str">
        <f t="shared" si="1"/>
        <v xml:space="preserve"> </v>
      </c>
      <c r="C3837" s="79" t="str">
        <f t="shared" si="7"/>
        <v xml:space="preserve"> </v>
      </c>
      <c r="D3837" s="79" t="str">
        <f t="shared" si="5"/>
        <v xml:space="preserve"> </v>
      </c>
      <c r="E3837" s="79" t="str">
        <f t="shared" si="6"/>
        <v xml:space="preserve"> </v>
      </c>
    </row>
    <row r="3838" spans="1:5" ht="12.5">
      <c r="A3838" s="81" t="str">
        <f t="shared" si="0"/>
        <v xml:space="preserve"> </v>
      </c>
      <c r="B3838" s="81" t="str">
        <f t="shared" si="1"/>
        <v xml:space="preserve"> </v>
      </c>
      <c r="C3838" s="79" t="str">
        <f t="shared" si="7"/>
        <v xml:space="preserve"> </v>
      </c>
      <c r="D3838" s="79" t="str">
        <f t="shared" si="5"/>
        <v xml:space="preserve"> </v>
      </c>
      <c r="E3838" s="79" t="str">
        <f t="shared" si="6"/>
        <v xml:space="preserve"> </v>
      </c>
    </row>
    <row r="3839" spans="1:5" ht="12.5">
      <c r="A3839" s="81" t="str">
        <f t="shared" si="0"/>
        <v xml:space="preserve"> </v>
      </c>
      <c r="B3839" s="81" t="str">
        <f t="shared" si="1"/>
        <v xml:space="preserve"> </v>
      </c>
      <c r="C3839" s="79" t="str">
        <f t="shared" si="7"/>
        <v xml:space="preserve"> </v>
      </c>
      <c r="D3839" s="79" t="str">
        <f t="shared" si="5"/>
        <v xml:space="preserve"> </v>
      </c>
      <c r="E3839" s="79" t="str">
        <f t="shared" si="6"/>
        <v xml:space="preserve"> </v>
      </c>
    </row>
    <row r="3840" spans="1:5" ht="12.5">
      <c r="A3840" s="81" t="str">
        <f t="shared" si="0"/>
        <v xml:space="preserve"> </v>
      </c>
      <c r="B3840" s="81" t="str">
        <f t="shared" si="1"/>
        <v xml:space="preserve"> </v>
      </c>
      <c r="C3840" s="79" t="str">
        <f t="shared" si="7"/>
        <v xml:space="preserve"> </v>
      </c>
      <c r="D3840" s="79" t="str">
        <f t="shared" si="5"/>
        <v xml:space="preserve"> </v>
      </c>
      <c r="E3840" s="79" t="str">
        <f t="shared" si="6"/>
        <v xml:space="preserve"> </v>
      </c>
    </row>
    <row r="3841" spans="1:5" ht="12.5">
      <c r="A3841" s="81" t="str">
        <f t="shared" si="0"/>
        <v xml:space="preserve"> </v>
      </c>
      <c r="B3841" s="81" t="str">
        <f t="shared" si="1"/>
        <v xml:space="preserve"> </v>
      </c>
      <c r="C3841" s="79" t="str">
        <f t="shared" si="7"/>
        <v xml:space="preserve"> </v>
      </c>
      <c r="D3841" s="79" t="str">
        <f t="shared" si="5"/>
        <v xml:space="preserve"> </v>
      </c>
      <c r="E3841" s="79" t="str">
        <f t="shared" si="6"/>
        <v xml:space="preserve"> </v>
      </c>
    </row>
    <row r="3842" spans="1:5" ht="12.5">
      <c r="A3842" s="81" t="str">
        <f t="shared" si="0"/>
        <v xml:space="preserve"> </v>
      </c>
      <c r="B3842" s="81" t="str">
        <f t="shared" si="1"/>
        <v xml:space="preserve"> </v>
      </c>
      <c r="C3842" s="79" t="str">
        <f t="shared" si="7"/>
        <v xml:space="preserve"> </v>
      </c>
      <c r="D3842" s="79" t="str">
        <f t="shared" si="5"/>
        <v xml:space="preserve"> </v>
      </c>
      <c r="E3842" s="79" t="str">
        <f t="shared" si="6"/>
        <v xml:space="preserve"> </v>
      </c>
    </row>
    <row r="3843" spans="1:5" ht="12.5">
      <c r="A3843" s="81" t="str">
        <f t="shared" si="0"/>
        <v xml:space="preserve"> </v>
      </c>
      <c r="B3843" s="81" t="str">
        <f t="shared" si="1"/>
        <v xml:space="preserve"> </v>
      </c>
      <c r="C3843" s="79" t="str">
        <f t="shared" si="7"/>
        <v xml:space="preserve"> </v>
      </c>
      <c r="D3843" s="79" t="str">
        <f t="shared" si="5"/>
        <v xml:space="preserve"> </v>
      </c>
      <c r="E3843" s="79" t="str">
        <f t="shared" si="6"/>
        <v xml:space="preserve"> </v>
      </c>
    </row>
    <row r="3844" spans="1:5" ht="12.5">
      <c r="A3844" s="81" t="str">
        <f t="shared" si="0"/>
        <v xml:space="preserve"> </v>
      </c>
      <c r="B3844" s="81" t="str">
        <f t="shared" si="1"/>
        <v xml:space="preserve"> </v>
      </c>
      <c r="C3844" s="79" t="str">
        <f t="shared" si="7"/>
        <v xml:space="preserve"> </v>
      </c>
      <c r="D3844" s="79" t="str">
        <f t="shared" si="5"/>
        <v xml:space="preserve"> </v>
      </c>
      <c r="E3844" s="79" t="str">
        <f t="shared" si="6"/>
        <v xml:space="preserve"> </v>
      </c>
    </row>
    <row r="3845" spans="1:5" ht="12.5">
      <c r="A3845" s="81" t="str">
        <f t="shared" si="0"/>
        <v xml:space="preserve"> </v>
      </c>
      <c r="B3845" s="81" t="str">
        <f t="shared" si="1"/>
        <v xml:space="preserve"> </v>
      </c>
      <c r="C3845" s="79" t="str">
        <f t="shared" si="7"/>
        <v xml:space="preserve"> </v>
      </c>
      <c r="D3845" s="79" t="str">
        <f t="shared" si="5"/>
        <v xml:space="preserve"> </v>
      </c>
      <c r="E3845" s="79" t="str">
        <f t="shared" si="6"/>
        <v xml:space="preserve"> </v>
      </c>
    </row>
    <row r="3846" spans="1:5" ht="12.5">
      <c r="A3846" s="81" t="str">
        <f t="shared" si="0"/>
        <v xml:space="preserve"> </v>
      </c>
      <c r="B3846" s="81" t="str">
        <f t="shared" si="1"/>
        <v xml:space="preserve"> </v>
      </c>
      <c r="C3846" s="79" t="str">
        <f t="shared" si="7"/>
        <v xml:space="preserve"> </v>
      </c>
      <c r="D3846" s="79" t="str">
        <f t="shared" si="5"/>
        <v xml:space="preserve"> </v>
      </c>
      <c r="E3846" s="79" t="str">
        <f t="shared" si="6"/>
        <v xml:space="preserve"> </v>
      </c>
    </row>
    <row r="3847" spans="1:5" ht="12.5">
      <c r="A3847" s="81" t="str">
        <f t="shared" si="0"/>
        <v xml:space="preserve"> </v>
      </c>
      <c r="B3847" s="81" t="str">
        <f t="shared" si="1"/>
        <v xml:space="preserve"> </v>
      </c>
      <c r="C3847" s="79" t="str">
        <f t="shared" si="7"/>
        <v xml:space="preserve"> </v>
      </c>
      <c r="D3847" s="79" t="str">
        <f t="shared" si="5"/>
        <v xml:space="preserve"> </v>
      </c>
      <c r="E3847" s="79" t="str">
        <f t="shared" si="6"/>
        <v xml:space="preserve"> </v>
      </c>
    </row>
    <row r="3848" spans="1:5" ht="12.5">
      <c r="A3848" s="81" t="str">
        <f t="shared" si="0"/>
        <v xml:space="preserve"> </v>
      </c>
      <c r="B3848" s="81" t="str">
        <f t="shared" si="1"/>
        <v xml:space="preserve"> </v>
      </c>
      <c r="C3848" s="79" t="str">
        <f t="shared" si="7"/>
        <v xml:space="preserve"> </v>
      </c>
      <c r="D3848" s="79" t="str">
        <f t="shared" si="5"/>
        <v xml:space="preserve"> </v>
      </c>
      <c r="E3848" s="79" t="str">
        <f t="shared" si="6"/>
        <v xml:space="preserve"> </v>
      </c>
    </row>
    <row r="3849" spans="1:5" ht="12.5">
      <c r="A3849" s="81" t="str">
        <f t="shared" si="0"/>
        <v xml:space="preserve"> </v>
      </c>
      <c r="B3849" s="81" t="str">
        <f t="shared" si="1"/>
        <v xml:space="preserve"> </v>
      </c>
      <c r="C3849" s="79" t="str">
        <f t="shared" si="7"/>
        <v xml:space="preserve"> </v>
      </c>
      <c r="D3849" s="79" t="str">
        <f t="shared" si="5"/>
        <v xml:space="preserve"> </v>
      </c>
      <c r="E3849" s="79" t="str">
        <f t="shared" si="6"/>
        <v xml:space="preserve"> </v>
      </c>
    </row>
    <row r="3850" spans="1:5" ht="12.5">
      <c r="A3850" s="81" t="str">
        <f t="shared" si="0"/>
        <v xml:space="preserve"> </v>
      </c>
      <c r="B3850" s="81" t="str">
        <f t="shared" si="1"/>
        <v xml:space="preserve"> </v>
      </c>
      <c r="C3850" s="79" t="str">
        <f t="shared" si="7"/>
        <v xml:space="preserve"> </v>
      </c>
      <c r="D3850" s="79" t="str">
        <f t="shared" si="5"/>
        <v xml:space="preserve"> </v>
      </c>
      <c r="E3850" s="79" t="str">
        <f t="shared" si="6"/>
        <v xml:space="preserve"> </v>
      </c>
    </row>
    <row r="3851" spans="1:5" ht="12.5">
      <c r="A3851" s="81" t="str">
        <f t="shared" si="0"/>
        <v xml:space="preserve"> </v>
      </c>
      <c r="B3851" s="81" t="str">
        <f t="shared" si="1"/>
        <v xml:space="preserve"> </v>
      </c>
      <c r="C3851" s="79" t="str">
        <f t="shared" si="7"/>
        <v xml:space="preserve"> </v>
      </c>
      <c r="D3851" s="79" t="str">
        <f t="shared" si="5"/>
        <v xml:space="preserve"> </v>
      </c>
      <c r="E3851" s="79" t="str">
        <f t="shared" si="6"/>
        <v xml:space="preserve"> </v>
      </c>
    </row>
    <row r="3852" spans="1:5" ht="12.5">
      <c r="A3852" s="81" t="str">
        <f t="shared" si="0"/>
        <v xml:space="preserve"> </v>
      </c>
      <c r="B3852" s="81" t="str">
        <f t="shared" si="1"/>
        <v xml:space="preserve"> </v>
      </c>
      <c r="C3852" s="79" t="str">
        <f t="shared" si="7"/>
        <v xml:space="preserve"> </v>
      </c>
      <c r="D3852" s="79" t="str">
        <f t="shared" si="5"/>
        <v xml:space="preserve"> </v>
      </c>
      <c r="E3852" s="79" t="str">
        <f t="shared" si="6"/>
        <v xml:space="preserve"> </v>
      </c>
    </row>
    <row r="3853" spans="1:5" ht="12.5">
      <c r="A3853" s="81" t="str">
        <f t="shared" si="0"/>
        <v xml:space="preserve"> </v>
      </c>
      <c r="B3853" s="81" t="str">
        <f t="shared" si="1"/>
        <v xml:space="preserve"> </v>
      </c>
      <c r="C3853" s="79" t="str">
        <f t="shared" si="7"/>
        <v xml:space="preserve"> </v>
      </c>
      <c r="D3853" s="79" t="str">
        <f t="shared" si="5"/>
        <v xml:space="preserve"> </v>
      </c>
      <c r="E3853" s="79" t="str">
        <f t="shared" si="6"/>
        <v xml:space="preserve"> </v>
      </c>
    </row>
    <row r="3854" spans="1:5" ht="12.5">
      <c r="A3854" s="81" t="str">
        <f t="shared" si="0"/>
        <v xml:space="preserve"> </v>
      </c>
      <c r="B3854" s="81" t="str">
        <f t="shared" si="1"/>
        <v xml:space="preserve"> </v>
      </c>
      <c r="C3854" s="79" t="str">
        <f t="shared" si="7"/>
        <v xml:space="preserve"> </v>
      </c>
      <c r="D3854" s="79" t="str">
        <f t="shared" si="5"/>
        <v xml:space="preserve"> </v>
      </c>
      <c r="E3854" s="79" t="str">
        <f t="shared" si="6"/>
        <v xml:space="preserve"> </v>
      </c>
    </row>
    <row r="3855" spans="1:5" ht="12.5">
      <c r="A3855" s="81" t="str">
        <f t="shared" si="0"/>
        <v xml:space="preserve"> </v>
      </c>
      <c r="B3855" s="81" t="str">
        <f t="shared" si="1"/>
        <v xml:space="preserve"> </v>
      </c>
      <c r="C3855" s="79" t="str">
        <f t="shared" si="7"/>
        <v xml:space="preserve"> </v>
      </c>
      <c r="D3855" s="79" t="str">
        <f t="shared" si="5"/>
        <v xml:space="preserve"> </v>
      </c>
      <c r="E3855" s="79" t="str">
        <f t="shared" si="6"/>
        <v xml:space="preserve"> </v>
      </c>
    </row>
    <row r="3856" spans="1:5" ht="12.5">
      <c r="A3856" s="81" t="str">
        <f t="shared" si="0"/>
        <v xml:space="preserve"> </v>
      </c>
      <c r="B3856" s="81" t="str">
        <f t="shared" si="1"/>
        <v xml:space="preserve"> </v>
      </c>
      <c r="C3856" s="79" t="str">
        <f t="shared" si="7"/>
        <v xml:space="preserve"> </v>
      </c>
      <c r="D3856" s="79" t="str">
        <f t="shared" si="5"/>
        <v xml:space="preserve"> </v>
      </c>
      <c r="E3856" s="79" t="str">
        <f t="shared" si="6"/>
        <v xml:space="preserve"> </v>
      </c>
    </row>
    <row r="3857" spans="1:5" ht="12.5">
      <c r="A3857" s="81" t="str">
        <f t="shared" si="0"/>
        <v xml:space="preserve"> </v>
      </c>
      <c r="B3857" s="81" t="str">
        <f t="shared" si="1"/>
        <v xml:space="preserve"> </v>
      </c>
      <c r="C3857" s="79" t="str">
        <f t="shared" si="7"/>
        <v xml:space="preserve"> </v>
      </c>
      <c r="D3857" s="79" t="str">
        <f t="shared" si="5"/>
        <v xml:space="preserve"> </v>
      </c>
      <c r="E3857" s="79" t="str">
        <f t="shared" si="6"/>
        <v xml:space="preserve"> </v>
      </c>
    </row>
    <row r="3858" spans="1:5" ht="12.5">
      <c r="A3858" s="81" t="str">
        <f t="shared" si="0"/>
        <v xml:space="preserve"> </v>
      </c>
      <c r="B3858" s="81" t="str">
        <f t="shared" si="1"/>
        <v xml:space="preserve"> </v>
      </c>
      <c r="C3858" s="79" t="str">
        <f t="shared" si="7"/>
        <v xml:space="preserve"> </v>
      </c>
      <c r="D3858" s="79" t="str">
        <f t="shared" si="5"/>
        <v xml:space="preserve"> </v>
      </c>
      <c r="E3858" s="79" t="str">
        <f t="shared" si="6"/>
        <v xml:space="preserve"> </v>
      </c>
    </row>
    <row r="3859" spans="1:5" ht="12.5">
      <c r="A3859" s="81" t="str">
        <f t="shared" si="0"/>
        <v xml:space="preserve"> </v>
      </c>
      <c r="B3859" s="81" t="str">
        <f t="shared" si="1"/>
        <v xml:space="preserve"> </v>
      </c>
      <c r="C3859" s="79" t="str">
        <f t="shared" si="7"/>
        <v xml:space="preserve"> </v>
      </c>
      <c r="D3859" s="79" t="str">
        <f t="shared" si="5"/>
        <v xml:space="preserve"> </v>
      </c>
      <c r="E3859" s="79" t="str">
        <f t="shared" si="6"/>
        <v xml:space="preserve"> </v>
      </c>
    </row>
    <row r="3860" spans="1:5" ht="12.5">
      <c r="A3860" s="81" t="str">
        <f t="shared" si="0"/>
        <v xml:space="preserve"> </v>
      </c>
      <c r="B3860" s="81" t="str">
        <f t="shared" si="1"/>
        <v xml:space="preserve"> </v>
      </c>
      <c r="C3860" s="79" t="str">
        <f t="shared" si="7"/>
        <v xml:space="preserve"> </v>
      </c>
      <c r="D3860" s="79" t="str">
        <f t="shared" si="5"/>
        <v xml:space="preserve"> </v>
      </c>
      <c r="E3860" s="79" t="str">
        <f t="shared" si="6"/>
        <v xml:space="preserve"> </v>
      </c>
    </row>
    <row r="3861" spans="1:5" ht="12.5">
      <c r="A3861" s="81" t="str">
        <f t="shared" si="0"/>
        <v xml:space="preserve"> </v>
      </c>
      <c r="B3861" s="81" t="str">
        <f t="shared" si="1"/>
        <v xml:space="preserve"> </v>
      </c>
      <c r="C3861" s="79" t="str">
        <f t="shared" si="7"/>
        <v xml:space="preserve"> </v>
      </c>
      <c r="D3861" s="79" t="str">
        <f t="shared" si="5"/>
        <v xml:space="preserve"> </v>
      </c>
      <c r="E3861" s="79" t="str">
        <f t="shared" si="6"/>
        <v xml:space="preserve"> </v>
      </c>
    </row>
    <row r="3862" spans="1:5" ht="12.5">
      <c r="A3862" s="81" t="str">
        <f t="shared" si="0"/>
        <v xml:space="preserve"> </v>
      </c>
      <c r="B3862" s="81" t="str">
        <f t="shared" si="1"/>
        <v xml:space="preserve"> </v>
      </c>
      <c r="C3862" s="79" t="str">
        <f t="shared" si="7"/>
        <v xml:space="preserve"> </v>
      </c>
      <c r="D3862" s="79" t="str">
        <f t="shared" si="5"/>
        <v xml:space="preserve"> </v>
      </c>
      <c r="E3862" s="79" t="str">
        <f t="shared" si="6"/>
        <v xml:space="preserve"> </v>
      </c>
    </row>
    <row r="3863" spans="1:5" ht="12.5">
      <c r="A3863" s="81" t="str">
        <f t="shared" si="0"/>
        <v xml:space="preserve"> </v>
      </c>
      <c r="B3863" s="81" t="str">
        <f t="shared" si="1"/>
        <v xml:space="preserve"> </v>
      </c>
      <c r="C3863" s="79" t="str">
        <f t="shared" si="7"/>
        <v xml:space="preserve"> </v>
      </c>
      <c r="D3863" s="79" t="str">
        <f t="shared" si="5"/>
        <v xml:space="preserve"> </v>
      </c>
      <c r="E3863" s="79" t="str">
        <f t="shared" si="6"/>
        <v xml:space="preserve"> </v>
      </c>
    </row>
    <row r="3864" spans="1:5" ht="12.5">
      <c r="A3864" s="81" t="str">
        <f t="shared" si="0"/>
        <v xml:space="preserve"> </v>
      </c>
      <c r="B3864" s="81" t="str">
        <f t="shared" si="1"/>
        <v xml:space="preserve"> </v>
      </c>
      <c r="C3864" s="79" t="str">
        <f t="shared" si="7"/>
        <v xml:space="preserve"> </v>
      </c>
      <c r="D3864" s="79" t="str">
        <f t="shared" si="5"/>
        <v xml:space="preserve"> </v>
      </c>
      <c r="E3864" s="79" t="str">
        <f t="shared" si="6"/>
        <v xml:space="preserve"> </v>
      </c>
    </row>
    <row r="3865" spans="1:5" ht="12.5">
      <c r="A3865" s="81" t="str">
        <f t="shared" si="0"/>
        <v xml:space="preserve"> </v>
      </c>
      <c r="B3865" s="81" t="str">
        <f t="shared" si="1"/>
        <v xml:space="preserve"> </v>
      </c>
      <c r="C3865" s="79" t="str">
        <f t="shared" si="7"/>
        <v xml:space="preserve"> </v>
      </c>
      <c r="D3865" s="79" t="str">
        <f t="shared" si="5"/>
        <v xml:space="preserve"> </v>
      </c>
      <c r="E3865" s="79" t="str">
        <f t="shared" si="6"/>
        <v xml:space="preserve"> </v>
      </c>
    </row>
    <row r="3866" spans="1:5" ht="12.5">
      <c r="A3866" s="81" t="str">
        <f t="shared" si="0"/>
        <v xml:space="preserve"> </v>
      </c>
      <c r="B3866" s="81" t="str">
        <f t="shared" si="1"/>
        <v xml:space="preserve"> </v>
      </c>
      <c r="C3866" s="79" t="str">
        <f t="shared" si="7"/>
        <v xml:space="preserve"> </v>
      </c>
      <c r="D3866" s="79" t="str">
        <f t="shared" si="5"/>
        <v xml:space="preserve"> </v>
      </c>
      <c r="E3866" s="79" t="str">
        <f t="shared" si="6"/>
        <v xml:space="preserve"> </v>
      </c>
    </row>
    <row r="3867" spans="1:5" ht="12.5">
      <c r="A3867" s="81" t="str">
        <f t="shared" si="0"/>
        <v xml:space="preserve"> </v>
      </c>
      <c r="B3867" s="81" t="str">
        <f t="shared" si="1"/>
        <v xml:space="preserve"> </v>
      </c>
      <c r="C3867" s="79" t="str">
        <f t="shared" si="7"/>
        <v xml:space="preserve"> </v>
      </c>
      <c r="D3867" s="79" t="str">
        <f t="shared" si="5"/>
        <v xml:space="preserve"> </v>
      </c>
      <c r="E3867" s="79" t="str">
        <f t="shared" si="6"/>
        <v xml:space="preserve"> </v>
      </c>
    </row>
    <row r="3868" spans="1:5" ht="12.5">
      <c r="A3868" s="81" t="str">
        <f t="shared" si="0"/>
        <v xml:space="preserve"> </v>
      </c>
      <c r="B3868" s="81" t="str">
        <f t="shared" si="1"/>
        <v xml:space="preserve"> </v>
      </c>
      <c r="C3868" s="79" t="str">
        <f t="shared" si="7"/>
        <v xml:space="preserve"> </v>
      </c>
      <c r="D3868" s="79" t="str">
        <f t="shared" si="5"/>
        <v xml:space="preserve"> </v>
      </c>
      <c r="E3868" s="79" t="str">
        <f t="shared" si="6"/>
        <v xml:space="preserve"> </v>
      </c>
    </row>
    <row r="3869" spans="1:5" ht="12.5">
      <c r="A3869" s="81" t="str">
        <f t="shared" si="0"/>
        <v xml:space="preserve"> </v>
      </c>
      <c r="B3869" s="81" t="str">
        <f t="shared" si="1"/>
        <v xml:space="preserve"> </v>
      </c>
      <c r="C3869" s="79" t="str">
        <f t="shared" si="7"/>
        <v xml:space="preserve"> </v>
      </c>
      <c r="D3869" s="79" t="str">
        <f t="shared" si="5"/>
        <v xml:space="preserve"> </v>
      </c>
      <c r="E3869" s="79" t="str">
        <f t="shared" si="6"/>
        <v xml:space="preserve"> </v>
      </c>
    </row>
    <row r="3870" spans="1:5" ht="12.5">
      <c r="A3870" s="81" t="str">
        <f t="shared" si="0"/>
        <v xml:space="preserve"> </v>
      </c>
      <c r="B3870" s="81" t="str">
        <f t="shared" si="1"/>
        <v xml:space="preserve"> </v>
      </c>
      <c r="C3870" s="79" t="str">
        <f t="shared" si="7"/>
        <v xml:space="preserve"> </v>
      </c>
      <c r="D3870" s="79" t="str">
        <f t="shared" si="5"/>
        <v xml:space="preserve"> </v>
      </c>
      <c r="E3870" s="79" t="str">
        <f t="shared" si="6"/>
        <v xml:space="preserve"> </v>
      </c>
    </row>
    <row r="3871" spans="1:5" ht="12.5">
      <c r="A3871" s="81" t="str">
        <f t="shared" si="0"/>
        <v xml:space="preserve"> </v>
      </c>
      <c r="B3871" s="81" t="str">
        <f t="shared" si="1"/>
        <v xml:space="preserve"> </v>
      </c>
      <c r="C3871" s="79" t="str">
        <f t="shared" si="7"/>
        <v xml:space="preserve"> </v>
      </c>
      <c r="D3871" s="79" t="str">
        <f t="shared" si="5"/>
        <v xml:space="preserve"> </v>
      </c>
      <c r="E3871" s="79" t="str">
        <f t="shared" si="6"/>
        <v xml:space="preserve"> </v>
      </c>
    </row>
    <row r="3872" spans="1:5" ht="12.5">
      <c r="A3872" s="81" t="str">
        <f t="shared" si="0"/>
        <v xml:space="preserve"> </v>
      </c>
      <c r="B3872" s="81" t="str">
        <f t="shared" si="1"/>
        <v xml:space="preserve"> </v>
      </c>
      <c r="C3872" s="79" t="str">
        <f t="shared" si="7"/>
        <v xml:space="preserve"> </v>
      </c>
      <c r="D3872" s="79" t="str">
        <f t="shared" si="5"/>
        <v xml:space="preserve"> </v>
      </c>
      <c r="E3872" s="79" t="str">
        <f t="shared" si="6"/>
        <v xml:space="preserve"> </v>
      </c>
    </row>
    <row r="3873" spans="1:5" ht="12.5">
      <c r="A3873" s="81" t="str">
        <f t="shared" si="0"/>
        <v xml:space="preserve"> </v>
      </c>
      <c r="B3873" s="81" t="str">
        <f t="shared" si="1"/>
        <v xml:space="preserve"> </v>
      </c>
      <c r="C3873" s="79" t="str">
        <f t="shared" si="7"/>
        <v xml:space="preserve"> </v>
      </c>
      <c r="D3873" s="79" t="str">
        <f t="shared" si="5"/>
        <v xml:space="preserve"> </v>
      </c>
      <c r="E3873" s="79" t="str">
        <f t="shared" si="6"/>
        <v xml:space="preserve"> </v>
      </c>
    </row>
    <row r="3874" spans="1:5" ht="12.5">
      <c r="A3874" s="81" t="str">
        <f t="shared" si="0"/>
        <v xml:space="preserve"> </v>
      </c>
      <c r="B3874" s="81" t="str">
        <f t="shared" si="1"/>
        <v xml:space="preserve"> </v>
      </c>
      <c r="C3874" s="79" t="str">
        <f t="shared" si="7"/>
        <v xml:space="preserve"> </v>
      </c>
      <c r="D3874" s="79" t="str">
        <f t="shared" si="5"/>
        <v xml:space="preserve"> </v>
      </c>
      <c r="E3874" s="79" t="str">
        <f t="shared" si="6"/>
        <v xml:space="preserve"> </v>
      </c>
    </row>
    <row r="3875" spans="1:5" ht="12.5">
      <c r="A3875" s="81" t="str">
        <f t="shared" si="0"/>
        <v xml:space="preserve"> </v>
      </c>
      <c r="B3875" s="81" t="str">
        <f t="shared" si="1"/>
        <v xml:space="preserve"> </v>
      </c>
      <c r="C3875" s="79" t="str">
        <f t="shared" si="7"/>
        <v xml:space="preserve"> </v>
      </c>
      <c r="D3875" s="79" t="str">
        <f t="shared" si="5"/>
        <v xml:space="preserve"> </v>
      </c>
      <c r="E3875" s="79" t="str">
        <f t="shared" si="6"/>
        <v xml:space="preserve"> </v>
      </c>
    </row>
    <row r="3876" spans="1:5" ht="12.5">
      <c r="A3876" s="81" t="str">
        <f t="shared" si="0"/>
        <v xml:space="preserve"> </v>
      </c>
      <c r="B3876" s="81" t="str">
        <f t="shared" si="1"/>
        <v xml:space="preserve"> </v>
      </c>
      <c r="C3876" s="79" t="str">
        <f t="shared" si="7"/>
        <v xml:space="preserve"> </v>
      </c>
      <c r="D3876" s="79" t="str">
        <f t="shared" si="5"/>
        <v xml:space="preserve"> </v>
      </c>
      <c r="E3876" s="79" t="str">
        <f t="shared" si="6"/>
        <v xml:space="preserve"> </v>
      </c>
    </row>
    <row r="3877" spans="1:5" ht="12.5">
      <c r="A3877" s="81" t="str">
        <f t="shared" si="0"/>
        <v xml:space="preserve"> </v>
      </c>
      <c r="B3877" s="81" t="str">
        <f t="shared" si="1"/>
        <v xml:space="preserve"> </v>
      </c>
      <c r="C3877" s="79" t="str">
        <f t="shared" si="7"/>
        <v xml:space="preserve"> </v>
      </c>
      <c r="D3877" s="79" t="str">
        <f t="shared" si="5"/>
        <v xml:space="preserve"> </v>
      </c>
      <c r="E3877" s="79" t="str">
        <f t="shared" si="6"/>
        <v xml:space="preserve"> </v>
      </c>
    </row>
    <row r="3878" spans="1:5" ht="12.5">
      <c r="A3878" s="81" t="str">
        <f t="shared" si="0"/>
        <v xml:space="preserve"> </v>
      </c>
      <c r="B3878" s="81" t="str">
        <f t="shared" si="1"/>
        <v xml:space="preserve"> </v>
      </c>
      <c r="C3878" s="79" t="str">
        <f t="shared" si="7"/>
        <v xml:space="preserve"> </v>
      </c>
      <c r="D3878" s="79" t="str">
        <f t="shared" si="5"/>
        <v xml:space="preserve"> </v>
      </c>
      <c r="E3878" s="79" t="str">
        <f t="shared" si="6"/>
        <v xml:space="preserve"> </v>
      </c>
    </row>
    <row r="3879" spans="1:5" ht="12.5">
      <c r="A3879" s="81" t="str">
        <f t="shared" si="0"/>
        <v xml:space="preserve"> </v>
      </c>
      <c r="B3879" s="81" t="str">
        <f t="shared" si="1"/>
        <v xml:space="preserve"> </v>
      </c>
      <c r="C3879" s="79" t="str">
        <f t="shared" si="7"/>
        <v xml:space="preserve"> </v>
      </c>
      <c r="D3879" s="79" t="str">
        <f t="shared" si="5"/>
        <v xml:space="preserve"> </v>
      </c>
      <c r="E3879" s="79" t="str">
        <f t="shared" si="6"/>
        <v xml:space="preserve"> </v>
      </c>
    </row>
    <row r="3880" spans="1:5" ht="12.5">
      <c r="A3880" s="81" t="str">
        <f t="shared" si="0"/>
        <v xml:space="preserve"> </v>
      </c>
      <c r="B3880" s="81" t="str">
        <f t="shared" si="1"/>
        <v xml:space="preserve"> </v>
      </c>
      <c r="C3880" s="79" t="str">
        <f t="shared" si="7"/>
        <v xml:space="preserve"> </v>
      </c>
      <c r="D3880" s="79" t="str">
        <f t="shared" si="5"/>
        <v xml:space="preserve"> </v>
      </c>
      <c r="E3880" s="79" t="str">
        <f t="shared" si="6"/>
        <v xml:space="preserve"> </v>
      </c>
    </row>
    <row r="3881" spans="1:5" ht="12.5">
      <c r="A3881" s="81" t="str">
        <f t="shared" si="0"/>
        <v xml:space="preserve"> </v>
      </c>
      <c r="B3881" s="81" t="str">
        <f t="shared" si="1"/>
        <v xml:space="preserve"> </v>
      </c>
      <c r="C3881" s="79" t="str">
        <f t="shared" si="7"/>
        <v xml:space="preserve"> </v>
      </c>
      <c r="D3881" s="79" t="str">
        <f t="shared" si="5"/>
        <v xml:space="preserve"> </v>
      </c>
      <c r="E3881" s="79" t="str">
        <f t="shared" si="6"/>
        <v xml:space="preserve"> </v>
      </c>
    </row>
    <row r="3882" spans="1:5" ht="12.5">
      <c r="A3882" s="81" t="str">
        <f t="shared" si="0"/>
        <v xml:space="preserve"> </v>
      </c>
      <c r="B3882" s="81" t="str">
        <f t="shared" si="1"/>
        <v xml:space="preserve"> </v>
      </c>
      <c r="C3882" s="79" t="str">
        <f t="shared" si="7"/>
        <v xml:space="preserve"> </v>
      </c>
      <c r="D3882" s="79" t="str">
        <f t="shared" si="5"/>
        <v xml:space="preserve"> </v>
      </c>
      <c r="E3882" s="79" t="str">
        <f t="shared" si="6"/>
        <v xml:space="preserve"> </v>
      </c>
    </row>
    <row r="3883" spans="1:5" ht="12.5">
      <c r="A3883" s="81" t="str">
        <f t="shared" si="0"/>
        <v xml:space="preserve"> </v>
      </c>
      <c r="B3883" s="81" t="str">
        <f t="shared" si="1"/>
        <v xml:space="preserve"> </v>
      </c>
      <c r="C3883" s="79" t="str">
        <f t="shared" si="7"/>
        <v xml:space="preserve"> </v>
      </c>
      <c r="D3883" s="79" t="str">
        <f t="shared" si="5"/>
        <v xml:space="preserve"> </v>
      </c>
      <c r="E3883" s="79" t="str">
        <f t="shared" si="6"/>
        <v xml:space="preserve"> </v>
      </c>
    </row>
    <row r="3884" spans="1:5" ht="12.5">
      <c r="A3884" s="81" t="str">
        <f t="shared" si="0"/>
        <v xml:space="preserve"> </v>
      </c>
      <c r="B3884" s="81" t="str">
        <f t="shared" si="1"/>
        <v xml:space="preserve"> </v>
      </c>
      <c r="C3884" s="79" t="str">
        <f t="shared" si="7"/>
        <v xml:space="preserve"> </v>
      </c>
      <c r="D3884" s="79" t="str">
        <f t="shared" si="5"/>
        <v xml:space="preserve"> </v>
      </c>
      <c r="E3884" s="79" t="str">
        <f t="shared" si="6"/>
        <v xml:space="preserve"> </v>
      </c>
    </row>
    <row r="3885" spans="1:5" ht="12.5">
      <c r="A3885" s="81" t="str">
        <f t="shared" si="0"/>
        <v xml:space="preserve"> </v>
      </c>
      <c r="B3885" s="81" t="str">
        <f t="shared" si="1"/>
        <v xml:space="preserve"> </v>
      </c>
      <c r="C3885" s="79" t="str">
        <f t="shared" si="7"/>
        <v xml:space="preserve"> </v>
      </c>
      <c r="D3885" s="79" t="str">
        <f t="shared" si="5"/>
        <v xml:space="preserve"> </v>
      </c>
      <c r="E3885" s="79" t="str">
        <f t="shared" si="6"/>
        <v xml:space="preserve"> </v>
      </c>
    </row>
    <row r="3886" spans="1:5" ht="12.5">
      <c r="A3886" s="81" t="str">
        <f t="shared" si="0"/>
        <v xml:space="preserve"> </v>
      </c>
      <c r="B3886" s="81" t="str">
        <f t="shared" si="1"/>
        <v xml:space="preserve"> </v>
      </c>
      <c r="C3886" s="79" t="str">
        <f t="shared" si="7"/>
        <v xml:space="preserve"> </v>
      </c>
      <c r="D3886" s="79" t="str">
        <f t="shared" si="5"/>
        <v xml:space="preserve"> </v>
      </c>
      <c r="E3886" s="79" t="str">
        <f t="shared" si="6"/>
        <v xml:space="preserve"> </v>
      </c>
    </row>
    <row r="3887" spans="1:5" ht="12.5">
      <c r="A3887" s="81" t="str">
        <f t="shared" si="0"/>
        <v xml:space="preserve"> </v>
      </c>
      <c r="B3887" s="81" t="str">
        <f t="shared" si="1"/>
        <v xml:space="preserve"> </v>
      </c>
      <c r="C3887" s="79" t="str">
        <f t="shared" si="7"/>
        <v xml:space="preserve"> </v>
      </c>
      <c r="D3887" s="79" t="str">
        <f t="shared" si="5"/>
        <v xml:space="preserve"> </v>
      </c>
      <c r="E3887" s="79" t="str">
        <f t="shared" si="6"/>
        <v xml:space="preserve"> </v>
      </c>
    </row>
    <row r="3888" spans="1:5" ht="12.5">
      <c r="A3888" s="81" t="str">
        <f t="shared" si="0"/>
        <v xml:space="preserve"> </v>
      </c>
      <c r="B3888" s="81" t="str">
        <f t="shared" si="1"/>
        <v xml:space="preserve"> </v>
      </c>
      <c r="C3888" s="79" t="str">
        <f t="shared" si="7"/>
        <v xml:space="preserve"> </v>
      </c>
      <c r="D3888" s="79" t="str">
        <f t="shared" si="5"/>
        <v xml:space="preserve"> </v>
      </c>
      <c r="E3888" s="79" t="str">
        <f t="shared" si="6"/>
        <v xml:space="preserve"> </v>
      </c>
    </row>
    <row r="3889" spans="1:5" ht="12.5">
      <c r="A3889" s="81" t="str">
        <f t="shared" si="0"/>
        <v xml:space="preserve"> </v>
      </c>
      <c r="B3889" s="81" t="str">
        <f t="shared" si="1"/>
        <v xml:space="preserve"> </v>
      </c>
      <c r="C3889" s="79" t="str">
        <f t="shared" si="7"/>
        <v xml:space="preserve"> </v>
      </c>
      <c r="D3889" s="79" t="str">
        <f t="shared" si="5"/>
        <v xml:space="preserve"> </v>
      </c>
      <c r="E3889" s="79" t="str">
        <f t="shared" si="6"/>
        <v xml:space="preserve"> </v>
      </c>
    </row>
    <row r="3890" spans="1:5" ht="12.5">
      <c r="A3890" s="81" t="str">
        <f t="shared" si="0"/>
        <v xml:space="preserve"> </v>
      </c>
      <c r="B3890" s="81" t="str">
        <f t="shared" si="1"/>
        <v xml:space="preserve"> </v>
      </c>
      <c r="C3890" s="79" t="str">
        <f t="shared" si="7"/>
        <v xml:space="preserve"> </v>
      </c>
      <c r="D3890" s="79" t="str">
        <f t="shared" si="5"/>
        <v xml:space="preserve"> </v>
      </c>
      <c r="E3890" s="79" t="str">
        <f t="shared" si="6"/>
        <v xml:space="preserve"> </v>
      </c>
    </row>
    <row r="3891" spans="1:5" ht="12.5">
      <c r="A3891" s="81" t="str">
        <f t="shared" si="0"/>
        <v xml:space="preserve"> </v>
      </c>
      <c r="B3891" s="81" t="str">
        <f t="shared" si="1"/>
        <v xml:space="preserve"> </v>
      </c>
      <c r="C3891" s="79" t="str">
        <f t="shared" si="7"/>
        <v xml:space="preserve"> </v>
      </c>
      <c r="D3891" s="79" t="str">
        <f t="shared" si="5"/>
        <v xml:space="preserve"> </v>
      </c>
      <c r="E3891" s="79" t="str">
        <f t="shared" si="6"/>
        <v xml:space="preserve"> </v>
      </c>
    </row>
    <row r="3892" spans="1:5" ht="12.5">
      <c r="A3892" s="81" t="str">
        <f t="shared" si="0"/>
        <v xml:space="preserve"> </v>
      </c>
      <c r="B3892" s="81" t="str">
        <f t="shared" si="1"/>
        <v xml:space="preserve"> </v>
      </c>
      <c r="C3892" s="79" t="str">
        <f t="shared" si="7"/>
        <v xml:space="preserve"> </v>
      </c>
      <c r="D3892" s="79" t="str">
        <f t="shared" si="5"/>
        <v xml:space="preserve"> </v>
      </c>
      <c r="E3892" s="79" t="str">
        <f t="shared" si="6"/>
        <v xml:space="preserve"> </v>
      </c>
    </row>
    <row r="3893" spans="1:5" ht="12.5">
      <c r="A3893" s="81" t="str">
        <f t="shared" si="0"/>
        <v xml:space="preserve"> </v>
      </c>
      <c r="B3893" s="81" t="str">
        <f t="shared" si="1"/>
        <v xml:space="preserve"> </v>
      </c>
      <c r="C3893" s="79" t="str">
        <f t="shared" si="7"/>
        <v xml:space="preserve"> </v>
      </c>
      <c r="D3893" s="79" t="str">
        <f t="shared" si="5"/>
        <v xml:space="preserve"> </v>
      </c>
      <c r="E3893" s="79" t="str">
        <f t="shared" si="6"/>
        <v xml:space="preserve"> </v>
      </c>
    </row>
    <row r="3894" spans="1:5" ht="12.5">
      <c r="A3894" s="81" t="str">
        <f t="shared" si="0"/>
        <v xml:space="preserve"> </v>
      </c>
      <c r="B3894" s="81" t="str">
        <f t="shared" si="1"/>
        <v xml:space="preserve"> </v>
      </c>
      <c r="C3894" s="79" t="str">
        <f t="shared" si="7"/>
        <v xml:space="preserve"> </v>
      </c>
      <c r="D3894" s="79" t="str">
        <f t="shared" si="5"/>
        <v xml:space="preserve"> </v>
      </c>
      <c r="E3894" s="79" t="str">
        <f t="shared" si="6"/>
        <v xml:space="preserve"> </v>
      </c>
    </row>
    <row r="3895" spans="1:5" ht="12.5">
      <c r="A3895" s="81" t="str">
        <f t="shared" si="0"/>
        <v xml:space="preserve"> </v>
      </c>
      <c r="B3895" s="81" t="str">
        <f t="shared" si="1"/>
        <v xml:space="preserve"> </v>
      </c>
      <c r="C3895" s="79" t="str">
        <f t="shared" si="7"/>
        <v xml:space="preserve"> </v>
      </c>
      <c r="D3895" s="79" t="str">
        <f t="shared" si="5"/>
        <v xml:space="preserve"> </v>
      </c>
      <c r="E3895" s="79" t="str">
        <f t="shared" si="6"/>
        <v xml:space="preserve"> </v>
      </c>
    </row>
    <row r="3896" spans="1:5" ht="12.5">
      <c r="A3896" s="81" t="str">
        <f t="shared" si="0"/>
        <v xml:space="preserve"> </v>
      </c>
      <c r="B3896" s="81" t="str">
        <f t="shared" si="1"/>
        <v xml:space="preserve"> </v>
      </c>
      <c r="C3896" s="79" t="str">
        <f t="shared" si="7"/>
        <v xml:space="preserve"> </v>
      </c>
      <c r="D3896" s="79" t="str">
        <f t="shared" si="5"/>
        <v xml:space="preserve"> </v>
      </c>
      <c r="E3896" s="79" t="str">
        <f t="shared" si="6"/>
        <v xml:space="preserve"> </v>
      </c>
    </row>
    <row r="3897" spans="1:5" ht="12.5">
      <c r="A3897" s="81" t="str">
        <f t="shared" si="0"/>
        <v xml:space="preserve"> </v>
      </c>
      <c r="B3897" s="81" t="str">
        <f t="shared" si="1"/>
        <v xml:space="preserve"> </v>
      </c>
      <c r="C3897" s="79" t="str">
        <f t="shared" si="7"/>
        <v xml:space="preserve"> </v>
      </c>
      <c r="D3897" s="79" t="str">
        <f t="shared" si="5"/>
        <v xml:space="preserve"> </v>
      </c>
      <c r="E3897" s="79" t="str">
        <f t="shared" si="6"/>
        <v xml:space="preserve"> </v>
      </c>
    </row>
    <row r="3898" spans="1:5" ht="12.5">
      <c r="A3898" s="81" t="str">
        <f t="shared" si="0"/>
        <v xml:space="preserve"> </v>
      </c>
      <c r="B3898" s="81" t="str">
        <f t="shared" si="1"/>
        <v xml:space="preserve"> </v>
      </c>
      <c r="C3898" s="79" t="str">
        <f t="shared" si="7"/>
        <v xml:space="preserve"> </v>
      </c>
      <c r="D3898" s="79" t="str">
        <f t="shared" si="5"/>
        <v xml:space="preserve"> </v>
      </c>
      <c r="E3898" s="79" t="str">
        <f t="shared" si="6"/>
        <v xml:space="preserve"> </v>
      </c>
    </row>
    <row r="3899" spans="1:5" ht="12.5">
      <c r="A3899" s="81" t="str">
        <f t="shared" si="0"/>
        <v xml:space="preserve"> </v>
      </c>
      <c r="B3899" s="81" t="str">
        <f t="shared" si="1"/>
        <v xml:space="preserve"> </v>
      </c>
      <c r="C3899" s="79" t="str">
        <f t="shared" si="7"/>
        <v xml:space="preserve"> </v>
      </c>
      <c r="D3899" s="79" t="str">
        <f t="shared" si="5"/>
        <v xml:space="preserve"> </v>
      </c>
      <c r="E3899" s="79" t="str">
        <f t="shared" si="6"/>
        <v xml:space="preserve"> </v>
      </c>
    </row>
    <row r="3900" spans="1:5" ht="12.5">
      <c r="A3900" s="81" t="str">
        <f t="shared" si="0"/>
        <v xml:space="preserve"> </v>
      </c>
      <c r="B3900" s="81" t="str">
        <f t="shared" si="1"/>
        <v xml:space="preserve"> </v>
      </c>
      <c r="C3900" s="79" t="str">
        <f t="shared" si="7"/>
        <v xml:space="preserve"> </v>
      </c>
      <c r="D3900" s="79" t="str">
        <f t="shared" si="5"/>
        <v xml:space="preserve"> </v>
      </c>
      <c r="E3900" s="79" t="str">
        <f t="shared" si="6"/>
        <v xml:space="preserve"> </v>
      </c>
    </row>
    <row r="3901" spans="1:5" ht="12.5">
      <c r="A3901" s="81" t="str">
        <f t="shared" si="0"/>
        <v xml:space="preserve"> </v>
      </c>
      <c r="B3901" s="81" t="str">
        <f t="shared" si="1"/>
        <v xml:space="preserve"> </v>
      </c>
      <c r="C3901" s="79" t="str">
        <f t="shared" si="7"/>
        <v xml:space="preserve"> </v>
      </c>
      <c r="D3901" s="79" t="str">
        <f t="shared" si="5"/>
        <v xml:space="preserve"> </v>
      </c>
      <c r="E3901" s="79" t="str">
        <f t="shared" si="6"/>
        <v xml:space="preserve"> </v>
      </c>
    </row>
    <row r="3902" spans="1:5" ht="12.5">
      <c r="A3902" s="81" t="str">
        <f t="shared" si="0"/>
        <v xml:space="preserve"> </v>
      </c>
      <c r="B3902" s="81" t="str">
        <f t="shared" si="1"/>
        <v xml:space="preserve"> </v>
      </c>
      <c r="C3902" s="79" t="str">
        <f t="shared" si="7"/>
        <v xml:space="preserve"> </v>
      </c>
      <c r="D3902" s="79" t="str">
        <f t="shared" si="5"/>
        <v xml:space="preserve"> </v>
      </c>
      <c r="E3902" s="79" t="str">
        <f t="shared" si="6"/>
        <v xml:space="preserve"> </v>
      </c>
    </row>
    <row r="3903" spans="1:5" ht="12.5">
      <c r="A3903" s="81" t="str">
        <f t="shared" si="0"/>
        <v xml:space="preserve"> </v>
      </c>
      <c r="B3903" s="81" t="str">
        <f t="shared" si="1"/>
        <v xml:space="preserve"> </v>
      </c>
      <c r="C3903" s="79" t="str">
        <f t="shared" si="7"/>
        <v xml:space="preserve"> </v>
      </c>
      <c r="D3903" s="79" t="str">
        <f t="shared" si="5"/>
        <v xml:space="preserve"> </v>
      </c>
      <c r="E3903" s="79" t="str">
        <f t="shared" si="6"/>
        <v xml:space="preserve"> </v>
      </c>
    </row>
    <row r="3904" spans="1:5" ht="12.5">
      <c r="A3904" s="81" t="str">
        <f t="shared" si="0"/>
        <v xml:space="preserve"> </v>
      </c>
      <c r="B3904" s="81" t="str">
        <f t="shared" si="1"/>
        <v xml:space="preserve"> </v>
      </c>
      <c r="C3904" s="79" t="str">
        <f t="shared" si="7"/>
        <v xml:space="preserve"> </v>
      </c>
      <c r="D3904" s="79" t="str">
        <f t="shared" si="5"/>
        <v xml:space="preserve"> </v>
      </c>
      <c r="E3904" s="79" t="str">
        <f t="shared" si="6"/>
        <v xml:space="preserve"> </v>
      </c>
    </row>
    <row r="3905" spans="1:5" ht="12.5">
      <c r="A3905" s="81" t="str">
        <f t="shared" si="0"/>
        <v xml:space="preserve"> </v>
      </c>
      <c r="B3905" s="81" t="str">
        <f t="shared" si="1"/>
        <v xml:space="preserve"> </v>
      </c>
      <c r="C3905" s="79" t="str">
        <f t="shared" si="7"/>
        <v xml:space="preserve"> </v>
      </c>
      <c r="D3905" s="79" t="str">
        <f t="shared" si="5"/>
        <v xml:space="preserve"> </v>
      </c>
      <c r="E3905" s="79" t="str">
        <f t="shared" si="6"/>
        <v xml:space="preserve"> </v>
      </c>
    </row>
    <row r="3906" spans="1:5" ht="12.5">
      <c r="A3906" s="81" t="str">
        <f t="shared" si="0"/>
        <v xml:space="preserve"> </v>
      </c>
      <c r="B3906" s="81" t="str">
        <f t="shared" si="1"/>
        <v xml:space="preserve"> </v>
      </c>
      <c r="C3906" s="79" t="str">
        <f t="shared" si="7"/>
        <v xml:space="preserve"> </v>
      </c>
      <c r="D3906" s="79" t="str">
        <f t="shared" si="5"/>
        <v xml:space="preserve"> </v>
      </c>
      <c r="E3906" s="79" t="str">
        <f t="shared" si="6"/>
        <v xml:space="preserve"> </v>
      </c>
    </row>
    <row r="3907" spans="1:5" ht="12.5">
      <c r="A3907" s="81" t="str">
        <f t="shared" si="0"/>
        <v xml:space="preserve"> </v>
      </c>
      <c r="B3907" s="81" t="str">
        <f t="shared" si="1"/>
        <v xml:space="preserve"> </v>
      </c>
      <c r="C3907" s="79" t="str">
        <f t="shared" si="7"/>
        <v xml:space="preserve"> </v>
      </c>
      <c r="D3907" s="79" t="str">
        <f t="shared" si="5"/>
        <v xml:space="preserve"> </v>
      </c>
      <c r="E3907" s="79" t="str">
        <f t="shared" si="6"/>
        <v xml:space="preserve"> </v>
      </c>
    </row>
    <row r="3908" spans="1:5" ht="12.5">
      <c r="A3908" s="81" t="str">
        <f t="shared" si="0"/>
        <v xml:space="preserve"> </v>
      </c>
      <c r="B3908" s="81" t="str">
        <f t="shared" si="1"/>
        <v xml:space="preserve"> </v>
      </c>
      <c r="C3908" s="79" t="str">
        <f t="shared" si="7"/>
        <v xml:space="preserve"> </v>
      </c>
      <c r="D3908" s="79" t="str">
        <f t="shared" si="5"/>
        <v xml:space="preserve"> </v>
      </c>
      <c r="E3908" s="79" t="str">
        <f t="shared" si="6"/>
        <v xml:space="preserve"> </v>
      </c>
    </row>
    <row r="3909" spans="1:5" ht="12.5">
      <c r="A3909" s="81" t="str">
        <f t="shared" si="0"/>
        <v xml:space="preserve"> </v>
      </c>
      <c r="B3909" s="81" t="str">
        <f t="shared" si="1"/>
        <v xml:space="preserve"> </v>
      </c>
      <c r="C3909" s="79" t="str">
        <f t="shared" si="7"/>
        <v xml:space="preserve"> </v>
      </c>
      <c r="D3909" s="79" t="str">
        <f t="shared" si="5"/>
        <v xml:space="preserve"> </v>
      </c>
      <c r="E3909" s="79" t="str">
        <f t="shared" si="6"/>
        <v xml:space="preserve"> </v>
      </c>
    </row>
    <row r="3910" spans="1:5" ht="12.5">
      <c r="A3910" s="81" t="str">
        <f t="shared" si="0"/>
        <v xml:space="preserve"> </v>
      </c>
      <c r="B3910" s="81" t="str">
        <f t="shared" si="1"/>
        <v xml:space="preserve"> </v>
      </c>
      <c r="C3910" s="79" t="str">
        <f t="shared" si="7"/>
        <v xml:space="preserve"> </v>
      </c>
      <c r="D3910" s="79" t="str">
        <f t="shared" si="5"/>
        <v xml:space="preserve"> </v>
      </c>
      <c r="E3910" s="79" t="str">
        <f t="shared" si="6"/>
        <v xml:space="preserve"> </v>
      </c>
    </row>
    <row r="3911" spans="1:5" ht="12.5">
      <c r="A3911" s="81" t="str">
        <f t="shared" si="0"/>
        <v xml:space="preserve"> </v>
      </c>
      <c r="B3911" s="81" t="str">
        <f t="shared" si="1"/>
        <v xml:space="preserve"> </v>
      </c>
      <c r="C3911" s="79" t="str">
        <f t="shared" si="7"/>
        <v xml:space="preserve"> </v>
      </c>
      <c r="D3911" s="79" t="str">
        <f t="shared" si="5"/>
        <v xml:space="preserve"> </v>
      </c>
      <c r="E3911" s="79" t="str">
        <f t="shared" si="6"/>
        <v xml:space="preserve"> </v>
      </c>
    </row>
    <row r="3912" spans="1:5" ht="12.5">
      <c r="A3912" s="81" t="str">
        <f t="shared" si="0"/>
        <v xml:space="preserve"> </v>
      </c>
      <c r="B3912" s="81" t="str">
        <f t="shared" si="1"/>
        <v xml:space="preserve"> </v>
      </c>
      <c r="C3912" s="79" t="str">
        <f t="shared" si="7"/>
        <v xml:space="preserve"> </v>
      </c>
      <c r="D3912" s="79" t="str">
        <f t="shared" si="5"/>
        <v xml:space="preserve"> </v>
      </c>
      <c r="E3912" s="79" t="str">
        <f t="shared" si="6"/>
        <v xml:space="preserve"> </v>
      </c>
    </row>
    <row r="3913" spans="1:5" ht="12.5">
      <c r="A3913" s="81" t="str">
        <f t="shared" si="0"/>
        <v xml:space="preserve"> </v>
      </c>
      <c r="B3913" s="81" t="str">
        <f t="shared" si="1"/>
        <v xml:space="preserve"> </v>
      </c>
      <c r="C3913" s="79" t="str">
        <f t="shared" si="7"/>
        <v xml:space="preserve"> </v>
      </c>
      <c r="D3913" s="79" t="str">
        <f t="shared" si="5"/>
        <v xml:space="preserve"> </v>
      </c>
      <c r="E3913" s="79" t="str">
        <f t="shared" si="6"/>
        <v xml:space="preserve"> </v>
      </c>
    </row>
    <row r="3914" spans="1:5" ht="12.5">
      <c r="A3914" s="81" t="str">
        <f t="shared" si="0"/>
        <v xml:space="preserve"> </v>
      </c>
      <c r="B3914" s="81" t="str">
        <f t="shared" si="1"/>
        <v xml:space="preserve"> </v>
      </c>
      <c r="C3914" s="79" t="str">
        <f t="shared" si="7"/>
        <v xml:space="preserve"> </v>
      </c>
      <c r="D3914" s="79" t="str">
        <f t="shared" si="5"/>
        <v xml:space="preserve"> </v>
      </c>
      <c r="E3914" s="79" t="str">
        <f t="shared" si="6"/>
        <v xml:space="preserve"> </v>
      </c>
    </row>
    <row r="3915" spans="1:5" ht="12.5">
      <c r="A3915" s="81" t="str">
        <f t="shared" si="0"/>
        <v xml:space="preserve"> </v>
      </c>
      <c r="B3915" s="81" t="str">
        <f t="shared" si="1"/>
        <v xml:space="preserve"> </v>
      </c>
      <c r="C3915" s="79" t="str">
        <f t="shared" si="7"/>
        <v xml:space="preserve"> </v>
      </c>
      <c r="D3915" s="79" t="str">
        <f t="shared" si="5"/>
        <v xml:space="preserve"> </v>
      </c>
      <c r="E3915" s="79" t="str">
        <f t="shared" si="6"/>
        <v xml:space="preserve"> </v>
      </c>
    </row>
    <row r="3916" spans="1:5" ht="12.5">
      <c r="A3916" s="81" t="str">
        <f t="shared" si="0"/>
        <v xml:space="preserve"> </v>
      </c>
      <c r="B3916" s="81" t="str">
        <f t="shared" si="1"/>
        <v xml:space="preserve"> </v>
      </c>
      <c r="C3916" s="79" t="str">
        <f t="shared" si="7"/>
        <v xml:space="preserve"> </v>
      </c>
      <c r="D3916" s="79" t="str">
        <f t="shared" si="5"/>
        <v xml:space="preserve"> </v>
      </c>
      <c r="E3916" s="79" t="str">
        <f t="shared" si="6"/>
        <v xml:space="preserve"> </v>
      </c>
    </row>
    <row r="3917" spans="1:5" ht="12.5">
      <c r="A3917" s="81" t="str">
        <f t="shared" si="0"/>
        <v xml:space="preserve"> </v>
      </c>
      <c r="B3917" s="81" t="str">
        <f t="shared" si="1"/>
        <v xml:space="preserve"> </v>
      </c>
      <c r="C3917" s="79" t="str">
        <f t="shared" si="7"/>
        <v xml:space="preserve"> </v>
      </c>
      <c r="D3917" s="79" t="str">
        <f t="shared" si="5"/>
        <v xml:space="preserve"> </v>
      </c>
      <c r="E3917" s="79" t="str">
        <f t="shared" si="6"/>
        <v xml:space="preserve"> </v>
      </c>
    </row>
    <row r="3918" spans="1:5" ht="12.5">
      <c r="A3918" s="81" t="str">
        <f t="shared" si="0"/>
        <v xml:space="preserve"> </v>
      </c>
      <c r="B3918" s="81" t="str">
        <f t="shared" si="1"/>
        <v xml:space="preserve"> </v>
      </c>
      <c r="C3918" s="79" t="str">
        <f t="shared" si="7"/>
        <v xml:space="preserve"> </v>
      </c>
      <c r="D3918" s="79" t="str">
        <f t="shared" si="5"/>
        <v xml:space="preserve"> </v>
      </c>
      <c r="E3918" s="79" t="str">
        <f t="shared" si="6"/>
        <v xml:space="preserve"> </v>
      </c>
    </row>
    <row r="3919" spans="1:5" ht="12.5">
      <c r="A3919" s="81" t="str">
        <f t="shared" si="0"/>
        <v xml:space="preserve"> </v>
      </c>
      <c r="B3919" s="81" t="str">
        <f t="shared" si="1"/>
        <v xml:space="preserve"> </v>
      </c>
      <c r="C3919" s="79" t="str">
        <f t="shared" si="7"/>
        <v xml:space="preserve"> </v>
      </c>
      <c r="D3919" s="79" t="str">
        <f t="shared" si="5"/>
        <v xml:space="preserve"> </v>
      </c>
      <c r="E3919" s="79" t="str">
        <f t="shared" si="6"/>
        <v xml:space="preserve"> </v>
      </c>
    </row>
    <row r="3920" spans="1:5" ht="12.5">
      <c r="A3920" s="81" t="str">
        <f t="shared" si="0"/>
        <v xml:space="preserve"> </v>
      </c>
      <c r="B3920" s="81" t="str">
        <f t="shared" si="1"/>
        <v xml:space="preserve"> </v>
      </c>
      <c r="C3920" s="79" t="str">
        <f t="shared" si="7"/>
        <v xml:space="preserve"> </v>
      </c>
      <c r="D3920" s="79" t="str">
        <f t="shared" si="5"/>
        <v xml:space="preserve"> </v>
      </c>
      <c r="E3920" s="79" t="str">
        <f t="shared" si="6"/>
        <v xml:space="preserve"> </v>
      </c>
    </row>
    <row r="3921" spans="1:5" ht="12.5">
      <c r="A3921" s="81" t="str">
        <f t="shared" si="0"/>
        <v xml:space="preserve"> </v>
      </c>
      <c r="B3921" s="81" t="str">
        <f t="shared" si="1"/>
        <v xml:space="preserve"> </v>
      </c>
      <c r="C3921" s="79" t="str">
        <f t="shared" si="7"/>
        <v xml:space="preserve"> </v>
      </c>
      <c r="D3921" s="79" t="str">
        <f t="shared" si="5"/>
        <v xml:space="preserve"> </v>
      </c>
      <c r="E3921" s="79" t="str">
        <f t="shared" si="6"/>
        <v xml:space="preserve"> </v>
      </c>
    </row>
    <row r="3922" spans="1:5" ht="12.5">
      <c r="A3922" s="81" t="str">
        <f t="shared" si="0"/>
        <v xml:space="preserve"> </v>
      </c>
      <c r="B3922" s="81" t="str">
        <f t="shared" si="1"/>
        <v xml:space="preserve"> </v>
      </c>
      <c r="C3922" s="79" t="str">
        <f t="shared" si="7"/>
        <v xml:space="preserve"> </v>
      </c>
      <c r="D3922" s="79" t="str">
        <f t="shared" si="5"/>
        <v xml:space="preserve"> </v>
      </c>
      <c r="E3922" s="79" t="str">
        <f t="shared" si="6"/>
        <v xml:space="preserve"> </v>
      </c>
    </row>
    <row r="3923" spans="1:5" ht="12.5">
      <c r="A3923" s="81" t="str">
        <f t="shared" si="0"/>
        <v xml:space="preserve"> </v>
      </c>
      <c r="B3923" s="81" t="str">
        <f t="shared" si="1"/>
        <v xml:space="preserve"> </v>
      </c>
      <c r="C3923" s="79" t="str">
        <f t="shared" si="7"/>
        <v xml:space="preserve"> </v>
      </c>
      <c r="D3923" s="79" t="str">
        <f t="shared" si="5"/>
        <v xml:space="preserve"> </v>
      </c>
      <c r="E3923" s="79" t="str">
        <f t="shared" si="6"/>
        <v xml:space="preserve"> </v>
      </c>
    </row>
    <row r="3924" spans="1:5" ht="12.5">
      <c r="A3924" s="81" t="str">
        <f t="shared" si="0"/>
        <v xml:space="preserve"> </v>
      </c>
      <c r="B3924" s="81" t="str">
        <f t="shared" si="1"/>
        <v xml:space="preserve"> </v>
      </c>
      <c r="C3924" s="79" t="str">
        <f t="shared" si="7"/>
        <v xml:space="preserve"> </v>
      </c>
      <c r="D3924" s="79" t="str">
        <f t="shared" si="5"/>
        <v xml:space="preserve"> </v>
      </c>
      <c r="E3924" s="79" t="str">
        <f t="shared" si="6"/>
        <v xml:space="preserve"> </v>
      </c>
    </row>
    <row r="3925" spans="1:5" ht="12.5">
      <c r="A3925" s="81" t="str">
        <f t="shared" si="0"/>
        <v xml:space="preserve"> </v>
      </c>
      <c r="B3925" s="81" t="str">
        <f t="shared" si="1"/>
        <v xml:space="preserve"> </v>
      </c>
      <c r="C3925" s="79" t="str">
        <f t="shared" si="7"/>
        <v xml:space="preserve"> </v>
      </c>
      <c r="D3925" s="79" t="str">
        <f t="shared" si="5"/>
        <v xml:space="preserve"> </v>
      </c>
      <c r="E3925" s="79" t="str">
        <f t="shared" si="6"/>
        <v xml:space="preserve"> </v>
      </c>
    </row>
    <row r="3926" spans="1:5" ht="12.5">
      <c r="A3926" s="81" t="str">
        <f t="shared" si="0"/>
        <v xml:space="preserve"> </v>
      </c>
      <c r="B3926" s="81" t="str">
        <f t="shared" si="1"/>
        <v xml:space="preserve"> </v>
      </c>
      <c r="C3926" s="79" t="str">
        <f t="shared" si="7"/>
        <v xml:space="preserve"> </v>
      </c>
      <c r="D3926" s="79" t="str">
        <f t="shared" si="5"/>
        <v xml:space="preserve"> </v>
      </c>
      <c r="E3926" s="79" t="str">
        <f t="shared" si="6"/>
        <v xml:space="preserve"> </v>
      </c>
    </row>
    <row r="3927" spans="1:5" ht="12.5">
      <c r="A3927" s="81" t="str">
        <f t="shared" si="0"/>
        <v xml:space="preserve"> </v>
      </c>
      <c r="B3927" s="81" t="str">
        <f t="shared" si="1"/>
        <v xml:space="preserve"> </v>
      </c>
      <c r="C3927" s="79" t="str">
        <f t="shared" si="7"/>
        <v xml:space="preserve"> </v>
      </c>
      <c r="D3927" s="79" t="str">
        <f t="shared" si="5"/>
        <v xml:space="preserve"> </v>
      </c>
      <c r="E3927" s="79" t="str">
        <f t="shared" si="6"/>
        <v xml:space="preserve"> </v>
      </c>
    </row>
    <row r="3928" spans="1:5" ht="12.5">
      <c r="A3928" s="81" t="str">
        <f t="shared" si="0"/>
        <v xml:space="preserve"> </v>
      </c>
      <c r="B3928" s="81" t="str">
        <f t="shared" si="1"/>
        <v xml:space="preserve"> </v>
      </c>
      <c r="C3928" s="79" t="str">
        <f t="shared" si="7"/>
        <v xml:space="preserve"> </v>
      </c>
      <c r="D3928" s="79" t="str">
        <f t="shared" si="5"/>
        <v xml:space="preserve"> </v>
      </c>
      <c r="E3928" s="79" t="str">
        <f t="shared" si="6"/>
        <v xml:space="preserve"> </v>
      </c>
    </row>
    <row r="3929" spans="1:5" ht="12.5">
      <c r="A3929" s="81" t="str">
        <f t="shared" si="0"/>
        <v xml:space="preserve"> </v>
      </c>
      <c r="B3929" s="81" t="str">
        <f t="shared" si="1"/>
        <v xml:space="preserve"> </v>
      </c>
      <c r="C3929" s="79" t="str">
        <f t="shared" si="7"/>
        <v xml:space="preserve"> </v>
      </c>
      <c r="D3929" s="79" t="str">
        <f t="shared" si="5"/>
        <v xml:space="preserve"> </v>
      </c>
      <c r="E3929" s="79" t="str">
        <f t="shared" si="6"/>
        <v xml:space="preserve"> </v>
      </c>
    </row>
    <row r="3930" spans="1:5" ht="12.5">
      <c r="A3930" s="81" t="str">
        <f t="shared" si="0"/>
        <v xml:space="preserve"> </v>
      </c>
      <c r="B3930" s="81" t="str">
        <f t="shared" si="1"/>
        <v xml:space="preserve"> </v>
      </c>
      <c r="C3930" s="79" t="str">
        <f t="shared" si="7"/>
        <v xml:space="preserve"> </v>
      </c>
      <c r="D3930" s="79" t="str">
        <f t="shared" si="5"/>
        <v xml:space="preserve"> </v>
      </c>
      <c r="E3930" s="79" t="str">
        <f t="shared" si="6"/>
        <v xml:space="preserve"> </v>
      </c>
    </row>
    <row r="3931" spans="1:5" ht="12.5">
      <c r="A3931" s="81" t="str">
        <f t="shared" si="0"/>
        <v xml:space="preserve"> </v>
      </c>
      <c r="B3931" s="81" t="str">
        <f t="shared" si="1"/>
        <v xml:space="preserve"> </v>
      </c>
      <c r="C3931" s="79" t="str">
        <f t="shared" si="7"/>
        <v xml:space="preserve"> </v>
      </c>
      <c r="D3931" s="79" t="str">
        <f t="shared" si="5"/>
        <v xml:space="preserve"> </v>
      </c>
      <c r="E3931" s="79" t="str">
        <f t="shared" si="6"/>
        <v xml:space="preserve"> </v>
      </c>
    </row>
    <row r="3932" spans="1:5" ht="12.5">
      <c r="A3932" s="81" t="str">
        <f t="shared" si="0"/>
        <v xml:space="preserve"> </v>
      </c>
      <c r="B3932" s="81" t="str">
        <f t="shared" si="1"/>
        <v xml:space="preserve"> </v>
      </c>
      <c r="C3932" s="79" t="str">
        <f t="shared" si="7"/>
        <v xml:space="preserve"> </v>
      </c>
      <c r="D3932" s="79" t="str">
        <f t="shared" si="5"/>
        <v xml:space="preserve"> </v>
      </c>
      <c r="E3932" s="79" t="str">
        <f t="shared" si="6"/>
        <v xml:space="preserve"> </v>
      </c>
    </row>
    <row r="3933" spans="1:5" ht="12.5">
      <c r="A3933" s="81" t="str">
        <f t="shared" si="0"/>
        <v xml:space="preserve"> </v>
      </c>
      <c r="B3933" s="81" t="str">
        <f t="shared" si="1"/>
        <v xml:space="preserve"> </v>
      </c>
      <c r="C3933" s="79" t="str">
        <f t="shared" si="7"/>
        <v xml:space="preserve"> </v>
      </c>
      <c r="D3933" s="79" t="str">
        <f t="shared" si="5"/>
        <v xml:space="preserve"> </v>
      </c>
      <c r="E3933" s="79" t="str">
        <f t="shared" si="6"/>
        <v xml:space="preserve"> </v>
      </c>
    </row>
    <row r="3934" spans="1:5" ht="12.5">
      <c r="A3934" s="81" t="str">
        <f t="shared" si="0"/>
        <v xml:space="preserve"> </v>
      </c>
      <c r="B3934" s="81" t="str">
        <f t="shared" si="1"/>
        <v xml:space="preserve"> </v>
      </c>
      <c r="C3934" s="79" t="str">
        <f t="shared" si="7"/>
        <v xml:space="preserve"> </v>
      </c>
      <c r="D3934" s="79" t="str">
        <f t="shared" si="5"/>
        <v xml:space="preserve"> </v>
      </c>
      <c r="E3934" s="79" t="str">
        <f t="shared" si="6"/>
        <v xml:space="preserve"> </v>
      </c>
    </row>
    <row r="3935" spans="1:5" ht="12.5">
      <c r="A3935" s="81" t="str">
        <f t="shared" si="0"/>
        <v xml:space="preserve"> </v>
      </c>
      <c r="B3935" s="81" t="str">
        <f t="shared" si="1"/>
        <v xml:space="preserve"> </v>
      </c>
      <c r="C3935" s="79" t="str">
        <f t="shared" si="7"/>
        <v xml:space="preserve"> </v>
      </c>
      <c r="D3935" s="79" t="str">
        <f t="shared" si="5"/>
        <v xml:space="preserve"> </v>
      </c>
      <c r="E3935" s="79" t="str">
        <f t="shared" si="6"/>
        <v xml:space="preserve"> </v>
      </c>
    </row>
    <row r="3936" spans="1:5" ht="12.5">
      <c r="A3936" s="81" t="str">
        <f t="shared" si="0"/>
        <v xml:space="preserve"> </v>
      </c>
      <c r="B3936" s="81" t="str">
        <f t="shared" si="1"/>
        <v xml:space="preserve"> </v>
      </c>
      <c r="C3936" s="79" t="str">
        <f t="shared" si="7"/>
        <v xml:space="preserve"> </v>
      </c>
      <c r="D3936" s="79" t="str">
        <f t="shared" si="5"/>
        <v xml:space="preserve"> </v>
      </c>
      <c r="E3936" s="79" t="str">
        <f t="shared" si="6"/>
        <v xml:space="preserve"> </v>
      </c>
    </row>
    <row r="3937" spans="1:5" ht="12.5">
      <c r="A3937" s="81" t="str">
        <f t="shared" si="0"/>
        <v xml:space="preserve"> </v>
      </c>
      <c r="B3937" s="81" t="str">
        <f t="shared" si="1"/>
        <v xml:space="preserve"> </v>
      </c>
      <c r="C3937" s="79" t="str">
        <f t="shared" si="7"/>
        <v xml:space="preserve"> </v>
      </c>
      <c r="D3937" s="79" t="str">
        <f t="shared" si="5"/>
        <v xml:space="preserve"> </v>
      </c>
      <c r="E3937" s="79" t="str">
        <f t="shared" si="6"/>
        <v xml:space="preserve"> </v>
      </c>
    </row>
    <row r="3938" spans="1:5" ht="12.5">
      <c r="A3938" s="81" t="str">
        <f t="shared" si="0"/>
        <v xml:space="preserve"> </v>
      </c>
      <c r="B3938" s="81" t="str">
        <f t="shared" si="1"/>
        <v xml:space="preserve"> </v>
      </c>
      <c r="C3938" s="79" t="str">
        <f t="shared" si="7"/>
        <v xml:space="preserve"> </v>
      </c>
      <c r="D3938" s="79" t="str">
        <f t="shared" si="5"/>
        <v xml:space="preserve"> </v>
      </c>
      <c r="E3938" s="79" t="str">
        <f t="shared" si="6"/>
        <v xml:space="preserve"> </v>
      </c>
    </row>
    <row r="3939" spans="1:5" ht="12.5">
      <c r="A3939" s="81" t="str">
        <f t="shared" si="0"/>
        <v xml:space="preserve"> </v>
      </c>
      <c r="B3939" s="81" t="str">
        <f t="shared" si="1"/>
        <v xml:space="preserve"> </v>
      </c>
      <c r="C3939" s="79" t="str">
        <f t="shared" si="7"/>
        <v xml:space="preserve"> </v>
      </c>
      <c r="D3939" s="79" t="str">
        <f t="shared" si="5"/>
        <v xml:space="preserve"> </v>
      </c>
      <c r="E3939" s="79" t="str">
        <f t="shared" si="6"/>
        <v xml:space="preserve"> </v>
      </c>
    </row>
    <row r="3940" spans="1:5" ht="12.5">
      <c r="A3940" s="81" t="str">
        <f t="shared" si="0"/>
        <v xml:space="preserve"> </v>
      </c>
      <c r="B3940" s="81" t="str">
        <f t="shared" si="1"/>
        <v xml:space="preserve"> </v>
      </c>
      <c r="C3940" s="79" t="str">
        <f t="shared" si="7"/>
        <v xml:space="preserve"> </v>
      </c>
      <c r="D3940" s="79" t="str">
        <f t="shared" si="5"/>
        <v xml:space="preserve"> </v>
      </c>
      <c r="E3940" s="79" t="str">
        <f t="shared" si="6"/>
        <v xml:space="preserve"> </v>
      </c>
    </row>
    <row r="3941" spans="1:5" ht="12.5">
      <c r="A3941" s="81" t="str">
        <f t="shared" si="0"/>
        <v xml:space="preserve"> </v>
      </c>
      <c r="B3941" s="81" t="str">
        <f t="shared" si="1"/>
        <v xml:space="preserve"> </v>
      </c>
      <c r="C3941" s="79" t="str">
        <f t="shared" si="7"/>
        <v xml:space="preserve"> </v>
      </c>
      <c r="D3941" s="79" t="str">
        <f t="shared" si="5"/>
        <v xml:space="preserve"> </v>
      </c>
      <c r="E3941" s="79" t="str">
        <f t="shared" si="6"/>
        <v xml:space="preserve"> </v>
      </c>
    </row>
    <row r="3942" spans="1:5" ht="12.5">
      <c r="A3942" s="81" t="str">
        <f t="shared" si="0"/>
        <v xml:space="preserve"> </v>
      </c>
      <c r="B3942" s="81" t="str">
        <f t="shared" si="1"/>
        <v xml:space="preserve"> </v>
      </c>
      <c r="C3942" s="79" t="str">
        <f t="shared" si="7"/>
        <v xml:space="preserve"> </v>
      </c>
      <c r="D3942" s="79" t="str">
        <f t="shared" si="5"/>
        <v xml:space="preserve"> </v>
      </c>
      <c r="E3942" s="79" t="str">
        <f t="shared" si="6"/>
        <v xml:space="preserve"> </v>
      </c>
    </row>
    <row r="3943" spans="1:5" ht="12.5">
      <c r="A3943" s="81" t="str">
        <f t="shared" si="0"/>
        <v xml:space="preserve"> </v>
      </c>
      <c r="B3943" s="81" t="str">
        <f t="shared" si="1"/>
        <v xml:space="preserve"> </v>
      </c>
      <c r="C3943" s="79" t="str">
        <f t="shared" si="7"/>
        <v xml:space="preserve"> </v>
      </c>
      <c r="D3943" s="79" t="str">
        <f t="shared" si="5"/>
        <v xml:space="preserve"> </v>
      </c>
      <c r="E3943" s="79" t="str">
        <f t="shared" si="6"/>
        <v xml:space="preserve"> </v>
      </c>
    </row>
    <row r="3944" spans="1:5" ht="12.5">
      <c r="A3944" s="81" t="str">
        <f t="shared" si="0"/>
        <v xml:space="preserve"> </v>
      </c>
      <c r="B3944" s="81" t="str">
        <f t="shared" si="1"/>
        <v xml:space="preserve"> </v>
      </c>
      <c r="C3944" s="79" t="str">
        <f t="shared" si="7"/>
        <v xml:space="preserve"> </v>
      </c>
      <c r="D3944" s="79" t="str">
        <f t="shared" si="5"/>
        <v xml:space="preserve"> </v>
      </c>
      <c r="E3944" s="79" t="str">
        <f t="shared" si="6"/>
        <v xml:space="preserve"> </v>
      </c>
    </row>
    <row r="3945" spans="1:5" ht="12.5">
      <c r="A3945" s="81" t="str">
        <f t="shared" si="0"/>
        <v xml:space="preserve"> </v>
      </c>
      <c r="B3945" s="81" t="str">
        <f t="shared" si="1"/>
        <v xml:space="preserve"> </v>
      </c>
      <c r="C3945" s="79" t="str">
        <f t="shared" si="7"/>
        <v xml:space="preserve"> </v>
      </c>
      <c r="D3945" s="79" t="str">
        <f t="shared" si="5"/>
        <v xml:space="preserve"> </v>
      </c>
      <c r="E3945" s="79" t="str">
        <f t="shared" si="6"/>
        <v xml:space="preserve"> </v>
      </c>
    </row>
    <row r="3946" spans="1:5" ht="12.5">
      <c r="A3946" s="81" t="str">
        <f t="shared" si="0"/>
        <v xml:space="preserve"> </v>
      </c>
      <c r="B3946" s="81" t="str">
        <f t="shared" si="1"/>
        <v xml:space="preserve"> </v>
      </c>
      <c r="C3946" s="79" t="str">
        <f t="shared" si="7"/>
        <v xml:space="preserve"> </v>
      </c>
      <c r="D3946" s="79" t="str">
        <f t="shared" si="5"/>
        <v xml:space="preserve"> </v>
      </c>
      <c r="E3946" s="79" t="str">
        <f t="shared" si="6"/>
        <v xml:space="preserve"> </v>
      </c>
    </row>
    <row r="3947" spans="1:5" ht="12.5">
      <c r="A3947" s="81" t="str">
        <f t="shared" si="0"/>
        <v xml:space="preserve"> </v>
      </c>
      <c r="B3947" s="81" t="str">
        <f t="shared" si="1"/>
        <v xml:space="preserve"> </v>
      </c>
      <c r="C3947" s="79" t="str">
        <f t="shared" si="7"/>
        <v xml:space="preserve"> </v>
      </c>
      <c r="D3947" s="79" t="str">
        <f t="shared" si="5"/>
        <v xml:space="preserve"> </v>
      </c>
      <c r="E3947" s="79" t="str">
        <f t="shared" si="6"/>
        <v xml:space="preserve"> </v>
      </c>
    </row>
    <row r="3948" spans="1:5" ht="12.5">
      <c r="A3948" s="81" t="str">
        <f t="shared" si="0"/>
        <v xml:space="preserve"> </v>
      </c>
      <c r="B3948" s="81" t="str">
        <f t="shared" si="1"/>
        <v xml:space="preserve"> </v>
      </c>
      <c r="C3948" s="79" t="str">
        <f t="shared" si="7"/>
        <v xml:space="preserve"> </v>
      </c>
      <c r="D3948" s="79" t="str">
        <f t="shared" si="5"/>
        <v xml:space="preserve"> </v>
      </c>
      <c r="E3948" s="79" t="str">
        <f t="shared" si="6"/>
        <v xml:space="preserve"> </v>
      </c>
    </row>
    <row r="3949" spans="1:5" ht="12.5">
      <c r="A3949" s="81" t="str">
        <f t="shared" si="0"/>
        <v xml:space="preserve"> </v>
      </c>
      <c r="B3949" s="81" t="str">
        <f t="shared" si="1"/>
        <v xml:space="preserve"> </v>
      </c>
      <c r="C3949" s="79" t="str">
        <f t="shared" si="7"/>
        <v xml:space="preserve"> </v>
      </c>
      <c r="D3949" s="79" t="str">
        <f t="shared" si="5"/>
        <v xml:space="preserve"> </v>
      </c>
      <c r="E3949" s="79" t="str">
        <f t="shared" si="6"/>
        <v xml:space="preserve"> </v>
      </c>
    </row>
    <row r="3950" spans="1:5" ht="12.5">
      <c r="A3950" s="81" t="str">
        <f t="shared" si="0"/>
        <v xml:space="preserve"> </v>
      </c>
      <c r="B3950" s="81" t="str">
        <f t="shared" si="1"/>
        <v xml:space="preserve"> </v>
      </c>
      <c r="C3950" s="79" t="str">
        <f t="shared" si="7"/>
        <v xml:space="preserve"> </v>
      </c>
      <c r="D3950" s="79" t="str">
        <f t="shared" si="5"/>
        <v xml:space="preserve"> </v>
      </c>
      <c r="E3950" s="79" t="str">
        <f t="shared" si="6"/>
        <v xml:space="preserve"> </v>
      </c>
    </row>
    <row r="3951" spans="1:5" ht="12.5">
      <c r="A3951" s="81" t="str">
        <f t="shared" si="0"/>
        <v xml:space="preserve"> </v>
      </c>
      <c r="B3951" s="81" t="str">
        <f t="shared" si="1"/>
        <v xml:space="preserve"> </v>
      </c>
      <c r="C3951" s="79" t="str">
        <f t="shared" si="7"/>
        <v xml:space="preserve"> </v>
      </c>
      <c r="D3951" s="79" t="str">
        <f t="shared" si="5"/>
        <v xml:space="preserve"> </v>
      </c>
      <c r="E3951" s="79" t="str">
        <f t="shared" si="6"/>
        <v xml:space="preserve"> </v>
      </c>
    </row>
    <row r="3952" spans="1:5" ht="12.5">
      <c r="A3952" s="81" t="str">
        <f t="shared" si="0"/>
        <v xml:space="preserve"> </v>
      </c>
      <c r="B3952" s="81" t="str">
        <f t="shared" si="1"/>
        <v xml:space="preserve"> </v>
      </c>
      <c r="C3952" s="79" t="str">
        <f t="shared" si="7"/>
        <v xml:space="preserve"> </v>
      </c>
      <c r="D3952" s="79" t="str">
        <f t="shared" si="5"/>
        <v xml:space="preserve"> </v>
      </c>
      <c r="E3952" s="79" t="str">
        <f t="shared" si="6"/>
        <v xml:space="preserve"> </v>
      </c>
    </row>
    <row r="3953" spans="1:5" ht="12.5">
      <c r="A3953" s="81" t="str">
        <f t="shared" si="0"/>
        <v xml:space="preserve"> </v>
      </c>
      <c r="B3953" s="81" t="str">
        <f t="shared" si="1"/>
        <v xml:space="preserve"> </v>
      </c>
      <c r="C3953" s="79" t="str">
        <f t="shared" si="7"/>
        <v xml:space="preserve"> </v>
      </c>
      <c r="D3953" s="79" t="str">
        <f t="shared" si="5"/>
        <v xml:space="preserve"> </v>
      </c>
      <c r="E3953" s="79" t="str">
        <f t="shared" si="6"/>
        <v xml:space="preserve"> </v>
      </c>
    </row>
    <row r="3954" spans="1:5" ht="12.5">
      <c r="A3954" s="81" t="str">
        <f t="shared" si="0"/>
        <v xml:space="preserve"> </v>
      </c>
      <c r="B3954" s="81" t="str">
        <f t="shared" si="1"/>
        <v xml:space="preserve"> </v>
      </c>
      <c r="C3954" s="79" t="str">
        <f t="shared" si="7"/>
        <v xml:space="preserve"> </v>
      </c>
      <c r="D3954" s="79" t="str">
        <f t="shared" si="5"/>
        <v xml:space="preserve"> </v>
      </c>
      <c r="E3954" s="79" t="str">
        <f t="shared" si="6"/>
        <v xml:space="preserve"> </v>
      </c>
    </row>
    <row r="3955" spans="1:5" ht="12.5">
      <c r="A3955" s="81" t="str">
        <f t="shared" si="0"/>
        <v xml:space="preserve"> </v>
      </c>
      <c r="B3955" s="81" t="str">
        <f t="shared" si="1"/>
        <v xml:space="preserve"> </v>
      </c>
      <c r="C3955" s="79" t="str">
        <f t="shared" si="7"/>
        <v xml:space="preserve"> </v>
      </c>
      <c r="D3955" s="79" t="str">
        <f t="shared" si="5"/>
        <v xml:space="preserve"> </v>
      </c>
      <c r="E3955" s="79" t="str">
        <f t="shared" si="6"/>
        <v xml:space="preserve"> </v>
      </c>
    </row>
    <row r="3956" spans="1:5" ht="12.5">
      <c r="A3956" s="81" t="str">
        <f t="shared" si="0"/>
        <v xml:space="preserve"> </v>
      </c>
      <c r="B3956" s="81" t="str">
        <f t="shared" si="1"/>
        <v xml:space="preserve"> </v>
      </c>
      <c r="C3956" s="79" t="str">
        <f t="shared" si="7"/>
        <v xml:space="preserve"> </v>
      </c>
      <c r="D3956" s="79" t="str">
        <f t="shared" si="5"/>
        <v xml:space="preserve"> </v>
      </c>
      <c r="E3956" s="79" t="str">
        <f t="shared" si="6"/>
        <v xml:space="preserve"> </v>
      </c>
    </row>
    <row r="3957" spans="1:5" ht="12.5">
      <c r="A3957" s="81" t="str">
        <f t="shared" si="0"/>
        <v xml:space="preserve"> </v>
      </c>
      <c r="B3957" s="81" t="str">
        <f t="shared" si="1"/>
        <v xml:space="preserve"> </v>
      </c>
      <c r="C3957" s="79" t="str">
        <f t="shared" si="7"/>
        <v xml:space="preserve"> </v>
      </c>
      <c r="D3957" s="79" t="str">
        <f t="shared" si="5"/>
        <v xml:space="preserve"> </v>
      </c>
      <c r="E3957" s="79" t="str">
        <f t="shared" si="6"/>
        <v xml:space="preserve"> </v>
      </c>
    </row>
    <row r="3958" spans="1:5" ht="12.5">
      <c r="A3958" s="81" t="str">
        <f t="shared" si="0"/>
        <v xml:space="preserve"> </v>
      </c>
      <c r="B3958" s="81" t="str">
        <f t="shared" si="1"/>
        <v xml:space="preserve"> </v>
      </c>
      <c r="C3958" s="79" t="str">
        <f t="shared" si="7"/>
        <v xml:space="preserve"> </v>
      </c>
      <c r="D3958" s="79" t="str">
        <f t="shared" si="5"/>
        <v xml:space="preserve"> </v>
      </c>
      <c r="E3958" s="79" t="str">
        <f t="shared" si="6"/>
        <v xml:space="preserve"> </v>
      </c>
    </row>
    <row r="3959" spans="1:5" ht="12.5">
      <c r="A3959" s="81" t="str">
        <f t="shared" si="0"/>
        <v xml:space="preserve"> </v>
      </c>
      <c r="B3959" s="81" t="str">
        <f t="shared" si="1"/>
        <v xml:space="preserve"> </v>
      </c>
      <c r="C3959" s="79" t="str">
        <f t="shared" si="7"/>
        <v xml:space="preserve"> </v>
      </c>
      <c r="D3959" s="79" t="str">
        <f t="shared" si="5"/>
        <v xml:space="preserve"> </v>
      </c>
      <c r="E3959" s="79" t="str">
        <f t="shared" si="6"/>
        <v xml:space="preserve"> </v>
      </c>
    </row>
    <row r="3960" spans="1:5" ht="12.5">
      <c r="A3960" s="81" t="str">
        <f t="shared" si="0"/>
        <v xml:space="preserve"> </v>
      </c>
      <c r="B3960" s="81" t="str">
        <f t="shared" si="1"/>
        <v xml:space="preserve"> </v>
      </c>
      <c r="C3960" s="79" t="str">
        <f t="shared" si="7"/>
        <v xml:space="preserve"> </v>
      </c>
      <c r="D3960" s="79" t="str">
        <f t="shared" si="5"/>
        <v xml:space="preserve"> </v>
      </c>
      <c r="E3960" s="79" t="str">
        <f t="shared" si="6"/>
        <v xml:space="preserve"> </v>
      </c>
    </row>
    <row r="3961" spans="1:5" ht="12.5">
      <c r="A3961" s="81" t="str">
        <f t="shared" si="0"/>
        <v xml:space="preserve"> </v>
      </c>
      <c r="B3961" s="81" t="str">
        <f t="shared" si="1"/>
        <v xml:space="preserve"> </v>
      </c>
      <c r="C3961" s="79" t="str">
        <f t="shared" si="7"/>
        <v xml:space="preserve"> </v>
      </c>
      <c r="D3961" s="79" t="str">
        <f t="shared" si="5"/>
        <v xml:space="preserve"> </v>
      </c>
      <c r="E3961" s="79" t="str">
        <f t="shared" si="6"/>
        <v xml:space="preserve"> </v>
      </c>
    </row>
    <row r="3962" spans="1:5" ht="12.5">
      <c r="A3962" s="81" t="str">
        <f t="shared" si="0"/>
        <v xml:space="preserve"> </v>
      </c>
      <c r="B3962" s="81" t="str">
        <f t="shared" si="1"/>
        <v xml:space="preserve"> </v>
      </c>
      <c r="C3962" s="79" t="str">
        <f t="shared" si="7"/>
        <v xml:space="preserve"> </v>
      </c>
      <c r="D3962" s="79" t="str">
        <f t="shared" si="5"/>
        <v xml:space="preserve"> </v>
      </c>
      <c r="E3962" s="79" t="str">
        <f t="shared" si="6"/>
        <v xml:space="preserve"> </v>
      </c>
    </row>
    <row r="3963" spans="1:5" ht="12.5">
      <c r="A3963" s="81" t="str">
        <f t="shared" si="0"/>
        <v xml:space="preserve"> </v>
      </c>
      <c r="B3963" s="81" t="str">
        <f t="shared" si="1"/>
        <v xml:space="preserve"> </v>
      </c>
      <c r="C3963" s="79" t="str">
        <f t="shared" si="7"/>
        <v xml:space="preserve"> </v>
      </c>
      <c r="D3963" s="79" t="str">
        <f t="shared" si="5"/>
        <v xml:space="preserve"> </v>
      </c>
      <c r="E3963" s="79" t="str">
        <f t="shared" si="6"/>
        <v xml:space="preserve"> </v>
      </c>
    </row>
    <row r="3964" spans="1:5" ht="12.5">
      <c r="A3964" s="81" t="str">
        <f t="shared" si="0"/>
        <v xml:space="preserve"> </v>
      </c>
      <c r="B3964" s="81" t="str">
        <f t="shared" si="1"/>
        <v xml:space="preserve"> </v>
      </c>
      <c r="C3964" s="79" t="str">
        <f t="shared" si="7"/>
        <v xml:space="preserve"> </v>
      </c>
      <c r="D3964" s="79" t="str">
        <f t="shared" si="5"/>
        <v xml:space="preserve"> </v>
      </c>
      <c r="E3964" s="79" t="str">
        <f t="shared" si="6"/>
        <v xml:space="preserve"> </v>
      </c>
    </row>
    <row r="3965" spans="1:5" ht="12.5">
      <c r="A3965" s="81" t="str">
        <f t="shared" si="0"/>
        <v xml:space="preserve"> </v>
      </c>
      <c r="B3965" s="81" t="str">
        <f t="shared" si="1"/>
        <v xml:space="preserve"> </v>
      </c>
      <c r="C3965" s="79" t="str">
        <f t="shared" si="7"/>
        <v xml:space="preserve"> </v>
      </c>
      <c r="D3965" s="79" t="str">
        <f t="shared" si="5"/>
        <v xml:space="preserve"> </v>
      </c>
      <c r="E3965" s="79" t="str">
        <f t="shared" si="6"/>
        <v xml:space="preserve"> </v>
      </c>
    </row>
    <row r="3966" spans="1:5" ht="12.5">
      <c r="A3966" s="81" t="str">
        <f t="shared" si="0"/>
        <v xml:space="preserve"> </v>
      </c>
      <c r="B3966" s="81" t="str">
        <f t="shared" si="1"/>
        <v xml:space="preserve"> </v>
      </c>
      <c r="C3966" s="79" t="str">
        <f t="shared" si="7"/>
        <v xml:space="preserve"> </v>
      </c>
      <c r="D3966" s="79" t="str">
        <f t="shared" si="5"/>
        <v xml:space="preserve"> </v>
      </c>
      <c r="E3966" s="79" t="str">
        <f t="shared" si="6"/>
        <v xml:space="preserve"> </v>
      </c>
    </row>
    <row r="3967" spans="1:5" ht="12.5">
      <c r="A3967" s="81" t="str">
        <f t="shared" si="0"/>
        <v xml:space="preserve"> </v>
      </c>
      <c r="B3967" s="81" t="str">
        <f t="shared" si="1"/>
        <v xml:space="preserve"> </v>
      </c>
      <c r="C3967" s="79" t="str">
        <f t="shared" si="7"/>
        <v xml:space="preserve"> </v>
      </c>
      <c r="D3967" s="79" t="str">
        <f t="shared" si="5"/>
        <v xml:space="preserve"> </v>
      </c>
      <c r="E3967" s="79" t="str">
        <f t="shared" si="6"/>
        <v xml:space="preserve"> </v>
      </c>
    </row>
    <row r="3968" spans="1:5" ht="12.5">
      <c r="A3968" s="81" t="str">
        <f t="shared" si="0"/>
        <v xml:space="preserve"> </v>
      </c>
      <c r="B3968" s="81" t="str">
        <f t="shared" si="1"/>
        <v xml:space="preserve"> </v>
      </c>
      <c r="C3968" s="79" t="str">
        <f t="shared" si="7"/>
        <v xml:space="preserve"> </v>
      </c>
      <c r="D3968" s="79" t="str">
        <f t="shared" si="5"/>
        <v xml:space="preserve"> </v>
      </c>
      <c r="E3968" s="79" t="str">
        <f t="shared" si="6"/>
        <v xml:space="preserve"> </v>
      </c>
    </row>
    <row r="3969" spans="1:5" ht="12.5">
      <c r="A3969" s="81" t="str">
        <f t="shared" si="0"/>
        <v xml:space="preserve"> </v>
      </c>
      <c r="B3969" s="81" t="str">
        <f t="shared" si="1"/>
        <v xml:space="preserve"> </v>
      </c>
      <c r="C3969" s="79" t="str">
        <f t="shared" si="7"/>
        <v xml:space="preserve"> </v>
      </c>
      <c r="D3969" s="79" t="str">
        <f t="shared" si="5"/>
        <v xml:space="preserve"> </v>
      </c>
      <c r="E3969" s="79" t="str">
        <f t="shared" si="6"/>
        <v xml:space="preserve"> </v>
      </c>
    </row>
    <row r="3970" spans="1:5" ht="12.5">
      <c r="A3970" s="81" t="str">
        <f t="shared" si="0"/>
        <v xml:space="preserve"> </v>
      </c>
      <c r="B3970" s="81" t="str">
        <f t="shared" si="1"/>
        <v xml:space="preserve"> </v>
      </c>
      <c r="C3970" s="79" t="str">
        <f t="shared" si="7"/>
        <v xml:space="preserve"> </v>
      </c>
      <c r="D3970" s="79" t="str">
        <f t="shared" si="5"/>
        <v xml:space="preserve"> </v>
      </c>
      <c r="E3970" s="79" t="str">
        <f t="shared" si="6"/>
        <v xml:space="preserve"> </v>
      </c>
    </row>
    <row r="3971" spans="1:5" ht="12.5">
      <c r="A3971" s="81" t="str">
        <f t="shared" si="0"/>
        <v xml:space="preserve"> </v>
      </c>
      <c r="B3971" s="81" t="str">
        <f t="shared" si="1"/>
        <v xml:space="preserve"> </v>
      </c>
      <c r="C3971" s="79" t="str">
        <f t="shared" si="7"/>
        <v xml:space="preserve"> </v>
      </c>
      <c r="D3971" s="79" t="str">
        <f t="shared" si="5"/>
        <v xml:space="preserve"> </v>
      </c>
      <c r="E3971" s="79" t="str">
        <f t="shared" si="6"/>
        <v xml:space="preserve"> </v>
      </c>
    </row>
    <row r="3972" spans="1:5" ht="12.5">
      <c r="A3972" s="81" t="str">
        <f t="shared" si="0"/>
        <v xml:space="preserve"> </v>
      </c>
      <c r="B3972" s="81" t="str">
        <f t="shared" si="1"/>
        <v xml:space="preserve"> </v>
      </c>
      <c r="C3972" s="79" t="str">
        <f t="shared" si="7"/>
        <v xml:space="preserve"> </v>
      </c>
      <c r="D3972" s="79" t="str">
        <f t="shared" si="5"/>
        <v xml:space="preserve"> </v>
      </c>
      <c r="E3972" s="79" t="str">
        <f t="shared" si="6"/>
        <v xml:space="preserve"> </v>
      </c>
    </row>
    <row r="3973" spans="1:5" ht="12.5">
      <c r="A3973" s="81" t="str">
        <f t="shared" si="0"/>
        <v xml:space="preserve"> </v>
      </c>
      <c r="B3973" s="81" t="str">
        <f t="shared" si="1"/>
        <v xml:space="preserve"> </v>
      </c>
      <c r="C3973" s="79" t="str">
        <f t="shared" si="7"/>
        <v xml:space="preserve"> </v>
      </c>
      <c r="D3973" s="79" t="str">
        <f t="shared" si="5"/>
        <v xml:space="preserve"> </v>
      </c>
      <c r="E3973" s="79" t="str">
        <f t="shared" si="6"/>
        <v xml:space="preserve"> </v>
      </c>
    </row>
    <row r="3974" spans="1:5" ht="12.5">
      <c r="A3974" s="81" t="str">
        <f t="shared" si="0"/>
        <v xml:space="preserve"> </v>
      </c>
      <c r="B3974" s="81" t="str">
        <f t="shared" si="1"/>
        <v xml:space="preserve"> </v>
      </c>
      <c r="C3974" s="79" t="str">
        <f t="shared" si="7"/>
        <v xml:space="preserve"> </v>
      </c>
      <c r="D3974" s="79" t="str">
        <f t="shared" si="5"/>
        <v xml:space="preserve"> </v>
      </c>
      <c r="E3974" s="79" t="str">
        <f t="shared" si="6"/>
        <v xml:space="preserve"> </v>
      </c>
    </row>
    <row r="3975" spans="1:5" ht="12.5">
      <c r="A3975" s="81" t="str">
        <f t="shared" si="0"/>
        <v xml:space="preserve"> </v>
      </c>
      <c r="B3975" s="81" t="str">
        <f t="shared" si="1"/>
        <v xml:space="preserve"> </v>
      </c>
      <c r="C3975" s="79" t="str">
        <f t="shared" si="7"/>
        <v xml:space="preserve"> </v>
      </c>
      <c r="D3975" s="79" t="str">
        <f t="shared" si="5"/>
        <v xml:space="preserve"> </v>
      </c>
      <c r="E3975" s="79" t="str">
        <f t="shared" si="6"/>
        <v xml:space="preserve"> </v>
      </c>
    </row>
    <row r="3976" spans="1:5" ht="12.5">
      <c r="A3976" s="81" t="str">
        <f t="shared" si="0"/>
        <v xml:space="preserve"> </v>
      </c>
      <c r="B3976" s="81" t="str">
        <f t="shared" si="1"/>
        <v xml:space="preserve"> </v>
      </c>
      <c r="C3976" s="79" t="str">
        <f t="shared" si="7"/>
        <v xml:space="preserve"> </v>
      </c>
      <c r="D3976" s="79" t="str">
        <f t="shared" si="5"/>
        <v xml:space="preserve"> </v>
      </c>
      <c r="E3976" s="79" t="str">
        <f t="shared" si="6"/>
        <v xml:space="preserve"> </v>
      </c>
    </row>
    <row r="3977" spans="1:5" ht="12.5">
      <c r="A3977" s="81" t="str">
        <f t="shared" si="0"/>
        <v xml:space="preserve"> </v>
      </c>
      <c r="B3977" s="81" t="str">
        <f t="shared" si="1"/>
        <v xml:space="preserve"> </v>
      </c>
      <c r="C3977" s="79" t="str">
        <f t="shared" si="7"/>
        <v xml:space="preserve"> </v>
      </c>
      <c r="D3977" s="79" t="str">
        <f t="shared" si="5"/>
        <v xml:space="preserve"> </v>
      </c>
      <c r="E3977" s="79" t="str">
        <f t="shared" si="6"/>
        <v xml:space="preserve"> </v>
      </c>
    </row>
    <row r="3978" spans="1:5" ht="12.5">
      <c r="A3978" s="81" t="str">
        <f t="shared" si="0"/>
        <v xml:space="preserve"> </v>
      </c>
      <c r="B3978" s="81" t="str">
        <f t="shared" si="1"/>
        <v xml:space="preserve"> </v>
      </c>
      <c r="C3978" s="79" t="str">
        <f t="shared" si="7"/>
        <v xml:space="preserve"> </v>
      </c>
      <c r="D3978" s="79" t="str">
        <f t="shared" si="5"/>
        <v xml:space="preserve"> </v>
      </c>
      <c r="E3978" s="79" t="str">
        <f t="shared" si="6"/>
        <v xml:space="preserve"> </v>
      </c>
    </row>
    <row r="3979" spans="1:5" ht="12.5">
      <c r="A3979" s="81" t="str">
        <f t="shared" si="0"/>
        <v xml:space="preserve"> </v>
      </c>
      <c r="B3979" s="81" t="str">
        <f t="shared" si="1"/>
        <v xml:space="preserve"> </v>
      </c>
      <c r="C3979" s="79" t="str">
        <f t="shared" si="7"/>
        <v xml:space="preserve"> </v>
      </c>
      <c r="D3979" s="79" t="str">
        <f t="shared" si="5"/>
        <v xml:space="preserve"> </v>
      </c>
      <c r="E3979" s="79" t="str">
        <f t="shared" si="6"/>
        <v xml:space="preserve"> </v>
      </c>
    </row>
    <row r="3980" spans="1:5" ht="12.5">
      <c r="A3980" s="81" t="str">
        <f t="shared" si="0"/>
        <v xml:space="preserve"> </v>
      </c>
      <c r="B3980" s="81" t="str">
        <f t="shared" si="1"/>
        <v xml:space="preserve"> </v>
      </c>
      <c r="C3980" s="79" t="str">
        <f t="shared" si="7"/>
        <v xml:space="preserve"> </v>
      </c>
      <c r="D3980" s="79" t="str">
        <f t="shared" si="5"/>
        <v xml:space="preserve"> </v>
      </c>
      <c r="E3980" s="79" t="str">
        <f t="shared" si="6"/>
        <v xml:space="preserve"> </v>
      </c>
    </row>
    <row r="3981" spans="1:5" ht="12.5">
      <c r="A3981" s="81" t="str">
        <f t="shared" si="0"/>
        <v xml:space="preserve"> </v>
      </c>
      <c r="B3981" s="81" t="str">
        <f t="shared" si="1"/>
        <v xml:space="preserve"> </v>
      </c>
      <c r="C3981" s="79" t="str">
        <f t="shared" si="7"/>
        <v xml:space="preserve"> </v>
      </c>
      <c r="D3981" s="79" t="str">
        <f t="shared" si="5"/>
        <v xml:space="preserve"> </v>
      </c>
      <c r="E3981" s="79" t="str">
        <f t="shared" si="6"/>
        <v xml:space="preserve"> </v>
      </c>
    </row>
    <row r="3982" spans="1:5" ht="12.5">
      <c r="A3982" s="81" t="str">
        <f t="shared" si="0"/>
        <v xml:space="preserve"> </v>
      </c>
      <c r="B3982" s="81" t="str">
        <f t="shared" si="1"/>
        <v xml:space="preserve"> </v>
      </c>
      <c r="C3982" s="79" t="str">
        <f t="shared" si="7"/>
        <v xml:space="preserve"> </v>
      </c>
      <c r="D3982" s="79" t="str">
        <f t="shared" si="5"/>
        <v xml:space="preserve"> </v>
      </c>
      <c r="E3982" s="79" t="str">
        <f t="shared" si="6"/>
        <v xml:space="preserve"> </v>
      </c>
    </row>
    <row r="3983" spans="1:5" ht="12.5">
      <c r="A3983" s="81" t="str">
        <f t="shared" si="0"/>
        <v xml:space="preserve"> </v>
      </c>
      <c r="B3983" s="81" t="str">
        <f t="shared" si="1"/>
        <v xml:space="preserve"> </v>
      </c>
      <c r="C3983" s="79" t="str">
        <f t="shared" si="7"/>
        <v xml:space="preserve"> </v>
      </c>
      <c r="D3983" s="79" t="str">
        <f t="shared" si="5"/>
        <v xml:space="preserve"> </v>
      </c>
      <c r="E3983" s="79" t="str">
        <f t="shared" si="6"/>
        <v xml:space="preserve"> </v>
      </c>
    </row>
    <row r="3984" spans="1:5" ht="12.5">
      <c r="A3984" s="81" t="str">
        <f t="shared" si="0"/>
        <v xml:space="preserve"> </v>
      </c>
      <c r="B3984" s="81" t="str">
        <f t="shared" si="1"/>
        <v xml:space="preserve"> </v>
      </c>
      <c r="C3984" s="79" t="str">
        <f t="shared" si="7"/>
        <v xml:space="preserve"> </v>
      </c>
      <c r="D3984" s="79" t="str">
        <f t="shared" si="5"/>
        <v xml:space="preserve"> </v>
      </c>
      <c r="E3984" s="79" t="str">
        <f t="shared" si="6"/>
        <v xml:space="preserve"> </v>
      </c>
    </row>
    <row r="3985" spans="1:5" ht="12.5">
      <c r="A3985" s="81" t="str">
        <f t="shared" si="0"/>
        <v xml:space="preserve"> </v>
      </c>
      <c r="B3985" s="81" t="str">
        <f t="shared" si="1"/>
        <v xml:space="preserve"> </v>
      </c>
      <c r="C3985" s="79" t="str">
        <f t="shared" si="7"/>
        <v xml:space="preserve"> </v>
      </c>
      <c r="D3985" s="79" t="str">
        <f t="shared" si="5"/>
        <v xml:space="preserve"> </v>
      </c>
      <c r="E3985" s="79" t="str">
        <f t="shared" si="6"/>
        <v xml:space="preserve"> </v>
      </c>
    </row>
    <row r="3986" spans="1:5" ht="12.5">
      <c r="A3986" s="81" t="str">
        <f t="shared" si="0"/>
        <v xml:space="preserve"> </v>
      </c>
      <c r="B3986" s="81" t="str">
        <f t="shared" si="1"/>
        <v xml:space="preserve"> </v>
      </c>
      <c r="C3986" s="79" t="str">
        <f t="shared" si="7"/>
        <v xml:space="preserve"> </v>
      </c>
      <c r="D3986" s="79" t="str">
        <f t="shared" si="5"/>
        <v xml:space="preserve"> </v>
      </c>
      <c r="E3986" s="79" t="str">
        <f t="shared" si="6"/>
        <v xml:space="preserve"> </v>
      </c>
    </row>
    <row r="3987" spans="1:5" ht="12.5">
      <c r="A3987" s="81" t="str">
        <f t="shared" si="0"/>
        <v xml:space="preserve"> </v>
      </c>
      <c r="B3987" s="81" t="str">
        <f t="shared" si="1"/>
        <v xml:space="preserve"> </v>
      </c>
      <c r="C3987" s="79" t="str">
        <f t="shared" si="7"/>
        <v xml:space="preserve"> </v>
      </c>
      <c r="D3987" s="79" t="str">
        <f t="shared" si="5"/>
        <v xml:space="preserve"> </v>
      </c>
      <c r="E3987" s="79" t="str">
        <f t="shared" si="6"/>
        <v xml:space="preserve"> </v>
      </c>
    </row>
    <row r="3988" spans="1:5" ht="12.5">
      <c r="A3988" s="81" t="str">
        <f t="shared" si="0"/>
        <v xml:space="preserve"> </v>
      </c>
      <c r="B3988" s="81" t="str">
        <f t="shared" si="1"/>
        <v xml:space="preserve"> </v>
      </c>
      <c r="C3988" s="79" t="str">
        <f t="shared" si="7"/>
        <v xml:space="preserve"> </v>
      </c>
      <c r="D3988" s="79" t="str">
        <f t="shared" si="5"/>
        <v xml:space="preserve"> </v>
      </c>
      <c r="E3988" s="79" t="str">
        <f t="shared" si="6"/>
        <v xml:space="preserve"> </v>
      </c>
    </row>
    <row r="3989" spans="1:5" ht="12.5">
      <c r="A3989" s="81" t="str">
        <f t="shared" si="0"/>
        <v xml:space="preserve"> </v>
      </c>
      <c r="B3989" s="81" t="str">
        <f t="shared" si="1"/>
        <v xml:space="preserve"> </v>
      </c>
      <c r="C3989" s="79" t="str">
        <f t="shared" si="7"/>
        <v xml:space="preserve"> </v>
      </c>
      <c r="D3989" s="79" t="str">
        <f t="shared" si="5"/>
        <v xml:space="preserve"> </v>
      </c>
      <c r="E3989" s="79" t="str">
        <f t="shared" si="6"/>
        <v xml:space="preserve"> </v>
      </c>
    </row>
    <row r="3990" spans="1:5" ht="12.5">
      <c r="A3990" s="81" t="str">
        <f t="shared" si="0"/>
        <v xml:space="preserve"> </v>
      </c>
      <c r="B3990" s="81" t="str">
        <f t="shared" si="1"/>
        <v xml:space="preserve"> </v>
      </c>
      <c r="C3990" s="79" t="str">
        <f t="shared" si="7"/>
        <v xml:space="preserve"> </v>
      </c>
      <c r="D3990" s="79" t="str">
        <f t="shared" si="5"/>
        <v xml:space="preserve"> </v>
      </c>
      <c r="E3990" s="79" t="str">
        <f t="shared" si="6"/>
        <v xml:space="preserve"> </v>
      </c>
    </row>
    <row r="3991" spans="1:5" ht="12.5">
      <c r="A3991" s="81" t="str">
        <f t="shared" si="0"/>
        <v xml:space="preserve"> </v>
      </c>
      <c r="B3991" s="81" t="str">
        <f t="shared" si="1"/>
        <v xml:space="preserve"> </v>
      </c>
      <c r="C3991" s="79" t="str">
        <f t="shared" si="7"/>
        <v xml:space="preserve"> </v>
      </c>
      <c r="D3991" s="79" t="str">
        <f t="shared" si="5"/>
        <v xml:space="preserve"> </v>
      </c>
      <c r="E3991" s="79" t="str">
        <f t="shared" si="6"/>
        <v xml:space="preserve"> </v>
      </c>
    </row>
    <row r="3992" spans="1:5" ht="12.5">
      <c r="A3992" s="81" t="str">
        <f t="shared" si="0"/>
        <v xml:space="preserve"> </v>
      </c>
      <c r="B3992" s="81" t="str">
        <f t="shared" si="1"/>
        <v xml:space="preserve"> </v>
      </c>
      <c r="C3992" s="79" t="str">
        <f t="shared" si="7"/>
        <v xml:space="preserve"> </v>
      </c>
      <c r="D3992" s="79" t="str">
        <f t="shared" si="5"/>
        <v xml:space="preserve"> </v>
      </c>
      <c r="E3992" s="79" t="str">
        <f t="shared" si="6"/>
        <v xml:space="preserve"> </v>
      </c>
    </row>
    <row r="3993" spans="1:5" ht="12.5">
      <c r="A3993" s="81" t="str">
        <f t="shared" si="0"/>
        <v xml:space="preserve"> </v>
      </c>
      <c r="B3993" s="81" t="str">
        <f t="shared" si="1"/>
        <v xml:space="preserve"> </v>
      </c>
      <c r="C3993" s="79" t="str">
        <f t="shared" si="7"/>
        <v xml:space="preserve"> </v>
      </c>
      <c r="D3993" s="79" t="str">
        <f t="shared" si="5"/>
        <v xml:space="preserve"> </v>
      </c>
      <c r="E3993" s="79" t="str">
        <f t="shared" si="6"/>
        <v xml:space="preserve"> </v>
      </c>
    </row>
    <row r="3994" spans="1:5" ht="12.5">
      <c r="A3994" s="81" t="str">
        <f t="shared" si="0"/>
        <v xml:space="preserve"> </v>
      </c>
      <c r="B3994" s="81" t="str">
        <f t="shared" si="1"/>
        <v xml:space="preserve"> </v>
      </c>
      <c r="C3994" s="79" t="str">
        <f t="shared" si="7"/>
        <v xml:space="preserve"> </v>
      </c>
      <c r="D3994" s="79" t="str">
        <f t="shared" si="5"/>
        <v xml:space="preserve"> </v>
      </c>
      <c r="E3994" s="79" t="str">
        <f t="shared" si="6"/>
        <v xml:space="preserve"> </v>
      </c>
    </row>
    <row r="3995" spans="1:5" ht="12.5">
      <c r="A3995" s="81" t="str">
        <f t="shared" si="0"/>
        <v xml:space="preserve"> </v>
      </c>
      <c r="B3995" s="81" t="str">
        <f t="shared" si="1"/>
        <v xml:space="preserve"> </v>
      </c>
      <c r="C3995" s="79" t="str">
        <f t="shared" si="7"/>
        <v xml:space="preserve"> </v>
      </c>
      <c r="D3995" s="79" t="str">
        <f t="shared" si="5"/>
        <v xml:space="preserve"> </v>
      </c>
      <c r="E3995" s="79" t="str">
        <f t="shared" si="6"/>
        <v xml:space="preserve"> </v>
      </c>
    </row>
    <row r="3996" spans="1:5" ht="12.5">
      <c r="A3996" s="81" t="str">
        <f t="shared" si="0"/>
        <v xml:space="preserve"> </v>
      </c>
      <c r="B3996" s="81" t="str">
        <f t="shared" si="1"/>
        <v xml:space="preserve"> </v>
      </c>
      <c r="C3996" s="79" t="str">
        <f t="shared" si="7"/>
        <v xml:space="preserve"> </v>
      </c>
      <c r="D3996" s="79" t="str">
        <f t="shared" si="5"/>
        <v xml:space="preserve"> </v>
      </c>
      <c r="E3996" s="79" t="str">
        <f t="shared" si="6"/>
        <v xml:space="preserve"> </v>
      </c>
    </row>
    <row r="3997" spans="1:5" ht="12.5">
      <c r="A3997" s="81" t="str">
        <f t="shared" si="0"/>
        <v xml:space="preserve"> </v>
      </c>
      <c r="B3997" s="81" t="str">
        <f t="shared" si="1"/>
        <v xml:space="preserve"> </v>
      </c>
      <c r="C3997" s="79" t="str">
        <f t="shared" si="7"/>
        <v xml:space="preserve"> </v>
      </c>
      <c r="D3997" s="79" t="str">
        <f t="shared" si="5"/>
        <v xml:space="preserve"> </v>
      </c>
      <c r="E3997" s="79" t="str">
        <f t="shared" si="6"/>
        <v xml:space="preserve"> </v>
      </c>
    </row>
    <row r="3998" spans="1:5" ht="12.5">
      <c r="A3998" s="81" t="str">
        <f t="shared" si="0"/>
        <v xml:space="preserve"> </v>
      </c>
      <c r="B3998" s="81" t="str">
        <f t="shared" si="1"/>
        <v xml:space="preserve"> </v>
      </c>
      <c r="C3998" s="79" t="str">
        <f t="shared" si="7"/>
        <v xml:space="preserve"> </v>
      </c>
      <c r="D3998" s="79" t="str">
        <f t="shared" si="5"/>
        <v xml:space="preserve"> </v>
      </c>
      <c r="E3998" s="79" t="str">
        <f t="shared" si="6"/>
        <v xml:space="preserve"> </v>
      </c>
    </row>
    <row r="3999" spans="1:5" ht="12.5">
      <c r="A3999" s="81" t="str">
        <f t="shared" si="0"/>
        <v xml:space="preserve"> </v>
      </c>
      <c r="B3999" s="81" t="str">
        <f t="shared" si="1"/>
        <v xml:space="preserve"> </v>
      </c>
      <c r="C3999" s="79" t="str">
        <f t="shared" si="7"/>
        <v xml:space="preserve"> </v>
      </c>
      <c r="D3999" s="79" t="str">
        <f t="shared" si="5"/>
        <v xml:space="preserve"> </v>
      </c>
      <c r="E3999" s="79" t="str">
        <f t="shared" si="6"/>
        <v xml:space="preserve"> </v>
      </c>
    </row>
    <row r="4000" spans="1:5" ht="12.5">
      <c r="A4000" s="81" t="str">
        <f t="shared" si="0"/>
        <v xml:space="preserve"> </v>
      </c>
      <c r="B4000" s="81" t="str">
        <f t="shared" si="1"/>
        <v xml:space="preserve"> </v>
      </c>
      <c r="C4000" s="79" t="str">
        <f t="shared" si="7"/>
        <v xml:space="preserve"> </v>
      </c>
      <c r="D4000" s="79" t="str">
        <f t="shared" si="5"/>
        <v xml:space="preserve"> </v>
      </c>
      <c r="E4000" s="79" t="str">
        <f t="shared" si="6"/>
        <v xml:space="preserve"> </v>
      </c>
    </row>
    <row r="4001" spans="1:5" ht="12.5">
      <c r="A4001" s="81" t="str">
        <f t="shared" si="0"/>
        <v xml:space="preserve"> </v>
      </c>
      <c r="B4001" s="81" t="str">
        <f t="shared" si="1"/>
        <v xml:space="preserve"> </v>
      </c>
      <c r="C4001" s="79" t="str">
        <f t="shared" si="7"/>
        <v xml:space="preserve"> </v>
      </c>
      <c r="D4001" s="79" t="str">
        <f t="shared" si="5"/>
        <v xml:space="preserve"> </v>
      </c>
      <c r="E4001" s="79" t="str">
        <f t="shared" si="6"/>
        <v xml:space="preserve"> </v>
      </c>
    </row>
    <row r="4002" spans="1:5" ht="12.5">
      <c r="A4002" s="81" t="str">
        <f t="shared" si="0"/>
        <v xml:space="preserve"> </v>
      </c>
      <c r="B4002" s="81" t="str">
        <f t="shared" si="1"/>
        <v xml:space="preserve"> </v>
      </c>
      <c r="C4002" s="79" t="str">
        <f t="shared" si="7"/>
        <v xml:space="preserve"> </v>
      </c>
      <c r="D4002" s="79" t="str">
        <f t="shared" si="5"/>
        <v xml:space="preserve"> </v>
      </c>
      <c r="E4002" s="79" t="str">
        <f t="shared" si="6"/>
        <v xml:space="preserve"> </v>
      </c>
    </row>
    <row r="4003" spans="1:5" ht="12.5">
      <c r="A4003" s="81" t="str">
        <f t="shared" si="0"/>
        <v xml:space="preserve"> </v>
      </c>
      <c r="B4003" s="81" t="str">
        <f t="shared" si="1"/>
        <v xml:space="preserve"> </v>
      </c>
      <c r="C4003" s="79" t="str">
        <f t="shared" si="7"/>
        <v xml:space="preserve"> </v>
      </c>
      <c r="D4003" s="79" t="str">
        <f t="shared" si="5"/>
        <v xml:space="preserve"> </v>
      </c>
      <c r="E4003" s="79" t="str">
        <f t="shared" si="6"/>
        <v xml:space="preserve"> </v>
      </c>
    </row>
    <row r="4004" spans="1:5" ht="12.5">
      <c r="A4004" s="81" t="str">
        <f t="shared" si="0"/>
        <v xml:space="preserve"> </v>
      </c>
      <c r="B4004" s="81" t="str">
        <f t="shared" si="1"/>
        <v xml:space="preserve"> </v>
      </c>
      <c r="C4004" s="79" t="str">
        <f t="shared" si="7"/>
        <v xml:space="preserve"> </v>
      </c>
      <c r="D4004" s="79" t="str">
        <f t="shared" si="5"/>
        <v xml:space="preserve"> </v>
      </c>
      <c r="E4004" s="79" t="str">
        <f t="shared" si="6"/>
        <v xml:space="preserve"> </v>
      </c>
    </row>
    <row r="4005" spans="1:5" ht="12.5">
      <c r="A4005" s="81" t="str">
        <f t="shared" si="0"/>
        <v xml:space="preserve"> </v>
      </c>
      <c r="B4005" s="81" t="str">
        <f t="shared" si="1"/>
        <v xml:space="preserve"> </v>
      </c>
      <c r="C4005" s="79" t="str">
        <f t="shared" si="7"/>
        <v xml:space="preserve"> </v>
      </c>
      <c r="D4005" s="79" t="str">
        <f t="shared" si="5"/>
        <v xml:space="preserve"> </v>
      </c>
      <c r="E4005" s="79" t="str">
        <f t="shared" si="6"/>
        <v xml:space="preserve"> </v>
      </c>
    </row>
    <row r="4006" spans="1:5" ht="12.5">
      <c r="A4006" s="81" t="str">
        <f t="shared" si="0"/>
        <v xml:space="preserve"> </v>
      </c>
      <c r="B4006" s="81" t="str">
        <f t="shared" si="1"/>
        <v xml:space="preserve"> </v>
      </c>
      <c r="C4006" s="79" t="str">
        <f t="shared" si="7"/>
        <v xml:space="preserve"> </v>
      </c>
      <c r="D4006" s="79" t="str">
        <f t="shared" si="5"/>
        <v xml:space="preserve"> </v>
      </c>
      <c r="E4006" s="79" t="str">
        <f t="shared" si="6"/>
        <v xml:space="preserve"> </v>
      </c>
    </row>
    <row r="4007" spans="1:5" ht="12.5">
      <c r="A4007" s="81" t="str">
        <f t="shared" si="0"/>
        <v xml:space="preserve"> </v>
      </c>
      <c r="B4007" s="81" t="str">
        <f t="shared" si="1"/>
        <v xml:space="preserve"> </v>
      </c>
      <c r="C4007" s="79" t="str">
        <f t="shared" si="7"/>
        <v xml:space="preserve"> </v>
      </c>
      <c r="D4007" s="79" t="str">
        <f t="shared" si="5"/>
        <v xml:space="preserve"> </v>
      </c>
      <c r="E4007" s="79" t="str">
        <f t="shared" si="6"/>
        <v xml:space="preserve"> </v>
      </c>
    </row>
    <row r="4008" spans="1:5" ht="12.5">
      <c r="A4008" s="81" t="str">
        <f t="shared" si="0"/>
        <v xml:space="preserve"> </v>
      </c>
      <c r="B4008" s="81" t="str">
        <f t="shared" si="1"/>
        <v xml:space="preserve"> </v>
      </c>
      <c r="C4008" s="79" t="str">
        <f t="shared" si="7"/>
        <v xml:space="preserve"> </v>
      </c>
      <c r="D4008" s="79" t="str">
        <f t="shared" si="5"/>
        <v xml:space="preserve"> </v>
      </c>
      <c r="E4008" s="79" t="str">
        <f t="shared" si="6"/>
        <v xml:space="preserve"> </v>
      </c>
    </row>
    <row r="4009" spans="1:5" ht="12.5">
      <c r="A4009" s="81" t="str">
        <f t="shared" si="0"/>
        <v xml:space="preserve"> </v>
      </c>
      <c r="B4009" s="81" t="str">
        <f t="shared" si="1"/>
        <v xml:space="preserve"> </v>
      </c>
      <c r="C4009" s="79" t="str">
        <f t="shared" si="7"/>
        <v xml:space="preserve"> </v>
      </c>
      <c r="D4009" s="79" t="str">
        <f t="shared" si="5"/>
        <v xml:space="preserve"> </v>
      </c>
      <c r="E4009" s="79" t="str">
        <f t="shared" si="6"/>
        <v xml:space="preserve"> </v>
      </c>
    </row>
    <row r="4010" spans="1:5" ht="12.5">
      <c r="A4010" s="81" t="str">
        <f t="shared" si="0"/>
        <v xml:space="preserve"> </v>
      </c>
      <c r="B4010" s="81" t="str">
        <f t="shared" si="1"/>
        <v xml:space="preserve"> </v>
      </c>
      <c r="C4010" s="79" t="str">
        <f t="shared" si="7"/>
        <v xml:space="preserve"> </v>
      </c>
      <c r="D4010" s="79" t="str">
        <f t="shared" si="5"/>
        <v xml:space="preserve"> </v>
      </c>
      <c r="E4010" s="79" t="str">
        <f t="shared" si="6"/>
        <v xml:space="preserve"> </v>
      </c>
    </row>
    <row r="4011" spans="1:5" ht="12.5">
      <c r="A4011" s="81" t="str">
        <f t="shared" si="0"/>
        <v xml:space="preserve"> </v>
      </c>
      <c r="B4011" s="81" t="str">
        <f t="shared" si="1"/>
        <v xml:space="preserve"> </v>
      </c>
      <c r="C4011" s="79" t="str">
        <f t="shared" si="7"/>
        <v xml:space="preserve"> </v>
      </c>
      <c r="D4011" s="79" t="str">
        <f t="shared" si="5"/>
        <v xml:space="preserve"> </v>
      </c>
      <c r="E4011" s="79" t="str">
        <f t="shared" si="6"/>
        <v xml:space="preserve"> </v>
      </c>
    </row>
    <row r="4012" spans="1:5" ht="12.5">
      <c r="A4012" s="81" t="str">
        <f t="shared" si="0"/>
        <v xml:space="preserve"> </v>
      </c>
      <c r="B4012" s="81" t="str">
        <f t="shared" si="1"/>
        <v xml:space="preserve"> </v>
      </c>
      <c r="C4012" s="79" t="str">
        <f t="shared" si="7"/>
        <v xml:space="preserve"> </v>
      </c>
      <c r="D4012" s="79" t="str">
        <f t="shared" si="5"/>
        <v xml:space="preserve"> </v>
      </c>
      <c r="E4012" s="79" t="str">
        <f t="shared" si="6"/>
        <v xml:space="preserve"> </v>
      </c>
    </row>
    <row r="4013" spans="1:5" ht="12.5">
      <c r="A4013" s="81" t="str">
        <f t="shared" si="0"/>
        <v xml:space="preserve"> </v>
      </c>
      <c r="B4013" s="81" t="str">
        <f t="shared" si="1"/>
        <v xml:space="preserve"> </v>
      </c>
      <c r="C4013" s="79" t="str">
        <f t="shared" si="7"/>
        <v xml:space="preserve"> </v>
      </c>
      <c r="D4013" s="79" t="str">
        <f t="shared" si="5"/>
        <v xml:space="preserve"> </v>
      </c>
      <c r="E4013" s="79" t="str">
        <f t="shared" si="6"/>
        <v xml:space="preserve"> </v>
      </c>
    </row>
    <row r="4014" spans="1:5" ht="12.5">
      <c r="A4014" s="81" t="str">
        <f t="shared" si="0"/>
        <v xml:space="preserve"> </v>
      </c>
      <c r="B4014" s="81" t="str">
        <f t="shared" si="1"/>
        <v xml:space="preserve"> </v>
      </c>
      <c r="C4014" s="79" t="str">
        <f t="shared" si="7"/>
        <v xml:space="preserve"> </v>
      </c>
      <c r="D4014" s="79" t="str">
        <f t="shared" si="5"/>
        <v xml:space="preserve"> </v>
      </c>
      <c r="E4014" s="79" t="str">
        <f t="shared" si="6"/>
        <v xml:space="preserve"> </v>
      </c>
    </row>
    <row r="4015" spans="1:5" ht="12.5">
      <c r="A4015" s="81" t="str">
        <f t="shared" si="0"/>
        <v xml:space="preserve"> </v>
      </c>
      <c r="B4015" s="81" t="str">
        <f t="shared" si="1"/>
        <v xml:space="preserve"> </v>
      </c>
      <c r="C4015" s="79" t="str">
        <f t="shared" si="7"/>
        <v xml:space="preserve"> </v>
      </c>
      <c r="D4015" s="79" t="str">
        <f t="shared" si="5"/>
        <v xml:space="preserve"> </v>
      </c>
      <c r="E4015" s="79" t="str">
        <f t="shared" si="6"/>
        <v xml:space="preserve"> </v>
      </c>
    </row>
    <row r="4016" spans="1:5" ht="12.5">
      <c r="A4016" s="81" t="str">
        <f t="shared" si="0"/>
        <v xml:space="preserve"> </v>
      </c>
      <c r="B4016" s="81" t="str">
        <f t="shared" si="1"/>
        <v xml:space="preserve"> </v>
      </c>
      <c r="C4016" s="79" t="str">
        <f t="shared" si="7"/>
        <v xml:space="preserve"> </v>
      </c>
      <c r="D4016" s="79" t="str">
        <f t="shared" si="5"/>
        <v xml:space="preserve"> </v>
      </c>
      <c r="E4016" s="79" t="str">
        <f t="shared" si="6"/>
        <v xml:space="preserve"> </v>
      </c>
    </row>
    <row r="4017" spans="1:5" ht="12.5">
      <c r="A4017" s="81" t="str">
        <f t="shared" si="0"/>
        <v xml:space="preserve"> </v>
      </c>
      <c r="B4017" s="81" t="str">
        <f t="shared" si="1"/>
        <v xml:space="preserve"> </v>
      </c>
      <c r="C4017" s="79" t="str">
        <f t="shared" si="7"/>
        <v xml:space="preserve"> </v>
      </c>
      <c r="D4017" s="79" t="str">
        <f t="shared" si="5"/>
        <v xml:space="preserve"> </v>
      </c>
      <c r="E4017" s="79" t="str">
        <f t="shared" si="6"/>
        <v xml:space="preserve"> </v>
      </c>
    </row>
    <row r="4018" spans="1:5" ht="12.5">
      <c r="A4018" s="81" t="str">
        <f t="shared" si="0"/>
        <v xml:space="preserve"> </v>
      </c>
      <c r="B4018" s="81" t="str">
        <f t="shared" si="1"/>
        <v xml:space="preserve"> </v>
      </c>
      <c r="C4018" s="79" t="str">
        <f t="shared" si="7"/>
        <v xml:space="preserve"> </v>
      </c>
      <c r="D4018" s="79" t="str">
        <f t="shared" si="5"/>
        <v xml:space="preserve"> </v>
      </c>
      <c r="E4018" s="79" t="str">
        <f t="shared" si="6"/>
        <v xml:space="preserve"> </v>
      </c>
    </row>
    <row r="4019" spans="1:5" ht="12.5">
      <c r="A4019" s="81" t="str">
        <f t="shared" si="0"/>
        <v xml:space="preserve"> </v>
      </c>
      <c r="B4019" s="81" t="str">
        <f t="shared" si="1"/>
        <v xml:space="preserve"> </v>
      </c>
      <c r="C4019" s="79" t="str">
        <f t="shared" si="7"/>
        <v xml:space="preserve"> </v>
      </c>
      <c r="D4019" s="79" t="str">
        <f t="shared" si="5"/>
        <v xml:space="preserve"> </v>
      </c>
      <c r="E4019" s="79" t="str">
        <f t="shared" si="6"/>
        <v xml:space="preserve"> </v>
      </c>
    </row>
    <row r="4020" spans="1:5" ht="12.5">
      <c r="A4020" s="81" t="str">
        <f t="shared" si="0"/>
        <v xml:space="preserve"> </v>
      </c>
      <c r="B4020" s="81" t="str">
        <f t="shared" si="1"/>
        <v xml:space="preserve"> </v>
      </c>
      <c r="C4020" s="79" t="str">
        <f t="shared" si="7"/>
        <v xml:space="preserve"> </v>
      </c>
      <c r="D4020" s="79" t="str">
        <f t="shared" si="5"/>
        <v xml:space="preserve"> </v>
      </c>
      <c r="E4020" s="79" t="str">
        <f t="shared" si="6"/>
        <v xml:space="preserve"> </v>
      </c>
    </row>
    <row r="4021" spans="1:5" ht="12.5">
      <c r="A4021" s="81" t="str">
        <f t="shared" si="0"/>
        <v xml:space="preserve"> </v>
      </c>
      <c r="B4021" s="81" t="str">
        <f t="shared" si="1"/>
        <v xml:space="preserve"> </v>
      </c>
      <c r="C4021" s="79" t="str">
        <f t="shared" si="7"/>
        <v xml:space="preserve"> </v>
      </c>
      <c r="D4021" s="79" t="str">
        <f t="shared" si="5"/>
        <v xml:space="preserve"> </v>
      </c>
      <c r="E4021" s="79" t="str">
        <f t="shared" si="6"/>
        <v xml:space="preserve"> </v>
      </c>
    </row>
    <row r="4022" spans="1:5" ht="12.5">
      <c r="A4022" s="81" t="str">
        <f t="shared" si="0"/>
        <v xml:space="preserve"> </v>
      </c>
      <c r="B4022" s="81" t="str">
        <f t="shared" si="1"/>
        <v xml:space="preserve"> </v>
      </c>
      <c r="C4022" s="79" t="str">
        <f t="shared" si="7"/>
        <v xml:space="preserve"> </v>
      </c>
      <c r="D4022" s="79" t="str">
        <f t="shared" si="5"/>
        <v xml:space="preserve"> </v>
      </c>
      <c r="E4022" s="79" t="str">
        <f t="shared" si="6"/>
        <v xml:space="preserve"> </v>
      </c>
    </row>
    <row r="4023" spans="1:5" ht="12.5">
      <c r="A4023" s="81" t="str">
        <f t="shared" si="0"/>
        <v xml:space="preserve"> </v>
      </c>
      <c r="B4023" s="81" t="str">
        <f t="shared" si="1"/>
        <v xml:space="preserve"> </v>
      </c>
      <c r="C4023" s="79" t="str">
        <f t="shared" si="7"/>
        <v xml:space="preserve"> </v>
      </c>
      <c r="D4023" s="79" t="str">
        <f t="shared" si="5"/>
        <v xml:space="preserve"> </v>
      </c>
      <c r="E4023" s="79" t="str">
        <f t="shared" si="6"/>
        <v xml:space="preserve"> </v>
      </c>
    </row>
    <row r="4024" spans="1:5" ht="12.5">
      <c r="A4024" s="81" t="str">
        <f t="shared" si="0"/>
        <v xml:space="preserve"> </v>
      </c>
      <c r="B4024" s="81" t="str">
        <f t="shared" si="1"/>
        <v xml:space="preserve"> </v>
      </c>
      <c r="C4024" s="79" t="str">
        <f t="shared" si="7"/>
        <v xml:space="preserve"> </v>
      </c>
      <c r="D4024" s="79" t="str">
        <f t="shared" si="5"/>
        <v xml:space="preserve"> </v>
      </c>
      <c r="E4024" s="79" t="str">
        <f t="shared" si="6"/>
        <v xml:space="preserve"> </v>
      </c>
    </row>
    <row r="4025" spans="1:5" ht="12.5">
      <c r="A4025" s="81" t="str">
        <f t="shared" si="0"/>
        <v xml:space="preserve"> </v>
      </c>
      <c r="B4025" s="81" t="str">
        <f t="shared" si="1"/>
        <v xml:space="preserve"> </v>
      </c>
      <c r="C4025" s="79" t="str">
        <f t="shared" si="7"/>
        <v xml:space="preserve"> </v>
      </c>
      <c r="D4025" s="79" t="str">
        <f t="shared" si="5"/>
        <v xml:space="preserve"> </v>
      </c>
      <c r="E4025" s="79" t="str">
        <f t="shared" si="6"/>
        <v xml:space="preserve"> </v>
      </c>
    </row>
    <row r="4026" spans="1:5" ht="12.5">
      <c r="A4026" s="81" t="str">
        <f t="shared" si="0"/>
        <v xml:space="preserve"> </v>
      </c>
      <c r="B4026" s="81" t="str">
        <f t="shared" si="1"/>
        <v xml:space="preserve"> </v>
      </c>
      <c r="C4026" s="79" t="str">
        <f t="shared" si="7"/>
        <v xml:space="preserve"> </v>
      </c>
      <c r="D4026" s="79" t="str">
        <f t="shared" si="5"/>
        <v xml:space="preserve"> </v>
      </c>
      <c r="E4026" s="79" t="str">
        <f t="shared" si="6"/>
        <v xml:space="preserve"> </v>
      </c>
    </row>
    <row r="4027" spans="1:5" ht="12.5">
      <c r="A4027" s="81" t="str">
        <f t="shared" si="0"/>
        <v xml:space="preserve"> </v>
      </c>
      <c r="B4027" s="81" t="str">
        <f t="shared" si="1"/>
        <v xml:space="preserve"> </v>
      </c>
      <c r="C4027" s="79" t="str">
        <f t="shared" si="7"/>
        <v xml:space="preserve"> </v>
      </c>
      <c r="D4027" s="79" t="str">
        <f t="shared" si="5"/>
        <v xml:space="preserve"> </v>
      </c>
      <c r="E4027" s="79" t="str">
        <f t="shared" si="6"/>
        <v xml:space="preserve"> </v>
      </c>
    </row>
    <row r="4028" spans="1:5" ht="12.5">
      <c r="A4028" s="81" t="str">
        <f t="shared" si="0"/>
        <v xml:space="preserve"> </v>
      </c>
      <c r="B4028" s="81" t="str">
        <f t="shared" si="1"/>
        <v xml:space="preserve"> </v>
      </c>
      <c r="C4028" s="79" t="str">
        <f t="shared" si="7"/>
        <v xml:space="preserve"> </v>
      </c>
      <c r="D4028" s="79" t="str">
        <f t="shared" si="5"/>
        <v xml:space="preserve"> </v>
      </c>
      <c r="E4028" s="79" t="str">
        <f t="shared" si="6"/>
        <v xml:space="preserve"> </v>
      </c>
    </row>
    <row r="4029" spans="1:5" ht="12.5">
      <c r="A4029" s="81" t="str">
        <f t="shared" si="0"/>
        <v xml:space="preserve"> </v>
      </c>
      <c r="B4029" s="81" t="str">
        <f t="shared" si="1"/>
        <v xml:space="preserve"> </v>
      </c>
      <c r="C4029" s="79" t="str">
        <f t="shared" si="7"/>
        <v xml:space="preserve"> </v>
      </c>
      <c r="D4029" s="79" t="str">
        <f t="shared" si="5"/>
        <v xml:space="preserve"> </v>
      </c>
      <c r="E4029" s="79" t="str">
        <f t="shared" si="6"/>
        <v xml:space="preserve"> </v>
      </c>
    </row>
    <row r="4030" spans="1:5" ht="12.5">
      <c r="A4030" s="81" t="str">
        <f t="shared" si="0"/>
        <v xml:space="preserve"> </v>
      </c>
      <c r="B4030" s="81" t="str">
        <f t="shared" si="1"/>
        <v xml:space="preserve"> </v>
      </c>
      <c r="C4030" s="79" t="str">
        <f t="shared" si="7"/>
        <v xml:space="preserve"> </v>
      </c>
      <c r="D4030" s="79" t="str">
        <f t="shared" si="5"/>
        <v xml:space="preserve"> </v>
      </c>
      <c r="E4030" s="79" t="str">
        <f t="shared" si="6"/>
        <v xml:space="preserve"> </v>
      </c>
    </row>
    <row r="4031" spans="1:5" ht="12.5">
      <c r="A4031" s="81" t="str">
        <f t="shared" si="0"/>
        <v xml:space="preserve"> </v>
      </c>
      <c r="B4031" s="81" t="str">
        <f t="shared" si="1"/>
        <v xml:space="preserve"> </v>
      </c>
      <c r="C4031" s="79" t="str">
        <f t="shared" si="7"/>
        <v xml:space="preserve"> </v>
      </c>
      <c r="D4031" s="79" t="str">
        <f t="shared" si="5"/>
        <v xml:space="preserve"> </v>
      </c>
      <c r="E4031" s="79" t="str">
        <f t="shared" si="6"/>
        <v xml:space="preserve"> </v>
      </c>
    </row>
    <row r="4032" spans="1:5" ht="12.5">
      <c r="A4032" s="81" t="str">
        <f t="shared" si="0"/>
        <v xml:space="preserve"> </v>
      </c>
      <c r="B4032" s="81" t="str">
        <f t="shared" si="1"/>
        <v xml:space="preserve"> </v>
      </c>
      <c r="C4032" s="79" t="str">
        <f t="shared" si="7"/>
        <v xml:space="preserve"> </v>
      </c>
      <c r="D4032" s="79" t="str">
        <f t="shared" si="5"/>
        <v xml:space="preserve"> </v>
      </c>
      <c r="E4032" s="79" t="str">
        <f t="shared" si="6"/>
        <v xml:space="preserve"> </v>
      </c>
    </row>
    <row r="4033" spans="1:5" ht="12.5">
      <c r="A4033" s="81" t="str">
        <f t="shared" si="0"/>
        <v xml:space="preserve"> </v>
      </c>
      <c r="B4033" s="81" t="str">
        <f t="shared" si="1"/>
        <v xml:space="preserve"> </v>
      </c>
      <c r="C4033" s="79" t="str">
        <f t="shared" si="7"/>
        <v xml:space="preserve"> </v>
      </c>
      <c r="D4033" s="79" t="str">
        <f t="shared" si="5"/>
        <v xml:space="preserve"> </v>
      </c>
      <c r="E4033" s="79" t="str">
        <f t="shared" si="6"/>
        <v xml:space="preserve"> </v>
      </c>
    </row>
    <row r="4034" spans="1:5" ht="12.5">
      <c r="A4034" s="81" t="str">
        <f t="shared" si="0"/>
        <v xml:space="preserve"> </v>
      </c>
      <c r="B4034" s="81" t="str">
        <f t="shared" si="1"/>
        <v xml:space="preserve"> </v>
      </c>
      <c r="C4034" s="79" t="str">
        <f t="shared" si="7"/>
        <v xml:space="preserve"> </v>
      </c>
      <c r="D4034" s="79" t="str">
        <f t="shared" si="5"/>
        <v xml:space="preserve"> </v>
      </c>
      <c r="E4034" s="79" t="str">
        <f t="shared" si="6"/>
        <v xml:space="preserve"> </v>
      </c>
    </row>
    <row r="4035" spans="1:5" ht="12.5">
      <c r="A4035" s="81" t="str">
        <f t="shared" si="0"/>
        <v xml:space="preserve"> </v>
      </c>
      <c r="B4035" s="81" t="str">
        <f t="shared" si="1"/>
        <v xml:space="preserve"> </v>
      </c>
      <c r="C4035" s="79" t="str">
        <f t="shared" si="7"/>
        <v xml:space="preserve"> </v>
      </c>
      <c r="D4035" s="79" t="str">
        <f t="shared" si="5"/>
        <v xml:space="preserve"> </v>
      </c>
      <c r="E4035" s="79" t="str">
        <f t="shared" si="6"/>
        <v xml:space="preserve"> </v>
      </c>
    </row>
    <row r="4036" spans="1:5" ht="12.5">
      <c r="A4036" s="81" t="str">
        <f t="shared" si="0"/>
        <v xml:space="preserve"> </v>
      </c>
      <c r="B4036" s="81" t="str">
        <f t="shared" si="1"/>
        <v xml:space="preserve"> </v>
      </c>
      <c r="C4036" s="79" t="str">
        <f t="shared" si="7"/>
        <v xml:space="preserve"> </v>
      </c>
      <c r="D4036" s="79" t="str">
        <f t="shared" si="5"/>
        <v xml:space="preserve"> </v>
      </c>
      <c r="E4036" s="79" t="str">
        <f t="shared" si="6"/>
        <v xml:space="preserve"> </v>
      </c>
    </row>
    <row r="4037" spans="1:5" ht="12.5">
      <c r="A4037" s="81" t="str">
        <f t="shared" si="0"/>
        <v xml:space="preserve"> </v>
      </c>
      <c r="B4037" s="81" t="str">
        <f t="shared" si="1"/>
        <v xml:space="preserve"> </v>
      </c>
      <c r="C4037" s="79" t="str">
        <f t="shared" si="7"/>
        <v xml:space="preserve"> </v>
      </c>
      <c r="D4037" s="79" t="str">
        <f t="shared" si="5"/>
        <v xml:space="preserve"> </v>
      </c>
      <c r="E4037" s="79" t="str">
        <f t="shared" si="6"/>
        <v xml:space="preserve"> </v>
      </c>
    </row>
    <row r="4038" spans="1:5" ht="12.5">
      <c r="A4038" s="81" t="str">
        <f t="shared" si="0"/>
        <v xml:space="preserve"> </v>
      </c>
      <c r="B4038" s="81" t="str">
        <f t="shared" si="1"/>
        <v xml:space="preserve"> </v>
      </c>
      <c r="C4038" s="79" t="str">
        <f t="shared" si="7"/>
        <v xml:space="preserve"> </v>
      </c>
      <c r="D4038" s="79" t="str">
        <f t="shared" si="5"/>
        <v xml:space="preserve"> </v>
      </c>
      <c r="E4038" s="79" t="str">
        <f t="shared" si="6"/>
        <v xml:space="preserve"> </v>
      </c>
    </row>
    <row r="4039" spans="1:5" ht="12.5">
      <c r="A4039" s="81" t="str">
        <f t="shared" si="0"/>
        <v xml:space="preserve"> </v>
      </c>
      <c r="B4039" s="81" t="str">
        <f t="shared" si="1"/>
        <v xml:space="preserve"> </v>
      </c>
      <c r="C4039" s="79" t="str">
        <f t="shared" si="7"/>
        <v xml:space="preserve"> </v>
      </c>
      <c r="D4039" s="79" t="str">
        <f t="shared" si="5"/>
        <v xml:space="preserve"> </v>
      </c>
      <c r="E4039" s="79" t="str">
        <f t="shared" si="6"/>
        <v xml:space="preserve"> </v>
      </c>
    </row>
    <row r="4040" spans="1:5" ht="12.5">
      <c r="A4040" s="81" t="str">
        <f t="shared" si="0"/>
        <v xml:space="preserve"> </v>
      </c>
      <c r="B4040" s="81" t="str">
        <f t="shared" si="1"/>
        <v xml:space="preserve"> </v>
      </c>
      <c r="C4040" s="79" t="str">
        <f t="shared" si="7"/>
        <v xml:space="preserve"> </v>
      </c>
      <c r="D4040" s="79" t="str">
        <f t="shared" si="5"/>
        <v xml:space="preserve"> </v>
      </c>
      <c r="E4040" s="79" t="str">
        <f t="shared" si="6"/>
        <v xml:space="preserve"> </v>
      </c>
    </row>
    <row r="4041" spans="1:5" ht="12.5">
      <c r="A4041" s="81" t="str">
        <f t="shared" si="0"/>
        <v xml:space="preserve"> </v>
      </c>
      <c r="B4041" s="81" t="str">
        <f t="shared" si="1"/>
        <v xml:space="preserve"> </v>
      </c>
      <c r="C4041" s="79" t="str">
        <f t="shared" si="7"/>
        <v xml:space="preserve"> </v>
      </c>
      <c r="D4041" s="79" t="str">
        <f t="shared" si="5"/>
        <v xml:space="preserve"> </v>
      </c>
      <c r="E4041" s="79" t="str">
        <f t="shared" si="6"/>
        <v xml:space="preserve"> </v>
      </c>
    </row>
    <row r="4042" spans="1:5" ht="12.5">
      <c r="A4042" s="81" t="str">
        <f t="shared" si="0"/>
        <v xml:space="preserve"> </v>
      </c>
      <c r="B4042" s="81" t="str">
        <f t="shared" si="1"/>
        <v xml:space="preserve"> </v>
      </c>
      <c r="C4042" s="79" t="str">
        <f t="shared" si="7"/>
        <v xml:space="preserve"> </v>
      </c>
      <c r="D4042" s="79" t="str">
        <f t="shared" si="5"/>
        <v xml:space="preserve"> </v>
      </c>
      <c r="E4042" s="79" t="str">
        <f t="shared" si="6"/>
        <v xml:space="preserve"> </v>
      </c>
    </row>
    <row r="4043" spans="1:5" ht="12.5">
      <c r="A4043" s="81" t="str">
        <f t="shared" si="0"/>
        <v xml:space="preserve"> </v>
      </c>
      <c r="B4043" s="81" t="str">
        <f t="shared" si="1"/>
        <v xml:space="preserve"> </v>
      </c>
      <c r="C4043" s="79" t="str">
        <f t="shared" si="7"/>
        <v xml:space="preserve"> </v>
      </c>
      <c r="D4043" s="79" t="str">
        <f t="shared" si="5"/>
        <v xml:space="preserve"> </v>
      </c>
      <c r="E4043" s="79" t="str">
        <f t="shared" si="6"/>
        <v xml:space="preserve"> </v>
      </c>
    </row>
    <row r="4044" spans="1:5" ht="12.5">
      <c r="A4044" s="81" t="str">
        <f t="shared" si="0"/>
        <v xml:space="preserve"> </v>
      </c>
      <c r="B4044" s="81" t="str">
        <f t="shared" si="1"/>
        <v xml:space="preserve"> </v>
      </c>
      <c r="C4044" s="79" t="str">
        <f t="shared" si="7"/>
        <v xml:space="preserve"> </v>
      </c>
      <c r="D4044" s="79" t="str">
        <f t="shared" si="5"/>
        <v xml:space="preserve"> </v>
      </c>
      <c r="E4044" s="79" t="str">
        <f t="shared" si="6"/>
        <v xml:space="preserve"> </v>
      </c>
    </row>
    <row r="4045" spans="1:5" ht="12.5">
      <c r="A4045" s="81" t="str">
        <f t="shared" si="0"/>
        <v xml:space="preserve"> </v>
      </c>
      <c r="B4045" s="81" t="str">
        <f t="shared" si="1"/>
        <v xml:space="preserve"> </v>
      </c>
      <c r="C4045" s="79" t="str">
        <f t="shared" si="7"/>
        <v xml:space="preserve"> </v>
      </c>
      <c r="D4045" s="79" t="str">
        <f t="shared" si="5"/>
        <v xml:space="preserve"> </v>
      </c>
      <c r="E4045" s="79" t="str">
        <f t="shared" si="6"/>
        <v xml:space="preserve"> </v>
      </c>
    </row>
    <row r="4046" spans="1:5" ht="12.5">
      <c r="A4046" s="81" t="str">
        <f t="shared" si="0"/>
        <v xml:space="preserve"> </v>
      </c>
      <c r="B4046" s="81" t="str">
        <f t="shared" si="1"/>
        <v xml:space="preserve"> </v>
      </c>
      <c r="C4046" s="79" t="str">
        <f t="shared" si="7"/>
        <v xml:space="preserve"> </v>
      </c>
      <c r="D4046" s="79" t="str">
        <f t="shared" si="5"/>
        <v xml:space="preserve"> </v>
      </c>
      <c r="E4046" s="79" t="str">
        <f t="shared" si="6"/>
        <v xml:space="preserve"> </v>
      </c>
    </row>
    <row r="4047" spans="1:5" ht="12.5">
      <c r="A4047" s="81" t="str">
        <f t="shared" si="0"/>
        <v xml:space="preserve"> </v>
      </c>
      <c r="B4047" s="81" t="str">
        <f t="shared" si="1"/>
        <v xml:space="preserve"> </v>
      </c>
      <c r="C4047" s="79" t="str">
        <f t="shared" si="7"/>
        <v xml:space="preserve"> </v>
      </c>
      <c r="D4047" s="79" t="str">
        <f t="shared" si="5"/>
        <v xml:space="preserve"> </v>
      </c>
      <c r="E4047" s="79" t="str">
        <f t="shared" si="6"/>
        <v xml:space="preserve"> </v>
      </c>
    </row>
    <row r="4048" spans="1:5" ht="12.5">
      <c r="A4048" s="81" t="str">
        <f t="shared" si="0"/>
        <v xml:space="preserve"> </v>
      </c>
      <c r="B4048" s="81" t="str">
        <f t="shared" si="1"/>
        <v xml:space="preserve"> </v>
      </c>
      <c r="C4048" s="79" t="str">
        <f t="shared" si="7"/>
        <v xml:space="preserve"> </v>
      </c>
      <c r="D4048" s="79" t="str">
        <f t="shared" si="5"/>
        <v xml:space="preserve"> </v>
      </c>
      <c r="E4048" s="79" t="str">
        <f t="shared" si="6"/>
        <v xml:space="preserve"> </v>
      </c>
    </row>
    <row r="4049" spans="1:5" ht="12.5">
      <c r="A4049" s="81" t="str">
        <f t="shared" si="0"/>
        <v xml:space="preserve"> </v>
      </c>
      <c r="B4049" s="81" t="str">
        <f t="shared" si="1"/>
        <v xml:space="preserve"> </v>
      </c>
      <c r="C4049" s="79" t="str">
        <f t="shared" si="7"/>
        <v xml:space="preserve"> </v>
      </c>
      <c r="D4049" s="79" t="str">
        <f t="shared" si="5"/>
        <v xml:space="preserve"> </v>
      </c>
      <c r="E4049" s="79" t="str">
        <f t="shared" si="6"/>
        <v xml:space="preserve"> </v>
      </c>
    </row>
    <row r="4050" spans="1:5" ht="12.5">
      <c r="A4050" s="81" t="str">
        <f t="shared" si="0"/>
        <v xml:space="preserve"> </v>
      </c>
      <c r="B4050" s="81" t="str">
        <f t="shared" si="1"/>
        <v xml:space="preserve"> </v>
      </c>
      <c r="C4050" s="79" t="str">
        <f t="shared" si="7"/>
        <v xml:space="preserve"> </v>
      </c>
      <c r="D4050" s="79" t="str">
        <f t="shared" si="5"/>
        <v xml:space="preserve"> </v>
      </c>
      <c r="E4050" s="79" t="str">
        <f t="shared" si="6"/>
        <v xml:space="preserve"> </v>
      </c>
    </row>
    <row r="4051" spans="1:5" ht="12.5">
      <c r="A4051" s="81" t="str">
        <f t="shared" si="0"/>
        <v xml:space="preserve"> </v>
      </c>
      <c r="B4051" s="81" t="str">
        <f t="shared" si="1"/>
        <v xml:space="preserve"> </v>
      </c>
      <c r="C4051" s="79" t="str">
        <f t="shared" si="7"/>
        <v xml:space="preserve"> </v>
      </c>
      <c r="D4051" s="79" t="str">
        <f t="shared" si="5"/>
        <v xml:space="preserve"> </v>
      </c>
      <c r="E4051" s="79" t="str">
        <f t="shared" si="6"/>
        <v xml:space="preserve"> </v>
      </c>
    </row>
    <row r="4052" spans="1:5" ht="12.5">
      <c r="A4052" s="81" t="str">
        <f t="shared" si="0"/>
        <v xml:space="preserve"> </v>
      </c>
      <c r="B4052" s="81" t="str">
        <f t="shared" si="1"/>
        <v xml:space="preserve"> </v>
      </c>
      <c r="C4052" s="79" t="str">
        <f t="shared" si="7"/>
        <v xml:space="preserve"> </v>
      </c>
      <c r="D4052" s="79" t="str">
        <f t="shared" si="5"/>
        <v xml:space="preserve"> </v>
      </c>
      <c r="E4052" s="79" t="str">
        <f t="shared" si="6"/>
        <v xml:space="preserve"> </v>
      </c>
    </row>
    <row r="4053" spans="1:5" ht="12.5">
      <c r="A4053" s="81" t="str">
        <f t="shared" si="0"/>
        <v xml:space="preserve"> </v>
      </c>
      <c r="B4053" s="81" t="str">
        <f t="shared" si="1"/>
        <v xml:space="preserve"> </v>
      </c>
      <c r="C4053" s="79" t="str">
        <f t="shared" si="7"/>
        <v xml:space="preserve"> </v>
      </c>
      <c r="D4053" s="79" t="str">
        <f t="shared" si="5"/>
        <v xml:space="preserve"> </v>
      </c>
      <c r="E4053" s="79" t="str">
        <f t="shared" si="6"/>
        <v xml:space="preserve"> </v>
      </c>
    </row>
    <row r="4054" spans="1:5" ht="12.5">
      <c r="A4054" s="81" t="str">
        <f t="shared" si="0"/>
        <v xml:space="preserve"> </v>
      </c>
      <c r="B4054" s="81" t="str">
        <f t="shared" si="1"/>
        <v xml:space="preserve"> </v>
      </c>
      <c r="C4054" s="79" t="str">
        <f t="shared" si="7"/>
        <v xml:space="preserve"> </v>
      </c>
      <c r="D4054" s="79" t="str">
        <f t="shared" si="5"/>
        <v xml:space="preserve"> </v>
      </c>
      <c r="E4054" s="79" t="str">
        <f t="shared" si="6"/>
        <v xml:space="preserve"> </v>
      </c>
    </row>
    <row r="4055" spans="1:5" ht="12.5">
      <c r="A4055" s="81" t="str">
        <f t="shared" si="0"/>
        <v xml:space="preserve"> </v>
      </c>
      <c r="B4055" s="81" t="str">
        <f t="shared" si="1"/>
        <v xml:space="preserve"> </v>
      </c>
      <c r="C4055" s="79" t="str">
        <f t="shared" si="7"/>
        <v xml:space="preserve"> </v>
      </c>
      <c r="D4055" s="79" t="str">
        <f t="shared" si="5"/>
        <v xml:space="preserve"> </v>
      </c>
      <c r="E4055" s="79" t="str">
        <f t="shared" si="6"/>
        <v xml:space="preserve"> </v>
      </c>
    </row>
    <row r="4056" spans="1:5" ht="12.5">
      <c r="A4056" s="81" t="str">
        <f t="shared" si="0"/>
        <v xml:space="preserve"> </v>
      </c>
      <c r="B4056" s="81" t="str">
        <f t="shared" si="1"/>
        <v xml:space="preserve"> </v>
      </c>
      <c r="C4056" s="79" t="str">
        <f t="shared" si="7"/>
        <v xml:space="preserve"> </v>
      </c>
      <c r="D4056" s="79" t="str">
        <f t="shared" si="5"/>
        <v xml:space="preserve"> </v>
      </c>
      <c r="E4056" s="79" t="str">
        <f t="shared" si="6"/>
        <v xml:space="preserve"> </v>
      </c>
    </row>
    <row r="4057" spans="1:5" ht="12.5">
      <c r="A4057" s="81" t="str">
        <f t="shared" si="0"/>
        <v xml:space="preserve"> </v>
      </c>
      <c r="B4057" s="81" t="str">
        <f t="shared" si="1"/>
        <v xml:space="preserve"> </v>
      </c>
      <c r="C4057" s="79" t="str">
        <f t="shared" si="7"/>
        <v xml:space="preserve"> </v>
      </c>
      <c r="D4057" s="79" t="str">
        <f t="shared" si="5"/>
        <v xml:space="preserve"> </v>
      </c>
      <c r="E4057" s="79" t="str">
        <f t="shared" si="6"/>
        <v xml:space="preserve"> </v>
      </c>
    </row>
    <row r="4058" spans="1:5" ht="12.5">
      <c r="A4058" s="81" t="str">
        <f t="shared" si="0"/>
        <v xml:space="preserve"> </v>
      </c>
      <c r="B4058" s="81" t="str">
        <f t="shared" si="1"/>
        <v xml:space="preserve"> </v>
      </c>
      <c r="C4058" s="79" t="str">
        <f t="shared" si="7"/>
        <v xml:space="preserve"> </v>
      </c>
      <c r="D4058" s="79" t="str">
        <f t="shared" si="5"/>
        <v xml:space="preserve"> </v>
      </c>
      <c r="E4058" s="79" t="str">
        <f t="shared" si="6"/>
        <v xml:space="preserve"> </v>
      </c>
    </row>
    <row r="4059" spans="1:5" ht="12.5">
      <c r="A4059" s="81" t="str">
        <f t="shared" si="0"/>
        <v xml:space="preserve"> </v>
      </c>
      <c r="B4059" s="81" t="str">
        <f t="shared" si="1"/>
        <v xml:space="preserve"> </v>
      </c>
      <c r="C4059" s="79" t="str">
        <f t="shared" si="7"/>
        <v xml:space="preserve"> </v>
      </c>
      <c r="D4059" s="79" t="str">
        <f t="shared" si="5"/>
        <v xml:space="preserve"> </v>
      </c>
      <c r="E4059" s="79" t="str">
        <f t="shared" si="6"/>
        <v xml:space="preserve"> </v>
      </c>
    </row>
    <row r="4060" spans="1:5" ht="12.5">
      <c r="A4060" s="81" t="str">
        <f t="shared" si="0"/>
        <v xml:space="preserve"> </v>
      </c>
      <c r="B4060" s="81" t="str">
        <f t="shared" si="1"/>
        <v xml:space="preserve"> </v>
      </c>
      <c r="C4060" s="79" t="str">
        <f t="shared" si="7"/>
        <v xml:space="preserve"> </v>
      </c>
      <c r="D4060" s="79" t="str">
        <f t="shared" si="5"/>
        <v xml:space="preserve"> </v>
      </c>
      <c r="E4060" s="79" t="str">
        <f t="shared" si="6"/>
        <v xml:space="preserve"> </v>
      </c>
    </row>
    <row r="4061" spans="1:5" ht="12.5">
      <c r="A4061" s="81" t="str">
        <f t="shared" si="0"/>
        <v xml:space="preserve"> </v>
      </c>
      <c r="B4061" s="81" t="str">
        <f t="shared" si="1"/>
        <v xml:space="preserve"> </v>
      </c>
      <c r="C4061" s="79" t="str">
        <f t="shared" si="7"/>
        <v xml:space="preserve"> </v>
      </c>
      <c r="D4061" s="79" t="str">
        <f t="shared" si="5"/>
        <v xml:space="preserve"> </v>
      </c>
      <c r="E4061" s="79" t="str">
        <f t="shared" si="6"/>
        <v xml:space="preserve"> </v>
      </c>
    </row>
    <row r="4062" spans="1:5" ht="12.5">
      <c r="A4062" s="81" t="str">
        <f t="shared" si="0"/>
        <v xml:space="preserve"> </v>
      </c>
      <c r="B4062" s="81" t="str">
        <f t="shared" si="1"/>
        <v xml:space="preserve"> </v>
      </c>
      <c r="C4062" s="79" t="str">
        <f t="shared" si="7"/>
        <v xml:space="preserve"> </v>
      </c>
      <c r="D4062" s="79" t="str">
        <f t="shared" si="5"/>
        <v xml:space="preserve"> </v>
      </c>
      <c r="E4062" s="79" t="str">
        <f t="shared" si="6"/>
        <v xml:space="preserve"> </v>
      </c>
    </row>
    <row r="4063" spans="1:5" ht="12.5">
      <c r="A4063" s="81" t="str">
        <f t="shared" si="0"/>
        <v xml:space="preserve"> </v>
      </c>
      <c r="B4063" s="81" t="str">
        <f t="shared" si="1"/>
        <v xml:space="preserve"> </v>
      </c>
      <c r="C4063" s="79" t="str">
        <f t="shared" si="7"/>
        <v xml:space="preserve"> </v>
      </c>
      <c r="D4063" s="79" t="str">
        <f t="shared" si="5"/>
        <v xml:space="preserve"> </v>
      </c>
      <c r="E4063" s="79" t="str">
        <f t="shared" si="6"/>
        <v xml:space="preserve"> </v>
      </c>
    </row>
    <row r="4064" spans="1:5" ht="12.5">
      <c r="A4064" s="81" t="str">
        <f t="shared" si="0"/>
        <v xml:space="preserve"> </v>
      </c>
      <c r="B4064" s="81" t="str">
        <f t="shared" si="1"/>
        <v xml:space="preserve"> </v>
      </c>
      <c r="C4064" s="79" t="str">
        <f t="shared" si="7"/>
        <v xml:space="preserve"> </v>
      </c>
      <c r="D4064" s="79" t="str">
        <f t="shared" si="5"/>
        <v xml:space="preserve"> </v>
      </c>
      <c r="E4064" s="79" t="str">
        <f t="shared" si="6"/>
        <v xml:space="preserve"> </v>
      </c>
    </row>
    <row r="4065" spans="1:5" ht="12.5">
      <c r="A4065" s="81" t="str">
        <f t="shared" si="0"/>
        <v xml:space="preserve"> </v>
      </c>
      <c r="B4065" s="81" t="str">
        <f t="shared" si="1"/>
        <v xml:space="preserve"> </v>
      </c>
      <c r="C4065" s="79" t="str">
        <f t="shared" si="7"/>
        <v xml:space="preserve"> </v>
      </c>
      <c r="D4065" s="79" t="str">
        <f t="shared" si="5"/>
        <v xml:space="preserve"> </v>
      </c>
      <c r="E4065" s="79" t="str">
        <f t="shared" si="6"/>
        <v xml:space="preserve"> </v>
      </c>
    </row>
    <row r="4066" spans="1:5" ht="12.5">
      <c r="A4066" s="81" t="str">
        <f t="shared" si="0"/>
        <v xml:space="preserve"> </v>
      </c>
      <c r="B4066" s="81" t="str">
        <f t="shared" si="1"/>
        <v xml:space="preserve"> </v>
      </c>
      <c r="C4066" s="79" t="str">
        <f t="shared" si="7"/>
        <v xml:space="preserve"> </v>
      </c>
      <c r="D4066" s="79" t="str">
        <f t="shared" si="5"/>
        <v xml:space="preserve"> </v>
      </c>
      <c r="E4066" s="79" t="str">
        <f t="shared" si="6"/>
        <v xml:space="preserve"> </v>
      </c>
    </row>
    <row r="4067" spans="1:5" ht="12.5">
      <c r="A4067" s="81" t="str">
        <f t="shared" si="0"/>
        <v xml:space="preserve"> </v>
      </c>
      <c r="B4067" s="81" t="str">
        <f t="shared" si="1"/>
        <v xml:space="preserve"> </v>
      </c>
      <c r="C4067" s="79" t="str">
        <f t="shared" si="7"/>
        <v xml:space="preserve"> </v>
      </c>
      <c r="D4067" s="79" t="str">
        <f t="shared" si="5"/>
        <v xml:space="preserve"> </v>
      </c>
      <c r="E4067" s="79" t="str">
        <f t="shared" si="6"/>
        <v xml:space="preserve"> </v>
      </c>
    </row>
    <row r="4068" spans="1:5" ht="12.5">
      <c r="A4068" s="81" t="str">
        <f t="shared" si="0"/>
        <v xml:space="preserve"> </v>
      </c>
      <c r="B4068" s="81" t="str">
        <f t="shared" si="1"/>
        <v xml:space="preserve"> </v>
      </c>
      <c r="C4068" s="79" t="str">
        <f t="shared" si="7"/>
        <v xml:space="preserve"> </v>
      </c>
      <c r="D4068" s="79" t="str">
        <f t="shared" si="5"/>
        <v xml:space="preserve"> </v>
      </c>
      <c r="E4068" s="79" t="str">
        <f t="shared" si="6"/>
        <v xml:space="preserve"> </v>
      </c>
    </row>
    <row r="4069" spans="1:5" ht="12.5">
      <c r="A4069" s="81" t="str">
        <f t="shared" si="0"/>
        <v xml:space="preserve"> </v>
      </c>
      <c r="B4069" s="81" t="str">
        <f t="shared" si="1"/>
        <v xml:space="preserve"> </v>
      </c>
      <c r="C4069" s="79" t="str">
        <f t="shared" si="7"/>
        <v xml:space="preserve"> </v>
      </c>
      <c r="D4069" s="79" t="str">
        <f t="shared" si="5"/>
        <v xml:space="preserve"> </v>
      </c>
      <c r="E4069" s="79" t="str">
        <f t="shared" si="6"/>
        <v xml:space="preserve"> </v>
      </c>
    </row>
    <row r="4070" spans="1:5" ht="12.5">
      <c r="A4070" s="81" t="str">
        <f t="shared" si="0"/>
        <v xml:space="preserve"> </v>
      </c>
      <c r="B4070" s="81" t="str">
        <f t="shared" si="1"/>
        <v xml:space="preserve"> </v>
      </c>
      <c r="C4070" s="79" t="str">
        <f t="shared" si="7"/>
        <v xml:space="preserve"> </v>
      </c>
      <c r="D4070" s="79" t="str">
        <f t="shared" si="5"/>
        <v xml:space="preserve"> </v>
      </c>
      <c r="E4070" s="79" t="str">
        <f t="shared" si="6"/>
        <v xml:space="preserve"> </v>
      </c>
    </row>
    <row r="4071" spans="1:5" ht="12.5">
      <c r="A4071" s="81" t="str">
        <f t="shared" si="0"/>
        <v xml:space="preserve"> </v>
      </c>
      <c r="B4071" s="81" t="str">
        <f t="shared" si="1"/>
        <v xml:space="preserve"> </v>
      </c>
      <c r="C4071" s="79" t="str">
        <f t="shared" si="7"/>
        <v xml:space="preserve"> </v>
      </c>
      <c r="D4071" s="79" t="str">
        <f t="shared" si="5"/>
        <v xml:space="preserve"> </v>
      </c>
      <c r="E4071" s="79" t="str">
        <f t="shared" si="6"/>
        <v xml:space="preserve"> </v>
      </c>
    </row>
    <row r="4072" spans="1:5" ht="12.5">
      <c r="A4072" s="81" t="str">
        <f t="shared" si="0"/>
        <v xml:space="preserve"> </v>
      </c>
      <c r="B4072" s="81" t="str">
        <f t="shared" si="1"/>
        <v xml:space="preserve"> </v>
      </c>
      <c r="C4072" s="79" t="str">
        <f t="shared" si="7"/>
        <v xml:space="preserve"> </v>
      </c>
      <c r="D4072" s="79" t="str">
        <f t="shared" si="5"/>
        <v xml:space="preserve"> </v>
      </c>
      <c r="E4072" s="79" t="str">
        <f t="shared" si="6"/>
        <v xml:space="preserve"> </v>
      </c>
    </row>
    <row r="4073" spans="1:5" ht="12.5">
      <c r="A4073" s="81" t="str">
        <f t="shared" si="0"/>
        <v xml:space="preserve"> </v>
      </c>
      <c r="B4073" s="81" t="str">
        <f t="shared" si="1"/>
        <v xml:space="preserve"> </v>
      </c>
      <c r="C4073" s="79" t="str">
        <f t="shared" si="7"/>
        <v xml:space="preserve"> </v>
      </c>
      <c r="D4073" s="79" t="str">
        <f t="shared" si="5"/>
        <v xml:space="preserve"> </v>
      </c>
      <c r="E4073" s="79" t="str">
        <f t="shared" si="6"/>
        <v xml:space="preserve"> </v>
      </c>
    </row>
    <row r="4074" spans="1:5" ht="12.5">
      <c r="A4074" s="81" t="str">
        <f t="shared" si="0"/>
        <v xml:space="preserve"> </v>
      </c>
      <c r="B4074" s="81" t="str">
        <f t="shared" si="1"/>
        <v xml:space="preserve"> </v>
      </c>
      <c r="C4074" s="79" t="str">
        <f t="shared" si="7"/>
        <v xml:space="preserve"> </v>
      </c>
      <c r="D4074" s="79" t="str">
        <f t="shared" si="5"/>
        <v xml:space="preserve"> </v>
      </c>
      <c r="E4074" s="79" t="str">
        <f t="shared" si="6"/>
        <v xml:space="preserve"> </v>
      </c>
    </row>
    <row r="4075" spans="1:5" ht="12.5">
      <c r="A4075" s="81" t="str">
        <f t="shared" si="0"/>
        <v xml:space="preserve"> </v>
      </c>
      <c r="B4075" s="81" t="str">
        <f t="shared" si="1"/>
        <v xml:space="preserve"> </v>
      </c>
      <c r="C4075" s="79" t="str">
        <f t="shared" si="7"/>
        <v xml:space="preserve"> </v>
      </c>
      <c r="D4075" s="79" t="str">
        <f t="shared" si="5"/>
        <v xml:space="preserve"> </v>
      </c>
      <c r="E4075" s="79" t="str">
        <f t="shared" si="6"/>
        <v xml:space="preserve"> </v>
      </c>
    </row>
    <row r="4076" spans="1:5" ht="12.5">
      <c r="A4076" s="81" t="str">
        <f t="shared" si="0"/>
        <v xml:space="preserve"> </v>
      </c>
      <c r="B4076" s="81" t="str">
        <f t="shared" si="1"/>
        <v xml:space="preserve"> </v>
      </c>
      <c r="C4076" s="79" t="str">
        <f t="shared" si="7"/>
        <v xml:space="preserve"> </v>
      </c>
      <c r="D4076" s="79" t="str">
        <f t="shared" si="5"/>
        <v xml:space="preserve"> </v>
      </c>
      <c r="E4076" s="79" t="str">
        <f t="shared" si="6"/>
        <v xml:space="preserve"> </v>
      </c>
    </row>
    <row r="4077" spans="1:5" ht="12.5">
      <c r="A4077" s="81" t="str">
        <f t="shared" si="0"/>
        <v xml:space="preserve"> </v>
      </c>
      <c r="B4077" s="81" t="str">
        <f t="shared" si="1"/>
        <v xml:space="preserve"> </v>
      </c>
      <c r="C4077" s="79" t="str">
        <f t="shared" si="7"/>
        <v xml:space="preserve"> </v>
      </c>
      <c r="D4077" s="79" t="str">
        <f t="shared" si="5"/>
        <v xml:space="preserve"> </v>
      </c>
      <c r="E4077" s="79" t="str">
        <f t="shared" si="6"/>
        <v xml:space="preserve"> </v>
      </c>
    </row>
    <row r="4078" spans="1:5" ht="12.5">
      <c r="A4078" s="81" t="str">
        <f t="shared" si="0"/>
        <v xml:space="preserve"> </v>
      </c>
      <c r="B4078" s="81" t="str">
        <f t="shared" si="1"/>
        <v xml:space="preserve"> </v>
      </c>
      <c r="C4078" s="79" t="str">
        <f t="shared" si="7"/>
        <v xml:space="preserve"> </v>
      </c>
      <c r="D4078" s="79" t="str">
        <f t="shared" si="5"/>
        <v xml:space="preserve"> </v>
      </c>
      <c r="E4078" s="79" t="str">
        <f t="shared" si="6"/>
        <v xml:space="preserve"> </v>
      </c>
    </row>
    <row r="4079" spans="1:5" ht="12.5">
      <c r="A4079" s="81" t="str">
        <f t="shared" si="0"/>
        <v xml:space="preserve"> </v>
      </c>
      <c r="B4079" s="81" t="str">
        <f t="shared" si="1"/>
        <v xml:space="preserve"> </v>
      </c>
      <c r="C4079" s="79" t="str">
        <f t="shared" si="7"/>
        <v xml:space="preserve"> </v>
      </c>
      <c r="D4079" s="79" t="str">
        <f t="shared" si="5"/>
        <v xml:space="preserve"> </v>
      </c>
      <c r="E4079" s="79" t="str">
        <f t="shared" si="6"/>
        <v xml:space="preserve"> </v>
      </c>
    </row>
    <row r="4080" spans="1:5" ht="12.5">
      <c r="A4080" s="81" t="str">
        <f t="shared" si="0"/>
        <v xml:space="preserve"> </v>
      </c>
      <c r="B4080" s="81" t="str">
        <f t="shared" si="1"/>
        <v xml:space="preserve"> </v>
      </c>
      <c r="C4080" s="79" t="str">
        <f t="shared" si="7"/>
        <v xml:space="preserve"> </v>
      </c>
      <c r="D4080" s="79" t="str">
        <f t="shared" si="5"/>
        <v xml:space="preserve"> </v>
      </c>
      <c r="E4080" s="79" t="str">
        <f t="shared" si="6"/>
        <v xml:space="preserve"> </v>
      </c>
    </row>
    <row r="4081" spans="1:5" ht="12.5">
      <c r="A4081" s="81" t="str">
        <f t="shared" si="0"/>
        <v xml:space="preserve"> </v>
      </c>
      <c r="B4081" s="81" t="str">
        <f t="shared" si="1"/>
        <v xml:space="preserve"> </v>
      </c>
      <c r="C4081" s="79" t="str">
        <f t="shared" si="7"/>
        <v xml:space="preserve"> </v>
      </c>
      <c r="D4081" s="79" t="str">
        <f t="shared" si="5"/>
        <v xml:space="preserve"> </v>
      </c>
      <c r="E4081" s="79" t="str">
        <f t="shared" si="6"/>
        <v xml:space="preserve"> </v>
      </c>
    </row>
    <row r="4082" spans="1:5" ht="12.5">
      <c r="A4082" s="81" t="str">
        <f t="shared" si="0"/>
        <v xml:space="preserve"> </v>
      </c>
      <c r="B4082" s="81" t="str">
        <f t="shared" si="1"/>
        <v xml:space="preserve"> </v>
      </c>
      <c r="C4082" s="79" t="str">
        <f t="shared" si="7"/>
        <v xml:space="preserve"> </v>
      </c>
      <c r="D4082" s="79" t="str">
        <f t="shared" si="5"/>
        <v xml:space="preserve"> </v>
      </c>
      <c r="E4082" s="79" t="str">
        <f t="shared" si="6"/>
        <v xml:space="preserve"> </v>
      </c>
    </row>
    <row r="4083" spans="1:5" ht="12.5">
      <c r="A4083" s="81" t="str">
        <f t="shared" si="0"/>
        <v xml:space="preserve"> </v>
      </c>
      <c r="B4083" s="81" t="str">
        <f t="shared" si="1"/>
        <v xml:space="preserve"> </v>
      </c>
      <c r="C4083" s="79" t="str">
        <f t="shared" si="7"/>
        <v xml:space="preserve"> </v>
      </c>
      <c r="D4083" s="79" t="str">
        <f t="shared" si="5"/>
        <v xml:space="preserve"> </v>
      </c>
      <c r="E4083" s="79" t="str">
        <f t="shared" si="6"/>
        <v xml:space="preserve"> </v>
      </c>
    </row>
    <row r="4084" spans="1:5" ht="12.5">
      <c r="A4084" s="81" t="str">
        <f t="shared" si="0"/>
        <v xml:space="preserve"> </v>
      </c>
      <c r="B4084" s="81" t="str">
        <f t="shared" si="1"/>
        <v xml:space="preserve"> </v>
      </c>
      <c r="C4084" s="79" t="str">
        <f t="shared" si="7"/>
        <v xml:space="preserve"> </v>
      </c>
      <c r="D4084" s="79" t="str">
        <f t="shared" si="5"/>
        <v xml:space="preserve"> </v>
      </c>
      <c r="E4084" s="79" t="str">
        <f t="shared" si="6"/>
        <v xml:space="preserve"> </v>
      </c>
    </row>
    <row r="4085" spans="1:5" ht="12.5">
      <c r="A4085" s="81" t="str">
        <f t="shared" si="0"/>
        <v xml:space="preserve"> </v>
      </c>
      <c r="B4085" s="81" t="str">
        <f t="shared" si="1"/>
        <v xml:space="preserve"> </v>
      </c>
      <c r="C4085" s="79" t="str">
        <f t="shared" si="7"/>
        <v xml:space="preserve"> </v>
      </c>
      <c r="D4085" s="79" t="str">
        <f t="shared" si="5"/>
        <v xml:space="preserve"> </v>
      </c>
      <c r="E4085" s="79" t="str">
        <f t="shared" si="6"/>
        <v xml:space="preserve"> </v>
      </c>
    </row>
    <row r="4086" spans="1:5" ht="12.5">
      <c r="A4086" s="81" t="str">
        <f t="shared" si="0"/>
        <v xml:space="preserve"> </v>
      </c>
      <c r="B4086" s="81" t="str">
        <f t="shared" si="1"/>
        <v xml:space="preserve"> </v>
      </c>
      <c r="C4086" s="79" t="str">
        <f t="shared" si="7"/>
        <v xml:space="preserve"> </v>
      </c>
      <c r="D4086" s="79" t="str">
        <f t="shared" si="5"/>
        <v xml:space="preserve"> </v>
      </c>
      <c r="E4086" s="79" t="str">
        <f t="shared" si="6"/>
        <v xml:space="preserve"> </v>
      </c>
    </row>
    <row r="4087" spans="1:5" ht="12.5">
      <c r="A4087" s="81" t="str">
        <f t="shared" si="0"/>
        <v xml:space="preserve"> </v>
      </c>
      <c r="B4087" s="81" t="str">
        <f t="shared" si="1"/>
        <v xml:space="preserve"> </v>
      </c>
      <c r="C4087" s="79" t="str">
        <f t="shared" si="7"/>
        <v xml:space="preserve"> </v>
      </c>
      <c r="D4087" s="79" t="str">
        <f t="shared" si="5"/>
        <v xml:space="preserve"> </v>
      </c>
      <c r="E4087" s="79" t="str">
        <f t="shared" si="6"/>
        <v xml:space="preserve"> </v>
      </c>
    </row>
    <row r="4088" spans="1:5" ht="12.5">
      <c r="A4088" s="81" t="str">
        <f t="shared" si="0"/>
        <v xml:space="preserve"> </v>
      </c>
      <c r="B4088" s="81" t="str">
        <f t="shared" si="1"/>
        <v xml:space="preserve"> </v>
      </c>
      <c r="C4088" s="79" t="str">
        <f t="shared" si="7"/>
        <v xml:space="preserve"> </v>
      </c>
      <c r="D4088" s="79" t="str">
        <f t="shared" si="5"/>
        <v xml:space="preserve"> </v>
      </c>
      <c r="E4088" s="79" t="str">
        <f t="shared" si="6"/>
        <v xml:space="preserve"> </v>
      </c>
    </row>
    <row r="4089" spans="1:5" ht="12.5">
      <c r="A4089" s="81" t="str">
        <f t="shared" si="0"/>
        <v xml:space="preserve"> </v>
      </c>
      <c r="B4089" s="81" t="str">
        <f t="shared" si="1"/>
        <v xml:space="preserve"> </v>
      </c>
      <c r="C4089" s="79" t="str">
        <f t="shared" si="7"/>
        <v xml:space="preserve"> </v>
      </c>
      <c r="D4089" s="79" t="str">
        <f t="shared" si="5"/>
        <v xml:space="preserve"> </v>
      </c>
      <c r="E4089" s="79" t="str">
        <f t="shared" si="6"/>
        <v xml:space="preserve"> </v>
      </c>
    </row>
    <row r="4090" spans="1:5" ht="12.5">
      <c r="A4090" s="81" t="str">
        <f t="shared" si="0"/>
        <v xml:space="preserve"> </v>
      </c>
      <c r="B4090" s="81" t="str">
        <f t="shared" si="1"/>
        <v xml:space="preserve"> </v>
      </c>
      <c r="C4090" s="79" t="str">
        <f t="shared" si="7"/>
        <v xml:space="preserve"> </v>
      </c>
      <c r="D4090" s="79" t="str">
        <f t="shared" si="5"/>
        <v xml:space="preserve"> </v>
      </c>
      <c r="E4090" s="79" t="str">
        <f t="shared" si="6"/>
        <v xml:space="preserve"> </v>
      </c>
    </row>
    <row r="4091" spans="1:5" ht="12.5">
      <c r="A4091" s="81" t="str">
        <f t="shared" si="0"/>
        <v xml:space="preserve"> </v>
      </c>
      <c r="B4091" s="81" t="str">
        <f t="shared" si="1"/>
        <v xml:space="preserve"> </v>
      </c>
      <c r="C4091" s="79" t="str">
        <f t="shared" si="7"/>
        <v xml:space="preserve"> </v>
      </c>
      <c r="D4091" s="79" t="str">
        <f t="shared" si="5"/>
        <v xml:space="preserve"> </v>
      </c>
      <c r="E4091" s="79" t="str">
        <f t="shared" si="6"/>
        <v xml:space="preserve"> </v>
      </c>
    </row>
    <row r="4092" spans="1:5" ht="12.5">
      <c r="A4092" s="81" t="str">
        <f t="shared" si="0"/>
        <v xml:space="preserve"> </v>
      </c>
      <c r="B4092" s="81" t="str">
        <f t="shared" si="1"/>
        <v xml:space="preserve"> </v>
      </c>
      <c r="C4092" s="79" t="str">
        <f t="shared" si="7"/>
        <v xml:space="preserve"> </v>
      </c>
      <c r="D4092" s="79" t="str">
        <f t="shared" si="5"/>
        <v xml:space="preserve"> </v>
      </c>
      <c r="E4092" s="79" t="str">
        <f t="shared" si="6"/>
        <v xml:space="preserve"> </v>
      </c>
    </row>
    <row r="4093" spans="1:5" ht="12.5">
      <c r="A4093" s="81" t="str">
        <f t="shared" si="0"/>
        <v xml:space="preserve"> </v>
      </c>
      <c r="B4093" s="81" t="str">
        <f t="shared" si="1"/>
        <v xml:space="preserve"> </v>
      </c>
      <c r="C4093" s="79" t="str">
        <f t="shared" si="7"/>
        <v xml:space="preserve"> </v>
      </c>
      <c r="D4093" s="79" t="str">
        <f t="shared" si="5"/>
        <v xml:space="preserve"> </v>
      </c>
      <c r="E4093" s="79" t="str">
        <f t="shared" si="6"/>
        <v xml:space="preserve"> </v>
      </c>
    </row>
    <row r="4094" spans="1:5" ht="12.5">
      <c r="A4094" s="81" t="str">
        <f t="shared" si="0"/>
        <v xml:space="preserve"> </v>
      </c>
      <c r="B4094" s="81" t="str">
        <f t="shared" si="1"/>
        <v xml:space="preserve"> </v>
      </c>
      <c r="C4094" s="79" t="str">
        <f t="shared" si="7"/>
        <v xml:space="preserve"> </v>
      </c>
      <c r="D4094" s="79" t="str">
        <f t="shared" si="5"/>
        <v xml:space="preserve"> </v>
      </c>
      <c r="E4094" s="79" t="str">
        <f t="shared" si="6"/>
        <v xml:space="preserve"> </v>
      </c>
    </row>
    <row r="4095" spans="1:5" ht="12.5">
      <c r="A4095" s="81" t="str">
        <f t="shared" si="0"/>
        <v xml:space="preserve"> </v>
      </c>
      <c r="B4095" s="81" t="str">
        <f t="shared" si="1"/>
        <v xml:space="preserve"> </v>
      </c>
      <c r="C4095" s="79" t="str">
        <f t="shared" si="7"/>
        <v xml:space="preserve"> </v>
      </c>
      <c r="D4095" s="79" t="str">
        <f t="shared" si="5"/>
        <v xml:space="preserve"> </v>
      </c>
      <c r="E4095" s="79" t="str">
        <f t="shared" si="6"/>
        <v xml:space="preserve"> </v>
      </c>
    </row>
    <row r="4096" spans="1:5" ht="12.5">
      <c r="A4096" s="81" t="str">
        <f t="shared" si="0"/>
        <v xml:space="preserve"> </v>
      </c>
      <c r="B4096" s="81" t="str">
        <f t="shared" si="1"/>
        <v xml:space="preserve"> </v>
      </c>
      <c r="C4096" s="79" t="str">
        <f t="shared" si="7"/>
        <v xml:space="preserve"> </v>
      </c>
      <c r="D4096" s="79" t="str">
        <f t="shared" si="5"/>
        <v xml:space="preserve"> </v>
      </c>
      <c r="E4096" s="79" t="str">
        <f t="shared" si="6"/>
        <v xml:space="preserve"> </v>
      </c>
    </row>
    <row r="4097" spans="1:5" ht="12.5">
      <c r="A4097" s="81" t="str">
        <f t="shared" si="0"/>
        <v xml:space="preserve"> </v>
      </c>
      <c r="B4097" s="81" t="str">
        <f t="shared" si="1"/>
        <v xml:space="preserve"> </v>
      </c>
      <c r="C4097" s="79" t="str">
        <f t="shared" si="7"/>
        <v xml:space="preserve"> </v>
      </c>
      <c r="D4097" s="79" t="str">
        <f t="shared" si="5"/>
        <v xml:space="preserve"> </v>
      </c>
      <c r="E4097" s="79" t="str">
        <f t="shared" si="6"/>
        <v xml:space="preserve"> </v>
      </c>
    </row>
    <row r="4098" spans="1:5" ht="12.5">
      <c r="A4098" s="81" t="str">
        <f t="shared" si="0"/>
        <v xml:space="preserve"> </v>
      </c>
      <c r="B4098" s="81" t="str">
        <f t="shared" si="1"/>
        <v xml:space="preserve"> </v>
      </c>
      <c r="C4098" s="79" t="str">
        <f t="shared" si="7"/>
        <v xml:space="preserve"> </v>
      </c>
      <c r="D4098" s="79" t="str">
        <f t="shared" si="5"/>
        <v xml:space="preserve"> </v>
      </c>
      <c r="E4098" s="79" t="str">
        <f t="shared" si="6"/>
        <v xml:space="preserve"> </v>
      </c>
    </row>
    <row r="4099" spans="1:5" ht="12.5">
      <c r="A4099" s="81" t="str">
        <f t="shared" si="0"/>
        <v xml:space="preserve"> </v>
      </c>
      <c r="B4099" s="81" t="str">
        <f t="shared" si="1"/>
        <v xml:space="preserve"> </v>
      </c>
      <c r="C4099" s="79" t="str">
        <f t="shared" si="7"/>
        <v xml:space="preserve"> </v>
      </c>
      <c r="D4099" s="79" t="str">
        <f t="shared" si="5"/>
        <v xml:space="preserve"> </v>
      </c>
      <c r="E4099" s="79" t="str">
        <f t="shared" si="6"/>
        <v xml:space="preserve"> </v>
      </c>
    </row>
    <row r="4100" spans="1:5" ht="12.5">
      <c r="A4100" s="81" t="str">
        <f t="shared" si="0"/>
        <v xml:space="preserve"> </v>
      </c>
      <c r="B4100" s="81" t="str">
        <f t="shared" si="1"/>
        <v xml:space="preserve"> </v>
      </c>
      <c r="C4100" s="79" t="str">
        <f t="shared" si="7"/>
        <v xml:space="preserve"> </v>
      </c>
      <c r="D4100" s="79" t="str">
        <f t="shared" si="5"/>
        <v xml:space="preserve"> </v>
      </c>
      <c r="E4100" s="79" t="str">
        <f t="shared" si="6"/>
        <v xml:space="preserve"> </v>
      </c>
    </row>
    <row r="4101" spans="1:5" ht="12.5">
      <c r="A4101" s="81" t="str">
        <f t="shared" si="0"/>
        <v xml:space="preserve"> </v>
      </c>
      <c r="B4101" s="81" t="str">
        <f t="shared" si="1"/>
        <v xml:space="preserve"> </v>
      </c>
      <c r="C4101" s="79" t="str">
        <f t="shared" si="7"/>
        <v xml:space="preserve"> </v>
      </c>
      <c r="D4101" s="79" t="str">
        <f t="shared" si="5"/>
        <v xml:space="preserve"> </v>
      </c>
      <c r="E4101" s="79" t="str">
        <f t="shared" si="6"/>
        <v xml:space="preserve"> </v>
      </c>
    </row>
    <row r="4102" spans="1:5" ht="12.5">
      <c r="A4102" s="81" t="str">
        <f t="shared" si="0"/>
        <v xml:space="preserve"> </v>
      </c>
      <c r="B4102" s="81" t="str">
        <f t="shared" si="1"/>
        <v xml:space="preserve"> </v>
      </c>
      <c r="C4102" s="79" t="str">
        <f t="shared" si="7"/>
        <v xml:space="preserve"> </v>
      </c>
      <c r="D4102" s="79" t="str">
        <f t="shared" si="5"/>
        <v xml:space="preserve"> </v>
      </c>
      <c r="E4102" s="79" t="str">
        <f t="shared" si="6"/>
        <v xml:space="preserve"> </v>
      </c>
    </row>
    <row r="4103" spans="1:5" ht="12.5">
      <c r="A4103" s="81" t="str">
        <f t="shared" si="0"/>
        <v xml:space="preserve"> </v>
      </c>
      <c r="B4103" s="81" t="str">
        <f t="shared" si="1"/>
        <v xml:space="preserve"> </v>
      </c>
      <c r="C4103" s="79" t="str">
        <f t="shared" si="7"/>
        <v xml:space="preserve"> </v>
      </c>
      <c r="D4103" s="79" t="str">
        <f t="shared" si="5"/>
        <v xml:space="preserve"> </v>
      </c>
      <c r="E4103" s="79" t="str">
        <f t="shared" si="6"/>
        <v xml:space="preserve"> </v>
      </c>
    </row>
    <row r="4104" spans="1:5" ht="12.5">
      <c r="A4104" s="81" t="str">
        <f t="shared" si="0"/>
        <v xml:space="preserve"> </v>
      </c>
      <c r="B4104" s="81" t="str">
        <f t="shared" si="1"/>
        <v xml:space="preserve"> </v>
      </c>
      <c r="C4104" s="79" t="str">
        <f t="shared" si="7"/>
        <v xml:space="preserve"> </v>
      </c>
      <c r="D4104" s="79" t="str">
        <f t="shared" si="5"/>
        <v xml:space="preserve"> </v>
      </c>
      <c r="E4104" s="79" t="str">
        <f t="shared" si="6"/>
        <v xml:space="preserve"> </v>
      </c>
    </row>
    <row r="4105" spans="1:5" ht="12.5">
      <c r="A4105" s="81" t="str">
        <f t="shared" si="0"/>
        <v xml:space="preserve"> </v>
      </c>
      <c r="B4105" s="81" t="str">
        <f t="shared" si="1"/>
        <v xml:space="preserve"> </v>
      </c>
      <c r="C4105" s="79" t="str">
        <f t="shared" si="7"/>
        <v xml:space="preserve"> </v>
      </c>
      <c r="D4105" s="79" t="str">
        <f t="shared" si="5"/>
        <v xml:space="preserve"> </v>
      </c>
      <c r="E4105" s="79" t="str">
        <f t="shared" si="6"/>
        <v xml:space="preserve"> </v>
      </c>
    </row>
    <row r="4106" spans="1:5" ht="12.5">
      <c r="A4106" s="81" t="str">
        <f t="shared" si="0"/>
        <v xml:space="preserve"> </v>
      </c>
      <c r="B4106" s="81" t="str">
        <f t="shared" si="1"/>
        <v xml:space="preserve"> </v>
      </c>
      <c r="C4106" s="79" t="str">
        <f t="shared" si="7"/>
        <v xml:space="preserve"> </v>
      </c>
      <c r="D4106" s="79" t="str">
        <f t="shared" si="5"/>
        <v xml:space="preserve"> </v>
      </c>
      <c r="E4106" s="79" t="str">
        <f t="shared" si="6"/>
        <v xml:space="preserve"> </v>
      </c>
    </row>
    <row r="4107" spans="1:5" ht="12.5">
      <c r="A4107" s="81" t="str">
        <f t="shared" si="0"/>
        <v xml:space="preserve"> </v>
      </c>
      <c r="B4107" s="81" t="str">
        <f t="shared" si="1"/>
        <v xml:space="preserve"> </v>
      </c>
      <c r="C4107" s="79" t="str">
        <f t="shared" si="7"/>
        <v xml:space="preserve"> </v>
      </c>
      <c r="D4107" s="79" t="str">
        <f t="shared" si="5"/>
        <v xml:space="preserve"> </v>
      </c>
      <c r="E4107" s="79" t="str">
        <f t="shared" si="6"/>
        <v xml:space="preserve"> </v>
      </c>
    </row>
    <row r="4108" spans="1:5" ht="12.5">
      <c r="A4108" s="81" t="str">
        <f t="shared" si="0"/>
        <v xml:space="preserve"> </v>
      </c>
      <c r="B4108" s="81" t="str">
        <f t="shared" si="1"/>
        <v xml:space="preserve"> </v>
      </c>
      <c r="C4108" s="79" t="str">
        <f t="shared" si="7"/>
        <v xml:space="preserve"> </v>
      </c>
      <c r="D4108" s="79" t="str">
        <f t="shared" si="5"/>
        <v xml:space="preserve"> </v>
      </c>
      <c r="E4108" s="79" t="str">
        <f t="shared" si="6"/>
        <v xml:space="preserve"> </v>
      </c>
    </row>
    <row r="4109" spans="1:5" ht="12.5">
      <c r="A4109" s="81" t="str">
        <f t="shared" si="0"/>
        <v xml:space="preserve"> </v>
      </c>
      <c r="B4109" s="81" t="str">
        <f t="shared" si="1"/>
        <v xml:space="preserve"> </v>
      </c>
      <c r="C4109" s="79" t="str">
        <f t="shared" si="7"/>
        <v xml:space="preserve"> </v>
      </c>
      <c r="D4109" s="79" t="str">
        <f t="shared" si="5"/>
        <v xml:space="preserve"> </v>
      </c>
      <c r="E4109" s="79" t="str">
        <f t="shared" si="6"/>
        <v xml:space="preserve"> </v>
      </c>
    </row>
    <row r="4110" spans="1:5" ht="12.5">
      <c r="A4110" s="81" t="str">
        <f t="shared" si="0"/>
        <v xml:space="preserve"> </v>
      </c>
      <c r="B4110" s="81" t="str">
        <f t="shared" si="1"/>
        <v xml:space="preserve"> </v>
      </c>
      <c r="C4110" s="79" t="str">
        <f t="shared" si="7"/>
        <v xml:space="preserve"> </v>
      </c>
      <c r="D4110" s="79" t="str">
        <f t="shared" si="5"/>
        <v xml:space="preserve"> </v>
      </c>
      <c r="E4110" s="79" t="str">
        <f t="shared" si="6"/>
        <v xml:space="preserve"> </v>
      </c>
    </row>
    <row r="4111" spans="1:5" ht="12.5">
      <c r="A4111" s="81" t="str">
        <f t="shared" si="0"/>
        <v xml:space="preserve"> </v>
      </c>
      <c r="B4111" s="81" t="str">
        <f t="shared" si="1"/>
        <v xml:space="preserve"> </v>
      </c>
      <c r="C4111" s="79" t="str">
        <f t="shared" si="7"/>
        <v xml:space="preserve"> </v>
      </c>
      <c r="D4111" s="79" t="str">
        <f t="shared" si="5"/>
        <v xml:space="preserve"> </v>
      </c>
      <c r="E4111" s="79" t="str">
        <f t="shared" si="6"/>
        <v xml:space="preserve"> </v>
      </c>
    </row>
    <row r="4112" spans="1:5" ht="12.5">
      <c r="A4112" s="81" t="str">
        <f t="shared" si="0"/>
        <v xml:space="preserve"> </v>
      </c>
      <c r="B4112" s="81" t="str">
        <f t="shared" si="1"/>
        <v xml:space="preserve"> </v>
      </c>
      <c r="C4112" s="79" t="str">
        <f t="shared" si="7"/>
        <v xml:space="preserve"> </v>
      </c>
      <c r="D4112" s="79" t="str">
        <f t="shared" si="5"/>
        <v xml:space="preserve"> </v>
      </c>
      <c r="E4112" s="79" t="str">
        <f t="shared" si="6"/>
        <v xml:space="preserve"> </v>
      </c>
    </row>
    <row r="4113" spans="1:5" ht="12.5">
      <c r="A4113" s="81" t="str">
        <f t="shared" si="0"/>
        <v xml:space="preserve"> </v>
      </c>
      <c r="B4113" s="81" t="str">
        <f t="shared" si="1"/>
        <v xml:space="preserve"> </v>
      </c>
      <c r="C4113" s="79" t="str">
        <f t="shared" si="7"/>
        <v xml:space="preserve"> </v>
      </c>
      <c r="D4113" s="79" t="str">
        <f t="shared" si="5"/>
        <v xml:space="preserve"> </v>
      </c>
      <c r="E4113" s="79" t="str">
        <f t="shared" si="6"/>
        <v xml:space="preserve"> </v>
      </c>
    </row>
    <row r="4114" spans="1:5" ht="12.5">
      <c r="A4114" s="81" t="str">
        <f t="shared" si="0"/>
        <v xml:space="preserve"> </v>
      </c>
      <c r="B4114" s="81" t="str">
        <f t="shared" si="1"/>
        <v xml:space="preserve"> </v>
      </c>
      <c r="C4114" s="79" t="str">
        <f t="shared" si="7"/>
        <v xml:space="preserve"> </v>
      </c>
      <c r="D4114" s="79" t="str">
        <f t="shared" si="5"/>
        <v xml:space="preserve"> </v>
      </c>
      <c r="E4114" s="79" t="str">
        <f t="shared" si="6"/>
        <v xml:space="preserve"> </v>
      </c>
    </row>
    <row r="4115" spans="1:5" ht="12.5">
      <c r="A4115" s="81" t="str">
        <f t="shared" si="0"/>
        <v xml:space="preserve"> </v>
      </c>
      <c r="B4115" s="81" t="str">
        <f t="shared" si="1"/>
        <v xml:space="preserve"> </v>
      </c>
      <c r="C4115" s="79" t="str">
        <f t="shared" si="7"/>
        <v xml:space="preserve"> </v>
      </c>
      <c r="D4115" s="79" t="str">
        <f t="shared" si="5"/>
        <v xml:space="preserve"> </v>
      </c>
      <c r="E4115" s="79" t="str">
        <f t="shared" si="6"/>
        <v xml:space="preserve"> </v>
      </c>
    </row>
    <row r="4116" spans="1:5" ht="12.5">
      <c r="A4116" s="81" t="str">
        <f t="shared" si="0"/>
        <v xml:space="preserve"> </v>
      </c>
      <c r="B4116" s="81" t="str">
        <f t="shared" si="1"/>
        <v xml:space="preserve"> </v>
      </c>
      <c r="C4116" s="79" t="str">
        <f t="shared" si="7"/>
        <v xml:space="preserve"> </v>
      </c>
      <c r="D4116" s="79" t="str">
        <f t="shared" si="5"/>
        <v xml:space="preserve"> </v>
      </c>
      <c r="E4116" s="79" t="str">
        <f t="shared" si="6"/>
        <v xml:space="preserve"> </v>
      </c>
    </row>
    <row r="4117" spans="1:5" ht="12.5">
      <c r="A4117" s="81" t="str">
        <f t="shared" si="0"/>
        <v xml:space="preserve"> </v>
      </c>
      <c r="B4117" s="81" t="str">
        <f t="shared" si="1"/>
        <v xml:space="preserve"> </v>
      </c>
      <c r="C4117" s="79" t="str">
        <f t="shared" si="7"/>
        <v xml:space="preserve"> </v>
      </c>
      <c r="D4117" s="79" t="str">
        <f t="shared" si="5"/>
        <v xml:space="preserve"> </v>
      </c>
      <c r="E4117" s="79" t="str">
        <f t="shared" si="6"/>
        <v xml:space="preserve"> </v>
      </c>
    </row>
    <row r="4118" spans="1:5" ht="12.5">
      <c r="A4118" s="81" t="str">
        <f t="shared" si="0"/>
        <v xml:space="preserve"> </v>
      </c>
      <c r="B4118" s="81" t="str">
        <f t="shared" si="1"/>
        <v xml:space="preserve"> </v>
      </c>
      <c r="C4118" s="79" t="str">
        <f t="shared" si="7"/>
        <v xml:space="preserve"> </v>
      </c>
      <c r="D4118" s="79" t="str">
        <f t="shared" si="5"/>
        <v xml:space="preserve"> </v>
      </c>
      <c r="E4118" s="79" t="str">
        <f t="shared" si="6"/>
        <v xml:space="preserve"> </v>
      </c>
    </row>
    <row r="4119" spans="1:5" ht="12.5">
      <c r="A4119" s="81" t="str">
        <f t="shared" si="0"/>
        <v xml:space="preserve"> </v>
      </c>
      <c r="B4119" s="81" t="str">
        <f t="shared" si="1"/>
        <v xml:space="preserve"> </v>
      </c>
      <c r="C4119" s="79" t="str">
        <f t="shared" si="7"/>
        <v xml:space="preserve"> </v>
      </c>
      <c r="D4119" s="79" t="str">
        <f t="shared" si="5"/>
        <v xml:space="preserve"> </v>
      </c>
      <c r="E4119" s="79" t="str">
        <f t="shared" si="6"/>
        <v xml:space="preserve"> </v>
      </c>
    </row>
    <row r="4120" spans="1:5" ht="12.5">
      <c r="A4120" s="81" t="str">
        <f t="shared" si="0"/>
        <v xml:space="preserve"> </v>
      </c>
      <c r="B4120" s="81" t="str">
        <f t="shared" si="1"/>
        <v xml:space="preserve"> </v>
      </c>
      <c r="C4120" s="79" t="str">
        <f t="shared" si="7"/>
        <v xml:space="preserve"> </v>
      </c>
      <c r="D4120" s="79" t="str">
        <f t="shared" si="5"/>
        <v xml:space="preserve"> </v>
      </c>
      <c r="E4120" s="79" t="str">
        <f t="shared" si="6"/>
        <v xml:space="preserve"> </v>
      </c>
    </row>
    <row r="4121" spans="1:5" ht="12.5">
      <c r="A4121" s="81" t="str">
        <f t="shared" si="0"/>
        <v xml:space="preserve"> </v>
      </c>
      <c r="B4121" s="81" t="str">
        <f t="shared" si="1"/>
        <v xml:space="preserve"> </v>
      </c>
      <c r="C4121" s="79" t="str">
        <f t="shared" si="7"/>
        <v xml:space="preserve"> </v>
      </c>
      <c r="D4121" s="79" t="str">
        <f t="shared" si="5"/>
        <v xml:space="preserve"> </v>
      </c>
      <c r="E4121" s="79" t="str">
        <f t="shared" si="6"/>
        <v xml:space="preserve"> </v>
      </c>
    </row>
    <row r="4122" spans="1:5" ht="12.5">
      <c r="A4122" s="81" t="str">
        <f t="shared" si="0"/>
        <v xml:space="preserve"> </v>
      </c>
      <c r="B4122" s="81" t="str">
        <f t="shared" si="1"/>
        <v xml:space="preserve"> </v>
      </c>
      <c r="C4122" s="79" t="str">
        <f t="shared" si="7"/>
        <v xml:space="preserve"> </v>
      </c>
      <c r="D4122" s="79" t="str">
        <f t="shared" si="5"/>
        <v xml:space="preserve"> </v>
      </c>
      <c r="E4122" s="79" t="str">
        <f t="shared" si="6"/>
        <v xml:space="preserve"> </v>
      </c>
    </row>
    <row r="4123" spans="1:5" ht="12.5">
      <c r="A4123" s="81" t="str">
        <f t="shared" si="0"/>
        <v xml:space="preserve"> </v>
      </c>
      <c r="B4123" s="81" t="str">
        <f t="shared" si="1"/>
        <v xml:space="preserve"> </v>
      </c>
      <c r="C4123" s="79" t="str">
        <f t="shared" si="7"/>
        <v xml:space="preserve"> </v>
      </c>
      <c r="D4123" s="79" t="str">
        <f t="shared" si="5"/>
        <v xml:space="preserve"> </v>
      </c>
      <c r="E4123" s="79" t="str">
        <f t="shared" si="6"/>
        <v xml:space="preserve"> </v>
      </c>
    </row>
    <row r="4124" spans="1:5" ht="12.5">
      <c r="A4124" s="81" t="str">
        <f t="shared" si="0"/>
        <v xml:space="preserve"> </v>
      </c>
      <c r="B4124" s="81" t="str">
        <f t="shared" si="1"/>
        <v xml:space="preserve"> </v>
      </c>
      <c r="C4124" s="79" t="str">
        <f t="shared" si="7"/>
        <v xml:space="preserve"> </v>
      </c>
      <c r="D4124" s="79" t="str">
        <f t="shared" si="5"/>
        <v xml:space="preserve"> </v>
      </c>
      <c r="E4124" s="79" t="str">
        <f t="shared" si="6"/>
        <v xml:space="preserve"> </v>
      </c>
    </row>
    <row r="4125" spans="1:5" ht="12.5">
      <c r="A4125" s="81" t="str">
        <f t="shared" si="0"/>
        <v xml:space="preserve"> </v>
      </c>
      <c r="B4125" s="81" t="str">
        <f t="shared" si="1"/>
        <v xml:space="preserve"> </v>
      </c>
      <c r="C4125" s="79" t="str">
        <f t="shared" si="7"/>
        <v xml:space="preserve"> </v>
      </c>
      <c r="D4125" s="79" t="str">
        <f t="shared" si="5"/>
        <v xml:space="preserve"> </v>
      </c>
      <c r="E4125" s="79" t="str">
        <f t="shared" si="6"/>
        <v xml:space="preserve"> </v>
      </c>
    </row>
    <row r="4126" spans="1:5" ht="12.5">
      <c r="A4126" s="81" t="str">
        <f t="shared" si="0"/>
        <v xml:space="preserve"> </v>
      </c>
      <c r="B4126" s="81" t="str">
        <f t="shared" si="1"/>
        <v xml:space="preserve"> </v>
      </c>
      <c r="C4126" s="79" t="str">
        <f t="shared" si="7"/>
        <v xml:space="preserve"> </v>
      </c>
      <c r="D4126" s="79" t="str">
        <f t="shared" si="5"/>
        <v xml:space="preserve"> </v>
      </c>
      <c r="E4126" s="79" t="str">
        <f t="shared" si="6"/>
        <v xml:space="preserve"> </v>
      </c>
    </row>
    <row r="4127" spans="1:5" ht="12.5">
      <c r="A4127" s="81" t="str">
        <f t="shared" si="0"/>
        <v xml:space="preserve"> </v>
      </c>
      <c r="B4127" s="81" t="str">
        <f t="shared" si="1"/>
        <v xml:space="preserve"> </v>
      </c>
      <c r="C4127" s="79" t="str">
        <f t="shared" si="7"/>
        <v xml:space="preserve"> </v>
      </c>
      <c r="D4127" s="79" t="str">
        <f t="shared" si="5"/>
        <v xml:space="preserve"> </v>
      </c>
      <c r="E4127" s="79" t="str">
        <f t="shared" si="6"/>
        <v xml:space="preserve"> </v>
      </c>
    </row>
    <row r="4128" spans="1:5" ht="12.5">
      <c r="A4128" s="81" t="str">
        <f t="shared" si="0"/>
        <v xml:space="preserve"> </v>
      </c>
      <c r="B4128" s="81" t="str">
        <f t="shared" si="1"/>
        <v xml:space="preserve"> </v>
      </c>
      <c r="C4128" s="79" t="str">
        <f t="shared" si="7"/>
        <v xml:space="preserve"> </v>
      </c>
      <c r="D4128" s="79" t="str">
        <f t="shared" si="5"/>
        <v xml:space="preserve"> </v>
      </c>
      <c r="E4128" s="79" t="str">
        <f t="shared" si="6"/>
        <v xml:space="preserve"> </v>
      </c>
    </row>
    <row r="4129" spans="1:5" ht="12.5">
      <c r="A4129" s="81" t="str">
        <f t="shared" si="0"/>
        <v xml:space="preserve"> </v>
      </c>
      <c r="B4129" s="81" t="str">
        <f t="shared" si="1"/>
        <v xml:space="preserve"> </v>
      </c>
      <c r="C4129" s="79" t="str">
        <f t="shared" si="7"/>
        <v xml:space="preserve"> </v>
      </c>
      <c r="D4129" s="79" t="str">
        <f t="shared" si="5"/>
        <v xml:space="preserve"> </v>
      </c>
      <c r="E4129" s="79" t="str">
        <f t="shared" si="6"/>
        <v xml:space="preserve"> </v>
      </c>
    </row>
    <row r="4130" spans="1:5" ht="12.5">
      <c r="A4130" s="81" t="str">
        <f t="shared" si="0"/>
        <v xml:space="preserve"> </v>
      </c>
      <c r="B4130" s="81" t="str">
        <f t="shared" si="1"/>
        <v xml:space="preserve"> </v>
      </c>
      <c r="C4130" s="79" t="str">
        <f t="shared" si="7"/>
        <v xml:space="preserve"> </v>
      </c>
      <c r="D4130" s="79" t="str">
        <f t="shared" si="5"/>
        <v xml:space="preserve"> </v>
      </c>
      <c r="E4130" s="79" t="str">
        <f t="shared" si="6"/>
        <v xml:space="preserve"> </v>
      </c>
    </row>
    <row r="4131" spans="1:5" ht="12.5">
      <c r="A4131" s="81" t="str">
        <f t="shared" si="0"/>
        <v xml:space="preserve"> </v>
      </c>
      <c r="B4131" s="81" t="str">
        <f t="shared" si="1"/>
        <v xml:space="preserve"> </v>
      </c>
      <c r="C4131" s="79" t="str">
        <f t="shared" si="7"/>
        <v xml:space="preserve"> </v>
      </c>
      <c r="D4131" s="79" t="str">
        <f t="shared" si="5"/>
        <v xml:space="preserve"> </v>
      </c>
      <c r="E4131" s="79" t="str">
        <f t="shared" si="6"/>
        <v xml:space="preserve"> </v>
      </c>
    </row>
    <row r="4132" spans="1:5" ht="12.5">
      <c r="A4132" s="81" t="str">
        <f t="shared" si="0"/>
        <v xml:space="preserve"> </v>
      </c>
      <c r="B4132" s="81" t="str">
        <f t="shared" si="1"/>
        <v xml:space="preserve"> </v>
      </c>
      <c r="C4132" s="79" t="str">
        <f t="shared" si="7"/>
        <v xml:space="preserve"> </v>
      </c>
      <c r="D4132" s="79" t="str">
        <f t="shared" si="5"/>
        <v xml:space="preserve"> </v>
      </c>
      <c r="E4132" s="79" t="str">
        <f t="shared" si="6"/>
        <v xml:space="preserve"> </v>
      </c>
    </row>
    <row r="4133" spans="1:5" ht="12.5">
      <c r="A4133" s="81" t="str">
        <f t="shared" si="0"/>
        <v xml:space="preserve"> </v>
      </c>
      <c r="B4133" s="81" t="str">
        <f t="shared" si="1"/>
        <v xml:space="preserve"> </v>
      </c>
      <c r="C4133" s="79" t="str">
        <f t="shared" si="7"/>
        <v xml:space="preserve"> </v>
      </c>
      <c r="D4133" s="79" t="str">
        <f t="shared" si="5"/>
        <v xml:space="preserve"> </v>
      </c>
      <c r="E4133" s="79" t="str">
        <f t="shared" si="6"/>
        <v xml:space="preserve"> </v>
      </c>
    </row>
    <row r="4134" spans="1:5" ht="12.5">
      <c r="A4134" s="81" t="str">
        <f t="shared" si="0"/>
        <v xml:space="preserve"> </v>
      </c>
      <c r="B4134" s="81" t="str">
        <f t="shared" si="1"/>
        <v xml:space="preserve"> </v>
      </c>
      <c r="C4134" s="79" t="str">
        <f t="shared" si="7"/>
        <v xml:space="preserve"> </v>
      </c>
      <c r="D4134" s="79" t="str">
        <f t="shared" si="5"/>
        <v xml:space="preserve"> </v>
      </c>
      <c r="E4134" s="79" t="str">
        <f t="shared" si="6"/>
        <v xml:space="preserve"> </v>
      </c>
    </row>
    <row r="4135" spans="1:5" ht="12.5">
      <c r="A4135" s="81" t="str">
        <f t="shared" si="0"/>
        <v xml:space="preserve"> </v>
      </c>
      <c r="B4135" s="81" t="str">
        <f t="shared" si="1"/>
        <v xml:space="preserve"> </v>
      </c>
      <c r="C4135" s="79" t="str">
        <f t="shared" si="7"/>
        <v xml:space="preserve"> </v>
      </c>
      <c r="D4135" s="79" t="str">
        <f t="shared" si="5"/>
        <v xml:space="preserve"> </v>
      </c>
      <c r="E4135" s="79" t="str">
        <f t="shared" si="6"/>
        <v xml:space="preserve"> </v>
      </c>
    </row>
    <row r="4136" spans="1:5" ht="12.5">
      <c r="A4136" s="81" t="str">
        <f t="shared" si="0"/>
        <v xml:space="preserve"> </v>
      </c>
      <c r="B4136" s="81" t="str">
        <f t="shared" si="1"/>
        <v xml:space="preserve"> </v>
      </c>
      <c r="C4136" s="79" t="str">
        <f t="shared" si="7"/>
        <v xml:space="preserve"> </v>
      </c>
      <c r="D4136" s="79" t="str">
        <f t="shared" si="5"/>
        <v xml:space="preserve"> </v>
      </c>
      <c r="E4136" s="79" t="str">
        <f t="shared" si="6"/>
        <v xml:space="preserve"> </v>
      </c>
    </row>
    <row r="4137" spans="1:5" ht="12.5">
      <c r="A4137" s="81" t="str">
        <f t="shared" si="0"/>
        <v xml:space="preserve"> </v>
      </c>
      <c r="B4137" s="81" t="str">
        <f t="shared" si="1"/>
        <v xml:space="preserve"> </v>
      </c>
      <c r="C4137" s="79" t="str">
        <f t="shared" si="7"/>
        <v xml:space="preserve"> </v>
      </c>
      <c r="D4137" s="79" t="str">
        <f t="shared" si="5"/>
        <v xml:space="preserve"> </v>
      </c>
      <c r="E4137" s="79" t="str">
        <f t="shared" si="6"/>
        <v xml:space="preserve"> </v>
      </c>
    </row>
    <row r="4138" spans="1:5" ht="12.5">
      <c r="A4138" s="81" t="str">
        <f t="shared" si="0"/>
        <v xml:space="preserve"> </v>
      </c>
      <c r="B4138" s="81" t="str">
        <f t="shared" si="1"/>
        <v xml:space="preserve"> </v>
      </c>
      <c r="C4138" s="79" t="str">
        <f t="shared" si="7"/>
        <v xml:space="preserve"> </v>
      </c>
      <c r="D4138" s="79" t="str">
        <f t="shared" si="5"/>
        <v xml:space="preserve"> </v>
      </c>
      <c r="E4138" s="79" t="str">
        <f t="shared" si="6"/>
        <v xml:space="preserve"> </v>
      </c>
    </row>
    <row r="4139" spans="1:5" ht="12.5">
      <c r="A4139" s="81" t="str">
        <f t="shared" si="0"/>
        <v xml:space="preserve"> </v>
      </c>
      <c r="B4139" s="81" t="str">
        <f t="shared" si="1"/>
        <v xml:space="preserve"> </v>
      </c>
      <c r="C4139" s="79" t="str">
        <f t="shared" si="7"/>
        <v xml:space="preserve"> </v>
      </c>
      <c r="D4139" s="79" t="str">
        <f t="shared" si="5"/>
        <v xml:space="preserve"> </v>
      </c>
      <c r="E4139" s="79" t="str">
        <f t="shared" si="6"/>
        <v xml:space="preserve"> </v>
      </c>
    </row>
    <row r="4140" spans="1:5" ht="12.5">
      <c r="A4140" s="81" t="str">
        <f t="shared" si="0"/>
        <v xml:space="preserve"> </v>
      </c>
      <c r="B4140" s="81" t="str">
        <f t="shared" si="1"/>
        <v xml:space="preserve"> </v>
      </c>
      <c r="C4140" s="79" t="str">
        <f t="shared" si="7"/>
        <v xml:space="preserve"> </v>
      </c>
      <c r="D4140" s="79" t="str">
        <f t="shared" si="5"/>
        <v xml:space="preserve"> </v>
      </c>
      <c r="E4140" s="79" t="str">
        <f t="shared" si="6"/>
        <v xml:space="preserve"> </v>
      </c>
    </row>
    <row r="4141" spans="1:5" ht="12.5">
      <c r="A4141" s="81" t="str">
        <f t="shared" si="0"/>
        <v xml:space="preserve"> </v>
      </c>
      <c r="B4141" s="81" t="str">
        <f t="shared" si="1"/>
        <v xml:space="preserve"> </v>
      </c>
      <c r="C4141" s="79" t="str">
        <f t="shared" si="7"/>
        <v xml:space="preserve"> </v>
      </c>
      <c r="D4141" s="79" t="str">
        <f t="shared" si="5"/>
        <v xml:space="preserve"> </v>
      </c>
      <c r="E4141" s="79" t="str">
        <f t="shared" si="6"/>
        <v xml:space="preserve"> </v>
      </c>
    </row>
    <row r="4142" spans="1:5" ht="12.5">
      <c r="A4142" s="81" t="str">
        <f t="shared" si="0"/>
        <v xml:space="preserve"> </v>
      </c>
      <c r="B4142" s="81" t="str">
        <f t="shared" si="1"/>
        <v xml:space="preserve"> </v>
      </c>
      <c r="C4142" s="79" t="str">
        <f t="shared" si="7"/>
        <v xml:space="preserve"> </v>
      </c>
      <c r="D4142" s="79" t="str">
        <f t="shared" si="5"/>
        <v xml:space="preserve"> </v>
      </c>
      <c r="E4142" s="79" t="str">
        <f t="shared" si="6"/>
        <v xml:space="preserve"> </v>
      </c>
    </row>
    <row r="4143" spans="1:5" ht="12.5">
      <c r="A4143" s="81" t="str">
        <f t="shared" si="0"/>
        <v xml:space="preserve"> </v>
      </c>
      <c r="B4143" s="81" t="str">
        <f t="shared" si="1"/>
        <v xml:space="preserve"> </v>
      </c>
      <c r="C4143" s="79" t="str">
        <f t="shared" si="7"/>
        <v xml:space="preserve"> </v>
      </c>
      <c r="D4143" s="79" t="str">
        <f t="shared" si="5"/>
        <v xml:space="preserve"> </v>
      </c>
      <c r="E4143" s="79" t="str">
        <f t="shared" si="6"/>
        <v xml:space="preserve"> </v>
      </c>
    </row>
    <row r="4144" spans="1:5" ht="12.5">
      <c r="A4144" s="81" t="str">
        <f t="shared" si="0"/>
        <v xml:space="preserve"> </v>
      </c>
      <c r="B4144" s="81" t="str">
        <f t="shared" si="1"/>
        <v xml:space="preserve"> </v>
      </c>
      <c r="C4144" s="79" t="str">
        <f t="shared" si="7"/>
        <v xml:space="preserve"> </v>
      </c>
      <c r="D4144" s="79" t="str">
        <f t="shared" si="5"/>
        <v xml:space="preserve"> </v>
      </c>
      <c r="E4144" s="79" t="str">
        <f t="shared" si="6"/>
        <v xml:space="preserve"> </v>
      </c>
    </row>
    <row r="4145" spans="1:5" ht="12.5">
      <c r="A4145" s="81" t="str">
        <f t="shared" si="0"/>
        <v xml:space="preserve"> </v>
      </c>
      <c r="B4145" s="81" t="str">
        <f t="shared" si="1"/>
        <v xml:space="preserve"> </v>
      </c>
      <c r="C4145" s="79" t="str">
        <f t="shared" si="7"/>
        <v xml:space="preserve"> </v>
      </c>
      <c r="D4145" s="79" t="str">
        <f t="shared" si="5"/>
        <v xml:space="preserve"> </v>
      </c>
      <c r="E4145" s="79" t="str">
        <f t="shared" si="6"/>
        <v xml:space="preserve"> </v>
      </c>
    </row>
    <row r="4146" spans="1:5" ht="12.5">
      <c r="A4146" s="81" t="str">
        <f t="shared" si="0"/>
        <v xml:space="preserve"> </v>
      </c>
      <c r="B4146" s="81" t="str">
        <f t="shared" si="1"/>
        <v xml:space="preserve"> </v>
      </c>
      <c r="C4146" s="79" t="str">
        <f t="shared" si="7"/>
        <v xml:space="preserve"> </v>
      </c>
      <c r="D4146" s="79" t="str">
        <f t="shared" si="5"/>
        <v xml:space="preserve"> </v>
      </c>
      <c r="E4146" s="79" t="str">
        <f t="shared" si="6"/>
        <v xml:space="preserve"> </v>
      </c>
    </row>
    <row r="4147" spans="1:5" ht="12.5">
      <c r="A4147" s="81" t="str">
        <f t="shared" si="0"/>
        <v xml:space="preserve"> </v>
      </c>
      <c r="B4147" s="81" t="str">
        <f t="shared" si="1"/>
        <v xml:space="preserve"> </v>
      </c>
      <c r="C4147" s="79" t="str">
        <f t="shared" si="7"/>
        <v xml:space="preserve"> </v>
      </c>
      <c r="D4147" s="79" t="str">
        <f t="shared" si="5"/>
        <v xml:space="preserve"> </v>
      </c>
      <c r="E4147" s="79" t="str">
        <f t="shared" si="6"/>
        <v xml:space="preserve"> </v>
      </c>
    </row>
    <row r="4148" spans="1:5" ht="12.5">
      <c r="A4148" s="81" t="str">
        <f t="shared" si="0"/>
        <v xml:space="preserve"> </v>
      </c>
      <c r="B4148" s="81" t="str">
        <f t="shared" si="1"/>
        <v xml:space="preserve"> </v>
      </c>
      <c r="C4148" s="79" t="str">
        <f t="shared" si="7"/>
        <v xml:space="preserve"> </v>
      </c>
      <c r="D4148" s="79" t="str">
        <f t="shared" si="5"/>
        <v xml:space="preserve"> </v>
      </c>
      <c r="E4148" s="79" t="str">
        <f t="shared" si="6"/>
        <v xml:space="preserve"> </v>
      </c>
    </row>
    <row r="4149" spans="1:5" ht="12.5">
      <c r="A4149" s="81" t="str">
        <f t="shared" si="0"/>
        <v xml:space="preserve"> </v>
      </c>
      <c r="B4149" s="81" t="str">
        <f t="shared" si="1"/>
        <v xml:space="preserve"> </v>
      </c>
      <c r="C4149" s="79" t="str">
        <f t="shared" si="7"/>
        <v xml:space="preserve"> </v>
      </c>
      <c r="D4149" s="79" t="str">
        <f t="shared" si="5"/>
        <v xml:space="preserve"> </v>
      </c>
      <c r="E4149" s="79" t="str">
        <f t="shared" si="6"/>
        <v xml:space="preserve"> </v>
      </c>
    </row>
    <row r="4150" spans="1:5" ht="12.5">
      <c r="A4150" s="81" t="str">
        <f t="shared" si="0"/>
        <v xml:space="preserve"> </v>
      </c>
      <c r="B4150" s="81" t="str">
        <f t="shared" si="1"/>
        <v xml:space="preserve"> </v>
      </c>
      <c r="C4150" s="79" t="str">
        <f t="shared" si="7"/>
        <v xml:space="preserve"> </v>
      </c>
      <c r="D4150" s="79" t="str">
        <f t="shared" si="5"/>
        <v xml:space="preserve"> </v>
      </c>
      <c r="E4150" s="79" t="str">
        <f t="shared" si="6"/>
        <v xml:space="preserve"> </v>
      </c>
    </row>
    <row r="4151" spans="1:5" ht="12.5">
      <c r="A4151" s="81" t="str">
        <f t="shared" si="0"/>
        <v xml:space="preserve"> </v>
      </c>
      <c r="B4151" s="81" t="str">
        <f t="shared" si="1"/>
        <v xml:space="preserve"> </v>
      </c>
      <c r="C4151" s="79" t="str">
        <f t="shared" si="7"/>
        <v xml:space="preserve"> </v>
      </c>
      <c r="D4151" s="79" t="str">
        <f t="shared" si="5"/>
        <v xml:space="preserve"> </v>
      </c>
      <c r="E4151" s="79" t="str">
        <f t="shared" si="6"/>
        <v xml:space="preserve"> </v>
      </c>
    </row>
    <row r="4152" spans="1:5" ht="12.5">
      <c r="A4152" s="81" t="str">
        <f t="shared" si="0"/>
        <v xml:space="preserve"> </v>
      </c>
      <c r="B4152" s="81" t="str">
        <f t="shared" si="1"/>
        <v xml:space="preserve"> </v>
      </c>
      <c r="C4152" s="79" t="str">
        <f t="shared" si="7"/>
        <v xml:space="preserve"> </v>
      </c>
      <c r="D4152" s="79" t="str">
        <f t="shared" si="5"/>
        <v xml:space="preserve"> </v>
      </c>
      <c r="E4152" s="79" t="str">
        <f t="shared" si="6"/>
        <v xml:space="preserve"> </v>
      </c>
    </row>
    <row r="4153" spans="1:5" ht="12.5">
      <c r="A4153" s="81" t="str">
        <f t="shared" si="0"/>
        <v xml:space="preserve"> </v>
      </c>
      <c r="B4153" s="81" t="str">
        <f t="shared" si="1"/>
        <v xml:space="preserve"> </v>
      </c>
      <c r="C4153" s="79" t="str">
        <f t="shared" si="7"/>
        <v xml:space="preserve"> </v>
      </c>
      <c r="D4153" s="79" t="str">
        <f t="shared" si="5"/>
        <v xml:space="preserve"> </v>
      </c>
      <c r="E4153" s="79" t="str">
        <f t="shared" si="6"/>
        <v xml:space="preserve"> </v>
      </c>
    </row>
    <row r="4154" spans="1:5" ht="12.5">
      <c r="A4154" s="81" t="str">
        <f t="shared" si="0"/>
        <v xml:space="preserve"> </v>
      </c>
      <c r="B4154" s="81" t="str">
        <f t="shared" si="1"/>
        <v xml:space="preserve"> </v>
      </c>
      <c r="C4154" s="79" t="str">
        <f t="shared" si="7"/>
        <v xml:space="preserve"> </v>
      </c>
      <c r="D4154" s="79" t="str">
        <f t="shared" si="5"/>
        <v xml:space="preserve"> </v>
      </c>
      <c r="E4154" s="79" t="str">
        <f t="shared" si="6"/>
        <v xml:space="preserve"> </v>
      </c>
    </row>
    <row r="4155" spans="1:5" ht="12.5">
      <c r="A4155" s="81" t="str">
        <f t="shared" si="0"/>
        <v xml:space="preserve"> </v>
      </c>
      <c r="B4155" s="81" t="str">
        <f t="shared" si="1"/>
        <v xml:space="preserve"> </v>
      </c>
      <c r="C4155" s="79" t="str">
        <f t="shared" si="7"/>
        <v xml:space="preserve"> </v>
      </c>
      <c r="D4155" s="79" t="str">
        <f t="shared" si="5"/>
        <v xml:space="preserve"> </v>
      </c>
      <c r="E4155" s="79" t="str">
        <f t="shared" si="6"/>
        <v xml:space="preserve"> </v>
      </c>
    </row>
    <row r="4156" spans="1:5" ht="12.5">
      <c r="A4156" s="81" t="str">
        <f t="shared" si="0"/>
        <v xml:space="preserve"> </v>
      </c>
      <c r="B4156" s="81" t="str">
        <f t="shared" si="1"/>
        <v xml:space="preserve"> </v>
      </c>
      <c r="C4156" s="79" t="str">
        <f t="shared" si="7"/>
        <v xml:space="preserve"> </v>
      </c>
      <c r="D4156" s="79" t="str">
        <f t="shared" si="5"/>
        <v xml:space="preserve"> </v>
      </c>
      <c r="E4156" s="79" t="str">
        <f t="shared" si="6"/>
        <v xml:space="preserve"> </v>
      </c>
    </row>
    <row r="4157" spans="1:5" ht="12.5">
      <c r="A4157" s="81" t="str">
        <f t="shared" si="0"/>
        <v xml:space="preserve"> </v>
      </c>
      <c r="B4157" s="81" t="str">
        <f t="shared" si="1"/>
        <v xml:space="preserve"> </v>
      </c>
      <c r="C4157" s="79" t="str">
        <f t="shared" si="7"/>
        <v xml:space="preserve"> </v>
      </c>
      <c r="D4157" s="79" t="str">
        <f t="shared" si="5"/>
        <v xml:space="preserve"> </v>
      </c>
      <c r="E4157" s="79" t="str">
        <f t="shared" si="6"/>
        <v xml:space="preserve"> </v>
      </c>
    </row>
    <row r="4158" spans="1:5" ht="12.5">
      <c r="A4158" s="81" t="str">
        <f t="shared" si="0"/>
        <v xml:space="preserve"> </v>
      </c>
      <c r="B4158" s="81" t="str">
        <f t="shared" si="1"/>
        <v xml:space="preserve"> </v>
      </c>
      <c r="C4158" s="79" t="str">
        <f t="shared" si="7"/>
        <v xml:space="preserve"> </v>
      </c>
      <c r="D4158" s="79" t="str">
        <f t="shared" si="5"/>
        <v xml:space="preserve"> </v>
      </c>
      <c r="E4158" s="79" t="str">
        <f t="shared" si="6"/>
        <v xml:space="preserve"> </v>
      </c>
    </row>
    <row r="4159" spans="1:5" ht="12.5">
      <c r="A4159" s="81" t="str">
        <f t="shared" si="0"/>
        <v xml:space="preserve"> </v>
      </c>
      <c r="B4159" s="81" t="str">
        <f t="shared" si="1"/>
        <v xml:space="preserve"> </v>
      </c>
      <c r="C4159" s="79" t="str">
        <f t="shared" si="7"/>
        <v xml:space="preserve"> </v>
      </c>
      <c r="D4159" s="79" t="str">
        <f t="shared" si="5"/>
        <v xml:space="preserve"> </v>
      </c>
      <c r="E4159" s="79" t="str">
        <f t="shared" si="6"/>
        <v xml:space="preserve"> </v>
      </c>
    </row>
    <row r="4160" spans="1:5" ht="12.5">
      <c r="A4160" s="81" t="str">
        <f t="shared" si="0"/>
        <v xml:space="preserve"> </v>
      </c>
      <c r="B4160" s="81" t="str">
        <f t="shared" si="1"/>
        <v xml:space="preserve"> </v>
      </c>
      <c r="C4160" s="79" t="str">
        <f t="shared" si="7"/>
        <v xml:space="preserve"> </v>
      </c>
      <c r="D4160" s="79" t="str">
        <f t="shared" si="5"/>
        <v xml:space="preserve"> </v>
      </c>
      <c r="E4160" s="79" t="str">
        <f t="shared" si="6"/>
        <v xml:space="preserve"> </v>
      </c>
    </row>
    <row r="4161" spans="1:5" ht="12.5">
      <c r="A4161" s="81" t="str">
        <f t="shared" si="0"/>
        <v xml:space="preserve"> </v>
      </c>
      <c r="B4161" s="81" t="str">
        <f t="shared" si="1"/>
        <v xml:space="preserve"> </v>
      </c>
      <c r="C4161" s="79" t="str">
        <f t="shared" si="7"/>
        <v xml:space="preserve"> </v>
      </c>
      <c r="D4161" s="79" t="str">
        <f t="shared" si="5"/>
        <v xml:space="preserve"> </v>
      </c>
      <c r="E4161" s="79" t="str">
        <f t="shared" si="6"/>
        <v xml:space="preserve"> </v>
      </c>
    </row>
    <row r="4162" spans="1:5" ht="12.5">
      <c r="A4162" s="81" t="str">
        <f t="shared" si="0"/>
        <v xml:space="preserve"> </v>
      </c>
      <c r="B4162" s="81" t="str">
        <f t="shared" si="1"/>
        <v xml:space="preserve"> </v>
      </c>
      <c r="C4162" s="79" t="str">
        <f t="shared" si="7"/>
        <v xml:space="preserve"> </v>
      </c>
      <c r="D4162" s="79" t="str">
        <f t="shared" si="5"/>
        <v xml:space="preserve"> </v>
      </c>
      <c r="E4162" s="79" t="str">
        <f t="shared" si="6"/>
        <v xml:space="preserve"> </v>
      </c>
    </row>
    <row r="4163" spans="1:5" ht="12.5">
      <c r="A4163" s="81" t="str">
        <f t="shared" si="0"/>
        <v xml:space="preserve"> </v>
      </c>
      <c r="B4163" s="81" t="str">
        <f t="shared" si="1"/>
        <v xml:space="preserve"> </v>
      </c>
      <c r="C4163" s="79" t="str">
        <f t="shared" si="7"/>
        <v xml:space="preserve"> </v>
      </c>
      <c r="D4163" s="79" t="str">
        <f t="shared" si="5"/>
        <v xml:space="preserve"> </v>
      </c>
      <c r="E4163" s="79" t="str">
        <f t="shared" si="6"/>
        <v xml:space="preserve"> </v>
      </c>
    </row>
    <row r="4164" spans="1:5" ht="12.5">
      <c r="A4164" s="81" t="str">
        <f t="shared" si="0"/>
        <v xml:space="preserve"> </v>
      </c>
      <c r="B4164" s="81" t="str">
        <f t="shared" si="1"/>
        <v xml:space="preserve"> </v>
      </c>
      <c r="C4164" s="79" t="str">
        <f t="shared" si="7"/>
        <v xml:space="preserve"> </v>
      </c>
      <c r="D4164" s="79" t="str">
        <f t="shared" si="5"/>
        <v xml:space="preserve"> </v>
      </c>
      <c r="E4164" s="79" t="str">
        <f t="shared" si="6"/>
        <v xml:space="preserve"> </v>
      </c>
    </row>
    <row r="4165" spans="1:5" ht="12.5">
      <c r="A4165" s="81" t="str">
        <f t="shared" si="0"/>
        <v xml:space="preserve"> </v>
      </c>
      <c r="B4165" s="81" t="str">
        <f t="shared" si="1"/>
        <v xml:space="preserve"> </v>
      </c>
      <c r="C4165" s="79" t="str">
        <f t="shared" si="7"/>
        <v xml:space="preserve"> </v>
      </c>
      <c r="D4165" s="79" t="str">
        <f t="shared" si="5"/>
        <v xml:space="preserve"> </v>
      </c>
      <c r="E4165" s="79" t="str">
        <f t="shared" si="6"/>
        <v xml:space="preserve"> </v>
      </c>
    </row>
    <row r="4166" spans="1:5" ht="12.5">
      <c r="A4166" s="81" t="str">
        <f t="shared" si="0"/>
        <v xml:space="preserve"> </v>
      </c>
      <c r="B4166" s="81" t="str">
        <f t="shared" si="1"/>
        <v xml:space="preserve"> </v>
      </c>
      <c r="C4166" s="79" t="str">
        <f t="shared" si="7"/>
        <v xml:space="preserve"> </v>
      </c>
      <c r="D4166" s="79" t="str">
        <f t="shared" si="5"/>
        <v xml:space="preserve"> </v>
      </c>
      <c r="E4166" s="79" t="str">
        <f t="shared" si="6"/>
        <v xml:space="preserve"> </v>
      </c>
    </row>
    <row r="4167" spans="1:5" ht="12.5">
      <c r="A4167" s="81" t="str">
        <f t="shared" si="0"/>
        <v xml:space="preserve"> </v>
      </c>
      <c r="B4167" s="81" t="str">
        <f t="shared" si="1"/>
        <v xml:space="preserve"> </v>
      </c>
      <c r="C4167" s="79" t="str">
        <f t="shared" si="7"/>
        <v xml:space="preserve"> </v>
      </c>
      <c r="D4167" s="79" t="str">
        <f t="shared" si="5"/>
        <v xml:space="preserve"> </v>
      </c>
      <c r="E4167" s="79" t="str">
        <f t="shared" si="6"/>
        <v xml:space="preserve"> </v>
      </c>
    </row>
    <row r="4168" spans="1:5" ht="12.5">
      <c r="A4168" s="81" t="str">
        <f t="shared" si="0"/>
        <v xml:space="preserve"> </v>
      </c>
      <c r="B4168" s="81" t="str">
        <f t="shared" si="1"/>
        <v xml:space="preserve"> </v>
      </c>
      <c r="C4168" s="79" t="str">
        <f t="shared" si="7"/>
        <v xml:space="preserve"> </v>
      </c>
      <c r="D4168" s="79" t="str">
        <f t="shared" si="5"/>
        <v xml:space="preserve"> </v>
      </c>
      <c r="E4168" s="79" t="str">
        <f t="shared" si="6"/>
        <v xml:space="preserve"> </v>
      </c>
    </row>
    <row r="4169" spans="1:5" ht="12.5">
      <c r="A4169" s="81" t="str">
        <f t="shared" si="0"/>
        <v xml:space="preserve"> </v>
      </c>
      <c r="B4169" s="81" t="str">
        <f t="shared" si="1"/>
        <v xml:space="preserve"> </v>
      </c>
      <c r="C4169" s="79" t="str">
        <f t="shared" si="7"/>
        <v xml:space="preserve"> </v>
      </c>
      <c r="D4169" s="79" t="str">
        <f t="shared" si="5"/>
        <v xml:space="preserve"> </v>
      </c>
      <c r="E4169" s="79" t="str">
        <f t="shared" si="6"/>
        <v xml:space="preserve"> </v>
      </c>
    </row>
    <row r="4170" spans="1:5" ht="12.5">
      <c r="A4170" s="81" t="str">
        <f t="shared" si="0"/>
        <v xml:space="preserve"> </v>
      </c>
      <c r="B4170" s="81" t="str">
        <f t="shared" si="1"/>
        <v xml:space="preserve"> </v>
      </c>
      <c r="C4170" s="79" t="str">
        <f t="shared" si="7"/>
        <v xml:space="preserve"> </v>
      </c>
      <c r="D4170" s="79" t="str">
        <f t="shared" si="5"/>
        <v xml:space="preserve"> </v>
      </c>
      <c r="E4170" s="79" t="str">
        <f t="shared" si="6"/>
        <v xml:space="preserve"> </v>
      </c>
    </row>
    <row r="4171" spans="1:5" ht="12.5">
      <c r="A4171" s="81" t="str">
        <f t="shared" si="0"/>
        <v xml:space="preserve"> </v>
      </c>
      <c r="B4171" s="81" t="str">
        <f t="shared" si="1"/>
        <v xml:space="preserve"> </v>
      </c>
      <c r="C4171" s="79" t="str">
        <f t="shared" si="7"/>
        <v xml:space="preserve"> </v>
      </c>
      <c r="D4171" s="79" t="str">
        <f t="shared" si="5"/>
        <v xml:space="preserve"> </v>
      </c>
      <c r="E4171" s="79" t="str">
        <f t="shared" si="6"/>
        <v xml:space="preserve"> </v>
      </c>
    </row>
    <row r="4172" spans="1:5" ht="12.5">
      <c r="A4172" s="81" t="str">
        <f t="shared" si="0"/>
        <v xml:space="preserve"> </v>
      </c>
      <c r="B4172" s="81" t="str">
        <f t="shared" si="1"/>
        <v xml:space="preserve"> </v>
      </c>
      <c r="C4172" s="79" t="str">
        <f t="shared" si="7"/>
        <v xml:space="preserve"> </v>
      </c>
      <c r="D4172" s="79" t="str">
        <f t="shared" si="5"/>
        <v xml:space="preserve"> </v>
      </c>
      <c r="E4172" s="79" t="str">
        <f t="shared" si="6"/>
        <v xml:space="preserve"> </v>
      </c>
    </row>
    <row r="4173" spans="1:5" ht="12.5">
      <c r="A4173" s="81" t="str">
        <f t="shared" si="0"/>
        <v xml:space="preserve"> </v>
      </c>
      <c r="B4173" s="81" t="str">
        <f t="shared" si="1"/>
        <v xml:space="preserve"> </v>
      </c>
      <c r="C4173" s="79" t="str">
        <f t="shared" si="7"/>
        <v xml:space="preserve"> </v>
      </c>
      <c r="D4173" s="79" t="str">
        <f t="shared" si="5"/>
        <v xml:space="preserve"> </v>
      </c>
      <c r="E4173" s="79" t="str">
        <f t="shared" si="6"/>
        <v xml:space="preserve"> </v>
      </c>
    </row>
    <row r="4174" spans="1:5" ht="12.5">
      <c r="A4174" s="81" t="str">
        <f t="shared" si="0"/>
        <v xml:space="preserve"> </v>
      </c>
      <c r="B4174" s="81" t="str">
        <f t="shared" si="1"/>
        <v xml:space="preserve"> </v>
      </c>
      <c r="C4174" s="79" t="str">
        <f t="shared" si="7"/>
        <v xml:space="preserve"> </v>
      </c>
      <c r="D4174" s="79" t="str">
        <f t="shared" si="5"/>
        <v xml:space="preserve"> </v>
      </c>
      <c r="E4174" s="79" t="str">
        <f t="shared" si="6"/>
        <v xml:space="preserve"> </v>
      </c>
    </row>
    <row r="4175" spans="1:5" ht="12.5">
      <c r="A4175" s="81" t="str">
        <f t="shared" si="0"/>
        <v xml:space="preserve"> </v>
      </c>
      <c r="B4175" s="81" t="str">
        <f t="shared" si="1"/>
        <v xml:space="preserve"> </v>
      </c>
      <c r="C4175" s="79" t="str">
        <f t="shared" si="7"/>
        <v xml:space="preserve"> </v>
      </c>
      <c r="D4175" s="79" t="str">
        <f t="shared" si="5"/>
        <v xml:space="preserve"> </v>
      </c>
      <c r="E4175" s="79" t="str">
        <f t="shared" si="6"/>
        <v xml:space="preserve"> </v>
      </c>
    </row>
    <row r="4176" spans="1:5" ht="12.5">
      <c r="A4176" s="81" t="str">
        <f t="shared" si="0"/>
        <v xml:space="preserve"> </v>
      </c>
      <c r="B4176" s="81" t="str">
        <f t="shared" si="1"/>
        <v xml:space="preserve"> </v>
      </c>
      <c r="C4176" s="79" t="str">
        <f t="shared" si="7"/>
        <v xml:space="preserve"> </v>
      </c>
      <c r="D4176" s="79" t="str">
        <f t="shared" si="5"/>
        <v xml:space="preserve"> </v>
      </c>
      <c r="E4176" s="79" t="str">
        <f t="shared" si="6"/>
        <v xml:space="preserve"> </v>
      </c>
    </row>
    <row r="4177" spans="1:5" ht="12.5">
      <c r="A4177" s="81" t="str">
        <f t="shared" si="0"/>
        <v xml:space="preserve"> </v>
      </c>
      <c r="B4177" s="81" t="str">
        <f t="shared" si="1"/>
        <v xml:space="preserve"> </v>
      </c>
      <c r="C4177" s="79" t="str">
        <f t="shared" si="7"/>
        <v xml:space="preserve"> </v>
      </c>
      <c r="D4177" s="79" t="str">
        <f t="shared" si="5"/>
        <v xml:space="preserve"> </v>
      </c>
      <c r="E4177" s="79" t="str">
        <f t="shared" si="6"/>
        <v xml:space="preserve"> </v>
      </c>
    </row>
    <row r="4178" spans="1:5" ht="12.5">
      <c r="A4178" s="81" t="str">
        <f t="shared" si="0"/>
        <v xml:space="preserve"> </v>
      </c>
      <c r="B4178" s="81" t="str">
        <f t="shared" si="1"/>
        <v xml:space="preserve"> </v>
      </c>
      <c r="C4178" s="79" t="str">
        <f t="shared" si="7"/>
        <v xml:space="preserve"> </v>
      </c>
      <c r="D4178" s="79" t="str">
        <f t="shared" si="5"/>
        <v xml:space="preserve"> </v>
      </c>
      <c r="E4178" s="79" t="str">
        <f t="shared" si="6"/>
        <v xml:space="preserve"> </v>
      </c>
    </row>
    <row r="4179" spans="1:5" ht="12.5">
      <c r="A4179" s="81" t="str">
        <f t="shared" si="0"/>
        <v xml:space="preserve"> </v>
      </c>
      <c r="B4179" s="81" t="str">
        <f t="shared" si="1"/>
        <v xml:space="preserve"> </v>
      </c>
      <c r="C4179" s="79" t="str">
        <f t="shared" si="7"/>
        <v xml:space="preserve"> </v>
      </c>
      <c r="D4179" s="79" t="str">
        <f t="shared" si="5"/>
        <v xml:space="preserve"> </v>
      </c>
      <c r="E4179" s="79" t="str">
        <f t="shared" si="6"/>
        <v xml:space="preserve"> </v>
      </c>
    </row>
    <row r="4180" spans="1:5" ht="12.5">
      <c r="A4180" s="81" t="str">
        <f t="shared" si="0"/>
        <v xml:space="preserve"> </v>
      </c>
      <c r="B4180" s="81" t="str">
        <f t="shared" si="1"/>
        <v xml:space="preserve"> </v>
      </c>
      <c r="C4180" s="79" t="str">
        <f t="shared" si="7"/>
        <v xml:space="preserve"> </v>
      </c>
      <c r="D4180" s="79" t="str">
        <f t="shared" si="5"/>
        <v xml:space="preserve"> </v>
      </c>
      <c r="E4180" s="79" t="str">
        <f t="shared" si="6"/>
        <v xml:space="preserve"> </v>
      </c>
    </row>
    <row r="4181" spans="1:5" ht="12.5">
      <c r="A4181" s="81" t="str">
        <f t="shared" si="0"/>
        <v xml:space="preserve"> </v>
      </c>
      <c r="B4181" s="81" t="str">
        <f t="shared" si="1"/>
        <v xml:space="preserve"> </v>
      </c>
      <c r="C4181" s="79" t="str">
        <f t="shared" si="7"/>
        <v xml:space="preserve"> </v>
      </c>
      <c r="D4181" s="79" t="str">
        <f t="shared" si="5"/>
        <v xml:space="preserve"> </v>
      </c>
      <c r="E4181" s="79" t="str">
        <f t="shared" si="6"/>
        <v xml:space="preserve"> </v>
      </c>
    </row>
    <row r="4182" spans="1:5" ht="12.5">
      <c r="A4182" s="81" t="str">
        <f t="shared" si="0"/>
        <v xml:space="preserve"> </v>
      </c>
      <c r="B4182" s="81" t="str">
        <f t="shared" si="1"/>
        <v xml:space="preserve"> </v>
      </c>
      <c r="C4182" s="79" t="str">
        <f t="shared" si="7"/>
        <v xml:space="preserve"> </v>
      </c>
      <c r="D4182" s="79" t="str">
        <f t="shared" si="5"/>
        <v xml:space="preserve"> </v>
      </c>
      <c r="E4182" s="79" t="str">
        <f t="shared" si="6"/>
        <v xml:space="preserve"> </v>
      </c>
    </row>
    <row r="4183" spans="1:5" ht="12.5">
      <c r="A4183" s="81" t="str">
        <f t="shared" si="0"/>
        <v xml:space="preserve"> </v>
      </c>
      <c r="B4183" s="81" t="str">
        <f t="shared" si="1"/>
        <v xml:space="preserve"> </v>
      </c>
      <c r="C4183" s="79" t="str">
        <f t="shared" si="7"/>
        <v xml:space="preserve"> </v>
      </c>
      <c r="D4183" s="79" t="str">
        <f t="shared" si="5"/>
        <v xml:space="preserve"> </v>
      </c>
      <c r="E4183" s="79" t="str">
        <f t="shared" si="6"/>
        <v xml:space="preserve"> </v>
      </c>
    </row>
    <row r="4184" spans="1:5" ht="12.5">
      <c r="A4184" s="81" t="str">
        <f t="shared" si="0"/>
        <v xml:space="preserve"> </v>
      </c>
      <c r="B4184" s="81" t="str">
        <f t="shared" si="1"/>
        <v xml:space="preserve"> </v>
      </c>
      <c r="C4184" s="79" t="str">
        <f t="shared" si="7"/>
        <v xml:space="preserve"> </v>
      </c>
      <c r="D4184" s="79" t="str">
        <f t="shared" si="5"/>
        <v xml:space="preserve"> </v>
      </c>
      <c r="E4184" s="79" t="str">
        <f t="shared" si="6"/>
        <v xml:space="preserve"> </v>
      </c>
    </row>
    <row r="4185" spans="1:5" ht="12.5">
      <c r="A4185" s="81" t="str">
        <f t="shared" si="0"/>
        <v xml:space="preserve"> </v>
      </c>
      <c r="B4185" s="81" t="str">
        <f t="shared" si="1"/>
        <v xml:space="preserve"> </v>
      </c>
      <c r="C4185" s="79" t="str">
        <f t="shared" si="7"/>
        <v xml:space="preserve"> </v>
      </c>
      <c r="D4185" s="79" t="str">
        <f t="shared" si="5"/>
        <v xml:space="preserve"> </v>
      </c>
      <c r="E4185" s="79" t="str">
        <f t="shared" si="6"/>
        <v xml:space="preserve"> </v>
      </c>
    </row>
    <row r="4186" spans="1:5" ht="12.5">
      <c r="A4186" s="81" t="str">
        <f t="shared" si="0"/>
        <v xml:space="preserve"> </v>
      </c>
      <c r="B4186" s="81" t="str">
        <f t="shared" si="1"/>
        <v xml:space="preserve"> </v>
      </c>
      <c r="C4186" s="79" t="str">
        <f t="shared" si="7"/>
        <v xml:space="preserve"> </v>
      </c>
      <c r="D4186" s="79" t="str">
        <f t="shared" si="5"/>
        <v xml:space="preserve"> </v>
      </c>
      <c r="E4186" s="79" t="str">
        <f t="shared" si="6"/>
        <v xml:space="preserve"> </v>
      </c>
    </row>
    <row r="4187" spans="1:5" ht="12.5">
      <c r="A4187" s="81" t="str">
        <f t="shared" si="0"/>
        <v xml:space="preserve"> </v>
      </c>
      <c r="B4187" s="81" t="str">
        <f t="shared" si="1"/>
        <v xml:space="preserve"> </v>
      </c>
      <c r="C4187" s="79" t="str">
        <f t="shared" si="7"/>
        <v xml:space="preserve"> </v>
      </c>
      <c r="D4187" s="79" t="str">
        <f t="shared" si="5"/>
        <v xml:space="preserve"> </v>
      </c>
      <c r="E4187" s="79" t="str">
        <f t="shared" si="6"/>
        <v xml:space="preserve"> </v>
      </c>
    </row>
    <row r="4188" spans="1:5" ht="12.5">
      <c r="A4188" s="81" t="str">
        <f t="shared" si="0"/>
        <v xml:space="preserve"> </v>
      </c>
      <c r="B4188" s="81" t="str">
        <f t="shared" si="1"/>
        <v xml:space="preserve"> </v>
      </c>
      <c r="C4188" s="79" t="str">
        <f t="shared" si="7"/>
        <v xml:space="preserve"> </v>
      </c>
      <c r="D4188" s="79" t="str">
        <f t="shared" si="5"/>
        <v xml:space="preserve"> </v>
      </c>
      <c r="E4188" s="79" t="str">
        <f t="shared" si="6"/>
        <v xml:space="preserve"> </v>
      </c>
    </row>
    <row r="4189" spans="1:5" ht="12.5">
      <c r="A4189" s="81" t="str">
        <f t="shared" si="0"/>
        <v xml:space="preserve"> </v>
      </c>
      <c r="B4189" s="81" t="str">
        <f t="shared" si="1"/>
        <v xml:space="preserve"> </v>
      </c>
      <c r="C4189" s="79" t="str">
        <f t="shared" si="7"/>
        <v xml:space="preserve"> </v>
      </c>
      <c r="D4189" s="79" t="str">
        <f t="shared" si="5"/>
        <v xml:space="preserve"> </v>
      </c>
      <c r="E4189" s="79" t="str">
        <f t="shared" si="6"/>
        <v xml:space="preserve"> </v>
      </c>
    </row>
    <row r="4190" spans="1:5" ht="12.5">
      <c r="A4190" s="81" t="str">
        <f t="shared" si="0"/>
        <v xml:space="preserve"> </v>
      </c>
      <c r="B4190" s="81" t="str">
        <f t="shared" si="1"/>
        <v xml:space="preserve"> </v>
      </c>
      <c r="C4190" s="79" t="str">
        <f t="shared" si="7"/>
        <v xml:space="preserve"> </v>
      </c>
      <c r="D4190" s="79" t="str">
        <f t="shared" si="5"/>
        <v xml:space="preserve"> </v>
      </c>
      <c r="E4190" s="79" t="str">
        <f t="shared" si="6"/>
        <v xml:space="preserve"> </v>
      </c>
    </row>
    <row r="4191" spans="1:5" ht="12.5">
      <c r="A4191" s="81" t="str">
        <f t="shared" si="0"/>
        <v xml:space="preserve"> </v>
      </c>
      <c r="B4191" s="81" t="str">
        <f t="shared" si="1"/>
        <v xml:space="preserve"> </v>
      </c>
      <c r="C4191" s="79" t="str">
        <f t="shared" si="7"/>
        <v xml:space="preserve"> </v>
      </c>
      <c r="D4191" s="79" t="str">
        <f t="shared" si="5"/>
        <v xml:space="preserve"> </v>
      </c>
      <c r="E4191" s="79" t="str">
        <f t="shared" si="6"/>
        <v xml:space="preserve"> </v>
      </c>
    </row>
    <row r="4192" spans="1:5" ht="12.5">
      <c r="A4192" s="81" t="str">
        <f t="shared" si="0"/>
        <v xml:space="preserve"> </v>
      </c>
      <c r="B4192" s="81" t="str">
        <f t="shared" si="1"/>
        <v xml:space="preserve"> </v>
      </c>
      <c r="C4192" s="79" t="str">
        <f t="shared" si="7"/>
        <v xml:space="preserve"> </v>
      </c>
      <c r="D4192" s="79" t="str">
        <f t="shared" si="5"/>
        <v xml:space="preserve"> </v>
      </c>
      <c r="E4192" s="79" t="str">
        <f t="shared" si="6"/>
        <v xml:space="preserve"> </v>
      </c>
    </row>
    <row r="4193" spans="1:5" ht="12.5">
      <c r="A4193" s="81" t="str">
        <f t="shared" si="0"/>
        <v xml:space="preserve"> </v>
      </c>
      <c r="B4193" s="81" t="str">
        <f t="shared" si="1"/>
        <v xml:space="preserve"> </v>
      </c>
      <c r="C4193" s="79" t="str">
        <f t="shared" si="7"/>
        <v xml:space="preserve"> </v>
      </c>
      <c r="D4193" s="79" t="str">
        <f t="shared" si="5"/>
        <v xml:space="preserve"> </v>
      </c>
      <c r="E4193" s="79" t="str">
        <f t="shared" si="6"/>
        <v xml:space="preserve"> </v>
      </c>
    </row>
    <row r="4194" spans="1:5" ht="12.5">
      <c r="A4194" s="81" t="str">
        <f t="shared" si="0"/>
        <v xml:space="preserve"> </v>
      </c>
      <c r="B4194" s="81" t="str">
        <f t="shared" si="1"/>
        <v xml:space="preserve"> </v>
      </c>
      <c r="C4194" s="79" t="str">
        <f t="shared" si="7"/>
        <v xml:space="preserve"> </v>
      </c>
      <c r="D4194" s="79" t="str">
        <f t="shared" si="5"/>
        <v xml:space="preserve"> </v>
      </c>
      <c r="E4194" s="79" t="str">
        <f t="shared" si="6"/>
        <v xml:space="preserve"> </v>
      </c>
    </row>
    <row r="4195" spans="1:5" ht="12.5">
      <c r="A4195" s="81" t="str">
        <f t="shared" si="0"/>
        <v xml:space="preserve"> </v>
      </c>
      <c r="B4195" s="81" t="str">
        <f t="shared" si="1"/>
        <v xml:space="preserve"> </v>
      </c>
      <c r="C4195" s="79" t="str">
        <f t="shared" si="7"/>
        <v xml:space="preserve"> </v>
      </c>
      <c r="D4195" s="79" t="str">
        <f t="shared" si="5"/>
        <v xml:space="preserve"> </v>
      </c>
      <c r="E4195" s="79" t="str">
        <f t="shared" si="6"/>
        <v xml:space="preserve"> </v>
      </c>
    </row>
    <row r="4196" spans="1:5" ht="12.5">
      <c r="A4196" s="81" t="str">
        <f t="shared" si="0"/>
        <v xml:space="preserve"> </v>
      </c>
      <c r="B4196" s="81" t="str">
        <f t="shared" si="1"/>
        <v xml:space="preserve"> </v>
      </c>
      <c r="C4196" s="79" t="str">
        <f t="shared" si="7"/>
        <v xml:space="preserve"> </v>
      </c>
      <c r="D4196" s="79" t="str">
        <f t="shared" si="5"/>
        <v xml:space="preserve"> </v>
      </c>
      <c r="E4196" s="79" t="str">
        <f t="shared" si="6"/>
        <v xml:space="preserve"> </v>
      </c>
    </row>
    <row r="4197" spans="1:5" ht="12.5">
      <c r="A4197" s="81" t="str">
        <f t="shared" si="0"/>
        <v xml:space="preserve"> </v>
      </c>
      <c r="B4197" s="81" t="str">
        <f t="shared" si="1"/>
        <v xml:space="preserve"> </v>
      </c>
      <c r="C4197" s="79" t="str">
        <f t="shared" si="7"/>
        <v xml:space="preserve"> </v>
      </c>
      <c r="D4197" s="79" t="str">
        <f t="shared" si="5"/>
        <v xml:space="preserve"> </v>
      </c>
      <c r="E4197" s="79" t="str">
        <f t="shared" si="6"/>
        <v xml:space="preserve"> </v>
      </c>
    </row>
    <row r="4198" spans="1:5" ht="12.5">
      <c r="A4198" s="81" t="str">
        <f t="shared" si="0"/>
        <v xml:space="preserve"> </v>
      </c>
      <c r="B4198" s="81" t="str">
        <f t="shared" si="1"/>
        <v xml:space="preserve"> </v>
      </c>
      <c r="C4198" s="79" t="str">
        <f t="shared" si="7"/>
        <v xml:space="preserve"> </v>
      </c>
      <c r="D4198" s="79" t="str">
        <f t="shared" si="5"/>
        <v xml:space="preserve"> </v>
      </c>
      <c r="E4198" s="79" t="str">
        <f t="shared" si="6"/>
        <v xml:space="preserve"> </v>
      </c>
    </row>
    <row r="4199" spans="1:5" ht="12.5">
      <c r="A4199" s="81" t="str">
        <f t="shared" si="0"/>
        <v xml:space="preserve"> </v>
      </c>
      <c r="B4199" s="81" t="str">
        <f t="shared" si="1"/>
        <v xml:space="preserve"> </v>
      </c>
      <c r="C4199" s="79" t="str">
        <f t="shared" si="7"/>
        <v xml:space="preserve"> </v>
      </c>
      <c r="D4199" s="79" t="str">
        <f t="shared" si="5"/>
        <v xml:space="preserve"> </v>
      </c>
      <c r="E4199" s="79" t="str">
        <f t="shared" si="6"/>
        <v xml:space="preserve"> </v>
      </c>
    </row>
    <row r="4200" spans="1:5" ht="12.5">
      <c r="A4200" s="81" t="str">
        <f t="shared" si="0"/>
        <v xml:space="preserve"> </v>
      </c>
      <c r="B4200" s="81" t="str">
        <f t="shared" si="1"/>
        <v xml:space="preserve"> </v>
      </c>
      <c r="C4200" s="79" t="str">
        <f t="shared" si="7"/>
        <v xml:space="preserve"> </v>
      </c>
      <c r="D4200" s="79" t="str">
        <f t="shared" si="5"/>
        <v xml:space="preserve"> </v>
      </c>
      <c r="E4200" s="79" t="str">
        <f t="shared" si="6"/>
        <v xml:space="preserve"> </v>
      </c>
    </row>
    <row r="4201" spans="1:5" ht="12.5">
      <c r="A4201" s="81" t="str">
        <f t="shared" si="0"/>
        <v xml:space="preserve"> </v>
      </c>
      <c r="B4201" s="81" t="str">
        <f t="shared" si="1"/>
        <v xml:space="preserve"> </v>
      </c>
      <c r="C4201" s="79" t="str">
        <f t="shared" si="7"/>
        <v xml:space="preserve"> </v>
      </c>
      <c r="D4201" s="79" t="str">
        <f t="shared" si="5"/>
        <v xml:space="preserve"> </v>
      </c>
      <c r="E4201" s="79" t="str">
        <f t="shared" si="6"/>
        <v xml:space="preserve"> </v>
      </c>
    </row>
    <row r="4202" spans="1:5" ht="12.5">
      <c r="A4202" s="81" t="str">
        <f t="shared" si="0"/>
        <v xml:space="preserve"> </v>
      </c>
      <c r="B4202" s="81" t="str">
        <f t="shared" si="1"/>
        <v xml:space="preserve"> </v>
      </c>
      <c r="C4202" s="79" t="str">
        <f t="shared" si="7"/>
        <v xml:space="preserve"> </v>
      </c>
      <c r="D4202" s="79" t="str">
        <f t="shared" si="5"/>
        <v xml:space="preserve"> </v>
      </c>
      <c r="E4202" s="79" t="str">
        <f t="shared" si="6"/>
        <v xml:space="preserve"> </v>
      </c>
    </row>
    <row r="4203" spans="1:5" ht="12.5">
      <c r="A4203" s="81" t="str">
        <f t="shared" si="0"/>
        <v xml:space="preserve"> </v>
      </c>
      <c r="B4203" s="81" t="str">
        <f t="shared" si="1"/>
        <v xml:space="preserve"> </v>
      </c>
      <c r="C4203" s="79" t="str">
        <f t="shared" si="7"/>
        <v xml:space="preserve"> </v>
      </c>
      <c r="D4203" s="79" t="str">
        <f t="shared" si="5"/>
        <v xml:space="preserve"> </v>
      </c>
      <c r="E4203" s="79" t="str">
        <f t="shared" si="6"/>
        <v xml:space="preserve"> </v>
      </c>
    </row>
    <row r="4204" spans="1:5" ht="12.5">
      <c r="A4204" s="81" t="str">
        <f t="shared" si="0"/>
        <v xml:space="preserve"> </v>
      </c>
      <c r="B4204" s="81" t="str">
        <f t="shared" si="1"/>
        <v xml:space="preserve"> </v>
      </c>
      <c r="C4204" s="79" t="str">
        <f t="shared" si="7"/>
        <v xml:space="preserve"> </v>
      </c>
      <c r="D4204" s="79" t="str">
        <f t="shared" si="5"/>
        <v xml:space="preserve"> </v>
      </c>
      <c r="E4204" s="79" t="str">
        <f t="shared" si="6"/>
        <v xml:space="preserve"> </v>
      </c>
    </row>
    <row r="4205" spans="1:5" ht="12.5">
      <c r="A4205" s="81" t="str">
        <f t="shared" si="0"/>
        <v xml:space="preserve"> </v>
      </c>
      <c r="B4205" s="81" t="str">
        <f t="shared" si="1"/>
        <v xml:space="preserve"> </v>
      </c>
      <c r="C4205" s="79" t="str">
        <f t="shared" si="7"/>
        <v xml:space="preserve"> </v>
      </c>
      <c r="D4205" s="79" t="str">
        <f t="shared" si="5"/>
        <v xml:space="preserve"> </v>
      </c>
      <c r="E4205" s="79" t="str">
        <f t="shared" si="6"/>
        <v xml:space="preserve"> </v>
      </c>
    </row>
    <row r="4206" spans="1:5" ht="12.5">
      <c r="A4206" s="81" t="str">
        <f t="shared" si="0"/>
        <v xml:space="preserve"> </v>
      </c>
      <c r="B4206" s="81" t="str">
        <f t="shared" si="1"/>
        <v xml:space="preserve"> </v>
      </c>
      <c r="C4206" s="79" t="str">
        <f t="shared" si="7"/>
        <v xml:space="preserve"> </v>
      </c>
      <c r="D4206" s="79" t="str">
        <f t="shared" si="5"/>
        <v xml:space="preserve"> </v>
      </c>
      <c r="E4206" s="79" t="str">
        <f t="shared" si="6"/>
        <v xml:space="preserve"> </v>
      </c>
    </row>
    <row r="4207" spans="1:5" ht="12.5">
      <c r="A4207" s="81" t="str">
        <f t="shared" si="0"/>
        <v xml:space="preserve"> </v>
      </c>
      <c r="B4207" s="81" t="str">
        <f t="shared" si="1"/>
        <v xml:space="preserve"> </v>
      </c>
      <c r="C4207" s="79" t="str">
        <f t="shared" si="7"/>
        <v xml:space="preserve"> </v>
      </c>
      <c r="D4207" s="79" t="str">
        <f t="shared" si="5"/>
        <v xml:space="preserve"> </v>
      </c>
      <c r="E4207" s="79" t="str">
        <f t="shared" si="6"/>
        <v xml:space="preserve"> </v>
      </c>
    </row>
    <row r="4208" spans="1:5" ht="12.5">
      <c r="A4208" s="81" t="str">
        <f t="shared" si="0"/>
        <v xml:space="preserve"> </v>
      </c>
      <c r="B4208" s="81" t="str">
        <f t="shared" si="1"/>
        <v xml:space="preserve"> </v>
      </c>
      <c r="C4208" s="79" t="str">
        <f t="shared" si="7"/>
        <v xml:space="preserve"> </v>
      </c>
      <c r="D4208" s="79" t="str">
        <f t="shared" si="5"/>
        <v xml:space="preserve"> </v>
      </c>
      <c r="E4208" s="79" t="str">
        <f t="shared" si="6"/>
        <v xml:space="preserve"> </v>
      </c>
    </row>
    <row r="4209" spans="1:5" ht="12.5">
      <c r="A4209" s="81" t="str">
        <f t="shared" si="0"/>
        <v xml:space="preserve"> </v>
      </c>
      <c r="B4209" s="81" t="str">
        <f t="shared" si="1"/>
        <v xml:space="preserve"> </v>
      </c>
      <c r="C4209" s="79" t="str">
        <f t="shared" si="7"/>
        <v xml:space="preserve"> </v>
      </c>
      <c r="D4209" s="79" t="str">
        <f t="shared" si="5"/>
        <v xml:space="preserve"> </v>
      </c>
      <c r="E4209" s="79" t="str">
        <f t="shared" si="6"/>
        <v xml:space="preserve"> </v>
      </c>
    </row>
    <row r="4210" spans="1:5" ht="12.5">
      <c r="A4210" s="81" t="str">
        <f t="shared" si="0"/>
        <v xml:space="preserve"> </v>
      </c>
      <c r="B4210" s="81" t="str">
        <f t="shared" si="1"/>
        <v xml:space="preserve"> </v>
      </c>
      <c r="C4210" s="79" t="str">
        <f t="shared" si="7"/>
        <v xml:space="preserve"> </v>
      </c>
      <c r="D4210" s="79" t="str">
        <f t="shared" si="5"/>
        <v xml:space="preserve"> </v>
      </c>
      <c r="E4210" s="79" t="str">
        <f t="shared" si="6"/>
        <v xml:space="preserve"> </v>
      </c>
    </row>
    <row r="4211" spans="1:5" ht="12.5">
      <c r="A4211" s="81" t="str">
        <f t="shared" si="0"/>
        <v xml:space="preserve"> </v>
      </c>
      <c r="B4211" s="81" t="str">
        <f t="shared" si="1"/>
        <v xml:space="preserve"> </v>
      </c>
      <c r="C4211" s="79" t="str">
        <f t="shared" si="7"/>
        <v xml:space="preserve"> </v>
      </c>
      <c r="D4211" s="79" t="str">
        <f t="shared" si="5"/>
        <v xml:space="preserve"> </v>
      </c>
      <c r="E4211" s="79" t="str">
        <f t="shared" si="6"/>
        <v xml:space="preserve"> </v>
      </c>
    </row>
    <row r="4212" spans="1:5" ht="12.5">
      <c r="A4212" s="81" t="str">
        <f t="shared" si="0"/>
        <v xml:space="preserve"> </v>
      </c>
      <c r="B4212" s="81" t="str">
        <f t="shared" si="1"/>
        <v xml:space="preserve"> </v>
      </c>
      <c r="C4212" s="79" t="str">
        <f t="shared" si="7"/>
        <v xml:space="preserve"> </v>
      </c>
      <c r="D4212" s="79" t="str">
        <f t="shared" si="5"/>
        <v xml:space="preserve"> </v>
      </c>
      <c r="E4212" s="79" t="str">
        <f t="shared" si="6"/>
        <v xml:space="preserve"> </v>
      </c>
    </row>
    <row r="4213" spans="1:5" ht="12.5">
      <c r="A4213" s="81" t="str">
        <f t="shared" si="0"/>
        <v xml:space="preserve"> </v>
      </c>
      <c r="B4213" s="81" t="str">
        <f t="shared" si="1"/>
        <v xml:space="preserve"> </v>
      </c>
      <c r="C4213" s="79" t="str">
        <f t="shared" si="7"/>
        <v xml:space="preserve"> </v>
      </c>
      <c r="D4213" s="79" t="str">
        <f t="shared" si="5"/>
        <v xml:space="preserve"> </v>
      </c>
      <c r="E4213" s="79" t="str">
        <f t="shared" si="6"/>
        <v xml:space="preserve"> </v>
      </c>
    </row>
    <row r="4214" spans="1:5" ht="12.5">
      <c r="A4214" s="81" t="str">
        <f t="shared" si="0"/>
        <v xml:space="preserve"> </v>
      </c>
      <c r="B4214" s="81" t="str">
        <f t="shared" si="1"/>
        <v xml:space="preserve"> </v>
      </c>
      <c r="C4214" s="79" t="str">
        <f t="shared" si="7"/>
        <v xml:space="preserve"> </v>
      </c>
      <c r="D4214" s="79" t="str">
        <f t="shared" si="5"/>
        <v xml:space="preserve"> </v>
      </c>
      <c r="E4214" s="79" t="str">
        <f t="shared" si="6"/>
        <v xml:space="preserve"> </v>
      </c>
    </row>
    <row r="4215" spans="1:5" ht="12.5">
      <c r="A4215" s="81" t="str">
        <f t="shared" si="0"/>
        <v xml:space="preserve"> </v>
      </c>
      <c r="B4215" s="81" t="str">
        <f t="shared" si="1"/>
        <v xml:space="preserve"> </v>
      </c>
      <c r="C4215" s="79" t="str">
        <f t="shared" si="7"/>
        <v xml:space="preserve"> </v>
      </c>
      <c r="D4215" s="79" t="str">
        <f t="shared" si="5"/>
        <v xml:space="preserve"> </v>
      </c>
      <c r="E4215" s="79" t="str">
        <f t="shared" si="6"/>
        <v xml:space="preserve"> </v>
      </c>
    </row>
    <row r="4216" spans="1:5" ht="12.5">
      <c r="A4216" s="81" t="str">
        <f t="shared" si="0"/>
        <v xml:space="preserve"> </v>
      </c>
      <c r="B4216" s="81" t="str">
        <f t="shared" si="1"/>
        <v xml:space="preserve"> </v>
      </c>
      <c r="C4216" s="79" t="str">
        <f t="shared" si="7"/>
        <v xml:space="preserve"> </v>
      </c>
      <c r="D4216" s="79" t="str">
        <f t="shared" si="5"/>
        <v xml:space="preserve"> </v>
      </c>
      <c r="E4216" s="79" t="str">
        <f t="shared" si="6"/>
        <v xml:space="preserve"> </v>
      </c>
    </row>
    <row r="4217" spans="1:5" ht="12.5">
      <c r="A4217" s="81" t="str">
        <f t="shared" si="0"/>
        <v xml:space="preserve"> </v>
      </c>
      <c r="B4217" s="81" t="str">
        <f t="shared" si="1"/>
        <v xml:space="preserve"> </v>
      </c>
      <c r="C4217" s="79" t="str">
        <f t="shared" si="7"/>
        <v xml:space="preserve"> </v>
      </c>
      <c r="D4217" s="79" t="str">
        <f t="shared" si="5"/>
        <v xml:space="preserve"> </v>
      </c>
      <c r="E4217" s="79" t="str">
        <f t="shared" si="6"/>
        <v xml:space="preserve"> </v>
      </c>
    </row>
    <row r="4218" spans="1:5" ht="12.5">
      <c r="A4218" s="81" t="str">
        <f t="shared" si="0"/>
        <v xml:space="preserve"> </v>
      </c>
      <c r="B4218" s="81" t="str">
        <f t="shared" si="1"/>
        <v xml:space="preserve"> </v>
      </c>
      <c r="C4218" s="79" t="str">
        <f t="shared" si="7"/>
        <v xml:space="preserve"> </v>
      </c>
      <c r="D4218" s="79" t="str">
        <f t="shared" si="5"/>
        <v xml:space="preserve"> </v>
      </c>
      <c r="E4218" s="79" t="str">
        <f t="shared" si="6"/>
        <v xml:space="preserve"> </v>
      </c>
    </row>
    <row r="4219" spans="1:5" ht="12.5">
      <c r="A4219" s="81" t="str">
        <f t="shared" si="0"/>
        <v xml:space="preserve"> </v>
      </c>
      <c r="B4219" s="81" t="str">
        <f t="shared" si="1"/>
        <v xml:space="preserve"> </v>
      </c>
      <c r="C4219" s="79" t="str">
        <f t="shared" si="7"/>
        <v xml:space="preserve"> </v>
      </c>
      <c r="D4219" s="79" t="str">
        <f t="shared" si="5"/>
        <v xml:space="preserve"> </v>
      </c>
      <c r="E4219" s="79" t="str">
        <f t="shared" si="6"/>
        <v xml:space="preserve"> </v>
      </c>
    </row>
    <row r="4220" spans="1:5" ht="12.5">
      <c r="A4220" s="81" t="str">
        <f t="shared" si="0"/>
        <v xml:space="preserve"> </v>
      </c>
      <c r="B4220" s="81" t="str">
        <f t="shared" si="1"/>
        <v xml:space="preserve"> </v>
      </c>
      <c r="C4220" s="79" t="str">
        <f t="shared" si="7"/>
        <v xml:space="preserve"> </v>
      </c>
      <c r="D4220" s="79" t="str">
        <f t="shared" si="5"/>
        <v xml:space="preserve"> </v>
      </c>
      <c r="E4220" s="79" t="str">
        <f t="shared" si="6"/>
        <v xml:space="preserve"> </v>
      </c>
    </row>
    <row r="4221" spans="1:5" ht="12.5">
      <c r="A4221" s="81" t="str">
        <f t="shared" si="0"/>
        <v xml:space="preserve"> </v>
      </c>
      <c r="B4221" s="81" t="str">
        <f t="shared" si="1"/>
        <v xml:space="preserve"> </v>
      </c>
      <c r="C4221" s="79" t="str">
        <f t="shared" si="7"/>
        <v xml:space="preserve"> </v>
      </c>
      <c r="D4221" s="79" t="str">
        <f t="shared" si="5"/>
        <v xml:space="preserve"> </v>
      </c>
      <c r="E4221" s="79" t="str">
        <f t="shared" si="6"/>
        <v xml:space="preserve"> </v>
      </c>
    </row>
    <row r="4222" spans="1:5" ht="12.5">
      <c r="A4222" s="81" t="str">
        <f t="shared" si="0"/>
        <v xml:space="preserve"> </v>
      </c>
      <c r="B4222" s="81" t="str">
        <f t="shared" si="1"/>
        <v xml:space="preserve"> </v>
      </c>
      <c r="C4222" s="79" t="str">
        <f t="shared" si="7"/>
        <v xml:space="preserve"> </v>
      </c>
      <c r="D4222" s="79" t="str">
        <f t="shared" si="5"/>
        <v xml:space="preserve"> </v>
      </c>
      <c r="E4222" s="79" t="str">
        <f t="shared" si="6"/>
        <v xml:space="preserve"> </v>
      </c>
    </row>
    <row r="4223" spans="1:5" ht="12.5">
      <c r="A4223" s="81" t="str">
        <f t="shared" si="0"/>
        <v xml:space="preserve"> </v>
      </c>
      <c r="B4223" s="81" t="str">
        <f t="shared" si="1"/>
        <v xml:space="preserve"> </v>
      </c>
      <c r="C4223" s="79" t="str">
        <f t="shared" si="7"/>
        <v xml:space="preserve"> </v>
      </c>
      <c r="D4223" s="79" t="str">
        <f t="shared" si="5"/>
        <v xml:space="preserve"> </v>
      </c>
      <c r="E4223" s="79" t="str">
        <f t="shared" si="6"/>
        <v xml:space="preserve"> </v>
      </c>
    </row>
    <row r="4224" spans="1:5" ht="12.5">
      <c r="A4224" s="81" t="str">
        <f t="shared" si="0"/>
        <v xml:space="preserve"> </v>
      </c>
      <c r="B4224" s="81" t="str">
        <f t="shared" si="1"/>
        <v xml:space="preserve"> </v>
      </c>
      <c r="C4224" s="79" t="str">
        <f t="shared" si="7"/>
        <v xml:space="preserve"> </v>
      </c>
      <c r="D4224" s="79" t="str">
        <f t="shared" si="5"/>
        <v xml:space="preserve"> </v>
      </c>
      <c r="E4224" s="79" t="str">
        <f t="shared" si="6"/>
        <v xml:space="preserve"> </v>
      </c>
    </row>
    <row r="4225" spans="1:5" ht="12.5">
      <c r="A4225" s="81" t="str">
        <f t="shared" si="0"/>
        <v xml:space="preserve"> </v>
      </c>
      <c r="B4225" s="81" t="str">
        <f t="shared" si="1"/>
        <v xml:space="preserve"> </v>
      </c>
      <c r="C4225" s="79" t="str">
        <f t="shared" si="7"/>
        <v xml:space="preserve"> </v>
      </c>
      <c r="D4225" s="79" t="str">
        <f t="shared" si="5"/>
        <v xml:space="preserve"> </v>
      </c>
      <c r="E4225" s="79" t="str">
        <f t="shared" si="6"/>
        <v xml:space="preserve"> </v>
      </c>
    </row>
    <row r="4226" spans="1:5" ht="12.5">
      <c r="A4226" s="81" t="str">
        <f t="shared" si="0"/>
        <v xml:space="preserve"> </v>
      </c>
      <c r="B4226" s="81" t="str">
        <f t="shared" si="1"/>
        <v xml:space="preserve"> </v>
      </c>
      <c r="C4226" s="79" t="str">
        <f t="shared" si="7"/>
        <v xml:space="preserve"> </v>
      </c>
      <c r="D4226" s="79" t="str">
        <f t="shared" si="5"/>
        <v xml:space="preserve"> </v>
      </c>
      <c r="E4226" s="79" t="str">
        <f t="shared" si="6"/>
        <v xml:space="preserve"> </v>
      </c>
    </row>
    <row r="4227" spans="1:5" ht="12.5">
      <c r="A4227" s="81" t="str">
        <f t="shared" si="0"/>
        <v xml:space="preserve"> </v>
      </c>
      <c r="B4227" s="81" t="str">
        <f t="shared" si="1"/>
        <v xml:space="preserve"> </v>
      </c>
      <c r="C4227" s="79" t="str">
        <f t="shared" si="7"/>
        <v xml:space="preserve"> </v>
      </c>
      <c r="D4227" s="79" t="str">
        <f t="shared" si="5"/>
        <v xml:space="preserve"> </v>
      </c>
      <c r="E4227" s="79" t="str">
        <f t="shared" si="6"/>
        <v xml:space="preserve"> </v>
      </c>
    </row>
    <row r="4228" spans="1:5" ht="12.5">
      <c r="A4228" s="81" t="str">
        <f t="shared" si="0"/>
        <v xml:space="preserve"> </v>
      </c>
      <c r="B4228" s="81" t="str">
        <f t="shared" si="1"/>
        <v xml:space="preserve"> </v>
      </c>
      <c r="C4228" s="79" t="str">
        <f t="shared" si="7"/>
        <v xml:space="preserve"> </v>
      </c>
      <c r="D4228" s="79" t="str">
        <f t="shared" si="5"/>
        <v xml:space="preserve"> </v>
      </c>
      <c r="E4228" s="79" t="str">
        <f t="shared" si="6"/>
        <v xml:space="preserve"> </v>
      </c>
    </row>
    <row r="4229" spans="1:5" ht="12.5">
      <c r="A4229" s="81" t="str">
        <f t="shared" si="0"/>
        <v xml:space="preserve"> </v>
      </c>
      <c r="B4229" s="81" t="str">
        <f t="shared" si="1"/>
        <v xml:space="preserve"> </v>
      </c>
      <c r="C4229" s="79" t="str">
        <f t="shared" si="7"/>
        <v xml:space="preserve"> </v>
      </c>
      <c r="D4229" s="79" t="str">
        <f t="shared" si="5"/>
        <v xml:space="preserve"> </v>
      </c>
      <c r="E4229" s="79" t="str">
        <f t="shared" si="6"/>
        <v xml:space="preserve"> </v>
      </c>
    </row>
    <row r="4230" spans="1:5" ht="12.5">
      <c r="A4230" s="81" t="str">
        <f t="shared" si="0"/>
        <v xml:space="preserve"> </v>
      </c>
      <c r="B4230" s="81" t="str">
        <f t="shared" si="1"/>
        <v xml:space="preserve"> </v>
      </c>
      <c r="C4230" s="79" t="str">
        <f t="shared" si="7"/>
        <v xml:space="preserve"> </v>
      </c>
      <c r="D4230" s="79" t="str">
        <f t="shared" si="5"/>
        <v xml:space="preserve"> </v>
      </c>
      <c r="E4230" s="79" t="str">
        <f t="shared" si="6"/>
        <v xml:space="preserve"> </v>
      </c>
    </row>
    <row r="4231" spans="1:5" ht="12.5">
      <c r="A4231" s="81" t="str">
        <f t="shared" si="0"/>
        <v xml:space="preserve"> </v>
      </c>
      <c r="B4231" s="81" t="str">
        <f t="shared" si="1"/>
        <v xml:space="preserve"> </v>
      </c>
      <c r="C4231" s="79" t="str">
        <f t="shared" si="7"/>
        <v xml:space="preserve"> </v>
      </c>
      <c r="D4231" s="79" t="str">
        <f t="shared" si="5"/>
        <v xml:space="preserve"> </v>
      </c>
      <c r="E4231" s="79" t="str">
        <f t="shared" si="6"/>
        <v xml:space="preserve"> </v>
      </c>
    </row>
    <row r="4232" spans="1:5" ht="12.5">
      <c r="A4232" s="81" t="str">
        <f t="shared" si="0"/>
        <v xml:space="preserve"> </v>
      </c>
      <c r="B4232" s="81" t="str">
        <f t="shared" si="1"/>
        <v xml:space="preserve"> </v>
      </c>
      <c r="C4232" s="79" t="str">
        <f t="shared" si="7"/>
        <v xml:space="preserve"> </v>
      </c>
      <c r="D4232" s="79" t="str">
        <f t="shared" si="5"/>
        <v xml:space="preserve"> </v>
      </c>
      <c r="E4232" s="79" t="str">
        <f t="shared" si="6"/>
        <v xml:space="preserve"> </v>
      </c>
    </row>
    <row r="4233" spans="1:5" ht="12.5">
      <c r="A4233" s="81" t="str">
        <f t="shared" si="0"/>
        <v xml:space="preserve"> </v>
      </c>
      <c r="B4233" s="81" t="str">
        <f t="shared" si="1"/>
        <v xml:space="preserve"> </v>
      </c>
      <c r="C4233" s="79" t="str">
        <f t="shared" si="7"/>
        <v xml:space="preserve"> </v>
      </c>
      <c r="D4233" s="79" t="str">
        <f t="shared" si="5"/>
        <v xml:space="preserve"> </v>
      </c>
      <c r="E4233" s="79" t="str">
        <f t="shared" si="6"/>
        <v xml:space="preserve"> </v>
      </c>
    </row>
    <row r="4234" spans="1:5" ht="12.5">
      <c r="A4234" s="81" t="str">
        <f t="shared" si="0"/>
        <v xml:space="preserve"> </v>
      </c>
      <c r="B4234" s="81" t="str">
        <f t="shared" si="1"/>
        <v xml:space="preserve"> </v>
      </c>
      <c r="C4234" s="79" t="str">
        <f t="shared" si="7"/>
        <v xml:space="preserve"> </v>
      </c>
      <c r="D4234" s="79" t="str">
        <f t="shared" si="5"/>
        <v xml:space="preserve"> </v>
      </c>
      <c r="E4234" s="79" t="str">
        <f t="shared" si="6"/>
        <v xml:space="preserve"> </v>
      </c>
    </row>
    <row r="4235" spans="1:5" ht="12.5">
      <c r="A4235" s="81" t="str">
        <f t="shared" si="0"/>
        <v xml:space="preserve"> </v>
      </c>
      <c r="B4235" s="81" t="str">
        <f t="shared" si="1"/>
        <v xml:space="preserve"> </v>
      </c>
      <c r="C4235" s="79" t="str">
        <f t="shared" si="7"/>
        <v xml:space="preserve"> </v>
      </c>
      <c r="D4235" s="79" t="str">
        <f t="shared" si="5"/>
        <v xml:space="preserve"> </v>
      </c>
      <c r="E4235" s="79" t="str">
        <f t="shared" si="6"/>
        <v xml:space="preserve"> </v>
      </c>
    </row>
    <row r="4236" spans="1:5" ht="12.5">
      <c r="A4236" s="81" t="str">
        <f t="shared" si="0"/>
        <v xml:space="preserve"> </v>
      </c>
      <c r="B4236" s="81" t="str">
        <f t="shared" si="1"/>
        <v xml:space="preserve"> </v>
      </c>
      <c r="C4236" s="79" t="str">
        <f t="shared" si="7"/>
        <v xml:space="preserve"> </v>
      </c>
      <c r="D4236" s="79" t="str">
        <f t="shared" si="5"/>
        <v xml:space="preserve"> </v>
      </c>
      <c r="E4236" s="79" t="str">
        <f t="shared" si="6"/>
        <v xml:space="preserve"> </v>
      </c>
    </row>
    <row r="4237" spans="1:5" ht="12.5">
      <c r="A4237" s="81" t="str">
        <f t="shared" si="0"/>
        <v xml:space="preserve"> </v>
      </c>
      <c r="B4237" s="81" t="str">
        <f t="shared" si="1"/>
        <v xml:space="preserve"> </v>
      </c>
      <c r="C4237" s="79" t="str">
        <f t="shared" si="7"/>
        <v xml:space="preserve"> </v>
      </c>
      <c r="D4237" s="79" t="str">
        <f t="shared" si="5"/>
        <v xml:space="preserve"> </v>
      </c>
      <c r="E4237" s="79" t="str">
        <f t="shared" si="6"/>
        <v xml:space="preserve"> </v>
      </c>
    </row>
    <row r="4238" spans="1:5" ht="12.5">
      <c r="A4238" s="81" t="str">
        <f t="shared" si="0"/>
        <v xml:space="preserve"> </v>
      </c>
      <c r="B4238" s="81" t="str">
        <f t="shared" si="1"/>
        <v xml:space="preserve"> </v>
      </c>
      <c r="C4238" s="79" t="str">
        <f t="shared" si="7"/>
        <v xml:space="preserve"> </v>
      </c>
      <c r="D4238" s="79" t="str">
        <f t="shared" si="5"/>
        <v xml:space="preserve"> </v>
      </c>
      <c r="E4238" s="79" t="str">
        <f t="shared" si="6"/>
        <v xml:space="preserve"> </v>
      </c>
    </row>
    <row r="4239" spans="1:5" ht="12.5">
      <c r="A4239" s="81" t="str">
        <f t="shared" si="0"/>
        <v xml:space="preserve"> </v>
      </c>
      <c r="B4239" s="81" t="str">
        <f t="shared" si="1"/>
        <v xml:space="preserve"> </v>
      </c>
      <c r="C4239" s="79" t="str">
        <f t="shared" si="7"/>
        <v xml:space="preserve"> </v>
      </c>
      <c r="D4239" s="79" t="str">
        <f t="shared" si="5"/>
        <v xml:space="preserve"> </v>
      </c>
      <c r="E4239" s="79" t="str">
        <f t="shared" si="6"/>
        <v xml:space="preserve"> </v>
      </c>
    </row>
    <row r="4240" spans="1:5" ht="12.5">
      <c r="A4240" s="81" t="str">
        <f t="shared" si="0"/>
        <v xml:space="preserve"> </v>
      </c>
      <c r="B4240" s="81" t="str">
        <f t="shared" si="1"/>
        <v xml:space="preserve"> </v>
      </c>
      <c r="C4240" s="79" t="str">
        <f t="shared" si="7"/>
        <v xml:space="preserve"> </v>
      </c>
      <c r="D4240" s="79" t="str">
        <f t="shared" si="5"/>
        <v xml:space="preserve"> </v>
      </c>
      <c r="E4240" s="79" t="str">
        <f t="shared" si="6"/>
        <v xml:space="preserve"> </v>
      </c>
    </row>
    <row r="4241" spans="1:5" ht="12.5">
      <c r="A4241" s="81" t="str">
        <f t="shared" si="0"/>
        <v xml:space="preserve"> </v>
      </c>
      <c r="B4241" s="81" t="str">
        <f t="shared" si="1"/>
        <v xml:space="preserve"> </v>
      </c>
      <c r="C4241" s="79" t="str">
        <f t="shared" si="7"/>
        <v xml:space="preserve"> </v>
      </c>
      <c r="D4241" s="79" t="str">
        <f t="shared" si="5"/>
        <v xml:space="preserve"> </v>
      </c>
      <c r="E4241" s="79" t="str">
        <f t="shared" si="6"/>
        <v xml:space="preserve"> </v>
      </c>
    </row>
    <row r="4242" spans="1:5" ht="12.5">
      <c r="A4242" s="81" t="str">
        <f t="shared" si="0"/>
        <v xml:space="preserve"> </v>
      </c>
      <c r="B4242" s="81" t="str">
        <f t="shared" si="1"/>
        <v xml:space="preserve"> </v>
      </c>
      <c r="C4242" s="79" t="str">
        <f t="shared" si="7"/>
        <v xml:space="preserve"> </v>
      </c>
      <c r="D4242" s="79" t="str">
        <f t="shared" si="5"/>
        <v xml:space="preserve"> </v>
      </c>
      <c r="E4242" s="79" t="str">
        <f t="shared" si="6"/>
        <v xml:space="preserve"> </v>
      </c>
    </row>
    <row r="4243" spans="1:5" ht="12.5">
      <c r="A4243" s="81" t="str">
        <f t="shared" si="0"/>
        <v xml:space="preserve"> </v>
      </c>
      <c r="B4243" s="81" t="str">
        <f t="shared" si="1"/>
        <v xml:space="preserve"> </v>
      </c>
      <c r="C4243" s="79" t="str">
        <f t="shared" si="7"/>
        <v xml:space="preserve"> </v>
      </c>
      <c r="D4243" s="79" t="str">
        <f t="shared" si="5"/>
        <v xml:space="preserve"> </v>
      </c>
      <c r="E4243" s="79" t="str">
        <f t="shared" si="6"/>
        <v xml:space="preserve"> </v>
      </c>
    </row>
    <row r="4244" spans="1:5" ht="12.5">
      <c r="A4244" s="81" t="str">
        <f t="shared" si="0"/>
        <v xml:space="preserve"> </v>
      </c>
      <c r="B4244" s="81" t="str">
        <f t="shared" si="1"/>
        <v xml:space="preserve"> </v>
      </c>
      <c r="C4244" s="79" t="str">
        <f t="shared" si="7"/>
        <v xml:space="preserve"> </v>
      </c>
      <c r="D4244" s="79" t="str">
        <f t="shared" si="5"/>
        <v xml:space="preserve"> </v>
      </c>
      <c r="E4244" s="79" t="str">
        <f t="shared" si="6"/>
        <v xml:space="preserve"> </v>
      </c>
    </row>
    <row r="4245" spans="1:5" ht="12.5">
      <c r="A4245" s="81" t="str">
        <f t="shared" si="0"/>
        <v xml:space="preserve"> </v>
      </c>
      <c r="B4245" s="81" t="str">
        <f t="shared" si="1"/>
        <v xml:space="preserve"> </v>
      </c>
      <c r="C4245" s="79" t="str">
        <f t="shared" si="7"/>
        <v xml:space="preserve"> </v>
      </c>
      <c r="D4245" s="79" t="str">
        <f t="shared" si="5"/>
        <v xml:space="preserve"> </v>
      </c>
      <c r="E4245" s="79" t="str">
        <f t="shared" si="6"/>
        <v xml:space="preserve"> </v>
      </c>
    </row>
    <row r="4246" spans="1:5" ht="12.5">
      <c r="A4246" s="81" t="str">
        <f t="shared" si="0"/>
        <v xml:space="preserve"> </v>
      </c>
      <c r="B4246" s="81" t="str">
        <f t="shared" si="1"/>
        <v xml:space="preserve"> </v>
      </c>
      <c r="C4246" s="79" t="str">
        <f t="shared" si="7"/>
        <v xml:space="preserve"> </v>
      </c>
      <c r="D4246" s="79" t="str">
        <f t="shared" si="5"/>
        <v xml:space="preserve"> </v>
      </c>
      <c r="E4246" s="79" t="str">
        <f t="shared" si="6"/>
        <v xml:space="preserve"> </v>
      </c>
    </row>
    <row r="4247" spans="1:5" ht="12.5">
      <c r="A4247" s="81" t="str">
        <f t="shared" si="0"/>
        <v xml:space="preserve"> </v>
      </c>
      <c r="B4247" s="81" t="str">
        <f t="shared" si="1"/>
        <v xml:space="preserve"> </v>
      </c>
      <c r="C4247" s="79" t="str">
        <f t="shared" si="7"/>
        <v xml:space="preserve"> </v>
      </c>
      <c r="D4247" s="79" t="str">
        <f t="shared" si="5"/>
        <v xml:space="preserve"> </v>
      </c>
      <c r="E4247" s="79" t="str">
        <f t="shared" si="6"/>
        <v xml:space="preserve"> </v>
      </c>
    </row>
    <row r="4248" spans="1:5" ht="12.5">
      <c r="A4248" s="81" t="str">
        <f t="shared" si="0"/>
        <v xml:space="preserve"> </v>
      </c>
      <c r="B4248" s="81" t="str">
        <f t="shared" si="1"/>
        <v xml:space="preserve"> </v>
      </c>
      <c r="C4248" s="79" t="str">
        <f t="shared" si="7"/>
        <v xml:space="preserve"> </v>
      </c>
      <c r="D4248" s="79" t="str">
        <f t="shared" si="5"/>
        <v xml:space="preserve"> </v>
      </c>
      <c r="E4248" s="79" t="str">
        <f t="shared" si="6"/>
        <v xml:space="preserve"> </v>
      </c>
    </row>
    <row r="4249" spans="1:5" ht="12.5">
      <c r="A4249" s="81" t="str">
        <f t="shared" si="0"/>
        <v xml:space="preserve"> </v>
      </c>
      <c r="B4249" s="81" t="str">
        <f t="shared" si="1"/>
        <v xml:space="preserve"> </v>
      </c>
      <c r="C4249" s="79" t="str">
        <f t="shared" si="7"/>
        <v xml:space="preserve"> </v>
      </c>
      <c r="D4249" s="79" t="str">
        <f t="shared" si="5"/>
        <v xml:space="preserve"> </v>
      </c>
      <c r="E4249" s="79" t="str">
        <f t="shared" si="6"/>
        <v xml:space="preserve"> </v>
      </c>
    </row>
    <row r="4250" spans="1:5" ht="12.5">
      <c r="A4250" s="81" t="str">
        <f t="shared" si="0"/>
        <v xml:space="preserve"> </v>
      </c>
      <c r="B4250" s="81" t="str">
        <f t="shared" si="1"/>
        <v xml:space="preserve"> </v>
      </c>
      <c r="C4250" s="79" t="str">
        <f t="shared" si="7"/>
        <v xml:space="preserve"> </v>
      </c>
      <c r="D4250" s="79" t="str">
        <f t="shared" si="5"/>
        <v xml:space="preserve"> </v>
      </c>
      <c r="E4250" s="79" t="str">
        <f t="shared" si="6"/>
        <v xml:space="preserve"> </v>
      </c>
    </row>
    <row r="4251" spans="1:5" ht="12.5">
      <c r="A4251" s="81" t="str">
        <f t="shared" si="0"/>
        <v xml:space="preserve"> </v>
      </c>
      <c r="B4251" s="81" t="str">
        <f t="shared" si="1"/>
        <v xml:space="preserve"> </v>
      </c>
      <c r="C4251" s="79" t="str">
        <f t="shared" si="7"/>
        <v xml:space="preserve"> </v>
      </c>
      <c r="D4251" s="79" t="str">
        <f t="shared" si="5"/>
        <v xml:space="preserve"> </v>
      </c>
      <c r="E4251" s="79" t="str">
        <f t="shared" si="6"/>
        <v xml:space="preserve"> </v>
      </c>
    </row>
    <row r="4252" spans="1:5" ht="12.5">
      <c r="A4252" s="81" t="str">
        <f t="shared" si="0"/>
        <v xml:space="preserve"> </v>
      </c>
      <c r="B4252" s="81" t="str">
        <f t="shared" si="1"/>
        <v xml:space="preserve"> </v>
      </c>
      <c r="C4252" s="79" t="str">
        <f t="shared" si="7"/>
        <v xml:space="preserve"> </v>
      </c>
      <c r="D4252" s="79" t="str">
        <f t="shared" si="5"/>
        <v xml:space="preserve"> </v>
      </c>
      <c r="E4252" s="79" t="str">
        <f t="shared" si="6"/>
        <v xml:space="preserve"> </v>
      </c>
    </row>
    <row r="4253" spans="1:5" ht="12.5">
      <c r="A4253" s="81" t="str">
        <f t="shared" si="0"/>
        <v xml:space="preserve"> </v>
      </c>
      <c r="B4253" s="81" t="str">
        <f t="shared" si="1"/>
        <v xml:space="preserve"> </v>
      </c>
      <c r="C4253" s="79" t="str">
        <f t="shared" si="7"/>
        <v xml:space="preserve"> </v>
      </c>
      <c r="D4253" s="79" t="str">
        <f t="shared" si="5"/>
        <v xml:space="preserve"> </v>
      </c>
      <c r="E4253" s="79" t="str">
        <f t="shared" si="6"/>
        <v xml:space="preserve"> </v>
      </c>
    </row>
    <row r="4254" spans="1:5" ht="12.5">
      <c r="A4254" s="81" t="str">
        <f t="shared" si="0"/>
        <v xml:space="preserve"> </v>
      </c>
      <c r="B4254" s="81" t="str">
        <f t="shared" si="1"/>
        <v xml:space="preserve"> </v>
      </c>
      <c r="C4254" s="79" t="str">
        <f t="shared" si="7"/>
        <v xml:space="preserve"> </v>
      </c>
      <c r="D4254" s="79" t="str">
        <f t="shared" si="5"/>
        <v xml:space="preserve"> </v>
      </c>
      <c r="E4254" s="79" t="str">
        <f t="shared" si="6"/>
        <v xml:space="preserve"> </v>
      </c>
    </row>
    <row r="4255" spans="1:5" ht="12.5">
      <c r="A4255" s="81" t="str">
        <f t="shared" si="0"/>
        <v xml:space="preserve"> </v>
      </c>
      <c r="B4255" s="81" t="str">
        <f t="shared" si="1"/>
        <v xml:space="preserve"> </v>
      </c>
      <c r="C4255" s="79" t="str">
        <f t="shared" si="7"/>
        <v xml:space="preserve"> </v>
      </c>
      <c r="D4255" s="79" t="str">
        <f t="shared" si="5"/>
        <v xml:space="preserve"> </v>
      </c>
      <c r="E4255" s="79" t="str">
        <f t="shared" si="6"/>
        <v xml:space="preserve"> </v>
      </c>
    </row>
    <row r="4256" spans="1:5" ht="12.5">
      <c r="A4256" s="81" t="str">
        <f t="shared" si="0"/>
        <v xml:space="preserve"> </v>
      </c>
      <c r="B4256" s="81" t="str">
        <f t="shared" si="1"/>
        <v xml:space="preserve"> </v>
      </c>
      <c r="C4256" s="79" t="str">
        <f t="shared" si="7"/>
        <v xml:space="preserve"> </v>
      </c>
      <c r="D4256" s="79" t="str">
        <f t="shared" si="5"/>
        <v xml:space="preserve"> </v>
      </c>
      <c r="E4256" s="79" t="str">
        <f t="shared" si="6"/>
        <v xml:space="preserve"> </v>
      </c>
    </row>
    <row r="4257" spans="1:5" ht="12.5">
      <c r="A4257" s="81" t="str">
        <f t="shared" si="0"/>
        <v xml:space="preserve"> </v>
      </c>
      <c r="B4257" s="81" t="str">
        <f t="shared" si="1"/>
        <v xml:space="preserve"> </v>
      </c>
      <c r="C4257" s="79" t="str">
        <f t="shared" si="7"/>
        <v xml:space="preserve"> </v>
      </c>
      <c r="D4257" s="79" t="str">
        <f t="shared" si="5"/>
        <v xml:space="preserve"> </v>
      </c>
      <c r="E4257" s="79" t="str">
        <f t="shared" si="6"/>
        <v xml:space="preserve"> </v>
      </c>
    </row>
    <row r="4258" spans="1:5" ht="12.5">
      <c r="A4258" s="81" t="str">
        <f t="shared" si="0"/>
        <v xml:space="preserve"> </v>
      </c>
      <c r="B4258" s="81" t="str">
        <f t="shared" si="1"/>
        <v xml:space="preserve"> </v>
      </c>
      <c r="C4258" s="79" t="str">
        <f t="shared" si="7"/>
        <v xml:space="preserve"> </v>
      </c>
      <c r="D4258" s="79" t="str">
        <f t="shared" si="5"/>
        <v xml:space="preserve"> </v>
      </c>
      <c r="E4258" s="79" t="str">
        <f t="shared" si="6"/>
        <v xml:space="preserve"> </v>
      </c>
    </row>
    <row r="4259" spans="1:5" ht="12.5">
      <c r="A4259" s="81" t="str">
        <f t="shared" si="0"/>
        <v xml:space="preserve"> </v>
      </c>
      <c r="B4259" s="81" t="str">
        <f t="shared" si="1"/>
        <v xml:space="preserve"> </v>
      </c>
      <c r="C4259" s="79" t="str">
        <f t="shared" si="7"/>
        <v xml:space="preserve"> </v>
      </c>
      <c r="D4259" s="79" t="str">
        <f t="shared" si="5"/>
        <v xml:space="preserve"> </v>
      </c>
      <c r="E4259" s="79" t="str">
        <f t="shared" si="6"/>
        <v xml:space="preserve"> </v>
      </c>
    </row>
    <row r="4260" spans="1:5" ht="12.5">
      <c r="A4260" s="81" t="str">
        <f t="shared" si="0"/>
        <v xml:space="preserve"> </v>
      </c>
      <c r="B4260" s="81" t="str">
        <f t="shared" si="1"/>
        <v xml:space="preserve"> </v>
      </c>
      <c r="C4260" s="79" t="str">
        <f t="shared" si="7"/>
        <v xml:space="preserve"> </v>
      </c>
      <c r="D4260" s="79" t="str">
        <f t="shared" si="5"/>
        <v xml:space="preserve"> </v>
      </c>
      <c r="E4260" s="79" t="str">
        <f t="shared" si="6"/>
        <v xml:space="preserve"> </v>
      </c>
    </row>
    <row r="4261" spans="1:5" ht="12.5">
      <c r="A4261" s="81" t="str">
        <f t="shared" si="0"/>
        <v xml:space="preserve"> </v>
      </c>
      <c r="B4261" s="81" t="str">
        <f t="shared" si="1"/>
        <v xml:space="preserve"> </v>
      </c>
      <c r="C4261" s="79" t="str">
        <f t="shared" si="7"/>
        <v xml:space="preserve"> </v>
      </c>
      <c r="D4261" s="79" t="str">
        <f t="shared" si="5"/>
        <v xml:space="preserve"> </v>
      </c>
      <c r="E4261" s="79" t="str">
        <f t="shared" si="6"/>
        <v xml:space="preserve"> </v>
      </c>
    </row>
    <row r="4262" spans="1:5" ht="12.5">
      <c r="A4262" s="81" t="str">
        <f t="shared" si="0"/>
        <v xml:space="preserve"> </v>
      </c>
      <c r="B4262" s="81" t="str">
        <f t="shared" si="1"/>
        <v xml:space="preserve"> </v>
      </c>
      <c r="C4262" s="79" t="str">
        <f t="shared" si="7"/>
        <v xml:space="preserve"> </v>
      </c>
      <c r="D4262" s="79" t="str">
        <f t="shared" si="5"/>
        <v xml:space="preserve"> </v>
      </c>
      <c r="E4262" s="79" t="str">
        <f t="shared" si="6"/>
        <v xml:space="preserve"> </v>
      </c>
    </row>
    <row r="4263" spans="1:5" ht="12.5">
      <c r="A4263" s="81" t="str">
        <f t="shared" si="0"/>
        <v xml:space="preserve"> </v>
      </c>
      <c r="B4263" s="81" t="str">
        <f t="shared" si="1"/>
        <v xml:space="preserve"> </v>
      </c>
      <c r="C4263" s="79" t="str">
        <f t="shared" si="7"/>
        <v xml:space="preserve"> </v>
      </c>
      <c r="D4263" s="79" t="str">
        <f t="shared" si="5"/>
        <v xml:space="preserve"> </v>
      </c>
      <c r="E4263" s="79" t="str">
        <f t="shared" si="6"/>
        <v xml:space="preserve"> </v>
      </c>
    </row>
    <row r="4264" spans="1:5" ht="12.5">
      <c r="A4264" s="81" t="str">
        <f t="shared" si="0"/>
        <v xml:space="preserve"> </v>
      </c>
      <c r="B4264" s="81" t="str">
        <f t="shared" si="1"/>
        <v xml:space="preserve"> </v>
      </c>
      <c r="C4264" s="79" t="str">
        <f t="shared" si="7"/>
        <v xml:space="preserve"> </v>
      </c>
      <c r="D4264" s="79" t="str">
        <f t="shared" si="5"/>
        <v xml:space="preserve"> </v>
      </c>
      <c r="E4264" s="79" t="str">
        <f t="shared" si="6"/>
        <v xml:space="preserve"> </v>
      </c>
    </row>
    <row r="4265" spans="1:5" ht="12.5">
      <c r="A4265" s="81" t="str">
        <f t="shared" si="0"/>
        <v xml:space="preserve"> </v>
      </c>
      <c r="B4265" s="81" t="str">
        <f t="shared" si="1"/>
        <v xml:space="preserve"> </v>
      </c>
      <c r="C4265" s="79" t="str">
        <f t="shared" si="7"/>
        <v xml:space="preserve"> </v>
      </c>
      <c r="D4265" s="79" t="str">
        <f t="shared" si="5"/>
        <v xml:space="preserve"> </v>
      </c>
      <c r="E4265" s="79" t="str">
        <f t="shared" si="6"/>
        <v xml:space="preserve"> </v>
      </c>
    </row>
    <row r="4266" spans="1:5" ht="12.5">
      <c r="A4266" s="81" t="str">
        <f t="shared" si="0"/>
        <v xml:space="preserve"> </v>
      </c>
      <c r="B4266" s="81" t="str">
        <f t="shared" si="1"/>
        <v xml:space="preserve"> </v>
      </c>
      <c r="C4266" s="79" t="str">
        <f t="shared" si="7"/>
        <v xml:space="preserve"> </v>
      </c>
      <c r="D4266" s="79" t="str">
        <f t="shared" si="5"/>
        <v xml:space="preserve"> </v>
      </c>
      <c r="E4266" s="79" t="str">
        <f t="shared" si="6"/>
        <v xml:space="preserve"> </v>
      </c>
    </row>
    <row r="4267" spans="1:5" ht="12.5">
      <c r="A4267" s="81" t="str">
        <f t="shared" si="0"/>
        <v xml:space="preserve"> </v>
      </c>
      <c r="B4267" s="81" t="str">
        <f t="shared" si="1"/>
        <v xml:space="preserve"> </v>
      </c>
      <c r="C4267" s="79" t="str">
        <f t="shared" si="7"/>
        <v xml:space="preserve"> </v>
      </c>
      <c r="D4267" s="79" t="str">
        <f t="shared" si="5"/>
        <v xml:space="preserve"> </v>
      </c>
      <c r="E4267" s="79" t="str">
        <f t="shared" si="6"/>
        <v xml:space="preserve"> </v>
      </c>
    </row>
    <row r="4268" spans="1:5" ht="12.5">
      <c r="A4268" s="81" t="str">
        <f t="shared" si="0"/>
        <v xml:space="preserve"> </v>
      </c>
      <c r="B4268" s="81" t="str">
        <f t="shared" si="1"/>
        <v xml:space="preserve"> </v>
      </c>
      <c r="C4268" s="79" t="str">
        <f t="shared" si="7"/>
        <v xml:space="preserve"> </v>
      </c>
      <c r="D4268" s="79" t="str">
        <f t="shared" si="5"/>
        <v xml:space="preserve"> </v>
      </c>
      <c r="E4268" s="79" t="str">
        <f t="shared" si="6"/>
        <v xml:space="preserve"> </v>
      </c>
    </row>
    <row r="4269" spans="1:5" ht="12.5">
      <c r="A4269" s="81" t="str">
        <f t="shared" si="0"/>
        <v xml:space="preserve"> </v>
      </c>
      <c r="B4269" s="81" t="str">
        <f t="shared" si="1"/>
        <v xml:space="preserve"> </v>
      </c>
      <c r="C4269" s="79" t="str">
        <f t="shared" si="7"/>
        <v xml:space="preserve"> </v>
      </c>
      <c r="D4269" s="79" t="str">
        <f t="shared" si="5"/>
        <v xml:space="preserve"> </v>
      </c>
      <c r="E4269" s="79" t="str">
        <f t="shared" si="6"/>
        <v xml:space="preserve"> </v>
      </c>
    </row>
    <row r="4270" spans="1:5" ht="12.5">
      <c r="A4270" s="81" t="str">
        <f t="shared" si="0"/>
        <v xml:space="preserve"> </v>
      </c>
      <c r="B4270" s="81" t="str">
        <f t="shared" si="1"/>
        <v xml:space="preserve"> </v>
      </c>
      <c r="C4270" s="79" t="str">
        <f t="shared" si="7"/>
        <v xml:space="preserve"> </v>
      </c>
      <c r="D4270" s="79" t="str">
        <f t="shared" si="5"/>
        <v xml:space="preserve"> </v>
      </c>
      <c r="E4270" s="79" t="str">
        <f t="shared" si="6"/>
        <v xml:space="preserve"> </v>
      </c>
    </row>
    <row r="4271" spans="1:5" ht="12.5">
      <c r="A4271" s="81" t="str">
        <f t="shared" si="0"/>
        <v xml:space="preserve"> </v>
      </c>
      <c r="B4271" s="81" t="str">
        <f t="shared" si="1"/>
        <v xml:space="preserve"> </v>
      </c>
      <c r="C4271" s="79" t="str">
        <f t="shared" si="7"/>
        <v xml:space="preserve"> </v>
      </c>
      <c r="D4271" s="79" t="str">
        <f t="shared" si="5"/>
        <v xml:space="preserve"> </v>
      </c>
      <c r="E4271" s="79" t="str">
        <f t="shared" si="6"/>
        <v xml:space="preserve"> </v>
      </c>
    </row>
    <row r="4272" spans="1:5" ht="12.5">
      <c r="A4272" s="81" t="str">
        <f t="shared" si="0"/>
        <v xml:space="preserve"> </v>
      </c>
      <c r="B4272" s="81" t="str">
        <f t="shared" si="1"/>
        <v xml:space="preserve"> </v>
      </c>
      <c r="C4272" s="79" t="str">
        <f t="shared" si="7"/>
        <v xml:space="preserve"> </v>
      </c>
      <c r="D4272" s="79" t="str">
        <f t="shared" si="5"/>
        <v xml:space="preserve"> </v>
      </c>
      <c r="E4272" s="79" t="str">
        <f t="shared" si="6"/>
        <v xml:space="preserve"> </v>
      </c>
    </row>
    <row r="4273" spans="1:5" ht="12.5">
      <c r="A4273" s="81" t="str">
        <f t="shared" si="0"/>
        <v xml:space="preserve"> </v>
      </c>
      <c r="B4273" s="81" t="str">
        <f t="shared" si="1"/>
        <v xml:space="preserve"> </v>
      </c>
      <c r="C4273" s="79" t="str">
        <f t="shared" si="7"/>
        <v xml:space="preserve"> </v>
      </c>
      <c r="D4273" s="79" t="str">
        <f t="shared" si="5"/>
        <v xml:space="preserve"> </v>
      </c>
      <c r="E4273" s="79" t="str">
        <f t="shared" si="6"/>
        <v xml:space="preserve"> </v>
      </c>
    </row>
    <row r="4274" spans="1:5" ht="12.5">
      <c r="A4274" s="81" t="str">
        <f t="shared" si="0"/>
        <v xml:space="preserve"> </v>
      </c>
      <c r="B4274" s="81" t="str">
        <f t="shared" si="1"/>
        <v xml:space="preserve"> </v>
      </c>
      <c r="C4274" s="79" t="str">
        <f t="shared" si="7"/>
        <v xml:space="preserve"> </v>
      </c>
      <c r="D4274" s="79" t="str">
        <f t="shared" si="5"/>
        <v xml:space="preserve"> </v>
      </c>
      <c r="E4274" s="79" t="str">
        <f t="shared" si="6"/>
        <v xml:space="preserve"> </v>
      </c>
    </row>
    <row r="4275" spans="1:5" ht="12.5">
      <c r="A4275" s="81" t="str">
        <f t="shared" si="0"/>
        <v xml:space="preserve"> </v>
      </c>
      <c r="B4275" s="81" t="str">
        <f t="shared" si="1"/>
        <v xml:space="preserve"> </v>
      </c>
      <c r="C4275" s="79" t="str">
        <f t="shared" si="7"/>
        <v xml:space="preserve"> </v>
      </c>
      <c r="D4275" s="79" t="str">
        <f t="shared" si="5"/>
        <v xml:space="preserve"> </v>
      </c>
      <c r="E4275" s="79" t="str">
        <f t="shared" si="6"/>
        <v xml:space="preserve"> </v>
      </c>
    </row>
    <row r="4276" spans="1:5" ht="12.5">
      <c r="A4276" s="81" t="str">
        <f t="shared" si="0"/>
        <v xml:space="preserve"> </v>
      </c>
      <c r="B4276" s="81" t="str">
        <f t="shared" si="1"/>
        <v xml:space="preserve"> </v>
      </c>
      <c r="C4276" s="79" t="str">
        <f t="shared" si="7"/>
        <v xml:space="preserve"> </v>
      </c>
      <c r="D4276" s="79" t="str">
        <f t="shared" si="5"/>
        <v xml:space="preserve"> </v>
      </c>
      <c r="E4276" s="79" t="str">
        <f t="shared" si="6"/>
        <v xml:space="preserve"> </v>
      </c>
    </row>
    <row r="4277" spans="1:5" ht="12.5">
      <c r="A4277" s="81" t="str">
        <f t="shared" si="0"/>
        <v xml:space="preserve"> </v>
      </c>
      <c r="B4277" s="81" t="str">
        <f t="shared" si="1"/>
        <v xml:space="preserve"> </v>
      </c>
      <c r="C4277" s="79" t="str">
        <f t="shared" si="7"/>
        <v xml:space="preserve"> </v>
      </c>
      <c r="D4277" s="79" t="str">
        <f t="shared" si="5"/>
        <v xml:space="preserve"> </v>
      </c>
      <c r="E4277" s="79" t="str">
        <f t="shared" si="6"/>
        <v xml:space="preserve"> </v>
      </c>
    </row>
    <row r="4278" spans="1:5" ht="12.5">
      <c r="A4278" s="81" t="str">
        <f t="shared" si="0"/>
        <v xml:space="preserve"> </v>
      </c>
      <c r="B4278" s="81" t="str">
        <f t="shared" si="1"/>
        <v xml:space="preserve"> </v>
      </c>
      <c r="C4278" s="79" t="str">
        <f t="shared" si="7"/>
        <v xml:space="preserve"> </v>
      </c>
      <c r="D4278" s="79" t="str">
        <f t="shared" si="5"/>
        <v xml:space="preserve"> </v>
      </c>
      <c r="E4278" s="79" t="str">
        <f t="shared" si="6"/>
        <v xml:space="preserve"> </v>
      </c>
    </row>
    <row r="4279" spans="1:5" ht="12.5">
      <c r="A4279" s="81" t="str">
        <f t="shared" si="0"/>
        <v xml:space="preserve"> </v>
      </c>
      <c r="B4279" s="81" t="str">
        <f t="shared" si="1"/>
        <v xml:space="preserve"> </v>
      </c>
      <c r="C4279" s="79" t="str">
        <f t="shared" si="7"/>
        <v xml:space="preserve"> </v>
      </c>
      <c r="D4279" s="79" t="str">
        <f t="shared" si="5"/>
        <v xml:space="preserve"> </v>
      </c>
      <c r="E4279" s="79" t="str">
        <f t="shared" si="6"/>
        <v xml:space="preserve"> </v>
      </c>
    </row>
    <row r="4280" spans="1:5" ht="12.5">
      <c r="A4280" s="81" t="str">
        <f t="shared" si="0"/>
        <v xml:space="preserve"> </v>
      </c>
      <c r="B4280" s="81" t="str">
        <f t="shared" si="1"/>
        <v xml:space="preserve"> </v>
      </c>
      <c r="C4280" s="79" t="str">
        <f t="shared" si="7"/>
        <v xml:space="preserve"> </v>
      </c>
      <c r="D4280" s="79" t="str">
        <f t="shared" si="5"/>
        <v xml:space="preserve"> </v>
      </c>
      <c r="E4280" s="79" t="str">
        <f t="shared" si="6"/>
        <v xml:space="preserve"> </v>
      </c>
    </row>
    <row r="4281" spans="1:5" ht="12.5">
      <c r="A4281" s="81" t="str">
        <f t="shared" si="0"/>
        <v xml:space="preserve"> </v>
      </c>
      <c r="B4281" s="81" t="str">
        <f t="shared" si="1"/>
        <v xml:space="preserve"> </v>
      </c>
      <c r="C4281" s="79" t="str">
        <f t="shared" si="7"/>
        <v xml:space="preserve"> </v>
      </c>
      <c r="D4281" s="79" t="str">
        <f t="shared" si="5"/>
        <v xml:space="preserve"> </v>
      </c>
      <c r="E4281" s="79" t="str">
        <f t="shared" si="6"/>
        <v xml:space="preserve"> </v>
      </c>
    </row>
    <row r="4282" spans="1:5" ht="12.5">
      <c r="A4282" s="81" t="str">
        <f t="shared" si="0"/>
        <v xml:space="preserve"> </v>
      </c>
      <c r="B4282" s="81" t="str">
        <f t="shared" si="1"/>
        <v xml:space="preserve"> </v>
      </c>
      <c r="C4282" s="79" t="str">
        <f t="shared" si="7"/>
        <v xml:space="preserve"> </v>
      </c>
      <c r="D4282" s="79" t="str">
        <f t="shared" si="5"/>
        <v xml:space="preserve"> </v>
      </c>
      <c r="E4282" s="79" t="str">
        <f t="shared" si="6"/>
        <v xml:space="preserve"> </v>
      </c>
    </row>
    <row r="4283" spans="1:5" ht="12.5">
      <c r="A4283" s="81" t="str">
        <f t="shared" si="0"/>
        <v xml:space="preserve"> </v>
      </c>
      <c r="B4283" s="81" t="str">
        <f t="shared" si="1"/>
        <v xml:space="preserve"> </v>
      </c>
      <c r="C4283" s="79" t="str">
        <f t="shared" si="7"/>
        <v xml:space="preserve"> </v>
      </c>
      <c r="D4283" s="79" t="str">
        <f t="shared" si="5"/>
        <v xml:space="preserve"> </v>
      </c>
      <c r="E4283" s="79" t="str">
        <f t="shared" si="6"/>
        <v xml:space="preserve"> </v>
      </c>
    </row>
    <row r="4284" spans="1:5" ht="12.5">
      <c r="A4284" s="81" t="str">
        <f t="shared" si="0"/>
        <v xml:space="preserve"> </v>
      </c>
      <c r="B4284" s="81" t="str">
        <f t="shared" si="1"/>
        <v xml:space="preserve"> </v>
      </c>
      <c r="C4284" s="79" t="str">
        <f t="shared" si="7"/>
        <v xml:space="preserve"> </v>
      </c>
      <c r="D4284" s="79" t="str">
        <f t="shared" si="5"/>
        <v xml:space="preserve"> </v>
      </c>
      <c r="E4284" s="79" t="str">
        <f t="shared" si="6"/>
        <v xml:space="preserve"> </v>
      </c>
    </row>
    <row r="4285" spans="1:5" ht="12.5">
      <c r="A4285" s="81" t="str">
        <f t="shared" si="0"/>
        <v xml:space="preserve"> </v>
      </c>
      <c r="B4285" s="81" t="str">
        <f t="shared" si="1"/>
        <v xml:space="preserve"> </v>
      </c>
      <c r="C4285" s="79" t="str">
        <f t="shared" si="7"/>
        <v xml:space="preserve"> </v>
      </c>
      <c r="D4285" s="79" t="str">
        <f t="shared" si="5"/>
        <v xml:space="preserve"> </v>
      </c>
      <c r="E4285" s="79" t="str">
        <f t="shared" si="6"/>
        <v xml:space="preserve"> </v>
      </c>
    </row>
    <row r="4286" spans="1:5" ht="12.5">
      <c r="A4286" s="81" t="str">
        <f t="shared" si="0"/>
        <v xml:space="preserve"> </v>
      </c>
      <c r="B4286" s="81" t="str">
        <f t="shared" si="1"/>
        <v xml:space="preserve"> </v>
      </c>
      <c r="C4286" s="79" t="str">
        <f t="shared" si="7"/>
        <v xml:space="preserve"> </v>
      </c>
      <c r="D4286" s="79" t="str">
        <f t="shared" si="5"/>
        <v xml:space="preserve"> </v>
      </c>
      <c r="E4286" s="79" t="str">
        <f t="shared" si="6"/>
        <v xml:space="preserve"> </v>
      </c>
    </row>
    <row r="4287" spans="1:5" ht="12.5">
      <c r="A4287" s="81" t="str">
        <f t="shared" si="0"/>
        <v xml:space="preserve"> </v>
      </c>
      <c r="B4287" s="81" t="str">
        <f t="shared" si="1"/>
        <v xml:space="preserve"> </v>
      </c>
      <c r="C4287" s="79" t="str">
        <f t="shared" si="7"/>
        <v xml:space="preserve"> </v>
      </c>
      <c r="D4287" s="79" t="str">
        <f t="shared" si="5"/>
        <v xml:space="preserve"> </v>
      </c>
      <c r="E4287" s="79" t="str">
        <f t="shared" si="6"/>
        <v xml:space="preserve"> </v>
      </c>
    </row>
    <row r="4288" spans="1:5" ht="12.5">
      <c r="A4288" s="81" t="str">
        <f t="shared" si="0"/>
        <v xml:space="preserve"> </v>
      </c>
      <c r="B4288" s="81" t="str">
        <f t="shared" si="1"/>
        <v xml:space="preserve"> </v>
      </c>
      <c r="C4288" s="79" t="str">
        <f t="shared" si="7"/>
        <v xml:space="preserve"> </v>
      </c>
      <c r="D4288" s="79" t="str">
        <f t="shared" si="5"/>
        <v xml:space="preserve"> </v>
      </c>
      <c r="E4288" s="79" t="str">
        <f t="shared" si="6"/>
        <v xml:space="preserve"> </v>
      </c>
    </row>
    <row r="4289" spans="1:5" ht="12.5">
      <c r="A4289" s="81" t="str">
        <f t="shared" si="0"/>
        <v xml:space="preserve"> </v>
      </c>
      <c r="B4289" s="81" t="str">
        <f t="shared" si="1"/>
        <v xml:space="preserve"> </v>
      </c>
      <c r="C4289" s="79" t="str">
        <f t="shared" si="7"/>
        <v xml:space="preserve"> </v>
      </c>
      <c r="D4289" s="79" t="str">
        <f t="shared" si="5"/>
        <v xml:space="preserve"> </v>
      </c>
      <c r="E4289" s="79" t="str">
        <f t="shared" si="6"/>
        <v xml:space="preserve"> </v>
      </c>
    </row>
    <row r="4290" spans="1:5" ht="12.5">
      <c r="A4290" s="81" t="str">
        <f t="shared" si="0"/>
        <v xml:space="preserve"> </v>
      </c>
      <c r="B4290" s="81" t="str">
        <f t="shared" si="1"/>
        <v xml:space="preserve"> </v>
      </c>
      <c r="C4290" s="79" t="str">
        <f t="shared" si="7"/>
        <v xml:space="preserve"> </v>
      </c>
      <c r="D4290" s="79" t="str">
        <f t="shared" si="5"/>
        <v xml:space="preserve"> </v>
      </c>
      <c r="E4290" s="79" t="str">
        <f t="shared" si="6"/>
        <v xml:space="preserve"> </v>
      </c>
    </row>
    <row r="4291" spans="1:5" ht="12.5">
      <c r="A4291" s="81" t="str">
        <f t="shared" si="0"/>
        <v xml:space="preserve"> </v>
      </c>
      <c r="B4291" s="81" t="str">
        <f t="shared" si="1"/>
        <v xml:space="preserve"> </v>
      </c>
      <c r="C4291" s="79" t="str">
        <f t="shared" si="7"/>
        <v xml:space="preserve"> </v>
      </c>
      <c r="D4291" s="79" t="str">
        <f t="shared" si="5"/>
        <v xml:space="preserve"> </v>
      </c>
      <c r="E4291" s="79" t="str">
        <f t="shared" si="6"/>
        <v xml:space="preserve"> </v>
      </c>
    </row>
    <row r="4292" spans="1:5" ht="12.5">
      <c r="A4292" s="81" t="str">
        <f t="shared" si="0"/>
        <v xml:space="preserve"> </v>
      </c>
      <c r="B4292" s="81" t="str">
        <f t="shared" si="1"/>
        <v xml:space="preserve"> </v>
      </c>
      <c r="C4292" s="79" t="str">
        <f t="shared" si="7"/>
        <v xml:space="preserve"> </v>
      </c>
      <c r="D4292" s="79" t="str">
        <f t="shared" si="5"/>
        <v xml:space="preserve"> </v>
      </c>
      <c r="E4292" s="79" t="str">
        <f t="shared" si="6"/>
        <v xml:space="preserve"> </v>
      </c>
    </row>
    <row r="4293" spans="1:5" ht="12.5">
      <c r="A4293" s="81" t="str">
        <f t="shared" si="0"/>
        <v xml:space="preserve"> </v>
      </c>
      <c r="B4293" s="81" t="str">
        <f t="shared" si="1"/>
        <v xml:space="preserve"> </v>
      </c>
      <c r="C4293" s="79" t="str">
        <f t="shared" si="7"/>
        <v xml:space="preserve"> </v>
      </c>
      <c r="D4293" s="79" t="str">
        <f t="shared" si="5"/>
        <v xml:space="preserve"> </v>
      </c>
      <c r="E4293" s="79" t="str">
        <f t="shared" si="6"/>
        <v xml:space="preserve"> </v>
      </c>
    </row>
    <row r="4294" spans="1:5" ht="12.5">
      <c r="A4294" s="81" t="str">
        <f t="shared" si="0"/>
        <v xml:space="preserve"> </v>
      </c>
      <c r="B4294" s="81" t="str">
        <f t="shared" si="1"/>
        <v xml:space="preserve"> </v>
      </c>
      <c r="C4294" s="79" t="str">
        <f t="shared" si="7"/>
        <v xml:space="preserve"> </v>
      </c>
      <c r="D4294" s="79" t="str">
        <f t="shared" si="5"/>
        <v xml:space="preserve"> </v>
      </c>
      <c r="E4294" s="79" t="str">
        <f t="shared" si="6"/>
        <v xml:space="preserve"> </v>
      </c>
    </row>
    <row r="4295" spans="1:5" ht="12.5">
      <c r="A4295" s="81" t="str">
        <f t="shared" si="0"/>
        <v xml:space="preserve"> </v>
      </c>
      <c r="B4295" s="81" t="str">
        <f t="shared" si="1"/>
        <v xml:space="preserve"> </v>
      </c>
      <c r="C4295" s="79" t="str">
        <f t="shared" si="7"/>
        <v xml:space="preserve"> </v>
      </c>
      <c r="D4295" s="79" t="str">
        <f t="shared" si="5"/>
        <v xml:space="preserve"> </v>
      </c>
      <c r="E4295" s="79" t="str">
        <f t="shared" si="6"/>
        <v xml:space="preserve"> </v>
      </c>
    </row>
    <row r="4296" spans="1:5" ht="12.5">
      <c r="A4296" s="81" t="str">
        <f t="shared" si="0"/>
        <v xml:space="preserve"> </v>
      </c>
      <c r="B4296" s="81" t="str">
        <f t="shared" si="1"/>
        <v xml:space="preserve"> </v>
      </c>
      <c r="C4296" s="79" t="str">
        <f t="shared" si="7"/>
        <v xml:space="preserve"> </v>
      </c>
      <c r="D4296" s="79" t="str">
        <f t="shared" si="5"/>
        <v xml:space="preserve"> </v>
      </c>
      <c r="E4296" s="79" t="str">
        <f t="shared" si="6"/>
        <v xml:space="preserve"> </v>
      </c>
    </row>
    <row r="4297" spans="1:5" ht="12.5">
      <c r="A4297" s="81" t="str">
        <f t="shared" si="0"/>
        <v xml:space="preserve"> </v>
      </c>
      <c r="B4297" s="81" t="str">
        <f t="shared" si="1"/>
        <v xml:space="preserve"> </v>
      </c>
      <c r="C4297" s="79" t="str">
        <f t="shared" si="7"/>
        <v xml:space="preserve"> </v>
      </c>
      <c r="D4297" s="79" t="str">
        <f t="shared" si="5"/>
        <v xml:space="preserve"> </v>
      </c>
      <c r="E4297" s="79" t="str">
        <f t="shared" si="6"/>
        <v xml:space="preserve"> </v>
      </c>
    </row>
    <row r="4298" spans="1:5" ht="12.5">
      <c r="A4298" s="81" t="str">
        <f t="shared" si="0"/>
        <v xml:space="preserve"> </v>
      </c>
      <c r="B4298" s="81" t="str">
        <f t="shared" si="1"/>
        <v xml:space="preserve"> </v>
      </c>
      <c r="C4298" s="79" t="str">
        <f t="shared" si="7"/>
        <v xml:space="preserve"> </v>
      </c>
      <c r="D4298" s="79" t="str">
        <f t="shared" si="5"/>
        <v xml:space="preserve"> </v>
      </c>
      <c r="E4298" s="79" t="str">
        <f t="shared" si="6"/>
        <v xml:space="preserve"> </v>
      </c>
    </row>
    <row r="4299" spans="1:5" ht="12.5">
      <c r="A4299" s="81" t="str">
        <f t="shared" si="0"/>
        <v xml:space="preserve"> </v>
      </c>
      <c r="B4299" s="81" t="str">
        <f t="shared" si="1"/>
        <v xml:space="preserve"> </v>
      </c>
      <c r="C4299" s="79" t="str">
        <f t="shared" si="7"/>
        <v xml:space="preserve"> </v>
      </c>
      <c r="D4299" s="79" t="str">
        <f t="shared" si="5"/>
        <v xml:space="preserve"> </v>
      </c>
      <c r="E4299" s="79" t="str">
        <f t="shared" si="6"/>
        <v xml:space="preserve"> </v>
      </c>
    </row>
    <row r="4300" spans="1:5" ht="12.5">
      <c r="A4300" s="81" t="str">
        <f t="shared" si="0"/>
        <v xml:space="preserve"> </v>
      </c>
      <c r="B4300" s="81" t="str">
        <f t="shared" si="1"/>
        <v xml:space="preserve"> </v>
      </c>
      <c r="C4300" s="79" t="str">
        <f t="shared" si="7"/>
        <v xml:space="preserve"> </v>
      </c>
      <c r="D4300" s="79" t="str">
        <f t="shared" si="5"/>
        <v xml:space="preserve"> </v>
      </c>
      <c r="E4300" s="79" t="str">
        <f t="shared" si="6"/>
        <v xml:space="preserve"> </v>
      </c>
    </row>
    <row r="4301" spans="1:5" ht="12.5">
      <c r="A4301" s="81" t="str">
        <f t="shared" si="0"/>
        <v xml:space="preserve"> </v>
      </c>
      <c r="B4301" s="81" t="str">
        <f t="shared" si="1"/>
        <v xml:space="preserve"> </v>
      </c>
      <c r="C4301" s="79" t="str">
        <f t="shared" si="7"/>
        <v xml:space="preserve"> </v>
      </c>
      <c r="D4301" s="79" t="str">
        <f t="shared" si="5"/>
        <v xml:space="preserve"> </v>
      </c>
      <c r="E4301" s="79" t="str">
        <f t="shared" si="6"/>
        <v xml:space="preserve"> </v>
      </c>
    </row>
    <row r="4302" spans="1:5" ht="12.5">
      <c r="A4302" s="81" t="str">
        <f t="shared" si="0"/>
        <v xml:space="preserve"> </v>
      </c>
      <c r="B4302" s="81" t="str">
        <f t="shared" si="1"/>
        <v xml:space="preserve"> </v>
      </c>
      <c r="C4302" s="79" t="str">
        <f t="shared" si="7"/>
        <v xml:space="preserve"> </v>
      </c>
      <c r="D4302" s="79" t="str">
        <f t="shared" si="5"/>
        <v xml:space="preserve"> </v>
      </c>
      <c r="E4302" s="79" t="str">
        <f t="shared" si="6"/>
        <v xml:space="preserve"> </v>
      </c>
    </row>
    <row r="4303" spans="1:5" ht="12.5">
      <c r="A4303" s="81" t="str">
        <f t="shared" si="0"/>
        <v xml:space="preserve"> </v>
      </c>
      <c r="B4303" s="81" t="str">
        <f t="shared" si="1"/>
        <v xml:space="preserve"> </v>
      </c>
      <c r="C4303" s="79" t="str">
        <f t="shared" si="7"/>
        <v xml:space="preserve"> </v>
      </c>
      <c r="D4303" s="79" t="str">
        <f t="shared" si="5"/>
        <v xml:space="preserve"> </v>
      </c>
      <c r="E4303" s="79" t="str">
        <f t="shared" si="6"/>
        <v xml:space="preserve"> </v>
      </c>
    </row>
    <row r="4304" spans="1:5" ht="12.5">
      <c r="A4304" s="81" t="str">
        <f t="shared" si="0"/>
        <v xml:space="preserve"> </v>
      </c>
      <c r="B4304" s="81" t="str">
        <f t="shared" si="1"/>
        <v xml:space="preserve"> </v>
      </c>
      <c r="C4304" s="79" t="str">
        <f t="shared" si="7"/>
        <v xml:space="preserve"> </v>
      </c>
      <c r="D4304" s="79" t="str">
        <f t="shared" si="5"/>
        <v xml:space="preserve"> </v>
      </c>
      <c r="E4304" s="79" t="str">
        <f t="shared" si="6"/>
        <v xml:space="preserve"> </v>
      </c>
    </row>
    <row r="4305" spans="1:5" ht="12.5">
      <c r="A4305" s="81" t="str">
        <f t="shared" si="0"/>
        <v xml:space="preserve"> </v>
      </c>
      <c r="B4305" s="81" t="str">
        <f t="shared" si="1"/>
        <v xml:space="preserve"> </v>
      </c>
      <c r="C4305" s="79" t="str">
        <f t="shared" si="7"/>
        <v xml:space="preserve"> </v>
      </c>
      <c r="D4305" s="79" t="str">
        <f t="shared" si="5"/>
        <v xml:space="preserve"> </v>
      </c>
      <c r="E4305" s="79" t="str">
        <f t="shared" si="6"/>
        <v xml:space="preserve"> </v>
      </c>
    </row>
    <row r="4306" spans="1:5" ht="12.5">
      <c r="A4306" s="81" t="str">
        <f t="shared" si="0"/>
        <v xml:space="preserve"> </v>
      </c>
      <c r="B4306" s="81" t="str">
        <f t="shared" si="1"/>
        <v xml:space="preserve"> </v>
      </c>
      <c r="C4306" s="79" t="str">
        <f t="shared" si="7"/>
        <v xml:space="preserve"> </v>
      </c>
      <c r="D4306" s="79" t="str">
        <f t="shared" si="5"/>
        <v xml:space="preserve"> </v>
      </c>
      <c r="E4306" s="79" t="str">
        <f t="shared" si="6"/>
        <v xml:space="preserve"> </v>
      </c>
    </row>
    <row r="4307" spans="1:5" ht="12.5">
      <c r="A4307" s="81" t="str">
        <f t="shared" si="0"/>
        <v xml:space="preserve"> </v>
      </c>
      <c r="B4307" s="81" t="str">
        <f t="shared" si="1"/>
        <v xml:space="preserve"> </v>
      </c>
      <c r="C4307" s="79" t="str">
        <f t="shared" si="7"/>
        <v xml:space="preserve"> </v>
      </c>
      <c r="D4307" s="79" t="str">
        <f t="shared" si="5"/>
        <v xml:space="preserve"> </v>
      </c>
      <c r="E4307" s="79" t="str">
        <f t="shared" si="6"/>
        <v xml:space="preserve"> </v>
      </c>
    </row>
    <row r="4308" spans="1:5" ht="12.5">
      <c r="A4308" s="81" t="str">
        <f t="shared" si="0"/>
        <v xml:space="preserve"> </v>
      </c>
      <c r="B4308" s="81" t="str">
        <f t="shared" si="1"/>
        <v xml:space="preserve"> </v>
      </c>
      <c r="C4308" s="79" t="str">
        <f t="shared" si="7"/>
        <v xml:space="preserve"> </v>
      </c>
      <c r="D4308" s="79" t="str">
        <f t="shared" si="5"/>
        <v xml:space="preserve"> </v>
      </c>
      <c r="E4308" s="79" t="str">
        <f t="shared" si="6"/>
        <v xml:space="preserve"> </v>
      </c>
    </row>
    <row r="4309" spans="1:5" ht="12.5">
      <c r="A4309" s="81" t="str">
        <f t="shared" si="0"/>
        <v xml:space="preserve"> </v>
      </c>
      <c r="B4309" s="81" t="str">
        <f t="shared" si="1"/>
        <v xml:space="preserve"> </v>
      </c>
      <c r="C4309" s="79" t="str">
        <f t="shared" si="7"/>
        <v xml:space="preserve"> </v>
      </c>
      <c r="D4309" s="79" t="str">
        <f t="shared" si="5"/>
        <v xml:space="preserve"> </v>
      </c>
      <c r="E4309" s="79" t="str">
        <f t="shared" si="6"/>
        <v xml:space="preserve"> </v>
      </c>
    </row>
    <row r="4310" spans="1:5" ht="12.5">
      <c r="A4310" s="81" t="str">
        <f t="shared" si="0"/>
        <v xml:space="preserve"> </v>
      </c>
      <c r="B4310" s="81" t="str">
        <f t="shared" si="1"/>
        <v xml:space="preserve"> </v>
      </c>
      <c r="C4310" s="79" t="str">
        <f t="shared" si="7"/>
        <v xml:space="preserve"> </v>
      </c>
      <c r="D4310" s="79" t="str">
        <f t="shared" si="5"/>
        <v xml:space="preserve"> </v>
      </c>
      <c r="E4310" s="79" t="str">
        <f t="shared" si="6"/>
        <v xml:space="preserve"> </v>
      </c>
    </row>
    <row r="4311" spans="1:5" ht="12.5">
      <c r="A4311" s="81" t="str">
        <f t="shared" si="0"/>
        <v xml:space="preserve"> </v>
      </c>
      <c r="B4311" s="81" t="str">
        <f t="shared" si="1"/>
        <v xml:space="preserve"> </v>
      </c>
      <c r="C4311" s="79" t="str">
        <f t="shared" si="7"/>
        <v xml:space="preserve"> </v>
      </c>
      <c r="D4311" s="79" t="str">
        <f t="shared" si="5"/>
        <v xml:space="preserve"> </v>
      </c>
      <c r="E4311" s="79" t="str">
        <f t="shared" si="6"/>
        <v xml:space="preserve"> </v>
      </c>
    </row>
    <row r="4312" spans="1:5" ht="12.5">
      <c r="A4312" s="81" t="str">
        <f t="shared" si="0"/>
        <v xml:space="preserve"> </v>
      </c>
      <c r="B4312" s="81" t="str">
        <f t="shared" si="1"/>
        <v xml:space="preserve"> </v>
      </c>
      <c r="C4312" s="79" t="str">
        <f t="shared" si="7"/>
        <v xml:space="preserve"> </v>
      </c>
      <c r="D4312" s="79" t="str">
        <f t="shared" si="5"/>
        <v xml:space="preserve"> </v>
      </c>
      <c r="E4312" s="79" t="str">
        <f t="shared" si="6"/>
        <v xml:space="preserve"> </v>
      </c>
    </row>
    <row r="4313" spans="1:5" ht="12.5">
      <c r="A4313" s="81" t="str">
        <f t="shared" si="0"/>
        <v xml:space="preserve"> </v>
      </c>
      <c r="B4313" s="81" t="str">
        <f t="shared" si="1"/>
        <v xml:space="preserve"> </v>
      </c>
      <c r="C4313" s="79" t="str">
        <f t="shared" si="7"/>
        <v xml:space="preserve"> </v>
      </c>
      <c r="D4313" s="79" t="str">
        <f t="shared" si="5"/>
        <v xml:space="preserve"> </v>
      </c>
      <c r="E4313" s="79" t="str">
        <f t="shared" si="6"/>
        <v xml:space="preserve"> </v>
      </c>
    </row>
    <row r="4314" spans="1:5" ht="12.5">
      <c r="A4314" s="81" t="str">
        <f t="shared" si="0"/>
        <v xml:space="preserve"> </v>
      </c>
      <c r="B4314" s="81" t="str">
        <f t="shared" si="1"/>
        <v xml:space="preserve"> </v>
      </c>
      <c r="C4314" s="79" t="str">
        <f t="shared" si="7"/>
        <v xml:space="preserve"> </v>
      </c>
      <c r="D4314" s="79" t="str">
        <f t="shared" si="5"/>
        <v xml:space="preserve"> </v>
      </c>
      <c r="E4314" s="79" t="str">
        <f t="shared" si="6"/>
        <v xml:space="preserve"> </v>
      </c>
    </row>
    <row r="4315" spans="1:5" ht="12.5">
      <c r="A4315" s="81" t="str">
        <f t="shared" si="0"/>
        <v xml:space="preserve"> </v>
      </c>
      <c r="B4315" s="81" t="str">
        <f t="shared" si="1"/>
        <v xml:space="preserve"> </v>
      </c>
      <c r="C4315" s="79" t="str">
        <f t="shared" si="7"/>
        <v xml:space="preserve"> </v>
      </c>
      <c r="D4315" s="79" t="str">
        <f t="shared" si="5"/>
        <v xml:space="preserve"> </v>
      </c>
      <c r="E4315" s="79" t="str">
        <f t="shared" si="6"/>
        <v xml:space="preserve"> </v>
      </c>
    </row>
    <row r="4316" spans="1:5" ht="12.5">
      <c r="A4316" s="81" t="str">
        <f t="shared" si="0"/>
        <v xml:space="preserve"> </v>
      </c>
      <c r="B4316" s="81" t="str">
        <f t="shared" si="1"/>
        <v xml:space="preserve"> </v>
      </c>
      <c r="C4316" s="79" t="str">
        <f t="shared" si="7"/>
        <v xml:space="preserve"> </v>
      </c>
      <c r="D4316" s="79" t="str">
        <f t="shared" si="5"/>
        <v xml:space="preserve"> </v>
      </c>
      <c r="E4316" s="79" t="str">
        <f t="shared" si="6"/>
        <v xml:space="preserve"> </v>
      </c>
    </row>
    <row r="4317" spans="1:5" ht="12.5">
      <c r="A4317" s="81" t="str">
        <f t="shared" si="0"/>
        <v xml:space="preserve"> </v>
      </c>
      <c r="B4317" s="81" t="str">
        <f t="shared" si="1"/>
        <v xml:space="preserve"> </v>
      </c>
      <c r="C4317" s="79" t="str">
        <f t="shared" si="7"/>
        <v xml:space="preserve"> </v>
      </c>
      <c r="D4317" s="79" t="str">
        <f t="shared" si="5"/>
        <v xml:space="preserve"> </v>
      </c>
      <c r="E4317" s="79" t="str">
        <f t="shared" si="6"/>
        <v xml:space="preserve"> </v>
      </c>
    </row>
    <row r="4318" spans="1:5" ht="12.5">
      <c r="A4318" s="81" t="str">
        <f t="shared" si="0"/>
        <v xml:space="preserve"> </v>
      </c>
      <c r="B4318" s="81" t="str">
        <f t="shared" si="1"/>
        <v xml:space="preserve"> </v>
      </c>
      <c r="C4318" s="79" t="str">
        <f t="shared" si="7"/>
        <v xml:space="preserve"> </v>
      </c>
      <c r="D4318" s="79" t="str">
        <f t="shared" si="5"/>
        <v xml:space="preserve"> </v>
      </c>
      <c r="E4318" s="79" t="str">
        <f t="shared" si="6"/>
        <v xml:space="preserve"> </v>
      </c>
    </row>
    <row r="4319" spans="1:5" ht="12.5">
      <c r="A4319" s="81" t="str">
        <f t="shared" si="0"/>
        <v xml:space="preserve"> </v>
      </c>
      <c r="B4319" s="81" t="str">
        <f t="shared" si="1"/>
        <v xml:space="preserve"> </v>
      </c>
      <c r="C4319" s="79" t="str">
        <f t="shared" si="7"/>
        <v xml:space="preserve"> </v>
      </c>
      <c r="D4319" s="79" t="str">
        <f t="shared" si="5"/>
        <v xml:space="preserve"> </v>
      </c>
      <c r="E4319" s="79" t="str">
        <f t="shared" si="6"/>
        <v xml:space="preserve"> </v>
      </c>
    </row>
    <row r="4320" spans="1:5" ht="12.5">
      <c r="A4320" s="81" t="str">
        <f t="shared" si="0"/>
        <v xml:space="preserve"> </v>
      </c>
      <c r="B4320" s="81" t="str">
        <f t="shared" si="1"/>
        <v xml:space="preserve"> </v>
      </c>
      <c r="C4320" s="79" t="str">
        <f t="shared" si="7"/>
        <v xml:space="preserve"> </v>
      </c>
      <c r="D4320" s="79" t="str">
        <f t="shared" si="5"/>
        <v xml:space="preserve"> </v>
      </c>
      <c r="E4320" s="79" t="str">
        <f t="shared" si="6"/>
        <v xml:space="preserve"> </v>
      </c>
    </row>
    <row r="4321" spans="1:5" ht="12.5">
      <c r="A4321" s="81" t="str">
        <f t="shared" si="0"/>
        <v xml:space="preserve"> </v>
      </c>
      <c r="B4321" s="81" t="str">
        <f t="shared" si="1"/>
        <v xml:space="preserve"> </v>
      </c>
      <c r="C4321" s="79" t="str">
        <f t="shared" si="7"/>
        <v xml:space="preserve"> </v>
      </c>
      <c r="D4321" s="79" t="str">
        <f t="shared" si="5"/>
        <v xml:space="preserve"> </v>
      </c>
      <c r="E4321" s="79" t="str">
        <f t="shared" si="6"/>
        <v xml:space="preserve"> </v>
      </c>
    </row>
    <row r="4322" spans="1:5" ht="12.5">
      <c r="A4322" s="81" t="str">
        <f t="shared" si="0"/>
        <v xml:space="preserve"> </v>
      </c>
      <c r="B4322" s="81" t="str">
        <f t="shared" si="1"/>
        <v xml:space="preserve"> </v>
      </c>
      <c r="C4322" s="79" t="str">
        <f t="shared" si="7"/>
        <v xml:space="preserve"> </v>
      </c>
      <c r="D4322" s="79" t="str">
        <f t="shared" si="5"/>
        <v xml:space="preserve"> </v>
      </c>
      <c r="E4322" s="79" t="str">
        <f t="shared" si="6"/>
        <v xml:space="preserve"> </v>
      </c>
    </row>
    <row r="4323" spans="1:5" ht="12.5">
      <c r="A4323" s="81" t="str">
        <f t="shared" si="0"/>
        <v xml:space="preserve"> </v>
      </c>
      <c r="B4323" s="81" t="str">
        <f t="shared" si="1"/>
        <v xml:space="preserve"> </v>
      </c>
      <c r="C4323" s="79" t="str">
        <f t="shared" si="7"/>
        <v xml:space="preserve"> </v>
      </c>
      <c r="D4323" s="79" t="str">
        <f t="shared" si="5"/>
        <v xml:space="preserve"> </v>
      </c>
      <c r="E4323" s="79" t="str">
        <f t="shared" si="6"/>
        <v xml:space="preserve"> </v>
      </c>
    </row>
    <row r="4324" spans="1:5" ht="12.5">
      <c r="A4324" s="81" t="str">
        <f t="shared" si="0"/>
        <v xml:space="preserve"> </v>
      </c>
      <c r="B4324" s="81" t="str">
        <f t="shared" si="1"/>
        <v xml:space="preserve"> </v>
      </c>
      <c r="C4324" s="79" t="str">
        <f t="shared" si="7"/>
        <v xml:space="preserve"> </v>
      </c>
      <c r="D4324" s="79" t="str">
        <f t="shared" si="5"/>
        <v xml:space="preserve"> </v>
      </c>
      <c r="E4324" s="79" t="str">
        <f t="shared" si="6"/>
        <v xml:space="preserve"> </v>
      </c>
    </row>
    <row r="4325" spans="1:5" ht="12.5">
      <c r="A4325" s="81" t="str">
        <f t="shared" si="0"/>
        <v xml:space="preserve"> </v>
      </c>
      <c r="B4325" s="81" t="str">
        <f t="shared" si="1"/>
        <v xml:space="preserve"> </v>
      </c>
      <c r="C4325" s="79" t="str">
        <f t="shared" si="7"/>
        <v xml:space="preserve"> </v>
      </c>
      <c r="D4325" s="79" t="str">
        <f t="shared" si="5"/>
        <v xml:space="preserve"> </v>
      </c>
      <c r="E4325" s="79" t="str">
        <f t="shared" si="6"/>
        <v xml:space="preserve"> </v>
      </c>
    </row>
    <row r="4326" spans="1:5" ht="12.5">
      <c r="A4326" s="81" t="str">
        <f t="shared" si="0"/>
        <v xml:space="preserve"> </v>
      </c>
      <c r="B4326" s="81" t="str">
        <f t="shared" si="1"/>
        <v xml:space="preserve"> </v>
      </c>
      <c r="C4326" s="79" t="str">
        <f t="shared" si="7"/>
        <v xml:space="preserve"> </v>
      </c>
      <c r="D4326" s="79" t="str">
        <f t="shared" si="5"/>
        <v xml:space="preserve"> </v>
      </c>
      <c r="E4326" s="79" t="str">
        <f t="shared" si="6"/>
        <v xml:space="preserve"> </v>
      </c>
    </row>
    <row r="4327" spans="1:5" ht="12.5">
      <c r="A4327" s="81" t="str">
        <f t="shared" si="0"/>
        <v xml:space="preserve"> </v>
      </c>
      <c r="B4327" s="81" t="str">
        <f t="shared" si="1"/>
        <v xml:space="preserve"> </v>
      </c>
      <c r="C4327" s="79" t="str">
        <f t="shared" si="7"/>
        <v xml:space="preserve"> </v>
      </c>
      <c r="D4327" s="79" t="str">
        <f t="shared" si="5"/>
        <v xml:space="preserve"> </v>
      </c>
      <c r="E4327" s="79" t="str">
        <f t="shared" si="6"/>
        <v xml:space="preserve"> </v>
      </c>
    </row>
    <row r="4328" spans="1:5" ht="12.5">
      <c r="A4328" s="81" t="str">
        <f t="shared" si="0"/>
        <v xml:space="preserve"> </v>
      </c>
      <c r="B4328" s="81" t="str">
        <f t="shared" si="1"/>
        <v xml:space="preserve"> </v>
      </c>
      <c r="C4328" s="79" t="str">
        <f t="shared" si="7"/>
        <v xml:space="preserve"> </v>
      </c>
      <c r="D4328" s="79" t="str">
        <f t="shared" si="5"/>
        <v xml:space="preserve"> </v>
      </c>
      <c r="E4328" s="79" t="str">
        <f t="shared" si="6"/>
        <v xml:space="preserve"> </v>
      </c>
    </row>
    <row r="4329" spans="1:5" ht="12.5">
      <c r="A4329" s="81" t="str">
        <f t="shared" si="0"/>
        <v xml:space="preserve"> </v>
      </c>
      <c r="B4329" s="81" t="str">
        <f t="shared" si="1"/>
        <v xml:space="preserve"> </v>
      </c>
      <c r="C4329" s="79" t="str">
        <f t="shared" si="7"/>
        <v xml:space="preserve"> </v>
      </c>
      <c r="D4329" s="79" t="str">
        <f t="shared" si="5"/>
        <v xml:space="preserve"> </v>
      </c>
      <c r="E4329" s="79" t="str">
        <f t="shared" si="6"/>
        <v xml:space="preserve"> </v>
      </c>
    </row>
    <row r="4330" spans="1:5" ht="12.5">
      <c r="A4330" s="81" t="str">
        <f t="shared" si="0"/>
        <v xml:space="preserve"> </v>
      </c>
      <c r="B4330" s="81" t="str">
        <f t="shared" si="1"/>
        <v xml:space="preserve"> </v>
      </c>
      <c r="C4330" s="79" t="str">
        <f t="shared" si="7"/>
        <v xml:space="preserve"> </v>
      </c>
      <c r="D4330" s="79" t="str">
        <f t="shared" si="5"/>
        <v xml:space="preserve"> </v>
      </c>
      <c r="E4330" s="79" t="str">
        <f t="shared" si="6"/>
        <v xml:space="preserve"> </v>
      </c>
    </row>
    <row r="4331" spans="1:5" ht="12.5">
      <c r="A4331" s="81" t="str">
        <f t="shared" si="0"/>
        <v xml:space="preserve"> </v>
      </c>
      <c r="B4331" s="81" t="str">
        <f t="shared" si="1"/>
        <v xml:space="preserve"> </v>
      </c>
      <c r="C4331" s="79" t="str">
        <f t="shared" si="7"/>
        <v xml:space="preserve"> </v>
      </c>
      <c r="D4331" s="79" t="str">
        <f t="shared" si="5"/>
        <v xml:space="preserve"> </v>
      </c>
      <c r="E4331" s="79" t="str">
        <f t="shared" si="6"/>
        <v xml:space="preserve"> </v>
      </c>
    </row>
    <row r="4332" spans="1:5" ht="12.5">
      <c r="A4332" s="81" t="str">
        <f t="shared" si="0"/>
        <v xml:space="preserve"> </v>
      </c>
      <c r="B4332" s="81" t="str">
        <f t="shared" si="1"/>
        <v xml:space="preserve"> </v>
      </c>
      <c r="C4332" s="79" t="str">
        <f t="shared" si="7"/>
        <v xml:space="preserve"> </v>
      </c>
      <c r="D4332" s="79" t="str">
        <f t="shared" si="5"/>
        <v xml:space="preserve"> </v>
      </c>
      <c r="E4332" s="79" t="str">
        <f t="shared" si="6"/>
        <v xml:space="preserve"> </v>
      </c>
    </row>
    <row r="4333" spans="1:5" ht="12.5">
      <c r="A4333" s="81" t="str">
        <f t="shared" si="0"/>
        <v xml:space="preserve"> </v>
      </c>
      <c r="B4333" s="81" t="str">
        <f t="shared" si="1"/>
        <v xml:space="preserve"> </v>
      </c>
      <c r="C4333" s="79" t="str">
        <f t="shared" si="7"/>
        <v xml:space="preserve"> </v>
      </c>
      <c r="D4333" s="79" t="str">
        <f t="shared" si="5"/>
        <v xml:space="preserve"> </v>
      </c>
      <c r="E4333" s="79" t="str">
        <f t="shared" si="6"/>
        <v xml:space="preserve"> </v>
      </c>
    </row>
    <row r="4334" spans="1:5" ht="12.5">
      <c r="A4334" s="81" t="str">
        <f t="shared" si="0"/>
        <v xml:space="preserve"> </v>
      </c>
      <c r="B4334" s="81" t="str">
        <f t="shared" si="1"/>
        <v xml:space="preserve"> </v>
      </c>
      <c r="C4334" s="79" t="str">
        <f t="shared" si="7"/>
        <v xml:space="preserve"> </v>
      </c>
      <c r="D4334" s="79" t="str">
        <f t="shared" si="5"/>
        <v xml:space="preserve"> </v>
      </c>
      <c r="E4334" s="79" t="str">
        <f t="shared" si="6"/>
        <v xml:space="preserve"> </v>
      </c>
    </row>
    <row r="4335" spans="1:5" ht="12.5">
      <c r="A4335" s="81" t="str">
        <f t="shared" si="0"/>
        <v xml:space="preserve"> </v>
      </c>
      <c r="B4335" s="81" t="str">
        <f t="shared" si="1"/>
        <v xml:space="preserve"> </v>
      </c>
      <c r="C4335" s="79" t="str">
        <f t="shared" si="7"/>
        <v xml:space="preserve"> </v>
      </c>
      <c r="D4335" s="79" t="str">
        <f t="shared" si="5"/>
        <v xml:space="preserve"> </v>
      </c>
      <c r="E4335" s="79" t="str">
        <f t="shared" si="6"/>
        <v xml:space="preserve"> </v>
      </c>
    </row>
    <row r="4336" spans="1:5" ht="12.5">
      <c r="A4336" s="81" t="str">
        <f t="shared" si="0"/>
        <v xml:space="preserve"> </v>
      </c>
      <c r="B4336" s="81" t="str">
        <f t="shared" si="1"/>
        <v xml:space="preserve"> </v>
      </c>
      <c r="C4336" s="79" t="str">
        <f t="shared" si="7"/>
        <v xml:space="preserve"> </v>
      </c>
      <c r="D4336" s="79" t="str">
        <f t="shared" si="5"/>
        <v xml:space="preserve"> </v>
      </c>
      <c r="E4336" s="79" t="str">
        <f t="shared" si="6"/>
        <v xml:space="preserve"> </v>
      </c>
    </row>
    <row r="4337" spans="1:5" ht="12.5">
      <c r="A4337" s="81" t="str">
        <f t="shared" si="0"/>
        <v xml:space="preserve"> </v>
      </c>
      <c r="B4337" s="81" t="str">
        <f t="shared" si="1"/>
        <v xml:space="preserve"> </v>
      </c>
      <c r="C4337" s="79" t="str">
        <f t="shared" si="7"/>
        <v xml:space="preserve"> </v>
      </c>
      <c r="D4337" s="79" t="str">
        <f t="shared" si="5"/>
        <v xml:space="preserve"> </v>
      </c>
      <c r="E4337" s="79" t="str">
        <f t="shared" si="6"/>
        <v xml:space="preserve"> </v>
      </c>
    </row>
    <row r="4338" spans="1:5" ht="12.5">
      <c r="A4338" s="81" t="str">
        <f t="shared" si="0"/>
        <v xml:space="preserve"> </v>
      </c>
      <c r="B4338" s="81" t="str">
        <f t="shared" si="1"/>
        <v xml:space="preserve"> </v>
      </c>
      <c r="C4338" s="79" t="str">
        <f t="shared" si="7"/>
        <v xml:space="preserve"> </v>
      </c>
      <c r="D4338" s="79" t="str">
        <f t="shared" si="5"/>
        <v xml:space="preserve"> </v>
      </c>
      <c r="E4338" s="79" t="str">
        <f t="shared" si="6"/>
        <v xml:space="preserve"> </v>
      </c>
    </row>
    <row r="4339" spans="1:5" ht="12.5">
      <c r="A4339" s="81" t="str">
        <f t="shared" si="0"/>
        <v xml:space="preserve"> </v>
      </c>
      <c r="B4339" s="81" t="str">
        <f t="shared" si="1"/>
        <v xml:space="preserve"> </v>
      </c>
      <c r="C4339" s="79" t="str">
        <f t="shared" si="7"/>
        <v xml:space="preserve"> </v>
      </c>
      <c r="D4339" s="79" t="str">
        <f t="shared" si="5"/>
        <v xml:space="preserve"> </v>
      </c>
      <c r="E4339" s="79" t="str">
        <f t="shared" si="6"/>
        <v xml:space="preserve"> </v>
      </c>
    </row>
    <row r="4340" spans="1:5" ht="12.5">
      <c r="A4340" s="81" t="str">
        <f t="shared" si="0"/>
        <v xml:space="preserve"> </v>
      </c>
      <c r="B4340" s="81" t="str">
        <f t="shared" si="1"/>
        <v xml:space="preserve"> </v>
      </c>
      <c r="C4340" s="79" t="str">
        <f t="shared" si="7"/>
        <v xml:space="preserve"> </v>
      </c>
      <c r="D4340" s="79" t="str">
        <f t="shared" si="5"/>
        <v xml:space="preserve"> </v>
      </c>
      <c r="E4340" s="79" t="str">
        <f t="shared" si="6"/>
        <v xml:space="preserve"> </v>
      </c>
    </row>
    <row r="4341" spans="1:5" ht="12.5">
      <c r="A4341" s="81" t="str">
        <f t="shared" si="0"/>
        <v xml:space="preserve"> </v>
      </c>
      <c r="B4341" s="81" t="str">
        <f t="shared" si="1"/>
        <v xml:space="preserve"> </v>
      </c>
      <c r="C4341" s="79" t="str">
        <f t="shared" si="7"/>
        <v xml:space="preserve"> </v>
      </c>
      <c r="D4341" s="79" t="str">
        <f t="shared" si="5"/>
        <v xml:space="preserve"> </v>
      </c>
      <c r="E4341" s="79" t="str">
        <f t="shared" si="6"/>
        <v xml:space="preserve"> </v>
      </c>
    </row>
    <row r="4342" spans="1:5" ht="12.5">
      <c r="A4342" s="81" t="str">
        <f t="shared" si="0"/>
        <v xml:space="preserve"> </v>
      </c>
      <c r="B4342" s="81" t="str">
        <f t="shared" si="1"/>
        <v xml:space="preserve"> </v>
      </c>
      <c r="C4342" s="79" t="str">
        <f t="shared" si="7"/>
        <v xml:space="preserve"> </v>
      </c>
      <c r="D4342" s="79" t="str">
        <f t="shared" si="5"/>
        <v xml:space="preserve"> </v>
      </c>
      <c r="E4342" s="79" t="str">
        <f t="shared" si="6"/>
        <v xml:space="preserve"> </v>
      </c>
    </row>
    <row r="4343" spans="1:5" ht="12.5">
      <c r="A4343" s="81" t="str">
        <f t="shared" si="0"/>
        <v xml:space="preserve"> </v>
      </c>
      <c r="B4343" s="81" t="str">
        <f t="shared" si="1"/>
        <v xml:space="preserve"> </v>
      </c>
      <c r="C4343" s="79" t="str">
        <f t="shared" si="7"/>
        <v xml:space="preserve"> </v>
      </c>
      <c r="D4343" s="79" t="str">
        <f t="shared" si="5"/>
        <v xml:space="preserve"> </v>
      </c>
      <c r="E4343" s="79" t="str">
        <f t="shared" si="6"/>
        <v xml:space="preserve"> </v>
      </c>
    </row>
    <row r="4344" spans="1:5" ht="12.5">
      <c r="A4344" s="81" t="str">
        <f t="shared" si="0"/>
        <v xml:space="preserve"> </v>
      </c>
      <c r="B4344" s="81" t="str">
        <f t="shared" si="1"/>
        <v xml:space="preserve"> </v>
      </c>
      <c r="C4344" s="79" t="str">
        <f t="shared" si="7"/>
        <v xml:space="preserve"> </v>
      </c>
      <c r="D4344" s="79" t="str">
        <f t="shared" si="5"/>
        <v xml:space="preserve"> </v>
      </c>
      <c r="E4344" s="79" t="str">
        <f t="shared" si="6"/>
        <v xml:space="preserve"> </v>
      </c>
    </row>
    <row r="4345" spans="1:5" ht="12.5">
      <c r="A4345" s="81" t="str">
        <f t="shared" si="0"/>
        <v xml:space="preserve"> </v>
      </c>
      <c r="B4345" s="81" t="str">
        <f t="shared" si="1"/>
        <v xml:space="preserve"> </v>
      </c>
      <c r="C4345" s="79" t="str">
        <f t="shared" si="7"/>
        <v xml:space="preserve"> </v>
      </c>
      <c r="D4345" s="79" t="str">
        <f t="shared" si="5"/>
        <v xml:space="preserve"> </v>
      </c>
      <c r="E4345" s="79" t="str">
        <f t="shared" si="6"/>
        <v xml:space="preserve"> </v>
      </c>
    </row>
    <row r="4346" spans="1:5" ht="12.5">
      <c r="A4346" s="81" t="str">
        <f t="shared" si="0"/>
        <v xml:space="preserve"> </v>
      </c>
      <c r="B4346" s="81" t="str">
        <f t="shared" si="1"/>
        <v xml:space="preserve"> </v>
      </c>
      <c r="C4346" s="79" t="str">
        <f t="shared" si="7"/>
        <v xml:space="preserve"> </v>
      </c>
      <c r="D4346" s="79" t="str">
        <f t="shared" si="5"/>
        <v xml:space="preserve"> </v>
      </c>
      <c r="E4346" s="79" t="str">
        <f t="shared" si="6"/>
        <v xml:space="preserve"> </v>
      </c>
    </row>
    <row r="4347" spans="1:5" ht="12.5">
      <c r="A4347" s="81" t="str">
        <f t="shared" si="0"/>
        <v xml:space="preserve"> </v>
      </c>
      <c r="B4347" s="81" t="str">
        <f t="shared" si="1"/>
        <v xml:space="preserve"> </v>
      </c>
      <c r="C4347" s="79" t="str">
        <f t="shared" si="7"/>
        <v xml:space="preserve"> </v>
      </c>
      <c r="D4347" s="79" t="str">
        <f t="shared" si="5"/>
        <v xml:space="preserve"> </v>
      </c>
      <c r="E4347" s="79" t="str">
        <f t="shared" si="6"/>
        <v xml:space="preserve"> </v>
      </c>
    </row>
    <row r="4348" spans="1:5" ht="12.5">
      <c r="A4348" s="81" t="str">
        <f t="shared" si="0"/>
        <v xml:space="preserve"> </v>
      </c>
      <c r="B4348" s="81" t="str">
        <f t="shared" si="1"/>
        <v xml:space="preserve"> </v>
      </c>
      <c r="C4348" s="79" t="str">
        <f t="shared" si="7"/>
        <v xml:space="preserve"> </v>
      </c>
      <c r="D4348" s="79" t="str">
        <f t="shared" si="5"/>
        <v xml:space="preserve"> </v>
      </c>
      <c r="E4348" s="79" t="str">
        <f t="shared" si="6"/>
        <v xml:space="preserve"> </v>
      </c>
    </row>
    <row r="4349" spans="1:5" ht="12.5">
      <c r="A4349" s="81" t="str">
        <f t="shared" si="0"/>
        <v xml:space="preserve"> </v>
      </c>
      <c r="B4349" s="81" t="str">
        <f t="shared" si="1"/>
        <v xml:space="preserve"> </v>
      </c>
      <c r="C4349" s="79" t="str">
        <f t="shared" si="7"/>
        <v xml:space="preserve"> </v>
      </c>
      <c r="D4349" s="79" t="str">
        <f t="shared" si="5"/>
        <v xml:space="preserve"> </v>
      </c>
      <c r="E4349" s="79" t="str">
        <f t="shared" si="6"/>
        <v xml:space="preserve"> </v>
      </c>
    </row>
    <row r="4350" spans="1:5" ht="12.5">
      <c r="A4350" s="81" t="str">
        <f t="shared" si="0"/>
        <v xml:space="preserve"> </v>
      </c>
      <c r="B4350" s="81" t="str">
        <f t="shared" si="1"/>
        <v xml:space="preserve"> </v>
      </c>
      <c r="C4350" s="79" t="str">
        <f t="shared" si="7"/>
        <v xml:space="preserve"> </v>
      </c>
      <c r="D4350" s="79" t="str">
        <f t="shared" si="5"/>
        <v xml:space="preserve"> </v>
      </c>
      <c r="E4350" s="79" t="str">
        <f t="shared" si="6"/>
        <v xml:space="preserve"> </v>
      </c>
    </row>
    <row r="4351" spans="1:5" ht="12.5">
      <c r="A4351" s="81" t="str">
        <f t="shared" si="0"/>
        <v xml:space="preserve"> </v>
      </c>
      <c r="B4351" s="81" t="str">
        <f t="shared" si="1"/>
        <v xml:space="preserve"> </v>
      </c>
      <c r="C4351" s="79" t="str">
        <f t="shared" si="7"/>
        <v xml:space="preserve"> </v>
      </c>
      <c r="D4351" s="79" t="str">
        <f t="shared" si="5"/>
        <v xml:space="preserve"> </v>
      </c>
      <c r="E4351" s="79" t="str">
        <f t="shared" si="6"/>
        <v xml:space="preserve"> </v>
      </c>
    </row>
    <row r="4352" spans="1:5" ht="12.5">
      <c r="A4352" s="81" t="str">
        <f t="shared" si="0"/>
        <v xml:space="preserve"> </v>
      </c>
      <c r="B4352" s="81" t="str">
        <f t="shared" si="1"/>
        <v xml:space="preserve"> </v>
      </c>
      <c r="C4352" s="79" t="str">
        <f t="shared" si="7"/>
        <v xml:space="preserve"> </v>
      </c>
      <c r="D4352" s="79" t="str">
        <f t="shared" si="5"/>
        <v xml:space="preserve"> </v>
      </c>
      <c r="E4352" s="79" t="str">
        <f t="shared" si="6"/>
        <v xml:space="preserve"> </v>
      </c>
    </row>
    <row r="4353" spans="1:5" ht="12.5">
      <c r="A4353" s="81" t="str">
        <f t="shared" si="0"/>
        <v xml:space="preserve"> </v>
      </c>
      <c r="B4353" s="81" t="str">
        <f t="shared" si="1"/>
        <v xml:space="preserve"> </v>
      </c>
      <c r="C4353" s="79" t="str">
        <f t="shared" si="7"/>
        <v xml:space="preserve"> </v>
      </c>
      <c r="D4353" s="79" t="str">
        <f t="shared" si="5"/>
        <v xml:space="preserve"> </v>
      </c>
      <c r="E4353" s="79" t="str">
        <f t="shared" si="6"/>
        <v xml:space="preserve"> </v>
      </c>
    </row>
    <row r="4354" spans="1:5" ht="12.5">
      <c r="A4354" s="81" t="str">
        <f t="shared" si="0"/>
        <v xml:space="preserve"> </v>
      </c>
      <c r="B4354" s="81" t="str">
        <f t="shared" si="1"/>
        <v xml:space="preserve"> </v>
      </c>
      <c r="C4354" s="79" t="str">
        <f t="shared" si="7"/>
        <v xml:space="preserve"> </v>
      </c>
      <c r="D4354" s="79" t="str">
        <f t="shared" si="5"/>
        <v xml:space="preserve"> </v>
      </c>
      <c r="E4354" s="79" t="str">
        <f t="shared" si="6"/>
        <v xml:space="preserve"> </v>
      </c>
    </row>
    <row r="4355" spans="1:5" ht="12.5">
      <c r="A4355" s="81" t="str">
        <f t="shared" si="0"/>
        <v xml:space="preserve"> </v>
      </c>
      <c r="B4355" s="81" t="str">
        <f t="shared" si="1"/>
        <v xml:space="preserve"> </v>
      </c>
      <c r="C4355" s="79" t="str">
        <f t="shared" si="7"/>
        <v xml:space="preserve"> </v>
      </c>
      <c r="D4355" s="79" t="str">
        <f t="shared" si="5"/>
        <v xml:space="preserve"> </v>
      </c>
      <c r="E4355" s="79" t="str">
        <f t="shared" si="6"/>
        <v xml:space="preserve"> </v>
      </c>
    </row>
    <row r="4356" spans="1:5" ht="12.5">
      <c r="A4356" s="81" t="str">
        <f t="shared" si="0"/>
        <v xml:space="preserve"> </v>
      </c>
      <c r="B4356" s="81" t="str">
        <f t="shared" si="1"/>
        <v xml:space="preserve"> </v>
      </c>
      <c r="C4356" s="79" t="str">
        <f t="shared" si="7"/>
        <v xml:space="preserve"> </v>
      </c>
      <c r="D4356" s="79" t="str">
        <f t="shared" si="5"/>
        <v xml:space="preserve"> </v>
      </c>
      <c r="E4356" s="79" t="str">
        <f t="shared" si="6"/>
        <v xml:space="preserve"> </v>
      </c>
    </row>
    <row r="4357" spans="1:5" ht="12.5">
      <c r="A4357" s="81" t="str">
        <f t="shared" si="0"/>
        <v xml:space="preserve"> </v>
      </c>
      <c r="B4357" s="81" t="str">
        <f t="shared" si="1"/>
        <v xml:space="preserve"> </v>
      </c>
      <c r="C4357" s="79" t="str">
        <f t="shared" si="7"/>
        <v xml:space="preserve"> </v>
      </c>
      <c r="D4357" s="79" t="str">
        <f t="shared" si="5"/>
        <v xml:space="preserve"> </v>
      </c>
      <c r="E4357" s="79" t="str">
        <f t="shared" si="6"/>
        <v xml:space="preserve"> </v>
      </c>
    </row>
    <row r="4358" spans="1:5" ht="12.5">
      <c r="A4358" s="81" t="str">
        <f t="shared" si="0"/>
        <v xml:space="preserve"> </v>
      </c>
      <c r="B4358" s="81" t="str">
        <f t="shared" si="1"/>
        <v xml:space="preserve"> </v>
      </c>
      <c r="C4358" s="79" t="str">
        <f t="shared" si="7"/>
        <v xml:space="preserve"> </v>
      </c>
      <c r="D4358" s="79" t="str">
        <f t="shared" si="5"/>
        <v xml:space="preserve"> </v>
      </c>
      <c r="E4358" s="79" t="str">
        <f t="shared" si="6"/>
        <v xml:space="preserve"> </v>
      </c>
    </row>
    <row r="4359" spans="1:5" ht="12.5">
      <c r="A4359" s="81" t="str">
        <f t="shared" si="0"/>
        <v xml:space="preserve"> </v>
      </c>
      <c r="B4359" s="81" t="str">
        <f t="shared" si="1"/>
        <v xml:space="preserve"> </v>
      </c>
      <c r="C4359" s="79" t="str">
        <f t="shared" si="7"/>
        <v xml:space="preserve"> </v>
      </c>
      <c r="D4359" s="79" t="str">
        <f t="shared" si="5"/>
        <v xml:space="preserve"> </v>
      </c>
      <c r="E4359" s="79" t="str">
        <f t="shared" si="6"/>
        <v xml:space="preserve"> </v>
      </c>
    </row>
    <row r="4360" spans="1:5" ht="12.5">
      <c r="A4360" s="81" t="str">
        <f t="shared" si="0"/>
        <v xml:space="preserve"> </v>
      </c>
      <c r="B4360" s="81" t="str">
        <f t="shared" si="1"/>
        <v xml:space="preserve"> </v>
      </c>
      <c r="C4360" s="79" t="str">
        <f t="shared" si="7"/>
        <v xml:space="preserve"> </v>
      </c>
      <c r="D4360" s="79" t="str">
        <f t="shared" si="5"/>
        <v xml:space="preserve"> </v>
      </c>
      <c r="E4360" s="79" t="str">
        <f t="shared" si="6"/>
        <v xml:space="preserve"> </v>
      </c>
    </row>
    <row r="4361" spans="1:5" ht="12.5">
      <c r="A4361" s="81" t="str">
        <f t="shared" si="0"/>
        <v xml:space="preserve"> </v>
      </c>
      <c r="B4361" s="81" t="str">
        <f t="shared" si="1"/>
        <v xml:space="preserve"> </v>
      </c>
      <c r="C4361" s="79" t="str">
        <f t="shared" si="7"/>
        <v xml:space="preserve"> </v>
      </c>
      <c r="D4361" s="79" t="str">
        <f t="shared" si="5"/>
        <v xml:space="preserve"> </v>
      </c>
      <c r="E4361" s="79" t="str">
        <f t="shared" si="6"/>
        <v xml:space="preserve"> </v>
      </c>
    </row>
    <row r="4362" spans="1:5" ht="12.5">
      <c r="A4362" s="81" t="str">
        <f t="shared" si="0"/>
        <v xml:space="preserve"> </v>
      </c>
      <c r="B4362" s="81" t="str">
        <f t="shared" si="1"/>
        <v xml:space="preserve"> </v>
      </c>
      <c r="C4362" s="79" t="str">
        <f t="shared" si="7"/>
        <v xml:space="preserve"> </v>
      </c>
      <c r="D4362" s="79" t="str">
        <f t="shared" si="5"/>
        <v xml:space="preserve"> </v>
      </c>
      <c r="E4362" s="79" t="str">
        <f t="shared" si="6"/>
        <v xml:space="preserve"> </v>
      </c>
    </row>
    <row r="4363" spans="1:5" ht="12.5">
      <c r="A4363" s="81" t="str">
        <f t="shared" si="0"/>
        <v xml:space="preserve"> </v>
      </c>
      <c r="B4363" s="81" t="str">
        <f t="shared" si="1"/>
        <v xml:space="preserve"> </v>
      </c>
      <c r="C4363" s="79" t="str">
        <f t="shared" si="7"/>
        <v xml:space="preserve"> </v>
      </c>
      <c r="D4363" s="79" t="str">
        <f t="shared" si="5"/>
        <v xml:space="preserve"> </v>
      </c>
      <c r="E4363" s="79" t="str">
        <f t="shared" si="6"/>
        <v xml:space="preserve"> </v>
      </c>
    </row>
    <row r="4364" spans="1:5" ht="12.5">
      <c r="A4364" s="81" t="str">
        <f t="shared" si="0"/>
        <v xml:space="preserve"> </v>
      </c>
      <c r="B4364" s="81" t="str">
        <f t="shared" si="1"/>
        <v xml:space="preserve"> </v>
      </c>
      <c r="C4364" s="79" t="str">
        <f t="shared" si="7"/>
        <v xml:space="preserve"> </v>
      </c>
      <c r="D4364" s="79" t="str">
        <f t="shared" si="5"/>
        <v xml:space="preserve"> </v>
      </c>
      <c r="E4364" s="79" t="str">
        <f t="shared" si="6"/>
        <v xml:space="preserve"> </v>
      </c>
    </row>
    <row r="4365" spans="1:5" ht="12.5">
      <c r="A4365" s="81" t="str">
        <f t="shared" si="0"/>
        <v xml:space="preserve"> </v>
      </c>
      <c r="B4365" s="81" t="str">
        <f t="shared" si="1"/>
        <v xml:space="preserve"> </v>
      </c>
      <c r="C4365" s="79" t="str">
        <f t="shared" si="7"/>
        <v xml:space="preserve"> </v>
      </c>
      <c r="D4365" s="79" t="str">
        <f t="shared" si="5"/>
        <v xml:space="preserve"> </v>
      </c>
      <c r="E4365" s="79" t="str">
        <f t="shared" si="6"/>
        <v xml:space="preserve"> </v>
      </c>
    </row>
    <row r="4366" spans="1:5" ht="12.5">
      <c r="A4366" s="81" t="str">
        <f t="shared" si="0"/>
        <v xml:space="preserve"> </v>
      </c>
      <c r="B4366" s="81" t="str">
        <f t="shared" si="1"/>
        <v xml:space="preserve"> </v>
      </c>
      <c r="C4366" s="79" t="str">
        <f t="shared" si="7"/>
        <v xml:space="preserve"> </v>
      </c>
      <c r="D4366" s="79" t="str">
        <f t="shared" si="5"/>
        <v xml:space="preserve"> </v>
      </c>
      <c r="E4366" s="79" t="str">
        <f t="shared" si="6"/>
        <v xml:space="preserve"> </v>
      </c>
    </row>
    <row r="4367" spans="1:5" ht="12.5">
      <c r="A4367" s="81" t="str">
        <f t="shared" si="0"/>
        <v xml:space="preserve"> </v>
      </c>
      <c r="B4367" s="81" t="str">
        <f t="shared" si="1"/>
        <v xml:space="preserve"> </v>
      </c>
      <c r="C4367" s="79" t="str">
        <f t="shared" si="7"/>
        <v xml:space="preserve"> </v>
      </c>
      <c r="D4367" s="79" t="str">
        <f t="shared" si="5"/>
        <v xml:space="preserve"> </v>
      </c>
      <c r="E4367" s="79" t="str">
        <f t="shared" si="6"/>
        <v xml:space="preserve"> </v>
      </c>
    </row>
    <row r="4368" spans="1:5" ht="12.5">
      <c r="A4368" s="81" t="str">
        <f t="shared" si="0"/>
        <v xml:space="preserve"> </v>
      </c>
      <c r="B4368" s="81" t="str">
        <f t="shared" si="1"/>
        <v xml:space="preserve"> </v>
      </c>
      <c r="C4368" s="79" t="str">
        <f t="shared" si="7"/>
        <v xml:space="preserve"> </v>
      </c>
      <c r="D4368" s="79" t="str">
        <f t="shared" si="5"/>
        <v xml:space="preserve"> </v>
      </c>
      <c r="E4368" s="79" t="str">
        <f t="shared" si="6"/>
        <v xml:space="preserve"> </v>
      </c>
    </row>
    <row r="4369" spans="1:5" ht="12.5">
      <c r="A4369" s="81" t="str">
        <f t="shared" si="0"/>
        <v xml:space="preserve"> </v>
      </c>
      <c r="B4369" s="81" t="str">
        <f t="shared" si="1"/>
        <v xml:space="preserve"> </v>
      </c>
      <c r="C4369" s="79" t="str">
        <f t="shared" si="7"/>
        <v xml:space="preserve"> </v>
      </c>
      <c r="D4369" s="79" t="str">
        <f t="shared" si="5"/>
        <v xml:space="preserve"> </v>
      </c>
      <c r="E4369" s="79" t="str">
        <f t="shared" si="6"/>
        <v xml:space="preserve"> </v>
      </c>
    </row>
    <row r="4370" spans="1:5" ht="12.5">
      <c r="A4370" s="81" t="str">
        <f t="shared" si="0"/>
        <v xml:space="preserve"> </v>
      </c>
      <c r="B4370" s="81" t="str">
        <f t="shared" si="1"/>
        <v xml:space="preserve"> </v>
      </c>
      <c r="C4370" s="79" t="str">
        <f t="shared" si="7"/>
        <v xml:space="preserve"> </v>
      </c>
      <c r="D4370" s="79" t="str">
        <f t="shared" si="5"/>
        <v xml:space="preserve"> </v>
      </c>
      <c r="E4370" s="79" t="str">
        <f t="shared" si="6"/>
        <v xml:space="preserve"> </v>
      </c>
    </row>
    <row r="4371" spans="1:5" ht="12.5">
      <c r="A4371" s="81" t="str">
        <f t="shared" si="0"/>
        <v xml:space="preserve"> </v>
      </c>
      <c r="B4371" s="81" t="str">
        <f t="shared" si="1"/>
        <v xml:space="preserve"> </v>
      </c>
      <c r="C4371" s="79" t="str">
        <f t="shared" si="7"/>
        <v xml:space="preserve"> </v>
      </c>
      <c r="D4371" s="79" t="str">
        <f t="shared" si="5"/>
        <v xml:space="preserve"> </v>
      </c>
      <c r="E4371" s="79" t="str">
        <f t="shared" si="6"/>
        <v xml:space="preserve"> </v>
      </c>
    </row>
    <row r="4372" spans="1:5" ht="12.5">
      <c r="A4372" s="81" t="str">
        <f t="shared" si="0"/>
        <v xml:space="preserve"> </v>
      </c>
      <c r="B4372" s="81" t="str">
        <f t="shared" si="1"/>
        <v xml:space="preserve"> </v>
      </c>
      <c r="C4372" s="79" t="str">
        <f t="shared" si="7"/>
        <v xml:space="preserve"> </v>
      </c>
      <c r="D4372" s="79" t="str">
        <f t="shared" si="5"/>
        <v xml:space="preserve"> </v>
      </c>
      <c r="E4372" s="79" t="str">
        <f t="shared" si="6"/>
        <v xml:space="preserve"> </v>
      </c>
    </row>
    <row r="4373" spans="1:5" ht="12.5">
      <c r="A4373" s="81" t="str">
        <f t="shared" si="0"/>
        <v xml:space="preserve"> </v>
      </c>
      <c r="B4373" s="81" t="str">
        <f t="shared" si="1"/>
        <v xml:space="preserve"> </v>
      </c>
      <c r="C4373" s="79" t="str">
        <f t="shared" si="7"/>
        <v xml:space="preserve"> </v>
      </c>
      <c r="D4373" s="79" t="str">
        <f t="shared" si="5"/>
        <v xml:space="preserve"> </v>
      </c>
      <c r="E4373" s="79" t="str">
        <f t="shared" si="6"/>
        <v xml:space="preserve"> </v>
      </c>
    </row>
    <row r="4374" spans="1:5" ht="12.5">
      <c r="A4374" s="81" t="str">
        <f t="shared" si="0"/>
        <v xml:space="preserve"> </v>
      </c>
      <c r="B4374" s="81" t="str">
        <f t="shared" si="1"/>
        <v xml:space="preserve"> </v>
      </c>
      <c r="C4374" s="79" t="str">
        <f t="shared" si="7"/>
        <v xml:space="preserve"> </v>
      </c>
      <c r="D4374" s="79" t="str">
        <f t="shared" si="5"/>
        <v xml:space="preserve"> </v>
      </c>
      <c r="E4374" s="79" t="str">
        <f t="shared" si="6"/>
        <v xml:space="preserve"> </v>
      </c>
    </row>
    <row r="4375" spans="1:5" ht="12.5">
      <c r="A4375" s="81" t="str">
        <f t="shared" si="0"/>
        <v xml:space="preserve"> </v>
      </c>
      <c r="B4375" s="81" t="str">
        <f t="shared" si="1"/>
        <v xml:space="preserve"> </v>
      </c>
      <c r="C4375" s="79" t="str">
        <f t="shared" si="7"/>
        <v xml:space="preserve"> </v>
      </c>
      <c r="D4375" s="79" t="str">
        <f t="shared" si="5"/>
        <v xml:space="preserve"> </v>
      </c>
      <c r="E4375" s="79" t="str">
        <f t="shared" si="6"/>
        <v xml:space="preserve"> </v>
      </c>
    </row>
    <row r="4376" spans="1:5" ht="12.5">
      <c r="A4376" s="81" t="str">
        <f t="shared" si="0"/>
        <v xml:space="preserve"> </v>
      </c>
      <c r="B4376" s="81" t="str">
        <f t="shared" si="1"/>
        <v xml:space="preserve"> </v>
      </c>
      <c r="C4376" s="79" t="str">
        <f t="shared" si="7"/>
        <v xml:space="preserve"> </v>
      </c>
      <c r="D4376" s="79" t="str">
        <f t="shared" si="5"/>
        <v xml:space="preserve"> </v>
      </c>
      <c r="E4376" s="79" t="str">
        <f t="shared" si="6"/>
        <v xml:space="preserve"> </v>
      </c>
    </row>
    <row r="4377" spans="1:5" ht="12.5">
      <c r="A4377" s="81" t="str">
        <f t="shared" si="0"/>
        <v xml:space="preserve"> </v>
      </c>
      <c r="B4377" s="81" t="str">
        <f t="shared" si="1"/>
        <v xml:space="preserve"> </v>
      </c>
      <c r="C4377" s="79" t="str">
        <f t="shared" si="7"/>
        <v xml:space="preserve"> </v>
      </c>
      <c r="D4377" s="79" t="str">
        <f t="shared" si="5"/>
        <v xml:space="preserve"> </v>
      </c>
      <c r="E4377" s="79" t="str">
        <f t="shared" si="6"/>
        <v xml:space="preserve"> </v>
      </c>
    </row>
    <row r="4378" spans="1:5" ht="12.5">
      <c r="A4378" s="81" t="str">
        <f t="shared" si="0"/>
        <v xml:space="preserve"> </v>
      </c>
      <c r="B4378" s="81" t="str">
        <f t="shared" si="1"/>
        <v xml:space="preserve"> </v>
      </c>
      <c r="C4378" s="79" t="str">
        <f t="shared" si="7"/>
        <v xml:space="preserve"> </v>
      </c>
      <c r="D4378" s="79" t="str">
        <f t="shared" si="5"/>
        <v xml:space="preserve"> </v>
      </c>
      <c r="E4378" s="79" t="str">
        <f t="shared" si="6"/>
        <v xml:space="preserve"> </v>
      </c>
    </row>
    <row r="4379" spans="1:5" ht="12.5">
      <c r="A4379" s="81" t="str">
        <f t="shared" si="0"/>
        <v xml:space="preserve"> </v>
      </c>
      <c r="B4379" s="81" t="str">
        <f t="shared" si="1"/>
        <v xml:space="preserve"> </v>
      </c>
      <c r="C4379" s="79" t="str">
        <f t="shared" si="7"/>
        <v xml:space="preserve"> </v>
      </c>
      <c r="D4379" s="79" t="str">
        <f t="shared" si="5"/>
        <v xml:space="preserve"> </v>
      </c>
      <c r="E4379" s="79" t="str">
        <f t="shared" si="6"/>
        <v xml:space="preserve"> </v>
      </c>
    </row>
    <row r="4380" spans="1:5" ht="12.5">
      <c r="A4380" s="81" t="str">
        <f t="shared" si="0"/>
        <v xml:space="preserve"> </v>
      </c>
      <c r="B4380" s="81" t="str">
        <f t="shared" si="1"/>
        <v xml:space="preserve"> </v>
      </c>
      <c r="C4380" s="79" t="str">
        <f t="shared" si="7"/>
        <v xml:space="preserve"> </v>
      </c>
      <c r="D4380" s="79" t="str">
        <f t="shared" si="5"/>
        <v xml:space="preserve"> </v>
      </c>
      <c r="E4380" s="79" t="str">
        <f t="shared" si="6"/>
        <v xml:space="preserve"> </v>
      </c>
    </row>
    <row r="4381" spans="1:5" ht="12.5">
      <c r="A4381" s="81" t="str">
        <f t="shared" si="0"/>
        <v xml:space="preserve"> </v>
      </c>
      <c r="B4381" s="81" t="str">
        <f t="shared" si="1"/>
        <v xml:space="preserve"> </v>
      </c>
      <c r="C4381" s="79" t="str">
        <f t="shared" si="7"/>
        <v xml:space="preserve"> </v>
      </c>
      <c r="D4381" s="79" t="str">
        <f t="shared" si="5"/>
        <v xml:space="preserve"> </v>
      </c>
      <c r="E4381" s="79" t="str">
        <f t="shared" si="6"/>
        <v xml:space="preserve"> </v>
      </c>
    </row>
    <row r="4382" spans="1:5" ht="12.5">
      <c r="A4382" s="81" t="str">
        <f t="shared" si="0"/>
        <v xml:space="preserve"> </v>
      </c>
      <c r="B4382" s="81" t="str">
        <f t="shared" si="1"/>
        <v xml:space="preserve"> </v>
      </c>
      <c r="C4382" s="79" t="str">
        <f t="shared" si="7"/>
        <v xml:space="preserve"> </v>
      </c>
      <c r="D4382" s="79" t="str">
        <f t="shared" si="5"/>
        <v xml:space="preserve"> </v>
      </c>
      <c r="E4382" s="79" t="str">
        <f t="shared" si="6"/>
        <v xml:space="preserve"> </v>
      </c>
    </row>
    <row r="4383" spans="1:5" ht="12.5">
      <c r="A4383" s="81" t="str">
        <f t="shared" si="0"/>
        <v xml:space="preserve"> </v>
      </c>
      <c r="B4383" s="81" t="str">
        <f t="shared" si="1"/>
        <v xml:space="preserve"> </v>
      </c>
      <c r="C4383" s="79" t="str">
        <f t="shared" si="7"/>
        <v xml:space="preserve"> </v>
      </c>
      <c r="D4383" s="79" t="str">
        <f t="shared" si="5"/>
        <v xml:space="preserve"> </v>
      </c>
      <c r="E4383" s="79" t="str">
        <f t="shared" si="6"/>
        <v xml:space="preserve"> </v>
      </c>
    </row>
    <row r="4384" spans="1:5" ht="12.5">
      <c r="A4384" s="81" t="str">
        <f t="shared" si="0"/>
        <v xml:space="preserve"> </v>
      </c>
      <c r="B4384" s="81" t="str">
        <f t="shared" si="1"/>
        <v xml:space="preserve"> </v>
      </c>
      <c r="C4384" s="79" t="str">
        <f t="shared" si="7"/>
        <v xml:space="preserve"> </v>
      </c>
      <c r="D4384" s="79" t="str">
        <f t="shared" si="5"/>
        <v xml:space="preserve"> </v>
      </c>
      <c r="E4384" s="79" t="str">
        <f t="shared" si="6"/>
        <v xml:space="preserve"> </v>
      </c>
    </row>
    <row r="4385" spans="1:5" ht="12.5">
      <c r="A4385" s="81" t="str">
        <f t="shared" si="0"/>
        <v xml:space="preserve"> </v>
      </c>
      <c r="B4385" s="81" t="str">
        <f t="shared" si="1"/>
        <v xml:space="preserve"> </v>
      </c>
      <c r="C4385" s="79" t="str">
        <f t="shared" si="7"/>
        <v xml:space="preserve"> </v>
      </c>
      <c r="D4385" s="79" t="str">
        <f t="shared" si="5"/>
        <v xml:space="preserve"> </v>
      </c>
      <c r="E4385" s="79" t="str">
        <f t="shared" si="6"/>
        <v xml:space="preserve"> </v>
      </c>
    </row>
    <row r="4386" spans="1:5" ht="12.5">
      <c r="A4386" s="81" t="str">
        <f t="shared" si="0"/>
        <v xml:space="preserve"> </v>
      </c>
      <c r="B4386" s="81" t="str">
        <f t="shared" si="1"/>
        <v xml:space="preserve"> </v>
      </c>
      <c r="C4386" s="79" t="str">
        <f t="shared" si="7"/>
        <v xml:space="preserve"> </v>
      </c>
      <c r="D4386" s="79" t="str">
        <f t="shared" si="5"/>
        <v xml:space="preserve"> </v>
      </c>
      <c r="E4386" s="79" t="str">
        <f t="shared" si="6"/>
        <v xml:space="preserve"> </v>
      </c>
    </row>
    <row r="4387" spans="1:5" ht="12.5">
      <c r="A4387" s="81" t="str">
        <f t="shared" si="0"/>
        <v xml:space="preserve"> </v>
      </c>
      <c r="B4387" s="81" t="str">
        <f t="shared" si="1"/>
        <v xml:space="preserve"> </v>
      </c>
      <c r="C4387" s="79" t="str">
        <f t="shared" si="7"/>
        <v xml:space="preserve"> </v>
      </c>
      <c r="D4387" s="79" t="str">
        <f t="shared" si="5"/>
        <v xml:space="preserve"> </v>
      </c>
      <c r="E4387" s="79" t="str">
        <f t="shared" si="6"/>
        <v xml:space="preserve"> </v>
      </c>
    </row>
    <row r="4388" spans="1:5" ht="12.5">
      <c r="A4388" s="81" t="str">
        <f t="shared" si="0"/>
        <v xml:space="preserve"> </v>
      </c>
      <c r="B4388" s="81" t="str">
        <f t="shared" si="1"/>
        <v xml:space="preserve"> </v>
      </c>
      <c r="C4388" s="79" t="str">
        <f t="shared" si="7"/>
        <v xml:space="preserve"> </v>
      </c>
      <c r="D4388" s="79" t="str">
        <f t="shared" si="5"/>
        <v xml:space="preserve"> </v>
      </c>
      <c r="E4388" s="79" t="str">
        <f t="shared" si="6"/>
        <v xml:space="preserve"> </v>
      </c>
    </row>
    <row r="4389" spans="1:5" ht="12.5">
      <c r="A4389" s="81" t="str">
        <f t="shared" si="0"/>
        <v xml:space="preserve"> </v>
      </c>
      <c r="B4389" s="81" t="str">
        <f t="shared" si="1"/>
        <v xml:space="preserve"> </v>
      </c>
      <c r="C4389" s="79" t="str">
        <f t="shared" si="7"/>
        <v xml:space="preserve"> </v>
      </c>
      <c r="D4389" s="79" t="str">
        <f t="shared" si="5"/>
        <v xml:space="preserve"> </v>
      </c>
      <c r="E4389" s="79" t="str">
        <f t="shared" si="6"/>
        <v xml:space="preserve"> </v>
      </c>
    </row>
    <row r="4390" spans="1:5" ht="12.5">
      <c r="A4390" s="81" t="str">
        <f t="shared" si="0"/>
        <v xml:space="preserve"> </v>
      </c>
      <c r="B4390" s="81" t="str">
        <f t="shared" si="1"/>
        <v xml:space="preserve"> </v>
      </c>
      <c r="C4390" s="79" t="str">
        <f t="shared" si="7"/>
        <v xml:space="preserve"> </v>
      </c>
      <c r="D4390" s="79" t="str">
        <f t="shared" si="5"/>
        <v xml:space="preserve"> </v>
      </c>
      <c r="E4390" s="79" t="str">
        <f t="shared" si="6"/>
        <v xml:space="preserve"> </v>
      </c>
    </row>
    <row r="4391" spans="1:5" ht="12.5">
      <c r="A4391" s="81" t="str">
        <f t="shared" si="0"/>
        <v xml:space="preserve"> </v>
      </c>
      <c r="B4391" s="81" t="str">
        <f t="shared" si="1"/>
        <v xml:space="preserve"> </v>
      </c>
      <c r="C4391" s="79" t="str">
        <f t="shared" si="7"/>
        <v xml:space="preserve"> </v>
      </c>
      <c r="D4391" s="79" t="str">
        <f t="shared" si="5"/>
        <v xml:space="preserve"> </v>
      </c>
      <c r="E4391" s="79" t="str">
        <f t="shared" si="6"/>
        <v xml:space="preserve"> </v>
      </c>
    </row>
    <row r="4392" spans="1:5" ht="12.5">
      <c r="A4392" s="81" t="str">
        <f t="shared" si="0"/>
        <v xml:space="preserve"> </v>
      </c>
      <c r="B4392" s="81" t="str">
        <f t="shared" si="1"/>
        <v xml:space="preserve"> </v>
      </c>
      <c r="C4392" s="79" t="str">
        <f t="shared" si="7"/>
        <v xml:space="preserve"> </v>
      </c>
      <c r="D4392" s="79" t="str">
        <f t="shared" si="5"/>
        <v xml:space="preserve"> </v>
      </c>
      <c r="E4392" s="79" t="str">
        <f t="shared" si="6"/>
        <v xml:space="preserve"> </v>
      </c>
    </row>
    <row r="4393" spans="1:5" ht="12.5">
      <c r="A4393" s="81" t="str">
        <f t="shared" si="0"/>
        <v xml:space="preserve"> </v>
      </c>
      <c r="B4393" s="81" t="str">
        <f t="shared" si="1"/>
        <v xml:space="preserve"> </v>
      </c>
      <c r="C4393" s="79" t="str">
        <f t="shared" si="7"/>
        <v xml:space="preserve"> </v>
      </c>
      <c r="D4393" s="79" t="str">
        <f t="shared" si="5"/>
        <v xml:space="preserve"> </v>
      </c>
      <c r="E4393" s="79" t="str">
        <f t="shared" si="6"/>
        <v xml:space="preserve"> </v>
      </c>
    </row>
    <row r="4394" spans="1:5" ht="12.5">
      <c r="A4394" s="81" t="str">
        <f t="shared" si="0"/>
        <v xml:space="preserve"> </v>
      </c>
      <c r="B4394" s="81" t="str">
        <f t="shared" si="1"/>
        <v xml:space="preserve"> </v>
      </c>
      <c r="C4394" s="79" t="str">
        <f t="shared" si="7"/>
        <v xml:space="preserve"> </v>
      </c>
      <c r="D4394" s="79" t="str">
        <f t="shared" si="5"/>
        <v xml:space="preserve"> </v>
      </c>
      <c r="E4394" s="79" t="str">
        <f t="shared" si="6"/>
        <v xml:space="preserve"> </v>
      </c>
    </row>
    <row r="4395" spans="1:5" ht="12.5">
      <c r="A4395" s="81" t="str">
        <f t="shared" si="0"/>
        <v xml:space="preserve"> </v>
      </c>
      <c r="B4395" s="81" t="str">
        <f t="shared" si="1"/>
        <v xml:space="preserve"> </v>
      </c>
      <c r="C4395" s="79" t="str">
        <f t="shared" si="7"/>
        <v xml:space="preserve"> </v>
      </c>
      <c r="D4395" s="79" t="str">
        <f t="shared" si="5"/>
        <v xml:space="preserve"> </v>
      </c>
      <c r="E4395" s="79" t="str">
        <f t="shared" si="6"/>
        <v xml:space="preserve"> </v>
      </c>
    </row>
    <row r="4396" spans="1:5" ht="12.5">
      <c r="A4396" s="81" t="str">
        <f t="shared" si="0"/>
        <v xml:space="preserve"> </v>
      </c>
      <c r="B4396" s="81" t="str">
        <f t="shared" si="1"/>
        <v xml:space="preserve"> </v>
      </c>
      <c r="C4396" s="79" t="str">
        <f t="shared" si="7"/>
        <v xml:space="preserve"> </v>
      </c>
      <c r="D4396" s="79" t="str">
        <f t="shared" si="5"/>
        <v xml:space="preserve"> </v>
      </c>
      <c r="E4396" s="79" t="str">
        <f t="shared" si="6"/>
        <v xml:space="preserve"> </v>
      </c>
    </row>
    <row r="4397" spans="1:5" ht="12.5">
      <c r="A4397" s="81" t="str">
        <f t="shared" si="0"/>
        <v xml:space="preserve"> </v>
      </c>
      <c r="B4397" s="81" t="str">
        <f t="shared" si="1"/>
        <v xml:space="preserve"> </v>
      </c>
      <c r="C4397" s="79" t="str">
        <f t="shared" si="7"/>
        <v xml:space="preserve"> </v>
      </c>
      <c r="D4397" s="79" t="str">
        <f t="shared" si="5"/>
        <v xml:space="preserve"> </v>
      </c>
      <c r="E4397" s="79" t="str">
        <f t="shared" si="6"/>
        <v xml:space="preserve"> </v>
      </c>
    </row>
    <row r="4398" spans="1:5" ht="12.5">
      <c r="A4398" s="81" t="str">
        <f t="shared" si="0"/>
        <v xml:space="preserve"> </v>
      </c>
      <c r="B4398" s="81" t="str">
        <f t="shared" si="1"/>
        <v xml:space="preserve"> </v>
      </c>
      <c r="C4398" s="79" t="str">
        <f t="shared" si="7"/>
        <v xml:space="preserve"> </v>
      </c>
      <c r="D4398" s="79" t="str">
        <f t="shared" si="5"/>
        <v xml:space="preserve"> </v>
      </c>
      <c r="E4398" s="79" t="str">
        <f t="shared" si="6"/>
        <v xml:space="preserve"> </v>
      </c>
    </row>
    <row r="4399" spans="1:5" ht="12.5">
      <c r="A4399" s="81" t="str">
        <f t="shared" si="0"/>
        <v xml:space="preserve"> </v>
      </c>
      <c r="B4399" s="81" t="str">
        <f t="shared" si="1"/>
        <v xml:space="preserve"> </v>
      </c>
      <c r="C4399" s="79" t="str">
        <f t="shared" si="7"/>
        <v xml:space="preserve"> </v>
      </c>
      <c r="D4399" s="79" t="str">
        <f t="shared" si="5"/>
        <v xml:space="preserve"> </v>
      </c>
      <c r="E4399" s="79" t="str">
        <f t="shared" si="6"/>
        <v xml:space="preserve"> </v>
      </c>
    </row>
    <row r="4400" spans="1:5" ht="12.5">
      <c r="A4400" s="81" t="str">
        <f t="shared" si="0"/>
        <v xml:space="preserve"> </v>
      </c>
      <c r="B4400" s="81" t="str">
        <f t="shared" si="1"/>
        <v xml:space="preserve"> </v>
      </c>
      <c r="C4400" s="79" t="str">
        <f t="shared" si="7"/>
        <v xml:space="preserve"> </v>
      </c>
      <c r="D4400" s="79" t="str">
        <f t="shared" si="5"/>
        <v xml:space="preserve"> </v>
      </c>
      <c r="E4400" s="79" t="str">
        <f t="shared" si="6"/>
        <v xml:space="preserve"> </v>
      </c>
    </row>
    <row r="4401" spans="1:5" ht="12.5">
      <c r="A4401" s="81" t="str">
        <f t="shared" si="0"/>
        <v xml:space="preserve"> </v>
      </c>
      <c r="B4401" s="81" t="str">
        <f t="shared" si="1"/>
        <v xml:space="preserve"> </v>
      </c>
      <c r="C4401" s="79" t="str">
        <f t="shared" si="7"/>
        <v xml:space="preserve"> </v>
      </c>
      <c r="D4401" s="79" t="str">
        <f t="shared" si="5"/>
        <v xml:space="preserve"> </v>
      </c>
      <c r="E4401" s="79" t="str">
        <f t="shared" si="6"/>
        <v xml:space="preserve"> </v>
      </c>
    </row>
    <row r="4402" spans="1:5" ht="12.5">
      <c r="A4402" s="81" t="str">
        <f t="shared" si="0"/>
        <v xml:space="preserve"> </v>
      </c>
      <c r="B4402" s="81" t="str">
        <f t="shared" si="1"/>
        <v xml:space="preserve"> </v>
      </c>
      <c r="C4402" s="79" t="str">
        <f t="shared" si="7"/>
        <v xml:space="preserve"> </v>
      </c>
      <c r="D4402" s="79" t="str">
        <f t="shared" si="5"/>
        <v xml:space="preserve"> </v>
      </c>
      <c r="E4402" s="79" t="str">
        <f t="shared" si="6"/>
        <v xml:space="preserve"> </v>
      </c>
    </row>
    <row r="4403" spans="1:5" ht="12.5">
      <c r="A4403" s="81" t="str">
        <f t="shared" si="0"/>
        <v xml:space="preserve"> </v>
      </c>
      <c r="B4403" s="81" t="str">
        <f t="shared" si="1"/>
        <v xml:space="preserve"> </v>
      </c>
      <c r="C4403" s="79" t="str">
        <f t="shared" si="7"/>
        <v xml:space="preserve"> </v>
      </c>
      <c r="D4403" s="79" t="str">
        <f t="shared" si="5"/>
        <v xml:space="preserve"> </v>
      </c>
      <c r="E4403" s="79" t="str">
        <f t="shared" si="6"/>
        <v xml:space="preserve"> </v>
      </c>
    </row>
    <row r="4404" spans="1:5" ht="12.5">
      <c r="A4404" s="81" t="str">
        <f t="shared" si="0"/>
        <v xml:space="preserve"> </v>
      </c>
      <c r="B4404" s="81" t="str">
        <f t="shared" si="1"/>
        <v xml:space="preserve"> </v>
      </c>
      <c r="C4404" s="79" t="str">
        <f t="shared" si="7"/>
        <v xml:space="preserve"> </v>
      </c>
      <c r="D4404" s="79" t="str">
        <f t="shared" si="5"/>
        <v xml:space="preserve"> </v>
      </c>
      <c r="E4404" s="79" t="str">
        <f t="shared" si="6"/>
        <v xml:space="preserve"> </v>
      </c>
    </row>
    <row r="4405" spans="1:5" ht="12.5">
      <c r="A4405" s="81" t="str">
        <f t="shared" si="0"/>
        <v xml:space="preserve"> </v>
      </c>
      <c r="B4405" s="81" t="str">
        <f t="shared" si="1"/>
        <v xml:space="preserve"> </v>
      </c>
      <c r="C4405" s="79" t="str">
        <f t="shared" si="7"/>
        <v xml:space="preserve"> </v>
      </c>
      <c r="D4405" s="79" t="str">
        <f t="shared" si="5"/>
        <v xml:space="preserve"> </v>
      </c>
      <c r="E4405" s="79" t="str">
        <f t="shared" si="6"/>
        <v xml:space="preserve"> </v>
      </c>
    </row>
    <row r="4406" spans="1:5" ht="12.5">
      <c r="A4406" s="81" t="str">
        <f t="shared" si="0"/>
        <v xml:space="preserve"> </v>
      </c>
      <c r="B4406" s="81" t="str">
        <f t="shared" si="1"/>
        <v xml:space="preserve"> </v>
      </c>
      <c r="C4406" s="79" t="str">
        <f t="shared" si="7"/>
        <v xml:space="preserve"> </v>
      </c>
      <c r="D4406" s="79" t="str">
        <f t="shared" si="5"/>
        <v xml:space="preserve"> </v>
      </c>
      <c r="E4406" s="79" t="str">
        <f t="shared" si="6"/>
        <v xml:space="preserve"> </v>
      </c>
    </row>
    <row r="4407" spans="1:5" ht="12.5">
      <c r="A4407" s="81" t="str">
        <f t="shared" si="0"/>
        <v xml:space="preserve"> </v>
      </c>
      <c r="B4407" s="81" t="str">
        <f t="shared" si="1"/>
        <v xml:space="preserve"> </v>
      </c>
      <c r="C4407" s="79" t="str">
        <f t="shared" si="7"/>
        <v xml:space="preserve"> </v>
      </c>
      <c r="D4407" s="79" t="str">
        <f t="shared" si="5"/>
        <v xml:space="preserve"> </v>
      </c>
      <c r="E4407" s="79" t="str">
        <f t="shared" si="6"/>
        <v xml:space="preserve"> </v>
      </c>
    </row>
    <row r="4408" spans="1:5" ht="12.5">
      <c r="A4408" s="81" t="str">
        <f t="shared" si="0"/>
        <v xml:space="preserve"> </v>
      </c>
      <c r="B4408" s="81" t="str">
        <f t="shared" si="1"/>
        <v xml:space="preserve"> </v>
      </c>
      <c r="C4408" s="79" t="str">
        <f t="shared" si="7"/>
        <v xml:space="preserve"> </v>
      </c>
      <c r="D4408" s="79" t="str">
        <f t="shared" si="5"/>
        <v xml:space="preserve"> </v>
      </c>
      <c r="E4408" s="79" t="str">
        <f t="shared" si="6"/>
        <v xml:space="preserve"> </v>
      </c>
    </row>
    <row r="4409" spans="1:5" ht="12.5">
      <c r="A4409" s="81" t="str">
        <f t="shared" si="0"/>
        <v xml:space="preserve"> </v>
      </c>
      <c r="B4409" s="81" t="str">
        <f t="shared" si="1"/>
        <v xml:space="preserve"> </v>
      </c>
      <c r="C4409" s="79" t="str">
        <f t="shared" si="7"/>
        <v xml:space="preserve"> </v>
      </c>
      <c r="D4409" s="79" t="str">
        <f t="shared" si="5"/>
        <v xml:space="preserve"> </v>
      </c>
      <c r="E4409" s="79" t="str">
        <f t="shared" si="6"/>
        <v xml:space="preserve"> </v>
      </c>
    </row>
    <row r="4410" spans="1:5" ht="12.5">
      <c r="A4410" s="81" t="str">
        <f t="shared" si="0"/>
        <v xml:space="preserve"> </v>
      </c>
      <c r="B4410" s="81" t="str">
        <f t="shared" si="1"/>
        <v xml:space="preserve"> </v>
      </c>
      <c r="C4410" s="79" t="str">
        <f t="shared" si="7"/>
        <v xml:space="preserve"> </v>
      </c>
      <c r="D4410" s="79" t="str">
        <f t="shared" si="5"/>
        <v xml:space="preserve"> </v>
      </c>
      <c r="E4410" s="79" t="str">
        <f t="shared" si="6"/>
        <v xml:space="preserve"> </v>
      </c>
    </row>
    <row r="4411" spans="1:5" ht="12.5">
      <c r="A4411" s="81" t="str">
        <f t="shared" si="0"/>
        <v xml:space="preserve"> </v>
      </c>
      <c r="B4411" s="81" t="str">
        <f t="shared" si="1"/>
        <v xml:space="preserve"> </v>
      </c>
      <c r="C4411" s="79" t="str">
        <f t="shared" si="7"/>
        <v xml:space="preserve"> </v>
      </c>
      <c r="D4411" s="79" t="str">
        <f t="shared" si="5"/>
        <v xml:space="preserve"> </v>
      </c>
      <c r="E4411" s="79" t="str">
        <f t="shared" si="6"/>
        <v xml:space="preserve"> </v>
      </c>
    </row>
    <row r="4412" spans="1:5" ht="12.5">
      <c r="A4412" s="81" t="str">
        <f t="shared" si="0"/>
        <v xml:space="preserve"> </v>
      </c>
      <c r="B4412" s="81" t="str">
        <f t="shared" si="1"/>
        <v xml:space="preserve"> </v>
      </c>
      <c r="C4412" s="79" t="str">
        <f t="shared" si="7"/>
        <v xml:space="preserve"> </v>
      </c>
      <c r="D4412" s="79" t="str">
        <f t="shared" si="5"/>
        <v xml:space="preserve"> </v>
      </c>
      <c r="E4412" s="79" t="str">
        <f t="shared" si="6"/>
        <v xml:space="preserve"> </v>
      </c>
    </row>
    <row r="4413" spans="1:5" ht="12.5">
      <c r="A4413" s="81" t="str">
        <f t="shared" si="0"/>
        <v xml:space="preserve"> </v>
      </c>
      <c r="B4413" s="81" t="str">
        <f t="shared" si="1"/>
        <v xml:space="preserve"> </v>
      </c>
      <c r="C4413" s="79" t="str">
        <f t="shared" si="7"/>
        <v xml:space="preserve"> </v>
      </c>
      <c r="D4413" s="79" t="str">
        <f t="shared" si="5"/>
        <v xml:space="preserve"> </v>
      </c>
      <c r="E4413" s="79" t="str">
        <f t="shared" si="6"/>
        <v xml:space="preserve"> </v>
      </c>
    </row>
    <row r="4414" spans="1:5" ht="12.5">
      <c r="A4414" s="81" t="str">
        <f t="shared" si="0"/>
        <v xml:space="preserve"> </v>
      </c>
      <c r="B4414" s="81" t="str">
        <f t="shared" si="1"/>
        <v xml:space="preserve"> </v>
      </c>
      <c r="C4414" s="79" t="str">
        <f t="shared" si="7"/>
        <v xml:space="preserve"> </v>
      </c>
      <c r="D4414" s="79" t="str">
        <f t="shared" si="5"/>
        <v xml:space="preserve"> </v>
      </c>
      <c r="E4414" s="79" t="str">
        <f t="shared" si="6"/>
        <v xml:space="preserve"> </v>
      </c>
    </row>
    <row r="4415" spans="1:5" ht="12.5">
      <c r="A4415" s="81" t="str">
        <f t="shared" si="0"/>
        <v xml:space="preserve"> </v>
      </c>
      <c r="B4415" s="81" t="str">
        <f t="shared" si="1"/>
        <v xml:space="preserve"> </v>
      </c>
      <c r="C4415" s="79" t="str">
        <f t="shared" si="7"/>
        <v xml:space="preserve"> </v>
      </c>
      <c r="D4415" s="79" t="str">
        <f t="shared" si="5"/>
        <v xml:space="preserve"> </v>
      </c>
      <c r="E4415" s="79" t="str">
        <f t="shared" si="6"/>
        <v xml:space="preserve"> </v>
      </c>
    </row>
    <row r="4416" spans="1:5" ht="12.5">
      <c r="A4416" s="81" t="str">
        <f t="shared" si="0"/>
        <v xml:space="preserve"> </v>
      </c>
      <c r="B4416" s="81" t="str">
        <f t="shared" si="1"/>
        <v xml:space="preserve"> </v>
      </c>
      <c r="C4416" s="79" t="str">
        <f t="shared" si="7"/>
        <v xml:space="preserve"> </v>
      </c>
      <c r="D4416" s="79" t="str">
        <f t="shared" si="5"/>
        <v xml:space="preserve"> </v>
      </c>
      <c r="E4416" s="79" t="str">
        <f t="shared" si="6"/>
        <v xml:space="preserve"> </v>
      </c>
    </row>
    <row r="4417" spans="1:5" ht="12.5">
      <c r="A4417" s="81" t="str">
        <f t="shared" si="0"/>
        <v xml:space="preserve"> </v>
      </c>
      <c r="B4417" s="81" t="str">
        <f t="shared" si="1"/>
        <v xml:space="preserve"> </v>
      </c>
      <c r="C4417" s="79" t="str">
        <f t="shared" si="7"/>
        <v xml:space="preserve"> </v>
      </c>
      <c r="D4417" s="79" t="str">
        <f t="shared" si="5"/>
        <v xml:space="preserve"> </v>
      </c>
      <c r="E4417" s="79" t="str">
        <f t="shared" si="6"/>
        <v xml:space="preserve"> </v>
      </c>
    </row>
    <row r="4418" spans="1:5" ht="12.5">
      <c r="A4418" s="81" t="str">
        <f t="shared" si="0"/>
        <v xml:space="preserve"> </v>
      </c>
      <c r="B4418" s="81" t="str">
        <f t="shared" si="1"/>
        <v xml:space="preserve"> </v>
      </c>
      <c r="C4418" s="79" t="str">
        <f t="shared" si="7"/>
        <v xml:space="preserve"> </v>
      </c>
      <c r="D4418" s="79" t="str">
        <f t="shared" si="5"/>
        <v xml:space="preserve"> </v>
      </c>
      <c r="E4418" s="79" t="str">
        <f t="shared" si="6"/>
        <v xml:space="preserve"> </v>
      </c>
    </row>
    <row r="4419" spans="1:5" ht="12.5">
      <c r="A4419" s="81" t="str">
        <f t="shared" si="0"/>
        <v xml:space="preserve"> </v>
      </c>
      <c r="B4419" s="81" t="str">
        <f t="shared" si="1"/>
        <v xml:space="preserve"> </v>
      </c>
      <c r="C4419" s="79" t="str">
        <f t="shared" si="7"/>
        <v xml:space="preserve"> </v>
      </c>
      <c r="D4419" s="79" t="str">
        <f t="shared" si="5"/>
        <v xml:space="preserve"> </v>
      </c>
      <c r="E4419" s="79" t="str">
        <f t="shared" si="6"/>
        <v xml:space="preserve"> </v>
      </c>
    </row>
    <row r="4420" spans="1:5" ht="12.5">
      <c r="A4420" s="81" t="str">
        <f t="shared" si="0"/>
        <v xml:space="preserve"> </v>
      </c>
      <c r="B4420" s="81" t="str">
        <f t="shared" si="1"/>
        <v xml:space="preserve"> </v>
      </c>
      <c r="C4420" s="79" t="str">
        <f t="shared" si="7"/>
        <v xml:space="preserve"> </v>
      </c>
      <c r="D4420" s="79" t="str">
        <f t="shared" si="5"/>
        <v xml:space="preserve"> </v>
      </c>
      <c r="E4420" s="79" t="str">
        <f t="shared" si="6"/>
        <v xml:space="preserve"> </v>
      </c>
    </row>
    <row r="4421" spans="1:5" ht="12.5">
      <c r="A4421" s="81" t="str">
        <f t="shared" si="0"/>
        <v xml:space="preserve"> </v>
      </c>
      <c r="B4421" s="81" t="str">
        <f t="shared" si="1"/>
        <v xml:space="preserve"> </v>
      </c>
      <c r="C4421" s="79" t="str">
        <f t="shared" si="7"/>
        <v xml:space="preserve"> </v>
      </c>
      <c r="D4421" s="79" t="str">
        <f t="shared" si="5"/>
        <v xml:space="preserve"> </v>
      </c>
      <c r="E4421" s="79" t="str">
        <f t="shared" si="6"/>
        <v xml:space="preserve"> </v>
      </c>
    </row>
    <row r="4422" spans="1:5" ht="12.5">
      <c r="A4422" s="81" t="str">
        <f t="shared" si="0"/>
        <v xml:space="preserve"> </v>
      </c>
      <c r="B4422" s="81" t="str">
        <f t="shared" si="1"/>
        <v xml:space="preserve"> </v>
      </c>
      <c r="C4422" s="79" t="str">
        <f t="shared" si="7"/>
        <v xml:space="preserve"> </v>
      </c>
      <c r="D4422" s="79" t="str">
        <f t="shared" si="5"/>
        <v xml:space="preserve"> </v>
      </c>
      <c r="E4422" s="79" t="str">
        <f t="shared" si="6"/>
        <v xml:space="preserve"> </v>
      </c>
    </row>
    <row r="4423" spans="1:5" ht="12.5">
      <c r="A4423" s="81" t="str">
        <f t="shared" si="0"/>
        <v xml:space="preserve"> </v>
      </c>
      <c r="B4423" s="81" t="str">
        <f t="shared" si="1"/>
        <v xml:space="preserve"> </v>
      </c>
      <c r="C4423" s="79" t="str">
        <f t="shared" si="7"/>
        <v xml:space="preserve"> </v>
      </c>
      <c r="D4423" s="79" t="str">
        <f t="shared" si="5"/>
        <v xml:space="preserve"> </v>
      </c>
      <c r="E4423" s="79" t="str">
        <f t="shared" si="6"/>
        <v xml:space="preserve"> </v>
      </c>
    </row>
    <row r="4424" spans="1:5" ht="12.5">
      <c r="A4424" s="81" t="str">
        <f t="shared" si="0"/>
        <v xml:space="preserve"> </v>
      </c>
      <c r="B4424" s="81" t="str">
        <f t="shared" si="1"/>
        <v xml:space="preserve"> </v>
      </c>
      <c r="C4424" s="79" t="str">
        <f t="shared" si="7"/>
        <v xml:space="preserve"> </v>
      </c>
      <c r="D4424" s="79" t="str">
        <f t="shared" si="5"/>
        <v xml:space="preserve"> </v>
      </c>
      <c r="E4424" s="79" t="str">
        <f t="shared" si="6"/>
        <v xml:space="preserve"> </v>
      </c>
    </row>
    <row r="4425" spans="1:5" ht="12.5">
      <c r="A4425" s="81" t="str">
        <f t="shared" si="0"/>
        <v xml:space="preserve"> </v>
      </c>
      <c r="B4425" s="81" t="str">
        <f t="shared" si="1"/>
        <v xml:space="preserve"> </v>
      </c>
      <c r="C4425" s="79" t="str">
        <f t="shared" si="7"/>
        <v xml:space="preserve"> </v>
      </c>
      <c r="D4425" s="79" t="str">
        <f t="shared" si="5"/>
        <v xml:space="preserve"> </v>
      </c>
      <c r="E4425" s="79" t="str">
        <f t="shared" si="6"/>
        <v xml:space="preserve"> </v>
      </c>
    </row>
    <row r="4426" spans="1:5" ht="12.5">
      <c r="A4426" s="81" t="str">
        <f t="shared" si="0"/>
        <v xml:space="preserve"> </v>
      </c>
      <c r="B4426" s="81" t="str">
        <f t="shared" si="1"/>
        <v xml:space="preserve"> </v>
      </c>
      <c r="C4426" s="79" t="str">
        <f t="shared" si="7"/>
        <v xml:space="preserve"> </v>
      </c>
      <c r="D4426" s="79" t="str">
        <f t="shared" si="5"/>
        <v xml:space="preserve"> </v>
      </c>
      <c r="E4426" s="79" t="str">
        <f t="shared" si="6"/>
        <v xml:space="preserve"> </v>
      </c>
    </row>
    <row r="4427" spans="1:5" ht="12.5">
      <c r="A4427" s="81" t="str">
        <f t="shared" si="0"/>
        <v xml:space="preserve"> </v>
      </c>
      <c r="B4427" s="81" t="str">
        <f t="shared" si="1"/>
        <v xml:space="preserve"> </v>
      </c>
      <c r="C4427" s="79" t="str">
        <f t="shared" si="7"/>
        <v xml:space="preserve"> </v>
      </c>
      <c r="D4427" s="79" t="str">
        <f t="shared" si="5"/>
        <v xml:space="preserve"> </v>
      </c>
      <c r="E4427" s="79" t="str">
        <f t="shared" si="6"/>
        <v xml:space="preserve"> </v>
      </c>
    </row>
    <row r="4428" spans="1:5" ht="12.5">
      <c r="A4428" s="81" t="str">
        <f t="shared" si="0"/>
        <v xml:space="preserve"> </v>
      </c>
      <c r="B4428" s="81" t="str">
        <f t="shared" si="1"/>
        <v xml:space="preserve"> </v>
      </c>
      <c r="C4428" s="79" t="str">
        <f t="shared" si="7"/>
        <v xml:space="preserve"> </v>
      </c>
      <c r="D4428" s="79" t="str">
        <f t="shared" si="5"/>
        <v xml:space="preserve"> </v>
      </c>
      <c r="E4428" s="79" t="str">
        <f t="shared" si="6"/>
        <v xml:space="preserve"> </v>
      </c>
    </row>
    <row r="4429" spans="1:5" ht="12.5">
      <c r="A4429" s="81" t="str">
        <f t="shared" si="0"/>
        <v xml:space="preserve"> </v>
      </c>
      <c r="B4429" s="81" t="str">
        <f t="shared" si="1"/>
        <v xml:space="preserve"> </v>
      </c>
      <c r="C4429" s="79" t="str">
        <f t="shared" si="7"/>
        <v xml:space="preserve"> </v>
      </c>
      <c r="D4429" s="79" t="str">
        <f t="shared" si="5"/>
        <v xml:space="preserve"> </v>
      </c>
      <c r="E4429" s="79" t="str">
        <f t="shared" si="6"/>
        <v xml:space="preserve"> </v>
      </c>
    </row>
    <row r="4430" spans="1:5" ht="12.5">
      <c r="A4430" s="81" t="str">
        <f t="shared" si="0"/>
        <v xml:space="preserve"> </v>
      </c>
      <c r="B4430" s="81" t="str">
        <f t="shared" si="1"/>
        <v xml:space="preserve"> </v>
      </c>
      <c r="C4430" s="79" t="str">
        <f t="shared" si="7"/>
        <v xml:space="preserve"> </v>
      </c>
      <c r="D4430" s="79" t="str">
        <f t="shared" si="5"/>
        <v xml:space="preserve"> </v>
      </c>
      <c r="E4430" s="79" t="str">
        <f t="shared" si="6"/>
        <v xml:space="preserve"> </v>
      </c>
    </row>
    <row r="4431" spans="1:5" ht="12.5">
      <c r="A4431" s="81" t="str">
        <f t="shared" si="0"/>
        <v xml:space="preserve"> </v>
      </c>
      <c r="B4431" s="81" t="str">
        <f t="shared" si="1"/>
        <v xml:space="preserve"> </v>
      </c>
      <c r="C4431" s="79" t="str">
        <f t="shared" si="7"/>
        <v xml:space="preserve"> </v>
      </c>
      <c r="D4431" s="79" t="str">
        <f t="shared" si="5"/>
        <v xml:space="preserve"> </v>
      </c>
      <c r="E4431" s="79" t="str">
        <f t="shared" si="6"/>
        <v xml:space="preserve"> </v>
      </c>
    </row>
    <row r="4432" spans="1:5" ht="12.5">
      <c r="A4432" s="81" t="str">
        <f t="shared" si="0"/>
        <v xml:space="preserve"> </v>
      </c>
      <c r="B4432" s="81" t="str">
        <f t="shared" si="1"/>
        <v xml:space="preserve"> </v>
      </c>
      <c r="C4432" s="79" t="str">
        <f t="shared" si="7"/>
        <v xml:space="preserve"> </v>
      </c>
      <c r="D4432" s="79" t="str">
        <f t="shared" si="5"/>
        <v xml:space="preserve"> </v>
      </c>
      <c r="E4432" s="79" t="str">
        <f t="shared" si="6"/>
        <v xml:space="preserve"> </v>
      </c>
    </row>
    <row r="4433" spans="1:5" ht="12.5">
      <c r="A4433" s="81" t="str">
        <f t="shared" si="0"/>
        <v xml:space="preserve"> </v>
      </c>
      <c r="B4433" s="81" t="str">
        <f t="shared" si="1"/>
        <v xml:space="preserve"> </v>
      </c>
      <c r="C4433" s="79" t="str">
        <f t="shared" si="7"/>
        <v xml:space="preserve"> </v>
      </c>
      <c r="D4433" s="79" t="str">
        <f t="shared" si="5"/>
        <v xml:space="preserve"> </v>
      </c>
      <c r="E4433" s="79" t="str">
        <f t="shared" si="6"/>
        <v xml:space="preserve"> </v>
      </c>
    </row>
    <row r="4434" spans="1:5" ht="12.5">
      <c r="A4434" s="81" t="str">
        <f t="shared" si="0"/>
        <v xml:space="preserve"> </v>
      </c>
      <c r="B4434" s="81" t="str">
        <f t="shared" si="1"/>
        <v xml:space="preserve"> </v>
      </c>
      <c r="C4434" s="79" t="str">
        <f t="shared" si="7"/>
        <v xml:space="preserve"> </v>
      </c>
      <c r="D4434" s="79" t="str">
        <f t="shared" si="5"/>
        <v xml:space="preserve"> </v>
      </c>
      <c r="E4434" s="79" t="str">
        <f t="shared" si="6"/>
        <v xml:space="preserve"> </v>
      </c>
    </row>
    <row r="4435" spans="1:5" ht="12.5">
      <c r="A4435" s="81" t="str">
        <f t="shared" si="0"/>
        <v xml:space="preserve"> </v>
      </c>
      <c r="B4435" s="81" t="str">
        <f t="shared" si="1"/>
        <v xml:space="preserve"> </v>
      </c>
      <c r="C4435" s="79" t="str">
        <f t="shared" si="7"/>
        <v xml:space="preserve"> </v>
      </c>
      <c r="D4435" s="79" t="str">
        <f t="shared" si="5"/>
        <v xml:space="preserve"> </v>
      </c>
      <c r="E4435" s="79" t="str">
        <f t="shared" si="6"/>
        <v xml:space="preserve"> </v>
      </c>
    </row>
    <row r="4436" spans="1:5" ht="12.5">
      <c r="A4436" s="81" t="str">
        <f t="shared" si="0"/>
        <v xml:space="preserve"> </v>
      </c>
      <c r="B4436" s="81" t="str">
        <f t="shared" si="1"/>
        <v xml:space="preserve"> </v>
      </c>
      <c r="C4436" s="79" t="str">
        <f t="shared" si="7"/>
        <v xml:space="preserve"> </v>
      </c>
      <c r="D4436" s="79" t="str">
        <f t="shared" si="5"/>
        <v xml:space="preserve"> </v>
      </c>
      <c r="E4436" s="79" t="str">
        <f t="shared" si="6"/>
        <v xml:space="preserve"> </v>
      </c>
    </row>
    <row r="4437" spans="1:5" ht="12.5">
      <c r="A4437" s="81" t="str">
        <f t="shared" si="0"/>
        <v xml:space="preserve"> </v>
      </c>
      <c r="B4437" s="81" t="str">
        <f t="shared" si="1"/>
        <v xml:space="preserve"> </v>
      </c>
      <c r="C4437" s="79" t="str">
        <f t="shared" si="7"/>
        <v xml:space="preserve"> </v>
      </c>
      <c r="D4437" s="79" t="str">
        <f t="shared" si="5"/>
        <v xml:space="preserve"> </v>
      </c>
      <c r="E4437" s="79" t="str">
        <f t="shared" si="6"/>
        <v xml:space="preserve"> </v>
      </c>
    </row>
    <row r="4438" spans="1:5" ht="12.5">
      <c r="A4438" s="81" t="str">
        <f t="shared" si="0"/>
        <v xml:space="preserve"> </v>
      </c>
      <c r="B4438" s="81" t="str">
        <f t="shared" si="1"/>
        <v xml:space="preserve"> </v>
      </c>
      <c r="C4438" s="79" t="str">
        <f t="shared" si="7"/>
        <v xml:space="preserve"> </v>
      </c>
      <c r="D4438" s="79" t="str">
        <f t="shared" si="5"/>
        <v xml:space="preserve"> </v>
      </c>
      <c r="E4438" s="79" t="str">
        <f t="shared" si="6"/>
        <v xml:space="preserve"> </v>
      </c>
    </row>
    <row r="4439" spans="1:5" ht="12.5">
      <c r="A4439" s="81" t="str">
        <f t="shared" si="0"/>
        <v xml:space="preserve"> </v>
      </c>
      <c r="B4439" s="81" t="str">
        <f t="shared" si="1"/>
        <v xml:space="preserve"> </v>
      </c>
      <c r="C4439" s="79" t="str">
        <f t="shared" si="7"/>
        <v xml:space="preserve"> </v>
      </c>
      <c r="D4439" s="79" t="str">
        <f t="shared" si="5"/>
        <v xml:space="preserve"> </v>
      </c>
      <c r="E4439" s="79" t="str">
        <f t="shared" si="6"/>
        <v xml:space="preserve"> </v>
      </c>
    </row>
    <row r="4440" spans="1:5" ht="12.5">
      <c r="A4440" s="81" t="str">
        <f t="shared" si="0"/>
        <v xml:space="preserve"> </v>
      </c>
      <c r="B4440" s="81" t="str">
        <f t="shared" si="1"/>
        <v xml:space="preserve"> </v>
      </c>
      <c r="C4440" s="79" t="str">
        <f t="shared" si="7"/>
        <v xml:space="preserve"> </v>
      </c>
      <c r="D4440" s="79" t="str">
        <f t="shared" si="5"/>
        <v xml:space="preserve"> </v>
      </c>
      <c r="E4440" s="79" t="str">
        <f t="shared" si="6"/>
        <v xml:space="preserve"> </v>
      </c>
    </row>
    <row r="4441" spans="1:5" ht="12.5">
      <c r="A4441" s="81" t="str">
        <f t="shared" si="0"/>
        <v xml:space="preserve"> </v>
      </c>
      <c r="B4441" s="81" t="str">
        <f t="shared" si="1"/>
        <v xml:space="preserve"> </v>
      </c>
      <c r="C4441" s="79" t="str">
        <f t="shared" si="7"/>
        <v xml:space="preserve"> </v>
      </c>
      <c r="D4441" s="79" t="str">
        <f t="shared" si="5"/>
        <v xml:space="preserve"> </v>
      </c>
      <c r="E4441" s="79" t="str">
        <f t="shared" si="6"/>
        <v xml:space="preserve"> </v>
      </c>
    </row>
    <row r="4442" spans="1:5" ht="12.5">
      <c r="A4442" s="81" t="str">
        <f t="shared" si="0"/>
        <v xml:space="preserve"> </v>
      </c>
      <c r="B4442" s="81" t="str">
        <f t="shared" si="1"/>
        <v xml:space="preserve"> </v>
      </c>
      <c r="C4442" s="79" t="str">
        <f t="shared" si="7"/>
        <v xml:space="preserve"> </v>
      </c>
      <c r="D4442" s="79" t="str">
        <f t="shared" si="5"/>
        <v xml:space="preserve"> </v>
      </c>
      <c r="E4442" s="79" t="str">
        <f t="shared" si="6"/>
        <v xml:space="preserve"> </v>
      </c>
    </row>
    <row r="4443" spans="1:5" ht="12.5">
      <c r="A4443" s="81" t="str">
        <f t="shared" si="0"/>
        <v xml:space="preserve"> </v>
      </c>
      <c r="B4443" s="81" t="str">
        <f t="shared" si="1"/>
        <v xml:space="preserve"> </v>
      </c>
      <c r="C4443" s="79" t="str">
        <f t="shared" si="7"/>
        <v xml:space="preserve"> </v>
      </c>
      <c r="D4443" s="79" t="str">
        <f t="shared" si="5"/>
        <v xml:space="preserve"> </v>
      </c>
      <c r="E4443" s="79" t="str">
        <f t="shared" si="6"/>
        <v xml:space="preserve"> </v>
      </c>
    </row>
    <row r="4444" spans="1:5" ht="12.5">
      <c r="A4444" s="81" t="str">
        <f t="shared" si="0"/>
        <v xml:space="preserve"> </v>
      </c>
      <c r="B4444" s="81" t="str">
        <f t="shared" si="1"/>
        <v xml:space="preserve"> </v>
      </c>
      <c r="C4444" s="79" t="str">
        <f t="shared" si="7"/>
        <v xml:space="preserve"> </v>
      </c>
      <c r="D4444" s="79" t="str">
        <f t="shared" si="5"/>
        <v xml:space="preserve"> </v>
      </c>
      <c r="E4444" s="79" t="str">
        <f t="shared" si="6"/>
        <v xml:space="preserve"> </v>
      </c>
    </row>
    <row r="4445" spans="1:5" ht="12.5">
      <c r="A4445" s="81" t="str">
        <f t="shared" si="0"/>
        <v xml:space="preserve"> </v>
      </c>
      <c r="B4445" s="81" t="str">
        <f t="shared" si="1"/>
        <v xml:space="preserve"> </v>
      </c>
      <c r="C4445" s="79" t="str">
        <f t="shared" si="7"/>
        <v xml:space="preserve"> </v>
      </c>
      <c r="D4445" s="79" t="str">
        <f t="shared" si="5"/>
        <v xml:space="preserve"> </v>
      </c>
      <c r="E4445" s="79" t="str">
        <f t="shared" si="6"/>
        <v xml:space="preserve"> </v>
      </c>
    </row>
    <row r="4446" spans="1:5" ht="12.5">
      <c r="A4446" s="81" t="str">
        <f t="shared" si="0"/>
        <v xml:space="preserve"> </v>
      </c>
      <c r="B4446" s="81" t="str">
        <f t="shared" si="1"/>
        <v xml:space="preserve"> </v>
      </c>
      <c r="C4446" s="79" t="str">
        <f t="shared" si="7"/>
        <v xml:space="preserve"> </v>
      </c>
      <c r="D4446" s="79" t="str">
        <f t="shared" si="5"/>
        <v xml:space="preserve"> </v>
      </c>
      <c r="E4446" s="79" t="str">
        <f t="shared" si="6"/>
        <v xml:space="preserve"> </v>
      </c>
    </row>
    <row r="4447" spans="1:5" ht="12.5">
      <c r="A4447" s="81" t="str">
        <f t="shared" si="0"/>
        <v xml:space="preserve"> </v>
      </c>
      <c r="B4447" s="81" t="str">
        <f t="shared" si="1"/>
        <v xml:space="preserve"> </v>
      </c>
      <c r="C4447" s="79" t="str">
        <f t="shared" si="7"/>
        <v xml:space="preserve"> </v>
      </c>
      <c r="D4447" s="79" t="str">
        <f t="shared" si="5"/>
        <v xml:space="preserve"> </v>
      </c>
      <c r="E4447" s="79" t="str">
        <f t="shared" si="6"/>
        <v xml:space="preserve"> </v>
      </c>
    </row>
    <row r="4448" spans="1:5" ht="12.5">
      <c r="A4448" s="81" t="str">
        <f t="shared" si="0"/>
        <v xml:space="preserve"> </v>
      </c>
      <c r="B4448" s="81" t="str">
        <f t="shared" si="1"/>
        <v xml:space="preserve"> </v>
      </c>
      <c r="C4448" s="79" t="str">
        <f t="shared" si="7"/>
        <v xml:space="preserve"> </v>
      </c>
      <c r="D4448" s="79" t="str">
        <f t="shared" si="5"/>
        <v xml:space="preserve"> </v>
      </c>
      <c r="E4448" s="79" t="str">
        <f t="shared" si="6"/>
        <v xml:space="preserve"> </v>
      </c>
    </row>
    <row r="4449" spans="1:5" ht="12.5">
      <c r="A4449" s="81" t="str">
        <f t="shared" si="0"/>
        <v xml:space="preserve"> </v>
      </c>
      <c r="B4449" s="81" t="str">
        <f t="shared" si="1"/>
        <v xml:space="preserve"> </v>
      </c>
      <c r="C4449" s="79" t="str">
        <f t="shared" si="7"/>
        <v xml:space="preserve"> </v>
      </c>
      <c r="D4449" s="79" t="str">
        <f t="shared" si="5"/>
        <v xml:space="preserve"> </v>
      </c>
      <c r="E4449" s="79" t="str">
        <f t="shared" si="6"/>
        <v xml:space="preserve"> </v>
      </c>
    </row>
    <row r="4450" spans="1:5" ht="12.5">
      <c r="A4450" s="81" t="str">
        <f t="shared" si="0"/>
        <v xml:space="preserve"> </v>
      </c>
      <c r="B4450" s="81" t="str">
        <f t="shared" si="1"/>
        <v xml:space="preserve"> </v>
      </c>
      <c r="C4450" s="79" t="str">
        <f t="shared" si="7"/>
        <v xml:space="preserve"> </v>
      </c>
      <c r="D4450" s="79" t="str">
        <f t="shared" si="5"/>
        <v xml:space="preserve"> </v>
      </c>
      <c r="E4450" s="79" t="str">
        <f t="shared" si="6"/>
        <v xml:space="preserve"> </v>
      </c>
    </row>
    <row r="4451" spans="1:5" ht="12.5">
      <c r="A4451" s="81" t="str">
        <f t="shared" si="0"/>
        <v xml:space="preserve"> </v>
      </c>
      <c r="B4451" s="81" t="str">
        <f t="shared" si="1"/>
        <v xml:space="preserve"> </v>
      </c>
      <c r="C4451" s="79" t="str">
        <f t="shared" si="7"/>
        <v xml:space="preserve"> </v>
      </c>
      <c r="D4451" s="79" t="str">
        <f t="shared" si="5"/>
        <v xml:space="preserve"> </v>
      </c>
      <c r="E4451" s="79" t="str">
        <f t="shared" si="6"/>
        <v xml:space="preserve"> </v>
      </c>
    </row>
    <row r="4452" spans="1:5" ht="12.5">
      <c r="A4452" s="81" t="str">
        <f t="shared" si="0"/>
        <v xml:space="preserve"> </v>
      </c>
      <c r="B4452" s="81" t="str">
        <f t="shared" si="1"/>
        <v xml:space="preserve"> </v>
      </c>
      <c r="C4452" s="79" t="str">
        <f t="shared" si="7"/>
        <v xml:space="preserve"> </v>
      </c>
      <c r="D4452" s="79" t="str">
        <f t="shared" si="5"/>
        <v xml:space="preserve"> </v>
      </c>
      <c r="E4452" s="79" t="str">
        <f t="shared" si="6"/>
        <v xml:space="preserve"> </v>
      </c>
    </row>
    <row r="4453" spans="1:5" ht="12.5">
      <c r="A4453" s="81" t="str">
        <f t="shared" si="0"/>
        <v xml:space="preserve"> </v>
      </c>
      <c r="B4453" s="81" t="str">
        <f t="shared" si="1"/>
        <v xml:space="preserve"> </v>
      </c>
      <c r="C4453" s="79" t="str">
        <f t="shared" si="7"/>
        <v xml:space="preserve"> </v>
      </c>
      <c r="D4453" s="79" t="str">
        <f t="shared" si="5"/>
        <v xml:space="preserve"> </v>
      </c>
      <c r="E4453" s="79" t="str">
        <f t="shared" si="6"/>
        <v xml:space="preserve"> </v>
      </c>
    </row>
    <row r="4454" spans="1:5" ht="12.5">
      <c r="A4454" s="81" t="str">
        <f t="shared" si="0"/>
        <v xml:space="preserve"> </v>
      </c>
      <c r="B4454" s="81" t="str">
        <f t="shared" si="1"/>
        <v xml:space="preserve"> </v>
      </c>
      <c r="C4454" s="79" t="str">
        <f t="shared" si="7"/>
        <v xml:space="preserve"> </v>
      </c>
      <c r="D4454" s="79" t="str">
        <f t="shared" si="5"/>
        <v xml:space="preserve"> </v>
      </c>
      <c r="E4454" s="79" t="str">
        <f t="shared" si="6"/>
        <v xml:space="preserve"> </v>
      </c>
    </row>
    <row r="4455" spans="1:5" ht="12.5">
      <c r="A4455" s="81" t="str">
        <f t="shared" si="0"/>
        <v xml:space="preserve"> </v>
      </c>
      <c r="B4455" s="81" t="str">
        <f t="shared" si="1"/>
        <v xml:space="preserve"> </v>
      </c>
      <c r="C4455" s="79" t="str">
        <f t="shared" si="7"/>
        <v xml:space="preserve"> </v>
      </c>
      <c r="D4455" s="79" t="str">
        <f t="shared" si="5"/>
        <v xml:space="preserve"> </v>
      </c>
      <c r="E4455" s="79" t="str">
        <f t="shared" si="6"/>
        <v xml:space="preserve"> </v>
      </c>
    </row>
    <row r="4456" spans="1:5" ht="12.5">
      <c r="A4456" s="81" t="str">
        <f t="shared" si="0"/>
        <v xml:space="preserve"> </v>
      </c>
      <c r="B4456" s="81" t="str">
        <f t="shared" si="1"/>
        <v xml:space="preserve"> </v>
      </c>
      <c r="C4456" s="79" t="str">
        <f t="shared" si="7"/>
        <v xml:space="preserve"> </v>
      </c>
      <c r="D4456" s="79" t="str">
        <f t="shared" si="5"/>
        <v xml:space="preserve"> </v>
      </c>
      <c r="E4456" s="79" t="str">
        <f t="shared" si="6"/>
        <v xml:space="preserve"> </v>
      </c>
    </row>
    <row r="4457" spans="1:5" ht="12.5">
      <c r="A4457" s="81" t="str">
        <f t="shared" si="0"/>
        <v xml:space="preserve"> </v>
      </c>
      <c r="B4457" s="81" t="str">
        <f t="shared" si="1"/>
        <v xml:space="preserve"> </v>
      </c>
      <c r="C4457" s="79" t="str">
        <f t="shared" si="7"/>
        <v xml:space="preserve"> </v>
      </c>
      <c r="D4457" s="79" t="str">
        <f t="shared" si="5"/>
        <v xml:space="preserve"> </v>
      </c>
      <c r="E4457" s="79" t="str">
        <f t="shared" si="6"/>
        <v xml:space="preserve"> </v>
      </c>
    </row>
    <row r="4458" spans="1:5" ht="12.5">
      <c r="A4458" s="81" t="str">
        <f t="shared" si="0"/>
        <v xml:space="preserve"> </v>
      </c>
      <c r="B4458" s="81" t="str">
        <f t="shared" si="1"/>
        <v xml:space="preserve"> </v>
      </c>
      <c r="C4458" s="79" t="str">
        <f t="shared" si="7"/>
        <v xml:space="preserve"> </v>
      </c>
      <c r="D4458" s="79" t="str">
        <f t="shared" si="5"/>
        <v xml:space="preserve"> </v>
      </c>
      <c r="E4458" s="79" t="str">
        <f t="shared" si="6"/>
        <v xml:space="preserve"> </v>
      </c>
    </row>
    <row r="4459" spans="1:5" ht="12.5">
      <c r="A4459" s="81" t="str">
        <f t="shared" si="0"/>
        <v xml:space="preserve"> </v>
      </c>
      <c r="B4459" s="81" t="str">
        <f t="shared" si="1"/>
        <v xml:space="preserve"> </v>
      </c>
      <c r="C4459" s="79" t="str">
        <f t="shared" si="7"/>
        <v xml:space="preserve"> </v>
      </c>
      <c r="D4459" s="79" t="str">
        <f t="shared" si="5"/>
        <v xml:space="preserve"> </v>
      </c>
      <c r="E4459" s="79" t="str">
        <f t="shared" si="6"/>
        <v xml:space="preserve"> </v>
      </c>
    </row>
    <row r="4460" spans="1:5" ht="12.5">
      <c r="A4460" s="81" t="str">
        <f t="shared" si="0"/>
        <v xml:space="preserve"> </v>
      </c>
      <c r="B4460" s="81" t="str">
        <f t="shared" si="1"/>
        <v xml:space="preserve"> </v>
      </c>
      <c r="C4460" s="79" t="str">
        <f t="shared" si="7"/>
        <v xml:space="preserve"> </v>
      </c>
      <c r="D4460" s="79" t="str">
        <f t="shared" si="5"/>
        <v xml:space="preserve"> </v>
      </c>
      <c r="E4460" s="79" t="str">
        <f t="shared" si="6"/>
        <v xml:space="preserve"> </v>
      </c>
    </row>
    <row r="4461" spans="1:5" ht="12.5">
      <c r="A4461" s="81" t="str">
        <f t="shared" si="0"/>
        <v xml:space="preserve"> </v>
      </c>
      <c r="B4461" s="81" t="str">
        <f t="shared" si="1"/>
        <v xml:space="preserve"> </v>
      </c>
      <c r="C4461" s="79" t="str">
        <f t="shared" si="7"/>
        <v xml:space="preserve"> </v>
      </c>
      <c r="D4461" s="79" t="str">
        <f t="shared" si="5"/>
        <v xml:space="preserve"> </v>
      </c>
      <c r="E4461" s="79" t="str">
        <f t="shared" si="6"/>
        <v xml:space="preserve"> </v>
      </c>
    </row>
    <row r="4462" spans="1:5" ht="12.5">
      <c r="A4462" s="81" t="str">
        <f t="shared" si="0"/>
        <v xml:space="preserve"> </v>
      </c>
      <c r="B4462" s="81" t="str">
        <f t="shared" si="1"/>
        <v xml:space="preserve"> </v>
      </c>
      <c r="C4462" s="79" t="str">
        <f t="shared" si="7"/>
        <v xml:space="preserve"> </v>
      </c>
      <c r="D4462" s="79" t="str">
        <f t="shared" si="5"/>
        <v xml:space="preserve"> </v>
      </c>
      <c r="E4462" s="79" t="str">
        <f t="shared" si="6"/>
        <v xml:space="preserve"> </v>
      </c>
    </row>
    <row r="4463" spans="1:5" ht="12.5">
      <c r="A4463" s="81" t="str">
        <f t="shared" si="0"/>
        <v xml:space="preserve"> </v>
      </c>
      <c r="B4463" s="81" t="str">
        <f t="shared" si="1"/>
        <v xml:space="preserve"> </v>
      </c>
      <c r="C4463" s="79" t="str">
        <f t="shared" si="7"/>
        <v xml:space="preserve"> </v>
      </c>
      <c r="D4463" s="79" t="str">
        <f t="shared" si="5"/>
        <v xml:space="preserve"> </v>
      </c>
      <c r="E4463" s="79" t="str">
        <f t="shared" si="6"/>
        <v xml:space="preserve"> </v>
      </c>
    </row>
    <row r="4464" spans="1:5" ht="12.5">
      <c r="A4464" s="81" t="str">
        <f t="shared" si="0"/>
        <v xml:space="preserve"> </v>
      </c>
      <c r="B4464" s="81" t="str">
        <f t="shared" si="1"/>
        <v xml:space="preserve"> </v>
      </c>
      <c r="C4464" s="79" t="str">
        <f t="shared" si="7"/>
        <v xml:space="preserve"> </v>
      </c>
      <c r="D4464" s="79" t="str">
        <f t="shared" si="5"/>
        <v xml:space="preserve"> </v>
      </c>
      <c r="E4464" s="79" t="str">
        <f t="shared" si="6"/>
        <v xml:space="preserve"> </v>
      </c>
    </row>
    <row r="4465" spans="1:5" ht="12.5">
      <c r="A4465" s="81" t="str">
        <f t="shared" si="0"/>
        <v xml:space="preserve"> </v>
      </c>
      <c r="B4465" s="81" t="str">
        <f t="shared" si="1"/>
        <v xml:space="preserve"> </v>
      </c>
      <c r="C4465" s="79" t="str">
        <f t="shared" si="7"/>
        <v xml:space="preserve"> </v>
      </c>
      <c r="D4465" s="79" t="str">
        <f t="shared" si="5"/>
        <v xml:space="preserve"> </v>
      </c>
      <c r="E4465" s="79" t="str">
        <f t="shared" si="6"/>
        <v xml:space="preserve"> </v>
      </c>
    </row>
    <row r="4466" spans="1:5" ht="12.5">
      <c r="A4466" s="81" t="str">
        <f t="shared" si="0"/>
        <v xml:space="preserve"> </v>
      </c>
      <c r="B4466" s="81" t="str">
        <f t="shared" si="1"/>
        <v xml:space="preserve"> </v>
      </c>
      <c r="C4466" s="79" t="str">
        <f t="shared" si="7"/>
        <v xml:space="preserve"> </v>
      </c>
      <c r="D4466" s="79" t="str">
        <f t="shared" si="5"/>
        <v xml:space="preserve"> </v>
      </c>
      <c r="E4466" s="79" t="str">
        <f t="shared" si="6"/>
        <v xml:space="preserve"> </v>
      </c>
    </row>
    <row r="4467" spans="1:5" ht="12.5">
      <c r="A4467" s="81" t="str">
        <f t="shared" si="0"/>
        <v xml:space="preserve"> </v>
      </c>
      <c r="B4467" s="81" t="str">
        <f t="shared" si="1"/>
        <v xml:space="preserve"> </v>
      </c>
      <c r="C4467" s="79" t="str">
        <f t="shared" si="7"/>
        <v xml:space="preserve"> </v>
      </c>
      <c r="D4467" s="79" t="str">
        <f t="shared" si="5"/>
        <v xml:space="preserve"> </v>
      </c>
      <c r="E4467" s="79" t="str">
        <f t="shared" si="6"/>
        <v xml:space="preserve"> </v>
      </c>
    </row>
    <row r="4468" spans="1:5" ht="12.5">
      <c r="A4468" s="81" t="str">
        <f t="shared" si="0"/>
        <v xml:space="preserve"> </v>
      </c>
      <c r="B4468" s="81" t="str">
        <f t="shared" si="1"/>
        <v xml:space="preserve"> </v>
      </c>
      <c r="C4468" s="79" t="str">
        <f t="shared" si="7"/>
        <v xml:space="preserve"> </v>
      </c>
      <c r="D4468" s="79" t="str">
        <f t="shared" si="5"/>
        <v xml:space="preserve"> </v>
      </c>
      <c r="E4468" s="79" t="str">
        <f t="shared" si="6"/>
        <v xml:space="preserve"> </v>
      </c>
    </row>
    <row r="4469" spans="1:5" ht="12.5">
      <c r="A4469" s="81" t="str">
        <f t="shared" si="0"/>
        <v xml:space="preserve"> </v>
      </c>
      <c r="B4469" s="81" t="str">
        <f t="shared" si="1"/>
        <v xml:space="preserve"> </v>
      </c>
      <c r="C4469" s="79" t="str">
        <f t="shared" si="7"/>
        <v xml:space="preserve"> </v>
      </c>
      <c r="D4469" s="79" t="str">
        <f t="shared" si="5"/>
        <v xml:space="preserve"> </v>
      </c>
      <c r="E4469" s="79" t="str">
        <f t="shared" si="6"/>
        <v xml:space="preserve"> </v>
      </c>
    </row>
    <row r="4470" spans="1:5" ht="12.5">
      <c r="A4470" s="81" t="str">
        <f t="shared" si="0"/>
        <v xml:space="preserve"> </v>
      </c>
      <c r="B4470" s="81" t="str">
        <f t="shared" si="1"/>
        <v xml:space="preserve"> </v>
      </c>
      <c r="C4470" s="79" t="str">
        <f t="shared" si="7"/>
        <v xml:space="preserve"> </v>
      </c>
      <c r="D4470" s="79" t="str">
        <f t="shared" si="5"/>
        <v xml:space="preserve"> </v>
      </c>
      <c r="E4470" s="79" t="str">
        <f t="shared" si="6"/>
        <v xml:space="preserve"> </v>
      </c>
    </row>
    <row r="4471" spans="1:5" ht="12.5">
      <c r="A4471" s="81" t="str">
        <f t="shared" si="0"/>
        <v xml:space="preserve"> </v>
      </c>
      <c r="B4471" s="81" t="str">
        <f t="shared" si="1"/>
        <v xml:space="preserve"> </v>
      </c>
      <c r="C4471" s="79" t="str">
        <f t="shared" si="7"/>
        <v xml:space="preserve"> </v>
      </c>
      <c r="D4471" s="79" t="str">
        <f t="shared" si="5"/>
        <v xml:space="preserve"> </v>
      </c>
      <c r="E4471" s="79" t="str">
        <f t="shared" si="6"/>
        <v xml:space="preserve"> </v>
      </c>
    </row>
    <row r="4472" spans="1:5" ht="12.5">
      <c r="A4472" s="81" t="str">
        <f t="shared" si="0"/>
        <v xml:space="preserve"> </v>
      </c>
      <c r="B4472" s="81" t="str">
        <f t="shared" si="1"/>
        <v xml:space="preserve"> </v>
      </c>
      <c r="C4472" s="79" t="str">
        <f t="shared" si="7"/>
        <v xml:space="preserve"> </v>
      </c>
      <c r="D4472" s="79" t="str">
        <f t="shared" si="5"/>
        <v xml:space="preserve"> </v>
      </c>
      <c r="E4472" s="79" t="str">
        <f t="shared" si="6"/>
        <v xml:space="preserve"> </v>
      </c>
    </row>
    <row r="4473" spans="1:5" ht="12.5">
      <c r="A4473" s="81" t="str">
        <f t="shared" si="0"/>
        <v xml:space="preserve"> </v>
      </c>
      <c r="B4473" s="81" t="str">
        <f t="shared" si="1"/>
        <v xml:space="preserve"> </v>
      </c>
      <c r="C4473" s="79" t="str">
        <f t="shared" si="7"/>
        <v xml:space="preserve"> </v>
      </c>
      <c r="D4473" s="79" t="str">
        <f t="shared" si="5"/>
        <v xml:space="preserve"> </v>
      </c>
      <c r="E4473" s="79" t="str">
        <f t="shared" si="6"/>
        <v xml:space="preserve"> </v>
      </c>
    </row>
    <row r="4474" spans="1:5" ht="12.5">
      <c r="A4474" s="81" t="str">
        <f t="shared" si="0"/>
        <v xml:space="preserve"> </v>
      </c>
      <c r="B4474" s="81" t="str">
        <f t="shared" si="1"/>
        <v xml:space="preserve"> </v>
      </c>
      <c r="C4474" s="79" t="str">
        <f t="shared" si="7"/>
        <v xml:space="preserve"> </v>
      </c>
      <c r="D4474" s="79" t="str">
        <f t="shared" si="5"/>
        <v xml:space="preserve"> </v>
      </c>
      <c r="E4474" s="79" t="str">
        <f t="shared" si="6"/>
        <v xml:space="preserve"> </v>
      </c>
    </row>
    <row r="4475" spans="1:5" ht="12.5">
      <c r="A4475" s="81" t="str">
        <f t="shared" si="0"/>
        <v xml:space="preserve"> </v>
      </c>
      <c r="B4475" s="81" t="str">
        <f t="shared" si="1"/>
        <v xml:space="preserve"> </v>
      </c>
      <c r="C4475" s="79" t="str">
        <f t="shared" si="7"/>
        <v xml:space="preserve"> </v>
      </c>
      <c r="D4475" s="79" t="str">
        <f t="shared" si="5"/>
        <v xml:space="preserve"> </v>
      </c>
      <c r="E4475" s="79" t="str">
        <f t="shared" si="6"/>
        <v xml:space="preserve"> </v>
      </c>
    </row>
    <row r="4476" spans="1:5" ht="12.5">
      <c r="A4476" s="81" t="str">
        <f t="shared" si="0"/>
        <v xml:space="preserve"> </v>
      </c>
      <c r="B4476" s="81" t="str">
        <f t="shared" si="1"/>
        <v xml:space="preserve"> </v>
      </c>
      <c r="C4476" s="79" t="str">
        <f t="shared" si="7"/>
        <v xml:space="preserve"> </v>
      </c>
      <c r="D4476" s="79" t="str">
        <f t="shared" si="5"/>
        <v xml:space="preserve"> </v>
      </c>
      <c r="E4476" s="79" t="str">
        <f t="shared" si="6"/>
        <v xml:space="preserve"> </v>
      </c>
    </row>
    <row r="4477" spans="1:5" ht="12.5">
      <c r="A4477" s="81" t="str">
        <f t="shared" si="0"/>
        <v xml:space="preserve"> </v>
      </c>
      <c r="B4477" s="81" t="str">
        <f t="shared" si="1"/>
        <v xml:space="preserve"> </v>
      </c>
      <c r="C4477" s="79" t="str">
        <f t="shared" si="7"/>
        <v xml:space="preserve"> </v>
      </c>
      <c r="D4477" s="79" t="str">
        <f t="shared" si="5"/>
        <v xml:space="preserve"> </v>
      </c>
      <c r="E4477" s="79" t="str">
        <f t="shared" si="6"/>
        <v xml:space="preserve"> </v>
      </c>
    </row>
    <row r="4478" spans="1:5" ht="12.5">
      <c r="A4478" s="81" t="str">
        <f t="shared" si="0"/>
        <v xml:space="preserve"> </v>
      </c>
      <c r="B4478" s="81" t="str">
        <f t="shared" si="1"/>
        <v xml:space="preserve"> </v>
      </c>
      <c r="C4478" s="79" t="str">
        <f t="shared" si="7"/>
        <v xml:space="preserve"> </v>
      </c>
      <c r="D4478" s="79" t="str">
        <f t="shared" si="5"/>
        <v xml:space="preserve"> </v>
      </c>
      <c r="E4478" s="79" t="str">
        <f t="shared" si="6"/>
        <v xml:space="preserve"> </v>
      </c>
    </row>
    <row r="4479" spans="1:5" ht="12.5">
      <c r="A4479" s="81" t="str">
        <f t="shared" si="0"/>
        <v xml:space="preserve"> </v>
      </c>
      <c r="B4479" s="81" t="str">
        <f t="shared" si="1"/>
        <v xml:space="preserve"> </v>
      </c>
      <c r="C4479" s="79" t="str">
        <f t="shared" si="7"/>
        <v xml:space="preserve"> </v>
      </c>
      <c r="D4479" s="79" t="str">
        <f t="shared" si="5"/>
        <v xml:space="preserve"> </v>
      </c>
      <c r="E4479" s="79" t="str">
        <f t="shared" si="6"/>
        <v xml:space="preserve"> </v>
      </c>
    </row>
    <row r="4480" spans="1:5" ht="12.5">
      <c r="A4480" s="81" t="str">
        <f t="shared" si="0"/>
        <v xml:space="preserve"> </v>
      </c>
      <c r="B4480" s="81" t="str">
        <f t="shared" si="1"/>
        <v xml:space="preserve"> </v>
      </c>
      <c r="C4480" s="79" t="str">
        <f t="shared" si="7"/>
        <v xml:space="preserve"> </v>
      </c>
      <c r="D4480" s="79" t="str">
        <f t="shared" si="5"/>
        <v xml:space="preserve"> </v>
      </c>
      <c r="E4480" s="79" t="str">
        <f t="shared" si="6"/>
        <v xml:space="preserve"> </v>
      </c>
    </row>
    <row r="4481" spans="1:5" ht="12.5">
      <c r="A4481" s="81" t="str">
        <f t="shared" si="0"/>
        <v xml:space="preserve"> </v>
      </c>
      <c r="B4481" s="81" t="str">
        <f t="shared" si="1"/>
        <v xml:space="preserve"> </v>
      </c>
      <c r="C4481" s="79" t="str">
        <f t="shared" si="7"/>
        <v xml:space="preserve"> </v>
      </c>
      <c r="D4481" s="79" t="str">
        <f t="shared" si="5"/>
        <v xml:space="preserve"> </v>
      </c>
      <c r="E4481" s="79" t="str">
        <f t="shared" si="6"/>
        <v xml:space="preserve"> </v>
      </c>
    </row>
    <row r="4482" spans="1:5" ht="12.5">
      <c r="A4482" s="81" t="str">
        <f t="shared" si="0"/>
        <v xml:space="preserve"> </v>
      </c>
      <c r="B4482" s="81" t="str">
        <f t="shared" si="1"/>
        <v xml:space="preserve"> </v>
      </c>
      <c r="C4482" s="79" t="str">
        <f t="shared" si="7"/>
        <v xml:space="preserve"> </v>
      </c>
      <c r="D4482" s="79" t="str">
        <f t="shared" si="5"/>
        <v xml:space="preserve"> </v>
      </c>
      <c r="E4482" s="79" t="str">
        <f t="shared" si="6"/>
        <v xml:space="preserve"> </v>
      </c>
    </row>
    <row r="4483" spans="1:5" ht="12.5">
      <c r="A4483" s="81" t="str">
        <f t="shared" si="0"/>
        <v xml:space="preserve"> </v>
      </c>
      <c r="B4483" s="81" t="str">
        <f t="shared" si="1"/>
        <v xml:space="preserve"> </v>
      </c>
      <c r="C4483" s="79" t="str">
        <f t="shared" si="7"/>
        <v xml:space="preserve"> </v>
      </c>
      <c r="D4483" s="79" t="str">
        <f t="shared" si="5"/>
        <v xml:space="preserve"> </v>
      </c>
      <c r="E4483" s="79" t="str">
        <f t="shared" si="6"/>
        <v xml:space="preserve"> </v>
      </c>
    </row>
    <row r="4484" spans="1:5" ht="12.5">
      <c r="A4484" s="81" t="str">
        <f t="shared" si="0"/>
        <v xml:space="preserve"> </v>
      </c>
      <c r="B4484" s="81" t="str">
        <f t="shared" si="1"/>
        <v xml:space="preserve"> </v>
      </c>
      <c r="C4484" s="79" t="str">
        <f t="shared" si="7"/>
        <v xml:space="preserve"> </v>
      </c>
      <c r="D4484" s="79" t="str">
        <f t="shared" si="5"/>
        <v xml:space="preserve"> </v>
      </c>
      <c r="E4484" s="79" t="str">
        <f t="shared" si="6"/>
        <v xml:space="preserve"> </v>
      </c>
    </row>
    <row r="4485" spans="1:5" ht="12.5">
      <c r="A4485" s="81" t="str">
        <f t="shared" si="0"/>
        <v xml:space="preserve"> </v>
      </c>
      <c r="B4485" s="81" t="str">
        <f t="shared" si="1"/>
        <v xml:space="preserve"> </v>
      </c>
      <c r="C4485" s="79" t="str">
        <f t="shared" si="7"/>
        <v xml:space="preserve"> </v>
      </c>
      <c r="D4485" s="79" t="str">
        <f t="shared" si="5"/>
        <v xml:space="preserve"> </v>
      </c>
      <c r="E4485" s="79" t="str">
        <f t="shared" si="6"/>
        <v xml:space="preserve"> </v>
      </c>
    </row>
    <row r="4486" spans="1:5" ht="12.5">
      <c r="A4486" s="81" t="str">
        <f t="shared" si="0"/>
        <v xml:space="preserve"> </v>
      </c>
      <c r="B4486" s="81" t="str">
        <f t="shared" si="1"/>
        <v xml:space="preserve"> </v>
      </c>
      <c r="C4486" s="79" t="str">
        <f t="shared" si="7"/>
        <v xml:space="preserve"> </v>
      </c>
      <c r="D4486" s="79" t="str">
        <f t="shared" si="5"/>
        <v xml:space="preserve"> </v>
      </c>
      <c r="E4486" s="79" t="str">
        <f t="shared" si="6"/>
        <v xml:space="preserve"> </v>
      </c>
    </row>
    <row r="4487" spans="1:5" ht="12.5">
      <c r="A4487" s="81" t="str">
        <f t="shared" si="0"/>
        <v xml:space="preserve"> </v>
      </c>
      <c r="B4487" s="81" t="str">
        <f t="shared" si="1"/>
        <v xml:space="preserve"> </v>
      </c>
      <c r="C4487" s="79" t="str">
        <f t="shared" si="7"/>
        <v xml:space="preserve"> </v>
      </c>
      <c r="D4487" s="79" t="str">
        <f t="shared" si="5"/>
        <v xml:space="preserve"> </v>
      </c>
      <c r="E4487" s="79" t="str">
        <f t="shared" si="6"/>
        <v xml:space="preserve"> </v>
      </c>
    </row>
    <row r="4488" spans="1:5" ht="12.5">
      <c r="A4488" s="81" t="str">
        <f t="shared" si="0"/>
        <v xml:space="preserve"> </v>
      </c>
      <c r="B4488" s="81" t="str">
        <f t="shared" si="1"/>
        <v xml:space="preserve"> </v>
      </c>
      <c r="C4488" s="79" t="str">
        <f t="shared" si="7"/>
        <v xml:space="preserve"> </v>
      </c>
      <c r="D4488" s="79" t="str">
        <f t="shared" si="5"/>
        <v xml:space="preserve"> </v>
      </c>
      <c r="E4488" s="79" t="str">
        <f t="shared" si="6"/>
        <v xml:space="preserve"> </v>
      </c>
    </row>
    <row r="4489" spans="1:5" ht="12.5">
      <c r="A4489" s="81" t="str">
        <f t="shared" si="0"/>
        <v xml:space="preserve"> </v>
      </c>
      <c r="B4489" s="81" t="str">
        <f t="shared" si="1"/>
        <v xml:space="preserve"> </v>
      </c>
      <c r="C4489" s="79" t="str">
        <f t="shared" si="7"/>
        <v xml:space="preserve"> </v>
      </c>
      <c r="D4489" s="79" t="str">
        <f t="shared" si="5"/>
        <v xml:space="preserve"> </v>
      </c>
      <c r="E4489" s="79" t="str">
        <f t="shared" si="6"/>
        <v xml:space="preserve"> </v>
      </c>
    </row>
    <row r="4490" spans="1:5" ht="12.5">
      <c r="A4490" s="81" t="str">
        <f t="shared" si="0"/>
        <v xml:space="preserve"> </v>
      </c>
      <c r="B4490" s="81" t="str">
        <f t="shared" si="1"/>
        <v xml:space="preserve"> </v>
      </c>
      <c r="C4490" s="79" t="str">
        <f t="shared" si="7"/>
        <v xml:space="preserve"> </v>
      </c>
      <c r="D4490" s="79" t="str">
        <f t="shared" si="5"/>
        <v xml:space="preserve"> </v>
      </c>
      <c r="E4490" s="79" t="str">
        <f t="shared" si="6"/>
        <v xml:space="preserve"> </v>
      </c>
    </row>
    <row r="4491" spans="1:5" ht="12.5">
      <c r="A4491" s="81" t="str">
        <f t="shared" si="0"/>
        <v xml:space="preserve"> </v>
      </c>
      <c r="B4491" s="81" t="str">
        <f t="shared" si="1"/>
        <v xml:space="preserve"> </v>
      </c>
      <c r="C4491" s="79" t="str">
        <f t="shared" si="7"/>
        <v xml:space="preserve"> </v>
      </c>
      <c r="D4491" s="79" t="str">
        <f t="shared" si="5"/>
        <v xml:space="preserve"> </v>
      </c>
      <c r="E4491" s="79" t="str">
        <f t="shared" si="6"/>
        <v xml:space="preserve"> </v>
      </c>
    </row>
    <row r="4492" spans="1:5" ht="12.5">
      <c r="A4492" s="81" t="str">
        <f t="shared" si="0"/>
        <v xml:space="preserve"> </v>
      </c>
      <c r="B4492" s="81" t="str">
        <f t="shared" si="1"/>
        <v xml:space="preserve"> </v>
      </c>
      <c r="C4492" s="79" t="str">
        <f t="shared" si="7"/>
        <v xml:space="preserve"> </v>
      </c>
      <c r="D4492" s="79" t="str">
        <f t="shared" si="5"/>
        <v xml:space="preserve"> </v>
      </c>
      <c r="E4492" s="79" t="str">
        <f t="shared" si="6"/>
        <v xml:space="preserve"> </v>
      </c>
    </row>
    <row r="4493" spans="1:5" ht="12.5">
      <c r="A4493" s="81" t="str">
        <f t="shared" si="0"/>
        <v xml:space="preserve"> </v>
      </c>
      <c r="B4493" s="81" t="str">
        <f t="shared" si="1"/>
        <v xml:space="preserve"> </v>
      </c>
      <c r="C4493" s="79" t="str">
        <f t="shared" si="7"/>
        <v xml:space="preserve"> </v>
      </c>
      <c r="D4493" s="79" t="str">
        <f t="shared" si="5"/>
        <v xml:space="preserve"> </v>
      </c>
      <c r="E4493" s="79" t="str">
        <f t="shared" si="6"/>
        <v xml:space="preserve"> </v>
      </c>
    </row>
    <row r="4494" spans="1:5" ht="12.5">
      <c r="A4494" s="81" t="str">
        <f t="shared" si="0"/>
        <v xml:space="preserve"> </v>
      </c>
      <c r="B4494" s="81" t="str">
        <f t="shared" si="1"/>
        <v xml:space="preserve"> </v>
      </c>
      <c r="C4494" s="79" t="str">
        <f t="shared" si="7"/>
        <v xml:space="preserve"> </v>
      </c>
      <c r="D4494" s="79" t="str">
        <f t="shared" si="5"/>
        <v xml:space="preserve"> </v>
      </c>
      <c r="E4494" s="79" t="str">
        <f t="shared" si="6"/>
        <v xml:space="preserve"> </v>
      </c>
    </row>
    <row r="4495" spans="1:5" ht="12.5">
      <c r="A4495" s="81" t="str">
        <f t="shared" si="0"/>
        <v xml:space="preserve"> </v>
      </c>
      <c r="B4495" s="81" t="str">
        <f t="shared" si="1"/>
        <v xml:space="preserve"> </v>
      </c>
      <c r="C4495" s="79" t="str">
        <f t="shared" si="7"/>
        <v xml:space="preserve"> </v>
      </c>
      <c r="D4495" s="79" t="str">
        <f t="shared" si="5"/>
        <v xml:space="preserve"> </v>
      </c>
      <c r="E4495" s="79" t="str">
        <f t="shared" si="6"/>
        <v xml:space="preserve"> </v>
      </c>
    </row>
    <row r="4496" spans="1:5" ht="12.5">
      <c r="A4496" s="81" t="str">
        <f t="shared" si="0"/>
        <v xml:space="preserve"> </v>
      </c>
      <c r="B4496" s="81" t="str">
        <f t="shared" si="1"/>
        <v xml:space="preserve"> </v>
      </c>
      <c r="C4496" s="79" t="str">
        <f t="shared" si="7"/>
        <v xml:space="preserve"> </v>
      </c>
      <c r="D4496" s="79" t="str">
        <f t="shared" si="5"/>
        <v xml:space="preserve"> </v>
      </c>
      <c r="E4496" s="79" t="str">
        <f t="shared" si="6"/>
        <v xml:space="preserve"> </v>
      </c>
    </row>
    <row r="4497" spans="1:5" ht="12.5">
      <c r="A4497" s="81" t="str">
        <f t="shared" si="0"/>
        <v xml:space="preserve"> </v>
      </c>
      <c r="B4497" s="81" t="str">
        <f t="shared" si="1"/>
        <v xml:space="preserve"> </v>
      </c>
      <c r="C4497" s="79" t="str">
        <f t="shared" si="7"/>
        <v xml:space="preserve"> </v>
      </c>
      <c r="D4497" s="79" t="str">
        <f t="shared" si="5"/>
        <v xml:space="preserve"> </v>
      </c>
      <c r="E4497" s="79" t="str">
        <f t="shared" si="6"/>
        <v xml:space="preserve"> </v>
      </c>
    </row>
    <row r="4498" spans="1:5" ht="12.5">
      <c r="A4498" s="81" t="str">
        <f t="shared" si="0"/>
        <v xml:space="preserve"> </v>
      </c>
      <c r="B4498" s="81" t="str">
        <f t="shared" si="1"/>
        <v xml:space="preserve"> </v>
      </c>
      <c r="C4498" s="79" t="str">
        <f t="shared" si="7"/>
        <v xml:space="preserve"> </v>
      </c>
      <c r="D4498" s="79" t="str">
        <f t="shared" si="5"/>
        <v xml:space="preserve"> </v>
      </c>
      <c r="E4498" s="79" t="str">
        <f t="shared" si="6"/>
        <v xml:space="preserve"> </v>
      </c>
    </row>
    <row r="4499" spans="1:5" ht="12.5">
      <c r="A4499" s="81" t="str">
        <f t="shared" si="0"/>
        <v xml:space="preserve"> </v>
      </c>
      <c r="B4499" s="81" t="str">
        <f t="shared" si="1"/>
        <v xml:space="preserve"> </v>
      </c>
      <c r="C4499" s="79" t="str">
        <f t="shared" si="7"/>
        <v xml:space="preserve"> </v>
      </c>
      <c r="D4499" s="79" t="str">
        <f t="shared" si="5"/>
        <v xml:space="preserve"> </v>
      </c>
      <c r="E4499" s="79" t="str">
        <f t="shared" si="6"/>
        <v xml:space="preserve"> </v>
      </c>
    </row>
    <row r="4500" spans="1:5" ht="12.5">
      <c r="A4500" s="81" t="str">
        <f t="shared" si="0"/>
        <v xml:space="preserve"> </v>
      </c>
      <c r="B4500" s="81" t="str">
        <f t="shared" si="1"/>
        <v xml:space="preserve"> </v>
      </c>
      <c r="C4500" s="79" t="str">
        <f t="shared" si="7"/>
        <v xml:space="preserve"> </v>
      </c>
      <c r="D4500" s="79" t="str">
        <f t="shared" si="5"/>
        <v xml:space="preserve"> </v>
      </c>
      <c r="E4500" s="79" t="str">
        <f t="shared" si="6"/>
        <v xml:space="preserve"> </v>
      </c>
    </row>
    <row r="4501" spans="1:5" ht="12.5">
      <c r="A4501" s="81" t="str">
        <f t="shared" si="0"/>
        <v xml:space="preserve"> </v>
      </c>
      <c r="B4501" s="81" t="str">
        <f t="shared" si="1"/>
        <v xml:space="preserve"> </v>
      </c>
      <c r="C4501" s="79" t="str">
        <f t="shared" si="7"/>
        <v xml:space="preserve"> </v>
      </c>
      <c r="D4501" s="79" t="str">
        <f t="shared" si="5"/>
        <v xml:space="preserve"> </v>
      </c>
      <c r="E4501" s="79" t="str">
        <f t="shared" si="6"/>
        <v xml:space="preserve"> </v>
      </c>
    </row>
    <row r="4502" spans="1:5" ht="12.5">
      <c r="A4502" s="81" t="str">
        <f t="shared" si="0"/>
        <v xml:space="preserve"> </v>
      </c>
      <c r="B4502" s="81" t="str">
        <f t="shared" si="1"/>
        <v xml:space="preserve"> </v>
      </c>
      <c r="C4502" s="79" t="str">
        <f t="shared" si="7"/>
        <v xml:space="preserve"> </v>
      </c>
      <c r="D4502" s="79" t="str">
        <f t="shared" si="5"/>
        <v xml:space="preserve"> </v>
      </c>
      <c r="E4502" s="79" t="str">
        <f t="shared" si="6"/>
        <v xml:space="preserve"> </v>
      </c>
    </row>
    <row r="4503" spans="1:5" ht="12.5">
      <c r="A4503" s="81" t="str">
        <f t="shared" si="0"/>
        <v xml:space="preserve"> </v>
      </c>
      <c r="B4503" s="81" t="str">
        <f t="shared" si="1"/>
        <v xml:space="preserve"> </v>
      </c>
      <c r="C4503" s="79" t="str">
        <f t="shared" si="7"/>
        <v xml:space="preserve"> </v>
      </c>
      <c r="D4503" s="79" t="str">
        <f t="shared" si="5"/>
        <v xml:space="preserve"> </v>
      </c>
      <c r="E4503" s="79" t="str">
        <f t="shared" si="6"/>
        <v xml:space="preserve"> </v>
      </c>
    </row>
    <row r="4504" spans="1:5" ht="12.5">
      <c r="A4504" s="81" t="str">
        <f t="shared" si="0"/>
        <v xml:space="preserve"> </v>
      </c>
      <c r="B4504" s="81" t="str">
        <f t="shared" si="1"/>
        <v xml:space="preserve"> </v>
      </c>
      <c r="C4504" s="79" t="str">
        <f t="shared" si="7"/>
        <v xml:space="preserve"> </v>
      </c>
      <c r="D4504" s="79" t="str">
        <f t="shared" si="5"/>
        <v xml:space="preserve"> </v>
      </c>
      <c r="E4504" s="79" t="str">
        <f t="shared" si="6"/>
        <v xml:space="preserve"> </v>
      </c>
    </row>
    <row r="4505" spans="1:5" ht="12.5">
      <c r="A4505" s="81" t="str">
        <f t="shared" si="0"/>
        <v xml:space="preserve"> </v>
      </c>
      <c r="B4505" s="81" t="str">
        <f t="shared" si="1"/>
        <v xml:space="preserve"> </v>
      </c>
      <c r="C4505" s="79" t="str">
        <f t="shared" si="7"/>
        <v xml:space="preserve"> </v>
      </c>
      <c r="D4505" s="79" t="str">
        <f t="shared" si="5"/>
        <v xml:space="preserve"> </v>
      </c>
      <c r="E4505" s="79" t="str">
        <f t="shared" si="6"/>
        <v xml:space="preserve"> </v>
      </c>
    </row>
    <row r="4506" spans="1:5" ht="12.5">
      <c r="A4506" s="81" t="str">
        <f t="shared" si="0"/>
        <v xml:space="preserve"> </v>
      </c>
      <c r="B4506" s="81" t="str">
        <f t="shared" si="1"/>
        <v xml:space="preserve"> </v>
      </c>
      <c r="C4506" s="79" t="str">
        <f t="shared" si="7"/>
        <v xml:space="preserve"> </v>
      </c>
      <c r="D4506" s="79" t="str">
        <f t="shared" si="5"/>
        <v xml:space="preserve"> </v>
      </c>
      <c r="E4506" s="79" t="str">
        <f t="shared" si="6"/>
        <v xml:space="preserve"> </v>
      </c>
    </row>
    <row r="4507" spans="1:5" ht="12.5">
      <c r="A4507" s="81" t="str">
        <f t="shared" si="0"/>
        <v xml:space="preserve"> </v>
      </c>
      <c r="B4507" s="81" t="str">
        <f t="shared" si="1"/>
        <v xml:space="preserve"> </v>
      </c>
      <c r="C4507" s="79" t="str">
        <f t="shared" si="7"/>
        <v xml:space="preserve"> </v>
      </c>
      <c r="D4507" s="79" t="str">
        <f t="shared" si="5"/>
        <v xml:space="preserve"> </v>
      </c>
      <c r="E4507" s="79" t="str">
        <f t="shared" si="6"/>
        <v xml:space="preserve"> </v>
      </c>
    </row>
    <row r="4508" spans="1:5" ht="12.5">
      <c r="A4508" s="81" t="str">
        <f t="shared" si="0"/>
        <v xml:space="preserve"> </v>
      </c>
      <c r="B4508" s="81" t="str">
        <f t="shared" si="1"/>
        <v xml:space="preserve"> </v>
      </c>
      <c r="C4508" s="79" t="str">
        <f t="shared" si="7"/>
        <v xml:space="preserve"> </v>
      </c>
      <c r="D4508" s="79" t="str">
        <f t="shared" si="5"/>
        <v xml:space="preserve"> </v>
      </c>
      <c r="E4508" s="79" t="str">
        <f t="shared" si="6"/>
        <v xml:space="preserve"> </v>
      </c>
    </row>
    <row r="4509" spans="1:5" ht="12.5">
      <c r="A4509" s="81" t="str">
        <f t="shared" si="0"/>
        <v xml:space="preserve"> </v>
      </c>
      <c r="B4509" s="81" t="str">
        <f t="shared" si="1"/>
        <v xml:space="preserve"> </v>
      </c>
      <c r="C4509" s="79" t="str">
        <f t="shared" si="7"/>
        <v xml:space="preserve"> </v>
      </c>
      <c r="D4509" s="79" t="str">
        <f t="shared" si="5"/>
        <v xml:space="preserve"> </v>
      </c>
      <c r="E4509" s="79" t="str">
        <f t="shared" si="6"/>
        <v xml:space="preserve"> </v>
      </c>
    </row>
    <row r="4510" spans="1:5" ht="12.5">
      <c r="A4510" s="81" t="str">
        <f t="shared" si="0"/>
        <v xml:space="preserve"> </v>
      </c>
      <c r="B4510" s="81" t="str">
        <f t="shared" si="1"/>
        <v xml:space="preserve"> </v>
      </c>
      <c r="C4510" s="79" t="str">
        <f t="shared" si="7"/>
        <v xml:space="preserve"> </v>
      </c>
      <c r="D4510" s="79" t="str">
        <f t="shared" si="5"/>
        <v xml:space="preserve"> </v>
      </c>
      <c r="E4510" s="79" t="str">
        <f t="shared" si="6"/>
        <v xml:space="preserve"> </v>
      </c>
    </row>
    <row r="4511" spans="1:5" ht="12.5">
      <c r="A4511" s="81" t="str">
        <f t="shared" si="0"/>
        <v xml:space="preserve"> </v>
      </c>
      <c r="B4511" s="81" t="str">
        <f t="shared" si="1"/>
        <v xml:space="preserve"> </v>
      </c>
      <c r="C4511" s="79" t="str">
        <f t="shared" si="7"/>
        <v xml:space="preserve"> </v>
      </c>
      <c r="D4511" s="79" t="str">
        <f t="shared" si="5"/>
        <v xml:space="preserve"> </v>
      </c>
      <c r="E4511" s="79" t="str">
        <f t="shared" si="6"/>
        <v xml:space="preserve"> </v>
      </c>
    </row>
    <row r="4512" spans="1:5" ht="12.5">
      <c r="A4512" s="81" t="str">
        <f t="shared" si="0"/>
        <v xml:space="preserve"> </v>
      </c>
      <c r="B4512" s="81" t="str">
        <f t="shared" si="1"/>
        <v xml:space="preserve"> </v>
      </c>
      <c r="C4512" s="79" t="str">
        <f t="shared" si="7"/>
        <v xml:space="preserve"> </v>
      </c>
      <c r="D4512" s="79" t="str">
        <f t="shared" si="5"/>
        <v xml:space="preserve"> </v>
      </c>
      <c r="E4512" s="79" t="str">
        <f t="shared" si="6"/>
        <v xml:space="preserve"> </v>
      </c>
    </row>
    <row r="4513" spans="1:5" ht="12.5">
      <c r="A4513" s="81" t="str">
        <f t="shared" si="0"/>
        <v xml:space="preserve"> </v>
      </c>
      <c r="B4513" s="81" t="str">
        <f t="shared" si="1"/>
        <v xml:space="preserve"> </v>
      </c>
      <c r="C4513" s="79" t="str">
        <f t="shared" si="7"/>
        <v xml:space="preserve"> </v>
      </c>
      <c r="D4513" s="79" t="str">
        <f t="shared" si="5"/>
        <v xml:space="preserve"> </v>
      </c>
      <c r="E4513" s="79" t="str">
        <f t="shared" si="6"/>
        <v xml:space="preserve"> </v>
      </c>
    </row>
    <row r="4514" spans="1:5" ht="12.5">
      <c r="A4514" s="81" t="str">
        <f t="shared" si="0"/>
        <v xml:space="preserve"> </v>
      </c>
      <c r="B4514" s="81" t="str">
        <f t="shared" si="1"/>
        <v xml:space="preserve"> </v>
      </c>
      <c r="C4514" s="79" t="str">
        <f t="shared" si="7"/>
        <v xml:space="preserve"> </v>
      </c>
      <c r="D4514" s="79" t="str">
        <f t="shared" si="5"/>
        <v xml:space="preserve"> </v>
      </c>
      <c r="E4514" s="79" t="str">
        <f t="shared" si="6"/>
        <v xml:space="preserve"> </v>
      </c>
    </row>
    <row r="4515" spans="1:5" ht="12.5">
      <c r="A4515" s="81" t="str">
        <f t="shared" si="0"/>
        <v xml:space="preserve"> </v>
      </c>
      <c r="B4515" s="81" t="str">
        <f t="shared" si="1"/>
        <v xml:space="preserve"> </v>
      </c>
      <c r="C4515" s="79" t="str">
        <f t="shared" si="7"/>
        <v xml:space="preserve"> </v>
      </c>
      <c r="D4515" s="79" t="str">
        <f t="shared" si="5"/>
        <v xml:space="preserve"> </v>
      </c>
      <c r="E4515" s="79" t="str">
        <f t="shared" si="6"/>
        <v xml:space="preserve"> </v>
      </c>
    </row>
    <row r="4516" spans="1:5" ht="12.5">
      <c r="A4516" s="81" t="str">
        <f t="shared" si="0"/>
        <v xml:space="preserve"> </v>
      </c>
      <c r="B4516" s="81" t="str">
        <f t="shared" si="1"/>
        <v xml:space="preserve"> </v>
      </c>
      <c r="C4516" s="79" t="str">
        <f t="shared" si="7"/>
        <v xml:space="preserve"> </v>
      </c>
      <c r="D4516" s="79" t="str">
        <f t="shared" si="5"/>
        <v xml:space="preserve"> </v>
      </c>
      <c r="E4516" s="79" t="str">
        <f t="shared" si="6"/>
        <v xml:space="preserve"> </v>
      </c>
    </row>
    <row r="4517" spans="1:5" ht="12.5">
      <c r="A4517" s="81" t="str">
        <f t="shared" si="0"/>
        <v xml:space="preserve"> </v>
      </c>
      <c r="B4517" s="81" t="str">
        <f t="shared" si="1"/>
        <v xml:space="preserve"> </v>
      </c>
      <c r="C4517" s="79" t="str">
        <f t="shared" si="7"/>
        <v xml:space="preserve"> </v>
      </c>
      <c r="D4517" s="79" t="str">
        <f t="shared" si="5"/>
        <v xml:space="preserve"> </v>
      </c>
      <c r="E4517" s="79" t="str">
        <f t="shared" si="6"/>
        <v xml:space="preserve"> </v>
      </c>
    </row>
    <row r="4518" spans="1:5" ht="12.5">
      <c r="A4518" s="81" t="str">
        <f t="shared" si="0"/>
        <v xml:space="preserve"> </v>
      </c>
      <c r="B4518" s="81" t="str">
        <f t="shared" si="1"/>
        <v xml:space="preserve"> </v>
      </c>
      <c r="C4518" s="79" t="str">
        <f t="shared" si="7"/>
        <v xml:space="preserve"> </v>
      </c>
      <c r="D4518" s="79" t="str">
        <f t="shared" si="5"/>
        <v xml:space="preserve"> </v>
      </c>
      <c r="E4518" s="79" t="str">
        <f t="shared" si="6"/>
        <v xml:space="preserve"> </v>
      </c>
    </row>
    <row r="4519" spans="1:5" ht="12.5">
      <c r="A4519" s="81" t="str">
        <f t="shared" si="0"/>
        <v xml:space="preserve"> </v>
      </c>
      <c r="B4519" s="81" t="str">
        <f t="shared" si="1"/>
        <v xml:space="preserve"> </v>
      </c>
      <c r="C4519" s="79" t="str">
        <f t="shared" si="7"/>
        <v xml:space="preserve"> </v>
      </c>
      <c r="D4519" s="79" t="str">
        <f t="shared" si="5"/>
        <v xml:space="preserve"> </v>
      </c>
      <c r="E4519" s="79" t="str">
        <f t="shared" si="6"/>
        <v xml:space="preserve"> </v>
      </c>
    </row>
    <row r="4520" spans="1:5" ht="12.5">
      <c r="A4520" s="81" t="str">
        <f t="shared" si="0"/>
        <v xml:space="preserve"> </v>
      </c>
      <c r="B4520" s="81" t="str">
        <f t="shared" si="1"/>
        <v xml:space="preserve"> </v>
      </c>
      <c r="C4520" s="79" t="str">
        <f t="shared" si="7"/>
        <v xml:space="preserve"> </v>
      </c>
      <c r="D4520" s="79" t="str">
        <f t="shared" si="5"/>
        <v xml:space="preserve"> </v>
      </c>
      <c r="E4520" s="79" t="str">
        <f t="shared" si="6"/>
        <v xml:space="preserve"> </v>
      </c>
    </row>
    <row r="4521" spans="1:5" ht="12.5">
      <c r="A4521" s="81" t="str">
        <f t="shared" si="0"/>
        <v xml:space="preserve"> </v>
      </c>
      <c r="B4521" s="81" t="str">
        <f t="shared" si="1"/>
        <v xml:space="preserve"> </v>
      </c>
      <c r="C4521" s="79" t="str">
        <f t="shared" si="7"/>
        <v xml:space="preserve"> </v>
      </c>
      <c r="D4521" s="79" t="str">
        <f t="shared" si="5"/>
        <v xml:space="preserve"> </v>
      </c>
      <c r="E4521" s="79" t="str">
        <f t="shared" si="6"/>
        <v xml:space="preserve"> </v>
      </c>
    </row>
    <row r="4522" spans="1:5" ht="12.5">
      <c r="A4522" s="81" t="str">
        <f t="shared" si="0"/>
        <v xml:space="preserve"> </v>
      </c>
      <c r="B4522" s="81" t="str">
        <f t="shared" si="1"/>
        <v xml:space="preserve"> </v>
      </c>
      <c r="C4522" s="79" t="str">
        <f t="shared" si="7"/>
        <v xml:space="preserve"> </v>
      </c>
      <c r="D4522" s="79" t="str">
        <f t="shared" si="5"/>
        <v xml:space="preserve"> </v>
      </c>
      <c r="E4522" s="79" t="str">
        <f t="shared" si="6"/>
        <v xml:space="preserve"> </v>
      </c>
    </row>
    <row r="4523" spans="1:5" ht="12.5">
      <c r="A4523" s="81" t="str">
        <f t="shared" si="0"/>
        <v xml:space="preserve"> </v>
      </c>
      <c r="B4523" s="81" t="str">
        <f t="shared" si="1"/>
        <v xml:space="preserve"> </v>
      </c>
      <c r="C4523" s="79" t="str">
        <f t="shared" si="7"/>
        <v xml:space="preserve"> </v>
      </c>
      <c r="D4523" s="79" t="str">
        <f t="shared" si="5"/>
        <v xml:space="preserve"> </v>
      </c>
      <c r="E4523" s="79" t="str">
        <f t="shared" si="6"/>
        <v xml:space="preserve"> </v>
      </c>
    </row>
    <row r="4524" spans="1:5" ht="12.5">
      <c r="A4524" s="81" t="str">
        <f t="shared" si="0"/>
        <v xml:space="preserve"> </v>
      </c>
      <c r="B4524" s="81" t="str">
        <f t="shared" si="1"/>
        <v xml:space="preserve"> </v>
      </c>
      <c r="C4524" s="79" t="str">
        <f t="shared" si="7"/>
        <v xml:space="preserve"> </v>
      </c>
      <c r="D4524" s="79" t="str">
        <f t="shared" si="5"/>
        <v xml:space="preserve"> </v>
      </c>
      <c r="E4524" s="79" t="str">
        <f t="shared" si="6"/>
        <v xml:space="preserve"> </v>
      </c>
    </row>
    <row r="4525" spans="1:5" ht="12.5">
      <c r="A4525" s="81" t="str">
        <f t="shared" si="0"/>
        <v xml:space="preserve"> </v>
      </c>
      <c r="B4525" s="81" t="str">
        <f t="shared" si="1"/>
        <v xml:space="preserve"> </v>
      </c>
      <c r="C4525" s="79" t="str">
        <f t="shared" si="7"/>
        <v xml:space="preserve"> </v>
      </c>
      <c r="D4525" s="79" t="str">
        <f t="shared" si="5"/>
        <v xml:space="preserve"> </v>
      </c>
      <c r="E4525" s="79" t="str">
        <f t="shared" si="6"/>
        <v xml:space="preserve"> </v>
      </c>
    </row>
    <row r="4526" spans="1:5" ht="12.5">
      <c r="A4526" s="81" t="str">
        <f t="shared" si="0"/>
        <v xml:space="preserve"> </v>
      </c>
      <c r="B4526" s="81" t="str">
        <f t="shared" si="1"/>
        <v xml:space="preserve"> </v>
      </c>
      <c r="C4526" s="79" t="str">
        <f t="shared" si="7"/>
        <v xml:space="preserve"> </v>
      </c>
      <c r="D4526" s="79" t="str">
        <f t="shared" si="5"/>
        <v xml:space="preserve"> </v>
      </c>
      <c r="E4526" s="79" t="str">
        <f t="shared" si="6"/>
        <v xml:space="preserve"> </v>
      </c>
    </row>
    <row r="4527" spans="1:5" ht="12.5">
      <c r="A4527" s="81" t="str">
        <f t="shared" si="0"/>
        <v xml:space="preserve"> </v>
      </c>
      <c r="B4527" s="81" t="str">
        <f t="shared" si="1"/>
        <v xml:space="preserve"> </v>
      </c>
      <c r="C4527" s="79" t="str">
        <f t="shared" si="7"/>
        <v xml:space="preserve"> </v>
      </c>
      <c r="D4527" s="79" t="str">
        <f t="shared" si="5"/>
        <v xml:space="preserve"> </v>
      </c>
      <c r="E4527" s="79" t="str">
        <f t="shared" si="6"/>
        <v xml:space="preserve"> </v>
      </c>
    </row>
    <row r="4528" spans="1:5" ht="12.5">
      <c r="A4528" s="81" t="str">
        <f t="shared" si="0"/>
        <v xml:space="preserve"> </v>
      </c>
      <c r="B4528" s="81" t="str">
        <f t="shared" si="1"/>
        <v xml:space="preserve"> </v>
      </c>
      <c r="C4528" s="79" t="str">
        <f t="shared" si="7"/>
        <v xml:space="preserve"> </v>
      </c>
      <c r="D4528" s="79" t="str">
        <f t="shared" si="5"/>
        <v xml:space="preserve"> </v>
      </c>
      <c r="E4528" s="79" t="str">
        <f t="shared" si="6"/>
        <v xml:space="preserve"> </v>
      </c>
    </row>
    <row r="4529" spans="1:5" ht="12.5">
      <c r="A4529" s="81" t="str">
        <f t="shared" si="0"/>
        <v xml:space="preserve"> </v>
      </c>
      <c r="B4529" s="81" t="str">
        <f t="shared" si="1"/>
        <v xml:space="preserve"> </v>
      </c>
      <c r="C4529" s="79" t="str">
        <f t="shared" si="7"/>
        <v xml:space="preserve"> </v>
      </c>
      <c r="D4529" s="79" t="str">
        <f t="shared" si="5"/>
        <v xml:space="preserve"> </v>
      </c>
      <c r="E4529" s="79" t="str">
        <f t="shared" si="6"/>
        <v xml:space="preserve"> </v>
      </c>
    </row>
    <row r="4530" spans="1:5" ht="12.5">
      <c r="A4530" s="81" t="str">
        <f t="shared" si="0"/>
        <v xml:space="preserve"> </v>
      </c>
      <c r="B4530" s="81" t="str">
        <f t="shared" si="1"/>
        <v xml:space="preserve"> </v>
      </c>
      <c r="C4530" s="79" t="str">
        <f t="shared" si="7"/>
        <v xml:space="preserve"> </v>
      </c>
      <c r="D4530" s="79" t="str">
        <f t="shared" si="5"/>
        <v xml:space="preserve"> </v>
      </c>
      <c r="E4530" s="79" t="str">
        <f t="shared" si="6"/>
        <v xml:space="preserve"> </v>
      </c>
    </row>
    <row r="4531" spans="1:5" ht="12.5">
      <c r="A4531" s="81" t="str">
        <f t="shared" si="0"/>
        <v xml:space="preserve"> </v>
      </c>
      <c r="B4531" s="81" t="str">
        <f t="shared" si="1"/>
        <v xml:space="preserve"> </v>
      </c>
      <c r="C4531" s="79" t="str">
        <f t="shared" si="7"/>
        <v xml:space="preserve"> </v>
      </c>
      <c r="D4531" s="79" t="str">
        <f t="shared" si="5"/>
        <v xml:space="preserve"> </v>
      </c>
      <c r="E4531" s="79" t="str">
        <f t="shared" si="6"/>
        <v xml:space="preserve"> </v>
      </c>
    </row>
    <row r="4532" spans="1:5" ht="12.5">
      <c r="A4532" s="81" t="str">
        <f t="shared" si="0"/>
        <v xml:space="preserve"> </v>
      </c>
      <c r="B4532" s="81" t="str">
        <f t="shared" si="1"/>
        <v xml:space="preserve"> </v>
      </c>
      <c r="C4532" s="79" t="str">
        <f t="shared" si="7"/>
        <v xml:space="preserve"> </v>
      </c>
      <c r="D4532" s="79" t="str">
        <f t="shared" si="5"/>
        <v xml:space="preserve"> </v>
      </c>
      <c r="E4532" s="79" t="str">
        <f t="shared" si="6"/>
        <v xml:space="preserve"> </v>
      </c>
    </row>
    <row r="4533" spans="1:5" ht="12.5">
      <c r="A4533" s="81" t="str">
        <f t="shared" si="0"/>
        <v xml:space="preserve"> </v>
      </c>
      <c r="B4533" s="81" t="str">
        <f t="shared" si="1"/>
        <v xml:space="preserve"> </v>
      </c>
      <c r="C4533" s="79" t="str">
        <f t="shared" si="7"/>
        <v xml:space="preserve"> </v>
      </c>
      <c r="D4533" s="79" t="str">
        <f t="shared" si="5"/>
        <v xml:space="preserve"> </v>
      </c>
      <c r="E4533" s="79" t="str">
        <f t="shared" si="6"/>
        <v xml:space="preserve"> </v>
      </c>
    </row>
    <row r="4534" spans="1:5" ht="12.5">
      <c r="A4534" s="81" t="str">
        <f t="shared" si="0"/>
        <v xml:space="preserve"> </v>
      </c>
      <c r="B4534" s="81" t="str">
        <f t="shared" si="1"/>
        <v xml:space="preserve"> </v>
      </c>
      <c r="C4534" s="79" t="str">
        <f t="shared" si="7"/>
        <v xml:space="preserve"> </v>
      </c>
      <c r="D4534" s="79" t="str">
        <f t="shared" si="5"/>
        <v xml:space="preserve"> </v>
      </c>
      <c r="E4534" s="79" t="str">
        <f t="shared" si="6"/>
        <v xml:space="preserve"> </v>
      </c>
    </row>
    <row r="4535" spans="1:5" ht="12.5">
      <c r="A4535" s="81" t="str">
        <f t="shared" si="0"/>
        <v xml:space="preserve"> </v>
      </c>
      <c r="B4535" s="81" t="str">
        <f t="shared" si="1"/>
        <v xml:space="preserve"> </v>
      </c>
      <c r="C4535" s="79" t="str">
        <f t="shared" si="7"/>
        <v xml:space="preserve"> </v>
      </c>
      <c r="D4535" s="79" t="str">
        <f t="shared" si="5"/>
        <v xml:space="preserve"> </v>
      </c>
      <c r="E4535" s="79" t="str">
        <f t="shared" si="6"/>
        <v xml:space="preserve"> </v>
      </c>
    </row>
    <row r="4536" spans="1:5" ht="12.5">
      <c r="A4536" s="81" t="str">
        <f t="shared" si="0"/>
        <v xml:space="preserve"> </v>
      </c>
      <c r="B4536" s="81" t="str">
        <f t="shared" si="1"/>
        <v xml:space="preserve"> </v>
      </c>
      <c r="C4536" s="79" t="str">
        <f t="shared" si="7"/>
        <v xml:space="preserve"> </v>
      </c>
      <c r="D4536" s="79" t="str">
        <f t="shared" si="5"/>
        <v xml:space="preserve"> </v>
      </c>
      <c r="E4536" s="79" t="str">
        <f t="shared" si="6"/>
        <v xml:space="preserve"> </v>
      </c>
    </row>
    <row r="4537" spans="1:5" ht="12.5">
      <c r="A4537" s="81" t="str">
        <f t="shared" si="0"/>
        <v xml:space="preserve"> </v>
      </c>
      <c r="B4537" s="81" t="str">
        <f t="shared" si="1"/>
        <v xml:space="preserve"> </v>
      </c>
      <c r="C4537" s="79" t="str">
        <f t="shared" si="7"/>
        <v xml:space="preserve"> </v>
      </c>
      <c r="D4537" s="79" t="str">
        <f t="shared" si="5"/>
        <v xml:space="preserve"> </v>
      </c>
      <c r="E4537" s="79" t="str">
        <f t="shared" si="6"/>
        <v xml:space="preserve"> </v>
      </c>
    </row>
    <row r="4538" spans="1:5" ht="12.5">
      <c r="A4538" s="81" t="str">
        <f t="shared" si="0"/>
        <v xml:space="preserve"> </v>
      </c>
      <c r="B4538" s="81" t="str">
        <f t="shared" si="1"/>
        <v xml:space="preserve"> </v>
      </c>
      <c r="C4538" s="79" t="str">
        <f t="shared" si="7"/>
        <v xml:space="preserve"> </v>
      </c>
      <c r="D4538" s="79" t="str">
        <f t="shared" si="5"/>
        <v xml:space="preserve"> </v>
      </c>
      <c r="E4538" s="79" t="str">
        <f t="shared" si="6"/>
        <v xml:space="preserve"> </v>
      </c>
    </row>
    <row r="4539" spans="1:5" ht="12.5">
      <c r="A4539" s="81" t="str">
        <f t="shared" si="0"/>
        <v xml:space="preserve"> </v>
      </c>
      <c r="B4539" s="81" t="str">
        <f t="shared" si="1"/>
        <v xml:space="preserve"> </v>
      </c>
      <c r="C4539" s="79" t="str">
        <f t="shared" si="7"/>
        <v xml:space="preserve"> </v>
      </c>
      <c r="D4539" s="79" t="str">
        <f t="shared" si="5"/>
        <v xml:space="preserve"> </v>
      </c>
      <c r="E4539" s="79" t="str">
        <f t="shared" si="6"/>
        <v xml:space="preserve"> </v>
      </c>
    </row>
    <row r="4540" spans="1:5" ht="12.5">
      <c r="A4540" s="81" t="str">
        <f t="shared" si="0"/>
        <v xml:space="preserve"> </v>
      </c>
      <c r="B4540" s="81" t="str">
        <f t="shared" si="1"/>
        <v xml:space="preserve"> </v>
      </c>
      <c r="C4540" s="79" t="str">
        <f t="shared" si="7"/>
        <v xml:space="preserve"> </v>
      </c>
      <c r="D4540" s="79" t="str">
        <f t="shared" si="5"/>
        <v xml:space="preserve"> </v>
      </c>
      <c r="E4540" s="79" t="str">
        <f t="shared" si="6"/>
        <v xml:space="preserve"> </v>
      </c>
    </row>
    <row r="4541" spans="1:5" ht="12.5">
      <c r="A4541" s="81" t="str">
        <f t="shared" si="0"/>
        <v xml:space="preserve"> </v>
      </c>
      <c r="B4541" s="81" t="str">
        <f t="shared" si="1"/>
        <v xml:space="preserve"> </v>
      </c>
      <c r="C4541" s="79" t="str">
        <f t="shared" si="7"/>
        <v xml:space="preserve"> </v>
      </c>
      <c r="D4541" s="79" t="str">
        <f t="shared" si="5"/>
        <v xml:space="preserve"> </v>
      </c>
      <c r="E4541" s="79" t="str">
        <f t="shared" si="6"/>
        <v xml:space="preserve"> </v>
      </c>
    </row>
    <row r="4542" spans="1:5" ht="12.5">
      <c r="A4542" s="81" t="str">
        <f t="shared" si="0"/>
        <v xml:space="preserve"> </v>
      </c>
      <c r="B4542" s="81" t="str">
        <f t="shared" si="1"/>
        <v xml:space="preserve"> </v>
      </c>
      <c r="C4542" s="79" t="str">
        <f t="shared" si="7"/>
        <v xml:space="preserve"> </v>
      </c>
      <c r="D4542" s="79" t="str">
        <f t="shared" si="5"/>
        <v xml:space="preserve"> </v>
      </c>
      <c r="E4542" s="79" t="str">
        <f t="shared" si="6"/>
        <v xml:space="preserve"> </v>
      </c>
    </row>
    <row r="4543" spans="1:5" ht="12.5">
      <c r="A4543" s="81" t="str">
        <f t="shared" si="0"/>
        <v xml:space="preserve"> </v>
      </c>
      <c r="B4543" s="81" t="str">
        <f t="shared" si="1"/>
        <v xml:space="preserve"> </v>
      </c>
      <c r="C4543" s="79" t="str">
        <f t="shared" si="7"/>
        <v xml:space="preserve"> </v>
      </c>
      <c r="D4543" s="79" t="str">
        <f t="shared" si="5"/>
        <v xml:space="preserve"> </v>
      </c>
      <c r="E4543" s="79" t="str">
        <f t="shared" si="6"/>
        <v xml:space="preserve"> </v>
      </c>
    </row>
    <row r="4544" spans="1:5" ht="12.5">
      <c r="A4544" s="81" t="str">
        <f t="shared" si="0"/>
        <v xml:space="preserve"> </v>
      </c>
      <c r="B4544" s="81" t="str">
        <f t="shared" si="1"/>
        <v xml:space="preserve"> </v>
      </c>
      <c r="C4544" s="79" t="str">
        <f t="shared" si="7"/>
        <v xml:space="preserve"> </v>
      </c>
      <c r="D4544" s="79" t="str">
        <f t="shared" si="5"/>
        <v xml:space="preserve"> </v>
      </c>
      <c r="E4544" s="79" t="str">
        <f t="shared" si="6"/>
        <v xml:space="preserve"> </v>
      </c>
    </row>
    <row r="4545" spans="1:5" ht="12.5">
      <c r="A4545" s="81" t="str">
        <f t="shared" si="0"/>
        <v xml:space="preserve"> </v>
      </c>
      <c r="B4545" s="81" t="str">
        <f t="shared" si="1"/>
        <v xml:space="preserve"> </v>
      </c>
      <c r="C4545" s="79" t="str">
        <f t="shared" si="7"/>
        <v xml:space="preserve"> </v>
      </c>
      <c r="D4545" s="79" t="str">
        <f t="shared" si="5"/>
        <v xml:space="preserve"> </v>
      </c>
      <c r="E4545" s="79" t="str">
        <f t="shared" si="6"/>
        <v xml:space="preserve"> </v>
      </c>
    </row>
    <row r="4546" spans="1:5" ht="12.5">
      <c r="A4546" s="81" t="str">
        <f t="shared" si="0"/>
        <v xml:space="preserve"> </v>
      </c>
      <c r="B4546" s="81" t="str">
        <f t="shared" si="1"/>
        <v xml:space="preserve"> </v>
      </c>
      <c r="C4546" s="79" t="str">
        <f t="shared" si="7"/>
        <v xml:space="preserve"> </v>
      </c>
      <c r="D4546" s="79" t="str">
        <f t="shared" si="5"/>
        <v xml:space="preserve"> </v>
      </c>
      <c r="E4546" s="79" t="str">
        <f t="shared" si="6"/>
        <v xml:space="preserve"> </v>
      </c>
    </row>
    <row r="4547" spans="1:5" ht="12.5">
      <c r="A4547" s="81" t="str">
        <f t="shared" si="0"/>
        <v xml:space="preserve"> </v>
      </c>
      <c r="B4547" s="81" t="str">
        <f t="shared" si="1"/>
        <v xml:space="preserve"> </v>
      </c>
      <c r="C4547" s="79" t="str">
        <f t="shared" si="7"/>
        <v xml:space="preserve"> </v>
      </c>
      <c r="D4547" s="79" t="str">
        <f t="shared" si="5"/>
        <v xml:space="preserve"> </v>
      </c>
      <c r="E4547" s="79" t="str">
        <f t="shared" si="6"/>
        <v xml:space="preserve"> </v>
      </c>
    </row>
    <row r="4548" spans="1:5" ht="12.5">
      <c r="A4548" s="81" t="str">
        <f t="shared" si="0"/>
        <v xml:space="preserve"> </v>
      </c>
      <c r="B4548" s="81" t="str">
        <f t="shared" si="1"/>
        <v xml:space="preserve"> </v>
      </c>
      <c r="C4548" s="79" t="str">
        <f t="shared" si="7"/>
        <v xml:space="preserve"> </v>
      </c>
      <c r="D4548" s="79" t="str">
        <f t="shared" si="5"/>
        <v xml:space="preserve"> </v>
      </c>
      <c r="E4548" s="79" t="str">
        <f t="shared" si="6"/>
        <v xml:space="preserve"> </v>
      </c>
    </row>
    <row r="4549" spans="1:5" ht="12.5">
      <c r="A4549" s="81" t="str">
        <f t="shared" si="0"/>
        <v xml:space="preserve"> </v>
      </c>
      <c r="B4549" s="81" t="str">
        <f t="shared" si="1"/>
        <v xml:space="preserve"> </v>
      </c>
      <c r="C4549" s="79" t="str">
        <f t="shared" si="7"/>
        <v xml:space="preserve"> </v>
      </c>
      <c r="D4549" s="79" t="str">
        <f t="shared" si="5"/>
        <v xml:space="preserve"> </v>
      </c>
      <c r="E4549" s="79" t="str">
        <f t="shared" si="6"/>
        <v xml:space="preserve"> </v>
      </c>
    </row>
    <row r="4550" spans="1:5" ht="12.5">
      <c r="A4550" s="81" t="str">
        <f t="shared" si="0"/>
        <v xml:space="preserve"> </v>
      </c>
      <c r="B4550" s="81" t="str">
        <f t="shared" si="1"/>
        <v xml:space="preserve"> </v>
      </c>
      <c r="C4550" s="79" t="str">
        <f t="shared" si="7"/>
        <v xml:space="preserve"> </v>
      </c>
      <c r="D4550" s="79" t="str">
        <f t="shared" si="5"/>
        <v xml:space="preserve"> </v>
      </c>
      <c r="E4550" s="79" t="str">
        <f t="shared" si="6"/>
        <v xml:space="preserve"> </v>
      </c>
    </row>
    <row r="4551" spans="1:5" ht="12.5">
      <c r="A4551" s="81" t="str">
        <f t="shared" si="0"/>
        <v xml:space="preserve"> </v>
      </c>
      <c r="B4551" s="81" t="str">
        <f t="shared" si="1"/>
        <v xml:space="preserve"> </v>
      </c>
      <c r="C4551" s="79" t="str">
        <f t="shared" si="7"/>
        <v xml:space="preserve"> </v>
      </c>
      <c r="D4551" s="79" t="str">
        <f t="shared" si="5"/>
        <v xml:space="preserve"> </v>
      </c>
      <c r="E4551" s="79" t="str">
        <f t="shared" si="6"/>
        <v xml:space="preserve"> </v>
      </c>
    </row>
    <row r="4552" spans="1:5" ht="12.5">
      <c r="A4552" s="81" t="str">
        <f t="shared" si="0"/>
        <v xml:space="preserve"> </v>
      </c>
      <c r="B4552" s="81" t="str">
        <f t="shared" si="1"/>
        <v xml:space="preserve"> </v>
      </c>
      <c r="C4552" s="79" t="str">
        <f t="shared" si="7"/>
        <v xml:space="preserve"> </v>
      </c>
      <c r="D4552" s="79" t="str">
        <f t="shared" si="5"/>
        <v xml:space="preserve"> </v>
      </c>
      <c r="E4552" s="79" t="str">
        <f t="shared" si="6"/>
        <v xml:space="preserve"> </v>
      </c>
    </row>
    <row r="4553" spans="1:5" ht="12.5">
      <c r="A4553" s="81" t="str">
        <f t="shared" si="0"/>
        <v xml:space="preserve"> </v>
      </c>
      <c r="B4553" s="81" t="str">
        <f t="shared" si="1"/>
        <v xml:space="preserve"> </v>
      </c>
      <c r="C4553" s="79" t="str">
        <f t="shared" si="7"/>
        <v xml:space="preserve"> </v>
      </c>
      <c r="D4553" s="79" t="str">
        <f t="shared" si="5"/>
        <v xml:space="preserve"> </v>
      </c>
      <c r="E4553" s="79" t="str">
        <f t="shared" si="6"/>
        <v xml:space="preserve"> </v>
      </c>
    </row>
    <row r="4554" spans="1:5" ht="12.5">
      <c r="A4554" s="81" t="str">
        <f t="shared" si="0"/>
        <v xml:space="preserve"> </v>
      </c>
      <c r="B4554" s="81" t="str">
        <f t="shared" si="1"/>
        <v xml:space="preserve"> </v>
      </c>
      <c r="C4554" s="79" t="str">
        <f t="shared" si="7"/>
        <v xml:space="preserve"> </v>
      </c>
      <c r="D4554" s="79" t="str">
        <f t="shared" si="5"/>
        <v xml:space="preserve"> </v>
      </c>
      <c r="E4554" s="79" t="str">
        <f t="shared" si="6"/>
        <v xml:space="preserve"> </v>
      </c>
    </row>
    <row r="4555" spans="1:5" ht="12.5">
      <c r="A4555" s="81" t="str">
        <f t="shared" si="0"/>
        <v xml:space="preserve"> </v>
      </c>
      <c r="B4555" s="81" t="str">
        <f t="shared" si="1"/>
        <v xml:space="preserve"> </v>
      </c>
      <c r="C4555" s="79" t="str">
        <f t="shared" si="7"/>
        <v xml:space="preserve"> </v>
      </c>
      <c r="D4555" s="79" t="str">
        <f t="shared" si="5"/>
        <v xml:space="preserve"> </v>
      </c>
      <c r="E4555" s="79" t="str">
        <f t="shared" si="6"/>
        <v xml:space="preserve"> </v>
      </c>
    </row>
    <row r="4556" spans="1:5" ht="12.5">
      <c r="A4556" s="81" t="str">
        <f t="shared" si="0"/>
        <v xml:space="preserve"> </v>
      </c>
      <c r="B4556" s="81" t="str">
        <f t="shared" si="1"/>
        <v xml:space="preserve"> </v>
      </c>
      <c r="C4556" s="79" t="str">
        <f t="shared" si="7"/>
        <v xml:space="preserve"> </v>
      </c>
      <c r="D4556" s="79" t="str">
        <f t="shared" si="5"/>
        <v xml:space="preserve"> </v>
      </c>
      <c r="E4556" s="79" t="str">
        <f t="shared" si="6"/>
        <v xml:space="preserve"> </v>
      </c>
    </row>
    <row r="4557" spans="1:5" ht="12.5">
      <c r="A4557" s="81" t="str">
        <f t="shared" si="0"/>
        <v xml:space="preserve"> </v>
      </c>
      <c r="B4557" s="81" t="str">
        <f t="shared" si="1"/>
        <v xml:space="preserve"> </v>
      </c>
      <c r="C4557" s="79" t="str">
        <f t="shared" si="7"/>
        <v xml:space="preserve"> </v>
      </c>
      <c r="D4557" s="79" t="str">
        <f t="shared" si="5"/>
        <v xml:space="preserve"> </v>
      </c>
      <c r="E4557" s="79" t="str">
        <f t="shared" si="6"/>
        <v xml:space="preserve"> </v>
      </c>
    </row>
    <row r="4558" spans="1:5" ht="12.5">
      <c r="A4558" s="81" t="str">
        <f t="shared" si="0"/>
        <v xml:space="preserve"> </v>
      </c>
      <c r="B4558" s="81" t="str">
        <f t="shared" si="1"/>
        <v xml:space="preserve"> </v>
      </c>
      <c r="C4558" s="79" t="str">
        <f t="shared" si="7"/>
        <v xml:space="preserve"> </v>
      </c>
      <c r="D4558" s="79" t="str">
        <f t="shared" si="5"/>
        <v xml:space="preserve"> </v>
      </c>
      <c r="E4558" s="79" t="str">
        <f t="shared" si="6"/>
        <v xml:space="preserve"> </v>
      </c>
    </row>
    <row r="4559" spans="1:5" ht="12.5">
      <c r="A4559" s="81" t="str">
        <f t="shared" si="0"/>
        <v xml:space="preserve"> </v>
      </c>
      <c r="B4559" s="81" t="str">
        <f t="shared" si="1"/>
        <v xml:space="preserve"> </v>
      </c>
      <c r="C4559" s="79" t="str">
        <f t="shared" si="7"/>
        <v xml:space="preserve"> </v>
      </c>
      <c r="D4559" s="79" t="str">
        <f t="shared" si="5"/>
        <v xml:space="preserve"> </v>
      </c>
      <c r="E4559" s="79" t="str">
        <f t="shared" si="6"/>
        <v xml:space="preserve"> </v>
      </c>
    </row>
    <row r="4560" spans="1:5" ht="12.5">
      <c r="A4560" s="81" t="str">
        <f t="shared" si="0"/>
        <v xml:space="preserve"> </v>
      </c>
      <c r="B4560" s="81" t="str">
        <f t="shared" si="1"/>
        <v xml:space="preserve"> </v>
      </c>
      <c r="C4560" s="79" t="str">
        <f t="shared" si="7"/>
        <v xml:space="preserve"> </v>
      </c>
      <c r="D4560" s="79" t="str">
        <f t="shared" si="5"/>
        <v xml:space="preserve"> </v>
      </c>
      <c r="E4560" s="79" t="str">
        <f t="shared" si="6"/>
        <v xml:space="preserve"> </v>
      </c>
    </row>
    <row r="4561" spans="1:5" ht="12.5">
      <c r="A4561" s="81" t="str">
        <f t="shared" si="0"/>
        <v xml:space="preserve"> </v>
      </c>
      <c r="B4561" s="81" t="str">
        <f t="shared" si="1"/>
        <v xml:space="preserve"> </v>
      </c>
      <c r="C4561" s="79" t="str">
        <f t="shared" si="7"/>
        <v xml:space="preserve"> </v>
      </c>
      <c r="D4561" s="79" t="str">
        <f t="shared" si="5"/>
        <v xml:space="preserve"> </v>
      </c>
      <c r="E4561" s="79" t="str">
        <f t="shared" si="6"/>
        <v xml:space="preserve"> </v>
      </c>
    </row>
    <row r="4562" spans="1:5" ht="12.5">
      <c r="A4562" s="81" t="str">
        <f t="shared" si="0"/>
        <v xml:space="preserve"> </v>
      </c>
      <c r="B4562" s="81" t="str">
        <f t="shared" si="1"/>
        <v xml:space="preserve"> </v>
      </c>
      <c r="C4562" s="79" t="str">
        <f t="shared" si="7"/>
        <v xml:space="preserve"> </v>
      </c>
      <c r="D4562" s="79" t="str">
        <f t="shared" si="5"/>
        <v xml:space="preserve"> </v>
      </c>
      <c r="E4562" s="79" t="str">
        <f t="shared" si="6"/>
        <v xml:space="preserve"> </v>
      </c>
    </row>
    <row r="4563" spans="1:5" ht="12.5">
      <c r="A4563" s="81" t="str">
        <f t="shared" si="0"/>
        <v xml:space="preserve"> </v>
      </c>
      <c r="B4563" s="81" t="str">
        <f t="shared" si="1"/>
        <v xml:space="preserve"> </v>
      </c>
      <c r="C4563" s="79" t="str">
        <f t="shared" si="7"/>
        <v xml:space="preserve"> </v>
      </c>
      <c r="D4563" s="79" t="str">
        <f t="shared" si="5"/>
        <v xml:space="preserve"> </v>
      </c>
      <c r="E4563" s="79" t="str">
        <f t="shared" si="6"/>
        <v xml:space="preserve"> </v>
      </c>
    </row>
    <row r="4564" spans="1:5" ht="12.5">
      <c r="A4564" s="81" t="str">
        <f t="shared" si="0"/>
        <v xml:space="preserve"> </v>
      </c>
      <c r="B4564" s="81" t="str">
        <f t="shared" si="1"/>
        <v xml:space="preserve"> </v>
      </c>
      <c r="C4564" s="79" t="str">
        <f t="shared" si="7"/>
        <v xml:space="preserve"> </v>
      </c>
      <c r="D4564" s="79" t="str">
        <f t="shared" si="5"/>
        <v xml:space="preserve"> </v>
      </c>
      <c r="E4564" s="79" t="str">
        <f t="shared" si="6"/>
        <v xml:space="preserve"> </v>
      </c>
    </row>
    <row r="4565" spans="1:5" ht="12.5">
      <c r="A4565" s="81" t="str">
        <f t="shared" si="0"/>
        <v xml:space="preserve"> </v>
      </c>
      <c r="B4565" s="81" t="str">
        <f t="shared" si="1"/>
        <v xml:space="preserve"> </v>
      </c>
      <c r="C4565" s="79" t="str">
        <f t="shared" si="7"/>
        <v xml:space="preserve"> </v>
      </c>
      <c r="D4565" s="79" t="str">
        <f t="shared" si="5"/>
        <v xml:space="preserve"> </v>
      </c>
      <c r="E4565" s="79" t="str">
        <f t="shared" si="6"/>
        <v xml:space="preserve"> </v>
      </c>
    </row>
    <row r="4566" spans="1:5" ht="12.5">
      <c r="A4566" s="81" t="str">
        <f t="shared" si="0"/>
        <v xml:space="preserve"> </v>
      </c>
      <c r="B4566" s="81" t="str">
        <f t="shared" si="1"/>
        <v xml:space="preserve"> </v>
      </c>
      <c r="C4566" s="79" t="str">
        <f t="shared" si="7"/>
        <v xml:space="preserve"> </v>
      </c>
      <c r="D4566" s="79" t="str">
        <f t="shared" si="5"/>
        <v xml:space="preserve"> </v>
      </c>
      <c r="E4566" s="79" t="str">
        <f t="shared" si="6"/>
        <v xml:space="preserve"> </v>
      </c>
    </row>
    <row r="4567" spans="1:5" ht="12.5">
      <c r="A4567" s="81" t="str">
        <f t="shared" si="0"/>
        <v xml:space="preserve"> </v>
      </c>
      <c r="B4567" s="81" t="str">
        <f t="shared" si="1"/>
        <v xml:space="preserve"> </v>
      </c>
      <c r="C4567" s="79" t="str">
        <f t="shared" si="7"/>
        <v xml:space="preserve"> </v>
      </c>
      <c r="D4567" s="79" t="str">
        <f t="shared" si="5"/>
        <v xml:space="preserve"> </v>
      </c>
      <c r="E4567" s="79" t="str">
        <f t="shared" si="6"/>
        <v xml:space="preserve"> </v>
      </c>
    </row>
    <row r="4568" spans="1:5" ht="12.5">
      <c r="A4568" s="81" t="str">
        <f t="shared" si="0"/>
        <v xml:space="preserve"> </v>
      </c>
      <c r="B4568" s="81" t="str">
        <f t="shared" si="1"/>
        <v xml:space="preserve"> </v>
      </c>
      <c r="C4568" s="79" t="str">
        <f t="shared" si="7"/>
        <v xml:space="preserve"> </v>
      </c>
      <c r="D4568" s="79" t="str">
        <f t="shared" si="5"/>
        <v xml:space="preserve"> </v>
      </c>
      <c r="E4568" s="79" t="str">
        <f t="shared" si="6"/>
        <v xml:space="preserve"> </v>
      </c>
    </row>
    <row r="4569" spans="1:5" ht="12.5">
      <c r="A4569" s="81" t="str">
        <f t="shared" si="0"/>
        <v xml:space="preserve"> </v>
      </c>
      <c r="B4569" s="81" t="str">
        <f t="shared" si="1"/>
        <v xml:space="preserve"> </v>
      </c>
      <c r="C4569" s="79" t="str">
        <f t="shared" si="7"/>
        <v xml:space="preserve"> </v>
      </c>
      <c r="D4569" s="79" t="str">
        <f t="shared" si="5"/>
        <v xml:space="preserve"> </v>
      </c>
      <c r="E4569" s="79" t="str">
        <f t="shared" si="6"/>
        <v xml:space="preserve"> </v>
      </c>
    </row>
    <row r="4570" spans="1:5" ht="12.5">
      <c r="A4570" s="81" t="str">
        <f t="shared" si="0"/>
        <v xml:space="preserve"> </v>
      </c>
      <c r="B4570" s="81" t="str">
        <f t="shared" si="1"/>
        <v xml:space="preserve"> </v>
      </c>
      <c r="C4570" s="79" t="str">
        <f t="shared" si="7"/>
        <v xml:space="preserve"> </v>
      </c>
      <c r="D4570" s="79" t="str">
        <f t="shared" si="5"/>
        <v xml:space="preserve"> </v>
      </c>
      <c r="E4570" s="79" t="str">
        <f t="shared" si="6"/>
        <v xml:space="preserve"> </v>
      </c>
    </row>
    <row r="4571" spans="1:5" ht="12.5">
      <c r="A4571" s="81" t="str">
        <f t="shared" si="0"/>
        <v xml:space="preserve"> </v>
      </c>
      <c r="B4571" s="81" t="str">
        <f t="shared" si="1"/>
        <v xml:space="preserve"> </v>
      </c>
      <c r="C4571" s="79" t="str">
        <f t="shared" si="7"/>
        <v xml:space="preserve"> </v>
      </c>
      <c r="D4571" s="79" t="str">
        <f t="shared" si="5"/>
        <v xml:space="preserve"> </v>
      </c>
      <c r="E4571" s="79" t="str">
        <f t="shared" si="6"/>
        <v xml:space="preserve"> </v>
      </c>
    </row>
    <row r="4572" spans="1:5" ht="12.5">
      <c r="A4572" s="81" t="str">
        <f t="shared" si="0"/>
        <v xml:space="preserve"> </v>
      </c>
      <c r="B4572" s="81" t="str">
        <f t="shared" si="1"/>
        <v xml:space="preserve"> </v>
      </c>
      <c r="C4572" s="79" t="str">
        <f t="shared" si="7"/>
        <v xml:space="preserve"> </v>
      </c>
      <c r="D4572" s="79" t="str">
        <f t="shared" si="5"/>
        <v xml:space="preserve"> </v>
      </c>
      <c r="E4572" s="79" t="str">
        <f t="shared" si="6"/>
        <v xml:space="preserve"> </v>
      </c>
    </row>
    <row r="4573" spans="1:5" ht="12.5">
      <c r="A4573" s="81" t="str">
        <f t="shared" si="0"/>
        <v xml:space="preserve"> </v>
      </c>
      <c r="B4573" s="81" t="str">
        <f t="shared" si="1"/>
        <v xml:space="preserve"> </v>
      </c>
      <c r="C4573" s="79" t="str">
        <f t="shared" si="7"/>
        <v xml:space="preserve"> </v>
      </c>
      <c r="D4573" s="79" t="str">
        <f t="shared" si="5"/>
        <v xml:space="preserve"> </v>
      </c>
      <c r="E4573" s="79" t="str">
        <f t="shared" si="6"/>
        <v xml:space="preserve"> </v>
      </c>
    </row>
    <row r="4574" spans="1:5" ht="12.5">
      <c r="A4574" s="81" t="str">
        <f t="shared" si="0"/>
        <v xml:space="preserve"> </v>
      </c>
      <c r="B4574" s="81" t="str">
        <f t="shared" si="1"/>
        <v xml:space="preserve"> </v>
      </c>
      <c r="C4574" s="79" t="str">
        <f t="shared" si="7"/>
        <v xml:space="preserve"> </v>
      </c>
      <c r="D4574" s="79" t="str">
        <f t="shared" si="5"/>
        <v xml:space="preserve"> </v>
      </c>
      <c r="E4574" s="79" t="str">
        <f t="shared" si="6"/>
        <v xml:space="preserve"> </v>
      </c>
    </row>
    <row r="4575" spans="1:5" ht="12.5">
      <c r="A4575" s="81" t="str">
        <f t="shared" si="0"/>
        <v xml:space="preserve"> </v>
      </c>
      <c r="B4575" s="81" t="str">
        <f t="shared" si="1"/>
        <v xml:space="preserve"> </v>
      </c>
      <c r="C4575" s="79" t="str">
        <f t="shared" si="7"/>
        <v xml:space="preserve"> </v>
      </c>
      <c r="D4575" s="79" t="str">
        <f t="shared" si="5"/>
        <v xml:space="preserve"> </v>
      </c>
      <c r="E4575" s="79" t="str">
        <f t="shared" si="6"/>
        <v xml:space="preserve"> </v>
      </c>
    </row>
    <row r="4576" spans="1:5" ht="12.5">
      <c r="A4576" s="81" t="str">
        <f t="shared" si="0"/>
        <v xml:space="preserve"> </v>
      </c>
      <c r="B4576" s="81" t="str">
        <f t="shared" si="1"/>
        <v xml:space="preserve"> </v>
      </c>
      <c r="C4576" s="79" t="str">
        <f t="shared" si="7"/>
        <v xml:space="preserve"> </v>
      </c>
      <c r="D4576" s="79" t="str">
        <f t="shared" si="5"/>
        <v xml:space="preserve"> </v>
      </c>
      <c r="E4576" s="79" t="str">
        <f t="shared" si="6"/>
        <v xml:space="preserve"> </v>
      </c>
    </row>
    <row r="4577" spans="1:5" ht="12.5">
      <c r="A4577" s="81" t="str">
        <f t="shared" si="0"/>
        <v xml:space="preserve"> </v>
      </c>
      <c r="B4577" s="81" t="str">
        <f t="shared" si="1"/>
        <v xml:space="preserve"> </v>
      </c>
      <c r="C4577" s="79" t="str">
        <f t="shared" si="7"/>
        <v xml:space="preserve"> </v>
      </c>
      <c r="D4577" s="79" t="str">
        <f t="shared" si="5"/>
        <v xml:space="preserve"> </v>
      </c>
      <c r="E4577" s="79" t="str">
        <f t="shared" si="6"/>
        <v xml:space="preserve"> </v>
      </c>
    </row>
    <row r="4578" spans="1:5" ht="12.5">
      <c r="A4578" s="81" t="str">
        <f t="shared" si="0"/>
        <v xml:space="preserve"> </v>
      </c>
      <c r="B4578" s="81" t="str">
        <f t="shared" si="1"/>
        <v xml:space="preserve"> </v>
      </c>
      <c r="C4578" s="79" t="str">
        <f t="shared" si="7"/>
        <v xml:space="preserve"> </v>
      </c>
      <c r="D4578" s="79" t="str">
        <f t="shared" si="5"/>
        <v xml:space="preserve"> </v>
      </c>
      <c r="E4578" s="79" t="str">
        <f t="shared" si="6"/>
        <v xml:space="preserve"> </v>
      </c>
    </row>
    <row r="4579" spans="1:5" ht="12.5">
      <c r="A4579" s="81" t="str">
        <f t="shared" si="0"/>
        <v xml:space="preserve"> </v>
      </c>
      <c r="B4579" s="81" t="str">
        <f t="shared" si="1"/>
        <v xml:space="preserve"> </v>
      </c>
      <c r="C4579" s="79" t="str">
        <f t="shared" si="7"/>
        <v xml:space="preserve"> </v>
      </c>
      <c r="D4579" s="79" t="str">
        <f t="shared" si="5"/>
        <v xml:space="preserve"> </v>
      </c>
      <c r="E4579" s="79" t="str">
        <f t="shared" si="6"/>
        <v xml:space="preserve"> </v>
      </c>
    </row>
    <row r="4580" spans="1:5" ht="12.5">
      <c r="A4580" s="81" t="str">
        <f t="shared" si="0"/>
        <v xml:space="preserve"> </v>
      </c>
      <c r="B4580" s="81" t="str">
        <f t="shared" si="1"/>
        <v xml:space="preserve"> </v>
      </c>
      <c r="C4580" s="79" t="str">
        <f t="shared" si="7"/>
        <v xml:space="preserve"> </v>
      </c>
      <c r="D4580" s="79" t="str">
        <f t="shared" si="5"/>
        <v xml:space="preserve"> </v>
      </c>
      <c r="E4580" s="79" t="str">
        <f t="shared" si="6"/>
        <v xml:space="preserve"> </v>
      </c>
    </row>
    <row r="4581" spans="1:5" ht="12.5">
      <c r="A4581" s="81" t="str">
        <f t="shared" si="0"/>
        <v xml:space="preserve"> </v>
      </c>
      <c r="B4581" s="81" t="str">
        <f t="shared" si="1"/>
        <v xml:space="preserve"> </v>
      </c>
      <c r="C4581" s="79" t="str">
        <f t="shared" si="7"/>
        <v xml:space="preserve"> </v>
      </c>
      <c r="D4581" s="79" t="str">
        <f t="shared" si="5"/>
        <v xml:space="preserve"> </v>
      </c>
      <c r="E4581" s="79" t="str">
        <f t="shared" si="6"/>
        <v xml:space="preserve"> </v>
      </c>
    </row>
    <row r="4582" spans="1:5" ht="12.5">
      <c r="A4582" s="81" t="str">
        <f t="shared" si="0"/>
        <v xml:space="preserve"> </v>
      </c>
      <c r="B4582" s="81" t="str">
        <f t="shared" si="1"/>
        <v xml:space="preserve"> </v>
      </c>
      <c r="C4582" s="79" t="str">
        <f t="shared" si="7"/>
        <v xml:space="preserve"> </v>
      </c>
      <c r="D4582" s="79" t="str">
        <f t="shared" si="5"/>
        <v xml:space="preserve"> </v>
      </c>
      <c r="E4582" s="79" t="str">
        <f t="shared" si="6"/>
        <v xml:space="preserve"> </v>
      </c>
    </row>
    <row r="4583" spans="1:5" ht="12.5">
      <c r="A4583" s="81" t="str">
        <f t="shared" si="0"/>
        <v xml:space="preserve"> </v>
      </c>
      <c r="B4583" s="81" t="str">
        <f t="shared" si="1"/>
        <v xml:space="preserve"> </v>
      </c>
      <c r="C4583" s="79" t="str">
        <f t="shared" si="7"/>
        <v xml:space="preserve"> </v>
      </c>
      <c r="D4583" s="79" t="str">
        <f t="shared" si="5"/>
        <v xml:space="preserve"> </v>
      </c>
      <c r="E4583" s="79" t="str">
        <f t="shared" si="6"/>
        <v xml:space="preserve"> </v>
      </c>
    </row>
    <row r="4584" spans="1:5" ht="12.5">
      <c r="A4584" s="81" t="str">
        <f t="shared" si="0"/>
        <v xml:space="preserve"> </v>
      </c>
      <c r="B4584" s="81" t="str">
        <f t="shared" si="1"/>
        <v xml:space="preserve"> </v>
      </c>
      <c r="C4584" s="79" t="str">
        <f t="shared" si="7"/>
        <v xml:space="preserve"> </v>
      </c>
      <c r="D4584" s="79" t="str">
        <f t="shared" si="5"/>
        <v xml:space="preserve"> </v>
      </c>
      <c r="E4584" s="79" t="str">
        <f t="shared" si="6"/>
        <v xml:space="preserve"> </v>
      </c>
    </row>
    <row r="4585" spans="1:5" ht="12.5">
      <c r="A4585" s="81" t="str">
        <f t="shared" si="0"/>
        <v xml:space="preserve"> </v>
      </c>
      <c r="B4585" s="81" t="str">
        <f t="shared" si="1"/>
        <v xml:space="preserve"> </v>
      </c>
      <c r="C4585" s="79" t="str">
        <f t="shared" si="7"/>
        <v xml:space="preserve"> </v>
      </c>
      <c r="D4585" s="79" t="str">
        <f t="shared" si="5"/>
        <v xml:space="preserve"> </v>
      </c>
      <c r="E4585" s="79" t="str">
        <f t="shared" si="6"/>
        <v xml:space="preserve"> </v>
      </c>
    </row>
    <row r="4586" spans="1:5" ht="12.5">
      <c r="A4586" s="81" t="str">
        <f t="shared" si="0"/>
        <v xml:space="preserve"> </v>
      </c>
      <c r="B4586" s="81" t="str">
        <f t="shared" si="1"/>
        <v xml:space="preserve"> </v>
      </c>
      <c r="C4586" s="79" t="str">
        <f t="shared" si="7"/>
        <v xml:space="preserve"> </v>
      </c>
      <c r="D4586" s="79" t="str">
        <f t="shared" si="5"/>
        <v xml:space="preserve"> </v>
      </c>
      <c r="E4586" s="79" t="str">
        <f t="shared" si="6"/>
        <v xml:space="preserve"> </v>
      </c>
    </row>
    <row r="4587" spans="1:5" ht="12.5">
      <c r="A4587" s="81" t="str">
        <f t="shared" si="0"/>
        <v xml:space="preserve"> </v>
      </c>
      <c r="B4587" s="81" t="str">
        <f t="shared" si="1"/>
        <v xml:space="preserve"> </v>
      </c>
      <c r="C4587" s="79" t="str">
        <f t="shared" si="7"/>
        <v xml:space="preserve"> </v>
      </c>
      <c r="D4587" s="79" t="str">
        <f t="shared" si="5"/>
        <v xml:space="preserve"> </v>
      </c>
      <c r="E4587" s="79" t="str">
        <f t="shared" si="6"/>
        <v xml:space="preserve"> </v>
      </c>
    </row>
    <row r="4588" spans="1:5" ht="12.5">
      <c r="A4588" s="81" t="str">
        <f t="shared" si="0"/>
        <v xml:space="preserve"> </v>
      </c>
      <c r="B4588" s="81" t="str">
        <f t="shared" si="1"/>
        <v xml:space="preserve"> </v>
      </c>
      <c r="C4588" s="79" t="str">
        <f t="shared" si="7"/>
        <v xml:space="preserve"> </v>
      </c>
      <c r="D4588" s="79" t="str">
        <f t="shared" si="5"/>
        <v xml:space="preserve"> </v>
      </c>
      <c r="E4588" s="79" t="str">
        <f t="shared" si="6"/>
        <v xml:space="preserve"> </v>
      </c>
    </row>
    <row r="4589" spans="1:5" ht="12.5">
      <c r="A4589" s="81" t="str">
        <f t="shared" si="0"/>
        <v xml:space="preserve"> </v>
      </c>
      <c r="B4589" s="81" t="str">
        <f t="shared" si="1"/>
        <v xml:space="preserve"> </v>
      </c>
      <c r="C4589" s="79" t="str">
        <f t="shared" si="7"/>
        <v xml:space="preserve"> </v>
      </c>
      <c r="D4589" s="79" t="str">
        <f t="shared" si="5"/>
        <v xml:space="preserve"> </v>
      </c>
      <c r="E4589" s="79" t="str">
        <f t="shared" si="6"/>
        <v xml:space="preserve"> </v>
      </c>
    </row>
    <row r="4590" spans="1:5" ht="12.5">
      <c r="A4590" s="81" t="str">
        <f t="shared" si="0"/>
        <v xml:space="preserve"> </v>
      </c>
      <c r="B4590" s="81" t="str">
        <f t="shared" si="1"/>
        <v xml:space="preserve"> </v>
      </c>
      <c r="C4590" s="79" t="str">
        <f t="shared" si="7"/>
        <v xml:space="preserve"> </v>
      </c>
      <c r="D4590" s="79" t="str">
        <f t="shared" si="5"/>
        <v xml:space="preserve"> </v>
      </c>
      <c r="E4590" s="79" t="str">
        <f t="shared" si="6"/>
        <v xml:space="preserve"> </v>
      </c>
    </row>
    <row r="4591" spans="1:5" ht="12.5">
      <c r="A4591" s="81" t="str">
        <f t="shared" si="0"/>
        <v xml:space="preserve"> </v>
      </c>
      <c r="B4591" s="81" t="str">
        <f t="shared" si="1"/>
        <v xml:space="preserve"> </v>
      </c>
      <c r="C4591" s="79" t="str">
        <f t="shared" si="7"/>
        <v xml:space="preserve"> </v>
      </c>
      <c r="D4591" s="79" t="str">
        <f t="shared" si="5"/>
        <v xml:space="preserve"> </v>
      </c>
      <c r="E4591" s="79" t="str">
        <f t="shared" si="6"/>
        <v xml:space="preserve"> </v>
      </c>
    </row>
    <row r="4592" spans="1:5" ht="12.5">
      <c r="A4592" s="81" t="str">
        <f t="shared" si="0"/>
        <v xml:space="preserve"> </v>
      </c>
      <c r="B4592" s="81" t="str">
        <f t="shared" si="1"/>
        <v xml:space="preserve"> </v>
      </c>
      <c r="C4592" s="79" t="str">
        <f t="shared" si="7"/>
        <v xml:space="preserve"> </v>
      </c>
      <c r="D4592" s="79" t="str">
        <f t="shared" si="5"/>
        <v xml:space="preserve"> </v>
      </c>
      <c r="E4592" s="79" t="str">
        <f t="shared" si="6"/>
        <v xml:space="preserve"> </v>
      </c>
    </row>
    <row r="4593" spans="1:5" ht="12.5">
      <c r="A4593" s="81" t="str">
        <f t="shared" si="0"/>
        <v xml:space="preserve"> </v>
      </c>
      <c r="B4593" s="81" t="str">
        <f t="shared" si="1"/>
        <v xml:space="preserve"> </v>
      </c>
      <c r="C4593" s="79" t="str">
        <f t="shared" si="7"/>
        <v xml:space="preserve"> </v>
      </c>
      <c r="D4593" s="79" t="str">
        <f t="shared" si="5"/>
        <v xml:space="preserve"> </v>
      </c>
      <c r="E4593" s="79" t="str">
        <f t="shared" si="6"/>
        <v xml:space="preserve"> </v>
      </c>
    </row>
    <row r="4594" spans="1:5" ht="12.5">
      <c r="A4594" s="81" t="str">
        <f t="shared" si="0"/>
        <v xml:space="preserve"> </v>
      </c>
      <c r="B4594" s="81" t="str">
        <f t="shared" si="1"/>
        <v xml:space="preserve"> </v>
      </c>
      <c r="C4594" s="79" t="str">
        <f t="shared" si="7"/>
        <v xml:space="preserve"> </v>
      </c>
      <c r="D4594" s="79" t="str">
        <f t="shared" si="5"/>
        <v xml:space="preserve"> </v>
      </c>
      <c r="E4594" s="79" t="str">
        <f t="shared" si="6"/>
        <v xml:space="preserve"> </v>
      </c>
    </row>
    <row r="4595" spans="1:5" ht="12.5">
      <c r="A4595" s="81" t="str">
        <f t="shared" si="0"/>
        <v xml:space="preserve"> </v>
      </c>
      <c r="B4595" s="81" t="str">
        <f t="shared" si="1"/>
        <v xml:space="preserve"> </v>
      </c>
      <c r="C4595" s="79" t="str">
        <f t="shared" si="7"/>
        <v xml:space="preserve"> </v>
      </c>
      <c r="D4595" s="79" t="str">
        <f t="shared" si="5"/>
        <v xml:space="preserve"> </v>
      </c>
      <c r="E4595" s="79" t="str">
        <f t="shared" si="6"/>
        <v xml:space="preserve"> </v>
      </c>
    </row>
    <row r="4596" spans="1:5" ht="12.5">
      <c r="A4596" s="81" t="str">
        <f t="shared" si="0"/>
        <v xml:space="preserve"> </v>
      </c>
      <c r="B4596" s="81" t="str">
        <f t="shared" si="1"/>
        <v xml:space="preserve"> </v>
      </c>
      <c r="C4596" s="79" t="str">
        <f t="shared" si="7"/>
        <v xml:space="preserve"> </v>
      </c>
      <c r="D4596" s="79" t="str">
        <f t="shared" si="5"/>
        <v xml:space="preserve"> </v>
      </c>
      <c r="E4596" s="79" t="str">
        <f t="shared" si="6"/>
        <v xml:space="preserve"> </v>
      </c>
    </row>
    <row r="4597" spans="1:5" ht="12.5">
      <c r="A4597" s="81" t="str">
        <f t="shared" si="0"/>
        <v xml:space="preserve"> </v>
      </c>
      <c r="B4597" s="81" t="str">
        <f t="shared" si="1"/>
        <v xml:space="preserve"> </v>
      </c>
      <c r="C4597" s="79" t="str">
        <f t="shared" si="7"/>
        <v xml:space="preserve"> </v>
      </c>
      <c r="D4597" s="79" t="str">
        <f t="shared" si="5"/>
        <v xml:space="preserve"> </v>
      </c>
      <c r="E4597" s="79" t="str">
        <f t="shared" si="6"/>
        <v xml:space="preserve"> </v>
      </c>
    </row>
    <row r="4598" spans="1:5" ht="12.5">
      <c r="A4598" s="81" t="str">
        <f t="shared" si="0"/>
        <v xml:space="preserve"> </v>
      </c>
      <c r="B4598" s="81" t="str">
        <f t="shared" si="1"/>
        <v xml:space="preserve"> </v>
      </c>
      <c r="C4598" s="79" t="str">
        <f t="shared" si="7"/>
        <v xml:space="preserve"> </v>
      </c>
      <c r="D4598" s="79" t="str">
        <f t="shared" si="5"/>
        <v xml:space="preserve"> </v>
      </c>
      <c r="E4598" s="79" t="str">
        <f t="shared" si="6"/>
        <v xml:space="preserve"> </v>
      </c>
    </row>
    <row r="4599" spans="1:5" ht="12.5">
      <c r="A4599" s="81" t="str">
        <f t="shared" si="0"/>
        <v xml:space="preserve"> </v>
      </c>
      <c r="B4599" s="81" t="str">
        <f t="shared" si="1"/>
        <v xml:space="preserve"> </v>
      </c>
      <c r="C4599" s="79" t="str">
        <f t="shared" si="7"/>
        <v xml:space="preserve"> </v>
      </c>
      <c r="D4599" s="79" t="str">
        <f t="shared" si="5"/>
        <v xml:space="preserve"> </v>
      </c>
      <c r="E4599" s="79" t="str">
        <f t="shared" si="6"/>
        <v xml:space="preserve"> </v>
      </c>
    </row>
    <row r="4600" spans="1:5" ht="12.5">
      <c r="A4600" s="81" t="str">
        <f t="shared" si="0"/>
        <v xml:space="preserve"> </v>
      </c>
      <c r="B4600" s="81" t="str">
        <f t="shared" si="1"/>
        <v xml:space="preserve"> </v>
      </c>
      <c r="C4600" s="79" t="str">
        <f t="shared" si="7"/>
        <v xml:space="preserve"> </v>
      </c>
      <c r="D4600" s="79" t="str">
        <f t="shared" si="5"/>
        <v xml:space="preserve"> </v>
      </c>
      <c r="E4600" s="79" t="str">
        <f t="shared" si="6"/>
        <v xml:space="preserve"> </v>
      </c>
    </row>
    <row r="4601" spans="1:5" ht="12.5">
      <c r="A4601" s="81" t="str">
        <f t="shared" si="0"/>
        <v xml:space="preserve"> </v>
      </c>
      <c r="B4601" s="81" t="str">
        <f t="shared" si="1"/>
        <v xml:space="preserve"> </v>
      </c>
      <c r="C4601" s="79" t="str">
        <f t="shared" si="7"/>
        <v xml:space="preserve"> </v>
      </c>
      <c r="D4601" s="79" t="str">
        <f t="shared" si="5"/>
        <v xml:space="preserve"> </v>
      </c>
      <c r="E4601" s="79" t="str">
        <f t="shared" si="6"/>
        <v xml:space="preserve"> </v>
      </c>
    </row>
    <row r="4602" spans="1:5" ht="12.5">
      <c r="A4602" s="81" t="str">
        <f t="shared" si="0"/>
        <v xml:space="preserve"> </v>
      </c>
      <c r="B4602" s="81" t="str">
        <f t="shared" si="1"/>
        <v xml:space="preserve"> </v>
      </c>
      <c r="C4602" s="79" t="str">
        <f t="shared" si="7"/>
        <v xml:space="preserve"> </v>
      </c>
      <c r="D4602" s="79" t="str">
        <f t="shared" si="5"/>
        <v xml:space="preserve"> </v>
      </c>
      <c r="E4602" s="79" t="str">
        <f t="shared" si="6"/>
        <v xml:space="preserve"> </v>
      </c>
    </row>
    <row r="4603" spans="1:5" ht="12.5">
      <c r="A4603" s="81" t="str">
        <f t="shared" si="0"/>
        <v xml:space="preserve"> </v>
      </c>
      <c r="B4603" s="81" t="str">
        <f t="shared" si="1"/>
        <v xml:space="preserve"> </v>
      </c>
      <c r="C4603" s="79" t="str">
        <f t="shared" si="7"/>
        <v xml:space="preserve"> </v>
      </c>
      <c r="D4603" s="79" t="str">
        <f t="shared" si="5"/>
        <v xml:space="preserve"> </v>
      </c>
      <c r="E4603" s="79" t="str">
        <f t="shared" si="6"/>
        <v xml:space="preserve"> </v>
      </c>
    </row>
    <row r="4604" spans="1:5" ht="12.5">
      <c r="A4604" s="81" t="str">
        <f t="shared" si="0"/>
        <v xml:space="preserve"> </v>
      </c>
      <c r="B4604" s="81" t="str">
        <f t="shared" si="1"/>
        <v xml:space="preserve"> </v>
      </c>
      <c r="C4604" s="79" t="str">
        <f t="shared" si="7"/>
        <v xml:space="preserve"> </v>
      </c>
      <c r="D4604" s="79" t="str">
        <f t="shared" si="5"/>
        <v xml:space="preserve"> </v>
      </c>
      <c r="E4604" s="79" t="str">
        <f t="shared" si="6"/>
        <v xml:space="preserve"> </v>
      </c>
    </row>
    <row r="4605" spans="1:5" ht="12.5">
      <c r="A4605" s="81" t="str">
        <f t="shared" si="0"/>
        <v xml:space="preserve"> </v>
      </c>
      <c r="B4605" s="81" t="str">
        <f t="shared" si="1"/>
        <v xml:space="preserve"> </v>
      </c>
      <c r="C4605" s="79" t="str">
        <f t="shared" si="7"/>
        <v xml:space="preserve"> </v>
      </c>
      <c r="D4605" s="79" t="str">
        <f t="shared" si="5"/>
        <v xml:space="preserve"> </v>
      </c>
      <c r="E4605" s="79" t="str">
        <f t="shared" si="6"/>
        <v xml:space="preserve"> </v>
      </c>
    </row>
    <row r="4606" spans="1:5" ht="12.5">
      <c r="A4606" s="81" t="str">
        <f t="shared" si="0"/>
        <v xml:space="preserve"> </v>
      </c>
      <c r="B4606" s="81" t="str">
        <f t="shared" si="1"/>
        <v xml:space="preserve"> </v>
      </c>
      <c r="C4606" s="79" t="str">
        <f t="shared" si="7"/>
        <v xml:space="preserve"> </v>
      </c>
      <c r="D4606" s="79" t="str">
        <f t="shared" si="5"/>
        <v xml:space="preserve"> </v>
      </c>
      <c r="E4606" s="79" t="str">
        <f t="shared" si="6"/>
        <v xml:space="preserve"> </v>
      </c>
    </row>
    <row r="4607" spans="1:5" ht="12.5">
      <c r="A4607" s="81" t="str">
        <f t="shared" si="0"/>
        <v xml:space="preserve"> </v>
      </c>
      <c r="B4607" s="81" t="str">
        <f t="shared" si="1"/>
        <v xml:space="preserve"> </v>
      </c>
      <c r="C4607" s="79" t="str">
        <f t="shared" si="7"/>
        <v xml:space="preserve"> </v>
      </c>
      <c r="D4607" s="79" t="str">
        <f t="shared" si="5"/>
        <v xml:space="preserve"> </v>
      </c>
      <c r="E4607" s="79" t="str">
        <f t="shared" si="6"/>
        <v xml:space="preserve"> </v>
      </c>
    </row>
    <row r="4608" spans="1:5" ht="12.5">
      <c r="A4608" s="81" t="str">
        <f t="shared" si="0"/>
        <v xml:space="preserve"> </v>
      </c>
      <c r="B4608" s="81" t="str">
        <f t="shared" si="1"/>
        <v xml:space="preserve"> </v>
      </c>
      <c r="C4608" s="79" t="str">
        <f t="shared" si="7"/>
        <v xml:space="preserve"> </v>
      </c>
      <c r="D4608" s="79" t="str">
        <f t="shared" si="5"/>
        <v xml:space="preserve"> </v>
      </c>
      <c r="E4608" s="79" t="str">
        <f t="shared" si="6"/>
        <v xml:space="preserve"> </v>
      </c>
    </row>
    <row r="4609" spans="1:5" ht="12.5">
      <c r="A4609" s="81" t="str">
        <f t="shared" si="0"/>
        <v xml:space="preserve"> </v>
      </c>
      <c r="B4609" s="81" t="str">
        <f t="shared" si="1"/>
        <v xml:space="preserve"> </v>
      </c>
      <c r="C4609" s="79" t="str">
        <f t="shared" si="7"/>
        <v xml:space="preserve"> </v>
      </c>
      <c r="D4609" s="79" t="str">
        <f t="shared" si="5"/>
        <v xml:space="preserve"> </v>
      </c>
      <c r="E4609" s="79" t="str">
        <f t="shared" si="6"/>
        <v xml:space="preserve"> </v>
      </c>
    </row>
    <row r="4610" spans="1:5" ht="12.5">
      <c r="A4610" s="81" t="str">
        <f t="shared" si="0"/>
        <v xml:space="preserve"> </v>
      </c>
      <c r="B4610" s="81" t="str">
        <f t="shared" si="1"/>
        <v xml:space="preserve"> </v>
      </c>
      <c r="C4610" s="79" t="str">
        <f t="shared" si="7"/>
        <v xml:space="preserve"> </v>
      </c>
      <c r="D4610" s="79" t="str">
        <f t="shared" si="5"/>
        <v xml:space="preserve"> </v>
      </c>
      <c r="E4610" s="79" t="str">
        <f t="shared" si="6"/>
        <v xml:space="preserve"> </v>
      </c>
    </row>
    <row r="4611" spans="1:5" ht="12.5">
      <c r="A4611" s="81" t="str">
        <f t="shared" si="0"/>
        <v xml:space="preserve"> </v>
      </c>
      <c r="B4611" s="81" t="str">
        <f t="shared" si="1"/>
        <v xml:space="preserve"> </v>
      </c>
      <c r="C4611" s="79" t="str">
        <f t="shared" si="7"/>
        <v xml:space="preserve"> </v>
      </c>
      <c r="D4611" s="79" t="str">
        <f t="shared" si="5"/>
        <v xml:space="preserve"> </v>
      </c>
      <c r="E4611" s="79" t="str">
        <f t="shared" si="6"/>
        <v xml:space="preserve"> </v>
      </c>
    </row>
    <row r="4612" spans="1:5" ht="12.5">
      <c r="A4612" s="81" t="str">
        <f t="shared" si="0"/>
        <v xml:space="preserve"> </v>
      </c>
      <c r="B4612" s="81" t="str">
        <f t="shared" si="1"/>
        <v xml:space="preserve"> </v>
      </c>
      <c r="C4612" s="79" t="str">
        <f t="shared" si="7"/>
        <v xml:space="preserve"> </v>
      </c>
      <c r="D4612" s="79" t="str">
        <f t="shared" si="5"/>
        <v xml:space="preserve"> </v>
      </c>
      <c r="E4612" s="79" t="str">
        <f t="shared" si="6"/>
        <v xml:space="preserve"> </v>
      </c>
    </row>
    <row r="4613" spans="1:5" ht="12.5">
      <c r="A4613" s="81" t="str">
        <f t="shared" si="0"/>
        <v xml:space="preserve"> </v>
      </c>
      <c r="B4613" s="81" t="str">
        <f t="shared" si="1"/>
        <v xml:space="preserve"> </v>
      </c>
      <c r="C4613" s="79" t="str">
        <f t="shared" si="7"/>
        <v xml:space="preserve"> </v>
      </c>
      <c r="D4613" s="79" t="str">
        <f t="shared" si="5"/>
        <v xml:space="preserve"> </v>
      </c>
      <c r="E4613" s="79" t="str">
        <f t="shared" si="6"/>
        <v xml:space="preserve"> </v>
      </c>
    </row>
    <row r="4614" spans="1:5" ht="12.5">
      <c r="A4614" s="81" t="str">
        <f t="shared" si="0"/>
        <v xml:space="preserve"> </v>
      </c>
      <c r="B4614" s="81" t="str">
        <f t="shared" si="1"/>
        <v xml:space="preserve"> </v>
      </c>
      <c r="C4614" s="79" t="str">
        <f t="shared" si="7"/>
        <v xml:space="preserve"> </v>
      </c>
      <c r="D4614" s="79" t="str">
        <f t="shared" si="5"/>
        <v xml:space="preserve"> </v>
      </c>
      <c r="E4614" s="79" t="str">
        <f t="shared" si="6"/>
        <v xml:space="preserve"> </v>
      </c>
    </row>
    <row r="4615" spans="1:5" ht="12.5">
      <c r="A4615" s="81" t="str">
        <f t="shared" si="0"/>
        <v xml:space="preserve"> </v>
      </c>
      <c r="B4615" s="81" t="str">
        <f t="shared" si="1"/>
        <v xml:space="preserve"> </v>
      </c>
      <c r="C4615" s="79" t="str">
        <f t="shared" si="7"/>
        <v xml:space="preserve"> </v>
      </c>
      <c r="D4615" s="79" t="str">
        <f t="shared" si="5"/>
        <v xml:space="preserve"> </v>
      </c>
      <c r="E4615" s="79" t="str">
        <f t="shared" si="6"/>
        <v xml:space="preserve"> </v>
      </c>
    </row>
    <row r="4616" spans="1:5" ht="12.5">
      <c r="A4616" s="81" t="str">
        <f t="shared" si="0"/>
        <v xml:space="preserve"> </v>
      </c>
      <c r="B4616" s="81" t="str">
        <f t="shared" si="1"/>
        <v xml:space="preserve"> </v>
      </c>
      <c r="C4616" s="79" t="str">
        <f t="shared" si="7"/>
        <v xml:space="preserve"> </v>
      </c>
      <c r="D4616" s="79" t="str">
        <f t="shared" si="5"/>
        <v xml:space="preserve"> </v>
      </c>
      <c r="E4616" s="79" t="str">
        <f t="shared" si="6"/>
        <v xml:space="preserve"> </v>
      </c>
    </row>
    <row r="4617" spans="1:5" ht="12.5">
      <c r="A4617" s="81" t="str">
        <f t="shared" si="0"/>
        <v xml:space="preserve"> </v>
      </c>
      <c r="B4617" s="81" t="str">
        <f t="shared" si="1"/>
        <v xml:space="preserve"> </v>
      </c>
      <c r="C4617" s="79" t="str">
        <f t="shared" si="7"/>
        <v xml:space="preserve"> </v>
      </c>
      <c r="D4617" s="79" t="str">
        <f t="shared" si="5"/>
        <v xml:space="preserve"> </v>
      </c>
      <c r="E4617" s="79" t="str">
        <f t="shared" si="6"/>
        <v xml:space="preserve"> </v>
      </c>
    </row>
    <row r="4618" spans="1:5" ht="12.5">
      <c r="A4618" s="81" t="str">
        <f t="shared" si="0"/>
        <v xml:space="preserve"> </v>
      </c>
      <c r="B4618" s="81" t="str">
        <f t="shared" si="1"/>
        <v xml:space="preserve"> </v>
      </c>
      <c r="C4618" s="79" t="str">
        <f t="shared" si="7"/>
        <v xml:space="preserve"> </v>
      </c>
      <c r="D4618" s="79" t="str">
        <f t="shared" si="5"/>
        <v xml:space="preserve"> </v>
      </c>
      <c r="E4618" s="79" t="str">
        <f t="shared" si="6"/>
        <v xml:space="preserve"> </v>
      </c>
    </row>
    <row r="4619" spans="1:5" ht="12.5">
      <c r="A4619" s="81" t="str">
        <f t="shared" si="0"/>
        <v xml:space="preserve"> </v>
      </c>
      <c r="B4619" s="81" t="str">
        <f t="shared" si="1"/>
        <v xml:space="preserve"> </v>
      </c>
      <c r="C4619" s="79" t="str">
        <f t="shared" si="7"/>
        <v xml:space="preserve"> </v>
      </c>
      <c r="D4619" s="79" t="str">
        <f t="shared" si="5"/>
        <v xml:space="preserve"> </v>
      </c>
      <c r="E4619" s="79" t="str">
        <f t="shared" si="6"/>
        <v xml:space="preserve"> </v>
      </c>
    </row>
    <row r="4620" spans="1:5" ht="12.5">
      <c r="A4620" s="81" t="str">
        <f t="shared" si="0"/>
        <v xml:space="preserve"> </v>
      </c>
      <c r="B4620" s="81" t="str">
        <f t="shared" si="1"/>
        <v xml:space="preserve"> </v>
      </c>
      <c r="C4620" s="79" t="str">
        <f t="shared" si="7"/>
        <v xml:space="preserve"> </v>
      </c>
      <c r="D4620" s="79" t="str">
        <f t="shared" si="5"/>
        <v xml:space="preserve"> </v>
      </c>
      <c r="E4620" s="79" t="str">
        <f t="shared" si="6"/>
        <v xml:space="preserve"> </v>
      </c>
    </row>
    <row r="4621" spans="1:5" ht="12.5">
      <c r="A4621" s="81" t="str">
        <f t="shared" si="0"/>
        <v xml:space="preserve"> </v>
      </c>
      <c r="B4621" s="81" t="str">
        <f t="shared" si="1"/>
        <v xml:space="preserve"> </v>
      </c>
      <c r="C4621" s="79" t="str">
        <f t="shared" si="7"/>
        <v xml:space="preserve"> </v>
      </c>
      <c r="D4621" s="79" t="str">
        <f t="shared" si="5"/>
        <v xml:space="preserve"> </v>
      </c>
      <c r="E4621" s="79" t="str">
        <f t="shared" si="6"/>
        <v xml:space="preserve"> </v>
      </c>
    </row>
    <row r="4622" spans="1:5" ht="12.5">
      <c r="A4622" s="81" t="str">
        <f t="shared" si="0"/>
        <v xml:space="preserve"> </v>
      </c>
      <c r="B4622" s="81" t="str">
        <f t="shared" si="1"/>
        <v xml:space="preserve"> </v>
      </c>
      <c r="C4622" s="79" t="str">
        <f t="shared" si="7"/>
        <v xml:space="preserve"> </v>
      </c>
      <c r="D4622" s="79" t="str">
        <f t="shared" si="5"/>
        <v xml:space="preserve"> </v>
      </c>
      <c r="E4622" s="79" t="str">
        <f t="shared" si="6"/>
        <v xml:space="preserve"> </v>
      </c>
    </row>
    <row r="4623" spans="1:5" ht="12.5">
      <c r="A4623" s="81" t="str">
        <f t="shared" si="0"/>
        <v xml:space="preserve"> </v>
      </c>
      <c r="B4623" s="81" t="str">
        <f t="shared" si="1"/>
        <v xml:space="preserve"> </v>
      </c>
      <c r="C4623" s="79" t="str">
        <f t="shared" si="7"/>
        <v xml:space="preserve"> </v>
      </c>
      <c r="D4623" s="79" t="str">
        <f t="shared" si="5"/>
        <v xml:space="preserve"> </v>
      </c>
      <c r="E4623" s="79" t="str">
        <f t="shared" si="6"/>
        <v xml:space="preserve"> </v>
      </c>
    </row>
    <row r="4624" spans="1:5" ht="12.5">
      <c r="A4624" s="81" t="str">
        <f t="shared" si="0"/>
        <v xml:space="preserve"> </v>
      </c>
      <c r="B4624" s="81" t="str">
        <f t="shared" si="1"/>
        <v xml:space="preserve"> </v>
      </c>
      <c r="C4624" s="79" t="str">
        <f t="shared" si="7"/>
        <v xml:space="preserve"> </v>
      </c>
      <c r="D4624" s="79" t="str">
        <f t="shared" si="5"/>
        <v xml:space="preserve"> </v>
      </c>
      <c r="E4624" s="79" t="str">
        <f t="shared" si="6"/>
        <v xml:space="preserve"> </v>
      </c>
    </row>
    <row r="4625" spans="1:5" ht="12.5">
      <c r="A4625" s="81" t="str">
        <f t="shared" si="0"/>
        <v xml:space="preserve"> </v>
      </c>
      <c r="B4625" s="81" t="str">
        <f t="shared" si="1"/>
        <v xml:space="preserve"> </v>
      </c>
      <c r="C4625" s="79" t="str">
        <f t="shared" si="7"/>
        <v xml:space="preserve"> </v>
      </c>
      <c r="D4625" s="79" t="str">
        <f t="shared" si="5"/>
        <v xml:space="preserve"> </v>
      </c>
      <c r="E4625" s="79" t="str">
        <f t="shared" si="6"/>
        <v xml:space="preserve"> </v>
      </c>
    </row>
    <row r="4626" spans="1:5" ht="12.5">
      <c r="A4626" s="81" t="str">
        <f t="shared" si="0"/>
        <v xml:space="preserve"> </v>
      </c>
      <c r="B4626" s="81" t="str">
        <f t="shared" si="1"/>
        <v xml:space="preserve"> </v>
      </c>
      <c r="C4626" s="79" t="str">
        <f t="shared" si="7"/>
        <v xml:space="preserve"> </v>
      </c>
      <c r="D4626" s="79" t="str">
        <f t="shared" si="5"/>
        <v xml:space="preserve"> </v>
      </c>
      <c r="E4626" s="79" t="str">
        <f t="shared" si="6"/>
        <v xml:space="preserve"> </v>
      </c>
    </row>
    <row r="4627" spans="1:5" ht="12.5">
      <c r="A4627" s="81" t="str">
        <f t="shared" si="0"/>
        <v xml:space="preserve"> </v>
      </c>
      <c r="B4627" s="81" t="str">
        <f t="shared" si="1"/>
        <v xml:space="preserve"> </v>
      </c>
      <c r="C4627" s="79" t="str">
        <f t="shared" si="7"/>
        <v xml:space="preserve"> </v>
      </c>
      <c r="D4627" s="79" t="str">
        <f t="shared" si="5"/>
        <v xml:space="preserve"> </v>
      </c>
      <c r="E4627" s="79" t="str">
        <f t="shared" si="6"/>
        <v xml:space="preserve"> </v>
      </c>
    </row>
    <row r="4628" spans="1:5" ht="12.5">
      <c r="A4628" s="81" t="str">
        <f t="shared" si="0"/>
        <v xml:space="preserve"> </v>
      </c>
      <c r="B4628" s="81" t="str">
        <f t="shared" si="1"/>
        <v xml:space="preserve"> </v>
      </c>
      <c r="C4628" s="79" t="str">
        <f t="shared" si="7"/>
        <v xml:space="preserve"> </v>
      </c>
      <c r="D4628" s="79" t="str">
        <f t="shared" si="5"/>
        <v xml:space="preserve"> </v>
      </c>
      <c r="E4628" s="79" t="str">
        <f t="shared" si="6"/>
        <v xml:space="preserve"> </v>
      </c>
    </row>
    <row r="4629" spans="1:5" ht="12.5">
      <c r="A4629" s="81" t="str">
        <f t="shared" si="0"/>
        <v xml:space="preserve"> </v>
      </c>
      <c r="B4629" s="81" t="str">
        <f t="shared" si="1"/>
        <v xml:space="preserve"> </v>
      </c>
      <c r="C4629" s="79" t="str">
        <f t="shared" si="7"/>
        <v xml:space="preserve"> </v>
      </c>
      <c r="D4629" s="79" t="str">
        <f t="shared" si="5"/>
        <v xml:space="preserve"> </v>
      </c>
      <c r="E4629" s="79" t="str">
        <f t="shared" si="6"/>
        <v xml:space="preserve"> </v>
      </c>
    </row>
    <row r="4630" spans="1:5" ht="12.5">
      <c r="A4630" s="81" t="str">
        <f t="shared" si="0"/>
        <v xml:space="preserve"> </v>
      </c>
      <c r="B4630" s="81" t="str">
        <f t="shared" si="1"/>
        <v xml:space="preserve"> </v>
      </c>
      <c r="C4630" s="79" t="str">
        <f t="shared" si="7"/>
        <v xml:space="preserve"> </v>
      </c>
      <c r="D4630" s="79" t="str">
        <f t="shared" si="5"/>
        <v xml:space="preserve"> </v>
      </c>
      <c r="E4630" s="79" t="str">
        <f t="shared" si="6"/>
        <v xml:space="preserve"> </v>
      </c>
    </row>
    <row r="4631" spans="1:5" ht="12.5">
      <c r="A4631" s="81" t="str">
        <f t="shared" si="0"/>
        <v xml:space="preserve"> </v>
      </c>
      <c r="B4631" s="81" t="str">
        <f t="shared" si="1"/>
        <v xml:space="preserve"> </v>
      </c>
      <c r="C4631" s="79" t="str">
        <f t="shared" si="7"/>
        <v xml:space="preserve"> </v>
      </c>
      <c r="D4631" s="79" t="str">
        <f t="shared" si="5"/>
        <v xml:space="preserve"> </v>
      </c>
      <c r="E4631" s="79" t="str">
        <f t="shared" si="6"/>
        <v xml:space="preserve"> </v>
      </c>
    </row>
    <row r="4632" spans="1:5" ht="12.5">
      <c r="A4632" s="81" t="str">
        <f t="shared" si="0"/>
        <v xml:space="preserve"> </v>
      </c>
      <c r="B4632" s="81" t="str">
        <f t="shared" si="1"/>
        <v xml:space="preserve"> </v>
      </c>
      <c r="C4632" s="79" t="str">
        <f t="shared" si="7"/>
        <v xml:space="preserve"> </v>
      </c>
      <c r="D4632" s="79" t="str">
        <f t="shared" si="5"/>
        <v xml:space="preserve"> </v>
      </c>
      <c r="E4632" s="79" t="str">
        <f t="shared" si="6"/>
        <v xml:space="preserve"> </v>
      </c>
    </row>
    <row r="4633" spans="1:5" ht="12.5">
      <c r="A4633" s="81" t="str">
        <f t="shared" si="0"/>
        <v xml:space="preserve"> </v>
      </c>
      <c r="B4633" s="81" t="str">
        <f t="shared" si="1"/>
        <v xml:space="preserve"> </v>
      </c>
      <c r="C4633" s="79" t="str">
        <f t="shared" si="7"/>
        <v xml:space="preserve"> </v>
      </c>
      <c r="D4633" s="79" t="str">
        <f t="shared" si="5"/>
        <v xml:space="preserve"> </v>
      </c>
      <c r="E4633" s="79" t="str">
        <f t="shared" si="6"/>
        <v xml:space="preserve"> </v>
      </c>
    </row>
    <row r="4634" spans="1:5" ht="12.5">
      <c r="A4634" s="81" t="str">
        <f t="shared" si="0"/>
        <v xml:space="preserve"> </v>
      </c>
      <c r="B4634" s="81" t="str">
        <f t="shared" si="1"/>
        <v xml:space="preserve"> </v>
      </c>
      <c r="C4634" s="79" t="str">
        <f t="shared" si="7"/>
        <v xml:space="preserve"> </v>
      </c>
      <c r="D4634" s="79" t="str">
        <f t="shared" si="5"/>
        <v xml:space="preserve"> </v>
      </c>
      <c r="E4634" s="79" t="str">
        <f t="shared" si="6"/>
        <v xml:space="preserve"> </v>
      </c>
    </row>
    <row r="4635" spans="1:5" ht="12.5">
      <c r="A4635" s="81" t="str">
        <f t="shared" si="0"/>
        <v xml:space="preserve"> </v>
      </c>
      <c r="B4635" s="81" t="str">
        <f t="shared" si="1"/>
        <v xml:space="preserve"> </v>
      </c>
      <c r="C4635" s="79" t="str">
        <f t="shared" si="7"/>
        <v xml:space="preserve"> </v>
      </c>
      <c r="D4635" s="79" t="str">
        <f t="shared" si="5"/>
        <v xml:space="preserve"> </v>
      </c>
      <c r="E4635" s="79" t="str">
        <f t="shared" si="6"/>
        <v xml:space="preserve"> </v>
      </c>
    </row>
    <row r="4636" spans="1:5" ht="12.5">
      <c r="A4636" s="81" t="str">
        <f t="shared" si="0"/>
        <v xml:space="preserve"> </v>
      </c>
      <c r="B4636" s="81" t="str">
        <f t="shared" si="1"/>
        <v xml:space="preserve"> </v>
      </c>
      <c r="C4636" s="79" t="str">
        <f t="shared" si="7"/>
        <v xml:space="preserve"> </v>
      </c>
      <c r="D4636" s="79" t="str">
        <f t="shared" si="5"/>
        <v xml:space="preserve"> </v>
      </c>
      <c r="E4636" s="79" t="str">
        <f t="shared" si="6"/>
        <v xml:space="preserve"> </v>
      </c>
    </row>
    <row r="4637" spans="1:5" ht="12.5">
      <c r="A4637" s="81" t="str">
        <f t="shared" si="0"/>
        <v xml:space="preserve"> </v>
      </c>
      <c r="B4637" s="81" t="str">
        <f t="shared" si="1"/>
        <v xml:space="preserve"> </v>
      </c>
      <c r="C4637" s="79" t="str">
        <f t="shared" si="7"/>
        <v xml:space="preserve"> </v>
      </c>
      <c r="D4637" s="79" t="str">
        <f t="shared" si="5"/>
        <v xml:space="preserve"> </v>
      </c>
      <c r="E4637" s="79" t="str">
        <f t="shared" si="6"/>
        <v xml:space="preserve"> </v>
      </c>
    </row>
    <row r="4638" spans="1:5" ht="12.5">
      <c r="A4638" s="81" t="str">
        <f t="shared" si="0"/>
        <v xml:space="preserve"> </v>
      </c>
      <c r="B4638" s="81" t="str">
        <f t="shared" si="1"/>
        <v xml:space="preserve"> </v>
      </c>
      <c r="C4638" s="79" t="str">
        <f t="shared" si="7"/>
        <v xml:space="preserve"> </v>
      </c>
      <c r="D4638" s="79" t="str">
        <f t="shared" si="5"/>
        <v xml:space="preserve"> </v>
      </c>
      <c r="E4638" s="79" t="str">
        <f t="shared" si="6"/>
        <v xml:space="preserve"> </v>
      </c>
    </row>
    <row r="4639" spans="1:5" ht="12.5">
      <c r="A4639" s="81" t="str">
        <f t="shared" si="0"/>
        <v xml:space="preserve"> </v>
      </c>
      <c r="B4639" s="81" t="str">
        <f t="shared" si="1"/>
        <v xml:space="preserve"> </v>
      </c>
      <c r="C4639" s="79" t="str">
        <f t="shared" si="7"/>
        <v xml:space="preserve"> </v>
      </c>
      <c r="D4639" s="79" t="str">
        <f t="shared" si="5"/>
        <v xml:space="preserve"> </v>
      </c>
      <c r="E4639" s="79" t="str">
        <f t="shared" si="6"/>
        <v xml:space="preserve"> </v>
      </c>
    </row>
    <row r="4640" spans="1:5" ht="12.5">
      <c r="A4640" s="81" t="str">
        <f t="shared" si="0"/>
        <v xml:space="preserve"> </v>
      </c>
      <c r="B4640" s="81" t="str">
        <f t="shared" si="1"/>
        <v xml:space="preserve"> </v>
      </c>
      <c r="C4640" s="79" t="str">
        <f t="shared" si="7"/>
        <v xml:space="preserve"> </v>
      </c>
      <c r="D4640" s="79" t="str">
        <f t="shared" si="5"/>
        <v xml:space="preserve"> </v>
      </c>
      <c r="E4640" s="79" t="str">
        <f t="shared" si="6"/>
        <v xml:space="preserve"> </v>
      </c>
    </row>
    <row r="4641" spans="1:5" ht="12.5">
      <c r="A4641" s="81" t="str">
        <f t="shared" si="0"/>
        <v xml:space="preserve"> </v>
      </c>
      <c r="B4641" s="81" t="str">
        <f t="shared" si="1"/>
        <v xml:space="preserve"> </v>
      </c>
      <c r="C4641" s="79" t="str">
        <f t="shared" si="7"/>
        <v xml:space="preserve"> </v>
      </c>
      <c r="D4641" s="79" t="str">
        <f t="shared" si="5"/>
        <v xml:space="preserve"> </v>
      </c>
      <c r="E4641" s="79" t="str">
        <f t="shared" si="6"/>
        <v xml:space="preserve"> </v>
      </c>
    </row>
    <row r="4642" spans="1:5" ht="12.5">
      <c r="A4642" s="81" t="str">
        <f t="shared" si="0"/>
        <v xml:space="preserve"> </v>
      </c>
      <c r="B4642" s="81" t="str">
        <f t="shared" si="1"/>
        <v xml:space="preserve"> </v>
      </c>
      <c r="C4642" s="79" t="str">
        <f t="shared" si="7"/>
        <v xml:space="preserve"> </v>
      </c>
      <c r="D4642" s="79" t="str">
        <f t="shared" si="5"/>
        <v xml:space="preserve"> </v>
      </c>
      <c r="E4642" s="79" t="str">
        <f t="shared" si="6"/>
        <v xml:space="preserve"> </v>
      </c>
    </row>
    <row r="4643" spans="1:5" ht="12.5">
      <c r="A4643" s="81" t="str">
        <f t="shared" si="0"/>
        <v xml:space="preserve"> </v>
      </c>
      <c r="B4643" s="81" t="str">
        <f t="shared" si="1"/>
        <v xml:space="preserve"> </v>
      </c>
      <c r="C4643" s="79" t="str">
        <f t="shared" si="7"/>
        <v xml:space="preserve"> </v>
      </c>
      <c r="D4643" s="79" t="str">
        <f t="shared" si="5"/>
        <v xml:space="preserve"> </v>
      </c>
      <c r="E4643" s="79" t="str">
        <f t="shared" si="6"/>
        <v xml:space="preserve"> </v>
      </c>
    </row>
    <row r="4644" spans="1:5" ht="12.5">
      <c r="A4644" s="81" t="str">
        <f t="shared" si="0"/>
        <v xml:space="preserve"> </v>
      </c>
      <c r="B4644" s="81" t="str">
        <f t="shared" si="1"/>
        <v xml:space="preserve"> </v>
      </c>
      <c r="C4644" s="79" t="str">
        <f t="shared" si="7"/>
        <v xml:space="preserve"> </v>
      </c>
      <c r="D4644" s="79" t="str">
        <f t="shared" si="5"/>
        <v xml:space="preserve"> </v>
      </c>
      <c r="E4644" s="79" t="str">
        <f t="shared" si="6"/>
        <v xml:space="preserve"> </v>
      </c>
    </row>
    <row r="4645" spans="1:5" ht="12.5">
      <c r="A4645" s="81" t="str">
        <f t="shared" si="0"/>
        <v xml:space="preserve"> </v>
      </c>
      <c r="B4645" s="81" t="str">
        <f t="shared" si="1"/>
        <v xml:space="preserve"> </v>
      </c>
      <c r="C4645" s="79" t="str">
        <f t="shared" si="7"/>
        <v xml:space="preserve"> </v>
      </c>
      <c r="D4645" s="79" t="str">
        <f t="shared" si="5"/>
        <v xml:space="preserve"> </v>
      </c>
      <c r="E4645" s="79" t="str">
        <f t="shared" si="6"/>
        <v xml:space="preserve"> </v>
      </c>
    </row>
    <row r="4646" spans="1:5" ht="12.5">
      <c r="A4646" s="81" t="str">
        <f t="shared" si="0"/>
        <v xml:space="preserve"> </v>
      </c>
      <c r="B4646" s="81" t="str">
        <f t="shared" si="1"/>
        <v xml:space="preserve"> </v>
      </c>
      <c r="C4646" s="79" t="str">
        <f t="shared" si="7"/>
        <v xml:space="preserve"> </v>
      </c>
      <c r="D4646" s="79" t="str">
        <f t="shared" si="5"/>
        <v xml:space="preserve"> </v>
      </c>
      <c r="E4646" s="79" t="str">
        <f t="shared" si="6"/>
        <v xml:space="preserve"> </v>
      </c>
    </row>
    <row r="4647" spans="1:5" ht="12.5">
      <c r="A4647" s="81" t="str">
        <f t="shared" si="0"/>
        <v xml:space="preserve"> </v>
      </c>
      <c r="B4647" s="81" t="str">
        <f t="shared" si="1"/>
        <v xml:space="preserve"> </v>
      </c>
      <c r="C4647" s="79" t="str">
        <f t="shared" si="7"/>
        <v xml:space="preserve"> </v>
      </c>
      <c r="D4647" s="79" t="str">
        <f t="shared" si="5"/>
        <v xml:space="preserve"> </v>
      </c>
      <c r="E4647" s="79" t="str">
        <f t="shared" si="6"/>
        <v xml:space="preserve"> </v>
      </c>
    </row>
    <row r="4648" spans="1:5" ht="12.5">
      <c r="A4648" s="81" t="str">
        <f t="shared" si="0"/>
        <v xml:space="preserve"> </v>
      </c>
      <c r="B4648" s="81" t="str">
        <f t="shared" si="1"/>
        <v xml:space="preserve"> </v>
      </c>
      <c r="C4648" s="79" t="str">
        <f t="shared" si="7"/>
        <v xml:space="preserve"> </v>
      </c>
      <c r="D4648" s="79" t="str">
        <f t="shared" si="5"/>
        <v xml:space="preserve"> </v>
      </c>
      <c r="E4648" s="79" t="str">
        <f t="shared" si="6"/>
        <v xml:space="preserve"> </v>
      </c>
    </row>
    <row r="4649" spans="1:5" ht="12.5">
      <c r="A4649" s="81" t="str">
        <f t="shared" si="0"/>
        <v xml:space="preserve"> </v>
      </c>
      <c r="B4649" s="81" t="str">
        <f t="shared" si="1"/>
        <v xml:space="preserve"> </v>
      </c>
      <c r="C4649" s="79" t="str">
        <f t="shared" si="7"/>
        <v xml:space="preserve"> </v>
      </c>
      <c r="D4649" s="79" t="str">
        <f t="shared" si="5"/>
        <v xml:space="preserve"> </v>
      </c>
      <c r="E4649" s="79" t="str">
        <f t="shared" si="6"/>
        <v xml:space="preserve"> </v>
      </c>
    </row>
    <row r="4650" spans="1:5" ht="12.5">
      <c r="A4650" s="81" t="str">
        <f t="shared" si="0"/>
        <v xml:space="preserve"> </v>
      </c>
      <c r="B4650" s="81" t="str">
        <f t="shared" si="1"/>
        <v xml:space="preserve"> </v>
      </c>
      <c r="C4650" s="79" t="str">
        <f t="shared" si="7"/>
        <v xml:space="preserve"> </v>
      </c>
      <c r="D4650" s="79" t="str">
        <f t="shared" si="5"/>
        <v xml:space="preserve"> </v>
      </c>
      <c r="E4650" s="79" t="str">
        <f t="shared" si="6"/>
        <v xml:space="preserve"> </v>
      </c>
    </row>
    <row r="4651" spans="1:5" ht="12.5">
      <c r="A4651" s="81" t="str">
        <f t="shared" si="0"/>
        <v xml:space="preserve"> </v>
      </c>
      <c r="B4651" s="81" t="str">
        <f t="shared" si="1"/>
        <v xml:space="preserve"> </v>
      </c>
      <c r="C4651" s="79" t="str">
        <f t="shared" si="7"/>
        <v xml:space="preserve"> </v>
      </c>
      <c r="D4651" s="79" t="str">
        <f t="shared" si="5"/>
        <v xml:space="preserve"> </v>
      </c>
      <c r="E4651" s="79" t="str">
        <f t="shared" si="6"/>
        <v xml:space="preserve"> </v>
      </c>
    </row>
    <row r="4652" spans="1:5" ht="12.5">
      <c r="A4652" s="81" t="str">
        <f t="shared" si="0"/>
        <v xml:space="preserve"> </v>
      </c>
      <c r="B4652" s="81" t="str">
        <f t="shared" si="1"/>
        <v xml:space="preserve"> </v>
      </c>
      <c r="C4652" s="79" t="str">
        <f t="shared" si="7"/>
        <v xml:space="preserve"> </v>
      </c>
      <c r="D4652" s="79" t="str">
        <f t="shared" si="5"/>
        <v xml:space="preserve"> </v>
      </c>
      <c r="E4652" s="79" t="str">
        <f t="shared" si="6"/>
        <v xml:space="preserve"> </v>
      </c>
    </row>
    <row r="4653" spans="1:5" ht="12.5">
      <c r="A4653" s="81" t="str">
        <f t="shared" si="0"/>
        <v xml:space="preserve"> </v>
      </c>
      <c r="B4653" s="81" t="str">
        <f t="shared" si="1"/>
        <v xml:space="preserve"> </v>
      </c>
      <c r="C4653" s="79" t="str">
        <f t="shared" si="7"/>
        <v xml:space="preserve"> </v>
      </c>
      <c r="D4653" s="79" t="str">
        <f t="shared" si="5"/>
        <v xml:space="preserve"> </v>
      </c>
      <c r="E4653" s="79" t="str">
        <f t="shared" si="6"/>
        <v xml:space="preserve"> </v>
      </c>
    </row>
    <row r="4654" spans="1:5" ht="12.5">
      <c r="A4654" s="81" t="str">
        <f t="shared" si="0"/>
        <v xml:space="preserve"> </v>
      </c>
      <c r="B4654" s="81" t="str">
        <f t="shared" si="1"/>
        <v xml:space="preserve"> </v>
      </c>
      <c r="C4654" s="79" t="str">
        <f t="shared" si="7"/>
        <v xml:space="preserve"> </v>
      </c>
      <c r="D4654" s="79" t="str">
        <f t="shared" si="5"/>
        <v xml:space="preserve"> </v>
      </c>
      <c r="E4654" s="79" t="str">
        <f t="shared" si="6"/>
        <v xml:space="preserve"> </v>
      </c>
    </row>
    <row r="4655" spans="1:5" ht="12.5">
      <c r="A4655" s="81" t="str">
        <f t="shared" si="0"/>
        <v xml:space="preserve"> </v>
      </c>
      <c r="B4655" s="81" t="str">
        <f t="shared" si="1"/>
        <v xml:space="preserve"> </v>
      </c>
      <c r="C4655" s="79" t="str">
        <f t="shared" si="7"/>
        <v xml:space="preserve"> </v>
      </c>
      <c r="D4655" s="79" t="str">
        <f t="shared" si="5"/>
        <v xml:space="preserve"> </v>
      </c>
      <c r="E4655" s="79" t="str">
        <f t="shared" si="6"/>
        <v xml:space="preserve"> </v>
      </c>
    </row>
    <row r="4656" spans="1:5" ht="12.5">
      <c r="A4656" s="81" t="str">
        <f t="shared" si="0"/>
        <v xml:space="preserve"> </v>
      </c>
      <c r="B4656" s="81" t="str">
        <f t="shared" si="1"/>
        <v xml:space="preserve"> </v>
      </c>
      <c r="C4656" s="79" t="str">
        <f t="shared" si="7"/>
        <v xml:space="preserve"> </v>
      </c>
      <c r="D4656" s="79" t="str">
        <f t="shared" si="5"/>
        <v xml:space="preserve"> </v>
      </c>
      <c r="E4656" s="79" t="str">
        <f t="shared" si="6"/>
        <v xml:space="preserve"> </v>
      </c>
    </row>
    <row r="4657" spans="1:5" ht="12.5">
      <c r="A4657" s="81" t="str">
        <f t="shared" si="0"/>
        <v xml:space="preserve"> </v>
      </c>
      <c r="B4657" s="81" t="str">
        <f t="shared" si="1"/>
        <v xml:space="preserve"> </v>
      </c>
      <c r="C4657" s="79" t="str">
        <f t="shared" si="7"/>
        <v xml:space="preserve"> </v>
      </c>
      <c r="D4657" s="79" t="str">
        <f t="shared" si="5"/>
        <v xml:space="preserve"> </v>
      </c>
      <c r="E4657" s="79" t="str">
        <f t="shared" si="6"/>
        <v xml:space="preserve"> </v>
      </c>
    </row>
    <row r="4658" spans="1:5" ht="12.5">
      <c r="A4658" s="81" t="str">
        <f t="shared" si="0"/>
        <v xml:space="preserve"> </v>
      </c>
      <c r="B4658" s="81" t="str">
        <f t="shared" si="1"/>
        <v xml:space="preserve"> </v>
      </c>
      <c r="C4658" s="79" t="str">
        <f t="shared" si="7"/>
        <v xml:space="preserve"> </v>
      </c>
      <c r="D4658" s="79" t="str">
        <f t="shared" si="5"/>
        <v xml:space="preserve"> </v>
      </c>
      <c r="E4658" s="79" t="str">
        <f t="shared" si="6"/>
        <v xml:space="preserve"> </v>
      </c>
    </row>
    <row r="4659" spans="1:5" ht="12.5">
      <c r="A4659" s="81" t="str">
        <f t="shared" si="0"/>
        <v xml:space="preserve"> </v>
      </c>
      <c r="B4659" s="81" t="str">
        <f t="shared" si="1"/>
        <v xml:space="preserve"> </v>
      </c>
      <c r="C4659" s="79" t="str">
        <f t="shared" si="7"/>
        <v xml:space="preserve"> </v>
      </c>
      <c r="D4659" s="79" t="str">
        <f t="shared" si="5"/>
        <v xml:space="preserve"> </v>
      </c>
      <c r="E4659" s="79" t="str">
        <f t="shared" si="6"/>
        <v xml:space="preserve"> </v>
      </c>
    </row>
    <row r="4660" spans="1:5" ht="12.5">
      <c r="A4660" s="81" t="str">
        <f t="shared" si="0"/>
        <v xml:space="preserve"> </v>
      </c>
      <c r="B4660" s="81" t="str">
        <f t="shared" si="1"/>
        <v xml:space="preserve"> </v>
      </c>
      <c r="C4660" s="79" t="str">
        <f t="shared" si="7"/>
        <v xml:space="preserve"> </v>
      </c>
      <c r="D4660" s="79" t="str">
        <f t="shared" si="5"/>
        <v xml:space="preserve"> </v>
      </c>
      <c r="E4660" s="79" t="str">
        <f t="shared" si="6"/>
        <v xml:space="preserve"> </v>
      </c>
    </row>
    <row r="4661" spans="1:5" ht="12.5">
      <c r="A4661" s="81" t="str">
        <f t="shared" si="0"/>
        <v xml:space="preserve"> </v>
      </c>
      <c r="B4661" s="81" t="str">
        <f t="shared" si="1"/>
        <v xml:space="preserve"> </v>
      </c>
      <c r="C4661" s="79" t="str">
        <f t="shared" si="7"/>
        <v xml:space="preserve"> </v>
      </c>
      <c r="D4661" s="79" t="str">
        <f t="shared" si="5"/>
        <v xml:space="preserve"> </v>
      </c>
      <c r="E4661" s="79" t="str">
        <f t="shared" si="6"/>
        <v xml:space="preserve"> </v>
      </c>
    </row>
    <row r="4662" spans="1:5" ht="12.5">
      <c r="A4662" s="81" t="str">
        <f t="shared" si="0"/>
        <v xml:space="preserve"> </v>
      </c>
      <c r="B4662" s="81" t="str">
        <f t="shared" si="1"/>
        <v xml:space="preserve"> </v>
      </c>
      <c r="C4662" s="79" t="str">
        <f t="shared" si="7"/>
        <v xml:space="preserve"> </v>
      </c>
      <c r="D4662" s="79" t="str">
        <f t="shared" si="5"/>
        <v xml:space="preserve"> </v>
      </c>
      <c r="E4662" s="79" t="str">
        <f t="shared" si="6"/>
        <v xml:space="preserve"> </v>
      </c>
    </row>
    <row r="4663" spans="1:5" ht="12.5">
      <c r="A4663" s="81" t="str">
        <f t="shared" si="0"/>
        <v xml:space="preserve"> </v>
      </c>
      <c r="B4663" s="81" t="str">
        <f t="shared" si="1"/>
        <v xml:space="preserve"> </v>
      </c>
      <c r="C4663" s="79" t="str">
        <f t="shared" si="7"/>
        <v xml:space="preserve"> </v>
      </c>
      <c r="D4663" s="79" t="str">
        <f t="shared" si="5"/>
        <v xml:space="preserve"> </v>
      </c>
      <c r="E4663" s="79" t="str">
        <f t="shared" si="6"/>
        <v xml:space="preserve"> </v>
      </c>
    </row>
    <row r="4664" spans="1:5" ht="12.5">
      <c r="A4664" s="81" t="str">
        <f t="shared" si="0"/>
        <v xml:space="preserve"> </v>
      </c>
      <c r="B4664" s="81" t="str">
        <f t="shared" si="1"/>
        <v xml:space="preserve"> </v>
      </c>
      <c r="C4664" s="79" t="str">
        <f t="shared" si="7"/>
        <v xml:space="preserve"> </v>
      </c>
      <c r="D4664" s="79" t="str">
        <f t="shared" si="5"/>
        <v xml:space="preserve"> </v>
      </c>
      <c r="E4664" s="79" t="str">
        <f t="shared" si="6"/>
        <v xml:space="preserve"> </v>
      </c>
    </row>
    <row r="4665" spans="1:5" ht="12.5">
      <c r="A4665" s="81" t="str">
        <f t="shared" si="0"/>
        <v xml:space="preserve"> </v>
      </c>
      <c r="B4665" s="81" t="str">
        <f t="shared" si="1"/>
        <v xml:space="preserve"> </v>
      </c>
      <c r="C4665" s="79" t="str">
        <f t="shared" si="7"/>
        <v xml:space="preserve"> </v>
      </c>
      <c r="D4665" s="79" t="str">
        <f t="shared" si="5"/>
        <v xml:space="preserve"> </v>
      </c>
      <c r="E4665" s="79" t="str">
        <f t="shared" si="6"/>
        <v xml:space="preserve"> </v>
      </c>
    </row>
    <row r="4666" spans="1:5" ht="12.5">
      <c r="A4666" s="81" t="str">
        <f t="shared" si="0"/>
        <v xml:space="preserve"> </v>
      </c>
      <c r="B4666" s="81" t="str">
        <f t="shared" si="1"/>
        <v xml:space="preserve"> </v>
      </c>
      <c r="C4666" s="79" t="str">
        <f t="shared" si="7"/>
        <v xml:space="preserve"> </v>
      </c>
      <c r="D4666" s="79" t="str">
        <f t="shared" si="5"/>
        <v xml:space="preserve"> </v>
      </c>
      <c r="E4666" s="79" t="str">
        <f t="shared" si="6"/>
        <v xml:space="preserve"> </v>
      </c>
    </row>
    <row r="4667" spans="1:5" ht="12.5">
      <c r="A4667" s="81" t="str">
        <f t="shared" si="0"/>
        <v xml:space="preserve"> </v>
      </c>
      <c r="B4667" s="81" t="str">
        <f t="shared" si="1"/>
        <v xml:space="preserve"> </v>
      </c>
      <c r="C4667" s="79" t="str">
        <f t="shared" si="7"/>
        <v xml:space="preserve"> </v>
      </c>
      <c r="D4667" s="79" t="str">
        <f t="shared" si="5"/>
        <v xml:space="preserve"> </v>
      </c>
      <c r="E4667" s="79" t="str">
        <f t="shared" si="6"/>
        <v xml:space="preserve"> </v>
      </c>
    </row>
    <row r="4668" spans="1:5" ht="12.5">
      <c r="A4668" s="81" t="str">
        <f t="shared" si="0"/>
        <v xml:space="preserve"> </v>
      </c>
      <c r="B4668" s="81" t="str">
        <f t="shared" si="1"/>
        <v xml:space="preserve"> </v>
      </c>
      <c r="C4668" s="79" t="str">
        <f t="shared" si="7"/>
        <v xml:space="preserve"> </v>
      </c>
      <c r="D4668" s="79" t="str">
        <f t="shared" si="5"/>
        <v xml:space="preserve"> </v>
      </c>
      <c r="E4668" s="79" t="str">
        <f t="shared" si="6"/>
        <v xml:space="preserve"> </v>
      </c>
    </row>
    <row r="4669" spans="1:5" ht="12.5">
      <c r="A4669" s="81" t="str">
        <f t="shared" si="0"/>
        <v xml:space="preserve"> </v>
      </c>
      <c r="B4669" s="81" t="str">
        <f t="shared" si="1"/>
        <v xml:space="preserve"> </v>
      </c>
      <c r="C4669" s="79" t="str">
        <f t="shared" si="7"/>
        <v xml:space="preserve"> </v>
      </c>
      <c r="D4669" s="79" t="str">
        <f t="shared" si="5"/>
        <v xml:space="preserve"> </v>
      </c>
      <c r="E4669" s="79" t="str">
        <f t="shared" si="6"/>
        <v xml:space="preserve"> </v>
      </c>
    </row>
    <row r="4670" spans="1:5" ht="12.5">
      <c r="A4670" s="81" t="str">
        <f t="shared" si="0"/>
        <v xml:space="preserve"> </v>
      </c>
      <c r="B4670" s="81" t="str">
        <f t="shared" si="1"/>
        <v xml:space="preserve"> </v>
      </c>
      <c r="C4670" s="79" t="str">
        <f t="shared" si="7"/>
        <v xml:space="preserve"> </v>
      </c>
      <c r="D4670" s="79" t="str">
        <f t="shared" si="5"/>
        <v xml:space="preserve"> </v>
      </c>
      <c r="E4670" s="79" t="str">
        <f t="shared" si="6"/>
        <v xml:space="preserve"> </v>
      </c>
    </row>
    <row r="4671" spans="1:5" ht="12.5">
      <c r="A4671" s="81" t="str">
        <f t="shared" si="0"/>
        <v xml:space="preserve"> </v>
      </c>
      <c r="B4671" s="81" t="str">
        <f t="shared" si="1"/>
        <v xml:space="preserve"> </v>
      </c>
      <c r="C4671" s="79" t="str">
        <f t="shared" si="7"/>
        <v xml:space="preserve"> </v>
      </c>
      <c r="D4671" s="79" t="str">
        <f t="shared" si="5"/>
        <v xml:space="preserve"> </v>
      </c>
      <c r="E4671" s="79" t="str">
        <f t="shared" si="6"/>
        <v xml:space="preserve"> </v>
      </c>
    </row>
    <row r="4672" spans="1:5" ht="12.5">
      <c r="A4672" s="81" t="str">
        <f t="shared" si="0"/>
        <v xml:space="preserve"> </v>
      </c>
      <c r="B4672" s="81" t="str">
        <f t="shared" si="1"/>
        <v xml:space="preserve"> </v>
      </c>
      <c r="C4672" s="79" t="str">
        <f t="shared" si="7"/>
        <v xml:space="preserve"> </v>
      </c>
      <c r="D4672" s="79" t="str">
        <f t="shared" si="5"/>
        <v xml:space="preserve"> </v>
      </c>
      <c r="E4672" s="79" t="str">
        <f t="shared" si="6"/>
        <v xml:space="preserve"> </v>
      </c>
    </row>
    <row r="4673" spans="1:5" ht="12.5">
      <c r="A4673" s="81" t="str">
        <f t="shared" si="0"/>
        <v xml:space="preserve"> </v>
      </c>
      <c r="B4673" s="81" t="str">
        <f t="shared" si="1"/>
        <v xml:space="preserve"> </v>
      </c>
      <c r="C4673" s="79" t="str">
        <f t="shared" si="7"/>
        <v xml:space="preserve"> </v>
      </c>
      <c r="D4673" s="79" t="str">
        <f t="shared" si="5"/>
        <v xml:space="preserve"> </v>
      </c>
      <c r="E4673" s="79" t="str">
        <f t="shared" si="6"/>
        <v xml:space="preserve"> </v>
      </c>
    </row>
    <row r="4674" spans="1:5" ht="12.5">
      <c r="A4674" s="81" t="str">
        <f t="shared" si="0"/>
        <v xml:space="preserve"> </v>
      </c>
      <c r="B4674" s="81" t="str">
        <f t="shared" si="1"/>
        <v xml:space="preserve"> </v>
      </c>
      <c r="C4674" s="79" t="str">
        <f t="shared" si="7"/>
        <v xml:space="preserve"> </v>
      </c>
      <c r="D4674" s="79" t="str">
        <f t="shared" si="5"/>
        <v xml:space="preserve"> </v>
      </c>
      <c r="E4674" s="79" t="str">
        <f t="shared" si="6"/>
        <v xml:space="preserve"> </v>
      </c>
    </row>
    <row r="4675" spans="1:5" ht="12.5">
      <c r="A4675" s="81" t="str">
        <f t="shared" si="0"/>
        <v xml:space="preserve"> </v>
      </c>
      <c r="B4675" s="81" t="str">
        <f t="shared" si="1"/>
        <v xml:space="preserve"> </v>
      </c>
      <c r="C4675" s="79" t="str">
        <f t="shared" si="7"/>
        <v xml:space="preserve"> </v>
      </c>
      <c r="D4675" s="79" t="str">
        <f t="shared" si="5"/>
        <v xml:space="preserve"> </v>
      </c>
      <c r="E4675" s="79" t="str">
        <f t="shared" si="6"/>
        <v xml:space="preserve"> </v>
      </c>
    </row>
    <row r="4676" spans="1:5" ht="12.5">
      <c r="A4676" s="81" t="str">
        <f t="shared" si="0"/>
        <v xml:space="preserve"> </v>
      </c>
      <c r="B4676" s="81" t="str">
        <f t="shared" si="1"/>
        <v xml:space="preserve"> </v>
      </c>
      <c r="C4676" s="79" t="str">
        <f t="shared" si="7"/>
        <v xml:space="preserve"> </v>
      </c>
      <c r="D4676" s="79" t="str">
        <f t="shared" si="5"/>
        <v xml:space="preserve"> </v>
      </c>
      <c r="E4676" s="79" t="str">
        <f t="shared" si="6"/>
        <v xml:space="preserve"> </v>
      </c>
    </row>
    <row r="4677" spans="1:5" ht="12.5">
      <c r="A4677" s="81" t="str">
        <f t="shared" si="0"/>
        <v xml:space="preserve"> </v>
      </c>
      <c r="B4677" s="81" t="str">
        <f t="shared" si="1"/>
        <v xml:space="preserve"> </v>
      </c>
      <c r="C4677" s="79" t="str">
        <f t="shared" si="7"/>
        <v xml:space="preserve"> </v>
      </c>
      <c r="D4677" s="79" t="str">
        <f t="shared" si="5"/>
        <v xml:space="preserve"> </v>
      </c>
      <c r="E4677" s="79" t="str">
        <f t="shared" si="6"/>
        <v xml:space="preserve"> </v>
      </c>
    </row>
    <row r="4678" spans="1:5" ht="12.5">
      <c r="A4678" s="81" t="str">
        <f t="shared" si="0"/>
        <v xml:space="preserve"> </v>
      </c>
      <c r="B4678" s="81" t="str">
        <f t="shared" si="1"/>
        <v xml:space="preserve"> </v>
      </c>
      <c r="C4678" s="79" t="str">
        <f t="shared" si="7"/>
        <v xml:space="preserve"> </v>
      </c>
      <c r="D4678" s="79" t="str">
        <f t="shared" si="5"/>
        <v xml:space="preserve"> </v>
      </c>
      <c r="E4678" s="79" t="str">
        <f t="shared" si="6"/>
        <v xml:space="preserve"> </v>
      </c>
    </row>
    <row r="4679" spans="1:5" ht="12.5">
      <c r="A4679" s="81" t="str">
        <f t="shared" si="0"/>
        <v xml:space="preserve"> </v>
      </c>
      <c r="B4679" s="81" t="str">
        <f t="shared" si="1"/>
        <v xml:space="preserve"> </v>
      </c>
      <c r="C4679" s="79" t="str">
        <f t="shared" si="7"/>
        <v xml:space="preserve"> </v>
      </c>
      <c r="D4679" s="79" t="str">
        <f t="shared" si="5"/>
        <v xml:space="preserve"> </v>
      </c>
      <c r="E4679" s="79" t="str">
        <f t="shared" si="6"/>
        <v xml:space="preserve"> </v>
      </c>
    </row>
    <row r="4680" spans="1:5" ht="12.5">
      <c r="A4680" s="81" t="str">
        <f t="shared" si="0"/>
        <v xml:space="preserve"> </v>
      </c>
      <c r="B4680" s="81" t="str">
        <f t="shared" si="1"/>
        <v xml:space="preserve"> </v>
      </c>
      <c r="C4680" s="79" t="str">
        <f t="shared" si="7"/>
        <v xml:space="preserve"> </v>
      </c>
      <c r="D4680" s="79" t="str">
        <f t="shared" si="5"/>
        <v xml:space="preserve"> </v>
      </c>
      <c r="E4680" s="79" t="str">
        <f t="shared" si="6"/>
        <v xml:space="preserve"> </v>
      </c>
    </row>
    <row r="4681" spans="1:5" ht="12.5">
      <c r="A4681" s="81" t="str">
        <f t="shared" si="0"/>
        <v xml:space="preserve"> </v>
      </c>
      <c r="B4681" s="81" t="str">
        <f t="shared" si="1"/>
        <v xml:space="preserve"> </v>
      </c>
      <c r="C4681" s="79" t="str">
        <f t="shared" si="7"/>
        <v xml:space="preserve"> </v>
      </c>
      <c r="D4681" s="79" t="str">
        <f t="shared" si="5"/>
        <v xml:space="preserve"> </v>
      </c>
      <c r="E4681" s="79" t="str">
        <f t="shared" si="6"/>
        <v xml:space="preserve"> </v>
      </c>
    </row>
    <row r="4682" spans="1:5" ht="12.5">
      <c r="A4682" s="81" t="str">
        <f t="shared" si="0"/>
        <v xml:space="preserve"> </v>
      </c>
      <c r="B4682" s="81" t="str">
        <f t="shared" si="1"/>
        <v xml:space="preserve"> </v>
      </c>
      <c r="C4682" s="79" t="str">
        <f t="shared" si="7"/>
        <v xml:space="preserve"> </v>
      </c>
      <c r="D4682" s="79" t="str">
        <f t="shared" si="5"/>
        <v xml:space="preserve"> </v>
      </c>
      <c r="E4682" s="79" t="str">
        <f t="shared" si="6"/>
        <v xml:space="preserve"> </v>
      </c>
    </row>
    <row r="4683" spans="1:5" ht="12.5">
      <c r="A4683" s="81" t="str">
        <f t="shared" si="0"/>
        <v xml:space="preserve"> </v>
      </c>
      <c r="B4683" s="81" t="str">
        <f t="shared" si="1"/>
        <v xml:space="preserve"> </v>
      </c>
      <c r="C4683" s="79" t="str">
        <f t="shared" si="7"/>
        <v xml:space="preserve"> </v>
      </c>
      <c r="D4683" s="79" t="str">
        <f t="shared" si="5"/>
        <v xml:space="preserve"> </v>
      </c>
      <c r="E4683" s="79" t="str">
        <f t="shared" si="6"/>
        <v xml:space="preserve"> </v>
      </c>
    </row>
    <row r="4684" spans="1:5" ht="12.5">
      <c r="A4684" s="81" t="str">
        <f t="shared" si="0"/>
        <v xml:space="preserve"> </v>
      </c>
      <c r="B4684" s="81" t="str">
        <f t="shared" si="1"/>
        <v xml:space="preserve"> </v>
      </c>
      <c r="C4684" s="79" t="str">
        <f t="shared" si="7"/>
        <v xml:space="preserve"> </v>
      </c>
      <c r="D4684" s="79" t="str">
        <f t="shared" si="5"/>
        <v xml:space="preserve"> </v>
      </c>
      <c r="E4684" s="79" t="str">
        <f t="shared" si="6"/>
        <v xml:space="preserve"> </v>
      </c>
    </row>
    <row r="4685" spans="1:5" ht="12.5">
      <c r="A4685" s="81" t="str">
        <f t="shared" si="0"/>
        <v xml:space="preserve"> </v>
      </c>
      <c r="B4685" s="81" t="str">
        <f t="shared" si="1"/>
        <v xml:space="preserve"> </v>
      </c>
      <c r="C4685" s="79" t="str">
        <f t="shared" si="7"/>
        <v xml:space="preserve"> </v>
      </c>
      <c r="D4685" s="79" t="str">
        <f t="shared" si="5"/>
        <v xml:space="preserve"> </v>
      </c>
      <c r="E4685" s="79" t="str">
        <f t="shared" si="6"/>
        <v xml:space="preserve"> </v>
      </c>
    </row>
    <row r="4686" spans="1:5" ht="12.5">
      <c r="A4686" s="81" t="str">
        <f t="shared" si="0"/>
        <v xml:space="preserve"> </v>
      </c>
      <c r="B4686" s="81" t="str">
        <f t="shared" si="1"/>
        <v xml:space="preserve"> </v>
      </c>
      <c r="C4686" s="79" t="str">
        <f t="shared" si="7"/>
        <v xml:space="preserve"> </v>
      </c>
      <c r="D4686" s="79" t="str">
        <f t="shared" si="5"/>
        <v xml:space="preserve"> </v>
      </c>
      <c r="E4686" s="79" t="str">
        <f t="shared" si="6"/>
        <v xml:space="preserve"> </v>
      </c>
    </row>
    <row r="4687" spans="1:5" ht="12.5">
      <c r="A4687" s="81" t="str">
        <f t="shared" si="0"/>
        <v xml:space="preserve"> </v>
      </c>
      <c r="B4687" s="81" t="str">
        <f t="shared" si="1"/>
        <v xml:space="preserve"> </v>
      </c>
      <c r="C4687" s="79" t="str">
        <f t="shared" si="7"/>
        <v xml:space="preserve"> </v>
      </c>
      <c r="D4687" s="79" t="str">
        <f t="shared" si="5"/>
        <v xml:space="preserve"> </v>
      </c>
      <c r="E4687" s="79" t="str">
        <f t="shared" si="6"/>
        <v xml:space="preserve"> </v>
      </c>
    </row>
    <row r="4688" spans="1:5" ht="12.5">
      <c r="A4688" s="81" t="str">
        <f t="shared" si="0"/>
        <v xml:space="preserve"> </v>
      </c>
      <c r="B4688" s="81" t="str">
        <f t="shared" si="1"/>
        <v xml:space="preserve"> </v>
      </c>
      <c r="C4688" s="79" t="str">
        <f t="shared" si="7"/>
        <v xml:space="preserve"> </v>
      </c>
      <c r="D4688" s="79" t="str">
        <f t="shared" si="5"/>
        <v xml:space="preserve"> </v>
      </c>
      <c r="E4688" s="79" t="str">
        <f t="shared" si="6"/>
        <v xml:space="preserve"> </v>
      </c>
    </row>
    <row r="4689" spans="1:5" ht="12.5">
      <c r="A4689" s="81" t="str">
        <f t="shared" si="0"/>
        <v xml:space="preserve"> </v>
      </c>
      <c r="B4689" s="81" t="str">
        <f t="shared" si="1"/>
        <v xml:space="preserve"> </v>
      </c>
      <c r="C4689" s="79" t="str">
        <f t="shared" si="7"/>
        <v xml:space="preserve"> </v>
      </c>
      <c r="D4689" s="79" t="str">
        <f t="shared" si="5"/>
        <v xml:space="preserve"> </v>
      </c>
      <c r="E4689" s="79" t="str">
        <f t="shared" si="6"/>
        <v xml:space="preserve"> </v>
      </c>
    </row>
    <row r="4690" spans="1:5" ht="12.5">
      <c r="A4690" s="81" t="str">
        <f t="shared" si="0"/>
        <v xml:space="preserve"> </v>
      </c>
      <c r="B4690" s="81" t="str">
        <f t="shared" si="1"/>
        <v xml:space="preserve"> </v>
      </c>
      <c r="C4690" s="79" t="str">
        <f t="shared" si="7"/>
        <v xml:space="preserve"> </v>
      </c>
      <c r="D4690" s="79" t="str">
        <f t="shared" si="5"/>
        <v xml:space="preserve"> </v>
      </c>
      <c r="E4690" s="79" t="str">
        <f t="shared" si="6"/>
        <v xml:space="preserve"> </v>
      </c>
    </row>
    <row r="4691" spans="1:5" ht="12.5">
      <c r="A4691" s="81" t="str">
        <f t="shared" si="0"/>
        <v xml:space="preserve"> </v>
      </c>
      <c r="B4691" s="81" t="str">
        <f t="shared" si="1"/>
        <v xml:space="preserve"> </v>
      </c>
      <c r="C4691" s="79" t="str">
        <f t="shared" si="7"/>
        <v xml:space="preserve"> </v>
      </c>
      <c r="D4691" s="79" t="str">
        <f t="shared" si="5"/>
        <v xml:space="preserve"> </v>
      </c>
      <c r="E4691" s="79" t="str">
        <f t="shared" si="6"/>
        <v xml:space="preserve"> </v>
      </c>
    </row>
    <row r="4692" spans="1:5" ht="12.5">
      <c r="A4692" s="81" t="str">
        <f t="shared" si="0"/>
        <v xml:space="preserve"> </v>
      </c>
      <c r="B4692" s="81" t="str">
        <f t="shared" si="1"/>
        <v xml:space="preserve"> </v>
      </c>
      <c r="C4692" s="79" t="str">
        <f t="shared" si="7"/>
        <v xml:space="preserve"> </v>
      </c>
      <c r="D4692" s="79" t="str">
        <f t="shared" si="5"/>
        <v xml:space="preserve"> </v>
      </c>
      <c r="E4692" s="79" t="str">
        <f t="shared" si="6"/>
        <v xml:space="preserve"> </v>
      </c>
    </row>
    <row r="4693" spans="1:5" ht="12.5">
      <c r="A4693" s="81" t="str">
        <f t="shared" si="0"/>
        <v xml:space="preserve"> </v>
      </c>
      <c r="B4693" s="81" t="str">
        <f t="shared" si="1"/>
        <v xml:space="preserve"> </v>
      </c>
      <c r="C4693" s="79" t="str">
        <f t="shared" si="7"/>
        <v xml:space="preserve"> </v>
      </c>
      <c r="D4693" s="79" t="str">
        <f t="shared" si="5"/>
        <v xml:space="preserve"> </v>
      </c>
      <c r="E4693" s="79" t="str">
        <f t="shared" si="6"/>
        <v xml:space="preserve"> </v>
      </c>
    </row>
    <row r="4694" spans="1:5" ht="12.5">
      <c r="A4694" s="81" t="str">
        <f t="shared" si="0"/>
        <v xml:space="preserve"> </v>
      </c>
      <c r="B4694" s="81" t="str">
        <f t="shared" si="1"/>
        <v xml:space="preserve"> </v>
      </c>
      <c r="C4694" s="79" t="str">
        <f t="shared" si="7"/>
        <v xml:space="preserve"> </v>
      </c>
      <c r="D4694" s="79" t="str">
        <f t="shared" si="5"/>
        <v xml:space="preserve"> </v>
      </c>
      <c r="E4694" s="79" t="str">
        <f t="shared" si="6"/>
        <v xml:space="preserve"> </v>
      </c>
    </row>
    <row r="4695" spans="1:5" ht="12.5">
      <c r="A4695" s="81" t="str">
        <f t="shared" si="0"/>
        <v xml:space="preserve"> </v>
      </c>
      <c r="B4695" s="81" t="str">
        <f t="shared" si="1"/>
        <v xml:space="preserve"> </v>
      </c>
      <c r="C4695" s="79" t="str">
        <f t="shared" si="7"/>
        <v xml:space="preserve"> </v>
      </c>
      <c r="D4695" s="79" t="str">
        <f t="shared" si="5"/>
        <v xml:space="preserve"> </v>
      </c>
      <c r="E4695" s="79" t="str">
        <f t="shared" si="6"/>
        <v xml:space="preserve"> </v>
      </c>
    </row>
    <row r="4696" spans="1:5" ht="12.5">
      <c r="A4696" s="81" t="str">
        <f t="shared" si="0"/>
        <v xml:space="preserve"> </v>
      </c>
      <c r="B4696" s="81" t="str">
        <f t="shared" si="1"/>
        <v xml:space="preserve"> </v>
      </c>
      <c r="C4696" s="79" t="str">
        <f t="shared" si="7"/>
        <v xml:space="preserve"> </v>
      </c>
      <c r="D4696" s="79" t="str">
        <f t="shared" si="5"/>
        <v xml:space="preserve"> </v>
      </c>
      <c r="E4696" s="79" t="str">
        <f t="shared" si="6"/>
        <v xml:space="preserve"> </v>
      </c>
    </row>
    <row r="4697" spans="1:5" ht="12.5">
      <c r="A4697" s="81" t="str">
        <f t="shared" si="0"/>
        <v xml:space="preserve"> </v>
      </c>
      <c r="B4697" s="81" t="str">
        <f t="shared" si="1"/>
        <v xml:space="preserve"> </v>
      </c>
      <c r="C4697" s="79" t="str">
        <f t="shared" si="7"/>
        <v xml:space="preserve"> </v>
      </c>
      <c r="D4697" s="79" t="str">
        <f t="shared" si="5"/>
        <v xml:space="preserve"> </v>
      </c>
      <c r="E4697" s="79" t="str">
        <f t="shared" si="6"/>
        <v xml:space="preserve"> </v>
      </c>
    </row>
    <row r="4698" spans="1:5" ht="12.5">
      <c r="A4698" s="81" t="str">
        <f t="shared" si="0"/>
        <v xml:space="preserve"> </v>
      </c>
      <c r="B4698" s="81" t="str">
        <f t="shared" si="1"/>
        <v xml:space="preserve"> </v>
      </c>
      <c r="C4698" s="79" t="str">
        <f t="shared" si="7"/>
        <v xml:space="preserve"> </v>
      </c>
      <c r="D4698" s="79" t="str">
        <f t="shared" si="5"/>
        <v xml:space="preserve"> </v>
      </c>
      <c r="E4698" s="79" t="str">
        <f t="shared" si="6"/>
        <v xml:space="preserve"> </v>
      </c>
    </row>
    <row r="4699" spans="1:5" ht="12.5">
      <c r="A4699" s="81" t="str">
        <f t="shared" si="0"/>
        <v xml:space="preserve"> </v>
      </c>
      <c r="B4699" s="81" t="str">
        <f t="shared" si="1"/>
        <v xml:space="preserve"> </v>
      </c>
      <c r="C4699" s="79" t="str">
        <f t="shared" si="7"/>
        <v xml:space="preserve"> </v>
      </c>
      <c r="D4699" s="79" t="str">
        <f t="shared" si="5"/>
        <v xml:space="preserve"> </v>
      </c>
      <c r="E4699" s="79" t="str">
        <f t="shared" si="6"/>
        <v xml:space="preserve"> </v>
      </c>
    </row>
    <row r="4700" spans="1:5" ht="12.5">
      <c r="A4700" s="81" t="str">
        <f t="shared" si="0"/>
        <v xml:space="preserve"> </v>
      </c>
      <c r="B4700" s="81" t="str">
        <f t="shared" si="1"/>
        <v xml:space="preserve"> </v>
      </c>
      <c r="C4700" s="79" t="str">
        <f t="shared" si="7"/>
        <v xml:space="preserve"> </v>
      </c>
      <c r="D4700" s="79" t="str">
        <f t="shared" si="5"/>
        <v xml:space="preserve"> </v>
      </c>
      <c r="E4700" s="79" t="str">
        <f t="shared" si="6"/>
        <v xml:space="preserve"> </v>
      </c>
    </row>
    <row r="4701" spans="1:5" ht="12.5">
      <c r="A4701" s="81" t="str">
        <f t="shared" si="0"/>
        <v xml:space="preserve"> </v>
      </c>
      <c r="B4701" s="81" t="str">
        <f t="shared" si="1"/>
        <v xml:space="preserve"> </v>
      </c>
      <c r="C4701" s="79" t="str">
        <f t="shared" si="7"/>
        <v xml:space="preserve"> </v>
      </c>
      <c r="D4701" s="79" t="str">
        <f t="shared" si="5"/>
        <v xml:space="preserve"> </v>
      </c>
      <c r="E4701" s="79" t="str">
        <f t="shared" si="6"/>
        <v xml:space="preserve"> </v>
      </c>
    </row>
    <row r="4702" spans="1:5" ht="12.5">
      <c r="A4702" s="81" t="str">
        <f t="shared" si="0"/>
        <v xml:space="preserve"> </v>
      </c>
      <c r="B4702" s="81" t="str">
        <f t="shared" si="1"/>
        <v xml:space="preserve"> </v>
      </c>
      <c r="C4702" s="79" t="str">
        <f t="shared" si="7"/>
        <v xml:space="preserve"> </v>
      </c>
      <c r="D4702" s="79" t="str">
        <f t="shared" si="5"/>
        <v xml:space="preserve"> </v>
      </c>
      <c r="E4702" s="79" t="str">
        <f t="shared" si="6"/>
        <v xml:space="preserve"> </v>
      </c>
    </row>
    <row r="4703" spans="1:5" ht="12.5">
      <c r="A4703" s="81" t="str">
        <f t="shared" si="0"/>
        <v xml:space="preserve"> </v>
      </c>
      <c r="B4703" s="81" t="str">
        <f t="shared" si="1"/>
        <v xml:space="preserve"> </v>
      </c>
      <c r="C4703" s="79" t="str">
        <f t="shared" si="7"/>
        <v xml:space="preserve"> </v>
      </c>
      <c r="D4703" s="79" t="str">
        <f t="shared" si="5"/>
        <v xml:space="preserve"> </v>
      </c>
      <c r="E4703" s="79" t="str">
        <f t="shared" si="6"/>
        <v xml:space="preserve"> </v>
      </c>
    </row>
    <row r="4704" spans="1:5" ht="12.5">
      <c r="A4704" s="81" t="str">
        <f t="shared" si="0"/>
        <v xml:space="preserve"> </v>
      </c>
      <c r="B4704" s="81" t="str">
        <f t="shared" si="1"/>
        <v xml:space="preserve"> </v>
      </c>
      <c r="C4704" s="79" t="str">
        <f t="shared" si="7"/>
        <v xml:space="preserve"> </v>
      </c>
      <c r="D4704" s="79" t="str">
        <f t="shared" si="5"/>
        <v xml:space="preserve"> </v>
      </c>
      <c r="E4704" s="79" t="str">
        <f t="shared" si="6"/>
        <v xml:space="preserve"> </v>
      </c>
    </row>
    <row r="4705" spans="1:5" ht="12.5">
      <c r="A4705" s="81" t="str">
        <f t="shared" si="0"/>
        <v xml:space="preserve"> </v>
      </c>
      <c r="B4705" s="81" t="str">
        <f t="shared" si="1"/>
        <v xml:space="preserve"> </v>
      </c>
      <c r="C4705" s="79" t="str">
        <f t="shared" si="7"/>
        <v xml:space="preserve"> </v>
      </c>
      <c r="D4705" s="79" t="str">
        <f t="shared" si="5"/>
        <v xml:space="preserve"> </v>
      </c>
      <c r="E4705" s="79" t="str">
        <f t="shared" si="6"/>
        <v xml:space="preserve"> </v>
      </c>
    </row>
    <row r="4706" spans="1:5" ht="12.5">
      <c r="A4706" s="81" t="str">
        <f t="shared" si="0"/>
        <v xml:space="preserve"> </v>
      </c>
      <c r="B4706" s="81" t="str">
        <f t="shared" si="1"/>
        <v xml:space="preserve"> </v>
      </c>
      <c r="C4706" s="79" t="str">
        <f t="shared" si="7"/>
        <v xml:space="preserve"> </v>
      </c>
      <c r="D4706" s="79" t="str">
        <f t="shared" si="5"/>
        <v xml:space="preserve"> </v>
      </c>
      <c r="E4706" s="79" t="str">
        <f t="shared" si="6"/>
        <v xml:space="preserve"> </v>
      </c>
    </row>
    <row r="4707" spans="1:5" ht="12.5">
      <c r="A4707" s="81" t="str">
        <f t="shared" si="0"/>
        <v xml:space="preserve"> </v>
      </c>
      <c r="B4707" s="81" t="str">
        <f t="shared" si="1"/>
        <v xml:space="preserve"> </v>
      </c>
      <c r="C4707" s="79" t="str">
        <f t="shared" si="7"/>
        <v xml:space="preserve"> </v>
      </c>
      <c r="D4707" s="79" t="str">
        <f t="shared" si="5"/>
        <v xml:space="preserve"> </v>
      </c>
      <c r="E4707" s="79" t="str">
        <f t="shared" si="6"/>
        <v xml:space="preserve"> </v>
      </c>
    </row>
    <row r="4708" spans="1:5" ht="12.5">
      <c r="A4708" s="81" t="str">
        <f t="shared" si="0"/>
        <v xml:space="preserve"> </v>
      </c>
      <c r="B4708" s="81" t="str">
        <f t="shared" si="1"/>
        <v xml:space="preserve"> </v>
      </c>
      <c r="C4708" s="79" t="str">
        <f t="shared" si="7"/>
        <v xml:space="preserve"> </v>
      </c>
      <c r="D4708" s="79" t="str">
        <f t="shared" si="5"/>
        <v xml:space="preserve"> </v>
      </c>
      <c r="E4708" s="79" t="str">
        <f t="shared" si="6"/>
        <v xml:space="preserve"> </v>
      </c>
    </row>
    <row r="4709" spans="1:5" ht="12.5">
      <c r="A4709" s="81" t="str">
        <f t="shared" si="0"/>
        <v xml:space="preserve"> </v>
      </c>
      <c r="B4709" s="81" t="str">
        <f t="shared" si="1"/>
        <v xml:space="preserve"> </v>
      </c>
      <c r="C4709" s="79" t="str">
        <f t="shared" si="7"/>
        <v xml:space="preserve"> </v>
      </c>
      <c r="D4709" s="79" t="str">
        <f t="shared" si="5"/>
        <v xml:space="preserve"> </v>
      </c>
      <c r="E4709" s="79" t="str">
        <f t="shared" si="6"/>
        <v xml:space="preserve"> </v>
      </c>
    </row>
    <row r="4710" spans="1:5" ht="12.5">
      <c r="A4710" s="81" t="str">
        <f t="shared" si="0"/>
        <v xml:space="preserve"> </v>
      </c>
      <c r="B4710" s="81" t="str">
        <f t="shared" si="1"/>
        <v xml:space="preserve"> </v>
      </c>
      <c r="C4710" s="79" t="str">
        <f t="shared" si="7"/>
        <v xml:space="preserve"> </v>
      </c>
      <c r="D4710" s="79" t="str">
        <f t="shared" si="5"/>
        <v xml:space="preserve"> </v>
      </c>
      <c r="E4710" s="79" t="str">
        <f t="shared" si="6"/>
        <v xml:space="preserve"> </v>
      </c>
    </row>
    <row r="4711" spans="1:5" ht="12.5">
      <c r="A4711" s="81" t="str">
        <f t="shared" si="0"/>
        <v xml:space="preserve"> </v>
      </c>
      <c r="B4711" s="81" t="str">
        <f t="shared" si="1"/>
        <v xml:space="preserve"> </v>
      </c>
      <c r="C4711" s="79" t="str">
        <f t="shared" si="7"/>
        <v xml:space="preserve"> </v>
      </c>
      <c r="D4711" s="79" t="str">
        <f t="shared" si="5"/>
        <v xml:space="preserve"> </v>
      </c>
      <c r="E4711" s="79" t="str">
        <f t="shared" si="6"/>
        <v xml:space="preserve"> </v>
      </c>
    </row>
    <row r="4712" spans="1:5" ht="12.5">
      <c r="A4712" s="81" t="str">
        <f t="shared" si="0"/>
        <v xml:space="preserve"> </v>
      </c>
      <c r="B4712" s="81" t="str">
        <f t="shared" si="1"/>
        <v xml:space="preserve"> </v>
      </c>
      <c r="C4712" s="79" t="str">
        <f t="shared" si="7"/>
        <v xml:space="preserve"> </v>
      </c>
      <c r="D4712" s="79" t="str">
        <f t="shared" si="5"/>
        <v xml:space="preserve"> </v>
      </c>
      <c r="E4712" s="79" t="str">
        <f t="shared" si="6"/>
        <v xml:space="preserve"> </v>
      </c>
    </row>
    <row r="4713" spans="1:5" ht="12.5">
      <c r="A4713" s="81" t="str">
        <f t="shared" si="0"/>
        <v xml:space="preserve"> </v>
      </c>
      <c r="B4713" s="81" t="str">
        <f t="shared" si="1"/>
        <v xml:space="preserve"> </v>
      </c>
      <c r="C4713" s="79" t="str">
        <f t="shared" si="7"/>
        <v xml:space="preserve"> </v>
      </c>
      <c r="D4713" s="79" t="str">
        <f t="shared" si="5"/>
        <v xml:space="preserve"> </v>
      </c>
      <c r="E4713" s="79" t="str">
        <f t="shared" si="6"/>
        <v xml:space="preserve"> </v>
      </c>
    </row>
    <row r="4714" spans="1:5" ht="12.5">
      <c r="A4714" s="81" t="str">
        <f t="shared" si="0"/>
        <v xml:space="preserve"> </v>
      </c>
      <c r="B4714" s="81" t="str">
        <f t="shared" si="1"/>
        <v xml:space="preserve"> </v>
      </c>
      <c r="C4714" s="79" t="str">
        <f t="shared" si="7"/>
        <v xml:space="preserve"> </v>
      </c>
      <c r="D4714" s="79" t="str">
        <f t="shared" si="5"/>
        <v xml:space="preserve"> </v>
      </c>
      <c r="E4714" s="79" t="str">
        <f t="shared" si="6"/>
        <v xml:space="preserve"> </v>
      </c>
    </row>
    <row r="4715" spans="1:5" ht="12.5">
      <c r="A4715" s="81" t="str">
        <f t="shared" si="0"/>
        <v xml:space="preserve"> </v>
      </c>
      <c r="B4715" s="81" t="str">
        <f t="shared" si="1"/>
        <v xml:space="preserve"> </v>
      </c>
      <c r="C4715" s="79" t="str">
        <f t="shared" si="7"/>
        <v xml:space="preserve"> </v>
      </c>
      <c r="D4715" s="79" t="str">
        <f t="shared" si="5"/>
        <v xml:space="preserve"> </v>
      </c>
      <c r="E4715" s="79" t="str">
        <f t="shared" si="6"/>
        <v xml:space="preserve"> </v>
      </c>
    </row>
    <row r="4716" spans="1:5" ht="12.5">
      <c r="A4716" s="81" t="str">
        <f t="shared" si="0"/>
        <v xml:space="preserve"> </v>
      </c>
      <c r="B4716" s="81" t="str">
        <f t="shared" si="1"/>
        <v xml:space="preserve"> </v>
      </c>
      <c r="C4716" s="79" t="str">
        <f t="shared" si="7"/>
        <v xml:space="preserve"> </v>
      </c>
      <c r="D4716" s="79" t="str">
        <f t="shared" si="5"/>
        <v xml:space="preserve"> </v>
      </c>
      <c r="E4716" s="79" t="str">
        <f t="shared" si="6"/>
        <v xml:space="preserve"> </v>
      </c>
    </row>
    <row r="4717" spans="1:5" ht="12.5">
      <c r="A4717" s="81" t="str">
        <f t="shared" si="0"/>
        <v xml:space="preserve"> </v>
      </c>
      <c r="B4717" s="81" t="str">
        <f t="shared" si="1"/>
        <v xml:space="preserve"> </v>
      </c>
      <c r="C4717" s="79" t="str">
        <f t="shared" si="7"/>
        <v xml:space="preserve"> </v>
      </c>
      <c r="D4717" s="79" t="str">
        <f t="shared" si="5"/>
        <v xml:space="preserve"> </v>
      </c>
      <c r="E4717" s="79" t="str">
        <f t="shared" si="6"/>
        <v xml:space="preserve"> </v>
      </c>
    </row>
    <row r="4718" spans="1:5" ht="12.5">
      <c r="A4718" s="81" t="str">
        <f t="shared" si="0"/>
        <v xml:space="preserve"> </v>
      </c>
      <c r="B4718" s="81" t="str">
        <f t="shared" si="1"/>
        <v xml:space="preserve"> </v>
      </c>
      <c r="C4718" s="79" t="str">
        <f t="shared" si="7"/>
        <v xml:space="preserve"> </v>
      </c>
      <c r="D4718" s="79" t="str">
        <f t="shared" si="5"/>
        <v xml:space="preserve"> </v>
      </c>
      <c r="E4718" s="79" t="str">
        <f t="shared" si="6"/>
        <v xml:space="preserve"> </v>
      </c>
    </row>
    <row r="4719" spans="1:5" ht="12.5">
      <c r="A4719" s="81" t="str">
        <f t="shared" si="0"/>
        <v xml:space="preserve"> </v>
      </c>
      <c r="B4719" s="81" t="str">
        <f t="shared" si="1"/>
        <v xml:space="preserve"> </v>
      </c>
      <c r="C4719" s="79" t="str">
        <f t="shared" si="7"/>
        <v xml:space="preserve"> </v>
      </c>
      <c r="D4719" s="79" t="str">
        <f t="shared" si="5"/>
        <v xml:space="preserve"> </v>
      </c>
      <c r="E4719" s="79" t="str">
        <f t="shared" si="6"/>
        <v xml:space="preserve"> </v>
      </c>
    </row>
    <row r="4720" spans="1:5" ht="12.5">
      <c r="A4720" s="81" t="str">
        <f t="shared" si="0"/>
        <v xml:space="preserve"> </v>
      </c>
      <c r="B4720" s="81" t="str">
        <f t="shared" si="1"/>
        <v xml:space="preserve"> </v>
      </c>
      <c r="C4720" s="79" t="str">
        <f t="shared" si="7"/>
        <v xml:space="preserve"> </v>
      </c>
      <c r="D4720" s="79" t="str">
        <f t="shared" si="5"/>
        <v xml:space="preserve"> </v>
      </c>
      <c r="E4720" s="79" t="str">
        <f t="shared" si="6"/>
        <v xml:space="preserve"> </v>
      </c>
    </row>
    <row r="4721" spans="1:5" ht="12.5">
      <c r="A4721" s="81" t="str">
        <f t="shared" si="0"/>
        <v xml:space="preserve"> </v>
      </c>
      <c r="B4721" s="81" t="str">
        <f t="shared" si="1"/>
        <v xml:space="preserve"> </v>
      </c>
      <c r="C4721" s="79" t="str">
        <f t="shared" si="7"/>
        <v xml:space="preserve"> </v>
      </c>
      <c r="D4721" s="79" t="str">
        <f t="shared" si="5"/>
        <v xml:space="preserve"> </v>
      </c>
      <c r="E4721" s="79" t="str">
        <f t="shared" si="6"/>
        <v xml:space="preserve"> </v>
      </c>
    </row>
    <row r="4722" spans="1:5" ht="12.5">
      <c r="A4722" s="81" t="str">
        <f t="shared" si="0"/>
        <v xml:space="preserve"> </v>
      </c>
      <c r="B4722" s="81" t="str">
        <f t="shared" si="1"/>
        <v xml:space="preserve"> </v>
      </c>
      <c r="C4722" s="79" t="str">
        <f t="shared" si="7"/>
        <v xml:space="preserve"> </v>
      </c>
      <c r="D4722" s="79" t="str">
        <f t="shared" si="5"/>
        <v xml:space="preserve"> </v>
      </c>
      <c r="E4722" s="79" t="str">
        <f t="shared" si="6"/>
        <v xml:space="preserve"> </v>
      </c>
    </row>
    <row r="4723" spans="1:5" ht="12.5">
      <c r="A4723" s="81" t="str">
        <f t="shared" si="0"/>
        <v xml:space="preserve"> </v>
      </c>
      <c r="B4723" s="81" t="str">
        <f t="shared" si="1"/>
        <v xml:space="preserve"> </v>
      </c>
      <c r="C4723" s="79" t="str">
        <f t="shared" si="7"/>
        <v xml:space="preserve"> </v>
      </c>
      <c r="D4723" s="79" t="str">
        <f t="shared" si="5"/>
        <v xml:space="preserve"> </v>
      </c>
      <c r="E4723" s="79" t="str">
        <f t="shared" si="6"/>
        <v xml:space="preserve"> </v>
      </c>
    </row>
    <row r="4724" spans="1:5" ht="12.5">
      <c r="A4724" s="81" t="str">
        <f t="shared" si="0"/>
        <v xml:space="preserve"> </v>
      </c>
      <c r="B4724" s="81" t="str">
        <f t="shared" si="1"/>
        <v xml:space="preserve"> </v>
      </c>
      <c r="C4724" s="79" t="str">
        <f t="shared" si="7"/>
        <v xml:space="preserve"> </v>
      </c>
      <c r="D4724" s="79" t="str">
        <f t="shared" si="5"/>
        <v xml:space="preserve"> </v>
      </c>
      <c r="E4724" s="79" t="str">
        <f t="shared" si="6"/>
        <v xml:space="preserve"> </v>
      </c>
    </row>
    <row r="4725" spans="1:5" ht="12.5">
      <c r="A4725" s="81" t="str">
        <f t="shared" si="0"/>
        <v xml:space="preserve"> </v>
      </c>
      <c r="B4725" s="81" t="str">
        <f t="shared" si="1"/>
        <v xml:space="preserve"> </v>
      </c>
      <c r="C4725" s="79" t="str">
        <f t="shared" si="7"/>
        <v xml:space="preserve"> </v>
      </c>
      <c r="D4725" s="79" t="str">
        <f t="shared" si="5"/>
        <v xml:space="preserve"> </v>
      </c>
      <c r="E4725" s="79" t="str">
        <f t="shared" si="6"/>
        <v xml:space="preserve"> </v>
      </c>
    </row>
    <row r="4726" spans="1:5" ht="12.5">
      <c r="A4726" s="81" t="str">
        <f t="shared" si="0"/>
        <v xml:space="preserve"> </v>
      </c>
      <c r="B4726" s="81" t="str">
        <f t="shared" si="1"/>
        <v xml:space="preserve"> </v>
      </c>
      <c r="C4726" s="79" t="str">
        <f t="shared" si="7"/>
        <v xml:space="preserve"> </v>
      </c>
      <c r="D4726" s="79" t="str">
        <f t="shared" si="5"/>
        <v xml:space="preserve"> </v>
      </c>
      <c r="E4726" s="79" t="str">
        <f t="shared" si="6"/>
        <v xml:space="preserve"> </v>
      </c>
    </row>
    <row r="4727" spans="1:5" ht="12.5">
      <c r="A4727" s="81" t="str">
        <f t="shared" si="0"/>
        <v xml:space="preserve"> </v>
      </c>
      <c r="B4727" s="81" t="str">
        <f t="shared" si="1"/>
        <v xml:space="preserve"> </v>
      </c>
      <c r="C4727" s="79" t="str">
        <f t="shared" si="7"/>
        <v xml:space="preserve"> </v>
      </c>
      <c r="D4727" s="79" t="str">
        <f t="shared" si="5"/>
        <v xml:space="preserve"> </v>
      </c>
      <c r="E4727" s="79" t="str">
        <f t="shared" si="6"/>
        <v xml:space="preserve"> </v>
      </c>
    </row>
    <row r="4728" spans="1:5" ht="12.5">
      <c r="A4728" s="81" t="str">
        <f t="shared" si="0"/>
        <v xml:space="preserve"> </v>
      </c>
      <c r="B4728" s="81" t="str">
        <f t="shared" si="1"/>
        <v xml:space="preserve"> </v>
      </c>
      <c r="C4728" s="79" t="str">
        <f t="shared" si="7"/>
        <v xml:space="preserve"> </v>
      </c>
      <c r="D4728" s="79" t="str">
        <f t="shared" si="5"/>
        <v xml:space="preserve"> </v>
      </c>
      <c r="E4728" s="79" t="str">
        <f t="shared" si="6"/>
        <v xml:space="preserve"> </v>
      </c>
    </row>
    <row r="4729" spans="1:5" ht="12.5">
      <c r="A4729" s="81" t="str">
        <f t="shared" si="0"/>
        <v xml:space="preserve"> </v>
      </c>
      <c r="B4729" s="81" t="str">
        <f t="shared" si="1"/>
        <v xml:space="preserve"> </v>
      </c>
      <c r="C4729" s="79" t="str">
        <f t="shared" si="7"/>
        <v xml:space="preserve"> </v>
      </c>
      <c r="D4729" s="79" t="str">
        <f t="shared" si="5"/>
        <v xml:space="preserve"> </v>
      </c>
      <c r="E4729" s="79" t="str">
        <f t="shared" si="6"/>
        <v xml:space="preserve"> </v>
      </c>
    </row>
    <row r="4730" spans="1:5" ht="12.5">
      <c r="A4730" s="81" t="str">
        <f t="shared" si="0"/>
        <v xml:space="preserve"> </v>
      </c>
      <c r="B4730" s="81" t="str">
        <f t="shared" si="1"/>
        <v xml:space="preserve"> </v>
      </c>
      <c r="C4730" s="79" t="str">
        <f t="shared" si="7"/>
        <v xml:space="preserve"> </v>
      </c>
      <c r="D4730" s="79" t="str">
        <f t="shared" si="5"/>
        <v xml:space="preserve"> </v>
      </c>
      <c r="E4730" s="79" t="str">
        <f t="shared" si="6"/>
        <v xml:space="preserve"> </v>
      </c>
    </row>
    <row r="4731" spans="1:5" ht="12.5">
      <c r="A4731" s="81" t="str">
        <f t="shared" si="0"/>
        <v xml:space="preserve"> </v>
      </c>
      <c r="B4731" s="81" t="str">
        <f t="shared" si="1"/>
        <v xml:space="preserve"> </v>
      </c>
      <c r="C4731" s="79" t="str">
        <f t="shared" si="7"/>
        <v xml:space="preserve"> </v>
      </c>
      <c r="D4731" s="79" t="str">
        <f t="shared" si="5"/>
        <v xml:space="preserve"> </v>
      </c>
      <c r="E4731" s="79" t="str">
        <f t="shared" si="6"/>
        <v xml:space="preserve"> </v>
      </c>
    </row>
    <row r="4732" spans="1:5" ht="12.5">
      <c r="A4732" s="81" t="str">
        <f t="shared" si="0"/>
        <v xml:space="preserve"> </v>
      </c>
      <c r="B4732" s="81" t="str">
        <f t="shared" si="1"/>
        <v xml:space="preserve"> </v>
      </c>
      <c r="C4732" s="79" t="str">
        <f t="shared" si="7"/>
        <v xml:space="preserve"> </v>
      </c>
      <c r="D4732" s="79" t="str">
        <f t="shared" si="5"/>
        <v xml:space="preserve"> </v>
      </c>
      <c r="E4732" s="79" t="str">
        <f t="shared" si="6"/>
        <v xml:space="preserve"> </v>
      </c>
    </row>
    <row r="4733" spans="1:5" ht="12.5">
      <c r="A4733" s="81" t="str">
        <f t="shared" si="0"/>
        <v xml:space="preserve"> </v>
      </c>
      <c r="B4733" s="81" t="str">
        <f t="shared" si="1"/>
        <v xml:space="preserve"> </v>
      </c>
      <c r="C4733" s="79" t="str">
        <f t="shared" si="7"/>
        <v xml:space="preserve"> </v>
      </c>
      <c r="D4733" s="79" t="str">
        <f t="shared" si="5"/>
        <v xml:space="preserve"> </v>
      </c>
      <c r="E4733" s="79" t="str">
        <f t="shared" si="6"/>
        <v xml:space="preserve"> </v>
      </c>
    </row>
    <row r="4734" spans="1:5" ht="12.5">
      <c r="A4734" s="81" t="str">
        <f t="shared" si="0"/>
        <v xml:space="preserve"> </v>
      </c>
      <c r="B4734" s="81" t="str">
        <f t="shared" si="1"/>
        <v xml:space="preserve"> </v>
      </c>
      <c r="C4734" s="79" t="str">
        <f t="shared" si="7"/>
        <v xml:space="preserve"> </v>
      </c>
      <c r="D4734" s="79" t="str">
        <f t="shared" si="5"/>
        <v xml:space="preserve"> </v>
      </c>
      <c r="E4734" s="79" t="str">
        <f t="shared" si="6"/>
        <v xml:space="preserve"> </v>
      </c>
    </row>
    <row r="4735" spans="1:5" ht="12.5">
      <c r="A4735" s="81" t="str">
        <f t="shared" si="0"/>
        <v xml:space="preserve"> </v>
      </c>
      <c r="B4735" s="81" t="str">
        <f t="shared" si="1"/>
        <v xml:space="preserve"> </v>
      </c>
      <c r="C4735" s="79" t="str">
        <f t="shared" si="7"/>
        <v xml:space="preserve"> </v>
      </c>
      <c r="D4735" s="79" t="str">
        <f t="shared" si="5"/>
        <v xml:space="preserve"> </v>
      </c>
      <c r="E4735" s="79" t="str">
        <f t="shared" si="6"/>
        <v xml:space="preserve"> </v>
      </c>
    </row>
    <row r="4736" spans="1:5" ht="12.5">
      <c r="A4736" s="81" t="str">
        <f t="shared" si="0"/>
        <v xml:space="preserve"> </v>
      </c>
      <c r="B4736" s="81" t="str">
        <f t="shared" si="1"/>
        <v xml:space="preserve"> </v>
      </c>
      <c r="C4736" s="79" t="str">
        <f t="shared" si="7"/>
        <v xml:space="preserve"> </v>
      </c>
      <c r="D4736" s="79" t="str">
        <f t="shared" si="5"/>
        <v xml:space="preserve"> </v>
      </c>
      <c r="E4736" s="79" t="str">
        <f t="shared" si="6"/>
        <v xml:space="preserve"> </v>
      </c>
    </row>
    <row r="4737" spans="1:5" ht="12.5">
      <c r="A4737" s="81" t="str">
        <f t="shared" si="0"/>
        <v xml:space="preserve"> </v>
      </c>
      <c r="B4737" s="81" t="str">
        <f t="shared" si="1"/>
        <v xml:space="preserve"> </v>
      </c>
      <c r="C4737" s="79" t="str">
        <f t="shared" si="7"/>
        <v xml:space="preserve"> </v>
      </c>
      <c r="D4737" s="79" t="str">
        <f t="shared" si="5"/>
        <v xml:space="preserve"> </v>
      </c>
      <c r="E4737" s="79" t="str">
        <f t="shared" si="6"/>
        <v xml:space="preserve"> </v>
      </c>
    </row>
    <row r="4738" spans="1:5" ht="12.5">
      <c r="A4738" s="81" t="str">
        <f t="shared" si="0"/>
        <v xml:space="preserve"> </v>
      </c>
      <c r="B4738" s="81" t="str">
        <f t="shared" si="1"/>
        <v xml:space="preserve"> </v>
      </c>
      <c r="C4738" s="79" t="str">
        <f t="shared" si="7"/>
        <v xml:space="preserve"> </v>
      </c>
      <c r="D4738" s="79" t="str">
        <f t="shared" si="5"/>
        <v xml:space="preserve"> </v>
      </c>
      <c r="E4738" s="79" t="str">
        <f t="shared" si="6"/>
        <v xml:space="preserve"> </v>
      </c>
    </row>
    <row r="4739" spans="1:5" ht="12.5">
      <c r="A4739" s="81" t="str">
        <f t="shared" si="0"/>
        <v xml:space="preserve"> </v>
      </c>
      <c r="B4739" s="81" t="str">
        <f t="shared" si="1"/>
        <v xml:space="preserve"> </v>
      </c>
      <c r="C4739" s="79" t="str">
        <f t="shared" si="7"/>
        <v xml:space="preserve"> </v>
      </c>
      <c r="D4739" s="79" t="str">
        <f t="shared" si="5"/>
        <v xml:space="preserve"> </v>
      </c>
      <c r="E4739" s="79" t="str">
        <f t="shared" si="6"/>
        <v xml:space="preserve"> </v>
      </c>
    </row>
    <row r="4740" spans="1:5" ht="12.5">
      <c r="A4740" s="81" t="str">
        <f t="shared" si="0"/>
        <v xml:space="preserve"> </v>
      </c>
      <c r="B4740" s="81" t="str">
        <f t="shared" si="1"/>
        <v xml:space="preserve"> </v>
      </c>
      <c r="C4740" s="79" t="str">
        <f t="shared" si="7"/>
        <v xml:space="preserve"> </v>
      </c>
      <c r="D4740" s="79" t="str">
        <f t="shared" si="5"/>
        <v xml:space="preserve"> </v>
      </c>
      <c r="E4740" s="79" t="str">
        <f t="shared" si="6"/>
        <v xml:space="preserve"> </v>
      </c>
    </row>
    <row r="4741" spans="1:5" ht="12.5">
      <c r="A4741" s="81" t="str">
        <f t="shared" si="0"/>
        <v xml:space="preserve"> </v>
      </c>
      <c r="B4741" s="81" t="str">
        <f t="shared" si="1"/>
        <v xml:space="preserve"> </v>
      </c>
      <c r="C4741" s="79" t="str">
        <f t="shared" si="7"/>
        <v xml:space="preserve"> </v>
      </c>
      <c r="D4741" s="79" t="str">
        <f t="shared" si="5"/>
        <v xml:space="preserve"> </v>
      </c>
      <c r="E4741" s="79" t="str">
        <f t="shared" si="6"/>
        <v xml:space="preserve"> </v>
      </c>
    </row>
    <row r="4742" spans="1:5" ht="12.5">
      <c r="A4742" s="81" t="str">
        <f t="shared" si="0"/>
        <v xml:space="preserve"> </v>
      </c>
      <c r="B4742" s="81" t="str">
        <f t="shared" si="1"/>
        <v xml:space="preserve"> </v>
      </c>
      <c r="C4742" s="79" t="str">
        <f t="shared" si="7"/>
        <v xml:space="preserve"> </v>
      </c>
      <c r="D4742" s="79" t="str">
        <f t="shared" si="5"/>
        <v xml:space="preserve"> </v>
      </c>
      <c r="E4742" s="79" t="str">
        <f t="shared" si="6"/>
        <v xml:space="preserve"> </v>
      </c>
    </row>
    <row r="4743" spans="1:5" ht="12.5">
      <c r="A4743" s="81" t="str">
        <f t="shared" si="0"/>
        <v xml:space="preserve"> </v>
      </c>
      <c r="B4743" s="81" t="str">
        <f t="shared" si="1"/>
        <v xml:space="preserve"> </v>
      </c>
      <c r="C4743" s="79" t="str">
        <f t="shared" si="7"/>
        <v xml:space="preserve"> </v>
      </c>
      <c r="D4743" s="79" t="str">
        <f t="shared" si="5"/>
        <v xml:space="preserve"> </v>
      </c>
      <c r="E4743" s="79" t="str">
        <f t="shared" si="6"/>
        <v xml:space="preserve"> </v>
      </c>
    </row>
    <row r="4744" spans="1:5" ht="12.5">
      <c r="A4744" s="81" t="str">
        <f t="shared" si="0"/>
        <v xml:space="preserve"> </v>
      </c>
      <c r="B4744" s="81" t="str">
        <f t="shared" si="1"/>
        <v xml:space="preserve"> </v>
      </c>
      <c r="C4744" s="79" t="str">
        <f t="shared" si="7"/>
        <v xml:space="preserve"> </v>
      </c>
      <c r="D4744" s="79" t="str">
        <f t="shared" si="5"/>
        <v xml:space="preserve"> </v>
      </c>
      <c r="E4744" s="79" t="str">
        <f t="shared" si="6"/>
        <v xml:space="preserve"> </v>
      </c>
    </row>
    <row r="4745" spans="1:5" ht="12.5">
      <c r="A4745" s="81" t="str">
        <f t="shared" si="0"/>
        <v xml:space="preserve"> </v>
      </c>
      <c r="B4745" s="81" t="str">
        <f t="shared" si="1"/>
        <v xml:space="preserve"> </v>
      </c>
      <c r="C4745" s="79" t="str">
        <f t="shared" si="7"/>
        <v xml:space="preserve"> </v>
      </c>
      <c r="D4745" s="79" t="str">
        <f t="shared" si="5"/>
        <v xml:space="preserve"> </v>
      </c>
      <c r="E4745" s="79" t="str">
        <f t="shared" si="6"/>
        <v xml:space="preserve"> </v>
      </c>
    </row>
    <row r="4746" spans="1:5" ht="12.5">
      <c r="A4746" s="81" t="str">
        <f t="shared" si="0"/>
        <v xml:space="preserve"> </v>
      </c>
      <c r="B4746" s="81" t="str">
        <f t="shared" si="1"/>
        <v xml:space="preserve"> </v>
      </c>
      <c r="C4746" s="79" t="str">
        <f t="shared" si="7"/>
        <v xml:space="preserve"> </v>
      </c>
      <c r="D4746" s="79" t="str">
        <f t="shared" si="5"/>
        <v xml:space="preserve"> </v>
      </c>
      <c r="E4746" s="79" t="str">
        <f t="shared" si="6"/>
        <v xml:space="preserve"> </v>
      </c>
    </row>
    <row r="4747" spans="1:5" ht="12.5">
      <c r="A4747" s="81" t="str">
        <f t="shared" si="0"/>
        <v xml:space="preserve"> </v>
      </c>
      <c r="B4747" s="81" t="str">
        <f t="shared" si="1"/>
        <v xml:space="preserve"> </v>
      </c>
      <c r="C4747" s="79" t="str">
        <f t="shared" si="7"/>
        <v xml:space="preserve"> </v>
      </c>
      <c r="D4747" s="79" t="str">
        <f t="shared" si="5"/>
        <v xml:space="preserve"> </v>
      </c>
      <c r="E4747" s="79" t="str">
        <f t="shared" si="6"/>
        <v xml:space="preserve"> </v>
      </c>
    </row>
    <row r="4748" spans="1:5" ht="12.5">
      <c r="A4748" s="81" t="str">
        <f t="shared" si="0"/>
        <v xml:space="preserve"> </v>
      </c>
      <c r="B4748" s="81" t="str">
        <f t="shared" si="1"/>
        <v xml:space="preserve"> </v>
      </c>
      <c r="C4748" s="79" t="str">
        <f t="shared" si="7"/>
        <v xml:space="preserve"> </v>
      </c>
      <c r="D4748" s="79" t="str">
        <f t="shared" si="5"/>
        <v xml:space="preserve"> </v>
      </c>
      <c r="E4748" s="79" t="str">
        <f t="shared" si="6"/>
        <v xml:space="preserve"> </v>
      </c>
    </row>
    <row r="4749" spans="1:5" ht="12.5">
      <c r="A4749" s="81" t="str">
        <f t="shared" si="0"/>
        <v xml:space="preserve"> </v>
      </c>
      <c r="B4749" s="81" t="str">
        <f t="shared" si="1"/>
        <v xml:space="preserve"> </v>
      </c>
      <c r="C4749" s="79" t="str">
        <f t="shared" si="7"/>
        <v xml:space="preserve"> </v>
      </c>
      <c r="D4749" s="79" t="str">
        <f t="shared" si="5"/>
        <v xml:space="preserve"> </v>
      </c>
      <c r="E4749" s="79" t="str">
        <f t="shared" si="6"/>
        <v xml:space="preserve"> </v>
      </c>
    </row>
    <row r="4750" spans="1:5" ht="12.5">
      <c r="A4750" s="81" t="str">
        <f t="shared" si="0"/>
        <v xml:space="preserve"> </v>
      </c>
      <c r="B4750" s="81" t="str">
        <f t="shared" si="1"/>
        <v xml:space="preserve"> </v>
      </c>
      <c r="C4750" s="79" t="str">
        <f t="shared" si="7"/>
        <v xml:space="preserve"> </v>
      </c>
      <c r="D4750" s="79" t="str">
        <f t="shared" si="5"/>
        <v xml:space="preserve"> </v>
      </c>
      <c r="E4750" s="79" t="str">
        <f t="shared" si="6"/>
        <v xml:space="preserve"> </v>
      </c>
    </row>
    <row r="4751" spans="1:5" ht="12.5">
      <c r="A4751" s="81" t="str">
        <f t="shared" si="0"/>
        <v xml:space="preserve"> </v>
      </c>
      <c r="B4751" s="81" t="str">
        <f t="shared" si="1"/>
        <v xml:space="preserve"> </v>
      </c>
      <c r="C4751" s="79" t="str">
        <f t="shared" si="7"/>
        <v xml:space="preserve"> </v>
      </c>
      <c r="D4751" s="79" t="str">
        <f t="shared" si="5"/>
        <v xml:space="preserve"> </v>
      </c>
      <c r="E4751" s="79" t="str">
        <f t="shared" si="6"/>
        <v xml:space="preserve"> </v>
      </c>
    </row>
    <row r="4752" spans="1:5" ht="12.5">
      <c r="A4752" s="81" t="str">
        <f t="shared" si="0"/>
        <v xml:space="preserve"> </v>
      </c>
      <c r="B4752" s="81" t="str">
        <f t="shared" si="1"/>
        <v xml:space="preserve"> </v>
      </c>
      <c r="C4752" s="79" t="str">
        <f t="shared" si="7"/>
        <v xml:space="preserve"> </v>
      </c>
      <c r="D4752" s="79" t="str">
        <f t="shared" si="5"/>
        <v xml:space="preserve"> </v>
      </c>
      <c r="E4752" s="79" t="str">
        <f t="shared" si="6"/>
        <v xml:space="preserve"> </v>
      </c>
    </row>
    <row r="4753" spans="1:5" ht="12.5">
      <c r="A4753" s="81" t="str">
        <f t="shared" si="0"/>
        <v xml:space="preserve"> </v>
      </c>
      <c r="B4753" s="81" t="str">
        <f t="shared" si="1"/>
        <v xml:space="preserve"> </v>
      </c>
      <c r="C4753" s="79" t="str">
        <f t="shared" si="7"/>
        <v xml:space="preserve"> </v>
      </c>
      <c r="D4753" s="79" t="str">
        <f t="shared" si="5"/>
        <v xml:space="preserve"> </v>
      </c>
      <c r="E4753" s="79" t="str">
        <f t="shared" si="6"/>
        <v xml:space="preserve"> </v>
      </c>
    </row>
    <row r="4754" spans="1:5" ht="12.5">
      <c r="A4754" s="81" t="str">
        <f t="shared" si="0"/>
        <v xml:space="preserve"> </v>
      </c>
      <c r="B4754" s="81" t="str">
        <f t="shared" si="1"/>
        <v xml:space="preserve"> </v>
      </c>
      <c r="C4754" s="79" t="str">
        <f t="shared" si="7"/>
        <v xml:space="preserve"> </v>
      </c>
      <c r="D4754" s="79" t="str">
        <f t="shared" si="5"/>
        <v xml:space="preserve"> </v>
      </c>
      <c r="E4754" s="79" t="str">
        <f t="shared" si="6"/>
        <v xml:space="preserve"> </v>
      </c>
    </row>
    <row r="4755" spans="1:5" ht="12.5">
      <c r="A4755" s="81" t="str">
        <f t="shared" si="0"/>
        <v xml:space="preserve"> </v>
      </c>
      <c r="B4755" s="81" t="str">
        <f t="shared" si="1"/>
        <v xml:space="preserve"> </v>
      </c>
      <c r="C4755" s="79" t="str">
        <f t="shared" si="7"/>
        <v xml:space="preserve"> </v>
      </c>
      <c r="D4755" s="79" t="str">
        <f t="shared" si="5"/>
        <v xml:space="preserve"> </v>
      </c>
      <c r="E4755" s="79" t="str">
        <f t="shared" si="6"/>
        <v xml:space="preserve"> </v>
      </c>
    </row>
    <row r="4756" spans="1:5" ht="12.5">
      <c r="A4756" s="81" t="str">
        <f t="shared" si="0"/>
        <v xml:space="preserve"> </v>
      </c>
      <c r="B4756" s="81" t="str">
        <f t="shared" si="1"/>
        <v xml:space="preserve"> </v>
      </c>
      <c r="C4756" s="79" t="str">
        <f t="shared" si="7"/>
        <v xml:space="preserve"> </v>
      </c>
      <c r="D4756" s="79" t="str">
        <f t="shared" si="5"/>
        <v xml:space="preserve"> </v>
      </c>
      <c r="E4756" s="79" t="str">
        <f t="shared" si="6"/>
        <v xml:space="preserve"> </v>
      </c>
    </row>
    <row r="4757" spans="1:5" ht="12.5">
      <c r="A4757" s="81" t="str">
        <f t="shared" si="0"/>
        <v xml:space="preserve"> </v>
      </c>
      <c r="B4757" s="81" t="str">
        <f t="shared" si="1"/>
        <v xml:space="preserve"> </v>
      </c>
      <c r="C4757" s="79" t="str">
        <f t="shared" si="7"/>
        <v xml:space="preserve"> </v>
      </c>
      <c r="D4757" s="79" t="str">
        <f t="shared" si="5"/>
        <v xml:space="preserve"> </v>
      </c>
      <c r="E4757" s="79" t="str">
        <f t="shared" si="6"/>
        <v xml:space="preserve"> </v>
      </c>
    </row>
    <row r="4758" spans="1:5" ht="12.5">
      <c r="A4758" s="81" t="str">
        <f t="shared" si="0"/>
        <v xml:space="preserve"> </v>
      </c>
      <c r="B4758" s="81" t="str">
        <f t="shared" si="1"/>
        <v xml:space="preserve"> </v>
      </c>
      <c r="C4758" s="79" t="str">
        <f t="shared" si="7"/>
        <v xml:space="preserve"> </v>
      </c>
      <c r="D4758" s="79" t="str">
        <f t="shared" si="5"/>
        <v xml:space="preserve"> </v>
      </c>
      <c r="E4758" s="79" t="str">
        <f t="shared" si="6"/>
        <v xml:space="preserve"> </v>
      </c>
    </row>
    <row r="4759" spans="1:5" ht="12.5">
      <c r="A4759" s="81" t="str">
        <f t="shared" si="0"/>
        <v xml:space="preserve"> </v>
      </c>
      <c r="B4759" s="81" t="str">
        <f t="shared" si="1"/>
        <v xml:space="preserve"> </v>
      </c>
      <c r="C4759" s="79" t="str">
        <f t="shared" si="7"/>
        <v xml:space="preserve"> </v>
      </c>
      <c r="D4759" s="79" t="str">
        <f t="shared" si="5"/>
        <v xml:space="preserve"> </v>
      </c>
      <c r="E4759" s="79" t="str">
        <f t="shared" si="6"/>
        <v xml:space="preserve"> </v>
      </c>
    </row>
    <row r="4760" spans="1:5" ht="12.5">
      <c r="A4760" s="81" t="str">
        <f t="shared" si="0"/>
        <v xml:space="preserve"> </v>
      </c>
      <c r="B4760" s="81" t="str">
        <f t="shared" si="1"/>
        <v xml:space="preserve"> </v>
      </c>
      <c r="C4760" s="79" t="str">
        <f t="shared" si="7"/>
        <v xml:space="preserve"> </v>
      </c>
      <c r="D4760" s="79" t="str">
        <f t="shared" si="5"/>
        <v xml:space="preserve"> </v>
      </c>
      <c r="E4760" s="79" t="str">
        <f t="shared" si="6"/>
        <v xml:space="preserve"> </v>
      </c>
    </row>
    <row r="4761" spans="1:5" ht="12.5">
      <c r="A4761" s="81" t="str">
        <f t="shared" si="0"/>
        <v xml:space="preserve"> </v>
      </c>
      <c r="B4761" s="81" t="str">
        <f t="shared" si="1"/>
        <v xml:space="preserve"> </v>
      </c>
      <c r="C4761" s="79" t="str">
        <f t="shared" si="7"/>
        <v xml:space="preserve"> </v>
      </c>
      <c r="D4761" s="79" t="str">
        <f t="shared" si="5"/>
        <v xml:space="preserve"> </v>
      </c>
      <c r="E4761" s="79" t="str">
        <f t="shared" si="6"/>
        <v xml:space="preserve"> </v>
      </c>
    </row>
    <row r="4762" spans="1:5" ht="12.5">
      <c r="A4762" s="81" t="str">
        <f t="shared" si="0"/>
        <v xml:space="preserve"> </v>
      </c>
      <c r="B4762" s="81" t="str">
        <f t="shared" si="1"/>
        <v xml:space="preserve"> </v>
      </c>
      <c r="C4762" s="79" t="str">
        <f t="shared" si="7"/>
        <v xml:space="preserve"> </v>
      </c>
      <c r="D4762" s="79" t="str">
        <f t="shared" si="5"/>
        <v xml:space="preserve"> </v>
      </c>
      <c r="E4762" s="79" t="str">
        <f t="shared" si="6"/>
        <v xml:space="preserve"> </v>
      </c>
    </row>
    <row r="4763" spans="1:5" ht="12.5">
      <c r="A4763" s="81" t="str">
        <f t="shared" si="0"/>
        <v xml:space="preserve"> </v>
      </c>
      <c r="B4763" s="81" t="str">
        <f t="shared" si="1"/>
        <v xml:space="preserve"> </v>
      </c>
      <c r="C4763" s="79" t="str">
        <f t="shared" si="7"/>
        <v xml:space="preserve"> </v>
      </c>
      <c r="D4763" s="79" t="str">
        <f t="shared" si="5"/>
        <v xml:space="preserve"> </v>
      </c>
      <c r="E4763" s="79" t="str">
        <f t="shared" si="6"/>
        <v xml:space="preserve"> </v>
      </c>
    </row>
    <row r="4764" spans="1:5" ht="12.5">
      <c r="A4764" s="81" t="str">
        <f t="shared" si="0"/>
        <v xml:space="preserve"> </v>
      </c>
      <c r="B4764" s="81" t="str">
        <f t="shared" si="1"/>
        <v xml:space="preserve"> </v>
      </c>
      <c r="C4764" s="79" t="str">
        <f t="shared" si="7"/>
        <v xml:space="preserve"> </v>
      </c>
      <c r="D4764" s="79" t="str">
        <f t="shared" si="5"/>
        <v xml:space="preserve"> </v>
      </c>
      <c r="E4764" s="79" t="str">
        <f t="shared" si="6"/>
        <v xml:space="preserve"> </v>
      </c>
    </row>
    <row r="4765" spans="1:5" ht="12.5">
      <c r="A4765" s="81" t="str">
        <f t="shared" si="0"/>
        <v xml:space="preserve"> </v>
      </c>
      <c r="B4765" s="81" t="str">
        <f t="shared" si="1"/>
        <v xml:space="preserve"> </v>
      </c>
      <c r="C4765" s="79" t="str">
        <f t="shared" si="7"/>
        <v xml:space="preserve"> </v>
      </c>
      <c r="D4765" s="79" t="str">
        <f t="shared" si="5"/>
        <v xml:space="preserve"> </v>
      </c>
      <c r="E4765" s="79" t="str">
        <f t="shared" si="6"/>
        <v xml:space="preserve"> </v>
      </c>
    </row>
    <row r="4766" spans="1:5" ht="12.5">
      <c r="A4766" s="81" t="str">
        <f t="shared" si="0"/>
        <v xml:space="preserve"> </v>
      </c>
      <c r="B4766" s="81" t="str">
        <f t="shared" si="1"/>
        <v xml:space="preserve"> </v>
      </c>
      <c r="C4766" s="79" t="str">
        <f t="shared" si="7"/>
        <v xml:space="preserve"> </v>
      </c>
      <c r="D4766" s="79" t="str">
        <f t="shared" si="5"/>
        <v xml:space="preserve"> </v>
      </c>
      <c r="E4766" s="79" t="str">
        <f t="shared" si="6"/>
        <v xml:space="preserve"> </v>
      </c>
    </row>
    <row r="4767" spans="1:5" ht="12.5">
      <c r="A4767" s="81" t="str">
        <f t="shared" si="0"/>
        <v xml:space="preserve"> </v>
      </c>
      <c r="B4767" s="81" t="str">
        <f t="shared" si="1"/>
        <v xml:space="preserve"> </v>
      </c>
      <c r="C4767" s="79" t="str">
        <f t="shared" si="7"/>
        <v xml:space="preserve"> </v>
      </c>
      <c r="D4767" s="79" t="str">
        <f t="shared" si="5"/>
        <v xml:space="preserve"> </v>
      </c>
      <c r="E4767" s="79" t="str">
        <f t="shared" si="6"/>
        <v xml:space="preserve"> </v>
      </c>
    </row>
    <row r="4768" spans="1:5" ht="12.5">
      <c r="A4768" s="81" t="str">
        <f t="shared" si="0"/>
        <v xml:space="preserve"> </v>
      </c>
      <c r="B4768" s="81" t="str">
        <f t="shared" si="1"/>
        <v xml:space="preserve"> </v>
      </c>
      <c r="C4768" s="79" t="str">
        <f t="shared" si="7"/>
        <v xml:space="preserve"> </v>
      </c>
      <c r="D4768" s="79" t="str">
        <f t="shared" si="5"/>
        <v xml:space="preserve"> </v>
      </c>
      <c r="E4768" s="79" t="str">
        <f t="shared" si="6"/>
        <v xml:space="preserve"> </v>
      </c>
    </row>
    <row r="4769" spans="1:5" ht="12.5">
      <c r="A4769" s="81" t="str">
        <f t="shared" si="0"/>
        <v xml:space="preserve"> </v>
      </c>
      <c r="B4769" s="81" t="str">
        <f t="shared" si="1"/>
        <v xml:space="preserve"> </v>
      </c>
      <c r="C4769" s="79" t="str">
        <f t="shared" si="7"/>
        <v xml:space="preserve"> </v>
      </c>
      <c r="D4769" s="79" t="str">
        <f t="shared" si="5"/>
        <v xml:space="preserve"> </v>
      </c>
      <c r="E4769" s="79" t="str">
        <f t="shared" si="6"/>
        <v xml:space="preserve"> </v>
      </c>
    </row>
    <row r="4770" spans="1:5" ht="12.5">
      <c r="A4770" s="81" t="str">
        <f t="shared" si="0"/>
        <v xml:space="preserve"> </v>
      </c>
      <c r="B4770" s="81" t="str">
        <f t="shared" si="1"/>
        <v xml:space="preserve"> </v>
      </c>
      <c r="C4770" s="79" t="str">
        <f t="shared" si="7"/>
        <v xml:space="preserve"> </v>
      </c>
      <c r="D4770" s="79" t="str">
        <f t="shared" si="5"/>
        <v xml:space="preserve"> </v>
      </c>
      <c r="E4770" s="79" t="str">
        <f t="shared" si="6"/>
        <v xml:space="preserve"> </v>
      </c>
    </row>
    <row r="4771" spans="1:5" ht="12.5">
      <c r="A4771" s="81" t="str">
        <f t="shared" si="0"/>
        <v xml:space="preserve"> </v>
      </c>
      <c r="B4771" s="81" t="str">
        <f t="shared" si="1"/>
        <v xml:space="preserve"> </v>
      </c>
      <c r="C4771" s="79" t="str">
        <f t="shared" si="7"/>
        <v xml:space="preserve"> </v>
      </c>
      <c r="D4771" s="79" t="str">
        <f t="shared" si="5"/>
        <v xml:space="preserve"> </v>
      </c>
      <c r="E4771" s="79" t="str">
        <f t="shared" si="6"/>
        <v xml:space="preserve"> </v>
      </c>
    </row>
    <row r="4772" spans="1:5" ht="12.5">
      <c r="A4772" s="81" t="str">
        <f t="shared" si="0"/>
        <v xml:space="preserve"> </v>
      </c>
      <c r="B4772" s="81" t="str">
        <f t="shared" si="1"/>
        <v xml:space="preserve"> </v>
      </c>
      <c r="C4772" s="79" t="str">
        <f t="shared" si="7"/>
        <v xml:space="preserve"> </v>
      </c>
      <c r="D4772" s="79" t="str">
        <f t="shared" si="5"/>
        <v xml:space="preserve"> </v>
      </c>
      <c r="E4772" s="79" t="str">
        <f t="shared" si="6"/>
        <v xml:space="preserve"> </v>
      </c>
    </row>
    <row r="4773" spans="1:5" ht="12.5">
      <c r="A4773" s="81" t="str">
        <f t="shared" si="0"/>
        <v xml:space="preserve"> </v>
      </c>
      <c r="B4773" s="81" t="str">
        <f t="shared" si="1"/>
        <v xml:space="preserve"> </v>
      </c>
      <c r="C4773" s="79" t="str">
        <f t="shared" si="7"/>
        <v xml:space="preserve"> </v>
      </c>
      <c r="D4773" s="79" t="str">
        <f t="shared" si="5"/>
        <v xml:space="preserve"> </v>
      </c>
      <c r="E4773" s="79" t="str">
        <f t="shared" si="6"/>
        <v xml:space="preserve"> </v>
      </c>
    </row>
    <row r="4774" spans="1:5" ht="12.5">
      <c r="A4774" s="81" t="str">
        <f t="shared" si="0"/>
        <v xml:space="preserve"> </v>
      </c>
      <c r="B4774" s="81" t="str">
        <f t="shared" si="1"/>
        <v xml:space="preserve"> </v>
      </c>
      <c r="C4774" s="79" t="str">
        <f t="shared" si="7"/>
        <v xml:space="preserve"> </v>
      </c>
      <c r="D4774" s="79" t="str">
        <f t="shared" si="5"/>
        <v xml:space="preserve"> </v>
      </c>
      <c r="E4774" s="79" t="str">
        <f t="shared" si="6"/>
        <v xml:space="preserve"> </v>
      </c>
    </row>
    <row r="4775" spans="1:5" ht="12.5">
      <c r="A4775" s="81" t="str">
        <f t="shared" si="0"/>
        <v xml:space="preserve"> </v>
      </c>
      <c r="B4775" s="81" t="str">
        <f t="shared" si="1"/>
        <v xml:space="preserve"> </v>
      </c>
      <c r="C4775" s="79" t="str">
        <f t="shared" si="7"/>
        <v xml:space="preserve"> </v>
      </c>
      <c r="D4775" s="79" t="str">
        <f t="shared" si="5"/>
        <v xml:space="preserve"> </v>
      </c>
      <c r="E4775" s="79" t="str">
        <f t="shared" si="6"/>
        <v xml:space="preserve"> </v>
      </c>
    </row>
    <row r="4776" spans="1:5" ht="12.5">
      <c r="A4776" s="81" t="str">
        <f t="shared" si="0"/>
        <v xml:space="preserve"> </v>
      </c>
      <c r="B4776" s="81" t="str">
        <f t="shared" si="1"/>
        <v xml:space="preserve"> </v>
      </c>
      <c r="C4776" s="79" t="str">
        <f t="shared" si="7"/>
        <v xml:space="preserve"> </v>
      </c>
      <c r="D4776" s="79" t="str">
        <f t="shared" si="5"/>
        <v xml:space="preserve"> </v>
      </c>
      <c r="E4776" s="79" t="str">
        <f t="shared" si="6"/>
        <v xml:space="preserve"> </v>
      </c>
    </row>
    <row r="4777" spans="1:5" ht="12.5">
      <c r="A4777" s="81" t="str">
        <f t="shared" si="0"/>
        <v xml:space="preserve"> </v>
      </c>
      <c r="B4777" s="81" t="str">
        <f t="shared" si="1"/>
        <v xml:space="preserve"> </v>
      </c>
      <c r="C4777" s="79" t="str">
        <f t="shared" si="7"/>
        <v xml:space="preserve"> </v>
      </c>
      <c r="D4777" s="79" t="str">
        <f t="shared" si="5"/>
        <v xml:space="preserve"> </v>
      </c>
      <c r="E4777" s="79" t="str">
        <f t="shared" si="6"/>
        <v xml:space="preserve"> </v>
      </c>
    </row>
    <row r="4778" spans="1:5" ht="12.5">
      <c r="A4778" s="81" t="str">
        <f t="shared" si="0"/>
        <v xml:space="preserve"> </v>
      </c>
      <c r="B4778" s="81" t="str">
        <f t="shared" si="1"/>
        <v xml:space="preserve"> </v>
      </c>
      <c r="C4778" s="79" t="str">
        <f t="shared" si="7"/>
        <v xml:space="preserve"> </v>
      </c>
      <c r="D4778" s="79" t="str">
        <f t="shared" si="5"/>
        <v xml:space="preserve"> </v>
      </c>
      <c r="E4778" s="79" t="str">
        <f t="shared" si="6"/>
        <v xml:space="preserve"> </v>
      </c>
    </row>
    <row r="4779" spans="1:5" ht="12.5">
      <c r="A4779" s="81" t="str">
        <f t="shared" si="0"/>
        <v xml:space="preserve"> </v>
      </c>
      <c r="B4779" s="81" t="str">
        <f t="shared" si="1"/>
        <v xml:space="preserve"> </v>
      </c>
      <c r="C4779" s="79" t="str">
        <f t="shared" si="7"/>
        <v xml:space="preserve"> </v>
      </c>
      <c r="D4779" s="79" t="str">
        <f t="shared" si="5"/>
        <v xml:space="preserve"> </v>
      </c>
      <c r="E4779" s="79" t="str">
        <f t="shared" si="6"/>
        <v xml:space="preserve"> </v>
      </c>
    </row>
    <row r="4780" spans="1:5" ht="12.5">
      <c r="A4780" s="81" t="str">
        <f t="shared" si="0"/>
        <v xml:space="preserve"> </v>
      </c>
      <c r="B4780" s="81" t="str">
        <f t="shared" si="1"/>
        <v xml:space="preserve"> </v>
      </c>
      <c r="C4780" s="79" t="str">
        <f t="shared" si="7"/>
        <v xml:space="preserve"> </v>
      </c>
      <c r="D4780" s="79" t="str">
        <f t="shared" si="5"/>
        <v xml:space="preserve"> </v>
      </c>
      <c r="E4780" s="79" t="str">
        <f t="shared" si="6"/>
        <v xml:space="preserve"> </v>
      </c>
    </row>
    <row r="4781" spans="1:5" ht="12.5">
      <c r="A4781" s="81" t="str">
        <f t="shared" si="0"/>
        <v xml:space="preserve"> </v>
      </c>
      <c r="B4781" s="81" t="str">
        <f t="shared" si="1"/>
        <v xml:space="preserve"> </v>
      </c>
      <c r="C4781" s="79" t="str">
        <f t="shared" si="7"/>
        <v xml:space="preserve"> </v>
      </c>
      <c r="D4781" s="79" t="str">
        <f t="shared" si="5"/>
        <v xml:space="preserve"> </v>
      </c>
      <c r="E4781" s="79" t="str">
        <f t="shared" si="6"/>
        <v xml:space="preserve"> </v>
      </c>
    </row>
    <row r="4782" spans="1:5" ht="12.5">
      <c r="A4782" s="81" t="str">
        <f t="shared" si="0"/>
        <v xml:space="preserve"> </v>
      </c>
      <c r="B4782" s="81" t="str">
        <f t="shared" si="1"/>
        <v xml:space="preserve"> </v>
      </c>
      <c r="C4782" s="79" t="str">
        <f t="shared" si="7"/>
        <v xml:space="preserve"> </v>
      </c>
      <c r="D4782" s="79" t="str">
        <f t="shared" si="5"/>
        <v xml:space="preserve"> </v>
      </c>
      <c r="E4782" s="79" t="str">
        <f t="shared" si="6"/>
        <v xml:space="preserve"> </v>
      </c>
    </row>
    <row r="4783" spans="1:5" ht="12.5">
      <c r="A4783" s="81" t="str">
        <f t="shared" si="0"/>
        <v xml:space="preserve"> </v>
      </c>
      <c r="B4783" s="81" t="str">
        <f t="shared" si="1"/>
        <v xml:space="preserve"> </v>
      </c>
      <c r="C4783" s="79" t="str">
        <f t="shared" si="7"/>
        <v xml:space="preserve"> </v>
      </c>
      <c r="D4783" s="79" t="str">
        <f t="shared" si="5"/>
        <v xml:space="preserve"> </v>
      </c>
      <c r="E4783" s="79" t="str">
        <f t="shared" si="6"/>
        <v xml:space="preserve"> </v>
      </c>
    </row>
    <row r="4784" spans="1:5" ht="12.5">
      <c r="A4784" s="81" t="str">
        <f t="shared" si="0"/>
        <v xml:space="preserve"> </v>
      </c>
      <c r="B4784" s="81" t="str">
        <f t="shared" si="1"/>
        <v xml:space="preserve"> </v>
      </c>
      <c r="C4784" s="79" t="str">
        <f t="shared" si="7"/>
        <v xml:space="preserve"> </v>
      </c>
      <c r="D4784" s="79" t="str">
        <f t="shared" si="5"/>
        <v xml:space="preserve"> </v>
      </c>
      <c r="E4784" s="79" t="str">
        <f t="shared" si="6"/>
        <v xml:space="preserve"> </v>
      </c>
    </row>
    <row r="4785" spans="1:5" ht="12.5">
      <c r="A4785" s="81" t="str">
        <f t="shared" si="0"/>
        <v xml:space="preserve"> </v>
      </c>
      <c r="B4785" s="81" t="str">
        <f t="shared" si="1"/>
        <v xml:space="preserve"> </v>
      </c>
      <c r="C4785" s="79" t="str">
        <f t="shared" si="7"/>
        <v xml:space="preserve"> </v>
      </c>
      <c r="D4785" s="79" t="str">
        <f t="shared" si="5"/>
        <v xml:space="preserve"> </v>
      </c>
      <c r="E4785" s="79" t="str">
        <f t="shared" si="6"/>
        <v xml:space="preserve"> </v>
      </c>
    </row>
    <row r="4786" spans="1:5" ht="12.5">
      <c r="A4786" s="81" t="str">
        <f t="shared" si="0"/>
        <v xml:space="preserve"> </v>
      </c>
      <c r="B4786" s="81" t="str">
        <f t="shared" si="1"/>
        <v xml:space="preserve"> </v>
      </c>
      <c r="C4786" s="79" t="str">
        <f t="shared" si="7"/>
        <v xml:space="preserve"> </v>
      </c>
      <c r="D4786" s="79" t="str">
        <f t="shared" si="5"/>
        <v xml:space="preserve"> </v>
      </c>
      <c r="E4786" s="79" t="str">
        <f t="shared" si="6"/>
        <v xml:space="preserve"> </v>
      </c>
    </row>
    <row r="4787" spans="1:5" ht="12.5">
      <c r="A4787" s="81" t="str">
        <f t="shared" si="0"/>
        <v xml:space="preserve"> </v>
      </c>
      <c r="B4787" s="81" t="str">
        <f t="shared" si="1"/>
        <v xml:space="preserve"> </v>
      </c>
      <c r="C4787" s="79" t="str">
        <f t="shared" si="7"/>
        <v xml:space="preserve"> </v>
      </c>
      <c r="D4787" s="79" t="str">
        <f t="shared" si="5"/>
        <v xml:space="preserve"> </v>
      </c>
      <c r="E4787" s="79" t="str">
        <f t="shared" si="6"/>
        <v xml:space="preserve"> </v>
      </c>
    </row>
    <row r="4788" spans="1:5" ht="12.5">
      <c r="A4788" s="81" t="str">
        <f t="shared" si="0"/>
        <v xml:space="preserve"> </v>
      </c>
      <c r="B4788" s="81" t="str">
        <f t="shared" si="1"/>
        <v xml:space="preserve"> </v>
      </c>
      <c r="C4788" s="79" t="str">
        <f t="shared" si="7"/>
        <v xml:space="preserve"> </v>
      </c>
      <c r="D4788" s="79" t="str">
        <f t="shared" si="5"/>
        <v xml:space="preserve"> </v>
      </c>
      <c r="E4788" s="79" t="str">
        <f t="shared" si="6"/>
        <v xml:space="preserve"> </v>
      </c>
    </row>
    <row r="4789" spans="1:5" ht="12.5">
      <c r="A4789" s="81" t="str">
        <f t="shared" si="0"/>
        <v xml:space="preserve"> </v>
      </c>
      <c r="B4789" s="81" t="str">
        <f t="shared" si="1"/>
        <v xml:space="preserve"> </v>
      </c>
      <c r="C4789" s="79" t="str">
        <f t="shared" si="7"/>
        <v xml:space="preserve"> </v>
      </c>
      <c r="D4789" s="79" t="str">
        <f t="shared" si="5"/>
        <v xml:space="preserve"> </v>
      </c>
      <c r="E4789" s="79" t="str">
        <f t="shared" si="6"/>
        <v xml:space="preserve"> </v>
      </c>
    </row>
    <row r="4790" spans="1:5" ht="12.5">
      <c r="A4790" s="81" t="str">
        <f t="shared" si="0"/>
        <v xml:space="preserve"> </v>
      </c>
      <c r="B4790" s="81" t="str">
        <f t="shared" si="1"/>
        <v xml:space="preserve"> </v>
      </c>
      <c r="C4790" s="79" t="str">
        <f t="shared" si="7"/>
        <v xml:space="preserve"> </v>
      </c>
      <c r="D4790" s="79" t="str">
        <f t="shared" si="5"/>
        <v xml:space="preserve"> </v>
      </c>
      <c r="E4790" s="79" t="str">
        <f t="shared" si="6"/>
        <v xml:space="preserve"> </v>
      </c>
    </row>
    <row r="4791" spans="1:5" ht="12.5">
      <c r="A4791" s="81" t="str">
        <f t="shared" si="0"/>
        <v xml:space="preserve"> </v>
      </c>
      <c r="B4791" s="81" t="str">
        <f t="shared" si="1"/>
        <v xml:space="preserve"> </v>
      </c>
      <c r="C4791" s="79" t="str">
        <f t="shared" si="7"/>
        <v xml:space="preserve"> </v>
      </c>
      <c r="D4791" s="79" t="str">
        <f t="shared" si="5"/>
        <v xml:space="preserve"> </v>
      </c>
      <c r="E4791" s="79" t="str">
        <f t="shared" si="6"/>
        <v xml:space="preserve"> </v>
      </c>
    </row>
    <row r="4792" spans="1:5" ht="12.5">
      <c r="A4792" s="81" t="str">
        <f t="shared" si="0"/>
        <v xml:space="preserve"> </v>
      </c>
      <c r="B4792" s="81" t="str">
        <f t="shared" si="1"/>
        <v xml:space="preserve"> </v>
      </c>
      <c r="C4792" s="79" t="str">
        <f t="shared" si="7"/>
        <v xml:space="preserve"> </v>
      </c>
      <c r="D4792" s="79" t="str">
        <f t="shared" si="5"/>
        <v xml:space="preserve"> </v>
      </c>
      <c r="E4792" s="79" t="str">
        <f t="shared" si="6"/>
        <v xml:space="preserve"> </v>
      </c>
    </row>
    <row r="4793" spans="1:5" ht="12.5">
      <c r="A4793" s="81" t="str">
        <f t="shared" si="0"/>
        <v xml:space="preserve"> </v>
      </c>
      <c r="B4793" s="81" t="str">
        <f t="shared" si="1"/>
        <v xml:space="preserve"> </v>
      </c>
      <c r="C4793" s="79" t="str">
        <f t="shared" si="7"/>
        <v xml:space="preserve"> </v>
      </c>
      <c r="D4793" s="79" t="str">
        <f t="shared" si="5"/>
        <v xml:space="preserve"> </v>
      </c>
      <c r="E4793" s="79" t="str">
        <f t="shared" si="6"/>
        <v xml:space="preserve"> </v>
      </c>
    </row>
    <row r="4794" spans="1:5" ht="12.5">
      <c r="A4794" s="81" t="str">
        <f t="shared" si="0"/>
        <v xml:space="preserve"> </v>
      </c>
      <c r="B4794" s="81" t="str">
        <f t="shared" si="1"/>
        <v xml:space="preserve"> </v>
      </c>
      <c r="C4794" s="79" t="str">
        <f t="shared" si="7"/>
        <v xml:space="preserve"> </v>
      </c>
      <c r="D4794" s="79" t="str">
        <f t="shared" si="5"/>
        <v xml:space="preserve"> </v>
      </c>
      <c r="E4794" s="79" t="str">
        <f t="shared" si="6"/>
        <v xml:space="preserve"> </v>
      </c>
    </row>
    <row r="4795" spans="1:5" ht="12.5">
      <c r="A4795" s="81" t="str">
        <f t="shared" si="0"/>
        <v xml:space="preserve"> </v>
      </c>
      <c r="B4795" s="81" t="str">
        <f t="shared" si="1"/>
        <v xml:space="preserve"> </v>
      </c>
      <c r="C4795" s="79" t="str">
        <f t="shared" si="7"/>
        <v xml:space="preserve"> </v>
      </c>
      <c r="D4795" s="79" t="str">
        <f t="shared" si="5"/>
        <v xml:space="preserve"> </v>
      </c>
      <c r="E4795" s="79" t="str">
        <f t="shared" si="6"/>
        <v xml:space="preserve"> </v>
      </c>
    </row>
    <row r="4796" spans="1:5" ht="12.5">
      <c r="A4796" s="81" t="str">
        <f t="shared" si="0"/>
        <v xml:space="preserve"> </v>
      </c>
      <c r="B4796" s="81" t="str">
        <f t="shared" si="1"/>
        <v xml:space="preserve"> </v>
      </c>
      <c r="C4796" s="79" t="str">
        <f t="shared" si="7"/>
        <v xml:space="preserve"> </v>
      </c>
      <c r="D4796" s="79" t="str">
        <f t="shared" si="5"/>
        <v xml:space="preserve"> </v>
      </c>
      <c r="E4796" s="79" t="str">
        <f t="shared" si="6"/>
        <v xml:space="preserve"> </v>
      </c>
    </row>
    <row r="4797" spans="1:5" ht="12.5">
      <c r="A4797" s="81" t="str">
        <f t="shared" si="0"/>
        <v xml:space="preserve"> </v>
      </c>
      <c r="B4797" s="81" t="str">
        <f t="shared" si="1"/>
        <v xml:space="preserve"> </v>
      </c>
      <c r="C4797" s="79" t="str">
        <f t="shared" si="7"/>
        <v xml:space="preserve"> </v>
      </c>
      <c r="D4797" s="79" t="str">
        <f t="shared" si="5"/>
        <v xml:space="preserve"> </v>
      </c>
      <c r="E4797" s="79" t="str">
        <f t="shared" si="6"/>
        <v xml:space="preserve"> </v>
      </c>
    </row>
    <row r="4798" spans="1:5" ht="12.5">
      <c r="A4798" s="81" t="str">
        <f t="shared" si="0"/>
        <v xml:space="preserve"> </v>
      </c>
      <c r="B4798" s="81" t="str">
        <f t="shared" si="1"/>
        <v xml:space="preserve"> </v>
      </c>
      <c r="C4798" s="79" t="str">
        <f t="shared" si="7"/>
        <v xml:space="preserve"> </v>
      </c>
      <c r="D4798" s="79" t="str">
        <f t="shared" si="5"/>
        <v xml:space="preserve"> </v>
      </c>
      <c r="E4798" s="79" t="str">
        <f t="shared" si="6"/>
        <v xml:space="preserve"> </v>
      </c>
    </row>
    <row r="4799" spans="1:5" ht="12.5">
      <c r="A4799" s="81" t="str">
        <f t="shared" si="0"/>
        <v xml:space="preserve"> </v>
      </c>
      <c r="B4799" s="81" t="str">
        <f t="shared" si="1"/>
        <v xml:space="preserve"> </v>
      </c>
      <c r="C4799" s="79" t="str">
        <f t="shared" si="7"/>
        <v xml:space="preserve"> </v>
      </c>
      <c r="D4799" s="79" t="str">
        <f t="shared" si="5"/>
        <v xml:space="preserve"> </v>
      </c>
      <c r="E4799" s="79" t="str">
        <f t="shared" si="6"/>
        <v xml:space="preserve"> </v>
      </c>
    </row>
    <row r="4800" spans="1:5" ht="12.5">
      <c r="A4800" s="81" t="str">
        <f t="shared" si="0"/>
        <v xml:space="preserve"> </v>
      </c>
      <c r="B4800" s="81" t="str">
        <f t="shared" si="1"/>
        <v xml:space="preserve"> </v>
      </c>
      <c r="C4800" s="79" t="str">
        <f t="shared" si="7"/>
        <v xml:space="preserve"> </v>
      </c>
      <c r="D4800" s="79" t="str">
        <f t="shared" si="5"/>
        <v xml:space="preserve"> </v>
      </c>
      <c r="E4800" s="79" t="str">
        <f t="shared" si="6"/>
        <v xml:space="preserve"> </v>
      </c>
    </row>
    <row r="4801" spans="1:5" ht="12.5">
      <c r="A4801" s="81" t="str">
        <f t="shared" si="0"/>
        <v xml:space="preserve"> </v>
      </c>
      <c r="B4801" s="81" t="str">
        <f t="shared" si="1"/>
        <v xml:space="preserve"> </v>
      </c>
      <c r="C4801" s="79" t="str">
        <f t="shared" si="7"/>
        <v xml:space="preserve"> </v>
      </c>
      <c r="D4801" s="79" t="str">
        <f t="shared" si="5"/>
        <v xml:space="preserve"> </v>
      </c>
      <c r="E4801" s="79" t="str">
        <f t="shared" si="6"/>
        <v xml:space="preserve"> </v>
      </c>
    </row>
    <row r="4802" spans="1:5" ht="12.5">
      <c r="A4802" s="81" t="str">
        <f t="shared" si="0"/>
        <v xml:space="preserve"> </v>
      </c>
      <c r="B4802" s="81" t="str">
        <f t="shared" si="1"/>
        <v xml:space="preserve"> </v>
      </c>
      <c r="C4802" s="79" t="str">
        <f t="shared" si="7"/>
        <v xml:space="preserve"> </v>
      </c>
      <c r="D4802" s="79" t="str">
        <f t="shared" si="5"/>
        <v xml:space="preserve"> </v>
      </c>
      <c r="E4802" s="79" t="str">
        <f t="shared" si="6"/>
        <v xml:space="preserve"> </v>
      </c>
    </row>
    <row r="4803" spans="1:5" ht="12.5">
      <c r="A4803" s="81" t="str">
        <f t="shared" si="0"/>
        <v xml:space="preserve"> </v>
      </c>
      <c r="B4803" s="81" t="str">
        <f t="shared" si="1"/>
        <v xml:space="preserve"> </v>
      </c>
      <c r="C4803" s="79" t="str">
        <f t="shared" si="7"/>
        <v xml:space="preserve"> </v>
      </c>
      <c r="D4803" s="79" t="str">
        <f t="shared" si="5"/>
        <v xml:space="preserve"> </v>
      </c>
      <c r="E4803" s="79" t="str">
        <f t="shared" si="6"/>
        <v xml:space="preserve"> </v>
      </c>
    </row>
    <row r="4804" spans="1:5" ht="12.5">
      <c r="A4804" s="81" t="str">
        <f t="shared" si="0"/>
        <v xml:space="preserve"> </v>
      </c>
      <c r="B4804" s="81" t="str">
        <f t="shared" si="1"/>
        <v xml:space="preserve"> </v>
      </c>
      <c r="C4804" s="79" t="str">
        <f t="shared" si="7"/>
        <v xml:space="preserve"> </v>
      </c>
      <c r="D4804" s="79" t="str">
        <f t="shared" si="5"/>
        <v xml:space="preserve"> </v>
      </c>
      <c r="E4804" s="79" t="str">
        <f t="shared" si="6"/>
        <v xml:space="preserve"> </v>
      </c>
    </row>
    <row r="4805" spans="1:5" ht="12.5">
      <c r="A4805" s="81" t="str">
        <f t="shared" si="0"/>
        <v xml:space="preserve"> </v>
      </c>
      <c r="B4805" s="81" t="str">
        <f t="shared" si="1"/>
        <v xml:space="preserve"> </v>
      </c>
      <c r="C4805" s="79" t="str">
        <f t="shared" si="7"/>
        <v xml:space="preserve"> </v>
      </c>
      <c r="D4805" s="79" t="str">
        <f t="shared" si="5"/>
        <v xml:space="preserve"> </v>
      </c>
      <c r="E4805" s="79" t="str">
        <f t="shared" si="6"/>
        <v xml:space="preserve"> </v>
      </c>
    </row>
    <row r="4806" spans="1:5" ht="12.5">
      <c r="A4806" s="81" t="str">
        <f t="shared" si="0"/>
        <v xml:space="preserve"> </v>
      </c>
      <c r="B4806" s="81" t="str">
        <f t="shared" si="1"/>
        <v xml:space="preserve"> </v>
      </c>
      <c r="C4806" s="79" t="str">
        <f t="shared" si="7"/>
        <v xml:space="preserve"> </v>
      </c>
      <c r="D4806" s="79" t="str">
        <f t="shared" si="5"/>
        <v xml:space="preserve"> </v>
      </c>
      <c r="E4806" s="79" t="str">
        <f t="shared" si="6"/>
        <v xml:space="preserve"> </v>
      </c>
    </row>
    <row r="4807" spans="1:5" ht="12.5">
      <c r="A4807" s="81" t="str">
        <f t="shared" si="0"/>
        <v xml:space="preserve"> </v>
      </c>
      <c r="B4807" s="81" t="str">
        <f t="shared" si="1"/>
        <v xml:space="preserve"> </v>
      </c>
      <c r="C4807" s="79" t="str">
        <f t="shared" si="7"/>
        <v xml:space="preserve"> </v>
      </c>
      <c r="D4807" s="79" t="str">
        <f t="shared" si="5"/>
        <v xml:space="preserve"> </v>
      </c>
      <c r="E4807" s="79" t="str">
        <f t="shared" si="6"/>
        <v xml:space="preserve"> </v>
      </c>
    </row>
    <row r="4808" spans="1:5" ht="12.5">
      <c r="A4808" s="81" t="str">
        <f t="shared" si="0"/>
        <v xml:space="preserve"> </v>
      </c>
      <c r="B4808" s="81" t="str">
        <f t="shared" si="1"/>
        <v xml:space="preserve"> </v>
      </c>
      <c r="C4808" s="79" t="str">
        <f t="shared" si="7"/>
        <v xml:space="preserve"> </v>
      </c>
      <c r="D4808" s="79" t="str">
        <f t="shared" si="5"/>
        <v xml:space="preserve"> </v>
      </c>
      <c r="E4808" s="79" t="str">
        <f t="shared" si="6"/>
        <v xml:space="preserve"> </v>
      </c>
    </row>
    <row r="4809" spans="1:5" ht="12.5">
      <c r="A4809" s="81" t="str">
        <f t="shared" si="0"/>
        <v xml:space="preserve"> </v>
      </c>
      <c r="B4809" s="81" t="str">
        <f t="shared" si="1"/>
        <v xml:space="preserve"> </v>
      </c>
      <c r="C4809" s="79" t="str">
        <f t="shared" si="7"/>
        <v xml:space="preserve"> </v>
      </c>
      <c r="D4809" s="79" t="str">
        <f t="shared" si="5"/>
        <v xml:space="preserve"> </v>
      </c>
      <c r="E4809" s="79" t="str">
        <f t="shared" si="6"/>
        <v xml:space="preserve"> </v>
      </c>
    </row>
    <row r="4810" spans="1:5" ht="12.5">
      <c r="A4810" s="81" t="str">
        <f t="shared" si="0"/>
        <v xml:space="preserve"> </v>
      </c>
      <c r="B4810" s="81" t="str">
        <f t="shared" si="1"/>
        <v xml:space="preserve"> </v>
      </c>
      <c r="C4810" s="79" t="str">
        <f t="shared" si="7"/>
        <v xml:space="preserve"> </v>
      </c>
      <c r="D4810" s="79" t="str">
        <f t="shared" si="5"/>
        <v xml:space="preserve"> </v>
      </c>
      <c r="E4810" s="79" t="str">
        <f t="shared" si="6"/>
        <v xml:space="preserve"> </v>
      </c>
    </row>
    <row r="4811" spans="1:5" ht="12.5">
      <c r="A4811" s="81" t="str">
        <f t="shared" si="0"/>
        <v xml:space="preserve"> </v>
      </c>
      <c r="B4811" s="81" t="str">
        <f t="shared" si="1"/>
        <v xml:space="preserve"> </v>
      </c>
      <c r="C4811" s="79" t="str">
        <f t="shared" si="7"/>
        <v xml:space="preserve"> </v>
      </c>
      <c r="D4811" s="79" t="str">
        <f t="shared" si="5"/>
        <v xml:space="preserve"> </v>
      </c>
      <c r="E4811" s="79" t="str">
        <f t="shared" si="6"/>
        <v xml:space="preserve"> </v>
      </c>
    </row>
    <row r="4812" spans="1:5" ht="12.5">
      <c r="A4812" s="81" t="str">
        <f t="shared" si="0"/>
        <v xml:space="preserve"> </v>
      </c>
      <c r="B4812" s="81" t="str">
        <f t="shared" si="1"/>
        <v xml:space="preserve"> </v>
      </c>
      <c r="C4812" s="79" t="str">
        <f t="shared" si="7"/>
        <v xml:space="preserve"> </v>
      </c>
      <c r="D4812" s="79" t="str">
        <f t="shared" si="5"/>
        <v xml:space="preserve"> </v>
      </c>
      <c r="E4812" s="79" t="str">
        <f t="shared" si="6"/>
        <v xml:space="preserve"> </v>
      </c>
    </row>
    <row r="4813" spans="1:5" ht="12.5">
      <c r="A4813" s="81" t="str">
        <f t="shared" si="0"/>
        <v xml:space="preserve"> </v>
      </c>
      <c r="B4813" s="81" t="str">
        <f t="shared" si="1"/>
        <v xml:space="preserve"> </v>
      </c>
      <c r="C4813" s="79" t="str">
        <f t="shared" si="7"/>
        <v xml:space="preserve"> </v>
      </c>
      <c r="D4813" s="79" t="str">
        <f t="shared" si="5"/>
        <v xml:space="preserve"> </v>
      </c>
      <c r="E4813" s="79" t="str">
        <f t="shared" si="6"/>
        <v xml:space="preserve"> </v>
      </c>
    </row>
    <row r="4814" spans="1:5" ht="12.5">
      <c r="A4814" s="81" t="str">
        <f t="shared" si="0"/>
        <v xml:space="preserve"> </v>
      </c>
      <c r="B4814" s="81" t="str">
        <f t="shared" si="1"/>
        <v xml:space="preserve"> </v>
      </c>
      <c r="C4814" s="79" t="str">
        <f t="shared" si="7"/>
        <v xml:space="preserve"> </v>
      </c>
      <c r="D4814" s="79" t="str">
        <f t="shared" si="5"/>
        <v xml:space="preserve"> </v>
      </c>
      <c r="E4814" s="79" t="str">
        <f t="shared" si="6"/>
        <v xml:space="preserve"> </v>
      </c>
    </row>
    <row r="4815" spans="1:5" ht="12.5">
      <c r="A4815" s="81" t="str">
        <f t="shared" si="0"/>
        <v xml:space="preserve"> </v>
      </c>
      <c r="B4815" s="81" t="str">
        <f t="shared" si="1"/>
        <v xml:space="preserve"> </v>
      </c>
      <c r="C4815" s="79" t="str">
        <f t="shared" si="7"/>
        <v xml:space="preserve"> </v>
      </c>
      <c r="D4815" s="79" t="str">
        <f t="shared" si="5"/>
        <v xml:space="preserve"> </v>
      </c>
      <c r="E4815" s="79" t="str">
        <f t="shared" si="6"/>
        <v xml:space="preserve"> </v>
      </c>
    </row>
    <row r="4816" spans="1:5" ht="12.5">
      <c r="A4816" s="81" t="str">
        <f t="shared" si="0"/>
        <v xml:space="preserve"> </v>
      </c>
      <c r="B4816" s="81" t="str">
        <f t="shared" si="1"/>
        <v xml:space="preserve"> </v>
      </c>
      <c r="C4816" s="79" t="str">
        <f t="shared" si="7"/>
        <v xml:space="preserve"> </v>
      </c>
      <c r="D4816" s="79" t="str">
        <f t="shared" si="5"/>
        <v xml:space="preserve"> </v>
      </c>
      <c r="E4816" s="79" t="str">
        <f t="shared" si="6"/>
        <v xml:space="preserve"> </v>
      </c>
    </row>
    <row r="4817" spans="1:5" ht="12.5">
      <c r="A4817" s="81" t="str">
        <f t="shared" si="0"/>
        <v xml:space="preserve"> </v>
      </c>
      <c r="B4817" s="81" t="str">
        <f t="shared" si="1"/>
        <v xml:space="preserve"> </v>
      </c>
      <c r="C4817" s="79" t="str">
        <f t="shared" si="7"/>
        <v xml:space="preserve"> </v>
      </c>
      <c r="D4817" s="79" t="str">
        <f t="shared" si="5"/>
        <v xml:space="preserve"> </v>
      </c>
      <c r="E4817" s="79" t="str">
        <f t="shared" si="6"/>
        <v xml:space="preserve"> </v>
      </c>
    </row>
    <row r="4818" spans="1:5" ht="12.5">
      <c r="A4818" s="81" t="str">
        <f t="shared" si="0"/>
        <v xml:space="preserve"> </v>
      </c>
      <c r="B4818" s="81" t="str">
        <f t="shared" si="1"/>
        <v xml:space="preserve"> </v>
      </c>
      <c r="C4818" s="79" t="str">
        <f t="shared" si="7"/>
        <v xml:space="preserve"> </v>
      </c>
      <c r="D4818" s="79" t="str">
        <f t="shared" si="5"/>
        <v xml:space="preserve"> </v>
      </c>
      <c r="E4818" s="79" t="str">
        <f t="shared" si="6"/>
        <v xml:space="preserve"> </v>
      </c>
    </row>
    <row r="4819" spans="1:5" ht="12.5">
      <c r="A4819" s="81" t="str">
        <f t="shared" si="0"/>
        <v xml:space="preserve"> </v>
      </c>
      <c r="B4819" s="81" t="str">
        <f t="shared" si="1"/>
        <v xml:space="preserve"> </v>
      </c>
      <c r="C4819" s="79" t="str">
        <f t="shared" si="7"/>
        <v xml:space="preserve"> </v>
      </c>
      <c r="D4819" s="79" t="str">
        <f t="shared" si="5"/>
        <v xml:space="preserve"> </v>
      </c>
      <c r="E4819" s="79" t="str">
        <f t="shared" si="6"/>
        <v xml:space="preserve"> </v>
      </c>
    </row>
    <row r="4820" spans="1:5" ht="12.5">
      <c r="A4820" s="81" t="str">
        <f t="shared" si="0"/>
        <v xml:space="preserve"> </v>
      </c>
      <c r="B4820" s="81" t="str">
        <f t="shared" si="1"/>
        <v xml:space="preserve"> </v>
      </c>
      <c r="C4820" s="79" t="str">
        <f t="shared" si="7"/>
        <v xml:space="preserve"> </v>
      </c>
      <c r="D4820" s="79" t="str">
        <f t="shared" si="5"/>
        <v xml:space="preserve"> </v>
      </c>
      <c r="E4820" s="79" t="str">
        <f t="shared" si="6"/>
        <v xml:space="preserve"> </v>
      </c>
    </row>
    <row r="4821" spans="1:5" ht="12.5">
      <c r="A4821" s="81" t="str">
        <f t="shared" si="0"/>
        <v xml:space="preserve"> </v>
      </c>
      <c r="B4821" s="81" t="str">
        <f t="shared" si="1"/>
        <v xml:space="preserve"> </v>
      </c>
      <c r="C4821" s="79" t="str">
        <f t="shared" si="7"/>
        <v xml:space="preserve"> </v>
      </c>
      <c r="D4821" s="79" t="str">
        <f t="shared" si="5"/>
        <v xml:space="preserve"> </v>
      </c>
      <c r="E4821" s="79" t="str">
        <f t="shared" si="6"/>
        <v xml:space="preserve"> </v>
      </c>
    </row>
    <row r="4822" spans="1:5" ht="12.5">
      <c r="A4822" s="81" t="str">
        <f t="shared" si="0"/>
        <v xml:space="preserve"> </v>
      </c>
      <c r="B4822" s="81" t="str">
        <f t="shared" si="1"/>
        <v xml:space="preserve"> </v>
      </c>
      <c r="C4822" s="79" t="str">
        <f t="shared" si="7"/>
        <v xml:space="preserve"> </v>
      </c>
      <c r="D4822" s="79" t="str">
        <f t="shared" si="5"/>
        <v xml:space="preserve"> </v>
      </c>
      <c r="E4822" s="79" t="str">
        <f t="shared" si="6"/>
        <v xml:space="preserve"> </v>
      </c>
    </row>
    <row r="4823" spans="1:5" ht="12.5">
      <c r="A4823" s="81" t="str">
        <f t="shared" si="0"/>
        <v xml:space="preserve"> </v>
      </c>
      <c r="B4823" s="81" t="str">
        <f t="shared" si="1"/>
        <v xml:space="preserve"> </v>
      </c>
      <c r="C4823" s="79" t="str">
        <f t="shared" si="7"/>
        <v xml:space="preserve"> </v>
      </c>
      <c r="D4823" s="79" t="str">
        <f t="shared" si="5"/>
        <v xml:space="preserve"> </v>
      </c>
      <c r="E4823" s="79" t="str">
        <f t="shared" si="6"/>
        <v xml:space="preserve"> </v>
      </c>
    </row>
    <row r="4824" spans="1:5" ht="12.5">
      <c r="A4824" s="81" t="str">
        <f t="shared" si="0"/>
        <v xml:space="preserve"> </v>
      </c>
      <c r="B4824" s="81" t="str">
        <f t="shared" si="1"/>
        <v xml:space="preserve"> </v>
      </c>
      <c r="C4824" s="79" t="str">
        <f t="shared" si="7"/>
        <v xml:space="preserve"> </v>
      </c>
      <c r="D4824" s="79" t="str">
        <f t="shared" si="5"/>
        <v xml:space="preserve"> </v>
      </c>
      <c r="E4824" s="79" t="str">
        <f t="shared" si="6"/>
        <v xml:space="preserve"> </v>
      </c>
    </row>
    <row r="4825" spans="1:5" ht="12.5">
      <c r="A4825" s="81" t="str">
        <f t="shared" si="0"/>
        <v xml:space="preserve"> </v>
      </c>
      <c r="B4825" s="81" t="str">
        <f t="shared" si="1"/>
        <v xml:space="preserve"> </v>
      </c>
      <c r="C4825" s="79" t="str">
        <f t="shared" si="7"/>
        <v xml:space="preserve"> </v>
      </c>
      <c r="D4825" s="79" t="str">
        <f t="shared" si="5"/>
        <v xml:space="preserve"> </v>
      </c>
      <c r="E4825" s="79" t="str">
        <f t="shared" si="6"/>
        <v xml:space="preserve"> </v>
      </c>
    </row>
    <row r="4826" spans="1:5" ht="12.5">
      <c r="A4826" s="81" t="str">
        <f t="shared" si="0"/>
        <v xml:space="preserve"> </v>
      </c>
      <c r="B4826" s="81" t="str">
        <f t="shared" si="1"/>
        <v xml:space="preserve"> </v>
      </c>
      <c r="C4826" s="79" t="str">
        <f t="shared" si="7"/>
        <v xml:space="preserve"> </v>
      </c>
      <c r="D4826" s="79" t="str">
        <f t="shared" si="5"/>
        <v xml:space="preserve"> </v>
      </c>
      <c r="E4826" s="79" t="str">
        <f t="shared" si="6"/>
        <v xml:space="preserve"> </v>
      </c>
    </row>
    <row r="4827" spans="1:5" ht="12.5">
      <c r="A4827" s="81" t="str">
        <f t="shared" si="0"/>
        <v xml:space="preserve"> </v>
      </c>
      <c r="B4827" s="81" t="str">
        <f t="shared" si="1"/>
        <v xml:space="preserve"> </v>
      </c>
      <c r="C4827" s="79" t="str">
        <f t="shared" si="7"/>
        <v xml:space="preserve"> </v>
      </c>
      <c r="D4827" s="79" t="str">
        <f t="shared" si="5"/>
        <v xml:space="preserve"> </v>
      </c>
      <c r="E4827" s="79" t="str">
        <f t="shared" si="6"/>
        <v xml:space="preserve"> </v>
      </c>
    </row>
    <row r="4828" spans="1:5" ht="12.5">
      <c r="A4828" s="81" t="str">
        <f t="shared" si="0"/>
        <v xml:space="preserve"> </v>
      </c>
      <c r="B4828" s="81" t="str">
        <f t="shared" si="1"/>
        <v xml:space="preserve"> </v>
      </c>
      <c r="C4828" s="79" t="str">
        <f t="shared" si="7"/>
        <v xml:space="preserve"> </v>
      </c>
      <c r="D4828" s="79" t="str">
        <f t="shared" si="5"/>
        <v xml:space="preserve"> </v>
      </c>
      <c r="E4828" s="79" t="str">
        <f t="shared" si="6"/>
        <v xml:space="preserve"> </v>
      </c>
    </row>
    <row r="4829" spans="1:5" ht="12.5">
      <c r="A4829" s="81" t="str">
        <f t="shared" si="0"/>
        <v xml:space="preserve"> </v>
      </c>
      <c r="B4829" s="81" t="str">
        <f t="shared" si="1"/>
        <v xml:space="preserve"> </v>
      </c>
      <c r="C4829" s="79" t="str">
        <f t="shared" si="7"/>
        <v xml:space="preserve"> </v>
      </c>
      <c r="D4829" s="79" t="str">
        <f t="shared" si="5"/>
        <v xml:space="preserve"> </v>
      </c>
      <c r="E4829" s="79" t="str">
        <f t="shared" si="6"/>
        <v xml:space="preserve"> </v>
      </c>
    </row>
    <row r="4830" spans="1:5" ht="12.5">
      <c r="A4830" s="81" t="str">
        <f t="shared" si="0"/>
        <v xml:space="preserve"> </v>
      </c>
      <c r="B4830" s="81" t="str">
        <f t="shared" si="1"/>
        <v xml:space="preserve"> </v>
      </c>
      <c r="C4830" s="79" t="str">
        <f t="shared" si="7"/>
        <v xml:space="preserve"> </v>
      </c>
      <c r="D4830" s="79" t="str">
        <f t="shared" si="5"/>
        <v xml:space="preserve"> </v>
      </c>
      <c r="E4830" s="79" t="str">
        <f t="shared" si="6"/>
        <v xml:space="preserve"> </v>
      </c>
    </row>
    <row r="4831" spans="1:5" ht="12.5">
      <c r="A4831" s="81" t="str">
        <f t="shared" si="0"/>
        <v xml:space="preserve"> </v>
      </c>
      <c r="B4831" s="81" t="str">
        <f t="shared" si="1"/>
        <v xml:space="preserve"> </v>
      </c>
      <c r="C4831" s="79" t="str">
        <f t="shared" si="7"/>
        <v xml:space="preserve"> </v>
      </c>
      <c r="D4831" s="79" t="str">
        <f t="shared" si="5"/>
        <v xml:space="preserve"> </v>
      </c>
      <c r="E4831" s="79" t="str">
        <f t="shared" si="6"/>
        <v xml:space="preserve"> </v>
      </c>
    </row>
    <row r="4832" spans="1:5" ht="12.5">
      <c r="A4832" s="81" t="str">
        <f t="shared" si="0"/>
        <v xml:space="preserve"> </v>
      </c>
      <c r="B4832" s="81" t="str">
        <f t="shared" si="1"/>
        <v xml:space="preserve"> </v>
      </c>
      <c r="C4832" s="79" t="str">
        <f t="shared" si="7"/>
        <v xml:space="preserve"> </v>
      </c>
      <c r="D4832" s="79" t="str">
        <f t="shared" si="5"/>
        <v xml:space="preserve"> </v>
      </c>
      <c r="E4832" s="79" t="str">
        <f t="shared" si="6"/>
        <v xml:space="preserve"> </v>
      </c>
    </row>
    <row r="4833" spans="1:5" ht="12.5">
      <c r="A4833" s="81" t="str">
        <f t="shared" si="0"/>
        <v xml:space="preserve"> </v>
      </c>
      <c r="B4833" s="81" t="str">
        <f t="shared" si="1"/>
        <v xml:space="preserve"> </v>
      </c>
      <c r="C4833" s="79" t="str">
        <f t="shared" si="7"/>
        <v xml:space="preserve"> </v>
      </c>
      <c r="D4833" s="79" t="str">
        <f t="shared" si="5"/>
        <v xml:space="preserve"> </v>
      </c>
      <c r="E4833" s="79" t="str">
        <f t="shared" si="6"/>
        <v xml:space="preserve"> </v>
      </c>
    </row>
    <row r="4834" spans="1:5" ht="12.5">
      <c r="A4834" s="81" t="str">
        <f t="shared" si="0"/>
        <v xml:space="preserve"> </v>
      </c>
      <c r="B4834" s="81" t="str">
        <f t="shared" si="1"/>
        <v xml:space="preserve"> </v>
      </c>
      <c r="C4834" s="79" t="str">
        <f t="shared" si="7"/>
        <v xml:space="preserve"> </v>
      </c>
      <c r="D4834" s="79" t="str">
        <f t="shared" si="5"/>
        <v xml:space="preserve"> </v>
      </c>
      <c r="E4834" s="79" t="str">
        <f t="shared" si="6"/>
        <v xml:space="preserve"> </v>
      </c>
    </row>
    <row r="4835" spans="1:5" ht="12.5">
      <c r="A4835" s="81" t="str">
        <f t="shared" si="0"/>
        <v xml:space="preserve"> </v>
      </c>
      <c r="B4835" s="81" t="str">
        <f t="shared" si="1"/>
        <v xml:space="preserve"> </v>
      </c>
      <c r="C4835" s="79" t="str">
        <f t="shared" si="7"/>
        <v xml:space="preserve"> </v>
      </c>
      <c r="D4835" s="79" t="str">
        <f t="shared" si="5"/>
        <v xml:space="preserve"> </v>
      </c>
      <c r="E4835" s="79" t="str">
        <f t="shared" si="6"/>
        <v xml:space="preserve"> </v>
      </c>
    </row>
    <row r="4836" spans="1:5" ht="12.5">
      <c r="A4836" s="81" t="str">
        <f t="shared" si="0"/>
        <v xml:space="preserve"> </v>
      </c>
      <c r="B4836" s="81" t="str">
        <f t="shared" si="1"/>
        <v xml:space="preserve"> </v>
      </c>
      <c r="C4836" s="79" t="str">
        <f t="shared" si="7"/>
        <v xml:space="preserve"> </v>
      </c>
      <c r="D4836" s="79" t="str">
        <f t="shared" si="5"/>
        <v xml:space="preserve"> </v>
      </c>
      <c r="E4836" s="79" t="str">
        <f t="shared" si="6"/>
        <v xml:space="preserve"> </v>
      </c>
    </row>
    <row r="4837" spans="1:5" ht="12.5">
      <c r="A4837" s="81" t="str">
        <f t="shared" si="0"/>
        <v xml:space="preserve"> </v>
      </c>
      <c r="B4837" s="81" t="str">
        <f t="shared" si="1"/>
        <v xml:space="preserve"> </v>
      </c>
      <c r="C4837" s="79" t="str">
        <f t="shared" si="7"/>
        <v xml:space="preserve"> </v>
      </c>
      <c r="D4837" s="79" t="str">
        <f t="shared" si="5"/>
        <v xml:space="preserve"> </v>
      </c>
      <c r="E4837" s="79" t="str">
        <f t="shared" si="6"/>
        <v xml:space="preserve"> </v>
      </c>
    </row>
    <row r="4838" spans="1:5" ht="12.5">
      <c r="A4838" s="81" t="str">
        <f t="shared" si="0"/>
        <v xml:space="preserve"> </v>
      </c>
      <c r="B4838" s="81" t="str">
        <f t="shared" si="1"/>
        <v xml:space="preserve"> </v>
      </c>
      <c r="C4838" s="79" t="str">
        <f t="shared" si="7"/>
        <v xml:space="preserve"> </v>
      </c>
      <c r="D4838" s="79" t="str">
        <f t="shared" si="5"/>
        <v xml:space="preserve"> </v>
      </c>
      <c r="E4838" s="79" t="str">
        <f t="shared" si="6"/>
        <v xml:space="preserve"> </v>
      </c>
    </row>
    <row r="4839" spans="1:5" ht="12.5">
      <c r="A4839" s="81" t="str">
        <f t="shared" si="0"/>
        <v xml:space="preserve"> </v>
      </c>
      <c r="B4839" s="81" t="str">
        <f t="shared" si="1"/>
        <v xml:space="preserve"> </v>
      </c>
      <c r="C4839" s="79" t="str">
        <f t="shared" si="7"/>
        <v xml:space="preserve"> </v>
      </c>
      <c r="D4839" s="79" t="str">
        <f t="shared" si="5"/>
        <v xml:space="preserve"> </v>
      </c>
      <c r="E4839" s="79" t="str">
        <f t="shared" si="6"/>
        <v xml:space="preserve"> </v>
      </c>
    </row>
    <row r="4840" spans="1:5" ht="12.5">
      <c r="A4840" s="81" t="str">
        <f t="shared" si="0"/>
        <v xml:space="preserve"> </v>
      </c>
      <c r="B4840" s="81" t="str">
        <f t="shared" si="1"/>
        <v xml:space="preserve"> </v>
      </c>
      <c r="C4840" s="79" t="str">
        <f t="shared" si="7"/>
        <v xml:space="preserve"> </v>
      </c>
      <c r="D4840" s="79" t="str">
        <f t="shared" si="5"/>
        <v xml:space="preserve"> </v>
      </c>
      <c r="E4840" s="79" t="str">
        <f t="shared" si="6"/>
        <v xml:space="preserve"> </v>
      </c>
    </row>
    <row r="4841" spans="1:5" ht="12.5">
      <c r="A4841" s="81" t="str">
        <f t="shared" si="0"/>
        <v xml:space="preserve"> </v>
      </c>
      <c r="B4841" s="81" t="str">
        <f t="shared" si="1"/>
        <v xml:space="preserve"> </v>
      </c>
      <c r="C4841" s="79" t="str">
        <f t="shared" si="7"/>
        <v xml:space="preserve"> </v>
      </c>
      <c r="D4841" s="79" t="str">
        <f t="shared" si="5"/>
        <v xml:space="preserve"> </v>
      </c>
      <c r="E4841" s="79" t="str">
        <f t="shared" si="6"/>
        <v xml:space="preserve"> </v>
      </c>
    </row>
    <row r="4842" spans="1:5" ht="12.5">
      <c r="A4842" s="81" t="str">
        <f t="shared" si="0"/>
        <v xml:space="preserve"> </v>
      </c>
      <c r="B4842" s="81" t="str">
        <f t="shared" si="1"/>
        <v xml:space="preserve"> </v>
      </c>
      <c r="C4842" s="79" t="str">
        <f t="shared" si="7"/>
        <v xml:space="preserve"> </v>
      </c>
      <c r="D4842" s="79" t="str">
        <f t="shared" si="5"/>
        <v xml:space="preserve"> </v>
      </c>
      <c r="E4842" s="79" t="str">
        <f t="shared" si="6"/>
        <v xml:space="preserve"> </v>
      </c>
    </row>
    <row r="4843" spans="1:5" ht="12.5">
      <c r="A4843" s="81" t="str">
        <f t="shared" si="0"/>
        <v xml:space="preserve"> </v>
      </c>
      <c r="B4843" s="81" t="str">
        <f t="shared" si="1"/>
        <v xml:space="preserve"> </v>
      </c>
      <c r="C4843" s="79" t="str">
        <f t="shared" si="7"/>
        <v xml:space="preserve"> </v>
      </c>
      <c r="D4843" s="79" t="str">
        <f t="shared" si="5"/>
        <v xml:space="preserve"> </v>
      </c>
      <c r="E4843" s="79" t="str">
        <f t="shared" si="6"/>
        <v xml:space="preserve"> </v>
      </c>
    </row>
    <row r="4844" spans="1:5" ht="12.5">
      <c r="A4844" s="81" t="str">
        <f t="shared" si="0"/>
        <v xml:space="preserve"> </v>
      </c>
      <c r="B4844" s="81" t="str">
        <f t="shared" si="1"/>
        <v xml:space="preserve"> </v>
      </c>
      <c r="C4844" s="79" t="str">
        <f t="shared" si="7"/>
        <v xml:space="preserve"> </v>
      </c>
      <c r="D4844" s="79" t="str">
        <f t="shared" si="5"/>
        <v xml:space="preserve"> </v>
      </c>
      <c r="E4844" s="79" t="str">
        <f t="shared" si="6"/>
        <v xml:space="preserve"> </v>
      </c>
    </row>
    <row r="4845" spans="1:5" ht="12.5">
      <c r="A4845" s="81" t="str">
        <f t="shared" si="0"/>
        <v xml:space="preserve"> </v>
      </c>
      <c r="B4845" s="81" t="str">
        <f t="shared" si="1"/>
        <v xml:space="preserve"> </v>
      </c>
      <c r="C4845" s="79" t="str">
        <f t="shared" si="7"/>
        <v xml:space="preserve"> </v>
      </c>
      <c r="D4845" s="79" t="str">
        <f t="shared" si="5"/>
        <v xml:space="preserve"> </v>
      </c>
      <c r="E4845" s="79" t="str">
        <f t="shared" si="6"/>
        <v xml:space="preserve"> </v>
      </c>
    </row>
    <row r="4846" spans="1:5" ht="12.5">
      <c r="A4846" s="81" t="str">
        <f t="shared" si="0"/>
        <v xml:space="preserve"> </v>
      </c>
      <c r="B4846" s="81" t="str">
        <f t="shared" si="1"/>
        <v xml:space="preserve"> </v>
      </c>
      <c r="C4846" s="79" t="str">
        <f t="shared" si="7"/>
        <v xml:space="preserve"> </v>
      </c>
      <c r="D4846" s="79" t="str">
        <f t="shared" si="5"/>
        <v xml:space="preserve"> </v>
      </c>
      <c r="E4846" s="79" t="str">
        <f t="shared" si="6"/>
        <v xml:space="preserve"> </v>
      </c>
    </row>
    <row r="4847" spans="1:5" ht="12.5">
      <c r="A4847" s="81" t="str">
        <f t="shared" si="0"/>
        <v xml:space="preserve"> </v>
      </c>
      <c r="B4847" s="81" t="str">
        <f t="shared" si="1"/>
        <v xml:space="preserve"> </v>
      </c>
      <c r="C4847" s="79" t="str">
        <f t="shared" si="7"/>
        <v xml:space="preserve"> </v>
      </c>
      <c r="D4847" s="79" t="str">
        <f t="shared" si="5"/>
        <v xml:space="preserve"> </v>
      </c>
      <c r="E4847" s="79" t="str">
        <f t="shared" si="6"/>
        <v xml:space="preserve"> </v>
      </c>
    </row>
    <row r="4848" spans="1:5" ht="12.5">
      <c r="A4848" s="81" t="str">
        <f t="shared" si="0"/>
        <v xml:space="preserve"> </v>
      </c>
      <c r="B4848" s="81" t="str">
        <f t="shared" si="1"/>
        <v xml:space="preserve"> </v>
      </c>
      <c r="C4848" s="79" t="str">
        <f t="shared" si="7"/>
        <v xml:space="preserve"> </v>
      </c>
      <c r="D4848" s="79" t="str">
        <f t="shared" si="5"/>
        <v xml:space="preserve"> </v>
      </c>
      <c r="E4848" s="79" t="str">
        <f t="shared" si="6"/>
        <v xml:space="preserve"> </v>
      </c>
    </row>
    <row r="4849" spans="1:5" ht="12.5">
      <c r="A4849" s="81" t="str">
        <f t="shared" si="0"/>
        <v xml:space="preserve"> </v>
      </c>
      <c r="B4849" s="81" t="str">
        <f t="shared" si="1"/>
        <v xml:space="preserve"> </v>
      </c>
      <c r="C4849" s="79" t="str">
        <f t="shared" si="7"/>
        <v xml:space="preserve"> </v>
      </c>
      <c r="D4849" s="79" t="str">
        <f t="shared" si="5"/>
        <v xml:space="preserve"> </v>
      </c>
      <c r="E4849" s="79" t="str">
        <f t="shared" si="6"/>
        <v xml:space="preserve"> </v>
      </c>
    </row>
    <row r="4850" spans="1:5" ht="12.5">
      <c r="A4850" s="81" t="str">
        <f t="shared" si="0"/>
        <v xml:space="preserve"> </v>
      </c>
      <c r="B4850" s="81" t="str">
        <f t="shared" si="1"/>
        <v xml:space="preserve"> </v>
      </c>
      <c r="C4850" s="79" t="str">
        <f t="shared" si="7"/>
        <v xml:space="preserve"> </v>
      </c>
      <c r="D4850" s="79" t="str">
        <f t="shared" si="5"/>
        <v xml:space="preserve"> </v>
      </c>
      <c r="E4850" s="79" t="str">
        <f t="shared" si="6"/>
        <v xml:space="preserve"> </v>
      </c>
    </row>
    <row r="4851" spans="1:5" ht="12.5">
      <c r="A4851" s="81" t="str">
        <f t="shared" si="0"/>
        <v xml:space="preserve"> </v>
      </c>
      <c r="B4851" s="81" t="str">
        <f t="shared" si="1"/>
        <v xml:space="preserve"> </v>
      </c>
      <c r="C4851" s="79" t="str">
        <f t="shared" si="7"/>
        <v xml:space="preserve"> </v>
      </c>
      <c r="D4851" s="79" t="str">
        <f t="shared" si="5"/>
        <v xml:space="preserve"> </v>
      </c>
      <c r="E4851" s="79" t="str">
        <f t="shared" si="6"/>
        <v xml:space="preserve"> </v>
      </c>
    </row>
    <row r="4852" spans="1:5" ht="12.5">
      <c r="A4852" s="81" t="str">
        <f t="shared" si="0"/>
        <v xml:space="preserve"> </v>
      </c>
      <c r="B4852" s="81" t="str">
        <f t="shared" si="1"/>
        <v xml:space="preserve"> </v>
      </c>
      <c r="C4852" s="79" t="str">
        <f t="shared" si="7"/>
        <v xml:space="preserve"> </v>
      </c>
      <c r="D4852" s="79" t="str">
        <f t="shared" si="5"/>
        <v xml:space="preserve"> </v>
      </c>
      <c r="E4852" s="79" t="str">
        <f t="shared" si="6"/>
        <v xml:space="preserve"> </v>
      </c>
    </row>
    <row r="4853" spans="1:5" ht="12.5">
      <c r="A4853" s="81" t="str">
        <f t="shared" si="0"/>
        <v xml:space="preserve"> </v>
      </c>
      <c r="B4853" s="81" t="str">
        <f t="shared" si="1"/>
        <v xml:space="preserve"> </v>
      </c>
      <c r="C4853" s="79" t="str">
        <f t="shared" si="7"/>
        <v xml:space="preserve"> </v>
      </c>
      <c r="D4853" s="79" t="str">
        <f t="shared" si="5"/>
        <v xml:space="preserve"> </v>
      </c>
      <c r="E4853" s="79" t="str">
        <f t="shared" si="6"/>
        <v xml:space="preserve"> </v>
      </c>
    </row>
    <row r="4854" spans="1:5" ht="12.5">
      <c r="A4854" s="81" t="str">
        <f t="shared" si="0"/>
        <v xml:space="preserve"> </v>
      </c>
      <c r="B4854" s="81" t="str">
        <f t="shared" si="1"/>
        <v xml:space="preserve"> </v>
      </c>
      <c r="C4854" s="79" t="str">
        <f t="shared" si="7"/>
        <v xml:space="preserve"> </v>
      </c>
      <c r="D4854" s="79" t="str">
        <f t="shared" si="5"/>
        <v xml:space="preserve"> </v>
      </c>
      <c r="E4854" s="79" t="str">
        <f t="shared" si="6"/>
        <v xml:space="preserve"> </v>
      </c>
    </row>
    <row r="4855" spans="1:5" ht="12.5">
      <c r="A4855" s="81" t="str">
        <f t="shared" si="0"/>
        <v xml:space="preserve"> </v>
      </c>
      <c r="B4855" s="81" t="str">
        <f t="shared" si="1"/>
        <v xml:space="preserve"> </v>
      </c>
      <c r="C4855" s="79" t="str">
        <f t="shared" si="7"/>
        <v xml:space="preserve"> </v>
      </c>
      <c r="D4855" s="79" t="str">
        <f t="shared" si="5"/>
        <v xml:space="preserve"> </v>
      </c>
      <c r="E4855" s="79" t="str">
        <f t="shared" si="6"/>
        <v xml:space="preserve"> </v>
      </c>
    </row>
    <row r="4856" spans="1:5" ht="12.5">
      <c r="A4856" s="81" t="str">
        <f t="shared" si="0"/>
        <v xml:space="preserve"> </v>
      </c>
      <c r="B4856" s="81" t="str">
        <f t="shared" si="1"/>
        <v xml:space="preserve"> </v>
      </c>
      <c r="C4856" s="79" t="str">
        <f t="shared" si="7"/>
        <v xml:space="preserve"> </v>
      </c>
      <c r="D4856" s="79" t="str">
        <f t="shared" si="5"/>
        <v xml:space="preserve"> </v>
      </c>
      <c r="E4856" s="79" t="str">
        <f t="shared" si="6"/>
        <v xml:space="preserve"> </v>
      </c>
    </row>
    <row r="4857" spans="1:5" ht="12.5">
      <c r="A4857" s="81" t="str">
        <f t="shared" si="0"/>
        <v xml:space="preserve"> </v>
      </c>
      <c r="B4857" s="81" t="str">
        <f t="shared" si="1"/>
        <v xml:space="preserve"> </v>
      </c>
      <c r="C4857" s="79" t="str">
        <f t="shared" si="7"/>
        <v xml:space="preserve"> </v>
      </c>
      <c r="D4857" s="79" t="str">
        <f t="shared" si="5"/>
        <v xml:space="preserve"> </v>
      </c>
      <c r="E4857" s="79" t="str">
        <f t="shared" si="6"/>
        <v xml:space="preserve"> </v>
      </c>
    </row>
    <row r="4858" spans="1:5" ht="12.5">
      <c r="A4858" s="81" t="str">
        <f t="shared" si="0"/>
        <v xml:space="preserve"> </v>
      </c>
      <c r="B4858" s="81" t="str">
        <f t="shared" si="1"/>
        <v xml:space="preserve"> </v>
      </c>
      <c r="C4858" s="79" t="str">
        <f t="shared" si="7"/>
        <v xml:space="preserve"> </v>
      </c>
      <c r="D4858" s="79" t="str">
        <f t="shared" si="5"/>
        <v xml:space="preserve"> </v>
      </c>
      <c r="E4858" s="79" t="str">
        <f t="shared" si="6"/>
        <v xml:space="preserve"> </v>
      </c>
    </row>
    <row r="4859" spans="1:5" ht="12.5">
      <c r="A4859" s="81" t="str">
        <f t="shared" si="0"/>
        <v xml:space="preserve"> </v>
      </c>
      <c r="B4859" s="81" t="str">
        <f t="shared" si="1"/>
        <v xml:space="preserve"> </v>
      </c>
      <c r="C4859" s="79" t="str">
        <f t="shared" si="7"/>
        <v xml:space="preserve"> </v>
      </c>
      <c r="D4859" s="79" t="str">
        <f t="shared" si="5"/>
        <v xml:space="preserve"> </v>
      </c>
      <c r="E4859" s="79" t="str">
        <f t="shared" si="6"/>
        <v xml:space="preserve"> </v>
      </c>
    </row>
    <row r="4860" spans="1:5" ht="12.5">
      <c r="A4860" s="81" t="str">
        <f t="shared" si="0"/>
        <v xml:space="preserve"> </v>
      </c>
      <c r="B4860" s="81" t="str">
        <f t="shared" si="1"/>
        <v xml:space="preserve"> </v>
      </c>
      <c r="C4860" s="79" t="str">
        <f t="shared" si="7"/>
        <v xml:space="preserve"> </v>
      </c>
      <c r="D4860" s="79" t="str">
        <f t="shared" si="5"/>
        <v xml:space="preserve"> </v>
      </c>
      <c r="E4860" s="79" t="str">
        <f t="shared" si="6"/>
        <v xml:space="preserve"> </v>
      </c>
    </row>
    <row r="4861" spans="1:5" ht="12.5">
      <c r="A4861" s="81" t="str">
        <f t="shared" si="0"/>
        <v xml:space="preserve"> </v>
      </c>
      <c r="B4861" s="81" t="str">
        <f t="shared" si="1"/>
        <v xml:space="preserve"> </v>
      </c>
      <c r="C4861" s="79" t="str">
        <f t="shared" si="7"/>
        <v xml:space="preserve"> </v>
      </c>
      <c r="D4861" s="79" t="str">
        <f t="shared" si="5"/>
        <v xml:space="preserve"> </v>
      </c>
      <c r="E4861" s="79" t="str">
        <f t="shared" si="6"/>
        <v xml:space="preserve"> </v>
      </c>
    </row>
    <row r="4862" spans="1:5" ht="12.5">
      <c r="A4862" s="81" t="str">
        <f t="shared" si="0"/>
        <v xml:space="preserve"> </v>
      </c>
      <c r="B4862" s="81" t="str">
        <f t="shared" si="1"/>
        <v xml:space="preserve"> </v>
      </c>
      <c r="C4862" s="79" t="str">
        <f t="shared" si="7"/>
        <v xml:space="preserve"> </v>
      </c>
      <c r="D4862" s="79" t="str">
        <f t="shared" si="5"/>
        <v xml:space="preserve"> </v>
      </c>
      <c r="E4862" s="79" t="str">
        <f t="shared" si="6"/>
        <v xml:space="preserve"> </v>
      </c>
    </row>
    <row r="4863" spans="1:5" ht="12.5">
      <c r="A4863" s="81" t="str">
        <f t="shared" si="0"/>
        <v xml:space="preserve"> </v>
      </c>
      <c r="B4863" s="81" t="str">
        <f t="shared" si="1"/>
        <v xml:space="preserve"> </v>
      </c>
      <c r="C4863" s="79" t="str">
        <f t="shared" si="7"/>
        <v xml:space="preserve"> </v>
      </c>
      <c r="D4863" s="79" t="str">
        <f t="shared" si="5"/>
        <v xml:space="preserve"> </v>
      </c>
      <c r="E4863" s="79" t="str">
        <f t="shared" si="6"/>
        <v xml:space="preserve"> </v>
      </c>
    </row>
    <row r="4864" spans="1:5" ht="12.5">
      <c r="A4864" s="81" t="str">
        <f t="shared" si="0"/>
        <v xml:space="preserve"> </v>
      </c>
      <c r="B4864" s="81" t="str">
        <f t="shared" si="1"/>
        <v xml:space="preserve"> </v>
      </c>
      <c r="C4864" s="79" t="str">
        <f t="shared" si="7"/>
        <v xml:space="preserve"> </v>
      </c>
      <c r="D4864" s="79" t="str">
        <f t="shared" si="5"/>
        <v xml:space="preserve"> </v>
      </c>
      <c r="E4864" s="79" t="str">
        <f t="shared" si="6"/>
        <v xml:space="preserve"> </v>
      </c>
    </row>
    <row r="4865" spans="1:5" ht="12.5">
      <c r="A4865" s="81" t="str">
        <f t="shared" si="0"/>
        <v xml:space="preserve"> </v>
      </c>
      <c r="B4865" s="81" t="str">
        <f t="shared" si="1"/>
        <v xml:space="preserve"> </v>
      </c>
      <c r="C4865" s="79" t="str">
        <f t="shared" si="7"/>
        <v xml:space="preserve"> </v>
      </c>
      <c r="D4865" s="79" t="str">
        <f t="shared" si="5"/>
        <v xml:space="preserve"> </v>
      </c>
      <c r="E4865" s="79" t="str">
        <f t="shared" si="6"/>
        <v xml:space="preserve"> </v>
      </c>
    </row>
    <row r="4866" spans="1:5" ht="12.5">
      <c r="A4866" s="81" t="str">
        <f t="shared" si="0"/>
        <v xml:space="preserve"> </v>
      </c>
      <c r="B4866" s="81" t="str">
        <f t="shared" si="1"/>
        <v xml:space="preserve"> </v>
      </c>
      <c r="C4866" s="79" t="str">
        <f t="shared" si="7"/>
        <v xml:space="preserve"> </v>
      </c>
      <c r="D4866" s="79" t="str">
        <f t="shared" si="5"/>
        <v xml:space="preserve"> </v>
      </c>
      <c r="E4866" s="79" t="str">
        <f t="shared" si="6"/>
        <v xml:space="preserve"> </v>
      </c>
    </row>
    <row r="4867" spans="1:5" ht="12.5">
      <c r="A4867" s="81" t="str">
        <f t="shared" si="0"/>
        <v xml:space="preserve"> </v>
      </c>
      <c r="B4867" s="81" t="str">
        <f t="shared" si="1"/>
        <v xml:space="preserve"> </v>
      </c>
      <c r="C4867" s="79" t="str">
        <f t="shared" si="7"/>
        <v xml:space="preserve"> </v>
      </c>
      <c r="D4867" s="79" t="str">
        <f t="shared" si="5"/>
        <v xml:space="preserve"> </v>
      </c>
      <c r="E4867" s="79" t="str">
        <f t="shared" si="6"/>
        <v xml:space="preserve"> </v>
      </c>
    </row>
    <row r="4868" spans="1:5" ht="12.5">
      <c r="A4868" s="81" t="str">
        <f t="shared" si="0"/>
        <v xml:space="preserve"> </v>
      </c>
      <c r="B4868" s="81" t="str">
        <f t="shared" si="1"/>
        <v xml:space="preserve"> </v>
      </c>
      <c r="C4868" s="79" t="str">
        <f t="shared" si="7"/>
        <v xml:space="preserve"> </v>
      </c>
      <c r="D4868" s="79" t="str">
        <f t="shared" si="5"/>
        <v xml:space="preserve"> </v>
      </c>
      <c r="E4868" s="79" t="str">
        <f t="shared" si="6"/>
        <v xml:space="preserve"> </v>
      </c>
    </row>
    <row r="4869" spans="1:5" ht="12.5">
      <c r="A4869" s="81" t="str">
        <f t="shared" si="0"/>
        <v xml:space="preserve"> </v>
      </c>
      <c r="B4869" s="81" t="str">
        <f t="shared" si="1"/>
        <v xml:space="preserve"> </v>
      </c>
      <c r="C4869" s="79" t="str">
        <f t="shared" si="7"/>
        <v xml:space="preserve"> </v>
      </c>
      <c r="D4869" s="79" t="str">
        <f t="shared" si="5"/>
        <v xml:space="preserve"> </v>
      </c>
      <c r="E4869" s="79" t="str">
        <f t="shared" si="6"/>
        <v xml:space="preserve"> </v>
      </c>
    </row>
    <row r="4870" spans="1:5" ht="12.5">
      <c r="A4870" s="81" t="str">
        <f t="shared" si="0"/>
        <v xml:space="preserve"> </v>
      </c>
      <c r="B4870" s="81" t="str">
        <f t="shared" si="1"/>
        <v xml:space="preserve"> </v>
      </c>
      <c r="C4870" s="79" t="str">
        <f t="shared" si="7"/>
        <v xml:space="preserve"> </v>
      </c>
      <c r="D4870" s="79" t="str">
        <f t="shared" si="5"/>
        <v xml:space="preserve"> </v>
      </c>
      <c r="E4870" s="79" t="str">
        <f t="shared" si="6"/>
        <v xml:space="preserve"> </v>
      </c>
    </row>
    <row r="4871" spans="1:5" ht="12.5">
      <c r="A4871" s="81" t="str">
        <f t="shared" si="0"/>
        <v xml:space="preserve"> </v>
      </c>
      <c r="B4871" s="81" t="str">
        <f t="shared" si="1"/>
        <v xml:space="preserve"> </v>
      </c>
      <c r="C4871" s="79" t="str">
        <f t="shared" si="7"/>
        <v xml:space="preserve"> </v>
      </c>
      <c r="D4871" s="79" t="str">
        <f t="shared" si="5"/>
        <v xml:space="preserve"> </v>
      </c>
      <c r="E4871" s="79" t="str">
        <f t="shared" si="6"/>
        <v xml:space="preserve"> </v>
      </c>
    </row>
    <row r="4872" spans="1:5" ht="12.5">
      <c r="A4872" s="81" t="str">
        <f t="shared" si="0"/>
        <v xml:space="preserve"> </v>
      </c>
      <c r="B4872" s="81" t="str">
        <f t="shared" si="1"/>
        <v xml:space="preserve"> </v>
      </c>
      <c r="C4872" s="79" t="str">
        <f t="shared" si="7"/>
        <v xml:space="preserve"> </v>
      </c>
      <c r="D4872" s="79" t="str">
        <f t="shared" si="5"/>
        <v xml:space="preserve"> </v>
      </c>
      <c r="E4872" s="79" t="str">
        <f t="shared" si="6"/>
        <v xml:space="preserve"> </v>
      </c>
    </row>
    <row r="4873" spans="1:5" ht="12.5">
      <c r="A4873" s="81" t="str">
        <f t="shared" si="0"/>
        <v xml:space="preserve"> </v>
      </c>
      <c r="B4873" s="81" t="str">
        <f t="shared" si="1"/>
        <v xml:space="preserve"> </v>
      </c>
      <c r="C4873" s="79" t="str">
        <f t="shared" si="7"/>
        <v xml:space="preserve"> </v>
      </c>
      <c r="D4873" s="79" t="str">
        <f t="shared" si="5"/>
        <v xml:space="preserve"> </v>
      </c>
      <c r="E4873" s="79" t="str">
        <f t="shared" si="6"/>
        <v xml:space="preserve"> </v>
      </c>
    </row>
    <row r="4874" spans="1:5" ht="12.5">
      <c r="A4874" s="81" t="str">
        <f t="shared" si="0"/>
        <v xml:space="preserve"> </v>
      </c>
      <c r="B4874" s="81" t="str">
        <f t="shared" si="1"/>
        <v xml:space="preserve"> </v>
      </c>
      <c r="C4874" s="79" t="str">
        <f t="shared" si="7"/>
        <v xml:space="preserve"> </v>
      </c>
      <c r="D4874" s="79" t="str">
        <f t="shared" si="5"/>
        <v xml:space="preserve"> </v>
      </c>
      <c r="E4874" s="79" t="str">
        <f t="shared" si="6"/>
        <v xml:space="preserve"> </v>
      </c>
    </row>
    <row r="4875" spans="1:5" ht="12.5">
      <c r="A4875" s="81" t="str">
        <f t="shared" si="0"/>
        <v xml:space="preserve"> </v>
      </c>
      <c r="B4875" s="81" t="str">
        <f t="shared" si="1"/>
        <v xml:space="preserve"> </v>
      </c>
      <c r="C4875" s="79" t="str">
        <f t="shared" si="7"/>
        <v xml:space="preserve"> </v>
      </c>
      <c r="D4875" s="79" t="str">
        <f t="shared" si="5"/>
        <v xml:space="preserve"> </v>
      </c>
      <c r="E4875" s="79" t="str">
        <f t="shared" si="6"/>
        <v xml:space="preserve"> </v>
      </c>
    </row>
    <row r="4876" spans="1:5" ht="12.5">
      <c r="A4876" s="81" t="str">
        <f t="shared" si="0"/>
        <v xml:space="preserve"> </v>
      </c>
      <c r="B4876" s="81" t="str">
        <f t="shared" si="1"/>
        <v xml:space="preserve"> </v>
      </c>
      <c r="C4876" s="79" t="str">
        <f t="shared" si="7"/>
        <v xml:space="preserve"> </v>
      </c>
      <c r="D4876" s="79" t="str">
        <f t="shared" si="5"/>
        <v xml:space="preserve"> </v>
      </c>
      <c r="E4876" s="79" t="str">
        <f t="shared" si="6"/>
        <v xml:space="preserve"> </v>
      </c>
    </row>
    <row r="4877" spans="1:5" ht="12.5">
      <c r="A4877" s="81" t="str">
        <f t="shared" si="0"/>
        <v xml:space="preserve"> </v>
      </c>
      <c r="B4877" s="81" t="str">
        <f t="shared" si="1"/>
        <v xml:space="preserve"> </v>
      </c>
      <c r="C4877" s="79" t="str">
        <f t="shared" si="7"/>
        <v xml:space="preserve"> </v>
      </c>
      <c r="D4877" s="79" t="str">
        <f t="shared" si="5"/>
        <v xml:space="preserve"> </v>
      </c>
      <c r="E4877" s="79" t="str">
        <f t="shared" si="6"/>
        <v xml:space="preserve"> </v>
      </c>
    </row>
    <row r="4878" spans="1:5" ht="12.5">
      <c r="A4878" s="81" t="str">
        <f t="shared" si="0"/>
        <v xml:space="preserve"> </v>
      </c>
      <c r="B4878" s="81" t="str">
        <f t="shared" si="1"/>
        <v xml:space="preserve"> </v>
      </c>
      <c r="C4878" s="79" t="str">
        <f t="shared" si="7"/>
        <v xml:space="preserve"> </v>
      </c>
      <c r="D4878" s="79" t="str">
        <f t="shared" si="5"/>
        <v xml:space="preserve"> </v>
      </c>
      <c r="E4878" s="79" t="str">
        <f t="shared" si="6"/>
        <v xml:space="preserve"> </v>
      </c>
    </row>
    <row r="4879" spans="1:5" ht="12.5">
      <c r="A4879" s="81" t="str">
        <f t="shared" si="0"/>
        <v xml:space="preserve"> </v>
      </c>
      <c r="B4879" s="81" t="str">
        <f t="shared" si="1"/>
        <v xml:space="preserve"> </v>
      </c>
      <c r="C4879" s="79" t="str">
        <f t="shared" si="7"/>
        <v xml:space="preserve"> </v>
      </c>
      <c r="D4879" s="79" t="str">
        <f t="shared" si="5"/>
        <v xml:space="preserve"> </v>
      </c>
      <c r="E4879" s="79" t="str">
        <f t="shared" si="6"/>
        <v xml:space="preserve"> </v>
      </c>
    </row>
    <row r="4880" spans="1:5" ht="12.5">
      <c r="A4880" s="81" t="str">
        <f t="shared" si="0"/>
        <v xml:space="preserve"> </v>
      </c>
      <c r="B4880" s="81" t="str">
        <f t="shared" si="1"/>
        <v xml:space="preserve"> </v>
      </c>
      <c r="C4880" s="79" t="str">
        <f t="shared" si="7"/>
        <v xml:space="preserve"> </v>
      </c>
      <c r="D4880" s="79" t="str">
        <f t="shared" si="5"/>
        <v xml:space="preserve"> </v>
      </c>
      <c r="E4880" s="79" t="str">
        <f t="shared" si="6"/>
        <v xml:space="preserve"> </v>
      </c>
    </row>
    <row r="4881" spans="1:5" ht="12.5">
      <c r="A4881" s="81" t="str">
        <f t="shared" si="0"/>
        <v xml:space="preserve"> </v>
      </c>
      <c r="B4881" s="81" t="str">
        <f t="shared" si="1"/>
        <v xml:space="preserve"> </v>
      </c>
      <c r="C4881" s="79" t="str">
        <f t="shared" si="7"/>
        <v xml:space="preserve"> </v>
      </c>
      <c r="D4881" s="79" t="str">
        <f t="shared" si="5"/>
        <v xml:space="preserve"> </v>
      </c>
      <c r="E4881" s="79" t="str">
        <f t="shared" si="6"/>
        <v xml:space="preserve"> </v>
      </c>
    </row>
    <row r="4882" spans="1:5" ht="12.5">
      <c r="A4882" s="81" t="str">
        <f t="shared" si="0"/>
        <v xml:space="preserve"> </v>
      </c>
      <c r="B4882" s="81" t="str">
        <f t="shared" si="1"/>
        <v xml:space="preserve"> </v>
      </c>
      <c r="C4882" s="79" t="str">
        <f t="shared" si="7"/>
        <v xml:space="preserve"> </v>
      </c>
      <c r="D4882" s="79" t="str">
        <f t="shared" si="5"/>
        <v xml:space="preserve"> </v>
      </c>
      <c r="E4882" s="79" t="str">
        <f t="shared" si="6"/>
        <v xml:space="preserve"> </v>
      </c>
    </row>
    <row r="4883" spans="1:5" ht="12.5">
      <c r="A4883" s="81" t="str">
        <f t="shared" si="0"/>
        <v xml:space="preserve"> </v>
      </c>
      <c r="B4883" s="81" t="str">
        <f t="shared" si="1"/>
        <v xml:space="preserve"> </v>
      </c>
      <c r="C4883" s="79" t="str">
        <f t="shared" si="7"/>
        <v xml:space="preserve"> </v>
      </c>
      <c r="D4883" s="79" t="str">
        <f t="shared" si="5"/>
        <v xml:space="preserve"> </v>
      </c>
      <c r="E4883" s="79" t="str">
        <f t="shared" si="6"/>
        <v xml:space="preserve"> </v>
      </c>
    </row>
    <row r="4884" spans="1:5" ht="12.5">
      <c r="A4884" s="81" t="str">
        <f t="shared" si="0"/>
        <v xml:space="preserve"> </v>
      </c>
      <c r="B4884" s="81" t="str">
        <f t="shared" si="1"/>
        <v xml:space="preserve"> </v>
      </c>
      <c r="C4884" s="79" t="str">
        <f t="shared" si="7"/>
        <v xml:space="preserve"> </v>
      </c>
      <c r="D4884" s="79" t="str">
        <f t="shared" si="5"/>
        <v xml:space="preserve"> </v>
      </c>
      <c r="E4884" s="79" t="str">
        <f t="shared" si="6"/>
        <v xml:space="preserve"> </v>
      </c>
    </row>
    <row r="4885" spans="1:5" ht="12.5">
      <c r="A4885" s="81" t="str">
        <f t="shared" si="0"/>
        <v xml:space="preserve"> </v>
      </c>
      <c r="B4885" s="81" t="str">
        <f t="shared" si="1"/>
        <v xml:space="preserve"> </v>
      </c>
      <c r="C4885" s="79" t="str">
        <f t="shared" si="7"/>
        <v xml:space="preserve"> </v>
      </c>
      <c r="D4885" s="79" t="str">
        <f t="shared" si="5"/>
        <v xml:space="preserve"> </v>
      </c>
      <c r="E4885" s="79" t="str">
        <f t="shared" si="6"/>
        <v xml:space="preserve"> </v>
      </c>
    </row>
    <row r="4886" spans="1:5" ht="12.5">
      <c r="A4886" s="81" t="str">
        <f t="shared" si="0"/>
        <v xml:space="preserve"> </v>
      </c>
      <c r="B4886" s="81" t="str">
        <f t="shared" si="1"/>
        <v xml:space="preserve"> </v>
      </c>
      <c r="C4886" s="79" t="str">
        <f t="shared" si="7"/>
        <v xml:space="preserve"> </v>
      </c>
      <c r="D4886" s="79" t="str">
        <f t="shared" si="5"/>
        <v xml:space="preserve"> </v>
      </c>
      <c r="E4886" s="79" t="str">
        <f t="shared" si="6"/>
        <v xml:space="preserve"> </v>
      </c>
    </row>
    <row r="4887" spans="1:5" ht="12.5">
      <c r="A4887" s="81" t="str">
        <f t="shared" si="0"/>
        <v xml:space="preserve"> </v>
      </c>
      <c r="B4887" s="81" t="str">
        <f t="shared" si="1"/>
        <v xml:space="preserve"> </v>
      </c>
      <c r="C4887" s="79" t="str">
        <f t="shared" si="7"/>
        <v xml:space="preserve"> </v>
      </c>
      <c r="D4887" s="79" t="str">
        <f t="shared" si="5"/>
        <v xml:space="preserve"> </v>
      </c>
      <c r="E4887" s="79" t="str">
        <f t="shared" si="6"/>
        <v xml:space="preserve"> </v>
      </c>
    </row>
    <row r="4888" spans="1:5" ht="12.5">
      <c r="A4888" s="81" t="str">
        <f t="shared" si="0"/>
        <v xml:space="preserve"> </v>
      </c>
      <c r="B4888" s="81" t="str">
        <f t="shared" si="1"/>
        <v xml:space="preserve"> </v>
      </c>
      <c r="C4888" s="79" t="str">
        <f t="shared" si="7"/>
        <v xml:space="preserve"> </v>
      </c>
      <c r="D4888" s="79" t="str">
        <f t="shared" si="5"/>
        <v xml:space="preserve"> </v>
      </c>
      <c r="E4888" s="79" t="str">
        <f t="shared" si="6"/>
        <v xml:space="preserve"> </v>
      </c>
    </row>
    <row r="4889" spans="1:5" ht="12.5">
      <c r="A4889" s="81" t="str">
        <f t="shared" si="0"/>
        <v xml:space="preserve"> </v>
      </c>
      <c r="B4889" s="81" t="str">
        <f t="shared" si="1"/>
        <v xml:space="preserve"> </v>
      </c>
      <c r="C4889" s="79" t="str">
        <f t="shared" si="7"/>
        <v xml:space="preserve"> </v>
      </c>
      <c r="D4889" s="79" t="str">
        <f t="shared" si="5"/>
        <v xml:space="preserve"> </v>
      </c>
      <c r="E4889" s="79" t="str">
        <f t="shared" si="6"/>
        <v xml:space="preserve"> </v>
      </c>
    </row>
    <row r="4890" spans="1:5" ht="12.5">
      <c r="A4890" s="81" t="str">
        <f t="shared" si="0"/>
        <v xml:space="preserve"> </v>
      </c>
      <c r="B4890" s="81" t="str">
        <f t="shared" si="1"/>
        <v xml:space="preserve"> </v>
      </c>
      <c r="C4890" s="79" t="str">
        <f t="shared" si="7"/>
        <v xml:space="preserve"> </v>
      </c>
      <c r="D4890" s="79" t="str">
        <f t="shared" si="5"/>
        <v xml:space="preserve"> </v>
      </c>
      <c r="E4890" s="79" t="str">
        <f t="shared" si="6"/>
        <v xml:space="preserve"> </v>
      </c>
    </row>
    <row r="4891" spans="1:5" ht="12.5">
      <c r="A4891" s="81" t="str">
        <f t="shared" si="0"/>
        <v xml:space="preserve"> </v>
      </c>
      <c r="B4891" s="81" t="str">
        <f t="shared" si="1"/>
        <v xml:space="preserve"> </v>
      </c>
      <c r="C4891" s="79" t="str">
        <f t="shared" si="7"/>
        <v xml:space="preserve"> </v>
      </c>
      <c r="D4891" s="79" t="str">
        <f t="shared" si="5"/>
        <v xml:space="preserve"> </v>
      </c>
      <c r="E4891" s="79" t="str">
        <f t="shared" si="6"/>
        <v xml:space="preserve"> </v>
      </c>
    </row>
    <row r="4892" spans="1:5" ht="12.5">
      <c r="A4892" s="81" t="str">
        <f t="shared" si="0"/>
        <v xml:space="preserve"> </v>
      </c>
      <c r="B4892" s="81" t="str">
        <f t="shared" si="1"/>
        <v xml:space="preserve"> </v>
      </c>
      <c r="C4892" s="79" t="str">
        <f t="shared" si="7"/>
        <v xml:space="preserve"> </v>
      </c>
      <c r="D4892" s="79" t="str">
        <f t="shared" si="5"/>
        <v xml:space="preserve"> </v>
      </c>
      <c r="E4892" s="79" t="str">
        <f t="shared" si="6"/>
        <v xml:space="preserve"> </v>
      </c>
    </row>
    <row r="4893" spans="1:5" ht="12.5">
      <c r="A4893" s="81" t="str">
        <f t="shared" si="0"/>
        <v xml:space="preserve"> </v>
      </c>
      <c r="B4893" s="81" t="str">
        <f t="shared" si="1"/>
        <v xml:space="preserve"> </v>
      </c>
      <c r="C4893" s="79" t="str">
        <f t="shared" si="7"/>
        <v xml:space="preserve"> </v>
      </c>
      <c r="D4893" s="79" t="str">
        <f t="shared" si="5"/>
        <v xml:space="preserve"> </v>
      </c>
      <c r="E4893" s="79" t="str">
        <f t="shared" si="6"/>
        <v xml:space="preserve"> </v>
      </c>
    </row>
    <row r="4894" spans="1:5" ht="12.5">
      <c r="A4894" s="81" t="str">
        <f t="shared" si="0"/>
        <v xml:space="preserve"> </v>
      </c>
      <c r="B4894" s="81" t="str">
        <f t="shared" si="1"/>
        <v xml:space="preserve"> </v>
      </c>
      <c r="C4894" s="79" t="str">
        <f t="shared" si="7"/>
        <v xml:space="preserve"> </v>
      </c>
      <c r="D4894" s="79" t="str">
        <f t="shared" si="5"/>
        <v xml:space="preserve"> </v>
      </c>
      <c r="E4894" s="79" t="str">
        <f t="shared" si="6"/>
        <v xml:space="preserve"> </v>
      </c>
    </row>
    <row r="4895" spans="1:5" ht="12.5">
      <c r="A4895" s="81" t="str">
        <f t="shared" si="0"/>
        <v xml:space="preserve"> </v>
      </c>
      <c r="B4895" s="81" t="str">
        <f t="shared" si="1"/>
        <v xml:space="preserve"> </v>
      </c>
      <c r="C4895" s="79" t="str">
        <f t="shared" si="7"/>
        <v xml:space="preserve"> </v>
      </c>
      <c r="D4895" s="79" t="str">
        <f t="shared" si="5"/>
        <v xml:space="preserve"> </v>
      </c>
      <c r="E4895" s="79" t="str">
        <f t="shared" si="6"/>
        <v xml:space="preserve"> </v>
      </c>
    </row>
    <row r="4896" spans="1:5" ht="12.5">
      <c r="A4896" s="81" t="str">
        <f t="shared" si="0"/>
        <v xml:space="preserve"> </v>
      </c>
      <c r="B4896" s="81" t="str">
        <f t="shared" si="1"/>
        <v xml:space="preserve"> </v>
      </c>
      <c r="C4896" s="79" t="str">
        <f t="shared" si="7"/>
        <v xml:space="preserve"> </v>
      </c>
      <c r="D4896" s="79" t="str">
        <f t="shared" si="5"/>
        <v xml:space="preserve"> </v>
      </c>
      <c r="E4896" s="79" t="str">
        <f t="shared" si="6"/>
        <v xml:space="preserve"> </v>
      </c>
    </row>
    <row r="4897" spans="1:5" ht="12.5">
      <c r="A4897" s="81" t="str">
        <f t="shared" si="0"/>
        <v xml:space="preserve"> </v>
      </c>
      <c r="B4897" s="81" t="str">
        <f t="shared" si="1"/>
        <v xml:space="preserve"> </v>
      </c>
      <c r="C4897" s="79" t="str">
        <f t="shared" si="7"/>
        <v xml:space="preserve"> </v>
      </c>
      <c r="D4897" s="79" t="str">
        <f t="shared" si="5"/>
        <v xml:space="preserve"> </v>
      </c>
      <c r="E4897" s="79" t="str">
        <f t="shared" si="6"/>
        <v xml:space="preserve"> </v>
      </c>
    </row>
    <row r="4898" spans="1:5" ht="12.5">
      <c r="A4898" s="81" t="str">
        <f t="shared" si="0"/>
        <v xml:space="preserve"> </v>
      </c>
      <c r="B4898" s="81" t="str">
        <f t="shared" si="1"/>
        <v xml:space="preserve"> </v>
      </c>
      <c r="C4898" s="79" t="str">
        <f t="shared" si="7"/>
        <v xml:space="preserve"> </v>
      </c>
      <c r="D4898" s="79" t="str">
        <f t="shared" si="5"/>
        <v xml:space="preserve"> </v>
      </c>
      <c r="E4898" s="79" t="str">
        <f t="shared" si="6"/>
        <v xml:space="preserve"> </v>
      </c>
    </row>
    <row r="4899" spans="1:5" ht="12.5">
      <c r="A4899" s="81" t="str">
        <f t="shared" si="0"/>
        <v xml:space="preserve"> </v>
      </c>
      <c r="B4899" s="81" t="str">
        <f t="shared" si="1"/>
        <v xml:space="preserve"> </v>
      </c>
      <c r="C4899" s="79" t="str">
        <f t="shared" si="7"/>
        <v xml:space="preserve"> </v>
      </c>
      <c r="D4899" s="79" t="str">
        <f t="shared" si="5"/>
        <v xml:space="preserve"> </v>
      </c>
      <c r="E4899" s="79" t="str">
        <f t="shared" si="6"/>
        <v xml:space="preserve"> </v>
      </c>
    </row>
    <row r="4900" spans="1:5" ht="12.5">
      <c r="A4900" s="81" t="str">
        <f t="shared" si="0"/>
        <v xml:space="preserve"> </v>
      </c>
      <c r="B4900" s="81" t="str">
        <f t="shared" si="1"/>
        <v xml:space="preserve"> </v>
      </c>
      <c r="C4900" s="79" t="str">
        <f t="shared" si="7"/>
        <v xml:space="preserve"> </v>
      </c>
      <c r="D4900" s="79" t="str">
        <f t="shared" si="5"/>
        <v xml:space="preserve"> </v>
      </c>
      <c r="E4900" s="79" t="str">
        <f t="shared" si="6"/>
        <v xml:space="preserve"> </v>
      </c>
    </row>
    <row r="4901" spans="1:5" ht="12.5">
      <c r="A4901" s="81" t="str">
        <f t="shared" si="0"/>
        <v xml:space="preserve"> </v>
      </c>
      <c r="B4901" s="81" t="str">
        <f t="shared" si="1"/>
        <v xml:space="preserve"> </v>
      </c>
      <c r="C4901" s="79" t="str">
        <f t="shared" si="7"/>
        <v xml:space="preserve"> </v>
      </c>
      <c r="D4901" s="79" t="str">
        <f t="shared" si="5"/>
        <v xml:space="preserve"> </v>
      </c>
      <c r="E4901" s="79" t="str">
        <f t="shared" si="6"/>
        <v xml:space="preserve"> </v>
      </c>
    </row>
    <row r="4902" spans="1:5" ht="12.5">
      <c r="A4902" s="81" t="str">
        <f t="shared" si="0"/>
        <v xml:space="preserve"> </v>
      </c>
      <c r="B4902" s="81" t="str">
        <f t="shared" si="1"/>
        <v xml:space="preserve"> </v>
      </c>
      <c r="C4902" s="79" t="str">
        <f t="shared" si="7"/>
        <v xml:space="preserve"> </v>
      </c>
      <c r="D4902" s="79" t="str">
        <f t="shared" si="5"/>
        <v xml:space="preserve"> </v>
      </c>
      <c r="E4902" s="79" t="str">
        <f t="shared" si="6"/>
        <v xml:space="preserve"> </v>
      </c>
    </row>
    <row r="4903" spans="1:5" ht="12.5">
      <c r="A4903" s="81" t="str">
        <f t="shared" si="0"/>
        <v xml:space="preserve"> </v>
      </c>
      <c r="B4903" s="81" t="str">
        <f t="shared" si="1"/>
        <v xml:space="preserve"> </v>
      </c>
      <c r="C4903" s="79" t="str">
        <f t="shared" si="7"/>
        <v xml:space="preserve"> </v>
      </c>
      <c r="D4903" s="79" t="str">
        <f t="shared" si="5"/>
        <v xml:space="preserve"> </v>
      </c>
      <c r="E4903" s="79" t="str">
        <f t="shared" si="6"/>
        <v xml:space="preserve"> </v>
      </c>
    </row>
    <row r="4904" spans="1:5" ht="12.5">
      <c r="A4904" s="81" t="str">
        <f t="shared" si="0"/>
        <v xml:space="preserve"> </v>
      </c>
      <c r="B4904" s="81" t="str">
        <f t="shared" si="1"/>
        <v xml:space="preserve"> </v>
      </c>
      <c r="C4904" s="79" t="str">
        <f t="shared" si="7"/>
        <v xml:space="preserve"> </v>
      </c>
      <c r="D4904" s="79" t="str">
        <f t="shared" si="5"/>
        <v xml:space="preserve"> </v>
      </c>
      <c r="E4904" s="79" t="str">
        <f t="shared" si="6"/>
        <v xml:space="preserve"> </v>
      </c>
    </row>
    <row r="4905" spans="1:5" ht="12.5">
      <c r="A4905" s="81" t="str">
        <f t="shared" si="0"/>
        <v xml:space="preserve"> </v>
      </c>
      <c r="B4905" s="81" t="str">
        <f t="shared" si="1"/>
        <v xml:space="preserve"> </v>
      </c>
      <c r="C4905" s="79" t="str">
        <f t="shared" si="7"/>
        <v xml:space="preserve"> </v>
      </c>
      <c r="D4905" s="79" t="str">
        <f t="shared" si="5"/>
        <v xml:space="preserve"> </v>
      </c>
      <c r="E4905" s="79" t="str">
        <f t="shared" si="6"/>
        <v xml:space="preserve"> </v>
      </c>
    </row>
    <row r="4906" spans="1:5" ht="12.5">
      <c r="A4906" s="81" t="str">
        <f t="shared" si="0"/>
        <v xml:space="preserve"> </v>
      </c>
      <c r="B4906" s="81" t="str">
        <f t="shared" si="1"/>
        <v xml:space="preserve"> </v>
      </c>
      <c r="C4906" s="79" t="str">
        <f t="shared" si="7"/>
        <v xml:space="preserve"> </v>
      </c>
      <c r="D4906" s="79" t="str">
        <f t="shared" si="5"/>
        <v xml:space="preserve"> </v>
      </c>
      <c r="E4906" s="79" t="str">
        <f t="shared" si="6"/>
        <v xml:space="preserve"> </v>
      </c>
    </row>
    <row r="4907" spans="1:5" ht="12.5">
      <c r="A4907" s="81" t="str">
        <f t="shared" si="0"/>
        <v xml:space="preserve"> </v>
      </c>
      <c r="B4907" s="81" t="str">
        <f t="shared" si="1"/>
        <v xml:space="preserve"> </v>
      </c>
      <c r="C4907" s="79" t="str">
        <f t="shared" si="7"/>
        <v xml:space="preserve"> </v>
      </c>
      <c r="D4907" s="79" t="str">
        <f t="shared" si="5"/>
        <v xml:space="preserve"> </v>
      </c>
      <c r="E4907" s="79" t="str">
        <f t="shared" si="6"/>
        <v xml:space="preserve"> </v>
      </c>
    </row>
    <row r="4908" spans="1:5" ht="12.5">
      <c r="A4908" s="81" t="str">
        <f t="shared" si="0"/>
        <v xml:space="preserve"> </v>
      </c>
      <c r="B4908" s="81" t="str">
        <f t="shared" si="1"/>
        <v xml:space="preserve"> </v>
      </c>
      <c r="C4908" s="79" t="str">
        <f t="shared" si="7"/>
        <v xml:space="preserve"> </v>
      </c>
      <c r="D4908" s="79" t="str">
        <f t="shared" si="5"/>
        <v xml:space="preserve"> </v>
      </c>
      <c r="E4908" s="79" t="str">
        <f t="shared" si="6"/>
        <v xml:space="preserve"> </v>
      </c>
    </row>
    <row r="4909" spans="1:5" ht="12.5">
      <c r="A4909" s="81" t="str">
        <f t="shared" si="0"/>
        <v xml:space="preserve"> </v>
      </c>
      <c r="B4909" s="81" t="str">
        <f t="shared" si="1"/>
        <v xml:space="preserve"> </v>
      </c>
      <c r="C4909" s="79" t="str">
        <f t="shared" si="7"/>
        <v xml:space="preserve"> </v>
      </c>
      <c r="D4909" s="79" t="str">
        <f t="shared" si="5"/>
        <v xml:space="preserve"> </v>
      </c>
      <c r="E4909" s="79" t="str">
        <f t="shared" si="6"/>
        <v xml:space="preserve"> </v>
      </c>
    </row>
    <row r="4910" spans="1:5" ht="12.5">
      <c r="A4910" s="81" t="str">
        <f t="shared" si="0"/>
        <v xml:space="preserve"> </v>
      </c>
      <c r="B4910" s="81" t="str">
        <f t="shared" si="1"/>
        <v xml:space="preserve"> </v>
      </c>
      <c r="C4910" s="79" t="str">
        <f t="shared" si="7"/>
        <v xml:space="preserve"> </v>
      </c>
      <c r="D4910" s="79" t="str">
        <f t="shared" si="5"/>
        <v xml:space="preserve"> </v>
      </c>
      <c r="E4910" s="79" t="str">
        <f t="shared" si="6"/>
        <v xml:space="preserve"> </v>
      </c>
    </row>
    <row r="4911" spans="1:5" ht="12.5">
      <c r="A4911" s="81" t="str">
        <f t="shared" si="0"/>
        <v xml:space="preserve"> </v>
      </c>
      <c r="B4911" s="81" t="str">
        <f t="shared" si="1"/>
        <v xml:space="preserve"> </v>
      </c>
      <c r="C4911" s="79" t="str">
        <f t="shared" si="7"/>
        <v xml:space="preserve"> </v>
      </c>
      <c r="D4911" s="79" t="str">
        <f t="shared" si="5"/>
        <v xml:space="preserve"> </v>
      </c>
      <c r="E4911" s="79" t="str">
        <f t="shared" si="6"/>
        <v xml:space="preserve"> </v>
      </c>
    </row>
    <row r="4912" spans="1:5" ht="12.5">
      <c r="A4912" s="81" t="str">
        <f t="shared" si="0"/>
        <v xml:space="preserve"> </v>
      </c>
      <c r="B4912" s="81" t="str">
        <f t="shared" si="1"/>
        <v xml:space="preserve"> </v>
      </c>
      <c r="C4912" s="79" t="str">
        <f t="shared" si="7"/>
        <v xml:space="preserve"> </v>
      </c>
      <c r="D4912" s="79" t="str">
        <f t="shared" si="5"/>
        <v xml:space="preserve"> </v>
      </c>
      <c r="E4912" s="79" t="str">
        <f t="shared" si="6"/>
        <v xml:space="preserve"> </v>
      </c>
    </row>
    <row r="4913" spans="1:5" ht="12.5">
      <c r="A4913" s="81" t="str">
        <f t="shared" si="0"/>
        <v xml:space="preserve"> </v>
      </c>
      <c r="B4913" s="81" t="str">
        <f t="shared" si="1"/>
        <v xml:space="preserve"> </v>
      </c>
      <c r="C4913" s="79" t="str">
        <f t="shared" si="7"/>
        <v xml:space="preserve"> </v>
      </c>
      <c r="D4913" s="79" t="str">
        <f t="shared" si="5"/>
        <v xml:space="preserve"> </v>
      </c>
      <c r="E4913" s="79" t="str">
        <f t="shared" si="6"/>
        <v xml:space="preserve"> </v>
      </c>
    </row>
    <row r="4914" spans="1:5" ht="12.5">
      <c r="A4914" s="81" t="str">
        <f t="shared" si="0"/>
        <v xml:space="preserve"> </v>
      </c>
      <c r="B4914" s="81" t="str">
        <f t="shared" si="1"/>
        <v xml:space="preserve"> </v>
      </c>
      <c r="C4914" s="79" t="str">
        <f t="shared" si="7"/>
        <v xml:space="preserve"> </v>
      </c>
      <c r="D4914" s="79" t="str">
        <f t="shared" si="5"/>
        <v xml:space="preserve"> </v>
      </c>
      <c r="E4914" s="79" t="str">
        <f t="shared" si="6"/>
        <v xml:space="preserve"> </v>
      </c>
    </row>
    <row r="4915" spans="1:5" ht="12.5">
      <c r="A4915" s="81" t="str">
        <f t="shared" si="0"/>
        <v xml:space="preserve"> </v>
      </c>
      <c r="B4915" s="81" t="str">
        <f t="shared" si="1"/>
        <v xml:space="preserve"> </v>
      </c>
      <c r="C4915" s="79" t="str">
        <f t="shared" si="7"/>
        <v xml:space="preserve"> </v>
      </c>
      <c r="D4915" s="79" t="str">
        <f t="shared" si="5"/>
        <v xml:space="preserve"> </v>
      </c>
      <c r="E4915" s="79" t="str">
        <f t="shared" si="6"/>
        <v xml:space="preserve"> </v>
      </c>
    </row>
    <row r="4916" spans="1:5" ht="12.5">
      <c r="A4916" s="81" t="str">
        <f t="shared" si="0"/>
        <v xml:space="preserve"> </v>
      </c>
      <c r="B4916" s="81" t="str">
        <f t="shared" si="1"/>
        <v xml:space="preserve"> </v>
      </c>
      <c r="C4916" s="79" t="str">
        <f t="shared" si="7"/>
        <v xml:space="preserve"> </v>
      </c>
      <c r="D4916" s="79" t="str">
        <f t="shared" si="5"/>
        <v xml:space="preserve"> </v>
      </c>
      <c r="E4916" s="79" t="str">
        <f t="shared" si="6"/>
        <v xml:space="preserve"> </v>
      </c>
    </row>
    <row r="4917" spans="1:5" ht="12.5">
      <c r="A4917" s="81" t="str">
        <f t="shared" si="0"/>
        <v xml:space="preserve"> </v>
      </c>
      <c r="B4917" s="81" t="str">
        <f t="shared" si="1"/>
        <v xml:space="preserve"> </v>
      </c>
      <c r="C4917" s="79" t="str">
        <f t="shared" si="7"/>
        <v xml:space="preserve"> </v>
      </c>
      <c r="D4917" s="79" t="str">
        <f t="shared" si="5"/>
        <v xml:space="preserve"> </v>
      </c>
      <c r="E4917" s="79" t="str">
        <f t="shared" si="6"/>
        <v xml:space="preserve"> </v>
      </c>
    </row>
    <row r="4918" spans="1:5" ht="12.5">
      <c r="A4918" s="81" t="str">
        <f t="shared" si="0"/>
        <v xml:space="preserve"> </v>
      </c>
      <c r="B4918" s="81" t="str">
        <f t="shared" si="1"/>
        <v xml:space="preserve"> </v>
      </c>
      <c r="C4918" s="79" t="str">
        <f t="shared" si="7"/>
        <v xml:space="preserve"> </v>
      </c>
      <c r="D4918" s="79" t="str">
        <f t="shared" si="5"/>
        <v xml:space="preserve"> </v>
      </c>
      <c r="E4918" s="79" t="str">
        <f t="shared" si="6"/>
        <v xml:space="preserve"> </v>
      </c>
    </row>
    <row r="4919" spans="1:5" ht="12.5">
      <c r="A4919" s="81" t="str">
        <f t="shared" si="0"/>
        <v xml:space="preserve"> </v>
      </c>
      <c r="B4919" s="81" t="str">
        <f t="shared" si="1"/>
        <v xml:space="preserve"> </v>
      </c>
      <c r="C4919" s="79" t="str">
        <f t="shared" si="7"/>
        <v xml:space="preserve"> </v>
      </c>
      <c r="D4919" s="79" t="str">
        <f t="shared" si="5"/>
        <v xml:space="preserve"> </v>
      </c>
      <c r="E4919" s="79" t="str">
        <f t="shared" si="6"/>
        <v xml:space="preserve"> </v>
      </c>
    </row>
    <row r="4920" spans="1:5" ht="12.5">
      <c r="A4920" s="81" t="str">
        <f t="shared" si="0"/>
        <v xml:space="preserve"> </v>
      </c>
      <c r="B4920" s="81" t="str">
        <f t="shared" si="1"/>
        <v xml:space="preserve"> </v>
      </c>
      <c r="C4920" s="79" t="str">
        <f t="shared" si="7"/>
        <v xml:space="preserve"> </v>
      </c>
      <c r="D4920" s="79" t="str">
        <f t="shared" si="5"/>
        <v xml:space="preserve"> </v>
      </c>
      <c r="E4920" s="79" t="str">
        <f t="shared" si="6"/>
        <v xml:space="preserve"> </v>
      </c>
    </row>
    <row r="4921" spans="1:5" ht="12.5">
      <c r="A4921" s="81" t="str">
        <f t="shared" si="0"/>
        <v xml:space="preserve"> </v>
      </c>
      <c r="B4921" s="81" t="str">
        <f t="shared" si="1"/>
        <v xml:space="preserve"> </v>
      </c>
      <c r="C4921" s="79" t="str">
        <f t="shared" si="7"/>
        <v xml:space="preserve"> </v>
      </c>
      <c r="D4921" s="79" t="str">
        <f t="shared" si="5"/>
        <v xml:space="preserve"> </v>
      </c>
      <c r="E4921" s="79" t="str">
        <f t="shared" si="6"/>
        <v xml:space="preserve"> </v>
      </c>
    </row>
    <row r="4922" spans="1:5" ht="12.5">
      <c r="A4922" s="81" t="str">
        <f t="shared" si="0"/>
        <v xml:space="preserve"> </v>
      </c>
      <c r="B4922" s="81" t="str">
        <f t="shared" si="1"/>
        <v xml:space="preserve"> </v>
      </c>
      <c r="C4922" s="79" t="str">
        <f t="shared" si="7"/>
        <v xml:space="preserve"> </v>
      </c>
      <c r="D4922" s="79" t="str">
        <f t="shared" si="5"/>
        <v xml:space="preserve"> </v>
      </c>
      <c r="E4922" s="79" t="str">
        <f t="shared" si="6"/>
        <v xml:space="preserve"> </v>
      </c>
    </row>
    <row r="4923" spans="1:5" ht="12.5">
      <c r="A4923" s="81" t="str">
        <f t="shared" si="0"/>
        <v xml:space="preserve"> </v>
      </c>
      <c r="B4923" s="81" t="str">
        <f t="shared" si="1"/>
        <v xml:space="preserve"> </v>
      </c>
      <c r="C4923" s="79" t="str">
        <f t="shared" si="7"/>
        <v xml:space="preserve"> </v>
      </c>
      <c r="D4923" s="79" t="str">
        <f t="shared" si="5"/>
        <v xml:space="preserve"> </v>
      </c>
      <c r="E4923" s="79" t="str">
        <f t="shared" si="6"/>
        <v xml:space="preserve"> </v>
      </c>
    </row>
    <row r="4924" spans="1:5" ht="12.5">
      <c r="A4924" s="81" t="str">
        <f t="shared" si="0"/>
        <v xml:space="preserve"> </v>
      </c>
      <c r="B4924" s="81" t="str">
        <f t="shared" si="1"/>
        <v xml:space="preserve"> </v>
      </c>
      <c r="C4924" s="79" t="str">
        <f t="shared" si="7"/>
        <v xml:space="preserve"> </v>
      </c>
      <c r="D4924" s="79" t="str">
        <f t="shared" si="5"/>
        <v xml:space="preserve"> </v>
      </c>
      <c r="E4924" s="79" t="str">
        <f t="shared" si="6"/>
        <v xml:space="preserve"> </v>
      </c>
    </row>
    <row r="4925" spans="1:5" ht="12.5">
      <c r="A4925" s="81" t="str">
        <f t="shared" si="0"/>
        <v xml:space="preserve"> </v>
      </c>
      <c r="B4925" s="81" t="str">
        <f t="shared" si="1"/>
        <v xml:space="preserve"> </v>
      </c>
      <c r="C4925" s="79" t="str">
        <f t="shared" si="7"/>
        <v xml:space="preserve"> </v>
      </c>
      <c r="D4925" s="79" t="str">
        <f t="shared" si="5"/>
        <v xml:space="preserve"> </v>
      </c>
      <c r="E4925" s="79" t="str">
        <f t="shared" si="6"/>
        <v xml:space="preserve"> </v>
      </c>
    </row>
    <row r="4926" spans="1:5" ht="12.5">
      <c r="A4926" s="81" t="str">
        <f t="shared" si="0"/>
        <v xml:space="preserve"> </v>
      </c>
      <c r="B4926" s="81" t="str">
        <f t="shared" si="1"/>
        <v xml:space="preserve"> </v>
      </c>
      <c r="C4926" s="79" t="str">
        <f t="shared" si="7"/>
        <v xml:space="preserve"> </v>
      </c>
      <c r="D4926" s="79" t="str">
        <f t="shared" si="5"/>
        <v xml:space="preserve"> </v>
      </c>
      <c r="E4926" s="79" t="str">
        <f t="shared" si="6"/>
        <v xml:space="preserve"> </v>
      </c>
    </row>
    <row r="4927" spans="1:5" ht="12.5">
      <c r="A4927" s="81" t="str">
        <f t="shared" si="0"/>
        <v xml:space="preserve"> </v>
      </c>
      <c r="B4927" s="81" t="str">
        <f t="shared" si="1"/>
        <v xml:space="preserve"> </v>
      </c>
      <c r="C4927" s="79" t="str">
        <f t="shared" si="7"/>
        <v xml:space="preserve"> </v>
      </c>
      <c r="D4927" s="79" t="str">
        <f t="shared" si="5"/>
        <v xml:space="preserve"> </v>
      </c>
      <c r="E4927" s="79" t="str">
        <f t="shared" si="6"/>
        <v xml:space="preserve"> </v>
      </c>
    </row>
    <row r="4928" spans="1:5" ht="12.5">
      <c r="A4928" s="81" t="str">
        <f t="shared" si="0"/>
        <v xml:space="preserve"> </v>
      </c>
      <c r="B4928" s="81" t="str">
        <f t="shared" si="1"/>
        <v xml:space="preserve"> </v>
      </c>
      <c r="C4928" s="79" t="str">
        <f t="shared" si="7"/>
        <v xml:space="preserve"> </v>
      </c>
      <c r="D4928" s="79" t="str">
        <f t="shared" si="5"/>
        <v xml:space="preserve"> </v>
      </c>
      <c r="E4928" s="79" t="str">
        <f t="shared" si="6"/>
        <v xml:space="preserve"> </v>
      </c>
    </row>
    <row r="4929" spans="1:5" ht="12.5">
      <c r="A4929" s="81" t="str">
        <f t="shared" si="0"/>
        <v xml:space="preserve"> </v>
      </c>
      <c r="B4929" s="81" t="str">
        <f t="shared" si="1"/>
        <v xml:space="preserve"> </v>
      </c>
      <c r="C4929" s="79" t="str">
        <f t="shared" si="7"/>
        <v xml:space="preserve"> </v>
      </c>
      <c r="D4929" s="79" t="str">
        <f t="shared" si="5"/>
        <v xml:space="preserve"> </v>
      </c>
      <c r="E4929" s="79" t="str">
        <f t="shared" si="6"/>
        <v xml:space="preserve"> </v>
      </c>
    </row>
    <row r="4930" spans="1:5" ht="12.5">
      <c r="A4930" s="81" t="str">
        <f t="shared" si="0"/>
        <v xml:space="preserve"> </v>
      </c>
      <c r="B4930" s="81" t="str">
        <f t="shared" si="1"/>
        <v xml:space="preserve"> </v>
      </c>
      <c r="C4930" s="79" t="str">
        <f t="shared" si="7"/>
        <v xml:space="preserve"> </v>
      </c>
      <c r="D4930" s="79" t="str">
        <f t="shared" si="5"/>
        <v xml:space="preserve"> </v>
      </c>
      <c r="E4930" s="79" t="str">
        <f t="shared" si="6"/>
        <v xml:space="preserve"> </v>
      </c>
    </row>
    <row r="4931" spans="1:5" ht="12.5">
      <c r="A4931" s="81" t="str">
        <f t="shared" si="0"/>
        <v xml:space="preserve"> </v>
      </c>
      <c r="B4931" s="81" t="str">
        <f t="shared" si="1"/>
        <v xml:space="preserve"> </v>
      </c>
      <c r="C4931" s="79" t="str">
        <f t="shared" si="7"/>
        <v xml:space="preserve"> </v>
      </c>
      <c r="D4931" s="79" t="str">
        <f t="shared" si="5"/>
        <v xml:space="preserve"> </v>
      </c>
      <c r="E4931" s="79" t="str">
        <f t="shared" si="6"/>
        <v xml:space="preserve"> </v>
      </c>
    </row>
    <row r="4932" spans="1:5" ht="12.5">
      <c r="A4932" s="81" t="str">
        <f t="shared" si="0"/>
        <v xml:space="preserve"> </v>
      </c>
      <c r="B4932" s="81" t="str">
        <f t="shared" si="1"/>
        <v xml:space="preserve"> </v>
      </c>
      <c r="C4932" s="79" t="str">
        <f t="shared" si="7"/>
        <v xml:space="preserve"> </v>
      </c>
      <c r="D4932" s="79" t="str">
        <f t="shared" si="5"/>
        <v xml:space="preserve"> </v>
      </c>
      <c r="E4932" s="79" t="str">
        <f t="shared" si="6"/>
        <v xml:space="preserve"> </v>
      </c>
    </row>
    <row r="4933" spans="1:5" ht="12.5">
      <c r="A4933" s="81" t="str">
        <f t="shared" si="0"/>
        <v xml:space="preserve"> </v>
      </c>
      <c r="B4933" s="81" t="str">
        <f t="shared" si="1"/>
        <v xml:space="preserve"> </v>
      </c>
      <c r="C4933" s="79" t="str">
        <f t="shared" si="7"/>
        <v xml:space="preserve"> </v>
      </c>
      <c r="D4933" s="79" t="str">
        <f t="shared" si="5"/>
        <v xml:space="preserve"> </v>
      </c>
      <c r="E4933" s="79" t="str">
        <f t="shared" si="6"/>
        <v xml:space="preserve"> </v>
      </c>
    </row>
    <row r="4934" spans="1:5" ht="12.5">
      <c r="A4934" s="81" t="str">
        <f t="shared" si="0"/>
        <v xml:space="preserve"> </v>
      </c>
      <c r="B4934" s="81" t="str">
        <f t="shared" si="1"/>
        <v xml:space="preserve"> </v>
      </c>
      <c r="C4934" s="79" t="str">
        <f t="shared" si="7"/>
        <v xml:space="preserve"> </v>
      </c>
      <c r="D4934" s="79" t="str">
        <f t="shared" si="5"/>
        <v xml:space="preserve"> </v>
      </c>
      <c r="E4934" s="79" t="str">
        <f t="shared" si="6"/>
        <v xml:space="preserve"> </v>
      </c>
    </row>
    <row r="4935" spans="1:5" ht="12.5">
      <c r="A4935" s="81" t="str">
        <f t="shared" si="0"/>
        <v xml:space="preserve"> </v>
      </c>
      <c r="B4935" s="81" t="str">
        <f t="shared" si="1"/>
        <v xml:space="preserve"> </v>
      </c>
      <c r="C4935" s="79" t="str">
        <f t="shared" si="7"/>
        <v xml:space="preserve"> </v>
      </c>
      <c r="D4935" s="79" t="str">
        <f t="shared" si="5"/>
        <v xml:space="preserve"> </v>
      </c>
      <c r="E4935" s="79" t="str">
        <f t="shared" si="6"/>
        <v xml:space="preserve"> </v>
      </c>
    </row>
    <row r="4936" spans="1:5" ht="12.5">
      <c r="A4936" s="81" t="str">
        <f t="shared" si="0"/>
        <v xml:space="preserve"> </v>
      </c>
      <c r="B4936" s="81" t="str">
        <f t="shared" si="1"/>
        <v xml:space="preserve"> </v>
      </c>
      <c r="C4936" s="79" t="str">
        <f t="shared" si="7"/>
        <v xml:space="preserve"> </v>
      </c>
      <c r="D4936" s="79" t="str">
        <f t="shared" si="5"/>
        <v xml:space="preserve"> </v>
      </c>
      <c r="E4936" s="79" t="str">
        <f t="shared" si="6"/>
        <v xml:space="preserve"> </v>
      </c>
    </row>
    <row r="4937" spans="1:5" ht="12.5">
      <c r="A4937" s="81" t="str">
        <f t="shared" si="0"/>
        <v xml:space="preserve"> </v>
      </c>
      <c r="B4937" s="81" t="str">
        <f t="shared" si="1"/>
        <v xml:space="preserve"> </v>
      </c>
      <c r="C4937" s="79" t="str">
        <f t="shared" si="7"/>
        <v xml:space="preserve"> </v>
      </c>
      <c r="D4937" s="79" t="str">
        <f t="shared" si="5"/>
        <v xml:space="preserve"> </v>
      </c>
      <c r="E4937" s="79" t="str">
        <f t="shared" si="6"/>
        <v xml:space="preserve"> </v>
      </c>
    </row>
    <row r="4938" spans="1:5" ht="12.5">
      <c r="A4938" s="81" t="str">
        <f t="shared" si="0"/>
        <v xml:space="preserve"> </v>
      </c>
      <c r="B4938" s="81" t="str">
        <f t="shared" si="1"/>
        <v xml:space="preserve"> </v>
      </c>
      <c r="C4938" s="79" t="str">
        <f t="shared" si="7"/>
        <v xml:space="preserve"> </v>
      </c>
      <c r="D4938" s="79" t="str">
        <f t="shared" si="5"/>
        <v xml:space="preserve"> </v>
      </c>
      <c r="E4938" s="79" t="str">
        <f t="shared" si="6"/>
        <v xml:space="preserve"> </v>
      </c>
    </row>
    <row r="4939" spans="1:5" ht="12.5">
      <c r="A4939" s="81" t="str">
        <f t="shared" si="0"/>
        <v xml:space="preserve"> </v>
      </c>
      <c r="B4939" s="81" t="str">
        <f t="shared" si="1"/>
        <v xml:space="preserve"> </v>
      </c>
      <c r="C4939" s="79" t="str">
        <f t="shared" si="7"/>
        <v xml:space="preserve"> </v>
      </c>
      <c r="D4939" s="79" t="str">
        <f t="shared" si="5"/>
        <v xml:space="preserve"> </v>
      </c>
      <c r="E4939" s="79" t="str">
        <f t="shared" si="6"/>
        <v xml:space="preserve"> </v>
      </c>
    </row>
    <row r="4940" spans="1:5" ht="12.5">
      <c r="A4940" s="81" t="str">
        <f t="shared" si="0"/>
        <v xml:space="preserve"> </v>
      </c>
      <c r="B4940" s="81" t="str">
        <f t="shared" si="1"/>
        <v xml:space="preserve"> </v>
      </c>
      <c r="C4940" s="79" t="str">
        <f t="shared" si="7"/>
        <v xml:space="preserve"> </v>
      </c>
      <c r="D4940" s="79" t="str">
        <f t="shared" si="5"/>
        <v xml:space="preserve"> </v>
      </c>
      <c r="E4940" s="79" t="str">
        <f t="shared" si="6"/>
        <v xml:space="preserve"> </v>
      </c>
    </row>
    <row r="4941" spans="1:5" ht="12.5">
      <c r="A4941" s="81" t="str">
        <f t="shared" si="0"/>
        <v xml:space="preserve"> </v>
      </c>
      <c r="B4941" s="81" t="str">
        <f t="shared" si="1"/>
        <v xml:space="preserve"> </v>
      </c>
      <c r="C4941" s="79" t="str">
        <f t="shared" si="7"/>
        <v xml:space="preserve"> </v>
      </c>
      <c r="D4941" s="79" t="str">
        <f t="shared" si="5"/>
        <v xml:space="preserve"> </v>
      </c>
      <c r="E4941" s="79" t="str">
        <f t="shared" si="6"/>
        <v xml:space="preserve"> </v>
      </c>
    </row>
    <row r="4942" spans="1:5" ht="12.5">
      <c r="A4942" s="81" t="str">
        <f t="shared" si="0"/>
        <v xml:space="preserve"> </v>
      </c>
      <c r="B4942" s="81" t="str">
        <f t="shared" si="1"/>
        <v xml:space="preserve"> </v>
      </c>
      <c r="C4942" s="79" t="str">
        <f t="shared" si="7"/>
        <v xml:space="preserve"> </v>
      </c>
      <c r="D4942" s="79" t="str">
        <f t="shared" si="5"/>
        <v xml:space="preserve"> </v>
      </c>
      <c r="E4942" s="79" t="str">
        <f t="shared" si="6"/>
        <v xml:space="preserve"> </v>
      </c>
    </row>
    <row r="4943" spans="1:5" ht="12.5">
      <c r="A4943" s="81" t="str">
        <f t="shared" si="0"/>
        <v xml:space="preserve"> </v>
      </c>
      <c r="B4943" s="81" t="str">
        <f t="shared" si="1"/>
        <v xml:space="preserve"> </v>
      </c>
      <c r="C4943" s="79" t="str">
        <f t="shared" si="7"/>
        <v xml:space="preserve"> </v>
      </c>
      <c r="D4943" s="79" t="str">
        <f t="shared" si="5"/>
        <v xml:space="preserve"> </v>
      </c>
      <c r="E4943" s="79" t="str">
        <f t="shared" si="6"/>
        <v xml:space="preserve"> </v>
      </c>
    </row>
    <row r="4944" spans="1:5" ht="12.5">
      <c r="A4944" s="81" t="str">
        <f t="shared" si="0"/>
        <v xml:space="preserve"> </v>
      </c>
      <c r="B4944" s="81" t="str">
        <f t="shared" si="1"/>
        <v xml:space="preserve"> </v>
      </c>
      <c r="C4944" s="79" t="str">
        <f t="shared" si="7"/>
        <v xml:space="preserve"> </v>
      </c>
      <c r="D4944" s="79" t="str">
        <f t="shared" si="5"/>
        <v xml:space="preserve"> </v>
      </c>
      <c r="E4944" s="79" t="str">
        <f t="shared" si="6"/>
        <v xml:space="preserve"> </v>
      </c>
    </row>
    <row r="4945" spans="1:5" ht="12.5">
      <c r="A4945" s="81" t="str">
        <f t="shared" si="0"/>
        <v xml:space="preserve"> </v>
      </c>
      <c r="B4945" s="81" t="str">
        <f t="shared" si="1"/>
        <v xml:space="preserve"> </v>
      </c>
      <c r="C4945" s="79" t="str">
        <f t="shared" si="7"/>
        <v xml:space="preserve"> </v>
      </c>
      <c r="D4945" s="79" t="str">
        <f t="shared" si="5"/>
        <v xml:space="preserve"> </v>
      </c>
      <c r="E4945" s="79" t="str">
        <f t="shared" si="6"/>
        <v xml:space="preserve"> </v>
      </c>
    </row>
    <row r="4946" spans="1:5" ht="12.5">
      <c r="A4946" s="81" t="str">
        <f t="shared" si="0"/>
        <v xml:space="preserve"> </v>
      </c>
      <c r="B4946" s="81" t="str">
        <f t="shared" si="1"/>
        <v xml:space="preserve"> </v>
      </c>
      <c r="C4946" s="79" t="str">
        <f t="shared" si="7"/>
        <v xml:space="preserve"> </v>
      </c>
      <c r="D4946" s="79" t="str">
        <f t="shared" si="5"/>
        <v xml:space="preserve"> </v>
      </c>
      <c r="E4946" s="79" t="str">
        <f t="shared" si="6"/>
        <v xml:space="preserve"> </v>
      </c>
    </row>
    <row r="4947" spans="1:5" ht="12.5">
      <c r="A4947" s="81" t="str">
        <f t="shared" si="0"/>
        <v xml:space="preserve"> </v>
      </c>
      <c r="B4947" s="81" t="str">
        <f t="shared" si="1"/>
        <v xml:space="preserve"> </v>
      </c>
      <c r="C4947" s="79" t="str">
        <f t="shared" si="7"/>
        <v xml:space="preserve"> </v>
      </c>
      <c r="D4947" s="79" t="str">
        <f t="shared" si="5"/>
        <v xml:space="preserve"> </v>
      </c>
      <c r="E4947" s="79" t="str">
        <f t="shared" si="6"/>
        <v xml:space="preserve"> </v>
      </c>
    </row>
    <row r="4948" spans="1:5" ht="12.5">
      <c r="A4948" s="81" t="str">
        <f t="shared" si="0"/>
        <v xml:space="preserve"> </v>
      </c>
      <c r="B4948" s="81" t="str">
        <f t="shared" si="1"/>
        <v xml:space="preserve"> </v>
      </c>
      <c r="C4948" s="79" t="str">
        <f t="shared" si="7"/>
        <v xml:space="preserve"> </v>
      </c>
      <c r="D4948" s="79" t="str">
        <f t="shared" si="5"/>
        <v xml:space="preserve"> </v>
      </c>
      <c r="E4948" s="79" t="str">
        <f t="shared" si="6"/>
        <v xml:space="preserve"> </v>
      </c>
    </row>
    <row r="4949" spans="1:5" ht="12.5">
      <c r="A4949" s="81" t="str">
        <f t="shared" si="0"/>
        <v xml:space="preserve"> </v>
      </c>
      <c r="B4949" s="81" t="str">
        <f t="shared" si="1"/>
        <v xml:space="preserve"> </v>
      </c>
      <c r="C4949" s="79" t="str">
        <f t="shared" si="7"/>
        <v xml:space="preserve"> </v>
      </c>
      <c r="D4949" s="79" t="str">
        <f t="shared" si="5"/>
        <v xml:space="preserve"> </v>
      </c>
      <c r="E4949" s="79" t="str">
        <f t="shared" si="6"/>
        <v xml:space="preserve"> </v>
      </c>
    </row>
    <row r="4950" spans="1:5" ht="12.5">
      <c r="A4950" s="81" t="str">
        <f t="shared" si="0"/>
        <v xml:space="preserve"> </v>
      </c>
      <c r="B4950" s="81" t="str">
        <f t="shared" si="1"/>
        <v xml:space="preserve"> </v>
      </c>
      <c r="C4950" s="79" t="str">
        <f t="shared" si="7"/>
        <v xml:space="preserve"> </v>
      </c>
      <c r="D4950" s="79" t="str">
        <f t="shared" si="5"/>
        <v xml:space="preserve"> </v>
      </c>
      <c r="E4950" s="79" t="str">
        <f t="shared" si="6"/>
        <v xml:space="preserve"> </v>
      </c>
    </row>
    <row r="4951" spans="1:5" ht="12.5">
      <c r="A4951" s="81" t="str">
        <f t="shared" si="0"/>
        <v xml:space="preserve"> </v>
      </c>
      <c r="B4951" s="81" t="str">
        <f t="shared" si="1"/>
        <v xml:space="preserve"> </v>
      </c>
      <c r="C4951" s="79" t="str">
        <f t="shared" si="7"/>
        <v xml:space="preserve"> </v>
      </c>
      <c r="D4951" s="79" t="str">
        <f t="shared" si="5"/>
        <v xml:space="preserve"> </v>
      </c>
      <c r="E4951" s="79" t="str">
        <f t="shared" si="6"/>
        <v xml:space="preserve"> </v>
      </c>
    </row>
    <row r="4952" spans="1:5" ht="12.5">
      <c r="A4952" s="81" t="str">
        <f t="shared" si="0"/>
        <v xml:space="preserve"> </v>
      </c>
      <c r="B4952" s="81" t="str">
        <f t="shared" si="1"/>
        <v xml:space="preserve"> </v>
      </c>
      <c r="C4952" s="79" t="str">
        <f t="shared" si="7"/>
        <v xml:space="preserve"> </v>
      </c>
      <c r="D4952" s="79" t="str">
        <f t="shared" si="5"/>
        <v xml:space="preserve"> </v>
      </c>
      <c r="E4952" s="79" t="str">
        <f t="shared" si="6"/>
        <v xml:space="preserve"> </v>
      </c>
    </row>
    <row r="4953" spans="1:5" ht="12.5">
      <c r="A4953" s="81" t="str">
        <f t="shared" si="0"/>
        <v xml:space="preserve"> </v>
      </c>
      <c r="B4953" s="81" t="str">
        <f t="shared" si="1"/>
        <v xml:space="preserve"> </v>
      </c>
      <c r="C4953" s="79" t="str">
        <f t="shared" si="7"/>
        <v xml:space="preserve"> </v>
      </c>
      <c r="D4953" s="79" t="str">
        <f t="shared" si="5"/>
        <v xml:space="preserve"> </v>
      </c>
      <c r="E4953" s="79" t="str">
        <f t="shared" si="6"/>
        <v xml:space="preserve"> </v>
      </c>
    </row>
    <row r="4954" spans="1:5" ht="12.5">
      <c r="A4954" s="81" t="str">
        <f t="shared" si="0"/>
        <v xml:space="preserve"> </v>
      </c>
      <c r="B4954" s="81" t="str">
        <f t="shared" si="1"/>
        <v xml:space="preserve"> </v>
      </c>
      <c r="C4954" s="79" t="str">
        <f t="shared" si="7"/>
        <v xml:space="preserve"> </v>
      </c>
      <c r="D4954" s="79" t="str">
        <f t="shared" si="5"/>
        <v xml:space="preserve"> </v>
      </c>
      <c r="E4954" s="79" t="str">
        <f t="shared" si="6"/>
        <v xml:space="preserve"> </v>
      </c>
    </row>
    <row r="4955" spans="1:5" ht="12.5">
      <c r="A4955" s="81" t="str">
        <f t="shared" si="0"/>
        <v xml:space="preserve"> </v>
      </c>
      <c r="B4955" s="81" t="str">
        <f t="shared" si="1"/>
        <v xml:space="preserve"> </v>
      </c>
      <c r="C4955" s="79" t="str">
        <f t="shared" si="7"/>
        <v xml:space="preserve"> </v>
      </c>
      <c r="D4955" s="79" t="str">
        <f t="shared" si="5"/>
        <v xml:space="preserve"> </v>
      </c>
      <c r="E4955" s="79" t="str">
        <f t="shared" si="6"/>
        <v xml:space="preserve"> </v>
      </c>
    </row>
    <row r="4956" spans="1:5" ht="12.5">
      <c r="A4956" s="81" t="str">
        <f t="shared" si="0"/>
        <v xml:space="preserve"> </v>
      </c>
      <c r="B4956" s="81" t="str">
        <f t="shared" si="1"/>
        <v xml:space="preserve"> </v>
      </c>
      <c r="C4956" s="79" t="str">
        <f t="shared" si="7"/>
        <v xml:space="preserve"> </v>
      </c>
      <c r="D4956" s="79" t="str">
        <f t="shared" si="5"/>
        <v xml:space="preserve"> </v>
      </c>
      <c r="E4956" s="79" t="str">
        <f t="shared" si="6"/>
        <v xml:space="preserve"> </v>
      </c>
    </row>
    <row r="4957" spans="1:5" ht="12.5">
      <c r="A4957" s="81" t="str">
        <f t="shared" si="0"/>
        <v xml:space="preserve"> </v>
      </c>
      <c r="B4957" s="81" t="str">
        <f t="shared" si="1"/>
        <v xml:space="preserve"> </v>
      </c>
      <c r="C4957" s="79" t="str">
        <f t="shared" si="7"/>
        <v xml:space="preserve"> </v>
      </c>
      <c r="D4957" s="79" t="str">
        <f t="shared" si="5"/>
        <v xml:space="preserve"> </v>
      </c>
      <c r="E4957" s="79" t="str">
        <f t="shared" si="6"/>
        <v xml:space="preserve"> </v>
      </c>
    </row>
    <row r="4958" spans="1:5" ht="12.5">
      <c r="A4958" s="81" t="str">
        <f t="shared" si="0"/>
        <v xml:space="preserve"> </v>
      </c>
      <c r="B4958" s="81" t="str">
        <f t="shared" si="1"/>
        <v xml:space="preserve"> </v>
      </c>
      <c r="C4958" s="79" t="str">
        <f t="shared" si="7"/>
        <v xml:space="preserve"> </v>
      </c>
      <c r="D4958" s="79" t="str">
        <f t="shared" si="5"/>
        <v xml:space="preserve"> </v>
      </c>
      <c r="E4958" s="79" t="str">
        <f t="shared" si="6"/>
        <v xml:space="preserve"> </v>
      </c>
    </row>
    <row r="4959" spans="1:5" ht="12.5">
      <c r="A4959" s="81" t="str">
        <f t="shared" si="0"/>
        <v xml:space="preserve"> </v>
      </c>
      <c r="B4959" s="81" t="str">
        <f t="shared" si="1"/>
        <v xml:space="preserve"> </v>
      </c>
      <c r="C4959" s="79" t="str">
        <f t="shared" si="7"/>
        <v xml:space="preserve"> </v>
      </c>
      <c r="D4959" s="79" t="str">
        <f t="shared" si="5"/>
        <v xml:space="preserve"> </v>
      </c>
      <c r="E4959" s="79" t="str">
        <f t="shared" si="6"/>
        <v xml:space="preserve"> </v>
      </c>
    </row>
    <row r="4960" spans="1:5" ht="12.5">
      <c r="A4960" s="81" t="str">
        <f t="shared" si="0"/>
        <v xml:space="preserve"> </v>
      </c>
      <c r="B4960" s="81" t="str">
        <f t="shared" si="1"/>
        <v xml:space="preserve"> </v>
      </c>
      <c r="C4960" s="79" t="str">
        <f t="shared" si="7"/>
        <v xml:space="preserve"> </v>
      </c>
      <c r="D4960" s="79" t="str">
        <f t="shared" si="5"/>
        <v xml:space="preserve"> </v>
      </c>
      <c r="E4960" s="79" t="str">
        <f t="shared" si="6"/>
        <v xml:space="preserve"> </v>
      </c>
    </row>
    <row r="4961" spans="1:5" ht="12.5">
      <c r="A4961" s="81" t="str">
        <f t="shared" si="0"/>
        <v xml:space="preserve"> </v>
      </c>
      <c r="B4961" s="81" t="str">
        <f t="shared" si="1"/>
        <v xml:space="preserve"> </v>
      </c>
      <c r="C4961" s="79" t="str">
        <f t="shared" si="7"/>
        <v xml:space="preserve"> </v>
      </c>
      <c r="D4961" s="79" t="str">
        <f t="shared" si="5"/>
        <v xml:space="preserve"> </v>
      </c>
      <c r="E4961" s="79" t="str">
        <f t="shared" si="6"/>
        <v xml:space="preserve"> </v>
      </c>
    </row>
    <row r="4962" spans="1:5" ht="12.5">
      <c r="A4962" s="81" t="str">
        <f t="shared" si="0"/>
        <v xml:space="preserve"> </v>
      </c>
      <c r="B4962" s="81" t="str">
        <f t="shared" si="1"/>
        <v xml:space="preserve"> </v>
      </c>
      <c r="C4962" s="79" t="str">
        <f t="shared" si="7"/>
        <v xml:space="preserve"> </v>
      </c>
      <c r="D4962" s="79" t="str">
        <f t="shared" si="5"/>
        <v xml:space="preserve"> </v>
      </c>
      <c r="E4962" s="79" t="str">
        <f t="shared" si="6"/>
        <v xml:space="preserve"> </v>
      </c>
    </row>
    <row r="4963" spans="1:5" ht="12.5">
      <c r="A4963" s="81" t="str">
        <f t="shared" si="0"/>
        <v xml:space="preserve"> </v>
      </c>
      <c r="B4963" s="81" t="str">
        <f t="shared" si="1"/>
        <v xml:space="preserve"> </v>
      </c>
      <c r="C4963" s="79" t="str">
        <f t="shared" si="7"/>
        <v xml:space="preserve"> </v>
      </c>
      <c r="D4963" s="79" t="str">
        <f t="shared" si="5"/>
        <v xml:space="preserve"> </v>
      </c>
      <c r="E4963" s="79" t="str">
        <f t="shared" si="6"/>
        <v xml:space="preserve"> </v>
      </c>
    </row>
    <row r="4964" spans="1:5" ht="12.5">
      <c r="A4964" s="81" t="str">
        <f t="shared" si="0"/>
        <v xml:space="preserve"> </v>
      </c>
      <c r="B4964" s="81" t="str">
        <f t="shared" si="1"/>
        <v xml:space="preserve"> </v>
      </c>
      <c r="C4964" s="79" t="str">
        <f t="shared" si="7"/>
        <v xml:space="preserve"> </v>
      </c>
      <c r="D4964" s="79" t="str">
        <f t="shared" si="5"/>
        <v xml:space="preserve"> </v>
      </c>
      <c r="E4964" s="79" t="str">
        <f t="shared" si="6"/>
        <v xml:space="preserve"> </v>
      </c>
    </row>
    <row r="4965" spans="1:5" ht="12.5">
      <c r="A4965" s="81" t="str">
        <f t="shared" si="0"/>
        <v xml:space="preserve"> </v>
      </c>
      <c r="B4965" s="81" t="str">
        <f t="shared" si="1"/>
        <v xml:space="preserve"> </v>
      </c>
      <c r="C4965" s="79" t="str">
        <f t="shared" si="7"/>
        <v xml:space="preserve"> </v>
      </c>
      <c r="D4965" s="79" t="str">
        <f t="shared" si="5"/>
        <v xml:space="preserve"> </v>
      </c>
      <c r="E4965" s="79" t="str">
        <f t="shared" si="6"/>
        <v xml:space="preserve"> </v>
      </c>
    </row>
    <row r="4966" spans="1:5" ht="12.5">
      <c r="A4966" s="81" t="str">
        <f t="shared" si="0"/>
        <v xml:space="preserve"> </v>
      </c>
      <c r="B4966" s="81" t="str">
        <f t="shared" si="1"/>
        <v xml:space="preserve"> </v>
      </c>
      <c r="C4966" s="79" t="str">
        <f t="shared" si="7"/>
        <v xml:space="preserve"> </v>
      </c>
      <c r="D4966" s="79" t="str">
        <f t="shared" si="5"/>
        <v xml:space="preserve"> </v>
      </c>
      <c r="E4966" s="79" t="str">
        <f t="shared" si="6"/>
        <v xml:space="preserve"> </v>
      </c>
    </row>
    <row r="4967" spans="1:5" ht="12.5">
      <c r="A4967" s="81" t="str">
        <f t="shared" si="0"/>
        <v xml:space="preserve"> </v>
      </c>
      <c r="B4967" s="81" t="str">
        <f t="shared" si="1"/>
        <v xml:space="preserve"> </v>
      </c>
      <c r="C4967" s="79" t="str">
        <f t="shared" si="7"/>
        <v xml:space="preserve"> </v>
      </c>
      <c r="D4967" s="79" t="str">
        <f t="shared" si="5"/>
        <v xml:space="preserve"> </v>
      </c>
      <c r="E4967" s="79" t="str">
        <f t="shared" si="6"/>
        <v xml:space="preserve"> </v>
      </c>
    </row>
    <row r="4968" spans="1:5" ht="12.5">
      <c r="A4968" s="81" t="str">
        <f t="shared" si="0"/>
        <v xml:space="preserve"> </v>
      </c>
      <c r="B4968" s="81" t="str">
        <f t="shared" si="1"/>
        <v xml:space="preserve"> </v>
      </c>
      <c r="C4968" s="79" t="str">
        <f t="shared" si="7"/>
        <v xml:space="preserve"> </v>
      </c>
      <c r="D4968" s="79" t="str">
        <f t="shared" si="5"/>
        <v xml:space="preserve"> </v>
      </c>
      <c r="E4968" s="79" t="str">
        <f t="shared" si="6"/>
        <v xml:space="preserve"> </v>
      </c>
    </row>
    <row r="4969" spans="1:5" ht="12.5">
      <c r="A4969" s="81" t="str">
        <f t="shared" si="0"/>
        <v xml:space="preserve"> </v>
      </c>
      <c r="B4969" s="81" t="str">
        <f t="shared" si="1"/>
        <v xml:space="preserve"> </v>
      </c>
      <c r="C4969" s="79" t="str">
        <f t="shared" si="7"/>
        <v xml:space="preserve"> </v>
      </c>
      <c r="D4969" s="79" t="str">
        <f t="shared" si="5"/>
        <v xml:space="preserve"> </v>
      </c>
      <c r="E4969" s="79" t="str">
        <f t="shared" si="6"/>
        <v xml:space="preserve"> </v>
      </c>
    </row>
    <row r="4970" spans="1:5" ht="12.5">
      <c r="A4970" s="81" t="str">
        <f t="shared" si="0"/>
        <v xml:space="preserve"> </v>
      </c>
      <c r="B4970" s="81" t="str">
        <f t="shared" si="1"/>
        <v xml:space="preserve"> </v>
      </c>
      <c r="C4970" s="79" t="str">
        <f t="shared" si="7"/>
        <v xml:space="preserve"> </v>
      </c>
      <c r="D4970" s="79" t="str">
        <f t="shared" si="5"/>
        <v xml:space="preserve"> </v>
      </c>
      <c r="E4970" s="79" t="str">
        <f t="shared" si="6"/>
        <v xml:space="preserve"> </v>
      </c>
    </row>
    <row r="4971" spans="1:5" ht="12.5">
      <c r="A4971" s="81" t="str">
        <f t="shared" si="0"/>
        <v xml:space="preserve"> </v>
      </c>
      <c r="B4971" s="81" t="str">
        <f t="shared" si="1"/>
        <v xml:space="preserve"> </v>
      </c>
      <c r="C4971" s="79" t="str">
        <f t="shared" si="7"/>
        <v xml:space="preserve"> </v>
      </c>
      <c r="D4971" s="79" t="str">
        <f t="shared" si="5"/>
        <v xml:space="preserve"> </v>
      </c>
      <c r="E4971" s="79" t="str">
        <f t="shared" si="6"/>
        <v xml:space="preserve"> </v>
      </c>
    </row>
    <row r="4972" spans="1:5" ht="12.5">
      <c r="A4972" s="81" t="str">
        <f t="shared" si="0"/>
        <v xml:space="preserve"> </v>
      </c>
      <c r="B4972" s="81" t="str">
        <f t="shared" si="1"/>
        <v xml:space="preserve"> </v>
      </c>
      <c r="C4972" s="79" t="str">
        <f t="shared" si="7"/>
        <v xml:space="preserve"> </v>
      </c>
      <c r="D4972" s="79" t="str">
        <f t="shared" si="5"/>
        <v xml:space="preserve"> </v>
      </c>
      <c r="E4972" s="79" t="str">
        <f t="shared" si="6"/>
        <v xml:space="preserve"> </v>
      </c>
    </row>
    <row r="4973" spans="1:5" ht="12.5">
      <c r="A4973" s="81" t="str">
        <f t="shared" si="0"/>
        <v xml:space="preserve"> </v>
      </c>
      <c r="B4973" s="81" t="str">
        <f t="shared" si="1"/>
        <v xml:space="preserve"> </v>
      </c>
      <c r="C4973" s="79" t="str">
        <f t="shared" si="7"/>
        <v xml:space="preserve"> </v>
      </c>
      <c r="D4973" s="79" t="str">
        <f t="shared" si="5"/>
        <v xml:space="preserve"> </v>
      </c>
      <c r="E4973" s="79" t="str">
        <f t="shared" si="6"/>
        <v xml:space="preserve"> </v>
      </c>
    </row>
    <row r="4974" spans="1:5" ht="12.5">
      <c r="A4974" s="81" t="str">
        <f t="shared" si="0"/>
        <v xml:space="preserve"> </v>
      </c>
      <c r="B4974" s="81" t="str">
        <f t="shared" si="1"/>
        <v xml:space="preserve"> </v>
      </c>
      <c r="C4974" s="79" t="str">
        <f t="shared" si="7"/>
        <v xml:space="preserve"> </v>
      </c>
      <c r="D4974" s="79" t="str">
        <f t="shared" si="5"/>
        <v xml:space="preserve"> </v>
      </c>
      <c r="E4974" s="79" t="str">
        <f t="shared" si="6"/>
        <v xml:space="preserve"> </v>
      </c>
    </row>
    <row r="4975" spans="1:5" ht="12.5">
      <c r="A4975" s="81" t="str">
        <f t="shared" si="0"/>
        <v xml:space="preserve"> </v>
      </c>
      <c r="B4975" s="81" t="str">
        <f t="shared" si="1"/>
        <v xml:space="preserve"> </v>
      </c>
      <c r="C4975" s="79" t="str">
        <f t="shared" si="7"/>
        <v xml:space="preserve"> </v>
      </c>
      <c r="D4975" s="79" t="str">
        <f t="shared" si="5"/>
        <v xml:space="preserve"> </v>
      </c>
      <c r="E4975" s="79" t="str">
        <f t="shared" si="6"/>
        <v xml:space="preserve"> </v>
      </c>
    </row>
    <row r="4976" spans="1:5" ht="12.5">
      <c r="A4976" s="81" t="str">
        <f t="shared" si="0"/>
        <v xml:space="preserve"> </v>
      </c>
      <c r="B4976" s="81" t="str">
        <f t="shared" si="1"/>
        <v xml:space="preserve"> </v>
      </c>
      <c r="C4976" s="79" t="str">
        <f t="shared" si="7"/>
        <v xml:space="preserve"> </v>
      </c>
      <c r="D4976" s="79" t="str">
        <f t="shared" si="5"/>
        <v xml:space="preserve"> </v>
      </c>
      <c r="E4976" s="79" t="str">
        <f t="shared" si="6"/>
        <v xml:space="preserve"> </v>
      </c>
    </row>
    <row r="4977" spans="1:5" ht="12.5">
      <c r="A4977" s="81" t="str">
        <f t="shared" si="0"/>
        <v xml:space="preserve"> </v>
      </c>
      <c r="B4977" s="81" t="str">
        <f t="shared" si="1"/>
        <v xml:space="preserve"> </v>
      </c>
      <c r="C4977" s="79" t="str">
        <f t="shared" si="7"/>
        <v xml:space="preserve"> </v>
      </c>
      <c r="D4977" s="79" t="str">
        <f t="shared" si="5"/>
        <v xml:space="preserve"> </v>
      </c>
      <c r="E4977" s="79" t="str">
        <f t="shared" si="6"/>
        <v xml:space="preserve"> </v>
      </c>
    </row>
    <row r="4978" spans="1:5" ht="12.5">
      <c r="A4978" s="81" t="str">
        <f t="shared" si="0"/>
        <v xml:space="preserve"> </v>
      </c>
      <c r="B4978" s="81" t="str">
        <f t="shared" si="1"/>
        <v xml:space="preserve"> </v>
      </c>
      <c r="C4978" s="79" t="str">
        <f t="shared" si="7"/>
        <v xml:space="preserve"> </v>
      </c>
      <c r="D4978" s="79" t="str">
        <f t="shared" si="5"/>
        <v xml:space="preserve"> </v>
      </c>
      <c r="E4978" s="79" t="str">
        <f t="shared" si="6"/>
        <v xml:space="preserve"> </v>
      </c>
    </row>
    <row r="4979" spans="1:5" ht="12.5">
      <c r="A4979" s="81" t="str">
        <f t="shared" si="0"/>
        <v xml:space="preserve"> </v>
      </c>
      <c r="B4979" s="81" t="str">
        <f t="shared" si="1"/>
        <v xml:space="preserve"> </v>
      </c>
      <c r="C4979" s="79" t="str">
        <f t="shared" si="7"/>
        <v xml:space="preserve"> </v>
      </c>
      <c r="D4979" s="79" t="str">
        <f t="shared" si="5"/>
        <v xml:space="preserve"> </v>
      </c>
      <c r="E4979" s="79" t="str">
        <f t="shared" si="6"/>
        <v xml:space="preserve"> </v>
      </c>
    </row>
    <row r="4980" spans="1:5" ht="12.5">
      <c r="A4980" s="81" t="str">
        <f t="shared" si="0"/>
        <v xml:space="preserve"> </v>
      </c>
      <c r="B4980" s="81" t="str">
        <f t="shared" si="1"/>
        <v xml:space="preserve"> </v>
      </c>
      <c r="C4980" s="79" t="str">
        <f t="shared" si="7"/>
        <v xml:space="preserve"> </v>
      </c>
      <c r="D4980" s="79" t="str">
        <f t="shared" si="5"/>
        <v xml:space="preserve"> </v>
      </c>
      <c r="E4980" s="79" t="str">
        <f t="shared" si="6"/>
        <v xml:space="preserve"> </v>
      </c>
    </row>
    <row r="4981" spans="1:5" ht="12.5">
      <c r="A4981" s="81" t="str">
        <f t="shared" si="0"/>
        <v xml:space="preserve"> </v>
      </c>
      <c r="B4981" s="81" t="str">
        <f t="shared" si="1"/>
        <v xml:space="preserve"> </v>
      </c>
      <c r="C4981" s="79" t="str">
        <f t="shared" si="7"/>
        <v xml:space="preserve"> </v>
      </c>
      <c r="D4981" s="79" t="str">
        <f t="shared" si="5"/>
        <v xml:space="preserve"> </v>
      </c>
      <c r="E4981" s="79" t="str">
        <f t="shared" si="6"/>
        <v xml:space="preserve"> </v>
      </c>
    </row>
    <row r="4982" spans="1:5" ht="12.5">
      <c r="A4982" s="81" t="str">
        <f t="shared" si="0"/>
        <v xml:space="preserve"> </v>
      </c>
      <c r="B4982" s="81" t="str">
        <f t="shared" si="1"/>
        <v xml:space="preserve"> </v>
      </c>
      <c r="C4982" s="79" t="str">
        <f t="shared" si="7"/>
        <v xml:space="preserve"> </v>
      </c>
      <c r="D4982" s="79" t="str">
        <f t="shared" si="5"/>
        <v xml:space="preserve"> </v>
      </c>
      <c r="E4982" s="79" t="str">
        <f t="shared" si="6"/>
        <v xml:space="preserve"> </v>
      </c>
    </row>
    <row r="4983" spans="1:5" ht="12.5">
      <c r="A4983" s="81" t="str">
        <f t="shared" si="0"/>
        <v xml:space="preserve"> </v>
      </c>
      <c r="B4983" s="81" t="str">
        <f t="shared" si="1"/>
        <v xml:space="preserve"> </v>
      </c>
      <c r="C4983" s="79" t="str">
        <f t="shared" si="7"/>
        <v xml:space="preserve"> </v>
      </c>
      <c r="D4983" s="79" t="str">
        <f t="shared" si="5"/>
        <v xml:space="preserve"> </v>
      </c>
      <c r="E4983" s="79" t="str">
        <f t="shared" si="6"/>
        <v xml:space="preserve"> </v>
      </c>
    </row>
    <row r="4984" spans="1:5" ht="12.5">
      <c r="A4984" s="81" t="str">
        <f t="shared" si="0"/>
        <v xml:space="preserve"> </v>
      </c>
      <c r="B4984" s="81" t="str">
        <f t="shared" si="1"/>
        <v xml:space="preserve"> </v>
      </c>
      <c r="C4984" s="79" t="str">
        <f t="shared" si="7"/>
        <v xml:space="preserve"> </v>
      </c>
      <c r="D4984" s="79" t="str">
        <f t="shared" si="5"/>
        <v xml:space="preserve"> </v>
      </c>
      <c r="E4984" s="79" t="str">
        <f t="shared" si="6"/>
        <v xml:space="preserve"> </v>
      </c>
    </row>
    <row r="4985" spans="1:5" ht="12.5">
      <c r="A4985" s="81" t="str">
        <f t="shared" si="0"/>
        <v xml:space="preserve"> </v>
      </c>
      <c r="B4985" s="81" t="str">
        <f t="shared" si="1"/>
        <v xml:space="preserve"> </v>
      </c>
      <c r="C4985" s="79" t="str">
        <f t="shared" si="7"/>
        <v xml:space="preserve"> </v>
      </c>
      <c r="D4985" s="79" t="str">
        <f t="shared" si="5"/>
        <v xml:space="preserve"> </v>
      </c>
      <c r="E4985" s="79" t="str">
        <f t="shared" si="6"/>
        <v xml:space="preserve"> </v>
      </c>
    </row>
    <row r="4986" spans="1:5" ht="12.5">
      <c r="A4986" s="81" t="str">
        <f t="shared" si="0"/>
        <v xml:space="preserve"> </v>
      </c>
      <c r="B4986" s="81" t="str">
        <f t="shared" si="1"/>
        <v xml:space="preserve"> </v>
      </c>
      <c r="C4986" s="79" t="str">
        <f t="shared" si="7"/>
        <v xml:space="preserve"> </v>
      </c>
      <c r="D4986" s="79" t="str">
        <f t="shared" si="5"/>
        <v xml:space="preserve"> </v>
      </c>
      <c r="E4986" s="79" t="str">
        <f t="shared" si="6"/>
        <v xml:space="preserve"> </v>
      </c>
    </row>
    <row r="4987" spans="1:5" ht="12.5">
      <c r="A4987" s="81" t="str">
        <f t="shared" si="0"/>
        <v xml:space="preserve"> </v>
      </c>
      <c r="B4987" s="81" t="str">
        <f t="shared" si="1"/>
        <v xml:space="preserve"> </v>
      </c>
      <c r="C4987" s="79" t="str">
        <f t="shared" si="7"/>
        <v xml:space="preserve"> </v>
      </c>
      <c r="D4987" s="79" t="str">
        <f t="shared" si="5"/>
        <v xml:space="preserve"> </v>
      </c>
      <c r="E4987" s="79" t="str">
        <f t="shared" si="6"/>
        <v xml:space="preserve"> </v>
      </c>
    </row>
    <row r="4988" spans="1:5" ht="12.5">
      <c r="A4988" s="81" t="str">
        <f t="shared" si="0"/>
        <v xml:space="preserve"> </v>
      </c>
      <c r="B4988" s="81" t="str">
        <f t="shared" si="1"/>
        <v xml:space="preserve"> </v>
      </c>
      <c r="C4988" s="79" t="str">
        <f t="shared" si="7"/>
        <v xml:space="preserve"> </v>
      </c>
      <c r="D4988" s="79" t="str">
        <f t="shared" si="5"/>
        <v xml:space="preserve"> </v>
      </c>
      <c r="E4988" s="79" t="str">
        <f t="shared" si="6"/>
        <v xml:space="preserve"> </v>
      </c>
    </row>
    <row r="4989" spans="1:5" ht="12.5">
      <c r="A4989" s="81" t="str">
        <f t="shared" si="0"/>
        <v xml:space="preserve"> </v>
      </c>
      <c r="B4989" s="81" t="str">
        <f t="shared" si="1"/>
        <v xml:space="preserve"> </v>
      </c>
      <c r="C4989" s="79" t="str">
        <f t="shared" si="7"/>
        <v xml:space="preserve"> </v>
      </c>
      <c r="D4989" s="79" t="str">
        <f t="shared" si="5"/>
        <v xml:space="preserve"> </v>
      </c>
      <c r="E4989" s="79" t="str">
        <f t="shared" si="6"/>
        <v xml:space="preserve"> </v>
      </c>
    </row>
    <row r="4990" spans="1:5" ht="12.5">
      <c r="A4990" s="81" t="str">
        <f t="shared" si="0"/>
        <v xml:space="preserve"> </v>
      </c>
      <c r="B4990" s="81" t="str">
        <f t="shared" si="1"/>
        <v xml:space="preserve"> </v>
      </c>
      <c r="C4990" s="79" t="str">
        <f t="shared" si="7"/>
        <v xml:space="preserve"> </v>
      </c>
      <c r="D4990" s="79" t="str">
        <f t="shared" si="5"/>
        <v xml:space="preserve"> </v>
      </c>
      <c r="E4990" s="79" t="str">
        <f t="shared" si="6"/>
        <v xml:space="preserve"> </v>
      </c>
    </row>
    <row r="4991" spans="1:5" ht="12.5">
      <c r="A4991" s="81" t="str">
        <f t="shared" si="0"/>
        <v xml:space="preserve"> </v>
      </c>
      <c r="B4991" s="81" t="str">
        <f t="shared" si="1"/>
        <v xml:space="preserve"> </v>
      </c>
      <c r="C4991" s="79" t="str">
        <f t="shared" si="7"/>
        <v xml:space="preserve"> </v>
      </c>
      <c r="D4991" s="79" t="str">
        <f t="shared" si="5"/>
        <v xml:space="preserve"> </v>
      </c>
      <c r="E4991" s="79" t="str">
        <f t="shared" si="6"/>
        <v xml:space="preserve"> </v>
      </c>
    </row>
    <row r="4992" spans="1:5" ht="12.5">
      <c r="A4992" s="81" t="str">
        <f t="shared" si="0"/>
        <v xml:space="preserve"> </v>
      </c>
      <c r="B4992" s="81" t="str">
        <f t="shared" si="1"/>
        <v xml:space="preserve"> </v>
      </c>
      <c r="C4992" s="79" t="str">
        <f t="shared" si="7"/>
        <v xml:space="preserve"> </v>
      </c>
      <c r="D4992" s="79" t="str">
        <f t="shared" si="5"/>
        <v xml:space="preserve"> </v>
      </c>
      <c r="E4992" s="79" t="str">
        <f t="shared" si="6"/>
        <v xml:space="preserve"> </v>
      </c>
    </row>
    <row r="4993" spans="1:5" ht="12.5">
      <c r="A4993" s="81" t="str">
        <f t="shared" si="0"/>
        <v xml:space="preserve"> </v>
      </c>
      <c r="B4993" s="81" t="str">
        <f t="shared" si="1"/>
        <v xml:space="preserve"> </v>
      </c>
      <c r="C4993" s="79" t="str">
        <f t="shared" si="7"/>
        <v xml:space="preserve"> </v>
      </c>
      <c r="D4993" s="79" t="str">
        <f t="shared" si="5"/>
        <v xml:space="preserve"> </v>
      </c>
      <c r="E4993" s="79" t="str">
        <f t="shared" si="6"/>
        <v xml:space="preserve"> </v>
      </c>
    </row>
    <row r="4994" spans="1:5" ht="12.5">
      <c r="A4994" s="81" t="str">
        <f t="shared" si="0"/>
        <v xml:space="preserve"> </v>
      </c>
      <c r="B4994" s="81" t="str">
        <f t="shared" si="1"/>
        <v xml:space="preserve"> </v>
      </c>
      <c r="C4994" s="79" t="str">
        <f t="shared" si="7"/>
        <v xml:space="preserve"> </v>
      </c>
      <c r="D4994" s="79" t="str">
        <f t="shared" si="5"/>
        <v xml:space="preserve"> </v>
      </c>
      <c r="E4994" s="79" t="str">
        <f t="shared" si="6"/>
        <v xml:space="preserve"> </v>
      </c>
    </row>
    <row r="4995" spans="1:5" ht="12.5">
      <c r="A4995" s="81" t="str">
        <f t="shared" si="0"/>
        <v xml:space="preserve"> </v>
      </c>
      <c r="B4995" s="81" t="str">
        <f t="shared" si="1"/>
        <v xml:space="preserve"> </v>
      </c>
      <c r="C4995" s="79" t="str">
        <f t="shared" si="7"/>
        <v xml:space="preserve"> </v>
      </c>
      <c r="D4995" s="79" t="str">
        <f t="shared" si="5"/>
        <v xml:space="preserve"> </v>
      </c>
      <c r="E4995" s="79" t="str">
        <f t="shared" si="6"/>
        <v xml:space="preserve"> </v>
      </c>
    </row>
    <row r="4996" spans="1:5" ht="12.5">
      <c r="A4996" s="81" t="str">
        <f t="shared" si="0"/>
        <v xml:space="preserve"> </v>
      </c>
      <c r="B4996" s="81" t="str">
        <f t="shared" si="1"/>
        <v xml:space="preserve"> </v>
      </c>
      <c r="C4996" s="79" t="str">
        <f t="shared" si="7"/>
        <v xml:space="preserve"> </v>
      </c>
      <c r="D4996" s="79" t="str">
        <f t="shared" si="5"/>
        <v xml:space="preserve"> </v>
      </c>
      <c r="E4996" s="79" t="str">
        <f t="shared" si="6"/>
        <v xml:space="preserve"> </v>
      </c>
    </row>
    <row r="4997" spans="1:5" ht="12.5">
      <c r="A4997" s="81" t="str">
        <f t="shared" si="0"/>
        <v xml:space="preserve"> </v>
      </c>
      <c r="B4997" s="81" t="str">
        <f t="shared" si="1"/>
        <v xml:space="preserve"> </v>
      </c>
      <c r="C4997" s="79" t="str">
        <f t="shared" si="7"/>
        <v xml:space="preserve"> </v>
      </c>
      <c r="D4997" s="79" t="str">
        <f t="shared" si="5"/>
        <v xml:space="preserve"> </v>
      </c>
      <c r="E4997" s="79" t="str">
        <f t="shared" si="6"/>
        <v xml:space="preserve"> </v>
      </c>
    </row>
    <row r="4998" spans="1:5" ht="12.5">
      <c r="A4998" s="81" t="str">
        <f t="shared" si="0"/>
        <v xml:space="preserve"> </v>
      </c>
      <c r="B4998" s="81" t="str">
        <f t="shared" si="1"/>
        <v xml:space="preserve"> </v>
      </c>
      <c r="C4998" s="79" t="str">
        <f t="shared" si="7"/>
        <v xml:space="preserve"> </v>
      </c>
      <c r="D4998" s="79" t="str">
        <f t="shared" si="5"/>
        <v xml:space="preserve"> </v>
      </c>
      <c r="E4998" s="79" t="str">
        <f t="shared" si="6"/>
        <v xml:space="preserve"> </v>
      </c>
    </row>
    <row r="4999" spans="1:5" ht="12.5">
      <c r="A4999" s="81" t="str">
        <f t="shared" si="0"/>
        <v xml:space="preserve"> </v>
      </c>
      <c r="B4999" s="81" t="str">
        <f t="shared" si="1"/>
        <v xml:space="preserve"> </v>
      </c>
      <c r="C4999" s="79" t="str">
        <f t="shared" si="7"/>
        <v xml:space="preserve"> </v>
      </c>
      <c r="D4999" s="79" t="str">
        <f t="shared" si="5"/>
        <v xml:space="preserve"> </v>
      </c>
      <c r="E4999" s="79" t="str">
        <f t="shared" si="6"/>
        <v xml:space="preserve"> </v>
      </c>
    </row>
    <row r="5000" spans="1:5" ht="12.5">
      <c r="A5000" s="81" t="str">
        <f t="shared" si="0"/>
        <v xml:space="preserve"> </v>
      </c>
      <c r="B5000" s="81" t="str">
        <f t="shared" si="1"/>
        <v xml:space="preserve"> </v>
      </c>
      <c r="C5000" s="79" t="str">
        <f t="shared" si="7"/>
        <v xml:space="preserve"> </v>
      </c>
      <c r="D5000" s="79" t="str">
        <f t="shared" si="5"/>
        <v xml:space="preserve"> </v>
      </c>
      <c r="E5000" s="79" t="str">
        <f t="shared" si="6"/>
        <v xml:space="preserve"> </v>
      </c>
    </row>
    <row r="5001" spans="1:5" ht="12.5">
      <c r="A5001" s="81" t="str">
        <f t="shared" si="0"/>
        <v xml:space="preserve"> </v>
      </c>
      <c r="B5001" s="81" t="str">
        <f t="shared" si="1"/>
        <v xml:space="preserve"> </v>
      </c>
      <c r="C5001" s="79" t="str">
        <f t="shared" si="7"/>
        <v xml:space="preserve"> </v>
      </c>
      <c r="D5001" s="79" t="str">
        <f t="shared" si="5"/>
        <v xml:space="preserve"> </v>
      </c>
      <c r="E5001" s="79" t="str">
        <f t="shared" si="6"/>
        <v xml:space="preserve"> </v>
      </c>
    </row>
    <row r="5002" spans="1:5" ht="12.5">
      <c r="A5002" s="81" t="str">
        <f t="shared" si="0"/>
        <v xml:space="preserve"> </v>
      </c>
      <c r="B5002" s="81" t="str">
        <f t="shared" si="1"/>
        <v xml:space="preserve"> </v>
      </c>
      <c r="C5002" s="79" t="str">
        <f t="shared" si="7"/>
        <v xml:space="preserve"> </v>
      </c>
      <c r="D5002" s="79" t="str">
        <f t="shared" si="5"/>
        <v xml:space="preserve"> </v>
      </c>
      <c r="E5002" s="79" t="str">
        <f t="shared" si="6"/>
        <v xml:space="preserve"> </v>
      </c>
    </row>
    <row r="5003" spans="1:5" ht="12.5">
      <c r="A5003" s="81" t="str">
        <f t="shared" si="0"/>
        <v xml:space="preserve"> </v>
      </c>
      <c r="B5003" s="81" t="str">
        <f t="shared" si="1"/>
        <v xml:space="preserve"> </v>
      </c>
      <c r="C5003" s="79" t="str">
        <f t="shared" si="7"/>
        <v xml:space="preserve"> </v>
      </c>
      <c r="D5003" s="79" t="str">
        <f t="shared" si="5"/>
        <v xml:space="preserve"> </v>
      </c>
      <c r="E5003" s="79" t="str">
        <f t="shared" si="6"/>
        <v xml:space="preserve"> </v>
      </c>
    </row>
    <row r="5004" spans="1:5" ht="12.5">
      <c r="A5004" s="81" t="str">
        <f t="shared" si="0"/>
        <v xml:space="preserve"> </v>
      </c>
      <c r="B5004" s="81" t="str">
        <f t="shared" si="1"/>
        <v xml:space="preserve"> </v>
      </c>
      <c r="C5004" s="79" t="str">
        <f t="shared" si="7"/>
        <v xml:space="preserve"> </v>
      </c>
      <c r="D5004" s="79" t="str">
        <f t="shared" si="5"/>
        <v xml:space="preserve"> </v>
      </c>
      <c r="E5004" s="79" t="str">
        <f t="shared" si="6"/>
        <v xml:space="preserve"> </v>
      </c>
    </row>
    <row r="5005" spans="1:5" ht="12.5">
      <c r="A5005" s="81" t="str">
        <f t="shared" si="0"/>
        <v xml:space="preserve"> </v>
      </c>
      <c r="B5005" s="81" t="str">
        <f t="shared" si="1"/>
        <v xml:space="preserve"> </v>
      </c>
      <c r="C5005" s="79" t="str">
        <f t="shared" si="7"/>
        <v xml:space="preserve"> </v>
      </c>
      <c r="D5005" s="79" t="str">
        <f t="shared" si="5"/>
        <v xml:space="preserve"> </v>
      </c>
      <c r="E5005" s="79" t="str">
        <f t="shared" si="6"/>
        <v xml:space="preserve"> </v>
      </c>
    </row>
    <row r="5006" spans="1:5" ht="12.5">
      <c r="A5006" s="81" t="str">
        <f t="shared" si="0"/>
        <v xml:space="preserve"> </v>
      </c>
      <c r="B5006" s="81" t="str">
        <f t="shared" si="1"/>
        <v xml:space="preserve"> </v>
      </c>
      <c r="C5006" s="79" t="str">
        <f t="shared" si="7"/>
        <v xml:space="preserve"> </v>
      </c>
      <c r="D5006" s="79" t="str">
        <f t="shared" si="5"/>
        <v xml:space="preserve"> </v>
      </c>
      <c r="E5006" s="79" t="str">
        <f t="shared" si="6"/>
        <v xml:space="preserve"> </v>
      </c>
    </row>
    <row r="5007" spans="1:5" ht="12.5">
      <c r="A5007" s="81" t="str">
        <f t="shared" si="0"/>
        <v xml:space="preserve"> </v>
      </c>
      <c r="B5007" s="81" t="str">
        <f t="shared" si="1"/>
        <v xml:space="preserve"> </v>
      </c>
      <c r="C5007" s="79" t="str">
        <f t="shared" si="7"/>
        <v xml:space="preserve"> </v>
      </c>
      <c r="D5007" s="79" t="str">
        <f t="shared" si="5"/>
        <v xml:space="preserve"> </v>
      </c>
      <c r="E5007" s="79" t="str">
        <f t="shared" si="6"/>
        <v xml:space="preserve"> </v>
      </c>
    </row>
    <row r="5008" spans="1:5" ht="12.5">
      <c r="A5008" s="81" t="str">
        <f t="shared" si="0"/>
        <v xml:space="preserve"> </v>
      </c>
      <c r="B5008" s="81" t="str">
        <f t="shared" si="1"/>
        <v xml:space="preserve"> </v>
      </c>
      <c r="C5008" s="79" t="str">
        <f t="shared" si="7"/>
        <v xml:space="preserve"> </v>
      </c>
      <c r="D5008" s="79" t="str">
        <f t="shared" si="5"/>
        <v xml:space="preserve"> </v>
      </c>
      <c r="E5008" s="79" t="str">
        <f t="shared" si="6"/>
        <v xml:space="preserve"> </v>
      </c>
    </row>
    <row r="5009" spans="1:5" ht="12.5">
      <c r="A5009" s="81" t="str">
        <f t="shared" si="0"/>
        <v xml:space="preserve"> </v>
      </c>
      <c r="B5009" s="81" t="str">
        <f t="shared" si="1"/>
        <v xml:space="preserve"> </v>
      </c>
      <c r="C5009" s="79" t="str">
        <f t="shared" si="7"/>
        <v xml:space="preserve"> </v>
      </c>
      <c r="D5009" s="79" t="str">
        <f t="shared" si="5"/>
        <v xml:space="preserve"> </v>
      </c>
      <c r="E5009" s="79" t="str">
        <f t="shared" si="6"/>
        <v xml:space="preserve"> </v>
      </c>
    </row>
    <row r="5010" spans="1:5" ht="12.5">
      <c r="A5010" s="81" t="str">
        <f t="shared" si="0"/>
        <v xml:space="preserve"> </v>
      </c>
      <c r="B5010" s="81" t="str">
        <f t="shared" si="1"/>
        <v xml:space="preserve"> </v>
      </c>
      <c r="C5010" s="79" t="str">
        <f t="shared" si="7"/>
        <v xml:space="preserve"> </v>
      </c>
      <c r="D5010" s="79" t="str">
        <f t="shared" si="5"/>
        <v xml:space="preserve"> </v>
      </c>
      <c r="E5010" s="79" t="str">
        <f t="shared" si="6"/>
        <v xml:space="preserve"> </v>
      </c>
    </row>
    <row r="5011" spans="1:5" ht="12.5">
      <c r="A5011" s="81" t="str">
        <f t="shared" si="0"/>
        <v xml:space="preserve"> </v>
      </c>
      <c r="B5011" s="81" t="str">
        <f t="shared" si="1"/>
        <v xml:space="preserve"> </v>
      </c>
      <c r="C5011" s="79" t="str">
        <f t="shared" si="7"/>
        <v xml:space="preserve"> </v>
      </c>
      <c r="D5011" s="79" t="str">
        <f t="shared" si="5"/>
        <v xml:space="preserve"> </v>
      </c>
      <c r="E5011" s="79" t="str">
        <f t="shared" si="6"/>
        <v xml:space="preserve"> </v>
      </c>
    </row>
    <row r="5012" spans="1:5" ht="12.5">
      <c r="A5012" s="81" t="str">
        <f t="shared" si="0"/>
        <v xml:space="preserve"> </v>
      </c>
      <c r="B5012" s="81" t="str">
        <f t="shared" si="1"/>
        <v xml:space="preserve"> </v>
      </c>
      <c r="C5012" s="79" t="str">
        <f t="shared" si="7"/>
        <v xml:space="preserve"> </v>
      </c>
      <c r="D5012" s="79" t="str">
        <f t="shared" si="5"/>
        <v xml:space="preserve"> </v>
      </c>
      <c r="E5012" s="79" t="str">
        <f t="shared" si="6"/>
        <v xml:space="preserve"> </v>
      </c>
    </row>
    <row r="5013" spans="1:5" ht="12.5">
      <c r="A5013" s="81" t="str">
        <f t="shared" si="0"/>
        <v xml:space="preserve"> </v>
      </c>
      <c r="B5013" s="81" t="str">
        <f t="shared" si="1"/>
        <v xml:space="preserve"> </v>
      </c>
      <c r="C5013" s="79" t="str">
        <f t="shared" si="7"/>
        <v xml:space="preserve"> </v>
      </c>
      <c r="D5013" s="79" t="str">
        <f t="shared" si="5"/>
        <v xml:space="preserve"> </v>
      </c>
      <c r="E5013" s="79" t="str">
        <f t="shared" si="6"/>
        <v xml:space="preserve"> </v>
      </c>
    </row>
    <row r="5014" spans="1:5" ht="12.5">
      <c r="A5014" s="81" t="str">
        <f t="shared" si="0"/>
        <v xml:space="preserve"> </v>
      </c>
      <c r="B5014" s="81" t="str">
        <f t="shared" si="1"/>
        <v xml:space="preserve"> </v>
      </c>
      <c r="C5014" s="79" t="str">
        <f t="shared" si="7"/>
        <v xml:space="preserve"> </v>
      </c>
      <c r="D5014" s="79" t="str">
        <f t="shared" si="5"/>
        <v xml:space="preserve"> </v>
      </c>
      <c r="E5014" s="79" t="str">
        <f t="shared" si="6"/>
        <v xml:space="preserve"> </v>
      </c>
    </row>
    <row r="5015" spans="1:5" ht="12.5">
      <c r="A5015" s="81" t="str">
        <f t="shared" si="0"/>
        <v xml:space="preserve"> </v>
      </c>
      <c r="B5015" s="81" t="str">
        <f t="shared" si="1"/>
        <v xml:space="preserve"> </v>
      </c>
      <c r="C5015" s="79" t="str">
        <f t="shared" si="7"/>
        <v xml:space="preserve"> </v>
      </c>
      <c r="D5015" s="79" t="str">
        <f t="shared" si="5"/>
        <v xml:space="preserve"> </v>
      </c>
      <c r="E5015" s="79" t="str">
        <f t="shared" si="6"/>
        <v xml:space="preserve"> </v>
      </c>
    </row>
    <row r="5016" spans="1:5" ht="12.5">
      <c r="A5016" s="81" t="str">
        <f t="shared" si="0"/>
        <v xml:space="preserve"> </v>
      </c>
      <c r="B5016" s="81" t="str">
        <f t="shared" si="1"/>
        <v xml:space="preserve"> </v>
      </c>
      <c r="C5016" s="79" t="str">
        <f t="shared" si="7"/>
        <v xml:space="preserve"> </v>
      </c>
      <c r="D5016" s="79" t="str">
        <f t="shared" si="5"/>
        <v xml:space="preserve"> </v>
      </c>
      <c r="E5016" s="79" t="str">
        <f t="shared" si="6"/>
        <v xml:space="preserve"> </v>
      </c>
    </row>
    <row r="5017" spans="1:5" ht="12.5">
      <c r="A5017" s="81" t="str">
        <f t="shared" si="0"/>
        <v xml:space="preserve"> </v>
      </c>
      <c r="B5017" s="81" t="str">
        <f t="shared" si="1"/>
        <v xml:space="preserve"> </v>
      </c>
      <c r="C5017" s="79" t="str">
        <f t="shared" si="7"/>
        <v xml:space="preserve"> </v>
      </c>
      <c r="D5017" s="79" t="str">
        <f t="shared" si="5"/>
        <v xml:space="preserve"> </v>
      </c>
      <c r="E5017" s="79" t="str">
        <f t="shared" si="6"/>
        <v xml:space="preserve"> </v>
      </c>
    </row>
    <row r="5018" spans="1:5" ht="12.5">
      <c r="A5018" s="81" t="str">
        <f t="shared" si="0"/>
        <v xml:space="preserve"> </v>
      </c>
      <c r="B5018" s="81" t="str">
        <f t="shared" si="1"/>
        <v xml:space="preserve"> </v>
      </c>
      <c r="C5018" s="79" t="str">
        <f t="shared" si="7"/>
        <v xml:space="preserve"> </v>
      </c>
      <c r="D5018" s="79" t="str">
        <f t="shared" si="5"/>
        <v xml:space="preserve"> </v>
      </c>
      <c r="E5018" s="79" t="str">
        <f t="shared" si="6"/>
        <v xml:space="preserve"> </v>
      </c>
    </row>
    <row r="5019" spans="1:5" ht="12.5">
      <c r="A5019" s="81" t="str">
        <f t="shared" si="0"/>
        <v xml:space="preserve"> </v>
      </c>
      <c r="B5019" s="81" t="str">
        <f t="shared" si="1"/>
        <v xml:space="preserve"> </v>
      </c>
      <c r="C5019" s="79" t="str">
        <f t="shared" si="7"/>
        <v xml:space="preserve"> </v>
      </c>
      <c r="D5019" s="79" t="str">
        <f t="shared" si="5"/>
        <v xml:space="preserve"> </v>
      </c>
      <c r="E5019" s="79" t="str">
        <f t="shared" si="6"/>
        <v xml:space="preserve"> </v>
      </c>
    </row>
    <row r="5020" spans="1:5" ht="12.5">
      <c r="A5020" s="81" t="str">
        <f t="shared" si="0"/>
        <v xml:space="preserve"> </v>
      </c>
      <c r="B5020" s="81" t="str">
        <f t="shared" si="1"/>
        <v xml:space="preserve"> </v>
      </c>
      <c r="C5020" s="79" t="str">
        <f t="shared" si="7"/>
        <v xml:space="preserve"> </v>
      </c>
      <c r="D5020" s="79" t="str">
        <f t="shared" si="5"/>
        <v xml:space="preserve"> </v>
      </c>
      <c r="E5020" s="79" t="str">
        <f t="shared" si="6"/>
        <v xml:space="preserve"> </v>
      </c>
    </row>
    <row r="5021" spans="1:5" ht="12.5">
      <c r="A5021" s="81" t="str">
        <f t="shared" si="0"/>
        <v xml:space="preserve"> </v>
      </c>
      <c r="B5021" s="81" t="str">
        <f t="shared" si="1"/>
        <v xml:space="preserve"> </v>
      </c>
      <c r="C5021" s="79" t="str">
        <f t="shared" si="7"/>
        <v xml:space="preserve"> </v>
      </c>
      <c r="D5021" s="79" t="str">
        <f t="shared" si="5"/>
        <v xml:space="preserve"> </v>
      </c>
      <c r="E5021" s="79" t="str">
        <f t="shared" si="6"/>
        <v xml:space="preserve"> </v>
      </c>
    </row>
    <row r="5022" spans="1:5" ht="12.5">
      <c r="A5022" s="81" t="str">
        <f t="shared" si="0"/>
        <v xml:space="preserve"> </v>
      </c>
      <c r="B5022" s="81" t="str">
        <f t="shared" si="1"/>
        <v xml:space="preserve"> </v>
      </c>
      <c r="C5022" s="79" t="str">
        <f t="shared" si="7"/>
        <v xml:space="preserve"> </v>
      </c>
      <c r="D5022" s="79" t="str">
        <f t="shared" si="5"/>
        <v xml:space="preserve"> </v>
      </c>
      <c r="E5022" s="79" t="str">
        <f t="shared" si="6"/>
        <v xml:space="preserve"> </v>
      </c>
    </row>
    <row r="5023" spans="1:5" ht="12.5">
      <c r="A5023" s="81" t="str">
        <f t="shared" si="0"/>
        <v xml:space="preserve"> </v>
      </c>
      <c r="B5023" s="81" t="str">
        <f t="shared" si="1"/>
        <v xml:space="preserve"> </v>
      </c>
      <c r="C5023" s="79" t="str">
        <f t="shared" si="7"/>
        <v xml:space="preserve"> </v>
      </c>
      <c r="D5023" s="79" t="str">
        <f t="shared" si="5"/>
        <v xml:space="preserve"> </v>
      </c>
      <c r="E5023" s="79" t="str">
        <f t="shared" si="6"/>
        <v xml:space="preserve"> </v>
      </c>
    </row>
    <row r="5024" spans="1:5" ht="12.5">
      <c r="A5024" s="81" t="str">
        <f t="shared" si="0"/>
        <v xml:space="preserve"> </v>
      </c>
      <c r="B5024" s="81" t="str">
        <f t="shared" si="1"/>
        <v xml:space="preserve"> </v>
      </c>
      <c r="C5024" s="79" t="str">
        <f t="shared" si="7"/>
        <v xml:space="preserve"> </v>
      </c>
      <c r="D5024" s="79" t="str">
        <f t="shared" si="5"/>
        <v xml:space="preserve"> </v>
      </c>
      <c r="E5024" s="79" t="str">
        <f t="shared" si="6"/>
        <v xml:space="preserve"> </v>
      </c>
    </row>
    <row r="5025" spans="1:5" ht="12.5">
      <c r="A5025" s="81" t="str">
        <f t="shared" si="0"/>
        <v xml:space="preserve"> </v>
      </c>
      <c r="B5025" s="81" t="str">
        <f t="shared" si="1"/>
        <v xml:space="preserve"> </v>
      </c>
      <c r="C5025" s="79" t="str">
        <f t="shared" si="7"/>
        <v xml:space="preserve"> </v>
      </c>
      <c r="D5025" s="79" t="str">
        <f t="shared" si="5"/>
        <v xml:space="preserve"> </v>
      </c>
      <c r="E5025" s="79" t="str">
        <f t="shared" si="6"/>
        <v xml:space="preserve"> </v>
      </c>
    </row>
    <row r="5026" spans="1:5" ht="12.5">
      <c r="A5026" s="81" t="str">
        <f t="shared" si="0"/>
        <v xml:space="preserve"> </v>
      </c>
      <c r="B5026" s="81" t="str">
        <f t="shared" si="1"/>
        <v xml:space="preserve"> </v>
      </c>
      <c r="C5026" s="79" t="str">
        <f t="shared" si="7"/>
        <v xml:space="preserve"> </v>
      </c>
      <c r="D5026" s="79" t="str">
        <f t="shared" si="5"/>
        <v xml:space="preserve"> </v>
      </c>
      <c r="E5026" s="79" t="str">
        <f t="shared" si="6"/>
        <v xml:space="preserve"> </v>
      </c>
    </row>
    <row r="5027" spans="1:5" ht="12.5">
      <c r="A5027" s="81" t="str">
        <f t="shared" si="0"/>
        <v xml:space="preserve"> </v>
      </c>
      <c r="B5027" s="81" t="str">
        <f t="shared" si="1"/>
        <v xml:space="preserve"> </v>
      </c>
      <c r="C5027" s="79" t="str">
        <f t="shared" si="7"/>
        <v xml:space="preserve"> </v>
      </c>
      <c r="D5027" s="79" t="str">
        <f t="shared" si="5"/>
        <v xml:space="preserve"> </v>
      </c>
      <c r="E5027" s="79" t="str">
        <f t="shared" si="6"/>
        <v xml:space="preserve"> </v>
      </c>
    </row>
    <row r="5028" spans="1:5" ht="12.5">
      <c r="A5028" s="81" t="str">
        <f t="shared" si="0"/>
        <v xml:space="preserve"> </v>
      </c>
      <c r="B5028" s="81" t="str">
        <f t="shared" si="1"/>
        <v xml:space="preserve"> </v>
      </c>
      <c r="C5028" s="79" t="str">
        <f t="shared" si="7"/>
        <v xml:space="preserve"> </v>
      </c>
      <c r="D5028" s="79" t="str">
        <f t="shared" si="5"/>
        <v xml:space="preserve"> </v>
      </c>
      <c r="E5028" s="79" t="str">
        <f t="shared" si="6"/>
        <v xml:space="preserve"> </v>
      </c>
    </row>
    <row r="5029" spans="1:5" ht="12.5">
      <c r="A5029" s="81" t="str">
        <f t="shared" si="0"/>
        <v xml:space="preserve"> </v>
      </c>
      <c r="B5029" s="81" t="str">
        <f t="shared" si="1"/>
        <v xml:space="preserve"> </v>
      </c>
      <c r="C5029" s="79" t="str">
        <f t="shared" si="7"/>
        <v xml:space="preserve"> </v>
      </c>
      <c r="D5029" s="79" t="str">
        <f t="shared" si="5"/>
        <v xml:space="preserve"> </v>
      </c>
      <c r="E5029" s="79" t="str">
        <f t="shared" si="6"/>
        <v xml:space="preserve"> </v>
      </c>
    </row>
    <row r="5030" spans="1:5" ht="12.5">
      <c r="A5030" s="81" t="str">
        <f t="shared" si="0"/>
        <v xml:space="preserve"> </v>
      </c>
      <c r="B5030" s="81" t="str">
        <f t="shared" si="1"/>
        <v xml:space="preserve"> </v>
      </c>
      <c r="C5030" s="79" t="str">
        <f t="shared" si="7"/>
        <v xml:space="preserve"> </v>
      </c>
      <c r="D5030" s="79" t="str">
        <f t="shared" si="5"/>
        <v xml:space="preserve"> </v>
      </c>
      <c r="E5030" s="79" t="str">
        <f t="shared" si="6"/>
        <v xml:space="preserve"> </v>
      </c>
    </row>
    <row r="5031" spans="1:5" ht="12.5">
      <c r="A5031" s="81" t="str">
        <f t="shared" si="0"/>
        <v xml:space="preserve"> </v>
      </c>
      <c r="B5031" s="81" t="str">
        <f t="shared" si="1"/>
        <v xml:space="preserve"> </v>
      </c>
      <c r="C5031" s="79" t="str">
        <f t="shared" si="7"/>
        <v xml:space="preserve"> </v>
      </c>
      <c r="D5031" s="79" t="str">
        <f t="shared" si="5"/>
        <v xml:space="preserve"> </v>
      </c>
      <c r="E5031" s="79" t="str">
        <f t="shared" si="6"/>
        <v xml:space="preserve"> </v>
      </c>
    </row>
    <row r="5032" spans="1:5" ht="12.5">
      <c r="A5032" s="81" t="str">
        <f t="shared" si="0"/>
        <v xml:space="preserve"> </v>
      </c>
      <c r="B5032" s="81" t="str">
        <f t="shared" si="1"/>
        <v xml:space="preserve"> </v>
      </c>
      <c r="C5032" s="79" t="str">
        <f t="shared" si="7"/>
        <v xml:space="preserve"> </v>
      </c>
      <c r="D5032" s="79" t="str">
        <f t="shared" si="5"/>
        <v xml:space="preserve"> </v>
      </c>
      <c r="E5032" s="79" t="str">
        <f t="shared" si="6"/>
        <v xml:space="preserve"> </v>
      </c>
    </row>
    <row r="5033" spans="1:5" ht="12.5">
      <c r="A5033" s="81" t="str">
        <f t="shared" si="0"/>
        <v xml:space="preserve"> </v>
      </c>
      <c r="B5033" s="81" t="str">
        <f t="shared" si="1"/>
        <v xml:space="preserve"> </v>
      </c>
      <c r="C5033" s="79" t="str">
        <f t="shared" si="7"/>
        <v xml:space="preserve"> </v>
      </c>
      <c r="D5033" s="79" t="str">
        <f t="shared" si="5"/>
        <v xml:space="preserve"> </v>
      </c>
      <c r="E5033" s="79" t="str">
        <f t="shared" si="6"/>
        <v xml:space="preserve"> </v>
      </c>
    </row>
    <row r="5034" spans="1:5" ht="12.5">
      <c r="A5034" s="81" t="str">
        <f t="shared" si="0"/>
        <v xml:space="preserve"> </v>
      </c>
      <c r="B5034" s="81" t="str">
        <f t="shared" si="1"/>
        <v xml:space="preserve"> </v>
      </c>
      <c r="C5034" s="79" t="str">
        <f t="shared" si="7"/>
        <v xml:space="preserve"> </v>
      </c>
      <c r="D5034" s="79" t="str">
        <f t="shared" si="5"/>
        <v xml:space="preserve"> </v>
      </c>
      <c r="E5034" s="79" t="str">
        <f t="shared" si="6"/>
        <v xml:space="preserve"> </v>
      </c>
    </row>
    <row r="5035" spans="1:5" ht="12.5">
      <c r="A5035" s="81" t="str">
        <f t="shared" si="0"/>
        <v xml:space="preserve"> </v>
      </c>
      <c r="B5035" s="81" t="str">
        <f t="shared" si="1"/>
        <v xml:space="preserve"> </v>
      </c>
      <c r="C5035" s="79" t="str">
        <f t="shared" si="7"/>
        <v xml:space="preserve"> </v>
      </c>
      <c r="D5035" s="79" t="str">
        <f t="shared" si="5"/>
        <v xml:space="preserve"> </v>
      </c>
      <c r="E5035" s="79" t="str">
        <f t="shared" si="6"/>
        <v xml:space="preserve"> </v>
      </c>
    </row>
    <row r="5036" spans="1:5" ht="12.5">
      <c r="A5036" s="81" t="str">
        <f t="shared" si="0"/>
        <v xml:space="preserve"> </v>
      </c>
      <c r="B5036" s="81" t="str">
        <f t="shared" si="1"/>
        <v xml:space="preserve"> </v>
      </c>
      <c r="C5036" s="79" t="str">
        <f t="shared" si="7"/>
        <v xml:space="preserve"> </v>
      </c>
      <c r="D5036" s="79" t="str">
        <f t="shared" si="5"/>
        <v xml:space="preserve"> </v>
      </c>
      <c r="E5036" s="79" t="str">
        <f t="shared" si="6"/>
        <v xml:space="preserve"> </v>
      </c>
    </row>
    <row r="5037" spans="1:5" ht="12.5">
      <c r="A5037" s="81" t="str">
        <f t="shared" si="0"/>
        <v xml:space="preserve"> </v>
      </c>
      <c r="B5037" s="81" t="str">
        <f t="shared" si="1"/>
        <v xml:space="preserve"> </v>
      </c>
      <c r="C5037" s="79" t="str">
        <f t="shared" si="7"/>
        <v xml:space="preserve"> </v>
      </c>
      <c r="D5037" s="79" t="str">
        <f t="shared" si="5"/>
        <v xml:space="preserve"> </v>
      </c>
      <c r="E5037" s="79" t="str">
        <f t="shared" si="6"/>
        <v xml:space="preserve"> </v>
      </c>
    </row>
    <row r="5038" spans="1:5" ht="12.5">
      <c r="A5038" s="81" t="str">
        <f t="shared" si="0"/>
        <v xml:space="preserve"> </v>
      </c>
      <c r="B5038" s="81" t="str">
        <f t="shared" si="1"/>
        <v xml:space="preserve"> </v>
      </c>
      <c r="C5038" s="79" t="str">
        <f t="shared" si="7"/>
        <v xml:space="preserve"> </v>
      </c>
      <c r="D5038" s="79" t="str">
        <f t="shared" si="5"/>
        <v xml:space="preserve"> </v>
      </c>
      <c r="E5038" s="79" t="str">
        <f t="shared" si="6"/>
        <v xml:space="preserve"> </v>
      </c>
    </row>
    <row r="5039" spans="1:5" ht="12.5">
      <c r="A5039" s="81" t="str">
        <f t="shared" si="0"/>
        <v xml:space="preserve"> </v>
      </c>
      <c r="B5039" s="81" t="str">
        <f t="shared" si="1"/>
        <v xml:space="preserve"> </v>
      </c>
      <c r="C5039" s="79" t="str">
        <f t="shared" si="7"/>
        <v xml:space="preserve"> </v>
      </c>
      <c r="D5039" s="79" t="str">
        <f t="shared" si="5"/>
        <v xml:space="preserve"> </v>
      </c>
      <c r="E5039" s="79" t="str">
        <f t="shared" si="6"/>
        <v xml:space="preserve"> </v>
      </c>
    </row>
    <row r="5040" spans="1:5" ht="12.5">
      <c r="A5040" s="81" t="str">
        <f t="shared" si="0"/>
        <v xml:space="preserve"> </v>
      </c>
      <c r="B5040" s="81" t="str">
        <f t="shared" si="1"/>
        <v xml:space="preserve"> </v>
      </c>
      <c r="C5040" s="79" t="str">
        <f t="shared" si="7"/>
        <v xml:space="preserve"> </v>
      </c>
      <c r="D5040" s="79" t="str">
        <f t="shared" si="5"/>
        <v xml:space="preserve"> </v>
      </c>
      <c r="E5040" s="79" t="str">
        <f t="shared" si="6"/>
        <v xml:space="preserve"> </v>
      </c>
    </row>
    <row r="5041" spans="1:5" ht="12.5">
      <c r="A5041" s="81" t="str">
        <f t="shared" si="0"/>
        <v xml:space="preserve"> </v>
      </c>
      <c r="B5041" s="81" t="str">
        <f t="shared" si="1"/>
        <v xml:space="preserve"> </v>
      </c>
      <c r="C5041" s="79" t="str">
        <f t="shared" si="7"/>
        <v xml:space="preserve"> </v>
      </c>
      <c r="D5041" s="79" t="str">
        <f t="shared" si="5"/>
        <v xml:space="preserve"> </v>
      </c>
      <c r="E5041" s="79" t="str">
        <f t="shared" si="6"/>
        <v xml:space="preserve"> </v>
      </c>
    </row>
    <row r="5042" spans="1:5" ht="12.5">
      <c r="A5042" s="81" t="str">
        <f t="shared" si="0"/>
        <v xml:space="preserve"> </v>
      </c>
      <c r="B5042" s="81" t="str">
        <f t="shared" si="1"/>
        <v xml:space="preserve"> </v>
      </c>
      <c r="C5042" s="79" t="str">
        <f t="shared" si="7"/>
        <v xml:space="preserve"> </v>
      </c>
      <c r="D5042" s="79" t="str">
        <f t="shared" si="5"/>
        <v xml:space="preserve"> </v>
      </c>
      <c r="E5042" s="79" t="str">
        <f t="shared" si="6"/>
        <v xml:space="preserve"> </v>
      </c>
    </row>
    <row r="5043" spans="1:5" ht="12.5">
      <c r="A5043" s="81" t="str">
        <f t="shared" si="0"/>
        <v xml:space="preserve"> </v>
      </c>
      <c r="B5043" s="81" t="str">
        <f t="shared" si="1"/>
        <v xml:space="preserve"> </v>
      </c>
      <c r="C5043" s="79" t="str">
        <f t="shared" si="7"/>
        <v xml:space="preserve"> </v>
      </c>
      <c r="D5043" s="79" t="str">
        <f t="shared" si="5"/>
        <v xml:space="preserve"> </v>
      </c>
      <c r="E5043" s="79" t="str">
        <f t="shared" si="6"/>
        <v xml:space="preserve"> </v>
      </c>
    </row>
    <row r="5044" spans="1:5" ht="12.5">
      <c r="A5044" s="81" t="str">
        <f t="shared" si="0"/>
        <v xml:space="preserve"> </v>
      </c>
      <c r="B5044" s="81" t="str">
        <f t="shared" si="1"/>
        <v xml:space="preserve"> </v>
      </c>
      <c r="C5044" s="79" t="str">
        <f t="shared" si="7"/>
        <v xml:space="preserve"> </v>
      </c>
      <c r="D5044" s="79" t="str">
        <f t="shared" si="5"/>
        <v xml:space="preserve"> </v>
      </c>
      <c r="E5044" s="79" t="str">
        <f t="shared" si="6"/>
        <v xml:space="preserve"> </v>
      </c>
    </row>
    <row r="5045" spans="1:5" ht="12.5">
      <c r="A5045" s="81" t="str">
        <f t="shared" si="0"/>
        <v xml:space="preserve"> </v>
      </c>
      <c r="B5045" s="81" t="str">
        <f t="shared" si="1"/>
        <v xml:space="preserve"> </v>
      </c>
      <c r="C5045" s="79" t="str">
        <f t="shared" si="7"/>
        <v xml:space="preserve"> </v>
      </c>
      <c r="D5045" s="79" t="str">
        <f t="shared" si="5"/>
        <v xml:space="preserve"> </v>
      </c>
      <c r="E5045" s="79" t="str">
        <f t="shared" si="6"/>
        <v xml:space="preserve"> </v>
      </c>
    </row>
    <row r="5046" spans="1:5" ht="12.5">
      <c r="A5046" s="81" t="str">
        <f t="shared" si="0"/>
        <v xml:space="preserve"> </v>
      </c>
      <c r="B5046" s="81" t="str">
        <f t="shared" si="1"/>
        <v xml:space="preserve"> </v>
      </c>
      <c r="C5046" s="79" t="str">
        <f t="shared" si="7"/>
        <v xml:space="preserve"> </v>
      </c>
      <c r="D5046" s="79" t="str">
        <f t="shared" si="5"/>
        <v xml:space="preserve"> </v>
      </c>
      <c r="E5046" s="79" t="str">
        <f t="shared" si="6"/>
        <v xml:space="preserve"> </v>
      </c>
    </row>
    <row r="5047" spans="1:5" ht="12.5">
      <c r="A5047" s="81" t="str">
        <f t="shared" si="0"/>
        <v xml:space="preserve"> </v>
      </c>
      <c r="B5047" s="81" t="str">
        <f t="shared" si="1"/>
        <v xml:space="preserve"> </v>
      </c>
      <c r="C5047" s="79" t="str">
        <f t="shared" si="7"/>
        <v xml:space="preserve"> </v>
      </c>
      <c r="D5047" s="79" t="str">
        <f t="shared" si="5"/>
        <v xml:space="preserve"> </v>
      </c>
      <c r="E5047" s="79" t="str">
        <f t="shared" si="6"/>
        <v xml:space="preserve"> </v>
      </c>
    </row>
    <row r="5048" spans="1:5" ht="12.5">
      <c r="A5048" s="81" t="str">
        <f t="shared" si="0"/>
        <v xml:space="preserve"> </v>
      </c>
      <c r="B5048" s="81" t="str">
        <f t="shared" si="1"/>
        <v xml:space="preserve"> </v>
      </c>
      <c r="C5048" s="79" t="str">
        <f t="shared" si="7"/>
        <v xml:space="preserve"> </v>
      </c>
      <c r="D5048" s="79" t="str">
        <f t="shared" si="5"/>
        <v xml:space="preserve"> </v>
      </c>
      <c r="E5048" s="79" t="str">
        <f t="shared" si="6"/>
        <v xml:space="preserve"> </v>
      </c>
    </row>
    <row r="5049" spans="1:5" ht="12.5">
      <c r="A5049" s="81" t="str">
        <f t="shared" si="0"/>
        <v xml:space="preserve"> </v>
      </c>
      <c r="B5049" s="81" t="str">
        <f t="shared" si="1"/>
        <v xml:space="preserve"> </v>
      </c>
      <c r="C5049" s="79" t="str">
        <f t="shared" si="7"/>
        <v xml:space="preserve"> </v>
      </c>
      <c r="D5049" s="79" t="str">
        <f t="shared" si="5"/>
        <v xml:space="preserve"> </v>
      </c>
      <c r="E5049" s="79" t="str">
        <f t="shared" si="6"/>
        <v xml:space="preserve"> </v>
      </c>
    </row>
    <row r="5050" spans="1:5" ht="12.5">
      <c r="A5050" s="81" t="str">
        <f t="shared" si="0"/>
        <v xml:space="preserve"> </v>
      </c>
      <c r="B5050" s="81" t="str">
        <f t="shared" si="1"/>
        <v xml:space="preserve"> </v>
      </c>
      <c r="C5050" s="79" t="str">
        <f t="shared" si="7"/>
        <v xml:space="preserve"> </v>
      </c>
      <c r="D5050" s="79" t="str">
        <f t="shared" si="5"/>
        <v xml:space="preserve"> </v>
      </c>
      <c r="E5050" s="79" t="str">
        <f t="shared" si="6"/>
        <v xml:space="preserve"> </v>
      </c>
    </row>
    <row r="5051" spans="1:5" ht="12.5">
      <c r="A5051" s="81" t="str">
        <f t="shared" si="0"/>
        <v xml:space="preserve"> </v>
      </c>
      <c r="B5051" s="81" t="str">
        <f t="shared" si="1"/>
        <v xml:space="preserve"> </v>
      </c>
      <c r="C5051" s="79" t="str">
        <f t="shared" si="7"/>
        <v xml:space="preserve"> </v>
      </c>
      <c r="D5051" s="79" t="str">
        <f t="shared" si="5"/>
        <v xml:space="preserve"> </v>
      </c>
      <c r="E5051" s="79" t="str">
        <f t="shared" si="6"/>
        <v xml:space="preserve"> </v>
      </c>
    </row>
    <row r="5052" spans="1:5" ht="12.5">
      <c r="A5052" s="81" t="str">
        <f t="shared" si="0"/>
        <v xml:space="preserve"> </v>
      </c>
      <c r="B5052" s="81" t="str">
        <f t="shared" si="1"/>
        <v xml:space="preserve"> </v>
      </c>
      <c r="C5052" s="79" t="str">
        <f t="shared" si="7"/>
        <v xml:space="preserve"> </v>
      </c>
      <c r="D5052" s="79" t="str">
        <f t="shared" si="5"/>
        <v xml:space="preserve"> </v>
      </c>
      <c r="E5052" s="79" t="str">
        <f t="shared" si="6"/>
        <v xml:space="preserve"> </v>
      </c>
    </row>
    <row r="5053" spans="1:5" ht="12.5">
      <c r="A5053" s="81" t="str">
        <f t="shared" si="0"/>
        <v xml:space="preserve"> </v>
      </c>
      <c r="B5053" s="81" t="str">
        <f t="shared" si="1"/>
        <v xml:space="preserve"> </v>
      </c>
      <c r="C5053" s="79" t="str">
        <f t="shared" si="7"/>
        <v xml:space="preserve"> </v>
      </c>
      <c r="D5053" s="79" t="str">
        <f t="shared" si="5"/>
        <v xml:space="preserve"> </v>
      </c>
      <c r="E5053" s="79" t="str">
        <f t="shared" si="6"/>
        <v xml:space="preserve"> </v>
      </c>
    </row>
    <row r="5054" spans="1:5" ht="12.5">
      <c r="A5054" s="81" t="str">
        <f t="shared" si="0"/>
        <v xml:space="preserve"> </v>
      </c>
      <c r="B5054" s="81" t="str">
        <f t="shared" si="1"/>
        <v xml:space="preserve"> </v>
      </c>
      <c r="C5054" s="79" t="str">
        <f t="shared" si="7"/>
        <v xml:space="preserve"> </v>
      </c>
      <c r="D5054" s="79" t="str">
        <f t="shared" si="5"/>
        <v xml:space="preserve"> </v>
      </c>
      <c r="E5054" s="79" t="str">
        <f t="shared" si="6"/>
        <v xml:space="preserve"> </v>
      </c>
    </row>
    <row r="5055" spans="1:5" ht="12.5">
      <c r="A5055" s="81" t="str">
        <f t="shared" si="0"/>
        <v xml:space="preserve"> </v>
      </c>
      <c r="B5055" s="81" t="str">
        <f t="shared" si="1"/>
        <v xml:space="preserve"> </v>
      </c>
      <c r="C5055" s="79" t="str">
        <f t="shared" si="7"/>
        <v xml:space="preserve"> </v>
      </c>
      <c r="D5055" s="79" t="str">
        <f t="shared" si="5"/>
        <v xml:space="preserve"> </v>
      </c>
      <c r="E5055" s="79" t="str">
        <f t="shared" si="6"/>
        <v xml:space="preserve"> </v>
      </c>
    </row>
    <row r="5056" spans="1:5" ht="12.5">
      <c r="A5056" s="81" t="str">
        <f t="shared" si="0"/>
        <v xml:space="preserve"> </v>
      </c>
      <c r="B5056" s="81" t="str">
        <f t="shared" si="1"/>
        <v xml:space="preserve"> </v>
      </c>
      <c r="C5056" s="79" t="str">
        <f t="shared" si="7"/>
        <v xml:space="preserve"> </v>
      </c>
      <c r="D5056" s="79" t="str">
        <f t="shared" si="5"/>
        <v xml:space="preserve"> </v>
      </c>
      <c r="E5056" s="79" t="str">
        <f t="shared" si="6"/>
        <v xml:space="preserve"> </v>
      </c>
    </row>
    <row r="5057" spans="1:5" ht="12.5">
      <c r="A5057" s="81" t="str">
        <f t="shared" si="0"/>
        <v xml:space="preserve"> </v>
      </c>
      <c r="B5057" s="81" t="str">
        <f t="shared" si="1"/>
        <v xml:space="preserve"> </v>
      </c>
      <c r="C5057" s="79" t="str">
        <f t="shared" si="7"/>
        <v xml:space="preserve"> </v>
      </c>
      <c r="D5057" s="79" t="str">
        <f t="shared" si="5"/>
        <v xml:space="preserve"> </v>
      </c>
      <c r="E5057" s="79" t="str">
        <f t="shared" si="6"/>
        <v xml:space="preserve"> </v>
      </c>
    </row>
    <row r="5058" spans="1:5" ht="12.5">
      <c r="A5058" s="81" t="str">
        <f t="shared" si="0"/>
        <v xml:space="preserve"> </v>
      </c>
      <c r="B5058" s="81" t="str">
        <f t="shared" si="1"/>
        <v xml:space="preserve"> </v>
      </c>
      <c r="C5058" s="79" t="str">
        <f t="shared" si="7"/>
        <v xml:space="preserve"> </v>
      </c>
      <c r="D5058" s="79" t="str">
        <f t="shared" si="5"/>
        <v xml:space="preserve"> </v>
      </c>
      <c r="E5058" s="79" t="str">
        <f t="shared" si="6"/>
        <v xml:space="preserve"> </v>
      </c>
    </row>
    <row r="5059" spans="1:5" ht="12.5">
      <c r="A5059" s="81" t="str">
        <f t="shared" si="0"/>
        <v xml:space="preserve"> </v>
      </c>
      <c r="B5059" s="81" t="str">
        <f t="shared" si="1"/>
        <v xml:space="preserve"> </v>
      </c>
      <c r="C5059" s="79" t="str">
        <f t="shared" si="7"/>
        <v xml:space="preserve"> </v>
      </c>
      <c r="D5059" s="79" t="str">
        <f t="shared" si="5"/>
        <v xml:space="preserve"> </v>
      </c>
      <c r="E5059" s="79" t="str">
        <f t="shared" si="6"/>
        <v xml:space="preserve"> </v>
      </c>
    </row>
    <row r="5060" spans="1:5" ht="12.5">
      <c r="A5060" s="81" t="str">
        <f t="shared" si="0"/>
        <v xml:space="preserve"> </v>
      </c>
      <c r="B5060" s="81" t="str">
        <f t="shared" si="1"/>
        <v xml:space="preserve"> </v>
      </c>
      <c r="C5060" s="79" t="str">
        <f t="shared" si="7"/>
        <v xml:space="preserve"> </v>
      </c>
      <c r="D5060" s="79" t="str">
        <f t="shared" si="5"/>
        <v xml:space="preserve"> </v>
      </c>
      <c r="E5060" s="79" t="str">
        <f t="shared" si="6"/>
        <v xml:space="preserve"> </v>
      </c>
    </row>
    <row r="5061" spans="1:5" ht="12.5">
      <c r="A5061" s="81" t="str">
        <f t="shared" si="0"/>
        <v xml:space="preserve"> </v>
      </c>
      <c r="B5061" s="81" t="str">
        <f t="shared" si="1"/>
        <v xml:space="preserve"> </v>
      </c>
      <c r="C5061" s="79" t="str">
        <f t="shared" si="7"/>
        <v xml:space="preserve"> </v>
      </c>
      <c r="D5061" s="79" t="str">
        <f t="shared" si="5"/>
        <v xml:space="preserve"> </v>
      </c>
      <c r="E5061" s="79" t="str">
        <f t="shared" si="6"/>
        <v xml:space="preserve"> </v>
      </c>
    </row>
    <row r="5062" spans="1:5" ht="12.5">
      <c r="A5062" s="81" t="str">
        <f t="shared" si="0"/>
        <v xml:space="preserve"> </v>
      </c>
      <c r="B5062" s="81" t="str">
        <f t="shared" si="1"/>
        <v xml:space="preserve"> </v>
      </c>
      <c r="C5062" s="79" t="str">
        <f t="shared" si="7"/>
        <v xml:space="preserve"> </v>
      </c>
      <c r="D5062" s="79" t="str">
        <f t="shared" si="5"/>
        <v xml:space="preserve"> </v>
      </c>
      <c r="E5062" s="79" t="str">
        <f t="shared" si="6"/>
        <v xml:space="preserve"> </v>
      </c>
    </row>
    <row r="5063" spans="1:5" ht="12.5">
      <c r="A5063" s="81" t="str">
        <f t="shared" si="0"/>
        <v xml:space="preserve"> </v>
      </c>
      <c r="B5063" s="81" t="str">
        <f t="shared" si="1"/>
        <v xml:space="preserve"> </v>
      </c>
      <c r="C5063" s="79" t="str">
        <f t="shared" si="7"/>
        <v xml:space="preserve"> </v>
      </c>
      <c r="D5063" s="79" t="str">
        <f t="shared" si="5"/>
        <v xml:space="preserve"> </v>
      </c>
      <c r="E5063" s="79" t="str">
        <f t="shared" si="6"/>
        <v xml:space="preserve"> </v>
      </c>
    </row>
    <row r="5064" spans="1:5" ht="12.5">
      <c r="A5064" s="81" t="str">
        <f t="shared" si="0"/>
        <v xml:space="preserve"> </v>
      </c>
      <c r="B5064" s="81" t="str">
        <f t="shared" si="1"/>
        <v xml:space="preserve"> </v>
      </c>
      <c r="C5064" s="79" t="str">
        <f t="shared" si="7"/>
        <v xml:space="preserve"> </v>
      </c>
      <c r="D5064" s="79" t="str">
        <f t="shared" si="5"/>
        <v xml:space="preserve"> </v>
      </c>
      <c r="E5064" s="79" t="str">
        <f t="shared" si="6"/>
        <v xml:space="preserve"> </v>
      </c>
    </row>
    <row r="5065" spans="1:5" ht="12.5">
      <c r="A5065" s="81" t="str">
        <f t="shared" si="0"/>
        <v xml:space="preserve"> </v>
      </c>
      <c r="B5065" s="81" t="str">
        <f t="shared" si="1"/>
        <v xml:space="preserve"> </v>
      </c>
      <c r="C5065" s="79" t="str">
        <f t="shared" si="7"/>
        <v xml:space="preserve"> </v>
      </c>
      <c r="D5065" s="79" t="str">
        <f t="shared" si="5"/>
        <v xml:space="preserve"> </v>
      </c>
      <c r="E5065" s="79" t="str">
        <f t="shared" si="6"/>
        <v xml:space="preserve"> </v>
      </c>
    </row>
    <row r="5066" spans="1:5" ht="12.5">
      <c r="A5066" s="81" t="str">
        <f t="shared" si="0"/>
        <v xml:space="preserve"> </v>
      </c>
      <c r="B5066" s="81" t="str">
        <f t="shared" si="1"/>
        <v xml:space="preserve"> </v>
      </c>
      <c r="C5066" s="79" t="str">
        <f t="shared" si="7"/>
        <v xml:space="preserve"> </v>
      </c>
      <c r="D5066" s="79" t="str">
        <f t="shared" si="5"/>
        <v xml:space="preserve"> </v>
      </c>
      <c r="E5066" s="79" t="str">
        <f t="shared" si="6"/>
        <v xml:space="preserve"> </v>
      </c>
    </row>
    <row r="5067" spans="1:5" ht="12.5">
      <c r="A5067" s="81" t="str">
        <f t="shared" si="0"/>
        <v xml:space="preserve"> </v>
      </c>
      <c r="B5067" s="81" t="str">
        <f t="shared" si="1"/>
        <v xml:space="preserve"> </v>
      </c>
      <c r="C5067" s="79" t="str">
        <f t="shared" si="7"/>
        <v xml:space="preserve"> </v>
      </c>
      <c r="D5067" s="79" t="str">
        <f t="shared" si="5"/>
        <v xml:space="preserve"> </v>
      </c>
      <c r="E5067" s="79" t="str">
        <f t="shared" si="6"/>
        <v xml:space="preserve"> </v>
      </c>
    </row>
    <row r="5068" spans="1:5" ht="12.5">
      <c r="A5068" s="81" t="str">
        <f t="shared" si="0"/>
        <v xml:space="preserve"> </v>
      </c>
      <c r="B5068" s="81" t="str">
        <f t="shared" si="1"/>
        <v xml:space="preserve"> </v>
      </c>
      <c r="C5068" s="79" t="str">
        <f t="shared" si="7"/>
        <v xml:space="preserve"> </v>
      </c>
      <c r="D5068" s="79" t="str">
        <f t="shared" si="5"/>
        <v xml:space="preserve"> </v>
      </c>
      <c r="E5068" s="79" t="str">
        <f t="shared" si="6"/>
        <v xml:space="preserve"> </v>
      </c>
    </row>
    <row r="5069" spans="1:5" ht="12.5">
      <c r="A5069" s="81" t="str">
        <f t="shared" si="0"/>
        <v xml:space="preserve"> </v>
      </c>
      <c r="B5069" s="81" t="str">
        <f t="shared" si="1"/>
        <v xml:space="preserve"> </v>
      </c>
      <c r="C5069" s="79" t="str">
        <f t="shared" si="7"/>
        <v xml:space="preserve"> </v>
      </c>
      <c r="D5069" s="79" t="str">
        <f t="shared" si="5"/>
        <v xml:space="preserve"> </v>
      </c>
      <c r="E5069" s="79" t="str">
        <f t="shared" si="6"/>
        <v xml:space="preserve"> </v>
      </c>
    </row>
    <row r="5070" spans="1:5" ht="12.5">
      <c r="A5070" s="81" t="str">
        <f t="shared" si="0"/>
        <v xml:space="preserve"> </v>
      </c>
      <c r="B5070" s="81" t="str">
        <f t="shared" si="1"/>
        <v xml:space="preserve"> </v>
      </c>
      <c r="C5070" s="79" t="str">
        <f t="shared" si="7"/>
        <v xml:space="preserve"> </v>
      </c>
      <c r="D5070" s="79" t="str">
        <f t="shared" si="5"/>
        <v xml:space="preserve"> </v>
      </c>
      <c r="E5070" s="79" t="str">
        <f t="shared" si="6"/>
        <v xml:space="preserve"> </v>
      </c>
    </row>
    <row r="5071" spans="1:5" ht="12.5">
      <c r="A5071" s="81" t="str">
        <f t="shared" si="0"/>
        <v xml:space="preserve"> </v>
      </c>
      <c r="B5071" s="81" t="str">
        <f t="shared" si="1"/>
        <v xml:space="preserve"> </v>
      </c>
      <c r="C5071" s="79" t="str">
        <f t="shared" si="7"/>
        <v xml:space="preserve"> </v>
      </c>
      <c r="D5071" s="79" t="str">
        <f t="shared" si="5"/>
        <v xml:space="preserve"> </v>
      </c>
      <c r="E5071" s="79" t="str">
        <f t="shared" si="6"/>
        <v xml:space="preserve"> </v>
      </c>
    </row>
    <row r="5072" spans="1:5" ht="12.5">
      <c r="A5072" s="81" t="str">
        <f t="shared" si="0"/>
        <v xml:space="preserve"> </v>
      </c>
      <c r="B5072" s="81" t="str">
        <f t="shared" si="1"/>
        <v xml:space="preserve"> </v>
      </c>
      <c r="C5072" s="79" t="str">
        <f t="shared" si="7"/>
        <v xml:space="preserve"> </v>
      </c>
      <c r="D5072" s="79" t="str">
        <f t="shared" si="5"/>
        <v xml:space="preserve"> </v>
      </c>
      <c r="E5072" s="79" t="str">
        <f t="shared" si="6"/>
        <v xml:space="preserve"> </v>
      </c>
    </row>
    <row r="5073" spans="1:5" ht="12.5">
      <c r="A5073" s="81" t="str">
        <f t="shared" si="0"/>
        <v xml:space="preserve"> </v>
      </c>
      <c r="B5073" s="81" t="str">
        <f t="shared" si="1"/>
        <v xml:space="preserve"> </v>
      </c>
      <c r="C5073" s="79" t="str">
        <f t="shared" si="7"/>
        <v xml:space="preserve"> </v>
      </c>
      <c r="D5073" s="79" t="str">
        <f t="shared" si="5"/>
        <v xml:space="preserve"> </v>
      </c>
      <c r="E5073" s="79" t="str">
        <f t="shared" si="6"/>
        <v xml:space="preserve"> </v>
      </c>
    </row>
    <row r="5074" spans="1:5" ht="12.5">
      <c r="A5074" s="81" t="str">
        <f t="shared" si="0"/>
        <v xml:space="preserve"> </v>
      </c>
      <c r="B5074" s="81" t="str">
        <f t="shared" si="1"/>
        <v xml:space="preserve"> </v>
      </c>
      <c r="C5074" s="79" t="str">
        <f t="shared" si="7"/>
        <v xml:space="preserve"> </v>
      </c>
      <c r="D5074" s="79" t="str">
        <f t="shared" si="5"/>
        <v xml:space="preserve"> </v>
      </c>
      <c r="E5074" s="79" t="str">
        <f t="shared" si="6"/>
        <v xml:space="preserve"> </v>
      </c>
    </row>
    <row r="5075" spans="1:5" ht="12.5">
      <c r="A5075" s="81" t="str">
        <f t="shared" si="0"/>
        <v xml:space="preserve"> </v>
      </c>
      <c r="B5075" s="81" t="str">
        <f t="shared" si="1"/>
        <v xml:space="preserve"> </v>
      </c>
      <c r="C5075" s="79" t="str">
        <f t="shared" si="7"/>
        <v xml:space="preserve"> </v>
      </c>
      <c r="D5075" s="79" t="str">
        <f t="shared" si="5"/>
        <v xml:space="preserve"> </v>
      </c>
      <c r="E5075" s="79" t="str">
        <f t="shared" si="6"/>
        <v xml:space="preserve"> </v>
      </c>
    </row>
    <row r="5076" spans="1:5" ht="12.5">
      <c r="A5076" s="81" t="str">
        <f t="shared" si="0"/>
        <v xml:space="preserve"> </v>
      </c>
      <c r="B5076" s="81" t="str">
        <f t="shared" si="1"/>
        <v xml:space="preserve"> </v>
      </c>
      <c r="C5076" s="79" t="str">
        <f t="shared" si="7"/>
        <v xml:space="preserve"> </v>
      </c>
      <c r="D5076" s="79" t="str">
        <f t="shared" si="5"/>
        <v xml:space="preserve"> </v>
      </c>
      <c r="E5076" s="79" t="str">
        <f t="shared" si="6"/>
        <v xml:space="preserve"> </v>
      </c>
    </row>
    <row r="5077" spans="1:5" ht="12.5">
      <c r="A5077" s="81" t="str">
        <f t="shared" si="0"/>
        <v xml:space="preserve"> </v>
      </c>
      <c r="B5077" s="81" t="str">
        <f t="shared" si="1"/>
        <v xml:space="preserve"> </v>
      </c>
      <c r="C5077" s="79" t="str">
        <f t="shared" si="7"/>
        <v xml:space="preserve"> </v>
      </c>
      <c r="D5077" s="79" t="str">
        <f t="shared" si="5"/>
        <v xml:space="preserve"> </v>
      </c>
      <c r="E5077" s="79" t="str">
        <f t="shared" si="6"/>
        <v xml:space="preserve"> </v>
      </c>
    </row>
    <row r="5078" spans="1:5" ht="12.5">
      <c r="A5078" s="81" t="str">
        <f t="shared" si="0"/>
        <v xml:space="preserve"> </v>
      </c>
      <c r="B5078" s="81" t="str">
        <f t="shared" si="1"/>
        <v xml:space="preserve"> </v>
      </c>
      <c r="C5078" s="79" t="str">
        <f t="shared" si="7"/>
        <v xml:space="preserve"> </v>
      </c>
      <c r="D5078" s="79" t="str">
        <f t="shared" si="5"/>
        <v xml:space="preserve"> </v>
      </c>
      <c r="E5078" s="79" t="str">
        <f t="shared" si="6"/>
        <v xml:space="preserve"> </v>
      </c>
    </row>
    <row r="5079" spans="1:5" ht="12.5">
      <c r="A5079" s="81" t="str">
        <f t="shared" si="0"/>
        <v xml:space="preserve"> </v>
      </c>
      <c r="B5079" s="81" t="str">
        <f t="shared" si="1"/>
        <v xml:space="preserve"> </v>
      </c>
      <c r="C5079" s="79" t="str">
        <f t="shared" si="7"/>
        <v xml:space="preserve"> </v>
      </c>
      <c r="D5079" s="79" t="str">
        <f t="shared" si="5"/>
        <v xml:space="preserve"> </v>
      </c>
      <c r="E5079" s="79" t="str">
        <f t="shared" si="6"/>
        <v xml:space="preserve"> </v>
      </c>
    </row>
    <row r="5080" spans="1:5" ht="12.5">
      <c r="A5080" s="81" t="str">
        <f t="shared" si="0"/>
        <v xml:space="preserve"> </v>
      </c>
      <c r="B5080" s="81" t="str">
        <f t="shared" si="1"/>
        <v xml:space="preserve"> </v>
      </c>
      <c r="C5080" s="79" t="str">
        <f t="shared" si="7"/>
        <v xml:space="preserve"> </v>
      </c>
      <c r="D5080" s="79" t="str">
        <f t="shared" si="5"/>
        <v xml:space="preserve"> </v>
      </c>
      <c r="E5080" s="79" t="str">
        <f t="shared" si="6"/>
        <v xml:space="preserve"> </v>
      </c>
    </row>
    <row r="5081" spans="1:5" ht="12.5">
      <c r="A5081" s="81" t="str">
        <f t="shared" si="0"/>
        <v xml:space="preserve"> </v>
      </c>
      <c r="B5081" s="81" t="str">
        <f t="shared" si="1"/>
        <v xml:space="preserve"> </v>
      </c>
      <c r="C5081" s="79" t="str">
        <f t="shared" si="7"/>
        <v xml:space="preserve"> </v>
      </c>
      <c r="D5081" s="79" t="str">
        <f t="shared" si="5"/>
        <v xml:space="preserve"> </v>
      </c>
      <c r="E5081" s="79" t="str">
        <f t="shared" si="6"/>
        <v xml:space="preserve"> </v>
      </c>
    </row>
    <row r="5082" spans="1:5" ht="12.5">
      <c r="A5082" s="81" t="str">
        <f t="shared" si="0"/>
        <v xml:space="preserve"> </v>
      </c>
      <c r="B5082" s="81" t="str">
        <f t="shared" si="1"/>
        <v xml:space="preserve"> </v>
      </c>
      <c r="C5082" s="79" t="str">
        <f t="shared" si="7"/>
        <v xml:space="preserve"> </v>
      </c>
      <c r="D5082" s="79" t="str">
        <f t="shared" si="5"/>
        <v xml:space="preserve"> </v>
      </c>
      <c r="E5082" s="79" t="str">
        <f t="shared" si="6"/>
        <v xml:space="preserve"> </v>
      </c>
    </row>
    <row r="5083" spans="1:5" ht="12.5">
      <c r="A5083" s="81" t="str">
        <f t="shared" si="0"/>
        <v xml:space="preserve"> </v>
      </c>
      <c r="B5083" s="81" t="str">
        <f t="shared" si="1"/>
        <v xml:space="preserve"> </v>
      </c>
      <c r="C5083" s="79" t="str">
        <f t="shared" si="7"/>
        <v xml:space="preserve"> </v>
      </c>
      <c r="D5083" s="79" t="str">
        <f t="shared" si="5"/>
        <v xml:space="preserve"> </v>
      </c>
      <c r="E5083" s="79" t="str">
        <f t="shared" si="6"/>
        <v xml:space="preserve"> </v>
      </c>
    </row>
    <row r="5084" spans="1:5" ht="12.5">
      <c r="A5084" s="81" t="str">
        <f t="shared" si="0"/>
        <v xml:space="preserve"> </v>
      </c>
      <c r="B5084" s="81" t="str">
        <f t="shared" si="1"/>
        <v xml:space="preserve"> </v>
      </c>
      <c r="C5084" s="79" t="str">
        <f t="shared" si="7"/>
        <v xml:space="preserve"> </v>
      </c>
      <c r="D5084" s="79" t="str">
        <f t="shared" si="5"/>
        <v xml:space="preserve"> </v>
      </c>
      <c r="E5084" s="79" t="str">
        <f t="shared" si="6"/>
        <v xml:space="preserve"> </v>
      </c>
    </row>
    <row r="5085" spans="1:5" ht="12.5">
      <c r="A5085" s="81" t="str">
        <f t="shared" si="0"/>
        <v xml:space="preserve"> </v>
      </c>
      <c r="B5085" s="81" t="str">
        <f t="shared" si="1"/>
        <v xml:space="preserve"> </v>
      </c>
      <c r="C5085" s="79" t="str">
        <f t="shared" si="7"/>
        <v xml:space="preserve"> </v>
      </c>
      <c r="D5085" s="79" t="str">
        <f t="shared" si="5"/>
        <v xml:space="preserve"> </v>
      </c>
      <c r="E5085" s="79" t="str">
        <f t="shared" si="6"/>
        <v xml:space="preserve"> </v>
      </c>
    </row>
    <row r="5086" spans="1:5" ht="12.5">
      <c r="A5086" s="81" t="str">
        <f t="shared" si="0"/>
        <v xml:space="preserve"> </v>
      </c>
      <c r="B5086" s="81" t="str">
        <f t="shared" si="1"/>
        <v xml:space="preserve"> </v>
      </c>
      <c r="C5086" s="79" t="str">
        <f t="shared" si="7"/>
        <v xml:space="preserve"> </v>
      </c>
      <c r="D5086" s="79" t="str">
        <f t="shared" si="5"/>
        <v xml:space="preserve"> </v>
      </c>
      <c r="E5086" s="79" t="str">
        <f t="shared" si="6"/>
        <v xml:space="preserve"> </v>
      </c>
    </row>
    <row r="5087" spans="1:5" ht="12.5">
      <c r="A5087" s="81" t="str">
        <f t="shared" si="0"/>
        <v xml:space="preserve"> </v>
      </c>
      <c r="B5087" s="81" t="str">
        <f t="shared" si="1"/>
        <v xml:space="preserve"> </v>
      </c>
      <c r="C5087" s="79" t="str">
        <f t="shared" si="7"/>
        <v xml:space="preserve"> </v>
      </c>
      <c r="D5087" s="79" t="str">
        <f t="shared" si="5"/>
        <v xml:space="preserve"> </v>
      </c>
      <c r="E5087" s="79" t="str">
        <f t="shared" si="6"/>
        <v xml:space="preserve"> </v>
      </c>
    </row>
    <row r="5088" spans="1:5" ht="12.5">
      <c r="A5088" s="81" t="str">
        <f t="shared" si="0"/>
        <v xml:space="preserve"> </v>
      </c>
      <c r="B5088" s="81" t="str">
        <f t="shared" si="1"/>
        <v xml:space="preserve"> </v>
      </c>
      <c r="C5088" s="79" t="str">
        <f t="shared" si="7"/>
        <v xml:space="preserve"> </v>
      </c>
      <c r="D5088" s="79" t="str">
        <f t="shared" si="5"/>
        <v xml:space="preserve"> </v>
      </c>
      <c r="E5088" s="79" t="str">
        <f t="shared" si="6"/>
        <v xml:space="preserve"> </v>
      </c>
    </row>
    <row r="5089" spans="1:5" ht="12.5">
      <c r="A5089" s="81" t="str">
        <f t="shared" si="0"/>
        <v xml:space="preserve"> </v>
      </c>
      <c r="B5089" s="81" t="str">
        <f t="shared" si="1"/>
        <v xml:space="preserve"> </v>
      </c>
      <c r="C5089" s="79" t="str">
        <f t="shared" si="7"/>
        <v xml:space="preserve"> </v>
      </c>
      <c r="D5089" s="79" t="str">
        <f t="shared" si="5"/>
        <v xml:space="preserve"> </v>
      </c>
      <c r="E5089" s="79" t="str">
        <f t="shared" si="6"/>
        <v xml:space="preserve"> </v>
      </c>
    </row>
    <row r="5090" spans="1:5" ht="12.5">
      <c r="A5090" s="81" t="str">
        <f t="shared" si="0"/>
        <v xml:space="preserve"> </v>
      </c>
      <c r="B5090" s="81" t="str">
        <f t="shared" si="1"/>
        <v xml:space="preserve"> </v>
      </c>
      <c r="C5090" s="79" t="str">
        <f t="shared" si="7"/>
        <v xml:space="preserve"> </v>
      </c>
      <c r="D5090" s="79" t="str">
        <f t="shared" si="5"/>
        <v xml:space="preserve"> </v>
      </c>
      <c r="E5090" s="79" t="str">
        <f t="shared" si="6"/>
        <v xml:space="preserve"> </v>
      </c>
    </row>
    <row r="5091" spans="1:5" ht="12.5">
      <c r="A5091" s="81" t="str">
        <f t="shared" si="0"/>
        <v xml:space="preserve"> </v>
      </c>
      <c r="B5091" s="81" t="str">
        <f t="shared" si="1"/>
        <v xml:space="preserve"> </v>
      </c>
      <c r="C5091" s="79" t="str">
        <f t="shared" si="7"/>
        <v xml:space="preserve"> </v>
      </c>
      <c r="D5091" s="79" t="str">
        <f t="shared" si="5"/>
        <v xml:space="preserve"> </v>
      </c>
      <c r="E5091" s="79" t="str">
        <f t="shared" si="6"/>
        <v xml:space="preserve"> </v>
      </c>
    </row>
    <row r="5092" spans="1:5" ht="12.5">
      <c r="A5092" s="81" t="str">
        <f t="shared" si="0"/>
        <v xml:space="preserve"> </v>
      </c>
      <c r="B5092" s="81" t="str">
        <f t="shared" si="1"/>
        <v xml:space="preserve"> </v>
      </c>
      <c r="C5092" s="79" t="str">
        <f t="shared" si="7"/>
        <v xml:space="preserve"> </v>
      </c>
      <c r="D5092" s="79" t="str">
        <f t="shared" si="5"/>
        <v xml:space="preserve"> </v>
      </c>
      <c r="E5092" s="79" t="str">
        <f t="shared" si="6"/>
        <v xml:space="preserve"> </v>
      </c>
    </row>
    <row r="5093" spans="1:5" ht="12.5">
      <c r="A5093" s="81" t="str">
        <f t="shared" si="0"/>
        <v xml:space="preserve"> </v>
      </c>
      <c r="B5093" s="81" t="str">
        <f t="shared" si="1"/>
        <v xml:space="preserve"> </v>
      </c>
      <c r="C5093" s="79" t="str">
        <f t="shared" si="7"/>
        <v xml:space="preserve"> </v>
      </c>
      <c r="D5093" s="79" t="str">
        <f t="shared" si="5"/>
        <v xml:space="preserve"> </v>
      </c>
      <c r="E5093" s="79" t="str">
        <f t="shared" si="6"/>
        <v xml:space="preserve"> </v>
      </c>
    </row>
    <row r="5094" spans="1:5" ht="12.5">
      <c r="A5094" s="81" t="str">
        <f t="shared" si="0"/>
        <v xml:space="preserve"> </v>
      </c>
      <c r="B5094" s="81" t="str">
        <f t="shared" si="1"/>
        <v xml:space="preserve"> </v>
      </c>
      <c r="C5094" s="79" t="str">
        <f t="shared" si="7"/>
        <v xml:space="preserve"> </v>
      </c>
      <c r="D5094" s="79" t="str">
        <f t="shared" si="5"/>
        <v xml:space="preserve"> </v>
      </c>
      <c r="E5094" s="79" t="str">
        <f t="shared" si="6"/>
        <v xml:space="preserve"> </v>
      </c>
    </row>
    <row r="5095" spans="1:5" ht="12.5">
      <c r="A5095" s="81" t="str">
        <f t="shared" si="0"/>
        <v xml:space="preserve"> </v>
      </c>
      <c r="B5095" s="81" t="str">
        <f t="shared" si="1"/>
        <v xml:space="preserve"> </v>
      </c>
      <c r="C5095" s="79" t="str">
        <f t="shared" si="7"/>
        <v xml:space="preserve"> </v>
      </c>
      <c r="D5095" s="79" t="str">
        <f t="shared" si="5"/>
        <v xml:space="preserve"> </v>
      </c>
      <c r="E5095" s="79" t="str">
        <f t="shared" si="6"/>
        <v xml:space="preserve"> </v>
      </c>
    </row>
    <row r="5096" spans="1:5" ht="12.5">
      <c r="A5096" s="81" t="str">
        <f t="shared" si="0"/>
        <v xml:space="preserve"> </v>
      </c>
      <c r="B5096" s="81" t="str">
        <f t="shared" si="1"/>
        <v xml:space="preserve"> </v>
      </c>
      <c r="C5096" s="79" t="str">
        <f t="shared" si="7"/>
        <v xml:space="preserve"> </v>
      </c>
      <c r="D5096" s="79" t="str">
        <f t="shared" si="5"/>
        <v xml:space="preserve"> </v>
      </c>
      <c r="E5096" s="79" t="str">
        <f t="shared" si="6"/>
        <v xml:space="preserve"> </v>
      </c>
    </row>
    <row r="5097" spans="1:5" ht="12.5">
      <c r="A5097" s="81" t="str">
        <f t="shared" si="0"/>
        <v xml:space="preserve"> </v>
      </c>
      <c r="B5097" s="81" t="str">
        <f t="shared" si="1"/>
        <v xml:space="preserve"> </v>
      </c>
      <c r="C5097" s="79" t="str">
        <f t="shared" si="7"/>
        <v xml:space="preserve"> </v>
      </c>
      <c r="D5097" s="79" t="str">
        <f t="shared" si="5"/>
        <v xml:space="preserve"> </v>
      </c>
      <c r="E5097" s="79" t="str">
        <f t="shared" si="6"/>
        <v xml:space="preserve"> </v>
      </c>
    </row>
    <row r="5098" spans="1:5" ht="12.5">
      <c r="A5098" s="81" t="str">
        <f t="shared" si="0"/>
        <v xml:space="preserve"> </v>
      </c>
      <c r="B5098" s="81" t="str">
        <f t="shared" si="1"/>
        <v xml:space="preserve"> </v>
      </c>
      <c r="C5098" s="79" t="str">
        <f t="shared" si="7"/>
        <v xml:space="preserve"> </v>
      </c>
      <c r="D5098" s="79" t="str">
        <f t="shared" si="5"/>
        <v xml:space="preserve"> </v>
      </c>
      <c r="E5098" s="79" t="str">
        <f t="shared" si="6"/>
        <v xml:space="preserve"> </v>
      </c>
    </row>
    <row r="5099" spans="1:5" ht="12.5">
      <c r="A5099" s="81" t="str">
        <f t="shared" si="0"/>
        <v xml:space="preserve"> </v>
      </c>
      <c r="B5099" s="81" t="str">
        <f t="shared" si="1"/>
        <v xml:space="preserve"> </v>
      </c>
      <c r="C5099" s="79" t="str">
        <f t="shared" si="7"/>
        <v xml:space="preserve"> </v>
      </c>
      <c r="D5099" s="79" t="str">
        <f t="shared" si="5"/>
        <v xml:space="preserve"> </v>
      </c>
      <c r="E5099" s="79" t="str">
        <f t="shared" si="6"/>
        <v xml:space="preserve"> </v>
      </c>
    </row>
    <row r="5100" spans="1:5" ht="12.5">
      <c r="A5100" s="81" t="str">
        <f t="shared" si="0"/>
        <v xml:space="preserve"> </v>
      </c>
      <c r="B5100" s="81" t="str">
        <f t="shared" si="1"/>
        <v xml:space="preserve"> </v>
      </c>
      <c r="C5100" s="79" t="str">
        <f t="shared" si="7"/>
        <v xml:space="preserve"> </v>
      </c>
      <c r="D5100" s="79" t="str">
        <f t="shared" si="5"/>
        <v xml:space="preserve"> </v>
      </c>
      <c r="E5100" s="79" t="str">
        <f t="shared" si="6"/>
        <v xml:space="preserve"> </v>
      </c>
    </row>
    <row r="5101" spans="1:5" ht="12.5">
      <c r="A5101" s="81" t="str">
        <f t="shared" si="0"/>
        <v xml:space="preserve"> </v>
      </c>
      <c r="B5101" s="81" t="str">
        <f t="shared" si="1"/>
        <v xml:space="preserve"> </v>
      </c>
      <c r="C5101" s="79" t="str">
        <f t="shared" si="7"/>
        <v xml:space="preserve"> </v>
      </c>
      <c r="D5101" s="79" t="str">
        <f t="shared" si="5"/>
        <v xml:space="preserve"> </v>
      </c>
      <c r="E5101" s="79" t="str">
        <f t="shared" si="6"/>
        <v xml:space="preserve"> </v>
      </c>
    </row>
    <row r="5102" spans="1:5" ht="12.5">
      <c r="A5102" s="81" t="str">
        <f t="shared" si="0"/>
        <v xml:space="preserve"> </v>
      </c>
      <c r="B5102" s="81" t="str">
        <f t="shared" si="1"/>
        <v xml:space="preserve"> </v>
      </c>
      <c r="C5102" s="79" t="str">
        <f t="shared" si="7"/>
        <v xml:space="preserve"> </v>
      </c>
      <c r="D5102" s="79" t="str">
        <f t="shared" si="5"/>
        <v xml:space="preserve"> </v>
      </c>
      <c r="E5102" s="79" t="str">
        <f t="shared" si="6"/>
        <v xml:space="preserve"> </v>
      </c>
    </row>
    <row r="5103" spans="1:5" ht="12.5">
      <c r="A5103" s="81" t="str">
        <f t="shared" si="0"/>
        <v xml:space="preserve"> </v>
      </c>
      <c r="B5103" s="81" t="str">
        <f t="shared" si="1"/>
        <v xml:space="preserve"> </v>
      </c>
      <c r="C5103" s="79" t="str">
        <f t="shared" si="7"/>
        <v xml:space="preserve"> </v>
      </c>
      <c r="D5103" s="79" t="str">
        <f t="shared" si="5"/>
        <v xml:space="preserve"> </v>
      </c>
      <c r="E5103" s="79" t="str">
        <f t="shared" si="6"/>
        <v xml:space="preserve"> </v>
      </c>
    </row>
    <row r="5104" spans="1:5" ht="12.5">
      <c r="A5104" s="81" t="str">
        <f t="shared" si="0"/>
        <v xml:space="preserve"> </v>
      </c>
      <c r="B5104" s="81" t="str">
        <f t="shared" si="1"/>
        <v xml:space="preserve"> </v>
      </c>
      <c r="C5104" s="79" t="str">
        <f t="shared" si="7"/>
        <v xml:space="preserve"> </v>
      </c>
      <c r="D5104" s="79" t="str">
        <f t="shared" si="5"/>
        <v xml:space="preserve"> </v>
      </c>
      <c r="E5104" s="79" t="str">
        <f t="shared" si="6"/>
        <v xml:space="preserve"> </v>
      </c>
    </row>
    <row r="5105" spans="1:5" ht="12.5">
      <c r="A5105" s="81" t="str">
        <f t="shared" si="0"/>
        <v xml:space="preserve"> </v>
      </c>
      <c r="B5105" s="81" t="str">
        <f t="shared" si="1"/>
        <v xml:space="preserve"> </v>
      </c>
      <c r="C5105" s="79" t="str">
        <f t="shared" si="7"/>
        <v xml:space="preserve"> </v>
      </c>
      <c r="D5105" s="79" t="str">
        <f t="shared" si="5"/>
        <v xml:space="preserve"> </v>
      </c>
      <c r="E5105" s="79" t="str">
        <f t="shared" si="6"/>
        <v xml:space="preserve"> </v>
      </c>
    </row>
    <row r="5106" spans="1:5" ht="12.5">
      <c r="A5106" s="81" t="str">
        <f t="shared" si="0"/>
        <v xml:space="preserve"> </v>
      </c>
      <c r="B5106" s="81" t="str">
        <f t="shared" si="1"/>
        <v xml:space="preserve"> </v>
      </c>
      <c r="C5106" s="79" t="str">
        <f t="shared" si="7"/>
        <v xml:space="preserve"> </v>
      </c>
      <c r="D5106" s="79" t="str">
        <f t="shared" si="5"/>
        <v xml:space="preserve"> </v>
      </c>
      <c r="E5106" s="79" t="str">
        <f t="shared" si="6"/>
        <v xml:space="preserve"> </v>
      </c>
    </row>
    <row r="5107" spans="1:5" ht="12.5">
      <c r="A5107" s="81" t="str">
        <f t="shared" si="0"/>
        <v xml:space="preserve"> </v>
      </c>
      <c r="B5107" s="81" t="str">
        <f t="shared" si="1"/>
        <v xml:space="preserve"> </v>
      </c>
      <c r="C5107" s="79" t="str">
        <f t="shared" si="7"/>
        <v xml:space="preserve"> </v>
      </c>
      <c r="D5107" s="79" t="str">
        <f t="shared" si="5"/>
        <v xml:space="preserve"> </v>
      </c>
      <c r="E5107" s="79" t="str">
        <f t="shared" si="6"/>
        <v xml:space="preserve"> </v>
      </c>
    </row>
    <row r="5108" spans="1:5" ht="12.5">
      <c r="A5108" s="81" t="str">
        <f t="shared" si="0"/>
        <v xml:space="preserve"> </v>
      </c>
      <c r="B5108" s="81" t="str">
        <f t="shared" si="1"/>
        <v xml:space="preserve"> </v>
      </c>
      <c r="C5108" s="79" t="str">
        <f t="shared" si="7"/>
        <v xml:space="preserve"> </v>
      </c>
      <c r="D5108" s="79" t="str">
        <f t="shared" si="5"/>
        <v xml:space="preserve"> </v>
      </c>
      <c r="E5108" s="79" t="str">
        <f t="shared" si="6"/>
        <v xml:space="preserve"> </v>
      </c>
    </row>
    <row r="5109" spans="1:5" ht="12.5">
      <c r="A5109" s="81" t="str">
        <f t="shared" si="0"/>
        <v xml:space="preserve"> </v>
      </c>
      <c r="B5109" s="81" t="str">
        <f t="shared" si="1"/>
        <v xml:space="preserve"> </v>
      </c>
      <c r="C5109" s="79" t="str">
        <f t="shared" si="7"/>
        <v xml:space="preserve"> </v>
      </c>
      <c r="D5109" s="79" t="str">
        <f t="shared" si="5"/>
        <v xml:space="preserve"> </v>
      </c>
      <c r="E5109" s="79" t="str">
        <f t="shared" si="6"/>
        <v xml:space="preserve"> </v>
      </c>
    </row>
    <row r="5110" spans="1:5" ht="12.5">
      <c r="A5110" s="81" t="str">
        <f t="shared" si="0"/>
        <v xml:space="preserve"> </v>
      </c>
      <c r="B5110" s="81" t="str">
        <f t="shared" si="1"/>
        <v xml:space="preserve"> </v>
      </c>
      <c r="C5110" s="79" t="str">
        <f t="shared" si="7"/>
        <v xml:space="preserve"> </v>
      </c>
      <c r="D5110" s="79" t="str">
        <f t="shared" si="5"/>
        <v xml:space="preserve"> </v>
      </c>
      <c r="E5110" s="79" t="str">
        <f t="shared" si="6"/>
        <v xml:space="preserve"> </v>
      </c>
    </row>
    <row r="5111" spans="1:5" ht="12.5">
      <c r="A5111" s="81" t="str">
        <f t="shared" si="0"/>
        <v xml:space="preserve"> </v>
      </c>
      <c r="B5111" s="81" t="str">
        <f t="shared" si="1"/>
        <v xml:space="preserve"> </v>
      </c>
      <c r="C5111" s="79" t="str">
        <f t="shared" si="7"/>
        <v xml:space="preserve"> </v>
      </c>
      <c r="D5111" s="79" t="str">
        <f t="shared" si="5"/>
        <v xml:space="preserve"> </v>
      </c>
      <c r="E5111" s="79" t="str">
        <f t="shared" si="6"/>
        <v xml:space="preserve"> </v>
      </c>
    </row>
    <row r="5112" spans="1:5" ht="12.5">
      <c r="A5112" s="81" t="str">
        <f t="shared" si="0"/>
        <v xml:space="preserve"> </v>
      </c>
      <c r="B5112" s="81" t="str">
        <f t="shared" si="1"/>
        <v xml:space="preserve"> </v>
      </c>
      <c r="C5112" s="79" t="str">
        <f t="shared" si="7"/>
        <v xml:space="preserve"> </v>
      </c>
      <c r="D5112" s="79" t="str">
        <f t="shared" si="5"/>
        <v xml:space="preserve"> </v>
      </c>
      <c r="E5112" s="79" t="str">
        <f t="shared" si="6"/>
        <v xml:space="preserve"> </v>
      </c>
    </row>
    <row r="5113" spans="1:5" ht="12.5">
      <c r="A5113" s="81" t="str">
        <f t="shared" si="0"/>
        <v xml:space="preserve"> </v>
      </c>
      <c r="B5113" s="81" t="str">
        <f t="shared" si="1"/>
        <v xml:space="preserve"> </v>
      </c>
      <c r="C5113" s="79" t="str">
        <f t="shared" si="7"/>
        <v xml:space="preserve"> </v>
      </c>
      <c r="D5113" s="79" t="str">
        <f t="shared" si="5"/>
        <v xml:space="preserve"> </v>
      </c>
      <c r="E5113" s="79" t="str">
        <f t="shared" si="6"/>
        <v xml:space="preserve"> </v>
      </c>
    </row>
    <row r="5114" spans="1:5" ht="12.5">
      <c r="A5114" s="81" t="str">
        <f t="shared" si="0"/>
        <v xml:space="preserve"> </v>
      </c>
      <c r="B5114" s="81" t="str">
        <f t="shared" si="1"/>
        <v xml:space="preserve"> </v>
      </c>
      <c r="C5114" s="79" t="str">
        <f t="shared" si="7"/>
        <v xml:space="preserve"> </v>
      </c>
      <c r="D5114" s="79" t="str">
        <f t="shared" si="5"/>
        <v xml:space="preserve"> </v>
      </c>
      <c r="E5114" s="79" t="str">
        <f t="shared" si="6"/>
        <v xml:space="preserve"> </v>
      </c>
    </row>
    <row r="5115" spans="1:5" ht="12.5">
      <c r="A5115" s="81" t="str">
        <f t="shared" si="0"/>
        <v xml:space="preserve"> </v>
      </c>
      <c r="B5115" s="81" t="str">
        <f t="shared" si="1"/>
        <v xml:space="preserve"> </v>
      </c>
      <c r="C5115" s="79" t="str">
        <f t="shared" si="7"/>
        <v xml:space="preserve"> </v>
      </c>
      <c r="D5115" s="79" t="str">
        <f t="shared" si="5"/>
        <v xml:space="preserve"> </v>
      </c>
      <c r="E5115" s="79" t="str">
        <f t="shared" si="6"/>
        <v xml:space="preserve"> </v>
      </c>
    </row>
    <row r="5116" spans="1:5" ht="12.5">
      <c r="A5116" s="81" t="str">
        <f t="shared" si="0"/>
        <v xml:space="preserve"> </v>
      </c>
      <c r="B5116" s="81" t="str">
        <f t="shared" si="1"/>
        <v xml:space="preserve"> </v>
      </c>
      <c r="C5116" s="79" t="str">
        <f t="shared" si="7"/>
        <v xml:space="preserve"> </v>
      </c>
      <c r="D5116" s="79" t="str">
        <f t="shared" si="5"/>
        <v xml:space="preserve"> </v>
      </c>
      <c r="E5116" s="79" t="str">
        <f t="shared" si="6"/>
        <v xml:space="preserve"> </v>
      </c>
    </row>
    <row r="5117" spans="1:5" ht="12.5">
      <c r="A5117" s="81" t="str">
        <f t="shared" si="0"/>
        <v xml:space="preserve"> </v>
      </c>
      <c r="B5117" s="81" t="str">
        <f t="shared" si="1"/>
        <v xml:space="preserve"> </v>
      </c>
      <c r="C5117" s="79" t="str">
        <f t="shared" si="7"/>
        <v xml:space="preserve"> </v>
      </c>
      <c r="D5117" s="79" t="str">
        <f t="shared" si="5"/>
        <v xml:space="preserve"> </v>
      </c>
      <c r="E5117" s="79" t="str">
        <f t="shared" si="6"/>
        <v xml:space="preserve"> </v>
      </c>
    </row>
    <row r="5118" spans="1:5" ht="12.5">
      <c r="A5118" s="81" t="str">
        <f t="shared" si="0"/>
        <v xml:space="preserve"> </v>
      </c>
      <c r="B5118" s="81" t="str">
        <f t="shared" si="1"/>
        <v xml:space="preserve"> </v>
      </c>
      <c r="C5118" s="79" t="str">
        <f t="shared" si="7"/>
        <v xml:space="preserve"> </v>
      </c>
      <c r="D5118" s="79" t="str">
        <f t="shared" si="5"/>
        <v xml:space="preserve"> </v>
      </c>
      <c r="E5118" s="79" t="str">
        <f t="shared" si="6"/>
        <v xml:space="preserve"> </v>
      </c>
    </row>
    <row r="5119" spans="1:5" ht="12.5">
      <c r="A5119" s="81" t="str">
        <f t="shared" si="0"/>
        <v xml:space="preserve"> </v>
      </c>
      <c r="B5119" s="81" t="str">
        <f t="shared" si="1"/>
        <v xml:space="preserve"> </v>
      </c>
      <c r="C5119" s="79" t="str">
        <f t="shared" si="7"/>
        <v xml:space="preserve"> </v>
      </c>
      <c r="D5119" s="79" t="str">
        <f t="shared" si="5"/>
        <v xml:space="preserve"> </v>
      </c>
      <c r="E5119" s="79" t="str">
        <f t="shared" si="6"/>
        <v xml:space="preserve"> </v>
      </c>
    </row>
    <row r="5120" spans="1:5" ht="12.5">
      <c r="A5120" s="81" t="str">
        <f t="shared" si="0"/>
        <v xml:space="preserve"> </v>
      </c>
      <c r="B5120" s="81" t="str">
        <f t="shared" si="1"/>
        <v xml:space="preserve"> </v>
      </c>
      <c r="C5120" s="79" t="str">
        <f t="shared" si="7"/>
        <v xml:space="preserve"> </v>
      </c>
      <c r="D5120" s="79" t="str">
        <f t="shared" si="5"/>
        <v xml:space="preserve"> </v>
      </c>
      <c r="E5120" s="79" t="str">
        <f t="shared" si="6"/>
        <v xml:space="preserve"> </v>
      </c>
    </row>
    <row r="5121" spans="1:5" ht="12.5">
      <c r="A5121" s="81" t="str">
        <f t="shared" si="0"/>
        <v xml:space="preserve"> </v>
      </c>
      <c r="B5121" s="81" t="str">
        <f t="shared" si="1"/>
        <v xml:space="preserve"> </v>
      </c>
      <c r="C5121" s="79" t="str">
        <f t="shared" si="7"/>
        <v xml:space="preserve"> </v>
      </c>
      <c r="D5121" s="79" t="str">
        <f t="shared" si="5"/>
        <v xml:space="preserve"> </v>
      </c>
      <c r="E5121" s="79" t="str">
        <f t="shared" si="6"/>
        <v xml:space="preserve"> </v>
      </c>
    </row>
    <row r="5122" spans="1:5" ht="12.5">
      <c r="A5122" s="81" t="str">
        <f t="shared" si="0"/>
        <v xml:space="preserve"> </v>
      </c>
      <c r="B5122" s="81" t="str">
        <f t="shared" si="1"/>
        <v xml:space="preserve"> </v>
      </c>
      <c r="C5122" s="79" t="str">
        <f t="shared" si="7"/>
        <v xml:space="preserve"> </v>
      </c>
      <c r="D5122" s="79" t="str">
        <f t="shared" si="5"/>
        <v xml:space="preserve"> </v>
      </c>
      <c r="E5122" s="79" t="str">
        <f t="shared" si="6"/>
        <v xml:space="preserve"> </v>
      </c>
    </row>
    <row r="5123" spans="1:5" ht="12.5">
      <c r="A5123" s="81" t="str">
        <f t="shared" si="0"/>
        <v xml:space="preserve"> </v>
      </c>
      <c r="B5123" s="81" t="str">
        <f t="shared" si="1"/>
        <v xml:space="preserve"> </v>
      </c>
      <c r="C5123" s="79" t="str">
        <f t="shared" si="7"/>
        <v xml:space="preserve"> </v>
      </c>
      <c r="D5123" s="79" t="str">
        <f t="shared" si="5"/>
        <v xml:space="preserve"> </v>
      </c>
      <c r="E5123" s="79" t="str">
        <f t="shared" si="6"/>
        <v xml:space="preserve"> </v>
      </c>
    </row>
    <row r="5124" spans="1:5" ht="12.5">
      <c r="A5124" s="81" t="str">
        <f t="shared" si="0"/>
        <v xml:space="preserve"> </v>
      </c>
      <c r="B5124" s="81" t="str">
        <f t="shared" si="1"/>
        <v xml:space="preserve"> </v>
      </c>
      <c r="C5124" s="79" t="str">
        <f t="shared" si="7"/>
        <v xml:space="preserve"> </v>
      </c>
      <c r="D5124" s="79" t="str">
        <f t="shared" si="5"/>
        <v xml:space="preserve"> </v>
      </c>
      <c r="E5124" s="79" t="str">
        <f t="shared" si="6"/>
        <v xml:space="preserve"> </v>
      </c>
    </row>
    <row r="5125" spans="1:5" ht="12.5">
      <c r="A5125" s="81" t="str">
        <f t="shared" si="0"/>
        <v xml:space="preserve"> </v>
      </c>
      <c r="B5125" s="81" t="str">
        <f t="shared" si="1"/>
        <v xml:space="preserve"> </v>
      </c>
      <c r="C5125" s="79" t="str">
        <f t="shared" si="7"/>
        <v xml:space="preserve"> </v>
      </c>
      <c r="D5125" s="79" t="str">
        <f t="shared" si="5"/>
        <v xml:space="preserve"> </v>
      </c>
      <c r="E5125" s="79" t="str">
        <f t="shared" si="6"/>
        <v xml:space="preserve"> </v>
      </c>
    </row>
    <row r="5126" spans="1:5" ht="12.5">
      <c r="A5126" s="81" t="str">
        <f t="shared" si="0"/>
        <v xml:space="preserve"> </v>
      </c>
      <c r="B5126" s="81" t="str">
        <f t="shared" si="1"/>
        <v xml:space="preserve"> </v>
      </c>
      <c r="C5126" s="79" t="str">
        <f t="shared" si="7"/>
        <v xml:space="preserve"> </v>
      </c>
      <c r="D5126" s="79" t="str">
        <f t="shared" si="5"/>
        <v xml:space="preserve"> </v>
      </c>
      <c r="E5126" s="79" t="str">
        <f t="shared" si="6"/>
        <v xml:space="preserve"> </v>
      </c>
    </row>
    <row r="5127" spans="1:5" ht="12.5">
      <c r="A5127" s="81" t="str">
        <f t="shared" si="0"/>
        <v xml:space="preserve"> </v>
      </c>
      <c r="B5127" s="81" t="str">
        <f t="shared" si="1"/>
        <v xml:space="preserve"> </v>
      </c>
      <c r="C5127" s="79" t="str">
        <f t="shared" si="7"/>
        <v xml:space="preserve"> </v>
      </c>
      <c r="D5127" s="79" t="str">
        <f t="shared" si="5"/>
        <v xml:space="preserve"> </v>
      </c>
      <c r="E5127" s="79" t="str">
        <f t="shared" si="6"/>
        <v xml:space="preserve"> </v>
      </c>
    </row>
    <row r="5128" spans="1:5" ht="12.5">
      <c r="A5128" s="81" t="str">
        <f t="shared" si="0"/>
        <v xml:space="preserve"> </v>
      </c>
      <c r="B5128" s="81" t="str">
        <f t="shared" si="1"/>
        <v xml:space="preserve"> </v>
      </c>
      <c r="C5128" s="79" t="str">
        <f t="shared" si="7"/>
        <v xml:space="preserve"> </v>
      </c>
      <c r="D5128" s="79" t="str">
        <f t="shared" si="5"/>
        <v xml:space="preserve"> </v>
      </c>
      <c r="E5128" s="79" t="str">
        <f t="shared" si="6"/>
        <v xml:space="preserve"> </v>
      </c>
    </row>
    <row r="5129" spans="1:5" ht="12.5">
      <c r="A5129" s="81" t="str">
        <f t="shared" si="0"/>
        <v xml:space="preserve"> </v>
      </c>
      <c r="B5129" s="81" t="str">
        <f t="shared" si="1"/>
        <v xml:space="preserve"> </v>
      </c>
      <c r="C5129" s="79" t="str">
        <f t="shared" si="7"/>
        <v xml:space="preserve"> </v>
      </c>
      <c r="D5129" s="79" t="str">
        <f t="shared" si="5"/>
        <v xml:space="preserve"> </v>
      </c>
      <c r="E5129" s="79" t="str">
        <f t="shared" si="6"/>
        <v xml:space="preserve"> </v>
      </c>
    </row>
    <row r="5130" spans="1:5" ht="12.5">
      <c r="A5130" s="81" t="str">
        <f t="shared" si="0"/>
        <v xml:space="preserve"> </v>
      </c>
      <c r="B5130" s="81" t="str">
        <f t="shared" si="1"/>
        <v xml:space="preserve"> </v>
      </c>
      <c r="C5130" s="79" t="str">
        <f t="shared" si="7"/>
        <v xml:space="preserve"> </v>
      </c>
      <c r="D5130" s="79" t="str">
        <f t="shared" si="5"/>
        <v xml:space="preserve"> </v>
      </c>
      <c r="E5130" s="79" t="str">
        <f t="shared" si="6"/>
        <v xml:space="preserve"> </v>
      </c>
    </row>
    <row r="5131" spans="1:5" ht="12.5">
      <c r="A5131" s="81" t="str">
        <f t="shared" si="0"/>
        <v xml:space="preserve"> </v>
      </c>
      <c r="B5131" s="81" t="str">
        <f t="shared" si="1"/>
        <v xml:space="preserve"> </v>
      </c>
      <c r="C5131" s="79" t="str">
        <f t="shared" si="7"/>
        <v xml:space="preserve"> </v>
      </c>
      <c r="D5131" s="79" t="str">
        <f t="shared" si="5"/>
        <v xml:space="preserve"> </v>
      </c>
      <c r="E5131" s="79" t="str">
        <f t="shared" si="6"/>
        <v xml:space="preserve"> </v>
      </c>
    </row>
    <row r="5132" spans="1:5" ht="12.5">
      <c r="A5132" s="81" t="str">
        <f t="shared" si="0"/>
        <v xml:space="preserve"> </v>
      </c>
      <c r="B5132" s="81" t="str">
        <f t="shared" si="1"/>
        <v xml:space="preserve"> </v>
      </c>
      <c r="C5132" s="79" t="str">
        <f t="shared" si="7"/>
        <v xml:space="preserve"> </v>
      </c>
      <c r="D5132" s="79" t="str">
        <f t="shared" si="5"/>
        <v xml:space="preserve"> </v>
      </c>
      <c r="E5132" s="79" t="str">
        <f t="shared" si="6"/>
        <v xml:space="preserve"> </v>
      </c>
    </row>
    <row r="5133" spans="1:5" ht="12.5">
      <c r="A5133" s="81" t="str">
        <f t="shared" si="0"/>
        <v xml:space="preserve"> </v>
      </c>
      <c r="B5133" s="81" t="str">
        <f t="shared" si="1"/>
        <v xml:space="preserve"> </v>
      </c>
      <c r="C5133" s="79" t="str">
        <f t="shared" si="7"/>
        <v xml:space="preserve"> </v>
      </c>
      <c r="D5133" s="79" t="str">
        <f t="shared" si="5"/>
        <v xml:space="preserve"> </v>
      </c>
      <c r="E5133" s="79" t="str">
        <f t="shared" si="6"/>
        <v xml:space="preserve"> </v>
      </c>
    </row>
    <row r="5134" spans="1:5" ht="12.5">
      <c r="A5134" s="81" t="str">
        <f t="shared" si="0"/>
        <v xml:space="preserve"> </v>
      </c>
      <c r="B5134" s="81" t="str">
        <f t="shared" si="1"/>
        <v xml:space="preserve"> </v>
      </c>
      <c r="C5134" s="79" t="str">
        <f t="shared" si="7"/>
        <v xml:space="preserve"> </v>
      </c>
      <c r="D5134" s="79" t="str">
        <f t="shared" si="5"/>
        <v xml:space="preserve"> </v>
      </c>
      <c r="E5134" s="79" t="str">
        <f t="shared" si="6"/>
        <v xml:space="preserve"> </v>
      </c>
    </row>
    <row r="5135" spans="1:5" ht="12.5">
      <c r="A5135" s="81" t="str">
        <f t="shared" si="0"/>
        <v xml:space="preserve"> </v>
      </c>
      <c r="B5135" s="81" t="str">
        <f t="shared" si="1"/>
        <v xml:space="preserve"> </v>
      </c>
      <c r="C5135" s="79" t="str">
        <f t="shared" si="7"/>
        <v xml:space="preserve"> </v>
      </c>
      <c r="D5135" s="79" t="str">
        <f t="shared" si="5"/>
        <v xml:space="preserve"> </v>
      </c>
      <c r="E5135" s="79" t="str">
        <f t="shared" si="6"/>
        <v xml:space="preserve"> </v>
      </c>
    </row>
    <row r="5136" spans="1:5" ht="12.5">
      <c r="A5136" s="81" t="str">
        <f t="shared" si="0"/>
        <v xml:space="preserve"> </v>
      </c>
      <c r="B5136" s="81" t="str">
        <f t="shared" si="1"/>
        <v xml:space="preserve"> </v>
      </c>
      <c r="C5136" s="79" t="str">
        <f t="shared" si="7"/>
        <v xml:space="preserve"> </v>
      </c>
      <c r="D5136" s="79" t="str">
        <f t="shared" si="5"/>
        <v xml:space="preserve"> </v>
      </c>
      <c r="E5136" s="79" t="str">
        <f t="shared" si="6"/>
        <v xml:space="preserve"> </v>
      </c>
    </row>
    <row r="5137" spans="1:5" ht="12.5">
      <c r="A5137" s="81" t="str">
        <f t="shared" si="0"/>
        <v xml:space="preserve"> </v>
      </c>
      <c r="B5137" s="81" t="str">
        <f t="shared" si="1"/>
        <v xml:space="preserve"> </v>
      </c>
      <c r="C5137" s="79" t="str">
        <f t="shared" si="7"/>
        <v xml:space="preserve"> </v>
      </c>
      <c r="D5137" s="79" t="str">
        <f t="shared" si="5"/>
        <v xml:space="preserve"> </v>
      </c>
      <c r="E5137" s="79" t="str">
        <f t="shared" si="6"/>
        <v xml:space="preserve"> </v>
      </c>
    </row>
    <row r="5138" spans="1:5" ht="12.5">
      <c r="A5138" s="81" t="str">
        <f t="shared" si="0"/>
        <v xml:space="preserve"> </v>
      </c>
      <c r="B5138" s="81" t="str">
        <f t="shared" si="1"/>
        <v xml:space="preserve"> </v>
      </c>
      <c r="C5138" s="79" t="str">
        <f t="shared" si="7"/>
        <v xml:space="preserve"> </v>
      </c>
      <c r="D5138" s="79" t="str">
        <f t="shared" si="5"/>
        <v xml:space="preserve"> </v>
      </c>
      <c r="E5138" s="79" t="str">
        <f t="shared" si="6"/>
        <v xml:space="preserve"> </v>
      </c>
    </row>
    <row r="5139" spans="1:5" ht="12.5">
      <c r="A5139" s="81" t="str">
        <f t="shared" si="0"/>
        <v xml:space="preserve"> </v>
      </c>
      <c r="B5139" s="81" t="str">
        <f t="shared" si="1"/>
        <v xml:space="preserve"> </v>
      </c>
      <c r="C5139" s="79" t="str">
        <f t="shared" si="7"/>
        <v xml:space="preserve"> </v>
      </c>
      <c r="D5139" s="79" t="str">
        <f t="shared" si="5"/>
        <v xml:space="preserve"> </v>
      </c>
      <c r="E5139" s="79" t="str">
        <f t="shared" si="6"/>
        <v xml:space="preserve"> </v>
      </c>
    </row>
    <row r="5140" spans="1:5" ht="12.5">
      <c r="A5140" s="81" t="str">
        <f t="shared" si="0"/>
        <v xml:space="preserve"> </v>
      </c>
      <c r="B5140" s="81" t="str">
        <f t="shared" si="1"/>
        <v xml:space="preserve"> </v>
      </c>
      <c r="C5140" s="79" t="str">
        <f t="shared" si="7"/>
        <v xml:space="preserve"> </v>
      </c>
      <c r="D5140" s="79" t="str">
        <f t="shared" si="5"/>
        <v xml:space="preserve"> </v>
      </c>
      <c r="E5140" s="79" t="str">
        <f t="shared" si="6"/>
        <v xml:space="preserve"> </v>
      </c>
    </row>
    <row r="5141" spans="1:5" ht="12.5">
      <c r="A5141" s="81" t="str">
        <f t="shared" si="0"/>
        <v xml:space="preserve"> </v>
      </c>
      <c r="B5141" s="81" t="str">
        <f t="shared" si="1"/>
        <v xml:space="preserve"> </v>
      </c>
      <c r="C5141" s="79" t="str">
        <f t="shared" si="7"/>
        <v xml:space="preserve"> </v>
      </c>
      <c r="D5141" s="79" t="str">
        <f t="shared" si="5"/>
        <v xml:space="preserve"> </v>
      </c>
      <c r="E5141" s="79" t="str">
        <f t="shared" si="6"/>
        <v xml:space="preserve"> </v>
      </c>
    </row>
    <row r="5142" spans="1:5" ht="12.5">
      <c r="A5142" s="81" t="str">
        <f t="shared" si="0"/>
        <v xml:space="preserve"> </v>
      </c>
      <c r="B5142" s="81" t="str">
        <f t="shared" si="1"/>
        <v xml:space="preserve"> </v>
      </c>
      <c r="C5142" s="79" t="str">
        <f t="shared" si="7"/>
        <v xml:space="preserve"> </v>
      </c>
      <c r="D5142" s="79" t="str">
        <f t="shared" si="5"/>
        <v xml:space="preserve"> </v>
      </c>
      <c r="E5142" s="79" t="str">
        <f t="shared" si="6"/>
        <v xml:space="preserve"> </v>
      </c>
    </row>
    <row r="5143" spans="1:5" ht="12.5">
      <c r="A5143" s="81" t="str">
        <f t="shared" si="0"/>
        <v xml:space="preserve"> </v>
      </c>
      <c r="B5143" s="81" t="str">
        <f t="shared" si="1"/>
        <v xml:space="preserve"> </v>
      </c>
      <c r="C5143" s="79" t="str">
        <f t="shared" si="7"/>
        <v xml:space="preserve"> </v>
      </c>
      <c r="D5143" s="79" t="str">
        <f t="shared" si="5"/>
        <v xml:space="preserve"> </v>
      </c>
      <c r="E5143" s="79" t="str">
        <f t="shared" si="6"/>
        <v xml:space="preserve"> </v>
      </c>
    </row>
    <row r="5144" spans="1:5" ht="12.5">
      <c r="A5144" s="81" t="str">
        <f t="shared" si="0"/>
        <v xml:space="preserve"> </v>
      </c>
      <c r="B5144" s="81" t="str">
        <f t="shared" si="1"/>
        <v xml:space="preserve"> </v>
      </c>
      <c r="C5144" s="79" t="str">
        <f t="shared" si="7"/>
        <v xml:space="preserve"> </v>
      </c>
      <c r="D5144" s="79" t="str">
        <f t="shared" si="5"/>
        <v xml:space="preserve"> </v>
      </c>
      <c r="E5144" s="79" t="str">
        <f t="shared" si="6"/>
        <v xml:space="preserve"> </v>
      </c>
    </row>
    <row r="5145" spans="1:5" ht="12.5">
      <c r="A5145" s="81" t="str">
        <f t="shared" si="0"/>
        <v xml:space="preserve"> </v>
      </c>
      <c r="B5145" s="81" t="str">
        <f t="shared" si="1"/>
        <v xml:space="preserve"> </v>
      </c>
      <c r="C5145" s="79" t="str">
        <f t="shared" si="7"/>
        <v xml:space="preserve"> </v>
      </c>
      <c r="D5145" s="79" t="str">
        <f t="shared" si="5"/>
        <v xml:space="preserve"> </v>
      </c>
      <c r="E5145" s="79" t="str">
        <f t="shared" si="6"/>
        <v xml:space="preserve"> </v>
      </c>
    </row>
    <row r="5146" spans="1:5" ht="12.5">
      <c r="A5146" s="81" t="str">
        <f t="shared" si="0"/>
        <v xml:space="preserve"> </v>
      </c>
      <c r="B5146" s="81" t="str">
        <f t="shared" si="1"/>
        <v xml:space="preserve"> </v>
      </c>
      <c r="C5146" s="79" t="str">
        <f t="shared" si="7"/>
        <v xml:space="preserve"> </v>
      </c>
      <c r="D5146" s="79" t="str">
        <f t="shared" si="5"/>
        <v xml:space="preserve"> </v>
      </c>
      <c r="E5146" s="79" t="str">
        <f t="shared" si="6"/>
        <v xml:space="preserve"> </v>
      </c>
    </row>
    <row r="5147" spans="1:5" ht="12.5">
      <c r="A5147" s="81" t="str">
        <f t="shared" si="0"/>
        <v xml:space="preserve"> </v>
      </c>
      <c r="B5147" s="81" t="str">
        <f t="shared" si="1"/>
        <v xml:space="preserve"> </v>
      </c>
      <c r="C5147" s="79" t="str">
        <f t="shared" si="7"/>
        <v xml:space="preserve"> </v>
      </c>
      <c r="D5147" s="79" t="str">
        <f t="shared" si="5"/>
        <v xml:space="preserve"> </v>
      </c>
      <c r="E5147" s="79" t="str">
        <f t="shared" si="6"/>
        <v xml:space="preserve"> </v>
      </c>
    </row>
    <row r="5148" spans="1:5" ht="12.5">
      <c r="A5148" s="81" t="str">
        <f t="shared" si="0"/>
        <v xml:space="preserve"> </v>
      </c>
      <c r="B5148" s="81" t="str">
        <f t="shared" si="1"/>
        <v xml:space="preserve"> </v>
      </c>
      <c r="C5148" s="79" t="str">
        <f t="shared" si="7"/>
        <v xml:space="preserve"> </v>
      </c>
      <c r="D5148" s="79" t="str">
        <f t="shared" si="5"/>
        <v xml:space="preserve"> </v>
      </c>
      <c r="E5148" s="79" t="str">
        <f t="shared" si="6"/>
        <v xml:space="preserve"> </v>
      </c>
    </row>
    <row r="5149" spans="1:5" ht="12.5">
      <c r="A5149" s="81" t="str">
        <f t="shared" si="0"/>
        <v xml:space="preserve"> </v>
      </c>
      <c r="B5149" s="81" t="str">
        <f t="shared" si="1"/>
        <v xml:space="preserve"> </v>
      </c>
      <c r="C5149" s="79" t="str">
        <f t="shared" si="7"/>
        <v xml:space="preserve"> </v>
      </c>
      <c r="D5149" s="79" t="str">
        <f t="shared" si="5"/>
        <v xml:space="preserve"> </v>
      </c>
      <c r="E5149" s="79" t="str">
        <f t="shared" si="6"/>
        <v xml:space="preserve"> </v>
      </c>
    </row>
    <row r="5150" spans="1:5" ht="12.5">
      <c r="A5150" s="81" t="str">
        <f t="shared" si="0"/>
        <v xml:space="preserve"> </v>
      </c>
      <c r="B5150" s="81" t="str">
        <f t="shared" si="1"/>
        <v xml:space="preserve"> </v>
      </c>
      <c r="C5150" s="79" t="str">
        <f t="shared" si="7"/>
        <v xml:space="preserve"> </v>
      </c>
      <c r="D5150" s="79" t="str">
        <f t="shared" si="5"/>
        <v xml:space="preserve"> </v>
      </c>
      <c r="E5150" s="79" t="str">
        <f t="shared" si="6"/>
        <v xml:space="preserve"> </v>
      </c>
    </row>
    <row r="5151" spans="1:5" ht="12.5">
      <c r="A5151" s="81" t="str">
        <f t="shared" si="0"/>
        <v xml:space="preserve"> </v>
      </c>
      <c r="B5151" s="81" t="str">
        <f t="shared" si="1"/>
        <v xml:space="preserve"> </v>
      </c>
      <c r="C5151" s="79" t="str">
        <f t="shared" si="7"/>
        <v xml:space="preserve"> </v>
      </c>
      <c r="D5151" s="79" t="str">
        <f t="shared" si="5"/>
        <v xml:space="preserve"> </v>
      </c>
      <c r="E5151" s="79" t="str">
        <f t="shared" si="6"/>
        <v xml:space="preserve"> </v>
      </c>
    </row>
    <row r="5152" spans="1:5" ht="12.5">
      <c r="A5152" s="81" t="str">
        <f t="shared" si="0"/>
        <v xml:space="preserve"> </v>
      </c>
      <c r="B5152" s="81" t="str">
        <f t="shared" si="1"/>
        <v xml:space="preserve"> </v>
      </c>
      <c r="C5152" s="79" t="str">
        <f t="shared" si="7"/>
        <v xml:space="preserve"> </v>
      </c>
      <c r="D5152" s="79" t="str">
        <f t="shared" si="5"/>
        <v xml:space="preserve"> </v>
      </c>
      <c r="E5152" s="79" t="str">
        <f t="shared" si="6"/>
        <v xml:space="preserve"> </v>
      </c>
    </row>
    <row r="5153" spans="1:5" ht="12.5">
      <c r="A5153" s="81" t="str">
        <f t="shared" si="0"/>
        <v xml:space="preserve"> </v>
      </c>
      <c r="B5153" s="81" t="str">
        <f t="shared" si="1"/>
        <v xml:space="preserve"> </v>
      </c>
      <c r="C5153" s="79" t="str">
        <f t="shared" si="7"/>
        <v xml:space="preserve"> </v>
      </c>
      <c r="D5153" s="79" t="str">
        <f t="shared" si="5"/>
        <v xml:space="preserve"> </v>
      </c>
      <c r="E5153" s="79" t="str">
        <f t="shared" si="6"/>
        <v xml:space="preserve"> </v>
      </c>
    </row>
    <row r="5154" spans="1:5" ht="12.5">
      <c r="A5154" s="81" t="str">
        <f t="shared" si="0"/>
        <v xml:space="preserve"> </v>
      </c>
      <c r="B5154" s="81" t="str">
        <f t="shared" si="1"/>
        <v xml:space="preserve"> </v>
      </c>
      <c r="C5154" s="79" t="str">
        <f t="shared" si="7"/>
        <v xml:space="preserve"> </v>
      </c>
      <c r="D5154" s="79" t="str">
        <f t="shared" si="5"/>
        <v xml:space="preserve"> </v>
      </c>
      <c r="E5154" s="79" t="str">
        <f t="shared" si="6"/>
        <v xml:space="preserve"> </v>
      </c>
    </row>
    <row r="5155" spans="1:5" ht="12.5">
      <c r="A5155" s="81" t="str">
        <f t="shared" si="0"/>
        <v xml:space="preserve"> </v>
      </c>
      <c r="B5155" s="81" t="str">
        <f t="shared" si="1"/>
        <v xml:space="preserve"> </v>
      </c>
      <c r="C5155" s="79" t="str">
        <f t="shared" si="7"/>
        <v xml:space="preserve"> </v>
      </c>
      <c r="D5155" s="79" t="str">
        <f t="shared" si="5"/>
        <v xml:space="preserve"> </v>
      </c>
      <c r="E5155" s="79" t="str">
        <f t="shared" si="6"/>
        <v xml:space="preserve"> </v>
      </c>
    </row>
    <row r="5156" spans="1:5" ht="12.5">
      <c r="A5156" s="81" t="str">
        <f t="shared" si="0"/>
        <v xml:space="preserve"> </v>
      </c>
      <c r="B5156" s="81" t="str">
        <f t="shared" si="1"/>
        <v xml:space="preserve"> </v>
      </c>
      <c r="C5156" s="79" t="str">
        <f t="shared" si="7"/>
        <v xml:space="preserve"> </v>
      </c>
      <c r="D5156" s="79" t="str">
        <f t="shared" si="5"/>
        <v xml:space="preserve"> </v>
      </c>
      <c r="E5156" s="79" t="str">
        <f t="shared" si="6"/>
        <v xml:space="preserve"> </v>
      </c>
    </row>
    <row r="5157" spans="1:5" ht="12.5">
      <c r="A5157" s="81" t="str">
        <f t="shared" si="0"/>
        <v xml:space="preserve"> </v>
      </c>
      <c r="B5157" s="81" t="str">
        <f t="shared" si="1"/>
        <v xml:space="preserve"> </v>
      </c>
      <c r="C5157" s="79" t="str">
        <f t="shared" si="7"/>
        <v xml:space="preserve"> </v>
      </c>
      <c r="D5157" s="79" t="str">
        <f t="shared" si="5"/>
        <v xml:space="preserve"> </v>
      </c>
      <c r="E5157" s="79" t="str">
        <f t="shared" si="6"/>
        <v xml:space="preserve"> </v>
      </c>
    </row>
    <row r="5158" spans="1:5" ht="12.5">
      <c r="A5158" s="81" t="str">
        <f t="shared" si="0"/>
        <v xml:space="preserve"> </v>
      </c>
      <c r="B5158" s="81" t="str">
        <f t="shared" si="1"/>
        <v xml:space="preserve"> </v>
      </c>
      <c r="C5158" s="79" t="str">
        <f t="shared" si="7"/>
        <v xml:space="preserve"> </v>
      </c>
      <c r="D5158" s="79" t="str">
        <f t="shared" si="5"/>
        <v xml:space="preserve"> </v>
      </c>
      <c r="E5158" s="79" t="str">
        <f t="shared" si="6"/>
        <v xml:space="preserve"> </v>
      </c>
    </row>
    <row r="5159" spans="1:5" ht="12.5">
      <c r="A5159" s="81" t="str">
        <f t="shared" si="0"/>
        <v xml:space="preserve"> </v>
      </c>
      <c r="B5159" s="81" t="str">
        <f t="shared" si="1"/>
        <v xml:space="preserve"> </v>
      </c>
      <c r="C5159" s="79" t="str">
        <f t="shared" si="7"/>
        <v xml:space="preserve"> </v>
      </c>
      <c r="D5159" s="79" t="str">
        <f t="shared" si="5"/>
        <v xml:space="preserve"> </v>
      </c>
      <c r="E5159" s="79" t="str">
        <f t="shared" si="6"/>
        <v xml:space="preserve"> </v>
      </c>
    </row>
    <row r="5160" spans="1:5" ht="12.5">
      <c r="A5160" s="81" t="str">
        <f t="shared" si="0"/>
        <v xml:space="preserve"> </v>
      </c>
      <c r="B5160" s="81" t="str">
        <f t="shared" si="1"/>
        <v xml:space="preserve"> </v>
      </c>
      <c r="C5160" s="79" t="str">
        <f t="shared" si="7"/>
        <v xml:space="preserve"> </v>
      </c>
      <c r="D5160" s="79" t="str">
        <f t="shared" si="5"/>
        <v xml:space="preserve"> </v>
      </c>
      <c r="E5160" s="79" t="str">
        <f t="shared" si="6"/>
        <v xml:space="preserve"> </v>
      </c>
    </row>
    <row r="5161" spans="1:5" ht="12.5">
      <c r="A5161" s="81" t="str">
        <f t="shared" si="0"/>
        <v xml:space="preserve"> </v>
      </c>
      <c r="B5161" s="81" t="str">
        <f t="shared" si="1"/>
        <v xml:space="preserve"> </v>
      </c>
      <c r="C5161" s="79" t="str">
        <f t="shared" si="7"/>
        <v xml:space="preserve"> </v>
      </c>
      <c r="D5161" s="79" t="str">
        <f t="shared" si="5"/>
        <v xml:space="preserve"> </v>
      </c>
      <c r="E5161" s="79" t="str">
        <f t="shared" si="6"/>
        <v xml:space="preserve"> </v>
      </c>
    </row>
    <row r="5162" spans="1:5" ht="12.5">
      <c r="A5162" s="81" t="str">
        <f t="shared" si="0"/>
        <v xml:space="preserve"> </v>
      </c>
      <c r="B5162" s="81" t="str">
        <f t="shared" si="1"/>
        <v xml:space="preserve"> </v>
      </c>
      <c r="C5162" s="79" t="str">
        <f t="shared" si="7"/>
        <v xml:space="preserve"> </v>
      </c>
      <c r="D5162" s="79" t="str">
        <f t="shared" si="5"/>
        <v xml:space="preserve"> </v>
      </c>
      <c r="E5162" s="79" t="str">
        <f t="shared" si="6"/>
        <v xml:space="preserve"> </v>
      </c>
    </row>
    <row r="5163" spans="1:5" ht="12.5">
      <c r="A5163" s="81" t="str">
        <f t="shared" si="0"/>
        <v xml:space="preserve"> </v>
      </c>
      <c r="B5163" s="81" t="str">
        <f t="shared" si="1"/>
        <v xml:space="preserve"> </v>
      </c>
      <c r="C5163" s="79" t="str">
        <f t="shared" si="7"/>
        <v xml:space="preserve"> </v>
      </c>
      <c r="D5163" s="79" t="str">
        <f t="shared" si="5"/>
        <v xml:space="preserve"> </v>
      </c>
      <c r="E5163" s="79" t="str">
        <f t="shared" si="6"/>
        <v xml:space="preserve"> </v>
      </c>
    </row>
    <row r="5164" spans="1:5" ht="12.5">
      <c r="A5164" s="81" t="str">
        <f t="shared" si="0"/>
        <v xml:space="preserve"> </v>
      </c>
      <c r="B5164" s="81" t="str">
        <f t="shared" si="1"/>
        <v xml:space="preserve"> </v>
      </c>
      <c r="C5164" s="79" t="str">
        <f t="shared" si="7"/>
        <v xml:space="preserve"> </v>
      </c>
      <c r="D5164" s="79" t="str">
        <f t="shared" si="5"/>
        <v xml:space="preserve"> </v>
      </c>
      <c r="E5164" s="79" t="str">
        <f t="shared" si="6"/>
        <v xml:space="preserve"> </v>
      </c>
    </row>
    <row r="5165" spans="1:5" ht="12.5">
      <c r="A5165" s="81" t="str">
        <f t="shared" si="0"/>
        <v xml:space="preserve"> </v>
      </c>
      <c r="B5165" s="81" t="str">
        <f t="shared" si="1"/>
        <v xml:space="preserve"> </v>
      </c>
      <c r="C5165" s="79" t="str">
        <f t="shared" si="7"/>
        <v xml:space="preserve"> </v>
      </c>
      <c r="D5165" s="79" t="str">
        <f t="shared" si="5"/>
        <v xml:space="preserve"> </v>
      </c>
      <c r="E5165" s="79" t="str">
        <f t="shared" si="6"/>
        <v xml:space="preserve"> </v>
      </c>
    </row>
    <row r="5166" spans="1:5" ht="12.5">
      <c r="A5166" s="81" t="str">
        <f t="shared" si="0"/>
        <v xml:space="preserve"> </v>
      </c>
      <c r="B5166" s="81" t="str">
        <f t="shared" si="1"/>
        <v xml:space="preserve"> </v>
      </c>
      <c r="C5166" s="79" t="str">
        <f t="shared" si="7"/>
        <v xml:space="preserve"> </v>
      </c>
      <c r="D5166" s="79" t="str">
        <f t="shared" si="5"/>
        <v xml:space="preserve"> </v>
      </c>
      <c r="E5166" s="79" t="str">
        <f t="shared" si="6"/>
        <v xml:space="preserve"> </v>
      </c>
    </row>
    <row r="5167" spans="1:5" ht="12.5">
      <c r="A5167" s="81" t="str">
        <f t="shared" si="0"/>
        <v xml:space="preserve"> </v>
      </c>
      <c r="B5167" s="81" t="str">
        <f t="shared" si="1"/>
        <v xml:space="preserve"> </v>
      </c>
      <c r="C5167" s="79" t="str">
        <f t="shared" si="7"/>
        <v xml:space="preserve"> </v>
      </c>
      <c r="D5167" s="79" t="str">
        <f t="shared" si="5"/>
        <v xml:space="preserve"> </v>
      </c>
      <c r="E5167" s="79" t="str">
        <f t="shared" si="6"/>
        <v xml:space="preserve"> </v>
      </c>
    </row>
    <row r="5168" spans="1:5" ht="12.5">
      <c r="A5168" s="81" t="str">
        <f t="shared" si="0"/>
        <v xml:space="preserve"> </v>
      </c>
      <c r="B5168" s="81" t="str">
        <f t="shared" si="1"/>
        <v xml:space="preserve"> </v>
      </c>
      <c r="C5168" s="79" t="str">
        <f t="shared" si="7"/>
        <v xml:space="preserve"> </v>
      </c>
      <c r="D5168" s="79" t="str">
        <f t="shared" si="5"/>
        <v xml:space="preserve"> </v>
      </c>
      <c r="E5168" s="79" t="str">
        <f t="shared" si="6"/>
        <v xml:space="preserve"> </v>
      </c>
    </row>
    <row r="5169" spans="1:5" ht="12.5">
      <c r="A5169" s="81" t="str">
        <f t="shared" si="0"/>
        <v xml:space="preserve"> </v>
      </c>
      <c r="B5169" s="81" t="str">
        <f t="shared" si="1"/>
        <v xml:space="preserve"> </v>
      </c>
      <c r="C5169" s="79" t="str">
        <f t="shared" si="7"/>
        <v xml:space="preserve"> </v>
      </c>
      <c r="D5169" s="79" t="str">
        <f t="shared" si="5"/>
        <v xml:space="preserve"> </v>
      </c>
      <c r="E5169" s="79" t="str">
        <f t="shared" si="6"/>
        <v xml:space="preserve"> </v>
      </c>
    </row>
    <row r="5170" spans="1:5" ht="12.5">
      <c r="A5170" s="81" t="str">
        <f t="shared" si="0"/>
        <v xml:space="preserve"> </v>
      </c>
      <c r="B5170" s="81" t="str">
        <f t="shared" si="1"/>
        <v xml:space="preserve"> </v>
      </c>
      <c r="C5170" s="79" t="str">
        <f t="shared" si="7"/>
        <v xml:space="preserve"> </v>
      </c>
      <c r="D5170" s="79" t="str">
        <f t="shared" si="5"/>
        <v xml:space="preserve"> </v>
      </c>
      <c r="E5170" s="79" t="str">
        <f t="shared" si="6"/>
        <v xml:space="preserve"> </v>
      </c>
    </row>
    <row r="5171" spans="1:5" ht="12.5">
      <c r="A5171" s="81" t="str">
        <f t="shared" si="0"/>
        <v xml:space="preserve"> </v>
      </c>
      <c r="B5171" s="81" t="str">
        <f t="shared" si="1"/>
        <v xml:space="preserve"> </v>
      </c>
      <c r="C5171" s="79" t="str">
        <f t="shared" si="7"/>
        <v xml:space="preserve"> </v>
      </c>
      <c r="D5171" s="79" t="str">
        <f t="shared" si="5"/>
        <v xml:space="preserve"> </v>
      </c>
      <c r="E5171" s="79" t="str">
        <f t="shared" si="6"/>
        <v xml:space="preserve"> </v>
      </c>
    </row>
    <row r="5172" spans="1:5" ht="12.5">
      <c r="A5172" s="81" t="str">
        <f t="shared" si="0"/>
        <v xml:space="preserve"> </v>
      </c>
      <c r="B5172" s="81" t="str">
        <f t="shared" si="1"/>
        <v xml:space="preserve"> </v>
      </c>
      <c r="C5172" s="79" t="str">
        <f t="shared" si="7"/>
        <v xml:space="preserve"> </v>
      </c>
      <c r="D5172" s="79" t="str">
        <f t="shared" si="5"/>
        <v xml:space="preserve"> </v>
      </c>
      <c r="E5172" s="79" t="str">
        <f t="shared" si="6"/>
        <v xml:space="preserve"> </v>
      </c>
    </row>
    <row r="5173" spans="1:5" ht="12.5">
      <c r="A5173" s="81" t="str">
        <f t="shared" si="0"/>
        <v xml:space="preserve"> </v>
      </c>
      <c r="B5173" s="81" t="str">
        <f t="shared" si="1"/>
        <v xml:space="preserve"> </v>
      </c>
      <c r="C5173" s="79" t="str">
        <f t="shared" si="7"/>
        <v xml:space="preserve"> </v>
      </c>
      <c r="D5173" s="79" t="str">
        <f t="shared" si="5"/>
        <v xml:space="preserve"> </v>
      </c>
      <c r="E5173" s="79" t="str">
        <f t="shared" si="6"/>
        <v xml:space="preserve"> </v>
      </c>
    </row>
    <row r="5174" spans="1:5" ht="12.5">
      <c r="A5174" s="81" t="str">
        <f t="shared" si="0"/>
        <v xml:space="preserve"> </v>
      </c>
      <c r="B5174" s="81" t="str">
        <f t="shared" si="1"/>
        <v xml:space="preserve"> </v>
      </c>
      <c r="C5174" s="79" t="str">
        <f t="shared" si="7"/>
        <v xml:space="preserve"> </v>
      </c>
      <c r="D5174" s="79" t="str">
        <f t="shared" si="5"/>
        <v xml:space="preserve"> </v>
      </c>
      <c r="E5174" s="79" t="str">
        <f t="shared" si="6"/>
        <v xml:space="preserve"> </v>
      </c>
    </row>
    <row r="5175" spans="1:5" ht="12.5">
      <c r="A5175" s="81" t="str">
        <f t="shared" si="0"/>
        <v xml:space="preserve"> </v>
      </c>
      <c r="B5175" s="81" t="str">
        <f t="shared" si="1"/>
        <v xml:space="preserve"> </v>
      </c>
      <c r="C5175" s="79" t="str">
        <f t="shared" si="7"/>
        <v xml:space="preserve"> </v>
      </c>
      <c r="D5175" s="79" t="str">
        <f t="shared" si="5"/>
        <v xml:space="preserve"> </v>
      </c>
      <c r="E5175" s="79" t="str">
        <f t="shared" si="6"/>
        <v xml:space="preserve"> </v>
      </c>
    </row>
    <row r="5176" spans="1:5" ht="12.5">
      <c r="A5176" s="81" t="str">
        <f t="shared" si="0"/>
        <v xml:space="preserve"> </v>
      </c>
      <c r="B5176" s="81" t="str">
        <f t="shared" si="1"/>
        <v xml:space="preserve"> </v>
      </c>
      <c r="C5176" s="79" t="str">
        <f t="shared" si="7"/>
        <v xml:space="preserve"> </v>
      </c>
      <c r="D5176" s="79" t="str">
        <f t="shared" si="5"/>
        <v xml:space="preserve"> </v>
      </c>
      <c r="E5176" s="79" t="str">
        <f t="shared" si="6"/>
        <v xml:space="preserve"> </v>
      </c>
    </row>
    <row r="5177" spans="1:5" ht="12.5">
      <c r="A5177" s="81" t="str">
        <f t="shared" si="0"/>
        <v xml:space="preserve"> </v>
      </c>
      <c r="B5177" s="81" t="str">
        <f t="shared" si="1"/>
        <v xml:space="preserve"> </v>
      </c>
      <c r="C5177" s="79" t="str">
        <f t="shared" si="7"/>
        <v xml:space="preserve"> </v>
      </c>
      <c r="D5177" s="79" t="str">
        <f t="shared" si="5"/>
        <v xml:space="preserve"> </v>
      </c>
      <c r="E5177" s="79" t="str">
        <f t="shared" si="6"/>
        <v xml:space="preserve"> </v>
      </c>
    </row>
    <row r="5178" spans="1:5" ht="12.5">
      <c r="A5178" s="81" t="str">
        <f t="shared" si="0"/>
        <v xml:space="preserve"> </v>
      </c>
      <c r="B5178" s="81" t="str">
        <f t="shared" si="1"/>
        <v xml:space="preserve"> </v>
      </c>
      <c r="C5178" s="79" t="str">
        <f t="shared" si="7"/>
        <v xml:space="preserve"> </v>
      </c>
      <c r="D5178" s="79" t="str">
        <f t="shared" si="5"/>
        <v xml:space="preserve"> </v>
      </c>
      <c r="E5178" s="79" t="str">
        <f t="shared" si="6"/>
        <v xml:space="preserve"> </v>
      </c>
    </row>
    <row r="5179" spans="1:5" ht="12.5">
      <c r="A5179" s="81" t="str">
        <f t="shared" si="0"/>
        <v xml:space="preserve"> </v>
      </c>
      <c r="B5179" s="81" t="str">
        <f t="shared" si="1"/>
        <v xml:space="preserve"> </v>
      </c>
      <c r="C5179" s="79" t="str">
        <f t="shared" si="7"/>
        <v xml:space="preserve"> </v>
      </c>
      <c r="D5179" s="79" t="str">
        <f t="shared" si="5"/>
        <v xml:space="preserve"> </v>
      </c>
      <c r="E5179" s="79" t="str">
        <f t="shared" si="6"/>
        <v xml:space="preserve"> </v>
      </c>
    </row>
    <row r="5180" spans="1:5" ht="12.5">
      <c r="A5180" s="81" t="str">
        <f t="shared" si="0"/>
        <v xml:space="preserve"> </v>
      </c>
      <c r="B5180" s="81" t="str">
        <f t="shared" si="1"/>
        <v xml:space="preserve"> </v>
      </c>
      <c r="C5180" s="79" t="str">
        <f t="shared" si="7"/>
        <v xml:space="preserve"> </v>
      </c>
      <c r="D5180" s="79" t="str">
        <f t="shared" si="5"/>
        <v xml:space="preserve"> </v>
      </c>
      <c r="E5180" s="79" t="str">
        <f t="shared" si="6"/>
        <v xml:space="preserve"> </v>
      </c>
    </row>
    <row r="5181" spans="1:5" ht="12.5">
      <c r="A5181" s="81" t="str">
        <f t="shared" si="0"/>
        <v xml:space="preserve"> </v>
      </c>
      <c r="B5181" s="81" t="str">
        <f t="shared" si="1"/>
        <v xml:space="preserve"> </v>
      </c>
      <c r="C5181" s="79" t="str">
        <f t="shared" si="7"/>
        <v xml:space="preserve"> </v>
      </c>
      <c r="D5181" s="79" t="str">
        <f t="shared" si="5"/>
        <v xml:space="preserve"> </v>
      </c>
      <c r="E5181" s="79" t="str">
        <f t="shared" si="6"/>
        <v xml:space="preserve"> </v>
      </c>
    </row>
    <row r="5182" spans="1:5" ht="12.5">
      <c r="A5182" s="81" t="str">
        <f t="shared" si="0"/>
        <v xml:space="preserve"> </v>
      </c>
      <c r="B5182" s="81" t="str">
        <f t="shared" si="1"/>
        <v xml:space="preserve"> </v>
      </c>
      <c r="C5182" s="79" t="str">
        <f t="shared" si="7"/>
        <v xml:space="preserve"> </v>
      </c>
      <c r="D5182" s="79" t="str">
        <f t="shared" si="5"/>
        <v xml:space="preserve"> </v>
      </c>
      <c r="E5182" s="79" t="str">
        <f t="shared" si="6"/>
        <v xml:space="preserve"> </v>
      </c>
    </row>
    <row r="5183" spans="1:5" ht="12.5">
      <c r="A5183" s="81" t="str">
        <f t="shared" si="0"/>
        <v xml:space="preserve"> </v>
      </c>
      <c r="B5183" s="81" t="str">
        <f t="shared" si="1"/>
        <v xml:space="preserve"> </v>
      </c>
      <c r="C5183" s="79" t="str">
        <f t="shared" si="7"/>
        <v xml:space="preserve"> </v>
      </c>
      <c r="D5183" s="79" t="str">
        <f t="shared" si="5"/>
        <v xml:space="preserve"> </v>
      </c>
      <c r="E5183" s="79" t="str">
        <f t="shared" si="6"/>
        <v xml:space="preserve"> </v>
      </c>
    </row>
    <row r="5184" spans="1:5" ht="12.5">
      <c r="A5184" s="81" t="str">
        <f t="shared" si="0"/>
        <v xml:space="preserve"> </v>
      </c>
      <c r="B5184" s="81" t="str">
        <f t="shared" si="1"/>
        <v xml:space="preserve"> </v>
      </c>
      <c r="C5184" s="79" t="str">
        <f t="shared" si="7"/>
        <v xml:space="preserve"> </v>
      </c>
      <c r="D5184" s="79" t="str">
        <f t="shared" si="5"/>
        <v xml:space="preserve"> </v>
      </c>
      <c r="E5184" s="79" t="str">
        <f t="shared" si="6"/>
        <v xml:space="preserve"> </v>
      </c>
    </row>
    <row r="5185" spans="1:5" ht="12.5">
      <c r="A5185" s="81" t="str">
        <f t="shared" si="0"/>
        <v xml:space="preserve"> </v>
      </c>
      <c r="B5185" s="81" t="str">
        <f t="shared" si="1"/>
        <v xml:space="preserve"> </v>
      </c>
      <c r="C5185" s="79" t="str">
        <f t="shared" si="7"/>
        <v xml:space="preserve"> </v>
      </c>
      <c r="D5185" s="79" t="str">
        <f t="shared" si="5"/>
        <v xml:space="preserve"> </v>
      </c>
      <c r="E5185" s="79" t="str">
        <f t="shared" si="6"/>
        <v xml:space="preserve"> </v>
      </c>
    </row>
    <row r="5186" spans="1:5" ht="12.5">
      <c r="A5186" s="81" t="str">
        <f t="shared" si="0"/>
        <v xml:space="preserve"> </v>
      </c>
      <c r="B5186" s="81" t="str">
        <f t="shared" si="1"/>
        <v xml:space="preserve"> </v>
      </c>
      <c r="C5186" s="79" t="str">
        <f t="shared" si="7"/>
        <v xml:space="preserve"> </v>
      </c>
      <c r="D5186" s="79" t="str">
        <f t="shared" si="5"/>
        <v xml:space="preserve"> </v>
      </c>
      <c r="E5186" s="79" t="str">
        <f t="shared" si="6"/>
        <v xml:space="preserve"> </v>
      </c>
    </row>
    <row r="5187" spans="1:5" ht="12.5">
      <c r="A5187" s="81" t="str">
        <f t="shared" si="0"/>
        <v xml:space="preserve"> </v>
      </c>
      <c r="B5187" s="81" t="str">
        <f t="shared" si="1"/>
        <v xml:space="preserve"> </v>
      </c>
      <c r="C5187" s="79" t="str">
        <f t="shared" si="7"/>
        <v xml:space="preserve"> </v>
      </c>
      <c r="D5187" s="79" t="str">
        <f t="shared" si="5"/>
        <v xml:space="preserve"> </v>
      </c>
      <c r="E5187" s="79" t="str">
        <f t="shared" si="6"/>
        <v xml:space="preserve"> </v>
      </c>
    </row>
    <row r="5188" spans="1:5" ht="12.5">
      <c r="A5188" s="81" t="str">
        <f t="shared" si="0"/>
        <v xml:space="preserve"> </v>
      </c>
      <c r="B5188" s="81" t="str">
        <f t="shared" si="1"/>
        <v xml:space="preserve"> </v>
      </c>
      <c r="C5188" s="79" t="str">
        <f t="shared" si="7"/>
        <v xml:space="preserve"> </v>
      </c>
      <c r="D5188" s="79" t="str">
        <f t="shared" si="5"/>
        <v xml:space="preserve"> </v>
      </c>
      <c r="E5188" s="79" t="str">
        <f t="shared" si="6"/>
        <v xml:space="preserve"> </v>
      </c>
    </row>
    <row r="5189" spans="1:5" ht="12.5">
      <c r="A5189" s="81" t="str">
        <f t="shared" si="0"/>
        <v xml:space="preserve"> </v>
      </c>
      <c r="B5189" s="81" t="str">
        <f t="shared" si="1"/>
        <v xml:space="preserve"> </v>
      </c>
      <c r="C5189" s="79" t="str">
        <f t="shared" si="7"/>
        <v xml:space="preserve"> </v>
      </c>
      <c r="D5189" s="79" t="str">
        <f t="shared" si="5"/>
        <v xml:space="preserve"> </v>
      </c>
      <c r="E5189" s="79" t="str">
        <f t="shared" si="6"/>
        <v xml:space="preserve"> </v>
      </c>
    </row>
    <row r="5190" spans="1:5" ht="12.5">
      <c r="A5190" s="81" t="str">
        <f t="shared" si="0"/>
        <v xml:space="preserve"> </v>
      </c>
      <c r="B5190" s="81" t="str">
        <f t="shared" si="1"/>
        <v xml:space="preserve"> </v>
      </c>
      <c r="C5190" s="79" t="str">
        <f t="shared" si="7"/>
        <v xml:space="preserve"> </v>
      </c>
      <c r="D5190" s="79" t="str">
        <f t="shared" si="5"/>
        <v xml:space="preserve"> </v>
      </c>
      <c r="E5190" s="79" t="str">
        <f t="shared" si="6"/>
        <v xml:space="preserve"> </v>
      </c>
    </row>
    <row r="5191" spans="1:5" ht="12.5">
      <c r="A5191" s="81" t="str">
        <f t="shared" si="0"/>
        <v xml:space="preserve"> </v>
      </c>
      <c r="B5191" s="81" t="str">
        <f t="shared" si="1"/>
        <v xml:space="preserve"> </v>
      </c>
      <c r="C5191" s="79" t="str">
        <f t="shared" si="7"/>
        <v xml:space="preserve"> </v>
      </c>
      <c r="D5191" s="79" t="str">
        <f t="shared" si="5"/>
        <v xml:space="preserve"> </v>
      </c>
      <c r="E5191" s="79" t="str">
        <f t="shared" si="6"/>
        <v xml:space="preserve"> </v>
      </c>
    </row>
    <row r="5192" spans="1:5" ht="12.5">
      <c r="A5192" s="81" t="str">
        <f t="shared" si="0"/>
        <v xml:space="preserve"> </v>
      </c>
      <c r="B5192" s="81" t="str">
        <f t="shared" si="1"/>
        <v xml:space="preserve"> </v>
      </c>
      <c r="C5192" s="79" t="str">
        <f t="shared" si="7"/>
        <v xml:space="preserve"> </v>
      </c>
      <c r="D5192" s="79" t="str">
        <f t="shared" si="5"/>
        <v xml:space="preserve"> </v>
      </c>
      <c r="E5192" s="79" t="str">
        <f t="shared" si="6"/>
        <v xml:space="preserve"> </v>
      </c>
    </row>
    <row r="5193" spans="1:5" ht="12.5">
      <c r="A5193" s="81" t="str">
        <f t="shared" si="0"/>
        <v xml:space="preserve"> </v>
      </c>
      <c r="B5193" s="81" t="str">
        <f t="shared" si="1"/>
        <v xml:space="preserve"> </v>
      </c>
      <c r="C5193" s="79" t="str">
        <f t="shared" si="7"/>
        <v xml:space="preserve"> </v>
      </c>
      <c r="D5193" s="79" t="str">
        <f t="shared" si="5"/>
        <v xml:space="preserve"> </v>
      </c>
      <c r="E5193" s="79" t="str">
        <f t="shared" si="6"/>
        <v xml:space="preserve"> </v>
      </c>
    </row>
    <row r="5194" spans="1:5" ht="12.5">
      <c r="A5194" s="81" t="str">
        <f t="shared" si="0"/>
        <v xml:space="preserve"> </v>
      </c>
      <c r="B5194" s="81" t="str">
        <f t="shared" si="1"/>
        <v xml:space="preserve"> </v>
      </c>
      <c r="C5194" s="79" t="str">
        <f t="shared" si="7"/>
        <v xml:space="preserve"> </v>
      </c>
      <c r="D5194" s="79" t="str">
        <f t="shared" si="5"/>
        <v xml:space="preserve"> </v>
      </c>
      <c r="E5194" s="79" t="str">
        <f t="shared" si="6"/>
        <v xml:space="preserve"> </v>
      </c>
    </row>
    <row r="5195" spans="1:5" ht="12.5">
      <c r="A5195" s="81" t="str">
        <f t="shared" si="0"/>
        <v xml:space="preserve"> </v>
      </c>
      <c r="B5195" s="81" t="str">
        <f t="shared" si="1"/>
        <v xml:space="preserve"> </v>
      </c>
      <c r="C5195" s="79" t="str">
        <f t="shared" si="7"/>
        <v xml:space="preserve"> </v>
      </c>
      <c r="D5195" s="79" t="str">
        <f t="shared" si="5"/>
        <v xml:space="preserve"> </v>
      </c>
      <c r="E5195" s="79" t="str">
        <f t="shared" si="6"/>
        <v xml:space="preserve"> </v>
      </c>
    </row>
    <row r="5196" spans="1:5" ht="12.5">
      <c r="A5196" s="81" t="str">
        <f t="shared" si="0"/>
        <v xml:space="preserve"> </v>
      </c>
      <c r="B5196" s="81" t="str">
        <f t="shared" si="1"/>
        <v xml:space="preserve"> </v>
      </c>
      <c r="C5196" s="79" t="str">
        <f t="shared" si="7"/>
        <v xml:space="preserve"> </v>
      </c>
      <c r="D5196" s="79" t="str">
        <f t="shared" si="5"/>
        <v xml:space="preserve"> </v>
      </c>
      <c r="E5196" s="79" t="str">
        <f t="shared" si="6"/>
        <v xml:space="preserve"> </v>
      </c>
    </row>
    <row r="5197" spans="1:5" ht="12.5">
      <c r="A5197" s="81" t="str">
        <f t="shared" si="0"/>
        <v xml:space="preserve"> </v>
      </c>
      <c r="B5197" s="81" t="str">
        <f t="shared" si="1"/>
        <v xml:space="preserve"> </v>
      </c>
      <c r="C5197" s="79" t="str">
        <f t="shared" si="7"/>
        <v xml:space="preserve"> </v>
      </c>
      <c r="D5197" s="79" t="str">
        <f t="shared" si="5"/>
        <v xml:space="preserve"> </v>
      </c>
      <c r="E5197" s="79" t="str">
        <f t="shared" si="6"/>
        <v xml:space="preserve"> </v>
      </c>
    </row>
    <row r="5198" spans="1:5" ht="12.5">
      <c r="A5198" s="81" t="str">
        <f t="shared" si="0"/>
        <v xml:space="preserve"> </v>
      </c>
      <c r="B5198" s="81" t="str">
        <f t="shared" si="1"/>
        <v xml:space="preserve"> </v>
      </c>
      <c r="C5198" s="79" t="str">
        <f t="shared" si="7"/>
        <v xml:space="preserve"> </v>
      </c>
      <c r="D5198" s="79" t="str">
        <f t="shared" si="5"/>
        <v xml:space="preserve"> </v>
      </c>
      <c r="E5198" s="79" t="str">
        <f t="shared" si="6"/>
        <v xml:space="preserve"> </v>
      </c>
    </row>
    <row r="5199" spans="1:5" ht="12.5">
      <c r="A5199" s="81" t="str">
        <f t="shared" si="0"/>
        <v xml:space="preserve"> </v>
      </c>
      <c r="B5199" s="81" t="str">
        <f t="shared" si="1"/>
        <v xml:space="preserve"> </v>
      </c>
      <c r="C5199" s="79" t="str">
        <f t="shared" si="7"/>
        <v xml:space="preserve"> </v>
      </c>
      <c r="D5199" s="79" t="str">
        <f t="shared" si="5"/>
        <v xml:space="preserve"> </v>
      </c>
      <c r="E5199" s="79" t="str">
        <f t="shared" si="6"/>
        <v xml:space="preserve"> </v>
      </c>
    </row>
    <row r="5200" spans="1:5" ht="12.5">
      <c r="A5200" s="81" t="str">
        <f t="shared" si="0"/>
        <v xml:space="preserve"> </v>
      </c>
      <c r="B5200" s="81" t="str">
        <f t="shared" si="1"/>
        <v xml:space="preserve"> </v>
      </c>
      <c r="C5200" s="79" t="str">
        <f t="shared" si="7"/>
        <v xml:space="preserve"> </v>
      </c>
      <c r="D5200" s="79" t="str">
        <f t="shared" si="5"/>
        <v xml:space="preserve"> </v>
      </c>
      <c r="E5200" s="79" t="str">
        <f t="shared" si="6"/>
        <v xml:space="preserve"> </v>
      </c>
    </row>
    <row r="5201" spans="1:5" ht="12.5">
      <c r="A5201" s="81" t="str">
        <f t="shared" si="0"/>
        <v xml:space="preserve"> </v>
      </c>
      <c r="B5201" s="81" t="str">
        <f t="shared" si="1"/>
        <v xml:space="preserve"> </v>
      </c>
      <c r="C5201" s="79" t="str">
        <f t="shared" si="7"/>
        <v xml:space="preserve"> </v>
      </c>
      <c r="D5201" s="79" t="str">
        <f t="shared" si="5"/>
        <v xml:space="preserve"> </v>
      </c>
      <c r="E5201" s="79" t="str">
        <f t="shared" si="6"/>
        <v xml:space="preserve"> </v>
      </c>
    </row>
    <row r="5202" spans="1:5" ht="12.5">
      <c r="A5202" s="81" t="str">
        <f t="shared" si="0"/>
        <v xml:space="preserve"> </v>
      </c>
      <c r="B5202" s="81" t="str">
        <f t="shared" si="1"/>
        <v xml:space="preserve"> </v>
      </c>
      <c r="C5202" s="79" t="str">
        <f t="shared" si="7"/>
        <v xml:space="preserve"> </v>
      </c>
      <c r="D5202" s="79" t="str">
        <f t="shared" si="5"/>
        <v xml:space="preserve"> </v>
      </c>
      <c r="E5202" s="79" t="str">
        <f t="shared" si="6"/>
        <v xml:space="preserve"> </v>
      </c>
    </row>
    <row r="5203" spans="1:5" ht="12.5">
      <c r="A5203" s="81" t="str">
        <f t="shared" si="0"/>
        <v xml:space="preserve"> </v>
      </c>
      <c r="B5203" s="81" t="str">
        <f t="shared" si="1"/>
        <v xml:space="preserve"> </v>
      </c>
      <c r="C5203" s="79" t="str">
        <f t="shared" si="7"/>
        <v xml:space="preserve"> </v>
      </c>
      <c r="D5203" s="79" t="str">
        <f t="shared" si="5"/>
        <v xml:space="preserve"> </v>
      </c>
      <c r="E5203" s="79" t="str">
        <f t="shared" si="6"/>
        <v xml:space="preserve"> </v>
      </c>
    </row>
    <row r="5204" spans="1:5" ht="12.5">
      <c r="A5204" s="81" t="str">
        <f t="shared" si="0"/>
        <v xml:space="preserve"> </v>
      </c>
      <c r="B5204" s="81" t="str">
        <f t="shared" si="1"/>
        <v xml:space="preserve"> </v>
      </c>
      <c r="C5204" s="79" t="str">
        <f t="shared" si="7"/>
        <v xml:space="preserve"> </v>
      </c>
      <c r="D5204" s="79" t="str">
        <f t="shared" si="5"/>
        <v xml:space="preserve"> </v>
      </c>
      <c r="E5204" s="79" t="str">
        <f t="shared" si="6"/>
        <v xml:space="preserve"> </v>
      </c>
    </row>
    <row r="5205" spans="1:5" ht="12.5">
      <c r="A5205" s="81" t="str">
        <f t="shared" si="0"/>
        <v xml:space="preserve"> </v>
      </c>
      <c r="B5205" s="81" t="str">
        <f t="shared" si="1"/>
        <v xml:space="preserve"> </v>
      </c>
      <c r="C5205" s="79" t="str">
        <f t="shared" si="7"/>
        <v xml:space="preserve"> </v>
      </c>
      <c r="D5205" s="79" t="str">
        <f t="shared" si="5"/>
        <v xml:space="preserve"> </v>
      </c>
      <c r="E5205" s="79" t="str">
        <f t="shared" si="6"/>
        <v xml:space="preserve"> </v>
      </c>
    </row>
    <row r="5206" spans="1:5" ht="12.5">
      <c r="A5206" s="81" t="str">
        <f t="shared" si="0"/>
        <v xml:space="preserve"> </v>
      </c>
      <c r="B5206" s="81" t="str">
        <f t="shared" si="1"/>
        <v xml:space="preserve"> </v>
      </c>
      <c r="C5206" s="79" t="str">
        <f t="shared" si="7"/>
        <v xml:space="preserve"> </v>
      </c>
      <c r="D5206" s="79" t="str">
        <f t="shared" si="5"/>
        <v xml:space="preserve"> </v>
      </c>
      <c r="E5206" s="79" t="str">
        <f t="shared" si="6"/>
        <v xml:space="preserve"> </v>
      </c>
    </row>
    <row r="5207" spans="1:5" ht="12.5">
      <c r="A5207" s="81" t="str">
        <f t="shared" si="0"/>
        <v xml:space="preserve"> </v>
      </c>
      <c r="B5207" s="81" t="str">
        <f t="shared" si="1"/>
        <v xml:space="preserve"> </v>
      </c>
      <c r="C5207" s="79" t="str">
        <f t="shared" si="7"/>
        <v xml:space="preserve"> </v>
      </c>
      <c r="D5207" s="79" t="str">
        <f t="shared" si="5"/>
        <v xml:space="preserve"> </v>
      </c>
      <c r="E5207" s="79" t="str">
        <f t="shared" si="6"/>
        <v xml:space="preserve"> </v>
      </c>
    </row>
    <row r="5208" spans="1:5" ht="12.5">
      <c r="A5208" s="81" t="str">
        <f t="shared" si="0"/>
        <v xml:space="preserve"> </v>
      </c>
      <c r="B5208" s="81" t="str">
        <f t="shared" si="1"/>
        <v xml:space="preserve"> </v>
      </c>
      <c r="C5208" s="79" t="str">
        <f t="shared" si="7"/>
        <v xml:space="preserve"> </v>
      </c>
      <c r="D5208" s="79" t="str">
        <f t="shared" si="5"/>
        <v xml:space="preserve"> </v>
      </c>
      <c r="E5208" s="79" t="str">
        <f t="shared" si="6"/>
        <v xml:space="preserve"> </v>
      </c>
    </row>
    <row r="5209" spans="1:5" ht="12.5">
      <c r="A5209" s="81" t="str">
        <f t="shared" si="0"/>
        <v xml:space="preserve"> </v>
      </c>
      <c r="B5209" s="81" t="str">
        <f t="shared" si="1"/>
        <v xml:space="preserve"> </v>
      </c>
      <c r="C5209" s="79" t="str">
        <f t="shared" si="7"/>
        <v xml:space="preserve"> </v>
      </c>
      <c r="D5209" s="79" t="str">
        <f t="shared" si="5"/>
        <v xml:space="preserve"> </v>
      </c>
      <c r="E5209" s="79" t="str">
        <f t="shared" si="6"/>
        <v xml:space="preserve"> </v>
      </c>
    </row>
    <row r="5210" spans="1:5" ht="12.5">
      <c r="A5210" s="81" t="str">
        <f t="shared" si="0"/>
        <v xml:space="preserve"> </v>
      </c>
      <c r="B5210" s="81" t="str">
        <f t="shared" si="1"/>
        <v xml:space="preserve"> </v>
      </c>
      <c r="C5210" s="79" t="str">
        <f t="shared" si="7"/>
        <v xml:space="preserve"> </v>
      </c>
      <c r="D5210" s="79" t="str">
        <f t="shared" si="5"/>
        <v xml:space="preserve"> </v>
      </c>
      <c r="E5210" s="79" t="str">
        <f t="shared" si="6"/>
        <v xml:space="preserve"> </v>
      </c>
    </row>
    <row r="5211" spans="1:5" ht="12.5">
      <c r="A5211" s="81" t="str">
        <f t="shared" si="0"/>
        <v xml:space="preserve"> </v>
      </c>
      <c r="B5211" s="81" t="str">
        <f t="shared" si="1"/>
        <v xml:space="preserve"> </v>
      </c>
      <c r="C5211" s="79" t="str">
        <f t="shared" si="7"/>
        <v xml:space="preserve"> </v>
      </c>
      <c r="D5211" s="79" t="str">
        <f t="shared" si="5"/>
        <v xml:space="preserve"> </v>
      </c>
      <c r="E5211" s="79" t="str">
        <f t="shared" si="6"/>
        <v xml:space="preserve"> </v>
      </c>
    </row>
    <row r="5212" spans="1:5" ht="12.5">
      <c r="A5212" s="81" t="str">
        <f t="shared" si="0"/>
        <v xml:space="preserve"> </v>
      </c>
      <c r="B5212" s="81" t="str">
        <f t="shared" si="1"/>
        <v xml:space="preserve"> </v>
      </c>
      <c r="C5212" s="79" t="str">
        <f t="shared" si="7"/>
        <v xml:space="preserve"> </v>
      </c>
      <c r="D5212" s="79" t="str">
        <f t="shared" si="5"/>
        <v xml:space="preserve"> </v>
      </c>
      <c r="E5212" s="79" t="str">
        <f t="shared" si="6"/>
        <v xml:space="preserve"> </v>
      </c>
    </row>
    <row r="5213" spans="1:5" ht="12.5">
      <c r="A5213" s="81" t="str">
        <f t="shared" si="0"/>
        <v xml:space="preserve"> </v>
      </c>
      <c r="B5213" s="81" t="str">
        <f t="shared" si="1"/>
        <v xml:space="preserve"> </v>
      </c>
      <c r="C5213" s="79" t="str">
        <f t="shared" si="7"/>
        <v xml:space="preserve"> </v>
      </c>
      <c r="D5213" s="79" t="str">
        <f t="shared" si="5"/>
        <v xml:space="preserve"> </v>
      </c>
      <c r="E5213" s="79" t="str">
        <f t="shared" si="6"/>
        <v xml:space="preserve"> </v>
      </c>
    </row>
    <row r="5214" spans="1:5" ht="12.5">
      <c r="A5214" s="81" t="str">
        <f t="shared" si="0"/>
        <v xml:space="preserve"> </v>
      </c>
      <c r="B5214" s="81" t="str">
        <f t="shared" si="1"/>
        <v xml:space="preserve"> </v>
      </c>
      <c r="C5214" s="79" t="str">
        <f t="shared" si="7"/>
        <v xml:space="preserve"> </v>
      </c>
      <c r="D5214" s="79" t="str">
        <f t="shared" si="5"/>
        <v xml:space="preserve"> </v>
      </c>
      <c r="E5214" s="79" t="str">
        <f t="shared" si="6"/>
        <v xml:space="preserve"> </v>
      </c>
    </row>
    <row r="5215" spans="1:5" ht="12.5">
      <c r="A5215" s="81" t="str">
        <f t="shared" si="0"/>
        <v xml:space="preserve"> </v>
      </c>
      <c r="B5215" s="81" t="str">
        <f t="shared" si="1"/>
        <v xml:space="preserve"> </v>
      </c>
      <c r="C5215" s="79" t="str">
        <f t="shared" si="7"/>
        <v xml:space="preserve"> </v>
      </c>
      <c r="D5215" s="79" t="str">
        <f t="shared" si="5"/>
        <v xml:space="preserve"> </v>
      </c>
      <c r="E5215" s="79" t="str">
        <f t="shared" si="6"/>
        <v xml:space="preserve"> </v>
      </c>
    </row>
    <row r="5216" spans="1:5" ht="12.5">
      <c r="A5216" s="81" t="str">
        <f t="shared" si="0"/>
        <v xml:space="preserve"> </v>
      </c>
      <c r="B5216" s="81" t="str">
        <f t="shared" si="1"/>
        <v xml:space="preserve"> </v>
      </c>
      <c r="C5216" s="79" t="str">
        <f t="shared" si="7"/>
        <v xml:space="preserve"> </v>
      </c>
      <c r="D5216" s="79" t="str">
        <f t="shared" si="5"/>
        <v xml:space="preserve"> </v>
      </c>
      <c r="E5216" s="79" t="str">
        <f t="shared" si="6"/>
        <v xml:space="preserve"> </v>
      </c>
    </row>
    <row r="5217" spans="1:5" ht="12.5">
      <c r="A5217" s="81" t="str">
        <f t="shared" si="0"/>
        <v xml:space="preserve"> </v>
      </c>
      <c r="B5217" s="81" t="str">
        <f t="shared" si="1"/>
        <v xml:space="preserve"> </v>
      </c>
      <c r="C5217" s="79" t="str">
        <f t="shared" si="7"/>
        <v xml:space="preserve"> </v>
      </c>
      <c r="D5217" s="79" t="str">
        <f t="shared" si="5"/>
        <v xml:space="preserve"> </v>
      </c>
      <c r="E5217" s="79" t="str">
        <f t="shared" si="6"/>
        <v xml:space="preserve"> </v>
      </c>
    </row>
    <row r="5218" spans="1:5" ht="12.5">
      <c r="A5218" s="81" t="str">
        <f t="shared" si="0"/>
        <v xml:space="preserve"> </v>
      </c>
      <c r="B5218" s="81" t="str">
        <f t="shared" si="1"/>
        <v xml:space="preserve"> </v>
      </c>
      <c r="C5218" s="79" t="str">
        <f t="shared" si="7"/>
        <v xml:space="preserve"> </v>
      </c>
      <c r="D5218" s="79" t="str">
        <f t="shared" si="5"/>
        <v xml:space="preserve"> </v>
      </c>
      <c r="E5218" s="79" t="str">
        <f t="shared" si="6"/>
        <v xml:space="preserve"> </v>
      </c>
    </row>
    <row r="5219" spans="1:5" ht="12.5">
      <c r="A5219" s="81" t="str">
        <f t="shared" si="0"/>
        <v xml:space="preserve"> </v>
      </c>
      <c r="B5219" s="81" t="str">
        <f t="shared" si="1"/>
        <v xml:space="preserve"> </v>
      </c>
      <c r="C5219" s="79" t="str">
        <f t="shared" si="7"/>
        <v xml:space="preserve"> </v>
      </c>
      <c r="D5219" s="79" t="str">
        <f t="shared" si="5"/>
        <v xml:space="preserve"> </v>
      </c>
      <c r="E5219" s="79" t="str">
        <f t="shared" si="6"/>
        <v xml:space="preserve"> </v>
      </c>
    </row>
    <row r="5220" spans="1:5" ht="12.5">
      <c r="A5220" s="81" t="str">
        <f t="shared" si="0"/>
        <v xml:space="preserve"> </v>
      </c>
      <c r="B5220" s="81" t="str">
        <f t="shared" si="1"/>
        <v xml:space="preserve"> </v>
      </c>
      <c r="C5220" s="79" t="str">
        <f t="shared" si="7"/>
        <v xml:space="preserve"> </v>
      </c>
      <c r="D5220" s="79" t="str">
        <f t="shared" si="5"/>
        <v xml:space="preserve"> </v>
      </c>
      <c r="E5220" s="79" t="str">
        <f t="shared" si="6"/>
        <v xml:space="preserve"> </v>
      </c>
    </row>
    <row r="5221" spans="1:5" ht="12.5">
      <c r="A5221" s="81" t="str">
        <f t="shared" si="0"/>
        <v xml:space="preserve"> </v>
      </c>
      <c r="B5221" s="81" t="str">
        <f t="shared" si="1"/>
        <v xml:space="preserve"> </v>
      </c>
      <c r="C5221" s="79" t="str">
        <f t="shared" si="7"/>
        <v xml:space="preserve"> </v>
      </c>
      <c r="D5221" s="79" t="str">
        <f t="shared" si="5"/>
        <v xml:space="preserve"> </v>
      </c>
      <c r="E5221" s="79" t="str">
        <f t="shared" si="6"/>
        <v xml:space="preserve"> </v>
      </c>
    </row>
    <row r="5222" spans="1:5" ht="12.5">
      <c r="A5222" s="81" t="str">
        <f t="shared" si="0"/>
        <v xml:space="preserve"> </v>
      </c>
      <c r="B5222" s="81" t="str">
        <f t="shared" si="1"/>
        <v xml:space="preserve"> </v>
      </c>
      <c r="C5222" s="79" t="str">
        <f t="shared" si="7"/>
        <v xml:space="preserve"> </v>
      </c>
      <c r="D5222" s="79" t="str">
        <f t="shared" si="5"/>
        <v xml:space="preserve"> </v>
      </c>
      <c r="E5222" s="79" t="str">
        <f t="shared" si="6"/>
        <v xml:space="preserve"> </v>
      </c>
    </row>
    <row r="5223" spans="1:5" ht="12.5">
      <c r="A5223" s="81" t="str">
        <f t="shared" si="0"/>
        <v xml:space="preserve"> </v>
      </c>
      <c r="B5223" s="81" t="str">
        <f t="shared" si="1"/>
        <v xml:space="preserve"> </v>
      </c>
      <c r="C5223" s="79" t="str">
        <f t="shared" si="7"/>
        <v xml:space="preserve"> </v>
      </c>
      <c r="D5223" s="79" t="str">
        <f t="shared" si="5"/>
        <v xml:space="preserve"> </v>
      </c>
      <c r="E5223" s="79" t="str">
        <f t="shared" si="6"/>
        <v xml:space="preserve"> </v>
      </c>
    </row>
    <row r="5224" spans="1:5" ht="12.5">
      <c r="A5224" s="81" t="str">
        <f t="shared" si="0"/>
        <v xml:space="preserve"> </v>
      </c>
      <c r="B5224" s="81" t="str">
        <f t="shared" si="1"/>
        <v xml:space="preserve"> </v>
      </c>
      <c r="C5224" s="79" t="str">
        <f t="shared" si="7"/>
        <v xml:space="preserve"> </v>
      </c>
      <c r="D5224" s="79" t="str">
        <f t="shared" si="5"/>
        <v xml:space="preserve"> </v>
      </c>
      <c r="E5224" s="79" t="str">
        <f t="shared" si="6"/>
        <v xml:space="preserve"> </v>
      </c>
    </row>
    <row r="5225" spans="1:5" ht="12.5">
      <c r="A5225" s="81" t="str">
        <f t="shared" si="0"/>
        <v xml:space="preserve"> </v>
      </c>
      <c r="B5225" s="81" t="str">
        <f t="shared" si="1"/>
        <v xml:space="preserve"> </v>
      </c>
      <c r="C5225" s="79" t="str">
        <f t="shared" si="7"/>
        <v xml:space="preserve"> </v>
      </c>
      <c r="D5225" s="79" t="str">
        <f t="shared" si="5"/>
        <v xml:space="preserve"> </v>
      </c>
      <c r="E5225" s="79" t="str">
        <f t="shared" si="6"/>
        <v xml:space="preserve"> </v>
      </c>
    </row>
    <row r="5226" spans="1:5" ht="12.5">
      <c r="A5226" s="81" t="str">
        <f t="shared" si="0"/>
        <v xml:space="preserve"> </v>
      </c>
      <c r="B5226" s="81" t="str">
        <f t="shared" si="1"/>
        <v xml:space="preserve"> </v>
      </c>
      <c r="C5226" s="79" t="str">
        <f t="shared" si="7"/>
        <v xml:space="preserve"> </v>
      </c>
      <c r="D5226" s="79" t="str">
        <f t="shared" si="5"/>
        <v xml:space="preserve"> </v>
      </c>
      <c r="E5226" s="79" t="str">
        <f t="shared" si="6"/>
        <v xml:space="preserve"> </v>
      </c>
    </row>
    <row r="5227" spans="1:5" ht="12.5">
      <c r="A5227" s="81" t="str">
        <f t="shared" si="0"/>
        <v xml:space="preserve"> </v>
      </c>
      <c r="B5227" s="81" t="str">
        <f t="shared" si="1"/>
        <v xml:space="preserve"> </v>
      </c>
      <c r="C5227" s="79" t="str">
        <f t="shared" si="7"/>
        <v xml:space="preserve"> </v>
      </c>
      <c r="D5227" s="79" t="str">
        <f t="shared" si="5"/>
        <v xml:space="preserve"> </v>
      </c>
      <c r="E5227" s="79" t="str">
        <f t="shared" si="6"/>
        <v xml:space="preserve"> </v>
      </c>
    </row>
    <row r="5228" spans="1:5" ht="12.5">
      <c r="A5228" s="81" t="str">
        <f t="shared" si="0"/>
        <v xml:space="preserve"> </v>
      </c>
      <c r="B5228" s="81" t="str">
        <f t="shared" si="1"/>
        <v xml:space="preserve"> </v>
      </c>
      <c r="C5228" s="79" t="str">
        <f t="shared" si="7"/>
        <v xml:space="preserve"> </v>
      </c>
      <c r="D5228" s="79" t="str">
        <f t="shared" si="5"/>
        <v xml:space="preserve"> </v>
      </c>
      <c r="E5228" s="79" t="str">
        <f t="shared" si="6"/>
        <v xml:space="preserve"> </v>
      </c>
    </row>
    <row r="5229" spans="1:5" ht="12.5">
      <c r="A5229" s="81" t="str">
        <f t="shared" si="0"/>
        <v xml:space="preserve"> </v>
      </c>
      <c r="B5229" s="81" t="str">
        <f t="shared" si="1"/>
        <v xml:space="preserve"> </v>
      </c>
      <c r="C5229" s="79" t="str">
        <f t="shared" si="7"/>
        <v xml:space="preserve"> </v>
      </c>
      <c r="D5229" s="79" t="str">
        <f t="shared" si="5"/>
        <v xml:space="preserve"> </v>
      </c>
      <c r="E5229" s="79" t="str">
        <f t="shared" si="6"/>
        <v xml:space="preserve"> </v>
      </c>
    </row>
    <row r="5230" spans="1:5" ht="12.5">
      <c r="A5230" s="81" t="str">
        <f t="shared" si="0"/>
        <v xml:space="preserve"> </v>
      </c>
      <c r="B5230" s="81" t="str">
        <f t="shared" si="1"/>
        <v xml:space="preserve"> </v>
      </c>
      <c r="C5230" s="79" t="str">
        <f t="shared" si="7"/>
        <v xml:space="preserve"> </v>
      </c>
      <c r="D5230" s="79" t="str">
        <f t="shared" si="5"/>
        <v xml:space="preserve"> </v>
      </c>
      <c r="E5230" s="79" t="str">
        <f t="shared" si="6"/>
        <v xml:space="preserve"> </v>
      </c>
    </row>
    <row r="5231" spans="1:5" ht="12.5">
      <c r="A5231" s="81" t="str">
        <f t="shared" si="0"/>
        <v xml:space="preserve"> </v>
      </c>
      <c r="B5231" s="81" t="str">
        <f t="shared" si="1"/>
        <v xml:space="preserve"> </v>
      </c>
      <c r="C5231" s="79" t="str">
        <f t="shared" si="7"/>
        <v xml:space="preserve"> </v>
      </c>
      <c r="D5231" s="79" t="str">
        <f t="shared" si="5"/>
        <v xml:space="preserve"> </v>
      </c>
      <c r="E5231" s="79" t="str">
        <f t="shared" si="6"/>
        <v xml:space="preserve"> </v>
      </c>
    </row>
    <row r="5232" spans="1:5" ht="12.5">
      <c r="A5232" s="81" t="str">
        <f t="shared" si="0"/>
        <v xml:space="preserve"> </v>
      </c>
      <c r="B5232" s="81" t="str">
        <f t="shared" si="1"/>
        <v xml:space="preserve"> </v>
      </c>
      <c r="C5232" s="79" t="str">
        <f t="shared" si="7"/>
        <v xml:space="preserve"> </v>
      </c>
      <c r="D5232" s="79" t="str">
        <f t="shared" si="5"/>
        <v xml:space="preserve"> </v>
      </c>
      <c r="E5232" s="79" t="str">
        <f t="shared" si="6"/>
        <v xml:space="preserve"> </v>
      </c>
    </row>
    <row r="5233" spans="1:5" ht="12.5">
      <c r="A5233" s="81" t="str">
        <f t="shared" si="0"/>
        <v xml:space="preserve"> </v>
      </c>
      <c r="B5233" s="81" t="str">
        <f t="shared" si="1"/>
        <v xml:space="preserve"> </v>
      </c>
      <c r="C5233" s="79" t="str">
        <f t="shared" si="7"/>
        <v xml:space="preserve"> </v>
      </c>
      <c r="D5233" s="79" t="str">
        <f t="shared" si="5"/>
        <v xml:space="preserve"> </v>
      </c>
      <c r="E5233" s="79" t="str">
        <f t="shared" si="6"/>
        <v xml:space="preserve"> </v>
      </c>
    </row>
    <row r="5234" spans="1:5" ht="12.5">
      <c r="A5234" s="81" t="str">
        <f t="shared" si="0"/>
        <v xml:space="preserve"> </v>
      </c>
      <c r="B5234" s="81" t="str">
        <f t="shared" si="1"/>
        <v xml:space="preserve"> </v>
      </c>
      <c r="C5234" s="79" t="str">
        <f t="shared" si="7"/>
        <v xml:space="preserve"> </v>
      </c>
      <c r="D5234" s="79" t="str">
        <f t="shared" si="5"/>
        <v xml:space="preserve"> </v>
      </c>
      <c r="E5234" s="79" t="str">
        <f t="shared" si="6"/>
        <v xml:space="preserve"> </v>
      </c>
    </row>
    <row r="5235" spans="1:5" ht="12.5">
      <c r="A5235" s="81" t="str">
        <f t="shared" si="0"/>
        <v xml:space="preserve"> </v>
      </c>
      <c r="B5235" s="81" t="str">
        <f t="shared" si="1"/>
        <v xml:space="preserve"> </v>
      </c>
      <c r="C5235" s="79" t="str">
        <f t="shared" si="7"/>
        <v xml:space="preserve"> </v>
      </c>
      <c r="D5235" s="79" t="str">
        <f t="shared" si="5"/>
        <v xml:space="preserve"> </v>
      </c>
      <c r="E5235" s="79" t="str">
        <f t="shared" si="6"/>
        <v xml:space="preserve"> </v>
      </c>
    </row>
    <row r="5236" spans="1:5" ht="12.5">
      <c r="A5236" s="81" t="str">
        <f t="shared" si="0"/>
        <v xml:space="preserve"> </v>
      </c>
      <c r="B5236" s="81" t="str">
        <f t="shared" si="1"/>
        <v xml:space="preserve"> </v>
      </c>
      <c r="C5236" s="79" t="str">
        <f t="shared" si="7"/>
        <v xml:space="preserve"> </v>
      </c>
      <c r="D5236" s="79" t="str">
        <f t="shared" si="5"/>
        <v xml:space="preserve"> </v>
      </c>
      <c r="E5236" s="79" t="str">
        <f t="shared" si="6"/>
        <v xml:space="preserve"> </v>
      </c>
    </row>
    <row r="5237" spans="1:5" ht="12.5">
      <c r="A5237" s="81" t="str">
        <f t="shared" si="0"/>
        <v xml:space="preserve"> </v>
      </c>
      <c r="B5237" s="81" t="str">
        <f t="shared" si="1"/>
        <v xml:space="preserve"> </v>
      </c>
      <c r="C5237" s="79" t="str">
        <f t="shared" si="7"/>
        <v xml:space="preserve"> </v>
      </c>
      <c r="D5237" s="79" t="str">
        <f t="shared" si="5"/>
        <v xml:space="preserve"> </v>
      </c>
      <c r="E5237" s="79" t="str">
        <f t="shared" si="6"/>
        <v xml:space="preserve"> </v>
      </c>
    </row>
    <row r="5238" spans="1:5" ht="12.5">
      <c r="A5238" s="81" t="str">
        <f t="shared" si="0"/>
        <v xml:space="preserve"> </v>
      </c>
      <c r="B5238" s="81" t="str">
        <f t="shared" si="1"/>
        <v xml:space="preserve"> </v>
      </c>
      <c r="C5238" s="79" t="str">
        <f t="shared" si="7"/>
        <v xml:space="preserve"> </v>
      </c>
      <c r="D5238" s="79" t="str">
        <f t="shared" si="5"/>
        <v xml:space="preserve"> </v>
      </c>
      <c r="E5238" s="79" t="str">
        <f t="shared" si="6"/>
        <v xml:space="preserve"> </v>
      </c>
    </row>
    <row r="5239" spans="1:5" ht="12.5">
      <c r="A5239" s="81" t="str">
        <f t="shared" si="0"/>
        <v xml:space="preserve"> </v>
      </c>
      <c r="B5239" s="81" t="str">
        <f t="shared" si="1"/>
        <v xml:space="preserve"> </v>
      </c>
      <c r="C5239" s="79" t="str">
        <f t="shared" si="7"/>
        <v xml:space="preserve"> </v>
      </c>
      <c r="D5239" s="79" t="str">
        <f t="shared" si="5"/>
        <v xml:space="preserve"> </v>
      </c>
      <c r="E5239" s="79" t="str">
        <f t="shared" si="6"/>
        <v xml:space="preserve"> </v>
      </c>
    </row>
    <row r="5240" spans="1:5" ht="12.5">
      <c r="A5240" s="81" t="str">
        <f t="shared" si="0"/>
        <v xml:space="preserve"> </v>
      </c>
      <c r="B5240" s="81" t="str">
        <f t="shared" si="1"/>
        <v xml:space="preserve"> </v>
      </c>
      <c r="C5240" s="79" t="str">
        <f t="shared" si="7"/>
        <v xml:space="preserve"> </v>
      </c>
      <c r="D5240" s="79" t="str">
        <f t="shared" si="5"/>
        <v xml:space="preserve"> </v>
      </c>
      <c r="E5240" s="79" t="str">
        <f t="shared" si="6"/>
        <v xml:space="preserve"> </v>
      </c>
    </row>
    <row r="5241" spans="1:5" ht="12.5">
      <c r="A5241" s="81" t="str">
        <f t="shared" si="0"/>
        <v xml:space="preserve"> </v>
      </c>
      <c r="B5241" s="81" t="str">
        <f t="shared" si="1"/>
        <v xml:space="preserve"> </v>
      </c>
      <c r="C5241" s="79" t="str">
        <f t="shared" si="7"/>
        <v xml:space="preserve"> </v>
      </c>
      <c r="D5241" s="79" t="str">
        <f t="shared" si="5"/>
        <v xml:space="preserve"> </v>
      </c>
      <c r="E5241" s="79" t="str">
        <f t="shared" si="6"/>
        <v xml:space="preserve"> </v>
      </c>
    </row>
    <row r="5242" spans="1:5" ht="12.5">
      <c r="A5242" s="81" t="str">
        <f t="shared" si="0"/>
        <v xml:space="preserve"> </v>
      </c>
      <c r="B5242" s="81" t="str">
        <f t="shared" si="1"/>
        <v xml:space="preserve"> </v>
      </c>
      <c r="C5242" s="79" t="str">
        <f t="shared" si="7"/>
        <v xml:space="preserve"> </v>
      </c>
      <c r="D5242" s="79" t="str">
        <f t="shared" si="5"/>
        <v xml:space="preserve"> </v>
      </c>
      <c r="E5242" s="79" t="str">
        <f t="shared" si="6"/>
        <v xml:space="preserve"> </v>
      </c>
    </row>
    <row r="5243" spans="1:5" ht="12.5">
      <c r="A5243" s="81" t="str">
        <f t="shared" si="0"/>
        <v xml:space="preserve"> </v>
      </c>
      <c r="B5243" s="81" t="str">
        <f t="shared" si="1"/>
        <v xml:space="preserve"> </v>
      </c>
      <c r="C5243" s="79" t="str">
        <f t="shared" si="7"/>
        <v xml:space="preserve"> </v>
      </c>
      <c r="D5243" s="79" t="str">
        <f t="shared" si="5"/>
        <v xml:space="preserve"> </v>
      </c>
      <c r="E5243" s="79" t="str">
        <f t="shared" si="6"/>
        <v xml:space="preserve"> </v>
      </c>
    </row>
    <row r="5244" spans="1:5" ht="12.5">
      <c r="A5244" s="81" t="str">
        <f t="shared" si="0"/>
        <v xml:space="preserve"> </v>
      </c>
      <c r="B5244" s="81" t="str">
        <f t="shared" si="1"/>
        <v xml:space="preserve"> </v>
      </c>
      <c r="C5244" s="79" t="str">
        <f t="shared" si="7"/>
        <v xml:space="preserve"> </v>
      </c>
      <c r="D5244" s="79" t="str">
        <f t="shared" si="5"/>
        <v xml:space="preserve"> </v>
      </c>
      <c r="E5244" s="79" t="str">
        <f t="shared" si="6"/>
        <v xml:space="preserve"> </v>
      </c>
    </row>
    <row r="5245" spans="1:5" ht="12.5">
      <c r="A5245" s="81" t="str">
        <f t="shared" si="0"/>
        <v xml:space="preserve"> </v>
      </c>
      <c r="B5245" s="81" t="str">
        <f t="shared" si="1"/>
        <v xml:space="preserve"> </v>
      </c>
      <c r="C5245" s="79" t="str">
        <f t="shared" si="7"/>
        <v xml:space="preserve"> </v>
      </c>
      <c r="D5245" s="79" t="str">
        <f t="shared" si="5"/>
        <v xml:space="preserve"> </v>
      </c>
      <c r="E5245" s="79" t="str">
        <f t="shared" si="6"/>
        <v xml:space="preserve"> </v>
      </c>
    </row>
    <row r="5246" spans="1:5" ht="12.5">
      <c r="A5246" s="81" t="str">
        <f t="shared" si="0"/>
        <v xml:space="preserve"> </v>
      </c>
      <c r="B5246" s="81" t="str">
        <f t="shared" si="1"/>
        <v xml:space="preserve"> </v>
      </c>
      <c r="C5246" s="79" t="str">
        <f t="shared" si="7"/>
        <v xml:space="preserve"> </v>
      </c>
      <c r="D5246" s="79" t="str">
        <f t="shared" si="5"/>
        <v xml:space="preserve"> </v>
      </c>
      <c r="E5246" s="79" t="str">
        <f t="shared" si="6"/>
        <v xml:space="preserve"> </v>
      </c>
    </row>
    <row r="5247" spans="1:5" ht="12.5">
      <c r="A5247" s="81" t="str">
        <f t="shared" si="0"/>
        <v xml:space="preserve"> </v>
      </c>
      <c r="B5247" s="81" t="str">
        <f t="shared" si="1"/>
        <v xml:space="preserve"> </v>
      </c>
      <c r="C5247" s="79" t="str">
        <f t="shared" si="7"/>
        <v xml:space="preserve"> </v>
      </c>
      <c r="D5247" s="79" t="str">
        <f t="shared" si="5"/>
        <v xml:space="preserve"> </v>
      </c>
      <c r="E5247" s="79" t="str">
        <f t="shared" si="6"/>
        <v xml:space="preserve"> </v>
      </c>
    </row>
    <row r="5248" spans="1:5" ht="12.5">
      <c r="A5248" s="81" t="str">
        <f t="shared" si="0"/>
        <v xml:space="preserve"> </v>
      </c>
      <c r="B5248" s="81" t="str">
        <f t="shared" si="1"/>
        <v xml:space="preserve"> </v>
      </c>
      <c r="C5248" s="79" t="str">
        <f t="shared" si="7"/>
        <v xml:space="preserve"> </v>
      </c>
      <c r="D5248" s="79" t="str">
        <f t="shared" si="5"/>
        <v xml:space="preserve"> </v>
      </c>
      <c r="E5248" s="79" t="str">
        <f t="shared" si="6"/>
        <v xml:space="preserve"> </v>
      </c>
    </row>
    <row r="5249" spans="1:5" ht="12.5">
      <c r="A5249" s="81" t="str">
        <f t="shared" si="0"/>
        <v xml:space="preserve"> </v>
      </c>
      <c r="B5249" s="81" t="str">
        <f t="shared" si="1"/>
        <v xml:space="preserve"> </v>
      </c>
      <c r="C5249" s="79" t="str">
        <f t="shared" si="7"/>
        <v xml:space="preserve"> </v>
      </c>
      <c r="D5249" s="79" t="str">
        <f t="shared" si="5"/>
        <v xml:space="preserve"> </v>
      </c>
      <c r="E5249" s="79" t="str">
        <f t="shared" si="6"/>
        <v xml:space="preserve"> </v>
      </c>
    </row>
    <row r="5250" spans="1:5" ht="12.5">
      <c r="A5250" s="81" t="str">
        <f t="shared" si="0"/>
        <v xml:space="preserve"> </v>
      </c>
      <c r="B5250" s="81" t="str">
        <f t="shared" si="1"/>
        <v xml:space="preserve"> </v>
      </c>
      <c r="C5250" s="79" t="str">
        <f t="shared" si="7"/>
        <v xml:space="preserve"> </v>
      </c>
      <c r="D5250" s="79" t="str">
        <f t="shared" si="5"/>
        <v xml:space="preserve"> </v>
      </c>
      <c r="E5250" s="79" t="str">
        <f t="shared" si="6"/>
        <v xml:space="preserve"> </v>
      </c>
    </row>
    <row r="5251" spans="1:5" ht="12.5">
      <c r="A5251" s="81" t="str">
        <f t="shared" si="0"/>
        <v xml:space="preserve"> </v>
      </c>
      <c r="B5251" s="81" t="str">
        <f t="shared" si="1"/>
        <v xml:space="preserve"> </v>
      </c>
      <c r="C5251" s="79" t="str">
        <f t="shared" si="7"/>
        <v xml:space="preserve"> </v>
      </c>
      <c r="D5251" s="79" t="str">
        <f t="shared" si="5"/>
        <v xml:space="preserve"> </v>
      </c>
      <c r="E5251" s="79" t="str">
        <f t="shared" si="6"/>
        <v xml:space="preserve"> </v>
      </c>
    </row>
    <row r="5252" spans="1:5" ht="12.5">
      <c r="A5252" s="81" t="str">
        <f t="shared" si="0"/>
        <v xml:space="preserve"> </v>
      </c>
      <c r="B5252" s="81" t="str">
        <f t="shared" si="1"/>
        <v xml:space="preserve"> </v>
      </c>
      <c r="C5252" s="79" t="str">
        <f t="shared" si="7"/>
        <v xml:space="preserve"> </v>
      </c>
      <c r="D5252" s="79" t="str">
        <f t="shared" si="5"/>
        <v xml:space="preserve"> </v>
      </c>
      <c r="E5252" s="79" t="str">
        <f t="shared" si="6"/>
        <v xml:space="preserve"> </v>
      </c>
    </row>
    <row r="5253" spans="1:5" ht="12.5">
      <c r="A5253" s="81" t="str">
        <f t="shared" si="0"/>
        <v xml:space="preserve"> </v>
      </c>
      <c r="B5253" s="81" t="str">
        <f t="shared" si="1"/>
        <v xml:space="preserve"> </v>
      </c>
      <c r="C5253" s="79" t="str">
        <f t="shared" si="7"/>
        <v xml:space="preserve"> </v>
      </c>
      <c r="D5253" s="79" t="str">
        <f t="shared" si="5"/>
        <v xml:space="preserve"> </v>
      </c>
      <c r="E5253" s="79" t="str">
        <f t="shared" si="6"/>
        <v xml:space="preserve"> </v>
      </c>
    </row>
    <row r="5254" spans="1:5" ht="12.5">
      <c r="A5254" s="81" t="str">
        <f t="shared" si="0"/>
        <v xml:space="preserve"> </v>
      </c>
      <c r="B5254" s="81" t="str">
        <f t="shared" si="1"/>
        <v xml:space="preserve"> </v>
      </c>
      <c r="C5254" s="79" t="str">
        <f t="shared" si="7"/>
        <v xml:space="preserve"> </v>
      </c>
      <c r="D5254" s="79" t="str">
        <f t="shared" si="5"/>
        <v xml:space="preserve"> </v>
      </c>
      <c r="E5254" s="79" t="str">
        <f t="shared" si="6"/>
        <v xml:space="preserve"> </v>
      </c>
    </row>
    <row r="5255" spans="1:5" ht="12.5">
      <c r="A5255" s="81" t="str">
        <f t="shared" si="0"/>
        <v xml:space="preserve"> </v>
      </c>
      <c r="B5255" s="81" t="str">
        <f t="shared" si="1"/>
        <v xml:space="preserve"> </v>
      </c>
      <c r="C5255" s="79" t="str">
        <f t="shared" si="7"/>
        <v xml:space="preserve"> </v>
      </c>
      <c r="D5255" s="79" t="str">
        <f t="shared" si="5"/>
        <v xml:space="preserve"> </v>
      </c>
      <c r="E5255" s="79" t="str">
        <f t="shared" si="6"/>
        <v xml:space="preserve"> </v>
      </c>
    </row>
    <row r="5256" spans="1:5" ht="12.5">
      <c r="A5256" s="81" t="str">
        <f t="shared" si="0"/>
        <v xml:space="preserve"> </v>
      </c>
      <c r="B5256" s="81" t="str">
        <f t="shared" si="1"/>
        <v xml:space="preserve"> </v>
      </c>
      <c r="C5256" s="79" t="str">
        <f t="shared" si="7"/>
        <v xml:space="preserve"> </v>
      </c>
      <c r="D5256" s="79" t="str">
        <f t="shared" si="5"/>
        <v xml:space="preserve"> </v>
      </c>
      <c r="E5256" s="79" t="str">
        <f t="shared" si="6"/>
        <v xml:space="preserve"> </v>
      </c>
    </row>
    <row r="5257" spans="1:5" ht="12.5">
      <c r="A5257" s="81" t="str">
        <f t="shared" si="0"/>
        <v xml:space="preserve"> </v>
      </c>
      <c r="B5257" s="81" t="str">
        <f t="shared" si="1"/>
        <v xml:space="preserve"> </v>
      </c>
      <c r="C5257" s="79" t="str">
        <f t="shared" si="7"/>
        <v xml:space="preserve"> </v>
      </c>
      <c r="D5257" s="79" t="str">
        <f t="shared" si="5"/>
        <v xml:space="preserve"> </v>
      </c>
      <c r="E5257" s="79" t="str">
        <f t="shared" si="6"/>
        <v xml:space="preserve"> </v>
      </c>
    </row>
    <row r="5258" spans="1:5" ht="12.5">
      <c r="A5258" s="81" t="str">
        <f t="shared" si="0"/>
        <v xml:space="preserve"> </v>
      </c>
      <c r="B5258" s="81" t="str">
        <f t="shared" si="1"/>
        <v xml:space="preserve"> </v>
      </c>
      <c r="C5258" s="79" t="str">
        <f t="shared" si="7"/>
        <v xml:space="preserve"> </v>
      </c>
      <c r="D5258" s="79" t="str">
        <f t="shared" si="5"/>
        <v xml:space="preserve"> </v>
      </c>
      <c r="E5258" s="79" t="str">
        <f t="shared" si="6"/>
        <v xml:space="preserve"> </v>
      </c>
    </row>
    <row r="5259" spans="1:5" ht="12.5">
      <c r="A5259" s="81" t="str">
        <f t="shared" si="0"/>
        <v xml:space="preserve"> </v>
      </c>
      <c r="B5259" s="81" t="str">
        <f t="shared" si="1"/>
        <v xml:space="preserve"> </v>
      </c>
      <c r="C5259" s="79" t="str">
        <f t="shared" si="7"/>
        <v xml:space="preserve"> </v>
      </c>
      <c r="D5259" s="79" t="str">
        <f t="shared" si="5"/>
        <v xml:space="preserve"> </v>
      </c>
      <c r="E5259" s="79" t="str">
        <f t="shared" si="6"/>
        <v xml:space="preserve"> </v>
      </c>
    </row>
    <row r="5260" spans="1:5" ht="12.5">
      <c r="A5260" s="81" t="str">
        <f t="shared" si="0"/>
        <v xml:space="preserve"> </v>
      </c>
      <c r="B5260" s="81" t="str">
        <f t="shared" si="1"/>
        <v xml:space="preserve"> </v>
      </c>
      <c r="C5260" s="79" t="str">
        <f t="shared" si="7"/>
        <v xml:space="preserve"> </v>
      </c>
      <c r="D5260" s="79" t="str">
        <f t="shared" si="5"/>
        <v xml:space="preserve"> </v>
      </c>
      <c r="E5260" s="79" t="str">
        <f t="shared" si="6"/>
        <v xml:space="preserve"> </v>
      </c>
    </row>
    <row r="5261" spans="1:5" ht="12.5">
      <c r="A5261" s="81" t="str">
        <f t="shared" si="0"/>
        <v xml:space="preserve"> </v>
      </c>
      <c r="B5261" s="81" t="str">
        <f t="shared" si="1"/>
        <v xml:space="preserve"> </v>
      </c>
      <c r="C5261" s="79" t="str">
        <f t="shared" si="7"/>
        <v xml:space="preserve"> </v>
      </c>
      <c r="D5261" s="79" t="str">
        <f t="shared" si="5"/>
        <v xml:space="preserve"> </v>
      </c>
      <c r="E5261" s="79" t="str">
        <f t="shared" si="6"/>
        <v xml:space="preserve"> </v>
      </c>
    </row>
    <row r="5262" spans="1:5" ht="12.5">
      <c r="A5262" s="81" t="str">
        <f t="shared" si="0"/>
        <v xml:space="preserve"> </v>
      </c>
      <c r="B5262" s="81" t="str">
        <f t="shared" si="1"/>
        <v xml:space="preserve"> </v>
      </c>
      <c r="C5262" s="79" t="str">
        <f t="shared" si="7"/>
        <v xml:space="preserve"> </v>
      </c>
      <c r="D5262" s="79" t="str">
        <f t="shared" si="5"/>
        <v xml:space="preserve"> </v>
      </c>
      <c r="E5262" s="79" t="str">
        <f t="shared" si="6"/>
        <v xml:space="preserve"> </v>
      </c>
    </row>
    <row r="5263" spans="1:5" ht="12.5">
      <c r="A5263" s="81" t="str">
        <f t="shared" si="0"/>
        <v xml:space="preserve"> </v>
      </c>
      <c r="B5263" s="81" t="str">
        <f t="shared" si="1"/>
        <v xml:space="preserve"> </v>
      </c>
      <c r="C5263" s="79" t="str">
        <f t="shared" si="7"/>
        <v xml:space="preserve"> </v>
      </c>
      <c r="D5263" s="79" t="str">
        <f t="shared" si="5"/>
        <v xml:space="preserve"> </v>
      </c>
      <c r="E5263" s="79" t="str">
        <f t="shared" si="6"/>
        <v xml:space="preserve"> </v>
      </c>
    </row>
    <row r="5264" spans="1:5" ht="12.5">
      <c r="A5264" s="81" t="str">
        <f t="shared" si="0"/>
        <v xml:space="preserve"> </v>
      </c>
      <c r="B5264" s="81" t="str">
        <f t="shared" si="1"/>
        <v xml:space="preserve"> </v>
      </c>
      <c r="C5264" s="79" t="str">
        <f t="shared" si="7"/>
        <v xml:space="preserve"> </v>
      </c>
      <c r="D5264" s="79" t="str">
        <f t="shared" si="5"/>
        <v xml:space="preserve"> </v>
      </c>
      <c r="E5264" s="79" t="str">
        <f t="shared" si="6"/>
        <v xml:space="preserve"> </v>
      </c>
    </row>
    <row r="5265" spans="1:5" ht="12.5">
      <c r="A5265" s="81" t="str">
        <f t="shared" si="0"/>
        <v xml:space="preserve"> </v>
      </c>
      <c r="B5265" s="81" t="str">
        <f t="shared" si="1"/>
        <v xml:space="preserve"> </v>
      </c>
      <c r="C5265" s="79" t="str">
        <f t="shared" si="7"/>
        <v xml:space="preserve"> </v>
      </c>
      <c r="D5265" s="79" t="str">
        <f t="shared" si="5"/>
        <v xml:space="preserve"> </v>
      </c>
      <c r="E5265" s="79" t="str">
        <f t="shared" si="6"/>
        <v xml:space="preserve"> </v>
      </c>
    </row>
    <row r="5266" spans="1:5" ht="12.5">
      <c r="A5266" s="81" t="str">
        <f t="shared" si="0"/>
        <v xml:space="preserve"> </v>
      </c>
      <c r="B5266" s="81" t="str">
        <f t="shared" si="1"/>
        <v xml:space="preserve"> </v>
      </c>
      <c r="C5266" s="79" t="str">
        <f t="shared" si="7"/>
        <v xml:space="preserve"> </v>
      </c>
      <c r="D5266" s="79" t="str">
        <f t="shared" si="5"/>
        <v xml:space="preserve"> </v>
      </c>
      <c r="E5266" s="79" t="str">
        <f t="shared" si="6"/>
        <v xml:space="preserve"> </v>
      </c>
    </row>
    <row r="5267" spans="1:5" ht="12.5">
      <c r="A5267" s="81" t="str">
        <f t="shared" si="0"/>
        <v xml:space="preserve"> </v>
      </c>
      <c r="B5267" s="81" t="str">
        <f t="shared" si="1"/>
        <v xml:space="preserve"> </v>
      </c>
      <c r="C5267" s="79" t="str">
        <f t="shared" si="7"/>
        <v xml:space="preserve"> </v>
      </c>
      <c r="D5267" s="79" t="str">
        <f t="shared" si="5"/>
        <v xml:space="preserve"> </v>
      </c>
      <c r="E5267" s="79" t="str">
        <f t="shared" si="6"/>
        <v xml:space="preserve"> </v>
      </c>
    </row>
    <row r="5268" spans="1:5" ht="12.5">
      <c r="A5268" s="81" t="str">
        <f t="shared" si="0"/>
        <v xml:space="preserve"> </v>
      </c>
      <c r="B5268" s="81" t="str">
        <f t="shared" si="1"/>
        <v xml:space="preserve"> </v>
      </c>
      <c r="C5268" s="79" t="str">
        <f t="shared" si="7"/>
        <v xml:space="preserve"> </v>
      </c>
      <c r="D5268" s="79" t="str">
        <f t="shared" si="5"/>
        <v xml:space="preserve"> </v>
      </c>
      <c r="E5268" s="79" t="str">
        <f t="shared" si="6"/>
        <v xml:space="preserve"> </v>
      </c>
    </row>
    <row r="5269" spans="1:5" ht="12.5">
      <c r="A5269" s="81" t="str">
        <f t="shared" si="0"/>
        <v xml:space="preserve"> </v>
      </c>
      <c r="B5269" s="81" t="str">
        <f t="shared" si="1"/>
        <v xml:space="preserve"> </v>
      </c>
      <c r="C5269" s="79" t="str">
        <f t="shared" si="7"/>
        <v xml:space="preserve"> </v>
      </c>
      <c r="D5269" s="79" t="str">
        <f t="shared" si="5"/>
        <v xml:space="preserve"> </v>
      </c>
      <c r="E5269" s="79" t="str">
        <f t="shared" si="6"/>
        <v xml:space="preserve"> </v>
      </c>
    </row>
    <row r="5270" spans="1:5" ht="12.5">
      <c r="A5270" s="81" t="str">
        <f t="shared" si="0"/>
        <v xml:space="preserve"> </v>
      </c>
      <c r="B5270" s="81" t="str">
        <f t="shared" si="1"/>
        <v xml:space="preserve"> </v>
      </c>
      <c r="C5270" s="79" t="str">
        <f t="shared" si="7"/>
        <v xml:space="preserve"> </v>
      </c>
      <c r="D5270" s="79" t="str">
        <f t="shared" si="5"/>
        <v xml:space="preserve"> </v>
      </c>
      <c r="E5270" s="79" t="str">
        <f t="shared" si="6"/>
        <v xml:space="preserve"> </v>
      </c>
    </row>
    <row r="5271" spans="1:5" ht="12.5">
      <c r="A5271" s="81" t="str">
        <f t="shared" si="0"/>
        <v xml:space="preserve"> </v>
      </c>
      <c r="B5271" s="81" t="str">
        <f t="shared" si="1"/>
        <v xml:space="preserve"> </v>
      </c>
      <c r="C5271" s="79" t="str">
        <f t="shared" si="7"/>
        <v xml:space="preserve"> </v>
      </c>
      <c r="D5271" s="79" t="str">
        <f t="shared" si="5"/>
        <v xml:space="preserve"> </v>
      </c>
      <c r="E5271" s="79" t="str">
        <f t="shared" si="6"/>
        <v xml:space="preserve"> </v>
      </c>
    </row>
    <row r="5272" spans="1:5" ht="12.5">
      <c r="A5272" s="81" t="str">
        <f t="shared" si="0"/>
        <v xml:space="preserve"> </v>
      </c>
      <c r="B5272" s="81" t="str">
        <f t="shared" si="1"/>
        <v xml:space="preserve"> </v>
      </c>
      <c r="C5272" s="79" t="str">
        <f t="shared" si="7"/>
        <v xml:space="preserve"> </v>
      </c>
      <c r="D5272" s="79" t="str">
        <f t="shared" si="5"/>
        <v xml:space="preserve"> </v>
      </c>
      <c r="E5272" s="79" t="str">
        <f t="shared" si="6"/>
        <v xml:space="preserve"> </v>
      </c>
    </row>
    <row r="5273" spans="1:5" ht="12.5">
      <c r="A5273" s="81" t="str">
        <f t="shared" si="0"/>
        <v xml:space="preserve"> </v>
      </c>
      <c r="B5273" s="81" t="str">
        <f t="shared" si="1"/>
        <v xml:space="preserve"> </v>
      </c>
      <c r="C5273" s="79" t="str">
        <f t="shared" si="7"/>
        <v xml:space="preserve"> </v>
      </c>
      <c r="D5273" s="79" t="str">
        <f t="shared" si="5"/>
        <v xml:space="preserve"> </v>
      </c>
      <c r="E5273" s="79" t="str">
        <f t="shared" si="6"/>
        <v xml:space="preserve"> </v>
      </c>
    </row>
    <row r="5274" spans="1:5" ht="12.5">
      <c r="A5274" s="81" t="str">
        <f t="shared" si="0"/>
        <v xml:space="preserve"> </v>
      </c>
      <c r="B5274" s="81" t="str">
        <f t="shared" si="1"/>
        <v xml:space="preserve"> </v>
      </c>
      <c r="C5274" s="79" t="str">
        <f t="shared" si="7"/>
        <v xml:space="preserve"> </v>
      </c>
      <c r="D5274" s="79" t="str">
        <f t="shared" si="5"/>
        <v xml:space="preserve"> </v>
      </c>
      <c r="E5274" s="79" t="str">
        <f t="shared" si="6"/>
        <v xml:space="preserve"> </v>
      </c>
    </row>
    <row r="5275" spans="1:5" ht="12.5">
      <c r="A5275" s="81" t="str">
        <f t="shared" si="0"/>
        <v xml:space="preserve"> </v>
      </c>
      <c r="B5275" s="81" t="str">
        <f t="shared" si="1"/>
        <v xml:space="preserve"> </v>
      </c>
      <c r="C5275" s="79" t="str">
        <f t="shared" si="7"/>
        <v xml:space="preserve"> </v>
      </c>
      <c r="D5275" s="79" t="str">
        <f t="shared" si="5"/>
        <v xml:space="preserve"> </v>
      </c>
      <c r="E5275" s="79" t="str">
        <f t="shared" si="6"/>
        <v xml:space="preserve"> </v>
      </c>
    </row>
    <row r="5276" spans="1:5" ht="12.5">
      <c r="A5276" s="81" t="str">
        <f t="shared" si="0"/>
        <v xml:space="preserve"> </v>
      </c>
      <c r="B5276" s="81" t="str">
        <f t="shared" si="1"/>
        <v xml:space="preserve"> </v>
      </c>
      <c r="C5276" s="79" t="str">
        <f t="shared" si="7"/>
        <v xml:space="preserve"> </v>
      </c>
      <c r="D5276" s="79" t="str">
        <f t="shared" si="5"/>
        <v xml:space="preserve"> </v>
      </c>
      <c r="E5276" s="79" t="str">
        <f t="shared" si="6"/>
        <v xml:space="preserve"> </v>
      </c>
    </row>
    <row r="5277" spans="1:5" ht="12.5">
      <c r="A5277" s="81" t="str">
        <f t="shared" si="0"/>
        <v xml:space="preserve"> </v>
      </c>
      <c r="B5277" s="81" t="str">
        <f t="shared" si="1"/>
        <v xml:space="preserve"> </v>
      </c>
      <c r="C5277" s="79" t="str">
        <f t="shared" si="7"/>
        <v xml:space="preserve"> </v>
      </c>
      <c r="D5277" s="79" t="str">
        <f t="shared" si="5"/>
        <v xml:space="preserve"> </v>
      </c>
      <c r="E5277" s="79" t="str">
        <f t="shared" si="6"/>
        <v xml:space="preserve"> </v>
      </c>
    </row>
    <row r="5278" spans="1:5" ht="12.5">
      <c r="A5278" s="81" t="str">
        <f t="shared" si="0"/>
        <v xml:space="preserve"> </v>
      </c>
      <c r="B5278" s="81" t="str">
        <f t="shared" si="1"/>
        <v xml:space="preserve"> </v>
      </c>
      <c r="C5278" s="79" t="str">
        <f t="shared" si="7"/>
        <v xml:space="preserve"> </v>
      </c>
      <c r="D5278" s="79" t="str">
        <f t="shared" si="5"/>
        <v xml:space="preserve"> </v>
      </c>
      <c r="E5278" s="79" t="str">
        <f t="shared" si="6"/>
        <v xml:space="preserve"> </v>
      </c>
    </row>
    <row r="5279" spans="1:5" ht="12.5">
      <c r="A5279" s="81" t="str">
        <f t="shared" si="0"/>
        <v xml:space="preserve"> </v>
      </c>
      <c r="B5279" s="81" t="str">
        <f t="shared" si="1"/>
        <v xml:space="preserve"> </v>
      </c>
      <c r="C5279" s="79" t="str">
        <f t="shared" si="7"/>
        <v xml:space="preserve"> </v>
      </c>
      <c r="D5279" s="79" t="str">
        <f t="shared" si="5"/>
        <v xml:space="preserve"> </v>
      </c>
      <c r="E5279" s="79" t="str">
        <f t="shared" si="6"/>
        <v xml:space="preserve"> </v>
      </c>
    </row>
    <row r="5280" spans="1:5" ht="12.5">
      <c r="A5280" s="81" t="str">
        <f t="shared" si="0"/>
        <v xml:space="preserve"> </v>
      </c>
      <c r="B5280" s="81" t="str">
        <f t="shared" si="1"/>
        <v xml:space="preserve"> </v>
      </c>
      <c r="C5280" s="79" t="str">
        <f t="shared" si="7"/>
        <v xml:space="preserve"> </v>
      </c>
      <c r="D5280" s="79" t="str">
        <f t="shared" si="5"/>
        <v xml:space="preserve"> </v>
      </c>
      <c r="E5280" s="79" t="str">
        <f t="shared" si="6"/>
        <v xml:space="preserve"> </v>
      </c>
    </row>
    <row r="5281" spans="1:5" ht="12.5">
      <c r="A5281" s="81" t="str">
        <f t="shared" si="0"/>
        <v xml:space="preserve"> </v>
      </c>
      <c r="B5281" s="81" t="str">
        <f t="shared" si="1"/>
        <v xml:space="preserve"> </v>
      </c>
      <c r="C5281" s="79" t="str">
        <f t="shared" si="7"/>
        <v xml:space="preserve"> </v>
      </c>
      <c r="D5281" s="79" t="str">
        <f t="shared" si="5"/>
        <v xml:space="preserve"> </v>
      </c>
      <c r="E5281" s="79" t="str">
        <f t="shared" si="6"/>
        <v xml:space="preserve"> </v>
      </c>
    </row>
    <row r="5282" spans="1:5" ht="12.5">
      <c r="A5282" s="81" t="str">
        <f t="shared" si="0"/>
        <v xml:space="preserve"> </v>
      </c>
      <c r="B5282" s="81" t="str">
        <f t="shared" si="1"/>
        <v xml:space="preserve"> </v>
      </c>
      <c r="C5282" s="79" t="str">
        <f t="shared" si="7"/>
        <v xml:space="preserve"> </v>
      </c>
      <c r="D5282" s="79" t="str">
        <f t="shared" si="5"/>
        <v xml:space="preserve"> </v>
      </c>
      <c r="E5282" s="79" t="str">
        <f t="shared" si="6"/>
        <v xml:space="preserve"> </v>
      </c>
    </row>
    <row r="5283" spans="1:5" ht="12.5">
      <c r="A5283" s="81" t="str">
        <f t="shared" si="0"/>
        <v xml:space="preserve"> </v>
      </c>
      <c r="B5283" s="81" t="str">
        <f t="shared" si="1"/>
        <v xml:space="preserve"> </v>
      </c>
      <c r="C5283" s="79" t="str">
        <f t="shared" si="7"/>
        <v xml:space="preserve"> </v>
      </c>
      <c r="D5283" s="79" t="str">
        <f t="shared" si="5"/>
        <v xml:space="preserve"> </v>
      </c>
      <c r="E5283" s="79" t="str">
        <f t="shared" si="6"/>
        <v xml:space="preserve"> </v>
      </c>
    </row>
    <row r="5284" spans="1:5" ht="12.5">
      <c r="A5284" s="81" t="str">
        <f t="shared" si="0"/>
        <v xml:space="preserve"> </v>
      </c>
      <c r="B5284" s="81" t="str">
        <f t="shared" si="1"/>
        <v xml:space="preserve"> </v>
      </c>
      <c r="C5284" s="79" t="str">
        <f t="shared" si="7"/>
        <v xml:space="preserve"> </v>
      </c>
      <c r="D5284" s="79" t="str">
        <f t="shared" si="5"/>
        <v xml:space="preserve"> </v>
      </c>
      <c r="E5284" s="79" t="str">
        <f t="shared" si="6"/>
        <v xml:space="preserve"> </v>
      </c>
    </row>
    <row r="5285" spans="1:5" ht="12.5">
      <c r="A5285" s="81" t="str">
        <f t="shared" si="0"/>
        <v xml:space="preserve"> </v>
      </c>
      <c r="B5285" s="81" t="str">
        <f t="shared" si="1"/>
        <v xml:space="preserve"> </v>
      </c>
      <c r="C5285" s="79" t="str">
        <f t="shared" si="7"/>
        <v xml:space="preserve"> </v>
      </c>
      <c r="D5285" s="79" t="str">
        <f t="shared" si="5"/>
        <v xml:space="preserve"> </v>
      </c>
      <c r="E5285" s="79" t="str">
        <f t="shared" si="6"/>
        <v xml:space="preserve"> </v>
      </c>
    </row>
    <row r="5286" spans="1:5" ht="12.5">
      <c r="A5286" s="81" t="str">
        <f t="shared" si="0"/>
        <v xml:space="preserve"> </v>
      </c>
      <c r="B5286" s="81" t="str">
        <f t="shared" si="1"/>
        <v xml:space="preserve"> </v>
      </c>
      <c r="C5286" s="79" t="str">
        <f t="shared" si="7"/>
        <v xml:space="preserve"> </v>
      </c>
      <c r="D5286" s="79" t="str">
        <f t="shared" si="5"/>
        <v xml:space="preserve"> </v>
      </c>
      <c r="E5286" s="79" t="str">
        <f t="shared" si="6"/>
        <v xml:space="preserve"> </v>
      </c>
    </row>
    <row r="5287" spans="1:5" ht="12.5">
      <c r="A5287" s="81" t="str">
        <f t="shared" si="0"/>
        <v xml:space="preserve"> </v>
      </c>
      <c r="B5287" s="81" t="str">
        <f t="shared" si="1"/>
        <v xml:space="preserve"> </v>
      </c>
      <c r="C5287" s="79" t="str">
        <f t="shared" si="7"/>
        <v xml:space="preserve"> </v>
      </c>
      <c r="D5287" s="79" t="str">
        <f t="shared" si="5"/>
        <v xml:space="preserve"> </v>
      </c>
      <c r="E5287" s="79" t="str">
        <f t="shared" si="6"/>
        <v xml:space="preserve"> </v>
      </c>
    </row>
    <row r="5288" spans="1:5" ht="12.5">
      <c r="A5288" s="81" t="str">
        <f t="shared" si="0"/>
        <v xml:space="preserve"> </v>
      </c>
      <c r="B5288" s="81" t="str">
        <f t="shared" si="1"/>
        <v xml:space="preserve"> </v>
      </c>
      <c r="C5288" s="79" t="str">
        <f t="shared" si="7"/>
        <v xml:space="preserve"> </v>
      </c>
      <c r="D5288" s="79" t="str">
        <f t="shared" si="5"/>
        <v xml:space="preserve"> </v>
      </c>
      <c r="E5288" s="79" t="str">
        <f t="shared" si="6"/>
        <v xml:space="preserve"> </v>
      </c>
    </row>
    <row r="5289" spans="1:5" ht="12.5">
      <c r="A5289" s="81" t="str">
        <f t="shared" si="0"/>
        <v xml:space="preserve"> </v>
      </c>
      <c r="B5289" s="81" t="str">
        <f t="shared" si="1"/>
        <v xml:space="preserve"> </v>
      </c>
      <c r="C5289" s="79" t="str">
        <f t="shared" si="7"/>
        <v xml:space="preserve"> </v>
      </c>
      <c r="D5289" s="79" t="str">
        <f t="shared" si="5"/>
        <v xml:space="preserve"> </v>
      </c>
      <c r="E5289" s="79" t="str">
        <f t="shared" si="6"/>
        <v xml:space="preserve"> </v>
      </c>
    </row>
    <row r="5290" spans="1:5" ht="12.5">
      <c r="A5290" s="81" t="str">
        <f t="shared" si="0"/>
        <v xml:space="preserve"> </v>
      </c>
      <c r="B5290" s="81" t="str">
        <f t="shared" si="1"/>
        <v xml:space="preserve"> </v>
      </c>
      <c r="C5290" s="79" t="str">
        <f t="shared" si="7"/>
        <v xml:space="preserve"> </v>
      </c>
      <c r="D5290" s="79" t="str">
        <f t="shared" si="5"/>
        <v xml:space="preserve"> </v>
      </c>
      <c r="E5290" s="79" t="str">
        <f t="shared" si="6"/>
        <v xml:space="preserve"> </v>
      </c>
    </row>
    <row r="5291" spans="1:5" ht="12.5">
      <c r="A5291" s="81" t="str">
        <f t="shared" si="0"/>
        <v xml:space="preserve"> </v>
      </c>
      <c r="B5291" s="81" t="str">
        <f t="shared" si="1"/>
        <v xml:space="preserve"> </v>
      </c>
      <c r="C5291" s="79" t="str">
        <f t="shared" si="7"/>
        <v xml:space="preserve"> </v>
      </c>
      <c r="D5291" s="79" t="str">
        <f t="shared" si="5"/>
        <v xml:space="preserve"> </v>
      </c>
      <c r="E5291" s="79" t="str">
        <f t="shared" si="6"/>
        <v xml:space="preserve"> </v>
      </c>
    </row>
    <row r="5292" spans="1:5" ht="12.5">
      <c r="A5292" s="81" t="str">
        <f t="shared" si="0"/>
        <v xml:space="preserve"> </v>
      </c>
      <c r="B5292" s="81" t="str">
        <f t="shared" si="1"/>
        <v xml:space="preserve"> </v>
      </c>
      <c r="C5292" s="79" t="str">
        <f t="shared" si="7"/>
        <v xml:space="preserve"> </v>
      </c>
      <c r="D5292" s="79" t="str">
        <f t="shared" si="5"/>
        <v xml:space="preserve"> </v>
      </c>
      <c r="E5292" s="79" t="str">
        <f t="shared" si="6"/>
        <v xml:space="preserve"> </v>
      </c>
    </row>
    <row r="5293" spans="1:5" ht="12.5">
      <c r="A5293" s="81" t="str">
        <f t="shared" si="0"/>
        <v xml:space="preserve"> </v>
      </c>
      <c r="B5293" s="81" t="str">
        <f t="shared" si="1"/>
        <v xml:space="preserve"> </v>
      </c>
      <c r="C5293" s="79" t="str">
        <f t="shared" si="7"/>
        <v xml:space="preserve"> </v>
      </c>
      <c r="D5293" s="79" t="str">
        <f t="shared" si="5"/>
        <v xml:space="preserve"> </v>
      </c>
      <c r="E5293" s="79" t="str">
        <f t="shared" si="6"/>
        <v xml:space="preserve"> </v>
      </c>
    </row>
    <row r="5294" spans="1:5" ht="12.5">
      <c r="A5294" s="81" t="str">
        <f t="shared" si="0"/>
        <v xml:space="preserve"> </v>
      </c>
      <c r="B5294" s="81" t="str">
        <f t="shared" si="1"/>
        <v xml:space="preserve"> </v>
      </c>
      <c r="C5294" s="79" t="str">
        <f t="shared" si="7"/>
        <v xml:space="preserve"> </v>
      </c>
      <c r="D5294" s="79" t="str">
        <f t="shared" si="5"/>
        <v xml:space="preserve"> </v>
      </c>
      <c r="E5294" s="79" t="str">
        <f t="shared" si="6"/>
        <v xml:space="preserve"> </v>
      </c>
    </row>
    <row r="5295" spans="1:5" ht="12.5">
      <c r="A5295" s="81" t="str">
        <f t="shared" si="0"/>
        <v xml:space="preserve"> </v>
      </c>
      <c r="B5295" s="81" t="str">
        <f t="shared" si="1"/>
        <v xml:space="preserve"> </v>
      </c>
      <c r="C5295" s="79" t="str">
        <f t="shared" si="7"/>
        <v xml:space="preserve"> </v>
      </c>
      <c r="D5295" s="79" t="str">
        <f t="shared" si="5"/>
        <v xml:space="preserve"> </v>
      </c>
      <c r="E5295" s="79" t="str">
        <f t="shared" si="6"/>
        <v xml:space="preserve"> </v>
      </c>
    </row>
    <row r="5296" spans="1:5" ht="12.5">
      <c r="A5296" s="81" t="str">
        <f t="shared" si="0"/>
        <v xml:space="preserve"> </v>
      </c>
      <c r="B5296" s="81" t="str">
        <f t="shared" si="1"/>
        <v xml:space="preserve"> </v>
      </c>
      <c r="C5296" s="79" t="str">
        <f t="shared" si="7"/>
        <v xml:space="preserve"> </v>
      </c>
      <c r="D5296" s="79" t="str">
        <f t="shared" si="5"/>
        <v xml:space="preserve"> </v>
      </c>
      <c r="E5296" s="79" t="str">
        <f t="shared" si="6"/>
        <v xml:space="preserve"> </v>
      </c>
    </row>
    <row r="5297" spans="1:5" ht="12.5">
      <c r="A5297" s="81" t="str">
        <f t="shared" si="0"/>
        <v xml:space="preserve"> </v>
      </c>
      <c r="B5297" s="81" t="str">
        <f t="shared" si="1"/>
        <v xml:space="preserve"> </v>
      </c>
      <c r="C5297" s="79" t="str">
        <f t="shared" si="7"/>
        <v xml:space="preserve"> </v>
      </c>
      <c r="D5297" s="79" t="str">
        <f t="shared" si="5"/>
        <v xml:space="preserve"> </v>
      </c>
      <c r="E5297" s="79" t="str">
        <f t="shared" si="6"/>
        <v xml:space="preserve"> </v>
      </c>
    </row>
    <row r="5298" spans="1:5" ht="12.5">
      <c r="A5298" s="81" t="str">
        <f t="shared" si="0"/>
        <v xml:space="preserve"> </v>
      </c>
      <c r="B5298" s="81" t="str">
        <f t="shared" si="1"/>
        <v xml:space="preserve"> </v>
      </c>
      <c r="C5298" s="79" t="str">
        <f t="shared" si="7"/>
        <v xml:space="preserve"> </v>
      </c>
      <c r="D5298" s="79" t="str">
        <f t="shared" si="5"/>
        <v xml:space="preserve"> </v>
      </c>
      <c r="E5298" s="79" t="str">
        <f t="shared" si="6"/>
        <v xml:space="preserve"> </v>
      </c>
    </row>
    <row r="5299" spans="1:5" ht="12.5">
      <c r="A5299" s="81" t="str">
        <f t="shared" si="0"/>
        <v xml:space="preserve"> </v>
      </c>
      <c r="B5299" s="81" t="str">
        <f t="shared" si="1"/>
        <v xml:space="preserve"> </v>
      </c>
      <c r="C5299" s="79" t="str">
        <f t="shared" si="7"/>
        <v xml:space="preserve"> </v>
      </c>
      <c r="D5299" s="79" t="str">
        <f t="shared" si="5"/>
        <v xml:space="preserve"> </v>
      </c>
      <c r="E5299" s="79" t="str">
        <f t="shared" si="6"/>
        <v xml:space="preserve"> </v>
      </c>
    </row>
    <row r="5300" spans="1:5" ht="12.5">
      <c r="A5300" s="81" t="str">
        <f t="shared" si="0"/>
        <v xml:space="preserve"> </v>
      </c>
      <c r="B5300" s="81" t="str">
        <f t="shared" si="1"/>
        <v xml:space="preserve"> </v>
      </c>
      <c r="C5300" s="79" t="str">
        <f t="shared" si="7"/>
        <v xml:space="preserve"> </v>
      </c>
      <c r="D5300" s="79" t="str">
        <f t="shared" si="5"/>
        <v xml:space="preserve"> </v>
      </c>
      <c r="E5300" s="79" t="str">
        <f t="shared" si="6"/>
        <v xml:space="preserve"> </v>
      </c>
    </row>
    <row r="5301" spans="1:5" ht="12.5">
      <c r="A5301" s="81" t="str">
        <f t="shared" si="0"/>
        <v xml:space="preserve"> </v>
      </c>
      <c r="B5301" s="81" t="str">
        <f t="shared" si="1"/>
        <v xml:space="preserve"> </v>
      </c>
      <c r="C5301" s="79" t="str">
        <f t="shared" si="7"/>
        <v xml:space="preserve"> </v>
      </c>
      <c r="D5301" s="79" t="str">
        <f t="shared" si="5"/>
        <v xml:space="preserve"> </v>
      </c>
      <c r="E5301" s="79" t="str">
        <f t="shared" si="6"/>
        <v xml:space="preserve"> </v>
      </c>
    </row>
    <row r="5302" spans="1:5" ht="12.5">
      <c r="A5302" s="81" t="str">
        <f t="shared" si="0"/>
        <v xml:space="preserve"> </v>
      </c>
      <c r="B5302" s="81" t="str">
        <f t="shared" si="1"/>
        <v xml:space="preserve"> </v>
      </c>
      <c r="C5302" s="79" t="str">
        <f t="shared" si="7"/>
        <v xml:space="preserve"> </v>
      </c>
      <c r="D5302" s="79" t="str">
        <f t="shared" si="5"/>
        <v xml:space="preserve"> </v>
      </c>
      <c r="E5302" s="79" t="str">
        <f t="shared" si="6"/>
        <v xml:space="preserve"> </v>
      </c>
    </row>
    <row r="5303" spans="1:5" ht="12.5">
      <c r="A5303" s="81" t="str">
        <f t="shared" si="0"/>
        <v xml:space="preserve"> </v>
      </c>
      <c r="B5303" s="81" t="str">
        <f t="shared" si="1"/>
        <v xml:space="preserve"> </v>
      </c>
      <c r="C5303" s="79" t="str">
        <f t="shared" si="7"/>
        <v xml:space="preserve"> </v>
      </c>
      <c r="D5303" s="79" t="str">
        <f t="shared" si="5"/>
        <v xml:space="preserve"> </v>
      </c>
      <c r="E5303" s="79" t="str">
        <f t="shared" si="6"/>
        <v xml:space="preserve"> </v>
      </c>
    </row>
    <row r="5304" spans="1:5" ht="12.5">
      <c r="A5304" s="81" t="str">
        <f t="shared" si="0"/>
        <v xml:space="preserve"> </v>
      </c>
      <c r="B5304" s="81" t="str">
        <f t="shared" si="1"/>
        <v xml:space="preserve"> </v>
      </c>
      <c r="C5304" s="79" t="str">
        <f t="shared" si="7"/>
        <v xml:space="preserve"> </v>
      </c>
      <c r="D5304" s="79" t="str">
        <f t="shared" si="5"/>
        <v xml:space="preserve"> </v>
      </c>
      <c r="E5304" s="79" t="str">
        <f t="shared" si="6"/>
        <v xml:space="preserve"> </v>
      </c>
    </row>
    <row r="5305" spans="1:5" ht="12.5">
      <c r="A5305" s="81" t="str">
        <f t="shared" si="0"/>
        <v xml:space="preserve"> </v>
      </c>
      <c r="B5305" s="81" t="str">
        <f t="shared" si="1"/>
        <v xml:space="preserve"> </v>
      </c>
      <c r="C5305" s="79" t="str">
        <f t="shared" si="7"/>
        <v xml:space="preserve"> </v>
      </c>
      <c r="D5305" s="79" t="str">
        <f t="shared" si="5"/>
        <v xml:space="preserve"> </v>
      </c>
      <c r="E5305" s="79" t="str">
        <f t="shared" si="6"/>
        <v xml:space="preserve"> </v>
      </c>
    </row>
    <row r="5306" spans="1:5" ht="12.5">
      <c r="A5306" s="81" t="str">
        <f t="shared" si="0"/>
        <v xml:space="preserve"> </v>
      </c>
      <c r="B5306" s="81" t="str">
        <f t="shared" si="1"/>
        <v xml:space="preserve"> </v>
      </c>
      <c r="C5306" s="79" t="str">
        <f t="shared" si="7"/>
        <v xml:space="preserve"> </v>
      </c>
      <c r="D5306" s="79" t="str">
        <f t="shared" si="5"/>
        <v xml:space="preserve"> </v>
      </c>
      <c r="E5306" s="79" t="str">
        <f t="shared" si="6"/>
        <v xml:space="preserve"> </v>
      </c>
    </row>
    <row r="5307" spans="1:5" ht="12.5">
      <c r="A5307" s="81" t="str">
        <f t="shared" si="0"/>
        <v xml:space="preserve"> </v>
      </c>
      <c r="B5307" s="81" t="str">
        <f t="shared" si="1"/>
        <v xml:space="preserve"> </v>
      </c>
      <c r="C5307" s="79" t="str">
        <f t="shared" si="7"/>
        <v xml:space="preserve"> </v>
      </c>
      <c r="D5307" s="79" t="str">
        <f t="shared" si="5"/>
        <v xml:space="preserve"> </v>
      </c>
      <c r="E5307" s="79" t="str">
        <f t="shared" si="6"/>
        <v xml:space="preserve"> </v>
      </c>
    </row>
    <row r="5308" spans="1:5" ht="12.5">
      <c r="A5308" s="81" t="str">
        <f t="shared" si="0"/>
        <v xml:space="preserve"> </v>
      </c>
      <c r="B5308" s="81" t="str">
        <f t="shared" si="1"/>
        <v xml:space="preserve"> </v>
      </c>
      <c r="C5308" s="79" t="str">
        <f t="shared" si="7"/>
        <v xml:space="preserve"> </v>
      </c>
      <c r="D5308" s="79" t="str">
        <f t="shared" si="5"/>
        <v xml:space="preserve"> </v>
      </c>
      <c r="E5308" s="79" t="str">
        <f t="shared" si="6"/>
        <v xml:space="preserve"> </v>
      </c>
    </row>
    <row r="5309" spans="1:5" ht="12.5">
      <c r="A5309" s="81" t="str">
        <f t="shared" si="0"/>
        <v xml:space="preserve"> </v>
      </c>
      <c r="B5309" s="81" t="str">
        <f t="shared" si="1"/>
        <v xml:space="preserve"> </v>
      </c>
      <c r="C5309" s="79" t="str">
        <f t="shared" si="7"/>
        <v xml:space="preserve"> </v>
      </c>
      <c r="D5309" s="79" t="str">
        <f t="shared" si="5"/>
        <v xml:space="preserve"> </v>
      </c>
      <c r="E5309" s="79" t="str">
        <f t="shared" si="6"/>
        <v xml:space="preserve"> </v>
      </c>
    </row>
    <row r="5310" spans="1:5" ht="12.5">
      <c r="A5310" s="81" t="str">
        <f t="shared" si="0"/>
        <v xml:space="preserve"> </v>
      </c>
      <c r="B5310" s="81" t="str">
        <f t="shared" si="1"/>
        <v xml:space="preserve"> </v>
      </c>
      <c r="C5310" s="79" t="str">
        <f t="shared" si="7"/>
        <v xml:space="preserve"> </v>
      </c>
      <c r="D5310" s="79" t="str">
        <f t="shared" si="5"/>
        <v xml:space="preserve"> </v>
      </c>
      <c r="E5310" s="79" t="str">
        <f t="shared" si="6"/>
        <v xml:space="preserve"> </v>
      </c>
    </row>
    <row r="5311" spans="1:5" ht="12.5">
      <c r="A5311" s="81" t="str">
        <f t="shared" si="0"/>
        <v xml:space="preserve"> </v>
      </c>
      <c r="B5311" s="81" t="str">
        <f t="shared" si="1"/>
        <v xml:space="preserve"> </v>
      </c>
      <c r="C5311" s="79" t="str">
        <f t="shared" si="7"/>
        <v xml:space="preserve"> </v>
      </c>
      <c r="D5311" s="79" t="str">
        <f t="shared" si="5"/>
        <v xml:space="preserve"> </v>
      </c>
      <c r="E5311" s="79" t="str">
        <f t="shared" si="6"/>
        <v xml:space="preserve"> </v>
      </c>
    </row>
    <row r="5312" spans="1:5" ht="12.5">
      <c r="A5312" s="81" t="str">
        <f t="shared" si="0"/>
        <v xml:space="preserve"> </v>
      </c>
      <c r="B5312" s="81" t="str">
        <f t="shared" si="1"/>
        <v xml:space="preserve"> </v>
      </c>
      <c r="C5312" s="79" t="str">
        <f t="shared" si="7"/>
        <v xml:space="preserve"> </v>
      </c>
      <c r="D5312" s="79" t="str">
        <f t="shared" si="5"/>
        <v xml:space="preserve"> </v>
      </c>
      <c r="E5312" s="79" t="str">
        <f t="shared" si="6"/>
        <v xml:space="preserve"> </v>
      </c>
    </row>
    <row r="5313" spans="1:5" ht="12.5">
      <c r="A5313" s="81" t="str">
        <f t="shared" si="0"/>
        <v xml:space="preserve"> </v>
      </c>
      <c r="B5313" s="81" t="str">
        <f t="shared" si="1"/>
        <v xml:space="preserve"> </v>
      </c>
      <c r="C5313" s="79" t="str">
        <f t="shared" si="7"/>
        <v xml:space="preserve"> </v>
      </c>
      <c r="D5313" s="79" t="str">
        <f t="shared" si="5"/>
        <v xml:space="preserve"> </v>
      </c>
      <c r="E5313" s="79" t="str">
        <f t="shared" si="6"/>
        <v xml:space="preserve"> </v>
      </c>
    </row>
    <row r="5314" spans="1:5" ht="12.5">
      <c r="A5314" s="81" t="str">
        <f t="shared" si="0"/>
        <v xml:space="preserve"> </v>
      </c>
      <c r="B5314" s="81" t="str">
        <f t="shared" si="1"/>
        <v xml:space="preserve"> </v>
      </c>
      <c r="C5314" s="79" t="str">
        <f t="shared" si="7"/>
        <v xml:space="preserve"> </v>
      </c>
      <c r="D5314" s="79" t="str">
        <f t="shared" si="5"/>
        <v xml:space="preserve"> </v>
      </c>
      <c r="E5314" s="79" t="str">
        <f t="shared" si="6"/>
        <v xml:space="preserve"> </v>
      </c>
    </row>
    <row r="5315" spans="1:5" ht="12.5">
      <c r="A5315" s="81" t="str">
        <f t="shared" si="0"/>
        <v xml:space="preserve"> </v>
      </c>
      <c r="B5315" s="81" t="str">
        <f t="shared" si="1"/>
        <v xml:space="preserve"> </v>
      </c>
      <c r="C5315" s="79" t="str">
        <f t="shared" si="7"/>
        <v xml:space="preserve"> </v>
      </c>
      <c r="D5315" s="79" t="str">
        <f t="shared" si="5"/>
        <v xml:space="preserve"> </v>
      </c>
      <c r="E5315" s="79" t="str">
        <f t="shared" si="6"/>
        <v xml:space="preserve"> </v>
      </c>
    </row>
    <row r="5316" spans="1:5" ht="12.5">
      <c r="A5316" s="81" t="str">
        <f t="shared" si="0"/>
        <v xml:space="preserve"> </v>
      </c>
      <c r="B5316" s="81" t="str">
        <f t="shared" si="1"/>
        <v xml:space="preserve"> </v>
      </c>
      <c r="C5316" s="79" t="str">
        <f t="shared" si="7"/>
        <v xml:space="preserve"> </v>
      </c>
      <c r="D5316" s="79" t="str">
        <f t="shared" si="5"/>
        <v xml:space="preserve"> </v>
      </c>
      <c r="E5316" s="79" t="str">
        <f t="shared" si="6"/>
        <v xml:space="preserve"> </v>
      </c>
    </row>
    <row r="5317" spans="1:5" ht="12.5">
      <c r="A5317" s="81" t="str">
        <f t="shared" si="0"/>
        <v xml:space="preserve"> </v>
      </c>
      <c r="B5317" s="81" t="str">
        <f t="shared" si="1"/>
        <v xml:space="preserve"> </v>
      </c>
      <c r="C5317" s="79" t="str">
        <f t="shared" si="7"/>
        <v xml:space="preserve"> </v>
      </c>
      <c r="D5317" s="79" t="str">
        <f t="shared" si="5"/>
        <v xml:space="preserve"> </v>
      </c>
      <c r="E5317" s="79" t="str">
        <f t="shared" si="6"/>
        <v xml:space="preserve"> </v>
      </c>
    </row>
    <row r="5318" spans="1:5" ht="12.5">
      <c r="A5318" s="81" t="str">
        <f t="shared" si="0"/>
        <v xml:space="preserve"> </v>
      </c>
      <c r="B5318" s="81" t="str">
        <f t="shared" si="1"/>
        <v xml:space="preserve"> </v>
      </c>
      <c r="C5318" s="79" t="str">
        <f t="shared" si="7"/>
        <v xml:space="preserve"> </v>
      </c>
      <c r="D5318" s="79" t="str">
        <f t="shared" si="5"/>
        <v xml:space="preserve"> </v>
      </c>
      <c r="E5318" s="79" t="str">
        <f t="shared" si="6"/>
        <v xml:space="preserve"> </v>
      </c>
    </row>
    <row r="5319" spans="1:5" ht="12.5">
      <c r="A5319" s="81" t="str">
        <f t="shared" si="0"/>
        <v xml:space="preserve"> </v>
      </c>
      <c r="B5319" s="81" t="str">
        <f t="shared" si="1"/>
        <v xml:space="preserve"> </v>
      </c>
      <c r="C5319" s="79" t="str">
        <f t="shared" si="7"/>
        <v xml:space="preserve"> </v>
      </c>
      <c r="D5319" s="79" t="str">
        <f t="shared" si="5"/>
        <v xml:space="preserve"> </v>
      </c>
      <c r="E5319" s="79" t="str">
        <f t="shared" si="6"/>
        <v xml:space="preserve"> </v>
      </c>
    </row>
    <row r="5320" spans="1:5" ht="12.5">
      <c r="A5320" s="81" t="str">
        <f t="shared" si="0"/>
        <v xml:space="preserve"> </v>
      </c>
      <c r="B5320" s="81" t="str">
        <f t="shared" si="1"/>
        <v xml:space="preserve"> </v>
      </c>
      <c r="C5320" s="79" t="str">
        <f t="shared" si="7"/>
        <v xml:space="preserve"> </v>
      </c>
      <c r="D5320" s="79" t="str">
        <f t="shared" si="5"/>
        <v xml:space="preserve"> </v>
      </c>
      <c r="E5320" s="79" t="str">
        <f t="shared" si="6"/>
        <v xml:space="preserve"> </v>
      </c>
    </row>
    <row r="5321" spans="1:5" ht="12.5">
      <c r="A5321" s="81" t="str">
        <f t="shared" si="0"/>
        <v xml:space="preserve"> </v>
      </c>
      <c r="B5321" s="81" t="str">
        <f t="shared" si="1"/>
        <v xml:space="preserve"> </v>
      </c>
      <c r="C5321" s="79" t="str">
        <f t="shared" si="7"/>
        <v xml:space="preserve"> </v>
      </c>
      <c r="D5321" s="79" t="str">
        <f t="shared" si="5"/>
        <v xml:space="preserve"> </v>
      </c>
      <c r="E5321" s="79" t="str">
        <f t="shared" si="6"/>
        <v xml:space="preserve"> </v>
      </c>
    </row>
    <row r="5322" spans="1:5" ht="12.5">
      <c r="A5322" s="81" t="str">
        <f t="shared" si="0"/>
        <v xml:space="preserve"> </v>
      </c>
      <c r="B5322" s="81" t="str">
        <f t="shared" si="1"/>
        <v xml:space="preserve"> </v>
      </c>
      <c r="C5322" s="79" t="str">
        <f t="shared" si="7"/>
        <v xml:space="preserve"> </v>
      </c>
      <c r="D5322" s="79" t="str">
        <f t="shared" si="5"/>
        <v xml:space="preserve"> </v>
      </c>
      <c r="E5322" s="79" t="str">
        <f t="shared" si="6"/>
        <v xml:space="preserve"> </v>
      </c>
    </row>
    <row r="5323" spans="1:5" ht="12.5">
      <c r="A5323" s="81" t="str">
        <f t="shared" si="0"/>
        <v xml:space="preserve"> </v>
      </c>
      <c r="B5323" s="81" t="str">
        <f t="shared" si="1"/>
        <v xml:space="preserve"> </v>
      </c>
      <c r="C5323" s="79" t="str">
        <f t="shared" si="7"/>
        <v xml:space="preserve"> </v>
      </c>
      <c r="D5323" s="79" t="str">
        <f t="shared" si="5"/>
        <v xml:space="preserve"> </v>
      </c>
      <c r="E5323" s="79" t="str">
        <f t="shared" si="6"/>
        <v xml:space="preserve"> </v>
      </c>
    </row>
    <row r="5324" spans="1:5" ht="12.5">
      <c r="A5324" s="81" t="str">
        <f t="shared" si="0"/>
        <v xml:space="preserve"> </v>
      </c>
      <c r="B5324" s="81" t="str">
        <f t="shared" si="1"/>
        <v xml:space="preserve"> </v>
      </c>
      <c r="C5324" s="79" t="str">
        <f t="shared" si="7"/>
        <v xml:space="preserve"> </v>
      </c>
      <c r="D5324" s="79" t="str">
        <f t="shared" si="5"/>
        <v xml:space="preserve"> </v>
      </c>
      <c r="E5324" s="79" t="str">
        <f t="shared" si="6"/>
        <v xml:space="preserve"> </v>
      </c>
    </row>
    <row r="5325" spans="1:5" ht="12.5">
      <c r="A5325" s="81" t="str">
        <f t="shared" si="0"/>
        <v xml:space="preserve"> </v>
      </c>
      <c r="B5325" s="81" t="str">
        <f t="shared" si="1"/>
        <v xml:space="preserve"> </v>
      </c>
      <c r="C5325" s="79" t="str">
        <f t="shared" si="7"/>
        <v xml:space="preserve"> </v>
      </c>
      <c r="D5325" s="79" t="str">
        <f t="shared" si="5"/>
        <v xml:space="preserve"> </v>
      </c>
      <c r="E5325" s="79" t="str">
        <f t="shared" si="6"/>
        <v xml:space="preserve"> </v>
      </c>
    </row>
    <row r="5326" spans="1:5" ht="12.5">
      <c r="A5326" s="81" t="str">
        <f t="shared" si="0"/>
        <v xml:space="preserve"> </v>
      </c>
      <c r="B5326" s="81" t="str">
        <f t="shared" si="1"/>
        <v xml:space="preserve"> </v>
      </c>
      <c r="C5326" s="79" t="str">
        <f t="shared" si="7"/>
        <v xml:space="preserve"> </v>
      </c>
      <c r="D5326" s="79" t="str">
        <f t="shared" si="5"/>
        <v xml:space="preserve"> </v>
      </c>
      <c r="E5326" s="79" t="str">
        <f t="shared" si="6"/>
        <v xml:space="preserve"> </v>
      </c>
    </row>
    <row r="5327" spans="1:5" ht="12.5">
      <c r="A5327" s="81" t="str">
        <f t="shared" si="0"/>
        <v xml:space="preserve"> </v>
      </c>
      <c r="B5327" s="81" t="str">
        <f t="shared" si="1"/>
        <v xml:space="preserve"> </v>
      </c>
      <c r="C5327" s="79" t="str">
        <f t="shared" si="7"/>
        <v xml:space="preserve"> </v>
      </c>
      <c r="D5327" s="79" t="str">
        <f t="shared" si="5"/>
        <v xml:space="preserve"> </v>
      </c>
      <c r="E5327" s="79" t="str">
        <f t="shared" si="6"/>
        <v xml:space="preserve"> </v>
      </c>
    </row>
    <row r="5328" spans="1:5" ht="12.5">
      <c r="A5328" s="81" t="str">
        <f t="shared" si="0"/>
        <v xml:space="preserve"> </v>
      </c>
      <c r="B5328" s="81" t="str">
        <f t="shared" si="1"/>
        <v xml:space="preserve"> </v>
      </c>
      <c r="C5328" s="79" t="str">
        <f t="shared" si="7"/>
        <v xml:space="preserve"> </v>
      </c>
      <c r="D5328" s="79" t="str">
        <f t="shared" si="5"/>
        <v xml:space="preserve"> </v>
      </c>
      <c r="E5328" s="79" t="str">
        <f t="shared" si="6"/>
        <v xml:space="preserve"> </v>
      </c>
    </row>
    <row r="5329" spans="1:5" ht="12.5">
      <c r="A5329" s="81" t="str">
        <f t="shared" si="0"/>
        <v xml:space="preserve"> </v>
      </c>
      <c r="B5329" s="81" t="str">
        <f t="shared" si="1"/>
        <v xml:space="preserve"> </v>
      </c>
      <c r="C5329" s="79" t="str">
        <f t="shared" si="7"/>
        <v xml:space="preserve"> </v>
      </c>
      <c r="D5329" s="79" t="str">
        <f t="shared" si="5"/>
        <v xml:space="preserve"> </v>
      </c>
      <c r="E5329" s="79" t="str">
        <f t="shared" si="6"/>
        <v xml:space="preserve"> </v>
      </c>
    </row>
    <row r="5330" spans="1:5" ht="12.5">
      <c r="A5330" s="81" t="str">
        <f t="shared" si="0"/>
        <v xml:space="preserve"> </v>
      </c>
      <c r="B5330" s="81" t="str">
        <f t="shared" si="1"/>
        <v xml:space="preserve"> </v>
      </c>
      <c r="C5330" s="79" t="str">
        <f t="shared" si="7"/>
        <v xml:space="preserve"> </v>
      </c>
      <c r="D5330" s="79" t="str">
        <f t="shared" si="5"/>
        <v xml:space="preserve"> </v>
      </c>
      <c r="E5330" s="79" t="str">
        <f t="shared" si="6"/>
        <v xml:space="preserve"> </v>
      </c>
    </row>
    <row r="5331" spans="1:5" ht="12.5">
      <c r="A5331" s="81" t="str">
        <f t="shared" si="0"/>
        <v xml:space="preserve"> </v>
      </c>
      <c r="B5331" s="81" t="str">
        <f t="shared" si="1"/>
        <v xml:space="preserve"> </v>
      </c>
      <c r="C5331" s="79" t="str">
        <f t="shared" si="7"/>
        <v xml:space="preserve"> </v>
      </c>
      <c r="D5331" s="79" t="str">
        <f t="shared" si="5"/>
        <v xml:space="preserve"> </v>
      </c>
      <c r="E5331" s="79" t="str">
        <f t="shared" si="6"/>
        <v xml:space="preserve"> </v>
      </c>
    </row>
    <row r="5332" spans="1:5" ht="12.5">
      <c r="A5332" s="81" t="str">
        <f t="shared" si="0"/>
        <v xml:space="preserve"> </v>
      </c>
      <c r="B5332" s="81" t="str">
        <f t="shared" si="1"/>
        <v xml:space="preserve"> </v>
      </c>
      <c r="C5332" s="79" t="str">
        <f t="shared" si="7"/>
        <v xml:space="preserve"> </v>
      </c>
      <c r="D5332" s="79" t="str">
        <f t="shared" si="5"/>
        <v xml:space="preserve"> </v>
      </c>
      <c r="E5332" s="79" t="str">
        <f t="shared" si="6"/>
        <v xml:space="preserve"> </v>
      </c>
    </row>
    <row r="5333" spans="1:5" ht="12.5">
      <c r="A5333" s="81" t="str">
        <f t="shared" si="0"/>
        <v xml:space="preserve"> </v>
      </c>
      <c r="B5333" s="81" t="str">
        <f t="shared" si="1"/>
        <v xml:space="preserve"> </v>
      </c>
      <c r="C5333" s="79" t="str">
        <f t="shared" si="7"/>
        <v xml:space="preserve"> </v>
      </c>
      <c r="D5333" s="79" t="str">
        <f t="shared" si="5"/>
        <v xml:space="preserve"> </v>
      </c>
      <c r="E5333" s="79" t="str">
        <f t="shared" si="6"/>
        <v xml:space="preserve"> </v>
      </c>
    </row>
    <row r="5334" spans="1:5" ht="12.5">
      <c r="A5334" s="81" t="str">
        <f t="shared" si="0"/>
        <v xml:space="preserve"> </v>
      </c>
      <c r="B5334" s="81" t="str">
        <f t="shared" si="1"/>
        <v xml:space="preserve"> </v>
      </c>
      <c r="C5334" s="79" t="str">
        <f t="shared" si="7"/>
        <v xml:space="preserve"> </v>
      </c>
      <c r="D5334" s="79" t="str">
        <f t="shared" si="5"/>
        <v xml:space="preserve"> </v>
      </c>
      <c r="E5334" s="79" t="str">
        <f t="shared" si="6"/>
        <v xml:space="preserve"> </v>
      </c>
    </row>
    <row r="5335" spans="1:5" ht="12.5">
      <c r="A5335" s="81" t="str">
        <f t="shared" si="0"/>
        <v xml:space="preserve"> </v>
      </c>
      <c r="B5335" s="81" t="str">
        <f t="shared" si="1"/>
        <v xml:space="preserve"> </v>
      </c>
      <c r="C5335" s="79" t="str">
        <f t="shared" si="7"/>
        <v xml:space="preserve"> </v>
      </c>
      <c r="D5335" s="79" t="str">
        <f t="shared" si="5"/>
        <v xml:space="preserve"> </v>
      </c>
      <c r="E5335" s="79" t="str">
        <f t="shared" si="6"/>
        <v xml:space="preserve"> </v>
      </c>
    </row>
    <row r="5336" spans="1:5" ht="12.5">
      <c r="A5336" s="81" t="str">
        <f t="shared" si="0"/>
        <v xml:space="preserve"> </v>
      </c>
      <c r="B5336" s="81" t="str">
        <f t="shared" si="1"/>
        <v xml:space="preserve"> </v>
      </c>
      <c r="C5336" s="79" t="str">
        <f t="shared" si="7"/>
        <v xml:space="preserve"> </v>
      </c>
      <c r="D5336" s="79" t="str">
        <f t="shared" si="5"/>
        <v xml:space="preserve"> </v>
      </c>
      <c r="E5336" s="79" t="str">
        <f t="shared" si="6"/>
        <v xml:space="preserve"> </v>
      </c>
    </row>
    <row r="5337" spans="1:5" ht="12.5">
      <c r="A5337" s="81" t="str">
        <f t="shared" si="0"/>
        <v xml:space="preserve"> </v>
      </c>
      <c r="B5337" s="81" t="str">
        <f t="shared" si="1"/>
        <v xml:space="preserve"> </v>
      </c>
      <c r="C5337" s="79" t="str">
        <f t="shared" si="7"/>
        <v xml:space="preserve"> </v>
      </c>
      <c r="D5337" s="79" t="str">
        <f t="shared" si="5"/>
        <v xml:space="preserve"> </v>
      </c>
      <c r="E5337" s="79" t="str">
        <f t="shared" si="6"/>
        <v xml:space="preserve"> </v>
      </c>
    </row>
    <row r="5338" spans="1:5" ht="12.5">
      <c r="A5338" s="81" t="str">
        <f t="shared" si="0"/>
        <v xml:space="preserve"> </v>
      </c>
      <c r="B5338" s="81" t="str">
        <f t="shared" si="1"/>
        <v xml:space="preserve"> </v>
      </c>
      <c r="C5338" s="79" t="str">
        <f t="shared" si="7"/>
        <v xml:space="preserve"> </v>
      </c>
      <c r="D5338" s="79" t="str">
        <f t="shared" si="5"/>
        <v xml:space="preserve"> </v>
      </c>
      <c r="E5338" s="79" t="str">
        <f t="shared" si="6"/>
        <v xml:space="preserve"> </v>
      </c>
    </row>
    <row r="5339" spans="1:5" ht="12.5">
      <c r="A5339" s="81" t="str">
        <f t="shared" si="0"/>
        <v xml:space="preserve"> </v>
      </c>
      <c r="B5339" s="81" t="str">
        <f t="shared" si="1"/>
        <v xml:space="preserve"> </v>
      </c>
      <c r="C5339" s="79" t="str">
        <f t="shared" si="7"/>
        <v xml:space="preserve"> </v>
      </c>
      <c r="D5339" s="79" t="str">
        <f t="shared" si="5"/>
        <v xml:space="preserve"> </v>
      </c>
      <c r="E5339" s="79" t="str">
        <f t="shared" si="6"/>
        <v xml:space="preserve"> </v>
      </c>
    </row>
    <row r="5340" spans="1:5" ht="12.5">
      <c r="A5340" s="81" t="str">
        <f t="shared" si="0"/>
        <v xml:space="preserve"> </v>
      </c>
      <c r="B5340" s="81" t="str">
        <f t="shared" si="1"/>
        <v xml:space="preserve"> </v>
      </c>
      <c r="C5340" s="79" t="str">
        <f t="shared" si="7"/>
        <v xml:space="preserve"> </v>
      </c>
      <c r="D5340" s="79" t="str">
        <f t="shared" si="5"/>
        <v xml:space="preserve"> </v>
      </c>
      <c r="E5340" s="79" t="str">
        <f t="shared" si="6"/>
        <v xml:space="preserve"> </v>
      </c>
    </row>
    <row r="5341" spans="1:5" ht="12.5">
      <c r="A5341" s="81" t="str">
        <f t="shared" si="0"/>
        <v xml:space="preserve"> </v>
      </c>
      <c r="B5341" s="81" t="str">
        <f t="shared" si="1"/>
        <v xml:space="preserve"> </v>
      </c>
      <c r="C5341" s="79" t="str">
        <f t="shared" si="7"/>
        <v xml:space="preserve"> </v>
      </c>
      <c r="D5341" s="79" t="str">
        <f t="shared" si="5"/>
        <v xml:space="preserve"> </v>
      </c>
      <c r="E5341" s="79" t="str">
        <f t="shared" si="6"/>
        <v xml:space="preserve"> </v>
      </c>
    </row>
    <row r="5342" spans="1:5" ht="12.5">
      <c r="A5342" s="81" t="str">
        <f t="shared" si="0"/>
        <v xml:space="preserve"> </v>
      </c>
      <c r="B5342" s="81" t="str">
        <f t="shared" si="1"/>
        <v xml:space="preserve"> </v>
      </c>
      <c r="C5342" s="79" t="str">
        <f t="shared" si="7"/>
        <v xml:space="preserve"> </v>
      </c>
      <c r="D5342" s="79" t="str">
        <f t="shared" si="5"/>
        <v xml:space="preserve"> </v>
      </c>
      <c r="E5342" s="79" t="str">
        <f t="shared" si="6"/>
        <v xml:space="preserve"> </v>
      </c>
    </row>
    <row r="5343" spans="1:5" ht="12.5">
      <c r="A5343" s="81" t="str">
        <f t="shared" si="0"/>
        <v xml:space="preserve"> </v>
      </c>
      <c r="B5343" s="81" t="str">
        <f t="shared" si="1"/>
        <v xml:space="preserve"> </v>
      </c>
      <c r="C5343" s="79" t="str">
        <f t="shared" si="7"/>
        <v xml:space="preserve"> </v>
      </c>
      <c r="D5343" s="79" t="str">
        <f t="shared" si="5"/>
        <v xml:space="preserve"> </v>
      </c>
      <c r="E5343" s="79" t="str">
        <f t="shared" si="6"/>
        <v xml:space="preserve"> </v>
      </c>
    </row>
    <row r="5344" spans="1:5" ht="12.5">
      <c r="A5344" s="81" t="str">
        <f t="shared" si="0"/>
        <v xml:space="preserve"> </v>
      </c>
      <c r="B5344" s="81" t="str">
        <f t="shared" si="1"/>
        <v xml:space="preserve"> </v>
      </c>
      <c r="C5344" s="79" t="str">
        <f t="shared" si="7"/>
        <v xml:space="preserve"> </v>
      </c>
      <c r="D5344" s="79" t="str">
        <f t="shared" si="5"/>
        <v xml:space="preserve"> </v>
      </c>
      <c r="E5344" s="79" t="str">
        <f t="shared" si="6"/>
        <v xml:space="preserve"> </v>
      </c>
    </row>
    <row r="5345" spans="1:5" ht="12.5">
      <c r="A5345" s="81" t="str">
        <f t="shared" si="0"/>
        <v xml:space="preserve"> </v>
      </c>
      <c r="B5345" s="81" t="str">
        <f t="shared" si="1"/>
        <v xml:space="preserve"> </v>
      </c>
      <c r="C5345" s="79" t="str">
        <f t="shared" si="7"/>
        <v xml:space="preserve"> </v>
      </c>
      <c r="D5345" s="79" t="str">
        <f t="shared" si="5"/>
        <v xml:space="preserve"> </v>
      </c>
      <c r="E5345" s="79" t="str">
        <f t="shared" si="6"/>
        <v xml:space="preserve"> </v>
      </c>
    </row>
    <row r="5346" spans="1:5" ht="12.5">
      <c r="A5346" s="81" t="str">
        <f t="shared" si="0"/>
        <v xml:space="preserve"> </v>
      </c>
      <c r="B5346" s="81" t="str">
        <f t="shared" si="1"/>
        <v xml:space="preserve"> </v>
      </c>
      <c r="C5346" s="79" t="str">
        <f t="shared" si="7"/>
        <v xml:space="preserve"> </v>
      </c>
      <c r="D5346" s="79" t="str">
        <f t="shared" si="5"/>
        <v xml:space="preserve"> </v>
      </c>
      <c r="E5346" s="79" t="str">
        <f t="shared" si="6"/>
        <v xml:space="preserve"> </v>
      </c>
    </row>
    <row r="5347" spans="1:5" ht="12.5">
      <c r="A5347" s="81" t="str">
        <f t="shared" si="0"/>
        <v xml:space="preserve"> </v>
      </c>
      <c r="B5347" s="81" t="str">
        <f t="shared" si="1"/>
        <v xml:space="preserve"> </v>
      </c>
      <c r="C5347" s="79" t="str">
        <f t="shared" si="7"/>
        <v xml:space="preserve"> </v>
      </c>
      <c r="D5347" s="79" t="str">
        <f t="shared" si="5"/>
        <v xml:space="preserve"> </v>
      </c>
      <c r="E5347" s="79" t="str">
        <f t="shared" si="6"/>
        <v xml:space="preserve"> </v>
      </c>
    </row>
    <row r="5348" spans="1:5" ht="12.5">
      <c r="A5348" s="81" t="str">
        <f t="shared" si="0"/>
        <v xml:space="preserve"> </v>
      </c>
      <c r="B5348" s="81" t="str">
        <f t="shared" si="1"/>
        <v xml:space="preserve"> </v>
      </c>
      <c r="C5348" s="79" t="str">
        <f t="shared" si="7"/>
        <v xml:space="preserve"> </v>
      </c>
      <c r="D5348" s="79" t="str">
        <f t="shared" si="5"/>
        <v xml:space="preserve"> </v>
      </c>
      <c r="E5348" s="79" t="str">
        <f t="shared" si="6"/>
        <v xml:space="preserve"> </v>
      </c>
    </row>
    <row r="5349" spans="1:5" ht="12.5">
      <c r="A5349" s="81" t="str">
        <f t="shared" si="0"/>
        <v xml:space="preserve"> </v>
      </c>
      <c r="B5349" s="81" t="str">
        <f t="shared" si="1"/>
        <v xml:space="preserve"> </v>
      </c>
      <c r="C5349" s="79" t="str">
        <f t="shared" si="7"/>
        <v xml:space="preserve"> </v>
      </c>
      <c r="D5349" s="79" t="str">
        <f t="shared" si="5"/>
        <v xml:space="preserve"> </v>
      </c>
      <c r="E5349" s="79" t="str">
        <f t="shared" si="6"/>
        <v xml:space="preserve"> </v>
      </c>
    </row>
    <row r="5350" spans="1:5" ht="12.5">
      <c r="A5350" s="81" t="str">
        <f t="shared" si="0"/>
        <v xml:space="preserve"> </v>
      </c>
      <c r="B5350" s="81" t="str">
        <f t="shared" si="1"/>
        <v xml:space="preserve"> </v>
      </c>
      <c r="C5350" s="79" t="str">
        <f t="shared" si="7"/>
        <v xml:space="preserve"> </v>
      </c>
      <c r="D5350" s="79" t="str">
        <f t="shared" si="5"/>
        <v xml:space="preserve"> </v>
      </c>
      <c r="E5350" s="79" t="str">
        <f t="shared" si="6"/>
        <v xml:space="preserve"> </v>
      </c>
    </row>
    <row r="5351" spans="1:5" ht="12.5">
      <c r="A5351" s="81" t="str">
        <f t="shared" si="0"/>
        <v xml:space="preserve"> </v>
      </c>
      <c r="B5351" s="81" t="str">
        <f t="shared" si="1"/>
        <v xml:space="preserve"> </v>
      </c>
      <c r="C5351" s="79" t="str">
        <f t="shared" si="7"/>
        <v xml:space="preserve"> </v>
      </c>
      <c r="D5351" s="79" t="str">
        <f t="shared" si="5"/>
        <v xml:space="preserve"> </v>
      </c>
      <c r="E5351" s="79" t="str">
        <f t="shared" si="6"/>
        <v xml:space="preserve"> </v>
      </c>
    </row>
    <row r="5352" spans="1:5" ht="12.5">
      <c r="A5352" s="81" t="str">
        <f t="shared" si="0"/>
        <v xml:space="preserve"> </v>
      </c>
      <c r="B5352" s="81" t="str">
        <f t="shared" si="1"/>
        <v xml:space="preserve"> </v>
      </c>
      <c r="C5352" s="79" t="str">
        <f t="shared" si="7"/>
        <v xml:space="preserve"> </v>
      </c>
      <c r="D5352" s="79" t="str">
        <f t="shared" si="5"/>
        <v xml:space="preserve"> </v>
      </c>
      <c r="E5352" s="79" t="str">
        <f t="shared" si="6"/>
        <v xml:space="preserve"> </v>
      </c>
    </row>
    <row r="5353" spans="1:5" ht="12.5">
      <c r="A5353" s="81" t="str">
        <f t="shared" si="0"/>
        <v xml:space="preserve"> </v>
      </c>
      <c r="B5353" s="81" t="str">
        <f t="shared" si="1"/>
        <v xml:space="preserve"> </v>
      </c>
      <c r="C5353" s="79" t="str">
        <f t="shared" si="7"/>
        <v xml:space="preserve"> </v>
      </c>
      <c r="D5353" s="79" t="str">
        <f t="shared" si="5"/>
        <v xml:space="preserve"> </v>
      </c>
      <c r="E5353" s="79" t="str">
        <f t="shared" si="6"/>
        <v xml:space="preserve"> </v>
      </c>
    </row>
    <row r="5354" spans="1:5" ht="12.5">
      <c r="A5354" s="81" t="str">
        <f t="shared" si="0"/>
        <v xml:space="preserve"> </v>
      </c>
      <c r="B5354" s="81" t="str">
        <f t="shared" si="1"/>
        <v xml:space="preserve"> </v>
      </c>
      <c r="C5354" s="79" t="str">
        <f t="shared" si="7"/>
        <v xml:space="preserve"> </v>
      </c>
      <c r="D5354" s="79" t="str">
        <f t="shared" si="5"/>
        <v xml:space="preserve"> </v>
      </c>
      <c r="E5354" s="79" t="str">
        <f t="shared" si="6"/>
        <v xml:space="preserve"> </v>
      </c>
    </row>
    <row r="5355" spans="1:5" ht="12.5">
      <c r="A5355" s="81" t="str">
        <f t="shared" si="0"/>
        <v xml:space="preserve"> </v>
      </c>
      <c r="B5355" s="81" t="str">
        <f t="shared" si="1"/>
        <v xml:space="preserve"> </v>
      </c>
      <c r="C5355" s="79" t="str">
        <f t="shared" si="7"/>
        <v xml:space="preserve"> </v>
      </c>
      <c r="D5355" s="79" t="str">
        <f t="shared" si="5"/>
        <v xml:space="preserve"> </v>
      </c>
      <c r="E5355" s="79" t="str">
        <f t="shared" si="6"/>
        <v xml:space="preserve"> </v>
      </c>
    </row>
    <row r="5356" spans="1:5" ht="12.5">
      <c r="A5356" s="81" t="str">
        <f t="shared" si="0"/>
        <v xml:space="preserve"> </v>
      </c>
      <c r="B5356" s="81" t="str">
        <f t="shared" si="1"/>
        <v xml:space="preserve"> </v>
      </c>
      <c r="C5356" s="79" t="str">
        <f t="shared" si="7"/>
        <v xml:space="preserve"> </v>
      </c>
      <c r="D5356" s="79" t="str">
        <f t="shared" si="5"/>
        <v xml:space="preserve"> </v>
      </c>
      <c r="E5356" s="79" t="str">
        <f t="shared" si="6"/>
        <v xml:space="preserve"> </v>
      </c>
    </row>
    <row r="5357" spans="1:5" ht="12.5">
      <c r="A5357" s="81" t="str">
        <f t="shared" si="0"/>
        <v xml:space="preserve"> </v>
      </c>
      <c r="B5357" s="81" t="str">
        <f t="shared" si="1"/>
        <v xml:space="preserve"> </v>
      </c>
      <c r="C5357" s="79" t="str">
        <f t="shared" si="7"/>
        <v xml:space="preserve"> </v>
      </c>
      <c r="D5357" s="79" t="str">
        <f t="shared" si="5"/>
        <v xml:space="preserve"> </v>
      </c>
      <c r="E5357" s="79" t="str">
        <f t="shared" si="6"/>
        <v xml:space="preserve"> </v>
      </c>
    </row>
    <row r="5358" spans="1:5" ht="12.5">
      <c r="A5358" s="81" t="str">
        <f t="shared" si="0"/>
        <v xml:space="preserve"> </v>
      </c>
      <c r="B5358" s="81" t="str">
        <f t="shared" si="1"/>
        <v xml:space="preserve"> </v>
      </c>
      <c r="C5358" s="79" t="str">
        <f t="shared" si="7"/>
        <v xml:space="preserve"> </v>
      </c>
      <c r="D5358" s="79" t="str">
        <f t="shared" si="5"/>
        <v xml:space="preserve"> </v>
      </c>
      <c r="E5358" s="79" t="str">
        <f t="shared" si="6"/>
        <v xml:space="preserve"> </v>
      </c>
    </row>
    <row r="5359" spans="1:5" ht="12.5">
      <c r="A5359" s="81" t="str">
        <f t="shared" si="0"/>
        <v xml:space="preserve"> </v>
      </c>
      <c r="B5359" s="81" t="str">
        <f t="shared" si="1"/>
        <v xml:space="preserve"> </v>
      </c>
      <c r="C5359" s="79" t="str">
        <f t="shared" si="7"/>
        <v xml:space="preserve"> </v>
      </c>
      <c r="D5359" s="79" t="str">
        <f t="shared" si="5"/>
        <v xml:space="preserve"> </v>
      </c>
      <c r="E5359" s="79" t="str">
        <f t="shared" si="6"/>
        <v xml:space="preserve"> </v>
      </c>
    </row>
    <row r="5360" spans="1:5" ht="12.5">
      <c r="A5360" s="81" t="str">
        <f t="shared" si="0"/>
        <v xml:space="preserve"> </v>
      </c>
      <c r="B5360" s="81" t="str">
        <f t="shared" si="1"/>
        <v xml:space="preserve"> </v>
      </c>
      <c r="C5360" s="79" t="str">
        <f t="shared" si="7"/>
        <v xml:space="preserve"> </v>
      </c>
      <c r="D5360" s="79" t="str">
        <f t="shared" si="5"/>
        <v xml:space="preserve"> </v>
      </c>
      <c r="E5360" s="79" t="str">
        <f t="shared" si="6"/>
        <v xml:space="preserve"> </v>
      </c>
    </row>
    <row r="5361" spans="1:5" ht="12.5">
      <c r="A5361" s="81" t="str">
        <f t="shared" si="0"/>
        <v xml:space="preserve"> </v>
      </c>
      <c r="B5361" s="81" t="str">
        <f t="shared" si="1"/>
        <v xml:space="preserve"> </v>
      </c>
      <c r="C5361" s="79" t="str">
        <f t="shared" si="7"/>
        <v xml:space="preserve"> </v>
      </c>
      <c r="D5361" s="79" t="str">
        <f t="shared" si="5"/>
        <v xml:space="preserve"> </v>
      </c>
      <c r="E5361" s="79" t="str">
        <f t="shared" si="6"/>
        <v xml:space="preserve"> </v>
      </c>
    </row>
    <row r="5362" spans="1:5" ht="12.5">
      <c r="A5362" s="81" t="str">
        <f t="shared" si="0"/>
        <v xml:space="preserve"> </v>
      </c>
      <c r="B5362" s="81" t="str">
        <f t="shared" si="1"/>
        <v xml:space="preserve"> </v>
      </c>
      <c r="C5362" s="79" t="str">
        <f t="shared" si="7"/>
        <v xml:space="preserve"> </v>
      </c>
      <c r="D5362" s="79" t="str">
        <f t="shared" si="5"/>
        <v xml:space="preserve"> </v>
      </c>
      <c r="E5362" s="79" t="str">
        <f t="shared" si="6"/>
        <v xml:space="preserve"> </v>
      </c>
    </row>
    <row r="5363" spans="1:5" ht="12.5">
      <c r="A5363" s="81" t="str">
        <f t="shared" si="0"/>
        <v xml:space="preserve"> </v>
      </c>
      <c r="B5363" s="81" t="str">
        <f t="shared" si="1"/>
        <v xml:space="preserve"> </v>
      </c>
      <c r="C5363" s="79" t="str">
        <f t="shared" si="7"/>
        <v xml:space="preserve"> </v>
      </c>
      <c r="D5363" s="79" t="str">
        <f t="shared" si="5"/>
        <v xml:space="preserve"> </v>
      </c>
      <c r="E5363" s="79" t="str">
        <f t="shared" si="6"/>
        <v xml:space="preserve"> </v>
      </c>
    </row>
    <row r="5364" spans="1:5" ht="12.5">
      <c r="A5364" s="81" t="str">
        <f t="shared" si="0"/>
        <v xml:space="preserve"> </v>
      </c>
      <c r="B5364" s="81" t="str">
        <f t="shared" si="1"/>
        <v xml:space="preserve"> </v>
      </c>
      <c r="C5364" s="79" t="str">
        <f t="shared" si="7"/>
        <v xml:space="preserve"> </v>
      </c>
      <c r="D5364" s="79" t="str">
        <f t="shared" si="5"/>
        <v xml:space="preserve"> </v>
      </c>
      <c r="E5364" s="79" t="str">
        <f t="shared" si="6"/>
        <v xml:space="preserve"> </v>
      </c>
    </row>
    <row r="5365" spans="1:5" ht="12.5">
      <c r="A5365" s="81" t="str">
        <f t="shared" si="0"/>
        <v xml:space="preserve"> </v>
      </c>
      <c r="B5365" s="81" t="str">
        <f t="shared" si="1"/>
        <v xml:space="preserve"> </v>
      </c>
      <c r="C5365" s="79" t="str">
        <f t="shared" si="7"/>
        <v xml:space="preserve"> </v>
      </c>
      <c r="D5365" s="79" t="str">
        <f t="shared" si="5"/>
        <v xml:space="preserve"> </v>
      </c>
      <c r="E5365" s="79" t="str">
        <f t="shared" si="6"/>
        <v xml:space="preserve"> </v>
      </c>
    </row>
    <row r="5366" spans="1:5" ht="12.5">
      <c r="A5366" s="81" t="str">
        <f t="shared" si="0"/>
        <v xml:space="preserve"> </v>
      </c>
      <c r="B5366" s="81" t="str">
        <f t="shared" si="1"/>
        <v xml:space="preserve"> </v>
      </c>
      <c r="C5366" s="79" t="str">
        <f t="shared" si="7"/>
        <v xml:space="preserve"> </v>
      </c>
      <c r="D5366" s="79" t="str">
        <f t="shared" si="5"/>
        <v xml:space="preserve"> </v>
      </c>
      <c r="E5366" s="79" t="str">
        <f t="shared" si="6"/>
        <v xml:space="preserve"> </v>
      </c>
    </row>
    <row r="5367" spans="1:5" ht="12.5">
      <c r="A5367" s="81" t="str">
        <f t="shared" si="0"/>
        <v xml:space="preserve"> </v>
      </c>
      <c r="B5367" s="81" t="str">
        <f t="shared" si="1"/>
        <v xml:space="preserve"> </v>
      </c>
      <c r="C5367" s="79" t="str">
        <f t="shared" si="7"/>
        <v xml:space="preserve"> </v>
      </c>
      <c r="D5367" s="79" t="str">
        <f t="shared" si="5"/>
        <v xml:space="preserve"> </v>
      </c>
      <c r="E5367" s="79" t="str">
        <f t="shared" si="6"/>
        <v xml:space="preserve"> </v>
      </c>
    </row>
    <row r="5368" spans="1:5" ht="12.5">
      <c r="A5368" s="81" t="str">
        <f t="shared" si="0"/>
        <v xml:space="preserve"> </v>
      </c>
      <c r="B5368" s="81" t="str">
        <f t="shared" si="1"/>
        <v xml:space="preserve"> </v>
      </c>
      <c r="C5368" s="79" t="str">
        <f t="shared" si="7"/>
        <v xml:space="preserve"> </v>
      </c>
      <c r="D5368" s="79" t="str">
        <f t="shared" si="5"/>
        <v xml:space="preserve"> </v>
      </c>
      <c r="E5368" s="79" t="str">
        <f t="shared" si="6"/>
        <v xml:space="preserve"> </v>
      </c>
    </row>
    <row r="5369" spans="1:5" ht="12.5">
      <c r="A5369" s="81" t="str">
        <f t="shared" si="0"/>
        <v xml:space="preserve"> </v>
      </c>
      <c r="B5369" s="81" t="str">
        <f t="shared" si="1"/>
        <v xml:space="preserve"> </v>
      </c>
      <c r="C5369" s="79" t="str">
        <f t="shared" si="7"/>
        <v xml:space="preserve"> </v>
      </c>
      <c r="D5369" s="79" t="str">
        <f t="shared" si="5"/>
        <v xml:space="preserve"> </v>
      </c>
      <c r="E5369" s="79" t="str">
        <f t="shared" si="6"/>
        <v xml:space="preserve"> </v>
      </c>
    </row>
    <row r="5370" spans="1:5" ht="12.5">
      <c r="A5370" s="81" t="str">
        <f t="shared" si="0"/>
        <v xml:space="preserve"> </v>
      </c>
      <c r="B5370" s="81" t="str">
        <f t="shared" si="1"/>
        <v xml:space="preserve"> </v>
      </c>
      <c r="C5370" s="79" t="str">
        <f t="shared" si="7"/>
        <v xml:space="preserve"> </v>
      </c>
      <c r="D5370" s="79" t="str">
        <f t="shared" si="5"/>
        <v xml:space="preserve"> </v>
      </c>
      <c r="E5370" s="79" t="str">
        <f t="shared" si="6"/>
        <v xml:space="preserve"> </v>
      </c>
    </row>
    <row r="5371" spans="1:5" ht="12.5">
      <c r="A5371" s="81" t="str">
        <f t="shared" si="0"/>
        <v xml:space="preserve"> </v>
      </c>
      <c r="B5371" s="81" t="str">
        <f t="shared" si="1"/>
        <v xml:space="preserve"> </v>
      </c>
      <c r="C5371" s="79" t="str">
        <f t="shared" si="7"/>
        <v xml:space="preserve"> </v>
      </c>
      <c r="D5371" s="79" t="str">
        <f t="shared" si="5"/>
        <v xml:space="preserve"> </v>
      </c>
      <c r="E5371" s="79" t="str">
        <f t="shared" si="6"/>
        <v xml:space="preserve"> </v>
      </c>
    </row>
    <row r="5372" spans="1:5" ht="12.5">
      <c r="A5372" s="81" t="str">
        <f t="shared" si="0"/>
        <v xml:space="preserve"> </v>
      </c>
      <c r="B5372" s="81" t="str">
        <f t="shared" si="1"/>
        <v xml:space="preserve"> </v>
      </c>
      <c r="C5372" s="79" t="str">
        <f t="shared" si="7"/>
        <v xml:space="preserve"> </v>
      </c>
      <c r="D5372" s="79" t="str">
        <f t="shared" si="5"/>
        <v xml:space="preserve"> </v>
      </c>
      <c r="E5372" s="79" t="str">
        <f t="shared" si="6"/>
        <v xml:space="preserve"> </v>
      </c>
    </row>
    <row r="5373" spans="1:5" ht="12.5">
      <c r="A5373" s="81" t="str">
        <f t="shared" si="0"/>
        <v xml:space="preserve"> </v>
      </c>
      <c r="B5373" s="81" t="str">
        <f t="shared" si="1"/>
        <v xml:space="preserve"> </v>
      </c>
      <c r="C5373" s="79" t="str">
        <f t="shared" si="7"/>
        <v xml:space="preserve"> </v>
      </c>
      <c r="D5373" s="79" t="str">
        <f t="shared" si="5"/>
        <v xml:space="preserve"> </v>
      </c>
      <c r="E5373" s="79" t="str">
        <f t="shared" si="6"/>
        <v xml:space="preserve"> </v>
      </c>
    </row>
    <row r="5374" spans="1:5" ht="12.5">
      <c r="A5374" s="81" t="str">
        <f t="shared" si="0"/>
        <v xml:space="preserve"> </v>
      </c>
      <c r="B5374" s="81" t="str">
        <f t="shared" si="1"/>
        <v xml:space="preserve"> </v>
      </c>
      <c r="C5374" s="79" t="str">
        <f t="shared" si="7"/>
        <v xml:space="preserve"> </v>
      </c>
      <c r="D5374" s="79" t="str">
        <f t="shared" si="5"/>
        <v xml:space="preserve"> </v>
      </c>
      <c r="E5374" s="79" t="str">
        <f t="shared" si="6"/>
        <v xml:space="preserve"> </v>
      </c>
    </row>
    <row r="5375" spans="1:5" ht="12.5">
      <c r="A5375" s="81" t="str">
        <f t="shared" si="0"/>
        <v xml:space="preserve"> </v>
      </c>
      <c r="B5375" s="81" t="str">
        <f t="shared" si="1"/>
        <v xml:space="preserve"> </v>
      </c>
      <c r="C5375" s="79" t="str">
        <f t="shared" si="7"/>
        <v xml:space="preserve"> </v>
      </c>
      <c r="D5375" s="79" t="str">
        <f t="shared" si="5"/>
        <v xml:space="preserve"> </v>
      </c>
      <c r="E5375" s="79" t="str">
        <f t="shared" si="6"/>
        <v xml:space="preserve"> </v>
      </c>
    </row>
    <row r="5376" spans="1:5" ht="12.5">
      <c r="A5376" s="81" t="str">
        <f t="shared" si="0"/>
        <v xml:space="preserve"> </v>
      </c>
      <c r="B5376" s="81" t="str">
        <f t="shared" si="1"/>
        <v xml:space="preserve"> </v>
      </c>
      <c r="C5376" s="79" t="str">
        <f t="shared" si="7"/>
        <v xml:space="preserve"> </v>
      </c>
      <c r="D5376" s="79" t="str">
        <f t="shared" si="5"/>
        <v xml:space="preserve"> </v>
      </c>
      <c r="E5376" s="79" t="str">
        <f t="shared" si="6"/>
        <v xml:space="preserve"> </v>
      </c>
    </row>
    <row r="5377" spans="1:5" ht="12.5">
      <c r="A5377" s="81" t="str">
        <f t="shared" si="0"/>
        <v xml:space="preserve"> </v>
      </c>
      <c r="B5377" s="81" t="str">
        <f t="shared" si="1"/>
        <v xml:space="preserve"> </v>
      </c>
      <c r="C5377" s="79" t="str">
        <f t="shared" si="7"/>
        <v xml:space="preserve"> </v>
      </c>
      <c r="D5377" s="79" t="str">
        <f t="shared" si="5"/>
        <v xml:space="preserve"> </v>
      </c>
      <c r="E5377" s="79" t="str">
        <f t="shared" si="6"/>
        <v xml:space="preserve"> </v>
      </c>
    </row>
    <row r="5378" spans="1:5" ht="12.5">
      <c r="A5378" s="81" t="str">
        <f t="shared" si="0"/>
        <v xml:space="preserve"> </v>
      </c>
      <c r="B5378" s="81" t="str">
        <f t="shared" si="1"/>
        <v xml:space="preserve"> </v>
      </c>
      <c r="C5378" s="79" t="str">
        <f t="shared" si="7"/>
        <v xml:space="preserve"> </v>
      </c>
      <c r="D5378" s="79" t="str">
        <f t="shared" si="5"/>
        <v xml:space="preserve"> </v>
      </c>
      <c r="E5378" s="79" t="str">
        <f t="shared" si="6"/>
        <v xml:space="preserve"> </v>
      </c>
    </row>
    <row r="5379" spans="1:5" ht="12.5">
      <c r="A5379" s="81" t="str">
        <f t="shared" si="0"/>
        <v xml:space="preserve"> </v>
      </c>
      <c r="B5379" s="81" t="str">
        <f t="shared" si="1"/>
        <v xml:space="preserve"> </v>
      </c>
      <c r="C5379" s="79" t="str">
        <f t="shared" si="7"/>
        <v xml:space="preserve"> </v>
      </c>
      <c r="D5379" s="79" t="str">
        <f t="shared" si="5"/>
        <v xml:space="preserve"> </v>
      </c>
      <c r="E5379" s="79" t="str">
        <f t="shared" si="6"/>
        <v xml:space="preserve"> </v>
      </c>
    </row>
    <row r="5380" spans="1:5" ht="12.5">
      <c r="A5380" s="81" t="str">
        <f t="shared" si="0"/>
        <v xml:space="preserve"> </v>
      </c>
      <c r="B5380" s="81" t="str">
        <f t="shared" si="1"/>
        <v xml:space="preserve"> </v>
      </c>
      <c r="C5380" s="79" t="str">
        <f t="shared" si="7"/>
        <v xml:space="preserve"> </v>
      </c>
      <c r="D5380" s="79" t="str">
        <f t="shared" si="5"/>
        <v xml:space="preserve"> </v>
      </c>
      <c r="E5380" s="79" t="str">
        <f t="shared" si="6"/>
        <v xml:space="preserve"> </v>
      </c>
    </row>
    <row r="5381" spans="1:5" ht="12.5">
      <c r="A5381" s="81" t="str">
        <f t="shared" si="0"/>
        <v xml:space="preserve"> </v>
      </c>
      <c r="B5381" s="81" t="str">
        <f t="shared" si="1"/>
        <v xml:space="preserve"> </v>
      </c>
      <c r="C5381" s="79" t="str">
        <f t="shared" si="7"/>
        <v xml:space="preserve"> </v>
      </c>
      <c r="D5381" s="79" t="str">
        <f t="shared" si="5"/>
        <v xml:space="preserve"> </v>
      </c>
      <c r="E5381" s="79" t="str">
        <f t="shared" si="6"/>
        <v xml:space="preserve"> </v>
      </c>
    </row>
    <row r="5382" spans="1:5" ht="12.5">
      <c r="A5382" s="81" t="str">
        <f t="shared" si="0"/>
        <v xml:space="preserve"> </v>
      </c>
      <c r="B5382" s="81" t="str">
        <f t="shared" si="1"/>
        <v xml:space="preserve"> </v>
      </c>
      <c r="C5382" s="79" t="str">
        <f t="shared" si="7"/>
        <v xml:space="preserve"> </v>
      </c>
      <c r="D5382" s="79" t="str">
        <f t="shared" si="5"/>
        <v xml:space="preserve"> </v>
      </c>
      <c r="E5382" s="79" t="str">
        <f t="shared" si="6"/>
        <v xml:space="preserve"> </v>
      </c>
    </row>
    <row r="5383" spans="1:5" ht="12.5">
      <c r="A5383" s="81" t="str">
        <f t="shared" si="0"/>
        <v xml:space="preserve"> </v>
      </c>
      <c r="B5383" s="81" t="str">
        <f t="shared" si="1"/>
        <v xml:space="preserve"> </v>
      </c>
      <c r="C5383" s="79" t="str">
        <f t="shared" si="7"/>
        <v xml:space="preserve"> </v>
      </c>
      <c r="D5383" s="79" t="str">
        <f t="shared" si="5"/>
        <v xml:space="preserve"> </v>
      </c>
      <c r="E5383" s="79" t="str">
        <f t="shared" si="6"/>
        <v xml:space="preserve"> </v>
      </c>
    </row>
    <row r="5384" spans="1:5" ht="12.5">
      <c r="A5384" s="81" t="str">
        <f t="shared" si="0"/>
        <v xml:space="preserve"> </v>
      </c>
      <c r="B5384" s="81" t="str">
        <f t="shared" si="1"/>
        <v xml:space="preserve"> </v>
      </c>
      <c r="C5384" s="79" t="str">
        <f t="shared" si="7"/>
        <v xml:space="preserve"> </v>
      </c>
      <c r="D5384" s="79" t="str">
        <f t="shared" si="5"/>
        <v xml:space="preserve"> </v>
      </c>
      <c r="E5384" s="79" t="str">
        <f t="shared" si="6"/>
        <v xml:space="preserve"> </v>
      </c>
    </row>
    <row r="5385" spans="1:5" ht="12.5">
      <c r="A5385" s="81" t="str">
        <f t="shared" si="0"/>
        <v xml:space="preserve"> </v>
      </c>
      <c r="B5385" s="81" t="str">
        <f t="shared" si="1"/>
        <v xml:space="preserve"> </v>
      </c>
      <c r="C5385" s="79" t="str">
        <f t="shared" si="7"/>
        <v xml:space="preserve"> </v>
      </c>
      <c r="D5385" s="79" t="str">
        <f t="shared" si="5"/>
        <v xml:space="preserve"> </v>
      </c>
      <c r="E5385" s="79" t="str">
        <f t="shared" si="6"/>
        <v xml:space="preserve"> </v>
      </c>
    </row>
    <row r="5386" spans="1:5" ht="12.5">
      <c r="A5386" s="81" t="str">
        <f t="shared" si="0"/>
        <v xml:space="preserve"> </v>
      </c>
      <c r="B5386" s="81" t="str">
        <f t="shared" si="1"/>
        <v xml:space="preserve"> </v>
      </c>
      <c r="C5386" s="79" t="str">
        <f t="shared" si="7"/>
        <v xml:space="preserve"> </v>
      </c>
      <c r="D5386" s="79" t="str">
        <f t="shared" si="5"/>
        <v xml:space="preserve"> </v>
      </c>
      <c r="E5386" s="79" t="str">
        <f t="shared" si="6"/>
        <v xml:space="preserve"> </v>
      </c>
    </row>
    <row r="5387" spans="1:5" ht="12.5">
      <c r="A5387" s="81" t="str">
        <f t="shared" si="0"/>
        <v xml:space="preserve"> </v>
      </c>
      <c r="B5387" s="81" t="str">
        <f t="shared" si="1"/>
        <v xml:space="preserve"> </v>
      </c>
      <c r="C5387" s="79" t="str">
        <f t="shared" si="7"/>
        <v xml:space="preserve"> </v>
      </c>
      <c r="D5387" s="79" t="str">
        <f t="shared" si="5"/>
        <v xml:space="preserve"> </v>
      </c>
      <c r="E5387" s="79" t="str">
        <f t="shared" si="6"/>
        <v xml:space="preserve"> </v>
      </c>
    </row>
    <row r="5388" spans="1:5" ht="12.5">
      <c r="A5388" s="81" t="str">
        <f t="shared" si="0"/>
        <v xml:space="preserve"> </v>
      </c>
      <c r="B5388" s="81" t="str">
        <f t="shared" si="1"/>
        <v xml:space="preserve"> </v>
      </c>
      <c r="C5388" s="79" t="str">
        <f t="shared" si="7"/>
        <v xml:space="preserve"> </v>
      </c>
      <c r="D5388" s="79" t="str">
        <f t="shared" si="5"/>
        <v xml:space="preserve"> </v>
      </c>
      <c r="E5388" s="79" t="str">
        <f t="shared" si="6"/>
        <v xml:space="preserve"> </v>
      </c>
    </row>
    <row r="5389" spans="1:5" ht="12.5">
      <c r="A5389" s="81" t="str">
        <f t="shared" si="0"/>
        <v xml:space="preserve"> </v>
      </c>
      <c r="B5389" s="81" t="str">
        <f t="shared" si="1"/>
        <v xml:space="preserve"> </v>
      </c>
      <c r="C5389" s="79" t="str">
        <f t="shared" si="7"/>
        <v xml:space="preserve"> </v>
      </c>
      <c r="D5389" s="79" t="str">
        <f t="shared" si="5"/>
        <v xml:space="preserve"> </v>
      </c>
      <c r="E5389" s="79" t="str">
        <f t="shared" si="6"/>
        <v xml:space="preserve"> </v>
      </c>
    </row>
    <row r="5390" spans="1:5" ht="12.5">
      <c r="A5390" s="81" t="str">
        <f t="shared" si="0"/>
        <v xml:space="preserve"> </v>
      </c>
      <c r="B5390" s="81" t="str">
        <f t="shared" si="1"/>
        <v xml:space="preserve"> </v>
      </c>
      <c r="C5390" s="79" t="str">
        <f t="shared" si="7"/>
        <v xml:space="preserve"> </v>
      </c>
      <c r="D5390" s="79" t="str">
        <f t="shared" si="5"/>
        <v xml:space="preserve"> </v>
      </c>
      <c r="E5390" s="79" t="str">
        <f t="shared" si="6"/>
        <v xml:space="preserve"> </v>
      </c>
    </row>
    <row r="5391" spans="1:5" ht="12.5">
      <c r="A5391" s="81" t="str">
        <f t="shared" si="0"/>
        <v xml:space="preserve"> </v>
      </c>
      <c r="B5391" s="81" t="str">
        <f t="shared" si="1"/>
        <v xml:space="preserve"> </v>
      </c>
      <c r="C5391" s="79" t="str">
        <f t="shared" si="7"/>
        <v xml:space="preserve"> </v>
      </c>
      <c r="D5391" s="79" t="str">
        <f t="shared" si="5"/>
        <v xml:space="preserve"> </v>
      </c>
      <c r="E5391" s="79" t="str">
        <f t="shared" si="6"/>
        <v xml:space="preserve"> </v>
      </c>
    </row>
    <row r="5392" spans="1:5" ht="12.5">
      <c r="A5392" s="81" t="str">
        <f t="shared" si="0"/>
        <v xml:space="preserve"> </v>
      </c>
      <c r="B5392" s="81" t="str">
        <f t="shared" si="1"/>
        <v xml:space="preserve"> </v>
      </c>
      <c r="C5392" s="79" t="str">
        <f t="shared" si="7"/>
        <v xml:space="preserve"> </v>
      </c>
      <c r="D5392" s="79" t="str">
        <f t="shared" si="5"/>
        <v xml:space="preserve"> </v>
      </c>
      <c r="E5392" s="79" t="str">
        <f t="shared" si="6"/>
        <v xml:space="preserve"> </v>
      </c>
    </row>
    <row r="5393" spans="1:5" ht="12.5">
      <c r="A5393" s="81" t="str">
        <f t="shared" si="0"/>
        <v xml:space="preserve"> </v>
      </c>
      <c r="B5393" s="81" t="str">
        <f t="shared" si="1"/>
        <v xml:space="preserve"> </v>
      </c>
      <c r="C5393" s="79" t="str">
        <f t="shared" si="7"/>
        <v xml:space="preserve"> </v>
      </c>
      <c r="D5393" s="79" t="str">
        <f t="shared" si="5"/>
        <v xml:space="preserve"> </v>
      </c>
      <c r="E5393" s="79" t="str">
        <f t="shared" si="6"/>
        <v xml:space="preserve"> </v>
      </c>
    </row>
    <row r="5394" spans="1:5" ht="12.5">
      <c r="A5394" s="81" t="str">
        <f t="shared" si="0"/>
        <v xml:space="preserve"> </v>
      </c>
      <c r="B5394" s="81" t="str">
        <f t="shared" si="1"/>
        <v xml:space="preserve"> </v>
      </c>
      <c r="C5394" s="79" t="str">
        <f t="shared" si="7"/>
        <v xml:space="preserve"> </v>
      </c>
      <c r="D5394" s="79" t="str">
        <f t="shared" si="5"/>
        <v xml:space="preserve"> </v>
      </c>
      <c r="E5394" s="79" t="str">
        <f t="shared" si="6"/>
        <v xml:space="preserve"> </v>
      </c>
    </row>
    <row r="5395" spans="1:5" ht="12.5">
      <c r="A5395" s="81" t="str">
        <f t="shared" si="0"/>
        <v xml:space="preserve"> </v>
      </c>
      <c r="B5395" s="81" t="str">
        <f t="shared" si="1"/>
        <v xml:space="preserve"> </v>
      </c>
      <c r="C5395" s="79" t="str">
        <f t="shared" si="7"/>
        <v xml:space="preserve"> </v>
      </c>
      <c r="D5395" s="79" t="str">
        <f t="shared" si="5"/>
        <v xml:space="preserve"> </v>
      </c>
      <c r="E5395" s="79" t="str">
        <f t="shared" si="6"/>
        <v xml:space="preserve"> </v>
      </c>
    </row>
    <row r="5396" spans="1:5" ht="12.5">
      <c r="A5396" s="81" t="str">
        <f t="shared" si="0"/>
        <v xml:space="preserve"> </v>
      </c>
      <c r="B5396" s="81" t="str">
        <f t="shared" si="1"/>
        <v xml:space="preserve"> </v>
      </c>
      <c r="C5396" s="79" t="str">
        <f t="shared" si="7"/>
        <v xml:space="preserve"> </v>
      </c>
      <c r="D5396" s="79" t="str">
        <f t="shared" si="5"/>
        <v xml:space="preserve"> </v>
      </c>
      <c r="E5396" s="79" t="str">
        <f t="shared" si="6"/>
        <v xml:space="preserve"> </v>
      </c>
    </row>
    <row r="5397" spans="1:5" ht="12.5">
      <c r="A5397" s="81" t="str">
        <f t="shared" si="0"/>
        <v xml:space="preserve"> </v>
      </c>
      <c r="B5397" s="81" t="str">
        <f t="shared" si="1"/>
        <v xml:space="preserve"> </v>
      </c>
      <c r="C5397" s="79" t="str">
        <f t="shared" si="7"/>
        <v xml:space="preserve"> </v>
      </c>
      <c r="D5397" s="79" t="str">
        <f t="shared" si="5"/>
        <v xml:space="preserve"> </v>
      </c>
      <c r="E5397" s="79" t="str">
        <f t="shared" si="6"/>
        <v xml:space="preserve"> </v>
      </c>
    </row>
    <row r="5398" spans="1:5" ht="12.5">
      <c r="A5398" s="81" t="str">
        <f t="shared" si="0"/>
        <v xml:space="preserve"> </v>
      </c>
      <c r="B5398" s="81" t="str">
        <f t="shared" si="1"/>
        <v xml:space="preserve"> </v>
      </c>
      <c r="C5398" s="79" t="str">
        <f t="shared" si="7"/>
        <v xml:space="preserve"> </v>
      </c>
      <c r="D5398" s="79" t="str">
        <f t="shared" si="5"/>
        <v xml:space="preserve"> </v>
      </c>
      <c r="E5398" s="79" t="str">
        <f t="shared" si="6"/>
        <v xml:space="preserve"> </v>
      </c>
    </row>
    <row r="5399" spans="1:5" ht="12.5">
      <c r="A5399" s="81" t="str">
        <f t="shared" si="0"/>
        <v xml:space="preserve"> </v>
      </c>
      <c r="B5399" s="81" t="str">
        <f t="shared" si="1"/>
        <v xml:space="preserve"> </v>
      </c>
      <c r="C5399" s="79" t="str">
        <f t="shared" si="7"/>
        <v xml:space="preserve"> </v>
      </c>
      <c r="D5399" s="79" t="str">
        <f t="shared" si="5"/>
        <v xml:space="preserve"> </v>
      </c>
      <c r="E5399" s="79" t="str">
        <f t="shared" si="6"/>
        <v xml:space="preserve"> </v>
      </c>
    </row>
    <row r="5400" spans="1:5" ht="12.5">
      <c r="A5400" s="81" t="str">
        <f t="shared" si="0"/>
        <v xml:space="preserve"> </v>
      </c>
      <c r="B5400" s="81" t="str">
        <f t="shared" si="1"/>
        <v xml:space="preserve"> </v>
      </c>
      <c r="C5400" s="79" t="str">
        <f t="shared" si="7"/>
        <v xml:space="preserve"> </v>
      </c>
      <c r="D5400" s="79" t="str">
        <f t="shared" si="5"/>
        <v xml:space="preserve"> </v>
      </c>
      <c r="E5400" s="79" t="str">
        <f t="shared" si="6"/>
        <v xml:space="preserve"> </v>
      </c>
    </row>
    <row r="5401" spans="1:5" ht="12.5">
      <c r="A5401" s="81" t="str">
        <f t="shared" si="0"/>
        <v xml:space="preserve"> </v>
      </c>
      <c r="B5401" s="81" t="str">
        <f t="shared" si="1"/>
        <v xml:space="preserve"> </v>
      </c>
      <c r="C5401" s="79" t="str">
        <f t="shared" si="7"/>
        <v xml:space="preserve"> </v>
      </c>
      <c r="D5401" s="79" t="str">
        <f t="shared" si="5"/>
        <v xml:space="preserve"> </v>
      </c>
      <c r="E5401" s="79" t="str">
        <f t="shared" si="6"/>
        <v xml:space="preserve"> </v>
      </c>
    </row>
    <row r="5402" spans="1:5" ht="12.5">
      <c r="A5402" s="81" t="str">
        <f t="shared" si="0"/>
        <v xml:space="preserve"> </v>
      </c>
      <c r="B5402" s="81" t="str">
        <f t="shared" si="1"/>
        <v xml:space="preserve"> </v>
      </c>
      <c r="C5402" s="79" t="str">
        <f t="shared" si="7"/>
        <v xml:space="preserve"> </v>
      </c>
      <c r="D5402" s="79" t="str">
        <f t="shared" si="5"/>
        <v xml:space="preserve"> </v>
      </c>
      <c r="E5402" s="79" t="str">
        <f t="shared" si="6"/>
        <v xml:space="preserve"> </v>
      </c>
    </row>
    <row r="5403" spans="1:5" ht="12.5">
      <c r="A5403" s="81" t="str">
        <f t="shared" si="0"/>
        <v xml:space="preserve"> </v>
      </c>
      <c r="B5403" s="81" t="str">
        <f t="shared" si="1"/>
        <v xml:space="preserve"> </v>
      </c>
      <c r="C5403" s="79" t="str">
        <f t="shared" si="7"/>
        <v xml:space="preserve"> </v>
      </c>
      <c r="D5403" s="79" t="str">
        <f t="shared" si="5"/>
        <v xml:space="preserve"> </v>
      </c>
      <c r="E5403" s="79" t="str">
        <f t="shared" si="6"/>
        <v xml:space="preserve"> </v>
      </c>
    </row>
    <row r="5404" spans="1:5" ht="12.5">
      <c r="A5404" s="81" t="str">
        <f t="shared" si="0"/>
        <v xml:space="preserve"> </v>
      </c>
      <c r="B5404" s="81" t="str">
        <f t="shared" si="1"/>
        <v xml:space="preserve"> </v>
      </c>
      <c r="C5404" s="79" t="str">
        <f t="shared" si="7"/>
        <v xml:space="preserve"> </v>
      </c>
      <c r="D5404" s="79" t="str">
        <f t="shared" si="5"/>
        <v xml:space="preserve"> </v>
      </c>
      <c r="E5404" s="79" t="str">
        <f t="shared" si="6"/>
        <v xml:space="preserve"> </v>
      </c>
    </row>
    <row r="5405" spans="1:5" ht="12.5">
      <c r="A5405" s="81" t="str">
        <f t="shared" si="0"/>
        <v xml:space="preserve"> </v>
      </c>
      <c r="B5405" s="81" t="str">
        <f t="shared" si="1"/>
        <v xml:space="preserve"> </v>
      </c>
      <c r="C5405" s="79" t="str">
        <f t="shared" si="7"/>
        <v xml:space="preserve"> </v>
      </c>
      <c r="D5405" s="79" t="str">
        <f t="shared" si="5"/>
        <v xml:space="preserve"> </v>
      </c>
      <c r="E5405" s="79" t="str">
        <f t="shared" si="6"/>
        <v xml:space="preserve"> </v>
      </c>
    </row>
    <row r="5406" spans="1:5" ht="12.5">
      <c r="A5406" s="81" t="str">
        <f t="shared" si="0"/>
        <v xml:space="preserve"> </v>
      </c>
      <c r="B5406" s="81" t="str">
        <f t="shared" si="1"/>
        <v xml:space="preserve"> </v>
      </c>
      <c r="C5406" s="79" t="str">
        <f t="shared" si="7"/>
        <v xml:space="preserve"> </v>
      </c>
      <c r="D5406" s="79" t="str">
        <f t="shared" si="5"/>
        <v xml:space="preserve"> </v>
      </c>
      <c r="E5406" s="79" t="str">
        <f t="shared" si="6"/>
        <v xml:space="preserve"> </v>
      </c>
    </row>
    <row r="5407" spans="1:5" ht="12.5">
      <c r="A5407" s="81" t="str">
        <f t="shared" si="0"/>
        <v xml:space="preserve"> </v>
      </c>
      <c r="B5407" s="81" t="str">
        <f t="shared" si="1"/>
        <v xml:space="preserve"> </v>
      </c>
      <c r="C5407" s="79" t="str">
        <f t="shared" si="7"/>
        <v xml:space="preserve"> </v>
      </c>
      <c r="D5407" s="79" t="str">
        <f t="shared" si="5"/>
        <v xml:space="preserve"> </v>
      </c>
      <c r="E5407" s="79" t="str">
        <f t="shared" si="6"/>
        <v xml:space="preserve"> </v>
      </c>
    </row>
    <row r="5408" spans="1:5" ht="12.5">
      <c r="A5408" s="81" t="str">
        <f t="shared" si="0"/>
        <v xml:space="preserve"> </v>
      </c>
      <c r="B5408" s="81" t="str">
        <f t="shared" si="1"/>
        <v xml:space="preserve"> </v>
      </c>
      <c r="C5408" s="79" t="str">
        <f t="shared" si="7"/>
        <v xml:space="preserve"> </v>
      </c>
      <c r="D5408" s="79" t="str">
        <f t="shared" si="5"/>
        <v xml:space="preserve"> </v>
      </c>
      <c r="E5408" s="79" t="str">
        <f t="shared" si="6"/>
        <v xml:space="preserve"> </v>
      </c>
    </row>
    <row r="5409" spans="1:5" ht="12.5">
      <c r="A5409" s="81" t="str">
        <f t="shared" si="0"/>
        <v xml:space="preserve"> </v>
      </c>
      <c r="B5409" s="81" t="str">
        <f t="shared" si="1"/>
        <v xml:space="preserve"> </v>
      </c>
      <c r="C5409" s="79" t="str">
        <f t="shared" si="7"/>
        <v xml:space="preserve"> </v>
      </c>
      <c r="D5409" s="79" t="str">
        <f t="shared" si="5"/>
        <v xml:space="preserve"> </v>
      </c>
      <c r="E5409" s="79" t="str">
        <f t="shared" si="6"/>
        <v xml:space="preserve"> </v>
      </c>
    </row>
    <row r="5410" spans="1:5" ht="12.5">
      <c r="A5410" s="81" t="str">
        <f t="shared" si="0"/>
        <v xml:space="preserve"> </v>
      </c>
      <c r="B5410" s="81" t="str">
        <f t="shared" si="1"/>
        <v xml:space="preserve"> </v>
      </c>
      <c r="C5410" s="79" t="str">
        <f t="shared" si="7"/>
        <v xml:space="preserve"> </v>
      </c>
      <c r="D5410" s="79" t="str">
        <f t="shared" si="5"/>
        <v xml:space="preserve"> </v>
      </c>
      <c r="E5410" s="79" t="str">
        <f t="shared" si="6"/>
        <v xml:space="preserve"> </v>
      </c>
    </row>
    <row r="5411" spans="1:5" ht="12.5">
      <c r="A5411" s="81" t="str">
        <f t="shared" si="0"/>
        <v xml:space="preserve"> </v>
      </c>
      <c r="B5411" s="81" t="str">
        <f t="shared" si="1"/>
        <v xml:space="preserve"> </v>
      </c>
      <c r="C5411" s="79" t="str">
        <f t="shared" si="7"/>
        <v xml:space="preserve"> </v>
      </c>
      <c r="D5411" s="79" t="str">
        <f t="shared" si="5"/>
        <v xml:space="preserve"> </v>
      </c>
      <c r="E5411" s="79" t="str">
        <f t="shared" si="6"/>
        <v xml:space="preserve"> </v>
      </c>
    </row>
    <row r="5412" spans="1:5" ht="12.5">
      <c r="A5412" s="81" t="str">
        <f t="shared" si="0"/>
        <v xml:space="preserve"> </v>
      </c>
      <c r="B5412" s="81" t="str">
        <f t="shared" si="1"/>
        <v xml:space="preserve"> </v>
      </c>
      <c r="C5412" s="79" t="str">
        <f t="shared" si="7"/>
        <v xml:space="preserve"> </v>
      </c>
      <c r="D5412" s="79" t="str">
        <f t="shared" si="5"/>
        <v xml:space="preserve"> </v>
      </c>
      <c r="E5412" s="79" t="str">
        <f t="shared" si="6"/>
        <v xml:space="preserve"> </v>
      </c>
    </row>
    <row r="5413" spans="1:5" ht="12.5">
      <c r="A5413" s="81" t="str">
        <f t="shared" si="0"/>
        <v xml:space="preserve"> </v>
      </c>
      <c r="B5413" s="81" t="str">
        <f t="shared" si="1"/>
        <v xml:space="preserve"> </v>
      </c>
      <c r="C5413" s="79" t="str">
        <f t="shared" si="7"/>
        <v xml:space="preserve"> </v>
      </c>
      <c r="D5413" s="79" t="str">
        <f t="shared" si="5"/>
        <v xml:space="preserve"> </v>
      </c>
      <c r="E5413" s="79" t="str">
        <f t="shared" si="6"/>
        <v xml:space="preserve"> </v>
      </c>
    </row>
    <row r="5414" spans="1:5" ht="12.5">
      <c r="A5414" s="81" t="str">
        <f t="shared" si="0"/>
        <v xml:space="preserve"> </v>
      </c>
      <c r="B5414" s="81" t="str">
        <f t="shared" si="1"/>
        <v xml:space="preserve"> </v>
      </c>
      <c r="C5414" s="79" t="str">
        <f t="shared" si="7"/>
        <v xml:space="preserve"> </v>
      </c>
      <c r="D5414" s="79" t="str">
        <f t="shared" si="5"/>
        <v xml:space="preserve"> </v>
      </c>
      <c r="E5414" s="79" t="str">
        <f t="shared" si="6"/>
        <v xml:space="preserve"> </v>
      </c>
    </row>
    <row r="5415" spans="1:5" ht="12.5">
      <c r="A5415" s="81" t="str">
        <f t="shared" si="0"/>
        <v xml:space="preserve"> </v>
      </c>
      <c r="B5415" s="81" t="str">
        <f t="shared" si="1"/>
        <v xml:space="preserve"> </v>
      </c>
      <c r="C5415" s="79" t="str">
        <f t="shared" si="7"/>
        <v xml:space="preserve"> </v>
      </c>
      <c r="D5415" s="79" t="str">
        <f t="shared" si="5"/>
        <v xml:space="preserve"> </v>
      </c>
      <c r="E5415" s="79" t="str">
        <f t="shared" si="6"/>
        <v xml:space="preserve"> </v>
      </c>
    </row>
    <row r="5416" spans="1:5" ht="12.5">
      <c r="A5416" s="81" t="str">
        <f t="shared" si="0"/>
        <v xml:space="preserve"> </v>
      </c>
      <c r="B5416" s="81" t="str">
        <f t="shared" si="1"/>
        <v xml:space="preserve"> </v>
      </c>
      <c r="C5416" s="79" t="str">
        <f t="shared" si="7"/>
        <v xml:space="preserve"> </v>
      </c>
      <c r="D5416" s="79" t="str">
        <f t="shared" si="5"/>
        <v xml:space="preserve"> </v>
      </c>
      <c r="E5416" s="79" t="str">
        <f t="shared" si="6"/>
        <v xml:space="preserve"> </v>
      </c>
    </row>
    <row r="5417" spans="1:5" ht="12.5">
      <c r="A5417" s="81" t="str">
        <f t="shared" si="0"/>
        <v xml:space="preserve"> </v>
      </c>
      <c r="B5417" s="81" t="str">
        <f t="shared" si="1"/>
        <v xml:space="preserve"> </v>
      </c>
      <c r="C5417" s="79" t="str">
        <f t="shared" si="7"/>
        <v xml:space="preserve"> </v>
      </c>
      <c r="D5417" s="79" t="str">
        <f t="shared" si="5"/>
        <v xml:space="preserve"> </v>
      </c>
      <c r="E5417" s="79" t="str">
        <f t="shared" si="6"/>
        <v xml:space="preserve"> </v>
      </c>
    </row>
    <row r="5418" spans="1:5" ht="12.5">
      <c r="A5418" s="81" t="str">
        <f t="shared" si="0"/>
        <v xml:space="preserve"> </v>
      </c>
      <c r="B5418" s="81" t="str">
        <f t="shared" si="1"/>
        <v xml:space="preserve"> </v>
      </c>
      <c r="C5418" s="79" t="str">
        <f t="shared" si="7"/>
        <v xml:space="preserve"> </v>
      </c>
      <c r="D5418" s="79" t="str">
        <f t="shared" si="5"/>
        <v xml:space="preserve"> </v>
      </c>
      <c r="E5418" s="79" t="str">
        <f t="shared" si="6"/>
        <v xml:space="preserve"> </v>
      </c>
    </row>
    <row r="5419" spans="1:5" ht="12.5">
      <c r="A5419" s="81" t="str">
        <f t="shared" si="0"/>
        <v xml:space="preserve"> </v>
      </c>
      <c r="B5419" s="81" t="str">
        <f t="shared" si="1"/>
        <v xml:space="preserve"> </v>
      </c>
      <c r="C5419" s="79" t="str">
        <f t="shared" si="7"/>
        <v xml:space="preserve"> </v>
      </c>
      <c r="D5419" s="79" t="str">
        <f t="shared" si="5"/>
        <v xml:space="preserve"> </v>
      </c>
      <c r="E5419" s="79" t="str">
        <f t="shared" si="6"/>
        <v xml:space="preserve"> </v>
      </c>
    </row>
    <row r="5420" spans="1:5" ht="12.5">
      <c r="A5420" s="81" t="str">
        <f t="shared" si="0"/>
        <v xml:space="preserve"> </v>
      </c>
      <c r="B5420" s="81" t="str">
        <f t="shared" si="1"/>
        <v xml:space="preserve"> </v>
      </c>
      <c r="C5420" s="79" t="str">
        <f t="shared" si="7"/>
        <v xml:space="preserve"> </v>
      </c>
      <c r="D5420" s="79" t="str">
        <f t="shared" si="5"/>
        <v xml:space="preserve"> </v>
      </c>
      <c r="E5420" s="79" t="str">
        <f t="shared" si="6"/>
        <v xml:space="preserve"> </v>
      </c>
    </row>
    <row r="5421" spans="1:5" ht="12.5">
      <c r="A5421" s="81" t="str">
        <f t="shared" si="0"/>
        <v xml:space="preserve"> </v>
      </c>
      <c r="B5421" s="81" t="str">
        <f t="shared" si="1"/>
        <v xml:space="preserve"> </v>
      </c>
      <c r="C5421" s="79" t="str">
        <f t="shared" si="7"/>
        <v xml:space="preserve"> </v>
      </c>
      <c r="D5421" s="79" t="str">
        <f t="shared" si="5"/>
        <v xml:space="preserve"> </v>
      </c>
      <c r="E5421" s="79" t="str">
        <f t="shared" si="6"/>
        <v xml:space="preserve"> </v>
      </c>
    </row>
    <row r="5422" spans="1:5" ht="12.5">
      <c r="A5422" s="81" t="str">
        <f t="shared" si="0"/>
        <v xml:space="preserve"> </v>
      </c>
      <c r="B5422" s="81" t="str">
        <f t="shared" si="1"/>
        <v xml:space="preserve"> </v>
      </c>
      <c r="C5422" s="79" t="str">
        <f t="shared" si="7"/>
        <v xml:space="preserve"> </v>
      </c>
      <c r="D5422" s="79" t="str">
        <f t="shared" si="5"/>
        <v xml:space="preserve"> </v>
      </c>
      <c r="E5422" s="79" t="str">
        <f t="shared" si="6"/>
        <v xml:space="preserve"> </v>
      </c>
    </row>
    <row r="5423" spans="1:5" ht="12.5">
      <c r="A5423" s="81" t="str">
        <f t="shared" si="0"/>
        <v xml:space="preserve"> </v>
      </c>
      <c r="B5423" s="81" t="str">
        <f t="shared" si="1"/>
        <v xml:space="preserve"> </v>
      </c>
      <c r="C5423" s="79" t="str">
        <f t="shared" si="7"/>
        <v xml:space="preserve"> </v>
      </c>
      <c r="D5423" s="79" t="str">
        <f t="shared" si="5"/>
        <v xml:space="preserve"> </v>
      </c>
      <c r="E5423" s="79" t="str">
        <f t="shared" si="6"/>
        <v xml:space="preserve"> </v>
      </c>
    </row>
    <row r="5424" spans="1:5" ht="12.5">
      <c r="A5424" s="81" t="str">
        <f t="shared" si="0"/>
        <v xml:space="preserve"> </v>
      </c>
      <c r="B5424" s="81" t="str">
        <f t="shared" si="1"/>
        <v xml:space="preserve"> </v>
      </c>
      <c r="C5424" s="79" t="str">
        <f t="shared" si="7"/>
        <v xml:space="preserve"> </v>
      </c>
      <c r="D5424" s="79" t="str">
        <f t="shared" si="5"/>
        <v xml:space="preserve"> </v>
      </c>
      <c r="E5424" s="79" t="str">
        <f t="shared" si="6"/>
        <v xml:space="preserve"> </v>
      </c>
    </row>
    <row r="5425" spans="1:5" ht="12.5">
      <c r="A5425" s="81" t="str">
        <f t="shared" si="0"/>
        <v xml:space="preserve"> </v>
      </c>
      <c r="B5425" s="81" t="str">
        <f t="shared" si="1"/>
        <v xml:space="preserve"> </v>
      </c>
      <c r="C5425" s="79" t="str">
        <f t="shared" si="7"/>
        <v xml:space="preserve"> </v>
      </c>
      <c r="D5425" s="79" t="str">
        <f t="shared" si="5"/>
        <v xml:space="preserve"> </v>
      </c>
      <c r="E5425" s="79" t="str">
        <f t="shared" si="6"/>
        <v xml:space="preserve"> </v>
      </c>
    </row>
    <row r="5426" spans="1:5" ht="12.5">
      <c r="A5426" s="81" t="str">
        <f t="shared" si="0"/>
        <v xml:space="preserve"> </v>
      </c>
      <c r="B5426" s="81" t="str">
        <f t="shared" si="1"/>
        <v xml:space="preserve"> </v>
      </c>
      <c r="C5426" s="79" t="str">
        <f t="shared" si="7"/>
        <v xml:space="preserve"> </v>
      </c>
      <c r="D5426" s="79" t="str">
        <f t="shared" si="5"/>
        <v xml:space="preserve"> </v>
      </c>
      <c r="E5426" s="79" t="str">
        <f t="shared" si="6"/>
        <v xml:space="preserve"> </v>
      </c>
    </row>
    <row r="5427" spans="1:5" ht="12.5">
      <c r="A5427" s="81" t="str">
        <f t="shared" si="0"/>
        <v xml:space="preserve"> </v>
      </c>
      <c r="B5427" s="81" t="str">
        <f t="shared" si="1"/>
        <v xml:space="preserve"> </v>
      </c>
      <c r="C5427" s="79" t="str">
        <f t="shared" si="7"/>
        <v xml:space="preserve"> </v>
      </c>
      <c r="D5427" s="79" t="str">
        <f t="shared" si="5"/>
        <v xml:space="preserve"> </v>
      </c>
      <c r="E5427" s="79" t="str">
        <f t="shared" si="6"/>
        <v xml:space="preserve"> </v>
      </c>
    </row>
    <row r="5428" spans="1:5" ht="12.5">
      <c r="A5428" s="81" t="str">
        <f t="shared" si="0"/>
        <v xml:space="preserve"> </v>
      </c>
      <c r="B5428" s="81" t="str">
        <f t="shared" si="1"/>
        <v xml:space="preserve"> </v>
      </c>
      <c r="C5428" s="79" t="str">
        <f t="shared" si="7"/>
        <v xml:space="preserve"> </v>
      </c>
      <c r="D5428" s="79" t="str">
        <f t="shared" si="5"/>
        <v xml:space="preserve"> </v>
      </c>
      <c r="E5428" s="79" t="str">
        <f t="shared" si="6"/>
        <v xml:space="preserve"> </v>
      </c>
    </row>
    <row r="5429" spans="1:5" ht="12.5">
      <c r="A5429" s="81" t="str">
        <f t="shared" si="0"/>
        <v xml:space="preserve"> </v>
      </c>
      <c r="B5429" s="81" t="str">
        <f t="shared" si="1"/>
        <v xml:space="preserve"> </v>
      </c>
      <c r="C5429" s="79" t="str">
        <f t="shared" si="7"/>
        <v xml:space="preserve"> </v>
      </c>
      <c r="D5429" s="79" t="str">
        <f t="shared" si="5"/>
        <v xml:space="preserve"> </v>
      </c>
      <c r="E5429" s="79" t="str">
        <f t="shared" si="6"/>
        <v xml:space="preserve"> </v>
      </c>
    </row>
    <row r="5430" spans="1:5" ht="12.5">
      <c r="A5430" s="81" t="str">
        <f t="shared" si="0"/>
        <v xml:space="preserve"> </v>
      </c>
      <c r="B5430" s="81" t="str">
        <f t="shared" si="1"/>
        <v xml:space="preserve"> </v>
      </c>
      <c r="C5430" s="79" t="str">
        <f t="shared" si="7"/>
        <v xml:space="preserve"> </v>
      </c>
      <c r="D5430" s="79" t="str">
        <f t="shared" si="5"/>
        <v xml:space="preserve"> </v>
      </c>
      <c r="E5430" s="79" t="str">
        <f t="shared" si="6"/>
        <v xml:space="preserve"> </v>
      </c>
    </row>
    <row r="5431" spans="1:5" ht="12.5">
      <c r="A5431" s="81" t="str">
        <f t="shared" si="0"/>
        <v xml:space="preserve"> </v>
      </c>
      <c r="B5431" s="81" t="str">
        <f t="shared" si="1"/>
        <v xml:space="preserve"> </v>
      </c>
      <c r="C5431" s="79" t="str">
        <f t="shared" si="7"/>
        <v xml:space="preserve"> </v>
      </c>
      <c r="D5431" s="79" t="str">
        <f t="shared" si="5"/>
        <v xml:space="preserve"> </v>
      </c>
      <c r="E5431" s="79" t="str">
        <f t="shared" si="6"/>
        <v xml:space="preserve"> </v>
      </c>
    </row>
    <row r="5432" spans="1:5" ht="12.5">
      <c r="A5432" s="81" t="str">
        <f t="shared" si="0"/>
        <v xml:space="preserve"> </v>
      </c>
      <c r="B5432" s="81" t="str">
        <f t="shared" si="1"/>
        <v xml:space="preserve"> </v>
      </c>
      <c r="C5432" s="79" t="str">
        <f t="shared" si="7"/>
        <v xml:space="preserve"> </v>
      </c>
      <c r="D5432" s="79" t="str">
        <f t="shared" si="5"/>
        <v xml:space="preserve"> </v>
      </c>
      <c r="E5432" s="79" t="str">
        <f t="shared" si="6"/>
        <v xml:space="preserve"> </v>
      </c>
    </row>
    <row r="5433" spans="1:5" ht="12.5">
      <c r="A5433" s="81" t="str">
        <f t="shared" si="0"/>
        <v xml:space="preserve"> </v>
      </c>
      <c r="B5433" s="81" t="str">
        <f t="shared" si="1"/>
        <v xml:space="preserve"> </v>
      </c>
      <c r="C5433" s="79" t="str">
        <f t="shared" si="7"/>
        <v xml:space="preserve"> </v>
      </c>
      <c r="D5433" s="79" t="str">
        <f t="shared" si="5"/>
        <v xml:space="preserve"> </v>
      </c>
      <c r="E5433" s="79" t="str">
        <f t="shared" si="6"/>
        <v xml:space="preserve"> </v>
      </c>
    </row>
    <row r="5434" spans="1:5" ht="12.5">
      <c r="A5434" s="81" t="str">
        <f t="shared" si="0"/>
        <v xml:space="preserve"> </v>
      </c>
      <c r="B5434" s="81" t="str">
        <f t="shared" si="1"/>
        <v xml:space="preserve"> </v>
      </c>
      <c r="C5434" s="79" t="str">
        <f t="shared" si="7"/>
        <v xml:space="preserve"> </v>
      </c>
      <c r="D5434" s="79" t="str">
        <f t="shared" si="5"/>
        <v xml:space="preserve"> </v>
      </c>
      <c r="E5434" s="79" t="str">
        <f t="shared" si="6"/>
        <v xml:space="preserve"> </v>
      </c>
    </row>
    <row r="5435" spans="1:5" ht="12.5">
      <c r="A5435" s="81" t="str">
        <f t="shared" si="0"/>
        <v xml:space="preserve"> </v>
      </c>
      <c r="B5435" s="81" t="str">
        <f t="shared" si="1"/>
        <v xml:space="preserve"> </v>
      </c>
      <c r="C5435" s="79" t="str">
        <f t="shared" si="7"/>
        <v xml:space="preserve"> </v>
      </c>
      <c r="D5435" s="79" t="str">
        <f t="shared" si="5"/>
        <v xml:space="preserve"> </v>
      </c>
      <c r="E5435" s="79" t="str">
        <f t="shared" si="6"/>
        <v xml:space="preserve"> </v>
      </c>
    </row>
    <row r="5436" spans="1:5" ht="12.5">
      <c r="A5436" s="81" t="str">
        <f t="shared" si="0"/>
        <v xml:space="preserve"> </v>
      </c>
      <c r="B5436" s="81" t="str">
        <f t="shared" si="1"/>
        <v xml:space="preserve"> </v>
      </c>
      <c r="C5436" s="79" t="str">
        <f t="shared" si="7"/>
        <v xml:space="preserve"> </v>
      </c>
      <c r="D5436" s="79" t="str">
        <f t="shared" si="5"/>
        <v xml:space="preserve"> </v>
      </c>
      <c r="E5436" s="79" t="str">
        <f t="shared" si="6"/>
        <v xml:space="preserve"> </v>
      </c>
    </row>
    <row r="5437" spans="1:5" ht="12.5">
      <c r="A5437" s="81" t="str">
        <f t="shared" si="0"/>
        <v xml:space="preserve"> </v>
      </c>
      <c r="B5437" s="81" t="str">
        <f t="shared" si="1"/>
        <v xml:space="preserve"> </v>
      </c>
      <c r="C5437" s="79" t="str">
        <f t="shared" si="7"/>
        <v xml:space="preserve"> </v>
      </c>
      <c r="D5437" s="79" t="str">
        <f t="shared" si="5"/>
        <v xml:space="preserve"> </v>
      </c>
      <c r="E5437" s="79" t="str">
        <f t="shared" si="6"/>
        <v xml:space="preserve"> </v>
      </c>
    </row>
    <row r="5438" spans="1:5" ht="12.5">
      <c r="A5438" s="81" t="str">
        <f t="shared" si="0"/>
        <v xml:space="preserve"> </v>
      </c>
      <c r="B5438" s="81" t="str">
        <f t="shared" si="1"/>
        <v xml:space="preserve"> </v>
      </c>
      <c r="C5438" s="79" t="str">
        <f t="shared" si="7"/>
        <v xml:space="preserve"> </v>
      </c>
      <c r="D5438" s="79" t="str">
        <f t="shared" si="5"/>
        <v xml:space="preserve"> </v>
      </c>
      <c r="E5438" s="79" t="str">
        <f t="shared" si="6"/>
        <v xml:space="preserve"> </v>
      </c>
    </row>
    <row r="5439" spans="1:5" ht="12.5">
      <c r="A5439" s="81" t="str">
        <f t="shared" si="0"/>
        <v xml:space="preserve"> </v>
      </c>
      <c r="B5439" s="81" t="str">
        <f t="shared" si="1"/>
        <v xml:space="preserve"> </v>
      </c>
      <c r="C5439" s="79" t="str">
        <f t="shared" si="7"/>
        <v xml:space="preserve"> </v>
      </c>
      <c r="D5439" s="79" t="str">
        <f t="shared" si="5"/>
        <v xml:space="preserve"> </v>
      </c>
      <c r="E5439" s="79" t="str">
        <f t="shared" si="6"/>
        <v xml:space="preserve"> </v>
      </c>
    </row>
    <row r="5440" spans="1:5" ht="12.5">
      <c r="A5440" s="81" t="str">
        <f t="shared" si="0"/>
        <v xml:space="preserve"> </v>
      </c>
      <c r="B5440" s="81" t="str">
        <f t="shared" si="1"/>
        <v xml:space="preserve"> </v>
      </c>
      <c r="C5440" s="79" t="str">
        <f t="shared" si="7"/>
        <v xml:space="preserve"> </v>
      </c>
      <c r="D5440" s="79" t="str">
        <f t="shared" si="5"/>
        <v xml:space="preserve"> </v>
      </c>
      <c r="E5440" s="79" t="str">
        <f t="shared" si="6"/>
        <v xml:space="preserve"> </v>
      </c>
    </row>
    <row r="5441" spans="1:5" ht="12.5">
      <c r="A5441" s="81" t="str">
        <f t="shared" si="0"/>
        <v xml:space="preserve"> </v>
      </c>
      <c r="B5441" s="81" t="str">
        <f t="shared" si="1"/>
        <v xml:space="preserve"> </v>
      </c>
      <c r="C5441" s="79" t="str">
        <f t="shared" si="7"/>
        <v xml:space="preserve"> </v>
      </c>
      <c r="D5441" s="79" t="str">
        <f t="shared" si="5"/>
        <v xml:space="preserve"> </v>
      </c>
      <c r="E5441" s="79" t="str">
        <f t="shared" si="6"/>
        <v xml:space="preserve"> </v>
      </c>
    </row>
    <row r="5442" spans="1:5" ht="12.5">
      <c r="A5442" s="81" t="str">
        <f t="shared" si="0"/>
        <v xml:space="preserve"> </v>
      </c>
      <c r="B5442" s="81" t="str">
        <f t="shared" si="1"/>
        <v xml:space="preserve"> </v>
      </c>
      <c r="C5442" s="79" t="str">
        <f t="shared" si="7"/>
        <v xml:space="preserve"> </v>
      </c>
      <c r="D5442" s="79" t="str">
        <f t="shared" si="5"/>
        <v xml:space="preserve"> </v>
      </c>
      <c r="E5442" s="79" t="str">
        <f t="shared" si="6"/>
        <v xml:space="preserve"> </v>
      </c>
    </row>
    <row r="5443" spans="1:5" ht="12.5">
      <c r="A5443" s="81" t="str">
        <f t="shared" si="0"/>
        <v xml:space="preserve"> </v>
      </c>
      <c r="B5443" s="81" t="str">
        <f t="shared" si="1"/>
        <v xml:space="preserve"> </v>
      </c>
      <c r="C5443" s="79" t="str">
        <f t="shared" si="7"/>
        <v xml:space="preserve"> </v>
      </c>
      <c r="D5443" s="79" t="str">
        <f t="shared" si="5"/>
        <v xml:space="preserve"> </v>
      </c>
      <c r="E5443" s="79" t="str">
        <f t="shared" si="6"/>
        <v xml:space="preserve"> </v>
      </c>
    </row>
    <row r="5444" spans="1:5" ht="12.5">
      <c r="A5444" s="81" t="str">
        <f t="shared" si="0"/>
        <v xml:space="preserve"> </v>
      </c>
      <c r="B5444" s="81" t="str">
        <f t="shared" si="1"/>
        <v xml:space="preserve"> </v>
      </c>
      <c r="C5444" s="79" t="str">
        <f t="shared" si="7"/>
        <v xml:space="preserve"> </v>
      </c>
      <c r="D5444" s="79" t="str">
        <f t="shared" si="5"/>
        <v xml:space="preserve"> </v>
      </c>
      <c r="E5444" s="79" t="str">
        <f t="shared" si="6"/>
        <v xml:space="preserve"> </v>
      </c>
    </row>
    <row r="5445" spans="1:5" ht="12.5">
      <c r="A5445" s="81" t="str">
        <f t="shared" si="0"/>
        <v xml:space="preserve"> </v>
      </c>
      <c r="B5445" s="81" t="str">
        <f t="shared" si="1"/>
        <v xml:space="preserve"> </v>
      </c>
      <c r="C5445" s="79" t="str">
        <f t="shared" si="7"/>
        <v xml:space="preserve"> </v>
      </c>
      <c r="D5445" s="79" t="str">
        <f t="shared" si="5"/>
        <v xml:space="preserve"> </v>
      </c>
      <c r="E5445" s="79" t="str">
        <f t="shared" si="6"/>
        <v xml:space="preserve"> </v>
      </c>
    </row>
    <row r="5446" spans="1:5" ht="12.5">
      <c r="A5446" s="81" t="str">
        <f t="shared" si="0"/>
        <v xml:space="preserve"> </v>
      </c>
      <c r="B5446" s="81" t="str">
        <f t="shared" si="1"/>
        <v xml:space="preserve"> </v>
      </c>
      <c r="C5446" s="79" t="str">
        <f t="shared" si="7"/>
        <v xml:space="preserve"> </v>
      </c>
      <c r="D5446" s="79" t="str">
        <f t="shared" si="5"/>
        <v xml:space="preserve"> </v>
      </c>
      <c r="E5446" s="79" t="str">
        <f t="shared" si="6"/>
        <v xml:space="preserve"> </v>
      </c>
    </row>
    <row r="5447" spans="1:5" ht="12.5">
      <c r="A5447" s="81" t="str">
        <f t="shared" si="0"/>
        <v xml:space="preserve"> </v>
      </c>
      <c r="B5447" s="81" t="str">
        <f t="shared" si="1"/>
        <v xml:space="preserve"> </v>
      </c>
      <c r="C5447" s="79" t="str">
        <f t="shared" si="7"/>
        <v xml:space="preserve"> </v>
      </c>
      <c r="D5447" s="79" t="str">
        <f t="shared" si="5"/>
        <v xml:space="preserve"> </v>
      </c>
      <c r="E5447" s="79" t="str">
        <f t="shared" si="6"/>
        <v xml:space="preserve"> </v>
      </c>
    </row>
    <row r="5448" spans="1:5" ht="12.5">
      <c r="A5448" s="81" t="str">
        <f t="shared" si="0"/>
        <v xml:space="preserve"> </v>
      </c>
      <c r="B5448" s="81" t="str">
        <f t="shared" si="1"/>
        <v xml:space="preserve"> </v>
      </c>
      <c r="C5448" s="79" t="str">
        <f t="shared" si="7"/>
        <v xml:space="preserve"> </v>
      </c>
      <c r="D5448" s="79" t="str">
        <f t="shared" si="5"/>
        <v xml:space="preserve"> </v>
      </c>
      <c r="E5448" s="79" t="str">
        <f t="shared" si="6"/>
        <v xml:space="preserve"> </v>
      </c>
    </row>
    <row r="5449" spans="1:5" ht="12.5">
      <c r="A5449" s="81" t="str">
        <f t="shared" si="0"/>
        <v xml:space="preserve"> </v>
      </c>
      <c r="B5449" s="81" t="str">
        <f t="shared" si="1"/>
        <v xml:space="preserve"> </v>
      </c>
      <c r="C5449" s="79" t="str">
        <f t="shared" si="7"/>
        <v xml:space="preserve"> </v>
      </c>
      <c r="D5449" s="79" t="str">
        <f t="shared" si="5"/>
        <v xml:space="preserve"> </v>
      </c>
      <c r="E5449" s="79" t="str">
        <f t="shared" si="6"/>
        <v xml:space="preserve"> </v>
      </c>
    </row>
    <row r="5450" spans="1:5" ht="12.5">
      <c r="A5450" s="81" t="str">
        <f t="shared" si="0"/>
        <v xml:space="preserve"> </v>
      </c>
      <c r="B5450" s="81" t="str">
        <f t="shared" si="1"/>
        <v xml:space="preserve"> </v>
      </c>
      <c r="C5450" s="79" t="str">
        <f t="shared" si="7"/>
        <v xml:space="preserve"> </v>
      </c>
      <c r="D5450" s="79" t="str">
        <f t="shared" si="5"/>
        <v xml:space="preserve"> </v>
      </c>
      <c r="E5450" s="79" t="str">
        <f t="shared" si="6"/>
        <v xml:space="preserve"> </v>
      </c>
    </row>
    <row r="5451" spans="1:5" ht="12.5">
      <c r="A5451" s="81" t="str">
        <f t="shared" si="0"/>
        <v xml:space="preserve"> </v>
      </c>
      <c r="B5451" s="81" t="str">
        <f t="shared" si="1"/>
        <v xml:space="preserve"> </v>
      </c>
      <c r="C5451" s="79" t="str">
        <f t="shared" si="7"/>
        <v xml:space="preserve"> </v>
      </c>
      <c r="D5451" s="79" t="str">
        <f t="shared" si="5"/>
        <v xml:space="preserve"> </v>
      </c>
      <c r="E5451" s="79" t="str">
        <f t="shared" si="6"/>
        <v xml:space="preserve"> </v>
      </c>
    </row>
    <row r="5452" spans="1:5" ht="12.5">
      <c r="A5452" s="81" t="str">
        <f t="shared" si="0"/>
        <v xml:space="preserve"> </v>
      </c>
      <c r="B5452" s="81" t="str">
        <f t="shared" si="1"/>
        <v xml:space="preserve"> </v>
      </c>
      <c r="C5452" s="79" t="str">
        <f t="shared" si="7"/>
        <v xml:space="preserve"> </v>
      </c>
      <c r="D5452" s="79" t="str">
        <f t="shared" si="5"/>
        <v xml:space="preserve"> </v>
      </c>
      <c r="E5452" s="79" t="str">
        <f t="shared" si="6"/>
        <v xml:space="preserve"> </v>
      </c>
    </row>
    <row r="5453" spans="1:5" ht="12.5">
      <c r="A5453" s="81" t="str">
        <f t="shared" si="0"/>
        <v xml:space="preserve"> </v>
      </c>
      <c r="B5453" s="81" t="str">
        <f t="shared" si="1"/>
        <v xml:space="preserve"> </v>
      </c>
      <c r="C5453" s="79" t="str">
        <f t="shared" si="7"/>
        <v xml:space="preserve"> </v>
      </c>
      <c r="D5453" s="79" t="str">
        <f t="shared" si="5"/>
        <v xml:space="preserve"> </v>
      </c>
      <c r="E5453" s="79" t="str">
        <f t="shared" si="6"/>
        <v xml:space="preserve"> </v>
      </c>
    </row>
    <row r="5454" spans="1:5" ht="12.5">
      <c r="A5454" s="81" t="str">
        <f t="shared" si="0"/>
        <v xml:space="preserve"> </v>
      </c>
      <c r="B5454" s="81" t="str">
        <f t="shared" si="1"/>
        <v xml:space="preserve"> </v>
      </c>
      <c r="C5454" s="79" t="str">
        <f t="shared" si="7"/>
        <v xml:space="preserve"> </v>
      </c>
      <c r="D5454" s="79" t="str">
        <f t="shared" si="5"/>
        <v xml:space="preserve"> </v>
      </c>
      <c r="E5454" s="79" t="str">
        <f t="shared" si="6"/>
        <v xml:space="preserve"> </v>
      </c>
    </row>
    <row r="5455" spans="1:5" ht="12.5">
      <c r="A5455" s="81" t="str">
        <f t="shared" si="0"/>
        <v xml:space="preserve"> </v>
      </c>
      <c r="B5455" s="81" t="str">
        <f t="shared" si="1"/>
        <v xml:space="preserve"> </v>
      </c>
      <c r="C5455" s="79" t="str">
        <f t="shared" si="7"/>
        <v xml:space="preserve"> </v>
      </c>
      <c r="D5455" s="79" t="str">
        <f t="shared" si="5"/>
        <v xml:space="preserve"> </v>
      </c>
      <c r="E5455" s="79" t="str">
        <f t="shared" si="6"/>
        <v xml:space="preserve"> </v>
      </c>
    </row>
    <row r="5456" spans="1:5" ht="12.5">
      <c r="A5456" s="81" t="str">
        <f t="shared" si="0"/>
        <v xml:space="preserve"> </v>
      </c>
      <c r="B5456" s="81" t="str">
        <f t="shared" si="1"/>
        <v xml:space="preserve"> </v>
      </c>
      <c r="C5456" s="79" t="str">
        <f t="shared" si="7"/>
        <v xml:space="preserve"> </v>
      </c>
      <c r="D5456" s="79" t="str">
        <f t="shared" si="5"/>
        <v xml:space="preserve"> </v>
      </c>
      <c r="E5456" s="79" t="str">
        <f t="shared" si="6"/>
        <v xml:space="preserve"> </v>
      </c>
    </row>
    <row r="5457" spans="1:5" ht="12.5">
      <c r="A5457" s="81" t="str">
        <f t="shared" si="0"/>
        <v xml:space="preserve"> </v>
      </c>
      <c r="B5457" s="81" t="str">
        <f t="shared" si="1"/>
        <v xml:space="preserve"> </v>
      </c>
      <c r="C5457" s="79" t="str">
        <f t="shared" si="7"/>
        <v xml:space="preserve"> </v>
      </c>
      <c r="D5457" s="79" t="str">
        <f t="shared" si="5"/>
        <v xml:space="preserve"> </v>
      </c>
      <c r="E5457" s="79" t="str">
        <f t="shared" si="6"/>
        <v xml:space="preserve"> </v>
      </c>
    </row>
    <row r="5458" spans="1:5" ht="12.5">
      <c r="A5458" s="81" t="str">
        <f t="shared" si="0"/>
        <v xml:space="preserve"> </v>
      </c>
      <c r="B5458" s="81" t="str">
        <f t="shared" si="1"/>
        <v xml:space="preserve"> </v>
      </c>
      <c r="C5458" s="79" t="str">
        <f t="shared" si="7"/>
        <v xml:space="preserve"> </v>
      </c>
      <c r="D5458" s="79" t="str">
        <f t="shared" si="5"/>
        <v xml:space="preserve"> </v>
      </c>
      <c r="E5458" s="79" t="str">
        <f t="shared" si="6"/>
        <v xml:space="preserve"> </v>
      </c>
    </row>
    <row r="5459" spans="1:5" ht="12.5">
      <c r="A5459" s="81" t="str">
        <f t="shared" si="0"/>
        <v xml:space="preserve"> </v>
      </c>
      <c r="B5459" s="81" t="str">
        <f t="shared" si="1"/>
        <v xml:space="preserve"> </v>
      </c>
      <c r="C5459" s="79" t="str">
        <f t="shared" si="7"/>
        <v xml:space="preserve"> </v>
      </c>
      <c r="D5459" s="79" t="str">
        <f t="shared" si="5"/>
        <v xml:space="preserve"> </v>
      </c>
      <c r="E5459" s="79" t="str">
        <f t="shared" si="6"/>
        <v xml:space="preserve"> </v>
      </c>
    </row>
    <row r="5460" spans="1:5" ht="12.5">
      <c r="A5460" s="81" t="str">
        <f t="shared" si="0"/>
        <v xml:space="preserve"> </v>
      </c>
      <c r="B5460" s="81" t="str">
        <f t="shared" si="1"/>
        <v xml:space="preserve"> </v>
      </c>
      <c r="C5460" s="79" t="str">
        <f t="shared" si="7"/>
        <v xml:space="preserve"> </v>
      </c>
      <c r="D5460" s="79" t="str">
        <f t="shared" si="5"/>
        <v xml:space="preserve"> </v>
      </c>
      <c r="E5460" s="79" t="str">
        <f t="shared" si="6"/>
        <v xml:space="preserve"> </v>
      </c>
    </row>
    <row r="5461" spans="1:5" ht="12.5">
      <c r="A5461" s="81" t="str">
        <f t="shared" si="0"/>
        <v xml:space="preserve"> </v>
      </c>
      <c r="B5461" s="81" t="str">
        <f t="shared" si="1"/>
        <v xml:space="preserve"> </v>
      </c>
      <c r="C5461" s="79" t="str">
        <f t="shared" si="7"/>
        <v xml:space="preserve"> </v>
      </c>
      <c r="D5461" s="79" t="str">
        <f t="shared" si="5"/>
        <v xml:space="preserve"> </v>
      </c>
      <c r="E5461" s="79" t="str">
        <f t="shared" si="6"/>
        <v xml:space="preserve"> </v>
      </c>
    </row>
    <row r="5462" spans="1:5" ht="12.5">
      <c r="A5462" s="81" t="str">
        <f t="shared" si="0"/>
        <v xml:space="preserve"> </v>
      </c>
      <c r="B5462" s="81" t="str">
        <f t="shared" si="1"/>
        <v xml:space="preserve"> </v>
      </c>
      <c r="C5462" s="79" t="str">
        <f t="shared" si="7"/>
        <v xml:space="preserve"> </v>
      </c>
      <c r="D5462" s="79" t="str">
        <f t="shared" si="5"/>
        <v xml:space="preserve"> </v>
      </c>
      <c r="E5462" s="79" t="str">
        <f t="shared" si="6"/>
        <v xml:space="preserve"> </v>
      </c>
    </row>
    <row r="5463" spans="1:5" ht="12.5">
      <c r="A5463" s="81" t="str">
        <f t="shared" si="0"/>
        <v xml:space="preserve"> </v>
      </c>
      <c r="B5463" s="81" t="str">
        <f t="shared" si="1"/>
        <v xml:space="preserve"> </v>
      </c>
      <c r="C5463" s="79" t="str">
        <f t="shared" si="7"/>
        <v xml:space="preserve"> </v>
      </c>
      <c r="D5463" s="79" t="str">
        <f t="shared" si="5"/>
        <v xml:space="preserve"> </v>
      </c>
      <c r="E5463" s="79" t="str">
        <f t="shared" si="6"/>
        <v xml:space="preserve"> </v>
      </c>
    </row>
    <row r="5464" spans="1:5" ht="12.5">
      <c r="A5464" s="81" t="str">
        <f t="shared" si="0"/>
        <v xml:space="preserve"> </v>
      </c>
      <c r="B5464" s="81" t="str">
        <f t="shared" si="1"/>
        <v xml:space="preserve"> </v>
      </c>
      <c r="C5464" s="79" t="str">
        <f t="shared" si="7"/>
        <v xml:space="preserve"> </v>
      </c>
      <c r="D5464" s="79" t="str">
        <f t="shared" si="5"/>
        <v xml:space="preserve"> </v>
      </c>
      <c r="E5464" s="79" t="str">
        <f t="shared" si="6"/>
        <v xml:space="preserve"> </v>
      </c>
    </row>
    <row r="5465" spans="1:5" ht="12.5">
      <c r="A5465" s="81" t="str">
        <f t="shared" si="0"/>
        <v xml:space="preserve"> </v>
      </c>
      <c r="B5465" s="81" t="str">
        <f t="shared" si="1"/>
        <v xml:space="preserve"> </v>
      </c>
      <c r="C5465" s="79" t="str">
        <f t="shared" si="7"/>
        <v xml:space="preserve"> </v>
      </c>
      <c r="D5465" s="79" t="str">
        <f t="shared" si="5"/>
        <v xml:space="preserve"> </v>
      </c>
      <c r="E5465" s="79" t="str">
        <f t="shared" si="6"/>
        <v xml:space="preserve"> </v>
      </c>
    </row>
    <row r="5466" spans="1:5" ht="12.5">
      <c r="A5466" s="81" t="str">
        <f t="shared" si="0"/>
        <v xml:space="preserve"> </v>
      </c>
      <c r="B5466" s="81" t="str">
        <f t="shared" si="1"/>
        <v xml:space="preserve"> </v>
      </c>
      <c r="C5466" s="79" t="str">
        <f t="shared" si="7"/>
        <v xml:space="preserve"> </v>
      </c>
      <c r="D5466" s="79" t="str">
        <f t="shared" si="5"/>
        <v xml:space="preserve"> </v>
      </c>
      <c r="E5466" s="79" t="str">
        <f t="shared" si="6"/>
        <v xml:space="preserve"> </v>
      </c>
    </row>
    <row r="5467" spans="1:5" ht="12.5">
      <c r="A5467" s="81" t="str">
        <f t="shared" si="0"/>
        <v xml:space="preserve"> </v>
      </c>
      <c r="B5467" s="81" t="str">
        <f t="shared" si="1"/>
        <v xml:space="preserve"> </v>
      </c>
      <c r="C5467" s="79" t="str">
        <f t="shared" si="7"/>
        <v xml:space="preserve"> </v>
      </c>
      <c r="D5467" s="79" t="str">
        <f t="shared" si="5"/>
        <v xml:space="preserve"> </v>
      </c>
      <c r="E5467" s="79" t="str">
        <f t="shared" si="6"/>
        <v xml:space="preserve"> </v>
      </c>
    </row>
    <row r="5468" spans="1:5" ht="12.5">
      <c r="A5468" s="81" t="str">
        <f t="shared" si="0"/>
        <v xml:space="preserve"> </v>
      </c>
      <c r="B5468" s="81" t="str">
        <f t="shared" si="1"/>
        <v xml:space="preserve"> </v>
      </c>
      <c r="C5468" s="79" t="str">
        <f t="shared" si="7"/>
        <v xml:space="preserve"> </v>
      </c>
      <c r="D5468" s="79" t="str">
        <f t="shared" si="5"/>
        <v xml:space="preserve"> </v>
      </c>
      <c r="E5468" s="79" t="str">
        <f t="shared" si="6"/>
        <v xml:space="preserve"> </v>
      </c>
    </row>
    <row r="5469" spans="1:5" ht="12.5">
      <c r="A5469" s="81" t="str">
        <f t="shared" si="0"/>
        <v xml:space="preserve"> </v>
      </c>
      <c r="B5469" s="81" t="str">
        <f t="shared" si="1"/>
        <v xml:space="preserve"> </v>
      </c>
      <c r="C5469" s="79" t="str">
        <f t="shared" si="7"/>
        <v xml:space="preserve"> </v>
      </c>
      <c r="D5469" s="79" t="str">
        <f t="shared" si="5"/>
        <v xml:space="preserve"> </v>
      </c>
      <c r="E5469" s="79" t="str">
        <f t="shared" si="6"/>
        <v xml:space="preserve"> </v>
      </c>
    </row>
    <row r="5470" spans="1:5" ht="12.5">
      <c r="A5470" s="81" t="str">
        <f t="shared" si="0"/>
        <v xml:space="preserve"> </v>
      </c>
      <c r="B5470" s="81" t="str">
        <f t="shared" si="1"/>
        <v xml:space="preserve"> </v>
      </c>
      <c r="C5470" s="79" t="str">
        <f t="shared" si="7"/>
        <v xml:space="preserve"> </v>
      </c>
      <c r="D5470" s="79" t="str">
        <f t="shared" si="5"/>
        <v xml:space="preserve"> </v>
      </c>
      <c r="E5470" s="79" t="str">
        <f t="shared" si="6"/>
        <v xml:space="preserve"> </v>
      </c>
    </row>
    <row r="5471" spans="1:5" ht="12.5">
      <c r="A5471" s="81" t="str">
        <f t="shared" si="0"/>
        <v xml:space="preserve"> </v>
      </c>
      <c r="B5471" s="81" t="str">
        <f t="shared" si="1"/>
        <v xml:space="preserve"> </v>
      </c>
      <c r="C5471" s="79" t="str">
        <f t="shared" si="7"/>
        <v xml:space="preserve"> </v>
      </c>
      <c r="D5471" s="79" t="str">
        <f t="shared" si="5"/>
        <v xml:space="preserve"> </v>
      </c>
      <c r="E5471" s="79" t="str">
        <f t="shared" si="6"/>
        <v xml:space="preserve"> </v>
      </c>
    </row>
    <row r="5472" spans="1:5" ht="12.5">
      <c r="A5472" s="81" t="str">
        <f t="shared" si="0"/>
        <v xml:space="preserve"> </v>
      </c>
      <c r="B5472" s="81" t="str">
        <f t="shared" si="1"/>
        <v xml:space="preserve"> </v>
      </c>
      <c r="C5472" s="79" t="str">
        <f t="shared" si="7"/>
        <v xml:space="preserve"> </v>
      </c>
      <c r="D5472" s="79" t="str">
        <f t="shared" si="5"/>
        <v xml:space="preserve"> </v>
      </c>
      <c r="E5472" s="79" t="str">
        <f t="shared" si="6"/>
        <v xml:space="preserve"> </v>
      </c>
    </row>
    <row r="5473" spans="1:5" ht="12.5">
      <c r="A5473" s="81" t="str">
        <f t="shared" si="0"/>
        <v xml:space="preserve"> </v>
      </c>
      <c r="B5473" s="81" t="str">
        <f t="shared" si="1"/>
        <v xml:space="preserve"> </v>
      </c>
      <c r="C5473" s="79" t="str">
        <f t="shared" si="7"/>
        <v xml:space="preserve"> </v>
      </c>
      <c r="D5473" s="79" t="str">
        <f t="shared" si="5"/>
        <v xml:space="preserve"> </v>
      </c>
      <c r="E5473" s="79" t="str">
        <f t="shared" si="6"/>
        <v xml:space="preserve"> </v>
      </c>
    </row>
    <row r="5474" spans="1:5" ht="12.5">
      <c r="A5474" s="81" t="str">
        <f t="shared" si="0"/>
        <v xml:space="preserve"> </v>
      </c>
      <c r="B5474" s="81" t="str">
        <f t="shared" si="1"/>
        <v xml:space="preserve"> </v>
      </c>
      <c r="C5474" s="79" t="str">
        <f t="shared" si="7"/>
        <v xml:space="preserve"> </v>
      </c>
      <c r="D5474" s="79" t="str">
        <f t="shared" si="5"/>
        <v xml:space="preserve"> </v>
      </c>
      <c r="E5474" s="79" t="str">
        <f t="shared" si="6"/>
        <v xml:space="preserve"> </v>
      </c>
    </row>
    <row r="5475" spans="1:5" ht="12.5">
      <c r="A5475" s="81" t="str">
        <f t="shared" si="0"/>
        <v xml:space="preserve"> </v>
      </c>
      <c r="B5475" s="81" t="str">
        <f t="shared" si="1"/>
        <v xml:space="preserve"> </v>
      </c>
      <c r="C5475" s="79" t="str">
        <f t="shared" si="7"/>
        <v xml:space="preserve"> </v>
      </c>
      <c r="D5475" s="79" t="str">
        <f t="shared" si="5"/>
        <v xml:space="preserve"> </v>
      </c>
      <c r="E5475" s="79" t="str">
        <f t="shared" si="6"/>
        <v xml:space="preserve"> </v>
      </c>
    </row>
    <row r="5476" spans="1:5" ht="12.5">
      <c r="A5476" s="81" t="str">
        <f t="shared" si="0"/>
        <v xml:space="preserve"> </v>
      </c>
      <c r="B5476" s="81" t="str">
        <f t="shared" si="1"/>
        <v xml:space="preserve"> </v>
      </c>
      <c r="C5476" s="79" t="str">
        <f t="shared" si="7"/>
        <v xml:space="preserve"> </v>
      </c>
      <c r="D5476" s="79" t="str">
        <f t="shared" si="5"/>
        <v xml:space="preserve"> </v>
      </c>
      <c r="E5476" s="79" t="str">
        <f t="shared" si="6"/>
        <v xml:space="preserve"> </v>
      </c>
    </row>
    <row r="5477" spans="1:5" ht="12.5">
      <c r="A5477" s="81" t="str">
        <f t="shared" si="0"/>
        <v xml:space="preserve"> </v>
      </c>
      <c r="B5477" s="81" t="str">
        <f t="shared" si="1"/>
        <v xml:space="preserve"> </v>
      </c>
      <c r="C5477" s="79" t="str">
        <f t="shared" si="7"/>
        <v xml:space="preserve"> </v>
      </c>
      <c r="D5477" s="79" t="str">
        <f t="shared" si="5"/>
        <v xml:space="preserve"> </v>
      </c>
      <c r="E5477" s="79" t="str">
        <f t="shared" si="6"/>
        <v xml:space="preserve"> </v>
      </c>
    </row>
    <row r="5478" spans="1:5" ht="12.5">
      <c r="A5478" s="81" t="str">
        <f t="shared" si="0"/>
        <v xml:space="preserve"> </v>
      </c>
      <c r="B5478" s="81" t="str">
        <f t="shared" si="1"/>
        <v xml:space="preserve"> </v>
      </c>
      <c r="C5478" s="79" t="str">
        <f t="shared" si="7"/>
        <v xml:space="preserve"> </v>
      </c>
      <c r="D5478" s="79" t="str">
        <f t="shared" si="5"/>
        <v xml:space="preserve"> </v>
      </c>
      <c r="E5478" s="79" t="str">
        <f t="shared" si="6"/>
        <v xml:space="preserve"> </v>
      </c>
    </row>
    <row r="5479" spans="1:5" ht="12.5">
      <c r="A5479" s="81" t="str">
        <f t="shared" si="0"/>
        <v xml:space="preserve"> </v>
      </c>
      <c r="B5479" s="81" t="str">
        <f t="shared" si="1"/>
        <v xml:space="preserve"> </v>
      </c>
      <c r="C5479" s="79" t="str">
        <f t="shared" si="7"/>
        <v xml:space="preserve"> </v>
      </c>
      <c r="D5479" s="79" t="str">
        <f t="shared" si="5"/>
        <v xml:space="preserve"> </v>
      </c>
      <c r="E5479" s="79" t="str">
        <f t="shared" si="6"/>
        <v xml:space="preserve"> </v>
      </c>
    </row>
    <row r="5480" spans="1:5" ht="12.5">
      <c r="A5480" s="81" t="str">
        <f t="shared" si="0"/>
        <v xml:space="preserve"> </v>
      </c>
      <c r="B5480" s="81" t="str">
        <f t="shared" si="1"/>
        <v xml:space="preserve"> </v>
      </c>
      <c r="C5480" s="79" t="str">
        <f t="shared" si="7"/>
        <v xml:space="preserve"> </v>
      </c>
      <c r="D5480" s="79" t="str">
        <f t="shared" si="5"/>
        <v xml:space="preserve"> </v>
      </c>
      <c r="E5480" s="79" t="str">
        <f t="shared" si="6"/>
        <v xml:space="preserve"> </v>
      </c>
    </row>
    <row r="5481" spans="1:5" ht="12.5">
      <c r="A5481" s="81" t="str">
        <f t="shared" si="0"/>
        <v xml:space="preserve"> </v>
      </c>
      <c r="B5481" s="81" t="str">
        <f t="shared" si="1"/>
        <v xml:space="preserve"> </v>
      </c>
      <c r="C5481" s="79" t="str">
        <f t="shared" si="7"/>
        <v xml:space="preserve"> </v>
      </c>
      <c r="D5481" s="79" t="str">
        <f t="shared" si="5"/>
        <v xml:space="preserve"> </v>
      </c>
      <c r="E5481" s="79" t="str">
        <f t="shared" si="6"/>
        <v xml:space="preserve"> </v>
      </c>
    </row>
    <row r="5482" spans="1:5" ht="12.5">
      <c r="A5482" s="81" t="str">
        <f t="shared" si="0"/>
        <v xml:space="preserve"> </v>
      </c>
      <c r="B5482" s="81" t="str">
        <f t="shared" si="1"/>
        <v xml:space="preserve"> </v>
      </c>
      <c r="C5482" s="79" t="str">
        <f t="shared" si="7"/>
        <v xml:space="preserve"> </v>
      </c>
      <c r="D5482" s="79" t="str">
        <f t="shared" si="5"/>
        <v xml:space="preserve"> </v>
      </c>
      <c r="E5482" s="79" t="str">
        <f t="shared" si="6"/>
        <v xml:space="preserve"> </v>
      </c>
    </row>
    <row r="5483" spans="1:5" ht="12.5">
      <c r="A5483" s="81" t="str">
        <f t="shared" si="0"/>
        <v xml:space="preserve"> </v>
      </c>
      <c r="B5483" s="81" t="str">
        <f t="shared" si="1"/>
        <v xml:space="preserve"> </v>
      </c>
      <c r="C5483" s="79" t="str">
        <f t="shared" si="7"/>
        <v xml:space="preserve"> </v>
      </c>
      <c r="D5483" s="79" t="str">
        <f t="shared" si="5"/>
        <v xml:space="preserve"> </v>
      </c>
      <c r="E5483" s="79" t="str">
        <f t="shared" si="6"/>
        <v xml:space="preserve"> </v>
      </c>
    </row>
    <row r="5484" spans="1:5" ht="12.5">
      <c r="A5484" s="81" t="str">
        <f t="shared" si="0"/>
        <v xml:space="preserve"> </v>
      </c>
      <c r="B5484" s="81" t="str">
        <f t="shared" si="1"/>
        <v xml:space="preserve"> </v>
      </c>
      <c r="C5484" s="79" t="str">
        <f t="shared" si="7"/>
        <v xml:space="preserve"> </v>
      </c>
      <c r="D5484" s="79" t="str">
        <f t="shared" si="5"/>
        <v xml:space="preserve"> </v>
      </c>
      <c r="E5484" s="79" t="str">
        <f t="shared" si="6"/>
        <v xml:space="preserve"> </v>
      </c>
    </row>
    <row r="5485" spans="1:5" ht="12.5">
      <c r="A5485" s="81" t="str">
        <f t="shared" si="0"/>
        <v xml:space="preserve"> </v>
      </c>
      <c r="B5485" s="81" t="str">
        <f t="shared" si="1"/>
        <v xml:space="preserve"> </v>
      </c>
      <c r="C5485" s="79" t="str">
        <f t="shared" si="7"/>
        <v xml:space="preserve"> </v>
      </c>
      <c r="D5485" s="79" t="str">
        <f t="shared" si="5"/>
        <v xml:space="preserve"> </v>
      </c>
      <c r="E5485" s="79" t="str">
        <f t="shared" si="6"/>
        <v xml:space="preserve"> </v>
      </c>
    </row>
    <row r="5486" spans="1:5" ht="12.5">
      <c r="A5486" s="81" t="str">
        <f t="shared" si="0"/>
        <v xml:space="preserve"> </v>
      </c>
      <c r="B5486" s="81" t="str">
        <f t="shared" si="1"/>
        <v xml:space="preserve"> </v>
      </c>
      <c r="C5486" s="79" t="str">
        <f t="shared" si="7"/>
        <v xml:space="preserve"> </v>
      </c>
      <c r="D5486" s="79" t="str">
        <f t="shared" si="5"/>
        <v xml:space="preserve"> </v>
      </c>
      <c r="E5486" s="79" t="str">
        <f t="shared" si="6"/>
        <v xml:space="preserve"> </v>
      </c>
    </row>
    <row r="5487" spans="1:5" ht="12.5">
      <c r="A5487" s="81" t="str">
        <f t="shared" si="0"/>
        <v xml:space="preserve"> </v>
      </c>
      <c r="B5487" s="81" t="str">
        <f t="shared" si="1"/>
        <v xml:space="preserve"> </v>
      </c>
      <c r="C5487" s="79" t="str">
        <f t="shared" si="7"/>
        <v xml:space="preserve"> </v>
      </c>
      <c r="D5487" s="79" t="str">
        <f t="shared" si="5"/>
        <v xml:space="preserve"> </v>
      </c>
      <c r="E5487" s="79" t="str">
        <f t="shared" si="6"/>
        <v xml:space="preserve"> </v>
      </c>
    </row>
    <row r="5488" spans="1:5" ht="12.5">
      <c r="A5488" s="81" t="str">
        <f t="shared" si="0"/>
        <v xml:space="preserve"> </v>
      </c>
      <c r="B5488" s="81" t="str">
        <f t="shared" si="1"/>
        <v xml:space="preserve"> </v>
      </c>
      <c r="C5488" s="79" t="str">
        <f t="shared" si="7"/>
        <v xml:space="preserve"> </v>
      </c>
      <c r="D5488" s="79" t="str">
        <f t="shared" si="5"/>
        <v xml:space="preserve"> </v>
      </c>
      <c r="E5488" s="79" t="str">
        <f t="shared" si="6"/>
        <v xml:space="preserve"> </v>
      </c>
    </row>
    <row r="5489" spans="1:5" ht="12.5">
      <c r="A5489" s="81" t="str">
        <f t="shared" si="0"/>
        <v xml:space="preserve"> </v>
      </c>
      <c r="B5489" s="81" t="str">
        <f t="shared" si="1"/>
        <v xml:space="preserve"> </v>
      </c>
      <c r="C5489" s="79" t="str">
        <f t="shared" si="7"/>
        <v xml:space="preserve"> </v>
      </c>
      <c r="D5489" s="79" t="str">
        <f t="shared" si="5"/>
        <v xml:space="preserve"> </v>
      </c>
      <c r="E5489" s="79" t="str">
        <f t="shared" si="6"/>
        <v xml:space="preserve"> </v>
      </c>
    </row>
    <row r="5490" spans="1:5" ht="12.5">
      <c r="A5490" s="81" t="str">
        <f t="shared" si="0"/>
        <v xml:space="preserve"> </v>
      </c>
      <c r="B5490" s="81" t="str">
        <f t="shared" si="1"/>
        <v xml:space="preserve"> </v>
      </c>
      <c r="C5490" s="79" t="str">
        <f t="shared" si="7"/>
        <v xml:space="preserve"> </v>
      </c>
      <c r="D5490" s="79" t="str">
        <f t="shared" si="5"/>
        <v xml:space="preserve"> </v>
      </c>
      <c r="E5490" s="79" t="str">
        <f t="shared" si="6"/>
        <v xml:space="preserve"> </v>
      </c>
    </row>
    <row r="5491" spans="1:5" ht="12.5">
      <c r="A5491" s="81" t="str">
        <f t="shared" si="0"/>
        <v xml:space="preserve"> </v>
      </c>
      <c r="B5491" s="81" t="str">
        <f t="shared" si="1"/>
        <v xml:space="preserve"> </v>
      </c>
      <c r="C5491" s="79" t="str">
        <f t="shared" si="7"/>
        <v xml:space="preserve"> </v>
      </c>
      <c r="D5491" s="79" t="str">
        <f t="shared" si="5"/>
        <v xml:space="preserve"> </v>
      </c>
      <c r="E5491" s="79" t="str">
        <f t="shared" si="6"/>
        <v xml:space="preserve"> </v>
      </c>
    </row>
    <row r="5492" spans="1:5" ht="12.5">
      <c r="A5492" s="81" t="str">
        <f t="shared" si="0"/>
        <v xml:space="preserve"> </v>
      </c>
      <c r="B5492" s="81" t="str">
        <f t="shared" si="1"/>
        <v xml:space="preserve"> </v>
      </c>
      <c r="C5492" s="79" t="str">
        <f t="shared" si="7"/>
        <v xml:space="preserve"> </v>
      </c>
      <c r="D5492" s="79" t="str">
        <f t="shared" si="5"/>
        <v xml:space="preserve"> </v>
      </c>
      <c r="E5492" s="79" t="str">
        <f t="shared" si="6"/>
        <v xml:space="preserve"> </v>
      </c>
    </row>
    <row r="5493" spans="1:5" ht="12.5">
      <c r="A5493" s="81" t="str">
        <f t="shared" si="0"/>
        <v xml:space="preserve"> </v>
      </c>
      <c r="B5493" s="81" t="str">
        <f t="shared" si="1"/>
        <v xml:space="preserve"> </v>
      </c>
      <c r="C5493" s="79" t="str">
        <f t="shared" si="7"/>
        <v xml:space="preserve"> </v>
      </c>
      <c r="D5493" s="79" t="str">
        <f t="shared" si="5"/>
        <v xml:space="preserve"> </v>
      </c>
      <c r="E5493" s="79" t="str">
        <f t="shared" si="6"/>
        <v xml:space="preserve"> </v>
      </c>
    </row>
    <row r="5494" spans="1:5" ht="12.5">
      <c r="A5494" s="81" t="str">
        <f t="shared" si="0"/>
        <v xml:space="preserve"> </v>
      </c>
      <c r="B5494" s="81" t="str">
        <f t="shared" si="1"/>
        <v xml:space="preserve"> </v>
      </c>
      <c r="C5494" s="79" t="str">
        <f t="shared" si="7"/>
        <v xml:space="preserve"> </v>
      </c>
      <c r="D5494" s="79" t="str">
        <f t="shared" si="5"/>
        <v xml:space="preserve"> </v>
      </c>
      <c r="E5494" s="79" t="str">
        <f t="shared" si="6"/>
        <v xml:space="preserve"> </v>
      </c>
    </row>
    <row r="5495" spans="1:5" ht="12.5">
      <c r="A5495" s="81" t="str">
        <f t="shared" si="0"/>
        <v xml:space="preserve"> </v>
      </c>
      <c r="B5495" s="81" t="str">
        <f t="shared" si="1"/>
        <v xml:space="preserve"> </v>
      </c>
      <c r="C5495" s="79" t="str">
        <f t="shared" si="7"/>
        <v xml:space="preserve"> </v>
      </c>
      <c r="D5495" s="79" t="str">
        <f t="shared" si="5"/>
        <v xml:space="preserve"> </v>
      </c>
      <c r="E5495" s="79" t="str">
        <f t="shared" si="6"/>
        <v xml:space="preserve"> </v>
      </c>
    </row>
    <row r="5496" spans="1:5" ht="12.5">
      <c r="A5496" s="81" t="str">
        <f t="shared" si="0"/>
        <v xml:space="preserve"> </v>
      </c>
      <c r="B5496" s="81" t="str">
        <f t="shared" si="1"/>
        <v xml:space="preserve"> </v>
      </c>
      <c r="C5496" s="79" t="str">
        <f t="shared" si="7"/>
        <v xml:space="preserve"> </v>
      </c>
      <c r="D5496" s="79" t="str">
        <f t="shared" si="5"/>
        <v xml:space="preserve"> </v>
      </c>
      <c r="E5496" s="79" t="str">
        <f t="shared" si="6"/>
        <v xml:space="preserve"> </v>
      </c>
    </row>
    <row r="5497" spans="1:5" ht="12.5">
      <c r="A5497" s="81" t="str">
        <f t="shared" si="0"/>
        <v xml:space="preserve"> </v>
      </c>
      <c r="B5497" s="81" t="str">
        <f t="shared" si="1"/>
        <v xml:space="preserve"> </v>
      </c>
      <c r="C5497" s="79" t="str">
        <f t="shared" si="7"/>
        <v xml:space="preserve"> </v>
      </c>
      <c r="D5497" s="79" t="str">
        <f t="shared" si="5"/>
        <v xml:space="preserve"> </v>
      </c>
      <c r="E5497" s="79" t="str">
        <f t="shared" si="6"/>
        <v xml:space="preserve"> </v>
      </c>
    </row>
    <row r="5498" spans="1:5" ht="12.5">
      <c r="A5498" s="81" t="str">
        <f t="shared" si="0"/>
        <v xml:space="preserve"> </v>
      </c>
      <c r="B5498" s="81" t="str">
        <f t="shared" si="1"/>
        <v xml:space="preserve"> </v>
      </c>
      <c r="C5498" s="79" t="str">
        <f t="shared" si="7"/>
        <v xml:space="preserve"> </v>
      </c>
      <c r="D5498" s="79" t="str">
        <f t="shared" si="5"/>
        <v xml:space="preserve"> </v>
      </c>
      <c r="E5498" s="79" t="str">
        <f t="shared" si="6"/>
        <v xml:space="preserve"> </v>
      </c>
    </row>
    <row r="5499" spans="1:5" ht="12.5">
      <c r="A5499" s="81" t="str">
        <f t="shared" si="0"/>
        <v xml:space="preserve"> </v>
      </c>
      <c r="B5499" s="81" t="str">
        <f t="shared" si="1"/>
        <v xml:space="preserve"> </v>
      </c>
      <c r="C5499" s="79" t="str">
        <f t="shared" si="7"/>
        <v xml:space="preserve"> </v>
      </c>
      <c r="D5499" s="79" t="str">
        <f t="shared" si="5"/>
        <v xml:space="preserve"> </v>
      </c>
      <c r="E5499" s="79" t="str">
        <f t="shared" si="6"/>
        <v xml:space="preserve"> </v>
      </c>
    </row>
    <row r="5500" spans="1:5" ht="12.5">
      <c r="A5500" s="81" t="str">
        <f t="shared" si="0"/>
        <v xml:space="preserve"> </v>
      </c>
      <c r="B5500" s="81" t="str">
        <f t="shared" si="1"/>
        <v xml:space="preserve"> </v>
      </c>
      <c r="C5500" s="79" t="str">
        <f t="shared" si="7"/>
        <v xml:space="preserve"> </v>
      </c>
      <c r="D5500" s="79" t="str">
        <f t="shared" si="5"/>
        <v xml:space="preserve"> </v>
      </c>
      <c r="E5500" s="79" t="str">
        <f t="shared" si="6"/>
        <v xml:space="preserve"> </v>
      </c>
    </row>
    <row r="5501" spans="1:5" ht="12.5">
      <c r="A5501" s="81" t="str">
        <f t="shared" si="0"/>
        <v xml:space="preserve"> </v>
      </c>
      <c r="B5501" s="81" t="str">
        <f t="shared" si="1"/>
        <v xml:space="preserve"> </v>
      </c>
      <c r="C5501" s="79" t="str">
        <f t="shared" si="7"/>
        <v xml:space="preserve"> </v>
      </c>
      <c r="D5501" s="79" t="str">
        <f t="shared" si="5"/>
        <v xml:space="preserve"> </v>
      </c>
      <c r="E5501" s="79" t="str">
        <f t="shared" si="6"/>
        <v xml:space="preserve"> </v>
      </c>
    </row>
    <row r="5502" spans="1:5" ht="12.5">
      <c r="A5502" s="81" t="str">
        <f t="shared" si="0"/>
        <v xml:space="preserve"> </v>
      </c>
      <c r="B5502" s="81" t="str">
        <f t="shared" si="1"/>
        <v xml:space="preserve"> </v>
      </c>
      <c r="C5502" s="79" t="str">
        <f t="shared" si="7"/>
        <v xml:space="preserve"> </v>
      </c>
      <c r="D5502" s="79" t="str">
        <f t="shared" si="5"/>
        <v xml:space="preserve"> </v>
      </c>
      <c r="E5502" s="79" t="str">
        <f t="shared" si="6"/>
        <v xml:space="preserve"> </v>
      </c>
    </row>
    <row r="5503" spans="1:5" ht="12.5">
      <c r="A5503" s="81" t="str">
        <f t="shared" si="0"/>
        <v xml:space="preserve"> </v>
      </c>
      <c r="B5503" s="81" t="str">
        <f t="shared" si="1"/>
        <v xml:space="preserve"> </v>
      </c>
      <c r="C5503" s="79" t="str">
        <f t="shared" si="7"/>
        <v xml:space="preserve"> </v>
      </c>
      <c r="D5503" s="79" t="str">
        <f t="shared" si="5"/>
        <v xml:space="preserve"> </v>
      </c>
      <c r="E5503" s="79" t="str">
        <f t="shared" si="6"/>
        <v xml:space="preserve"> </v>
      </c>
    </row>
    <row r="5504" spans="1:5" ht="12.5">
      <c r="A5504" s="81" t="str">
        <f t="shared" si="0"/>
        <v xml:space="preserve"> </v>
      </c>
      <c r="B5504" s="81" t="str">
        <f t="shared" si="1"/>
        <v xml:space="preserve"> </v>
      </c>
      <c r="C5504" s="79" t="str">
        <f t="shared" si="7"/>
        <v xml:space="preserve"> </v>
      </c>
      <c r="D5504" s="79" t="str">
        <f t="shared" si="5"/>
        <v xml:space="preserve"> </v>
      </c>
      <c r="E5504" s="79" t="str">
        <f t="shared" si="6"/>
        <v xml:space="preserve"> </v>
      </c>
    </row>
    <row r="5505" spans="1:5" ht="12.5">
      <c r="A5505" s="81" t="str">
        <f t="shared" si="0"/>
        <v xml:space="preserve"> </v>
      </c>
      <c r="B5505" s="81" t="str">
        <f t="shared" si="1"/>
        <v xml:space="preserve"> </v>
      </c>
      <c r="C5505" s="79" t="str">
        <f t="shared" si="7"/>
        <v xml:space="preserve"> </v>
      </c>
      <c r="D5505" s="79" t="str">
        <f t="shared" si="5"/>
        <v xml:space="preserve"> </v>
      </c>
      <c r="E5505" s="79" t="str">
        <f t="shared" si="6"/>
        <v xml:space="preserve"> </v>
      </c>
    </row>
    <row r="5506" spans="1:5" ht="12.5">
      <c r="A5506" s="81" t="str">
        <f t="shared" si="0"/>
        <v xml:space="preserve"> </v>
      </c>
      <c r="B5506" s="81" t="str">
        <f t="shared" si="1"/>
        <v xml:space="preserve"> </v>
      </c>
      <c r="C5506" s="79" t="str">
        <f t="shared" si="7"/>
        <v xml:space="preserve"> </v>
      </c>
      <c r="D5506" s="79" t="str">
        <f t="shared" si="5"/>
        <v xml:space="preserve"> </v>
      </c>
      <c r="E5506" s="79" t="str">
        <f t="shared" si="6"/>
        <v xml:space="preserve"> </v>
      </c>
    </row>
    <row r="5507" spans="1:5" ht="12.5">
      <c r="A5507" s="81" t="str">
        <f t="shared" si="0"/>
        <v xml:space="preserve"> </v>
      </c>
      <c r="B5507" s="81" t="str">
        <f t="shared" si="1"/>
        <v xml:space="preserve"> </v>
      </c>
      <c r="C5507" s="79" t="str">
        <f t="shared" si="7"/>
        <v xml:space="preserve"> </v>
      </c>
      <c r="D5507" s="79" t="str">
        <f t="shared" si="5"/>
        <v xml:space="preserve"> </v>
      </c>
      <c r="E5507" s="79" t="str">
        <f t="shared" si="6"/>
        <v xml:space="preserve"> </v>
      </c>
    </row>
    <row r="5508" spans="1:5" ht="12.5">
      <c r="A5508" s="81" t="str">
        <f t="shared" si="0"/>
        <v xml:space="preserve"> </v>
      </c>
      <c r="B5508" s="81" t="str">
        <f t="shared" si="1"/>
        <v xml:space="preserve"> </v>
      </c>
      <c r="C5508" s="79" t="str">
        <f t="shared" si="7"/>
        <v xml:space="preserve"> </v>
      </c>
      <c r="D5508" s="79" t="str">
        <f t="shared" si="5"/>
        <v xml:space="preserve"> </v>
      </c>
      <c r="E5508" s="79" t="str">
        <f t="shared" si="6"/>
        <v xml:space="preserve"> </v>
      </c>
    </row>
    <row r="5509" spans="1:5" ht="12.5">
      <c r="A5509" s="81" t="str">
        <f t="shared" si="0"/>
        <v xml:space="preserve"> </v>
      </c>
      <c r="B5509" s="81" t="str">
        <f t="shared" si="1"/>
        <v xml:space="preserve"> </v>
      </c>
      <c r="C5509" s="79" t="str">
        <f t="shared" si="7"/>
        <v xml:space="preserve"> </v>
      </c>
      <c r="D5509" s="79" t="str">
        <f t="shared" si="5"/>
        <v xml:space="preserve"> </v>
      </c>
      <c r="E5509" s="79" t="str">
        <f t="shared" si="6"/>
        <v xml:space="preserve"> </v>
      </c>
    </row>
    <row r="5510" spans="1:5" ht="12.5">
      <c r="A5510" s="81" t="str">
        <f t="shared" si="0"/>
        <v xml:space="preserve"> </v>
      </c>
      <c r="B5510" s="81" t="str">
        <f t="shared" si="1"/>
        <v xml:space="preserve"> </v>
      </c>
      <c r="C5510" s="79" t="str">
        <f t="shared" si="7"/>
        <v xml:space="preserve"> </v>
      </c>
      <c r="D5510" s="79" t="str">
        <f t="shared" si="5"/>
        <v xml:space="preserve"> </v>
      </c>
      <c r="E5510" s="79" t="str">
        <f t="shared" si="6"/>
        <v xml:space="preserve"> </v>
      </c>
    </row>
    <row r="5511" spans="1:5" ht="12.5">
      <c r="A5511" s="81" t="str">
        <f t="shared" si="0"/>
        <v xml:space="preserve"> </v>
      </c>
      <c r="B5511" s="81" t="str">
        <f t="shared" si="1"/>
        <v xml:space="preserve"> </v>
      </c>
      <c r="C5511" s="79" t="str">
        <f t="shared" si="7"/>
        <v xml:space="preserve"> </v>
      </c>
      <c r="D5511" s="79" t="str">
        <f t="shared" si="5"/>
        <v xml:space="preserve"> </v>
      </c>
      <c r="E5511" s="79" t="str">
        <f t="shared" si="6"/>
        <v xml:space="preserve"> </v>
      </c>
    </row>
    <row r="5512" spans="1:5" ht="12.5">
      <c r="A5512" s="81" t="str">
        <f t="shared" si="0"/>
        <v xml:space="preserve"> </v>
      </c>
      <c r="B5512" s="81" t="str">
        <f t="shared" si="1"/>
        <v xml:space="preserve"> </v>
      </c>
      <c r="C5512" s="79" t="str">
        <f t="shared" si="7"/>
        <v xml:space="preserve"> </v>
      </c>
      <c r="D5512" s="79" t="str">
        <f t="shared" si="5"/>
        <v xml:space="preserve"> </v>
      </c>
      <c r="E5512" s="79" t="str">
        <f t="shared" si="6"/>
        <v xml:space="preserve"> </v>
      </c>
    </row>
    <row r="5513" spans="1:5" ht="12.5">
      <c r="A5513" s="81" t="str">
        <f t="shared" si="0"/>
        <v xml:space="preserve"> </v>
      </c>
      <c r="B5513" s="81" t="str">
        <f t="shared" si="1"/>
        <v xml:space="preserve"> </v>
      </c>
      <c r="C5513" s="79" t="str">
        <f t="shared" si="7"/>
        <v xml:space="preserve"> </v>
      </c>
      <c r="D5513" s="79" t="str">
        <f t="shared" si="5"/>
        <v xml:space="preserve"> </v>
      </c>
      <c r="E5513" s="79" t="str">
        <f t="shared" si="6"/>
        <v xml:space="preserve"> </v>
      </c>
    </row>
    <row r="5514" spans="1:5" ht="12.5">
      <c r="A5514" s="81" t="str">
        <f t="shared" si="0"/>
        <v xml:space="preserve"> </v>
      </c>
      <c r="B5514" s="81" t="str">
        <f t="shared" si="1"/>
        <v xml:space="preserve"> </v>
      </c>
      <c r="C5514" s="79" t="str">
        <f t="shared" si="7"/>
        <v xml:space="preserve"> </v>
      </c>
      <c r="D5514" s="79" t="str">
        <f t="shared" si="5"/>
        <v xml:space="preserve"> </v>
      </c>
      <c r="E5514" s="79" t="str">
        <f t="shared" si="6"/>
        <v xml:space="preserve"> </v>
      </c>
    </row>
    <row r="5515" spans="1:5" ht="12.5">
      <c r="A5515" s="81" t="str">
        <f t="shared" si="0"/>
        <v xml:space="preserve"> </v>
      </c>
      <c r="B5515" s="81" t="str">
        <f t="shared" si="1"/>
        <v xml:space="preserve"> </v>
      </c>
      <c r="C5515" s="79" t="str">
        <f t="shared" si="7"/>
        <v xml:space="preserve"> </v>
      </c>
      <c r="D5515" s="79" t="str">
        <f t="shared" si="5"/>
        <v xml:space="preserve"> </v>
      </c>
      <c r="E5515" s="79" t="str">
        <f t="shared" si="6"/>
        <v xml:space="preserve"> </v>
      </c>
    </row>
    <row r="5516" spans="1:5" ht="12.5">
      <c r="A5516" s="81" t="str">
        <f t="shared" si="0"/>
        <v xml:space="preserve"> </v>
      </c>
      <c r="B5516" s="81" t="str">
        <f t="shared" si="1"/>
        <v xml:space="preserve"> </v>
      </c>
      <c r="C5516" s="79" t="str">
        <f t="shared" si="7"/>
        <v xml:space="preserve"> </v>
      </c>
      <c r="D5516" s="79" t="str">
        <f t="shared" si="5"/>
        <v xml:space="preserve"> </v>
      </c>
      <c r="E5516" s="79" t="str">
        <f t="shared" si="6"/>
        <v xml:space="preserve"> </v>
      </c>
    </row>
    <row r="5517" spans="1:5" ht="12.5">
      <c r="A5517" s="81" t="str">
        <f t="shared" si="0"/>
        <v xml:space="preserve"> </v>
      </c>
      <c r="B5517" s="81" t="str">
        <f t="shared" si="1"/>
        <v xml:space="preserve"> </v>
      </c>
      <c r="C5517" s="79" t="str">
        <f t="shared" si="7"/>
        <v xml:space="preserve"> </v>
      </c>
      <c r="D5517" s="79" t="str">
        <f t="shared" si="5"/>
        <v xml:space="preserve"> </v>
      </c>
      <c r="E5517" s="79" t="str">
        <f t="shared" si="6"/>
        <v xml:space="preserve"> </v>
      </c>
    </row>
    <row r="5518" spans="1:5" ht="12.5">
      <c r="A5518" s="81" t="str">
        <f t="shared" si="0"/>
        <v xml:space="preserve"> </v>
      </c>
      <c r="B5518" s="81" t="str">
        <f t="shared" si="1"/>
        <v xml:space="preserve"> </v>
      </c>
      <c r="C5518" s="79" t="str">
        <f t="shared" si="7"/>
        <v xml:space="preserve"> </v>
      </c>
      <c r="D5518" s="79" t="str">
        <f t="shared" si="5"/>
        <v xml:space="preserve"> </v>
      </c>
      <c r="E5518" s="79" t="str">
        <f t="shared" si="6"/>
        <v xml:space="preserve"> </v>
      </c>
    </row>
    <row r="5519" spans="1:5" ht="12.5">
      <c r="A5519" s="81" t="str">
        <f t="shared" si="0"/>
        <v xml:space="preserve"> </v>
      </c>
      <c r="B5519" s="81" t="str">
        <f t="shared" si="1"/>
        <v xml:space="preserve"> </v>
      </c>
      <c r="C5519" s="79" t="str">
        <f t="shared" si="7"/>
        <v xml:space="preserve"> </v>
      </c>
      <c r="D5519" s="79" t="str">
        <f t="shared" si="5"/>
        <v xml:space="preserve"> </v>
      </c>
      <c r="E5519" s="79" t="str">
        <f t="shared" si="6"/>
        <v xml:space="preserve"> </v>
      </c>
    </row>
    <row r="5520" spans="1:5" ht="12.5">
      <c r="A5520" s="81" t="str">
        <f t="shared" si="0"/>
        <v xml:space="preserve"> </v>
      </c>
      <c r="B5520" s="81" t="str">
        <f t="shared" si="1"/>
        <v xml:space="preserve"> </v>
      </c>
      <c r="C5520" s="79" t="str">
        <f t="shared" si="7"/>
        <v xml:space="preserve"> </v>
      </c>
      <c r="D5520" s="79" t="str">
        <f t="shared" si="5"/>
        <v xml:space="preserve"> </v>
      </c>
      <c r="E5520" s="79" t="str">
        <f t="shared" si="6"/>
        <v xml:space="preserve"> </v>
      </c>
    </row>
    <row r="5521" spans="1:5" ht="12.5">
      <c r="A5521" s="81" t="str">
        <f t="shared" si="0"/>
        <v xml:space="preserve"> </v>
      </c>
      <c r="B5521" s="81" t="str">
        <f t="shared" si="1"/>
        <v xml:space="preserve"> </v>
      </c>
      <c r="C5521" s="79" t="str">
        <f t="shared" si="7"/>
        <v xml:space="preserve"> </v>
      </c>
      <c r="D5521" s="79" t="str">
        <f t="shared" si="5"/>
        <v xml:space="preserve"> </v>
      </c>
      <c r="E5521" s="79" t="str">
        <f t="shared" si="6"/>
        <v xml:space="preserve"> </v>
      </c>
    </row>
    <row r="5522" spans="1:5" ht="12.5">
      <c r="A5522" s="81" t="str">
        <f t="shared" si="0"/>
        <v xml:space="preserve"> </v>
      </c>
      <c r="B5522" s="81" t="str">
        <f t="shared" si="1"/>
        <v xml:space="preserve"> </v>
      </c>
      <c r="C5522" s="79" t="str">
        <f t="shared" si="7"/>
        <v xml:space="preserve"> </v>
      </c>
      <c r="D5522" s="79" t="str">
        <f t="shared" si="5"/>
        <v xml:space="preserve"> </v>
      </c>
      <c r="E5522" s="79" t="str">
        <f t="shared" si="6"/>
        <v xml:space="preserve"> </v>
      </c>
    </row>
    <row r="5523" spans="1:5" ht="12.5">
      <c r="A5523" s="81" t="str">
        <f t="shared" si="0"/>
        <v xml:space="preserve"> </v>
      </c>
      <c r="B5523" s="81" t="str">
        <f t="shared" si="1"/>
        <v xml:space="preserve"> </v>
      </c>
      <c r="C5523" s="79" t="str">
        <f t="shared" si="7"/>
        <v xml:space="preserve"> </v>
      </c>
      <c r="D5523" s="79" t="str">
        <f t="shared" si="5"/>
        <v xml:space="preserve"> </v>
      </c>
      <c r="E5523" s="79" t="str">
        <f t="shared" si="6"/>
        <v xml:space="preserve"> </v>
      </c>
    </row>
    <row r="5524" spans="1:5" ht="12.5">
      <c r="A5524" s="81" t="str">
        <f t="shared" si="0"/>
        <v xml:space="preserve"> </v>
      </c>
      <c r="B5524" s="81" t="str">
        <f t="shared" si="1"/>
        <v xml:space="preserve"> </v>
      </c>
      <c r="C5524" s="79" t="str">
        <f t="shared" si="7"/>
        <v xml:space="preserve"> </v>
      </c>
      <c r="D5524" s="79" t="str">
        <f t="shared" si="5"/>
        <v xml:space="preserve"> </v>
      </c>
      <c r="E5524" s="79" t="str">
        <f t="shared" si="6"/>
        <v xml:space="preserve"> </v>
      </c>
    </row>
    <row r="5525" spans="1:5" ht="12.5">
      <c r="A5525" s="81" t="str">
        <f t="shared" si="0"/>
        <v xml:space="preserve"> </v>
      </c>
      <c r="B5525" s="81" t="str">
        <f t="shared" si="1"/>
        <v xml:space="preserve"> </v>
      </c>
      <c r="C5525" s="79" t="str">
        <f t="shared" si="7"/>
        <v xml:space="preserve"> </v>
      </c>
      <c r="D5525" s="79" t="str">
        <f t="shared" si="5"/>
        <v xml:space="preserve"> </v>
      </c>
      <c r="E5525" s="79" t="str">
        <f t="shared" si="6"/>
        <v xml:space="preserve"> </v>
      </c>
    </row>
    <row r="5526" spans="1:5" ht="12.5">
      <c r="A5526" s="81" t="str">
        <f t="shared" si="0"/>
        <v xml:space="preserve"> </v>
      </c>
      <c r="B5526" s="81" t="str">
        <f t="shared" si="1"/>
        <v xml:space="preserve"> </v>
      </c>
      <c r="C5526" s="79" t="str">
        <f t="shared" si="7"/>
        <v xml:space="preserve"> </v>
      </c>
      <c r="D5526" s="79" t="str">
        <f t="shared" si="5"/>
        <v xml:space="preserve"> </v>
      </c>
      <c r="E5526" s="79" t="str">
        <f t="shared" si="6"/>
        <v xml:space="preserve"> </v>
      </c>
    </row>
    <row r="5527" spans="1:5" ht="12.5">
      <c r="A5527" s="81" t="str">
        <f t="shared" si="0"/>
        <v xml:space="preserve"> </v>
      </c>
      <c r="B5527" s="81" t="str">
        <f t="shared" si="1"/>
        <v xml:space="preserve"> </v>
      </c>
      <c r="C5527" s="79" t="str">
        <f t="shared" si="7"/>
        <v xml:space="preserve"> </v>
      </c>
      <c r="D5527" s="79" t="str">
        <f t="shared" si="5"/>
        <v xml:space="preserve"> </v>
      </c>
      <c r="E5527" s="79" t="str">
        <f t="shared" si="6"/>
        <v xml:space="preserve"> </v>
      </c>
    </row>
    <row r="5528" spans="1:5" ht="12.5">
      <c r="A5528" s="81" t="str">
        <f t="shared" si="0"/>
        <v xml:space="preserve"> </v>
      </c>
      <c r="B5528" s="81" t="str">
        <f t="shared" si="1"/>
        <v xml:space="preserve"> </v>
      </c>
      <c r="C5528" s="79" t="str">
        <f t="shared" si="7"/>
        <v xml:space="preserve"> </v>
      </c>
      <c r="D5528" s="79" t="str">
        <f t="shared" si="5"/>
        <v xml:space="preserve"> </v>
      </c>
      <c r="E5528" s="79" t="str">
        <f t="shared" si="6"/>
        <v xml:space="preserve"> </v>
      </c>
    </row>
    <row r="5529" spans="1:5" ht="12.5">
      <c r="A5529" s="81" t="str">
        <f t="shared" si="0"/>
        <v xml:space="preserve"> </v>
      </c>
      <c r="B5529" s="81" t="str">
        <f t="shared" si="1"/>
        <v xml:space="preserve"> </v>
      </c>
      <c r="C5529" s="79" t="str">
        <f t="shared" si="7"/>
        <v xml:space="preserve"> </v>
      </c>
      <c r="D5529" s="79" t="str">
        <f t="shared" si="5"/>
        <v xml:space="preserve"> </v>
      </c>
      <c r="E5529" s="79" t="str">
        <f t="shared" si="6"/>
        <v xml:space="preserve"> </v>
      </c>
    </row>
    <row r="5530" spans="1:5" ht="12.5">
      <c r="A5530" s="81" t="str">
        <f t="shared" si="0"/>
        <v xml:space="preserve"> </v>
      </c>
      <c r="B5530" s="81" t="str">
        <f t="shared" si="1"/>
        <v xml:space="preserve"> </v>
      </c>
      <c r="C5530" s="79" t="str">
        <f t="shared" si="7"/>
        <v xml:space="preserve"> </v>
      </c>
      <c r="D5530" s="79" t="str">
        <f t="shared" si="5"/>
        <v xml:space="preserve"> </v>
      </c>
      <c r="E5530" s="79" t="str">
        <f t="shared" si="6"/>
        <v xml:space="preserve"> </v>
      </c>
    </row>
    <row r="5531" spans="1:5" ht="12.5">
      <c r="A5531" s="81" t="str">
        <f t="shared" si="0"/>
        <v xml:space="preserve"> </v>
      </c>
      <c r="B5531" s="81" t="str">
        <f t="shared" si="1"/>
        <v xml:space="preserve"> </v>
      </c>
      <c r="C5531" s="79" t="str">
        <f t="shared" si="7"/>
        <v xml:space="preserve"> </v>
      </c>
      <c r="D5531" s="79" t="str">
        <f t="shared" si="5"/>
        <v xml:space="preserve"> </v>
      </c>
      <c r="E5531" s="79" t="str">
        <f t="shared" si="6"/>
        <v xml:space="preserve"> </v>
      </c>
    </row>
    <row r="5532" spans="1:5" ht="12.5">
      <c r="A5532" s="81" t="str">
        <f t="shared" si="0"/>
        <v xml:space="preserve"> </v>
      </c>
      <c r="B5532" s="81" t="str">
        <f t="shared" si="1"/>
        <v xml:space="preserve"> </v>
      </c>
      <c r="C5532" s="79" t="str">
        <f t="shared" si="7"/>
        <v xml:space="preserve"> </v>
      </c>
      <c r="D5532" s="79" t="str">
        <f t="shared" si="5"/>
        <v xml:space="preserve"> </v>
      </c>
      <c r="E5532" s="79" t="str">
        <f t="shared" si="6"/>
        <v xml:space="preserve"> </v>
      </c>
    </row>
    <row r="5533" spans="1:5" ht="12.5">
      <c r="A5533" s="81" t="str">
        <f t="shared" si="0"/>
        <v xml:space="preserve"> </v>
      </c>
      <c r="B5533" s="81" t="str">
        <f t="shared" si="1"/>
        <v xml:space="preserve"> </v>
      </c>
      <c r="C5533" s="79" t="str">
        <f t="shared" si="7"/>
        <v xml:space="preserve"> </v>
      </c>
      <c r="D5533" s="79" t="str">
        <f t="shared" si="5"/>
        <v xml:space="preserve"> </v>
      </c>
      <c r="E5533" s="79" t="str">
        <f t="shared" si="6"/>
        <v xml:space="preserve"> </v>
      </c>
    </row>
    <row r="5534" spans="1:5" ht="12.5">
      <c r="A5534" s="81" t="str">
        <f t="shared" si="0"/>
        <v xml:space="preserve"> </v>
      </c>
      <c r="B5534" s="81" t="str">
        <f t="shared" si="1"/>
        <v xml:space="preserve"> </v>
      </c>
      <c r="C5534" s="79" t="str">
        <f t="shared" si="7"/>
        <v xml:space="preserve"> </v>
      </c>
      <c r="D5534" s="79" t="str">
        <f t="shared" si="5"/>
        <v xml:space="preserve"> </v>
      </c>
      <c r="E5534" s="79" t="str">
        <f t="shared" si="6"/>
        <v xml:space="preserve"> </v>
      </c>
    </row>
    <row r="5535" spans="1:5" ht="12.5">
      <c r="A5535" s="81" t="str">
        <f t="shared" si="0"/>
        <v xml:space="preserve"> </v>
      </c>
      <c r="B5535" s="81" t="str">
        <f t="shared" si="1"/>
        <v xml:space="preserve"> </v>
      </c>
      <c r="C5535" s="79" t="str">
        <f t="shared" si="7"/>
        <v xml:space="preserve"> </v>
      </c>
      <c r="D5535" s="79" t="str">
        <f t="shared" si="5"/>
        <v xml:space="preserve"> </v>
      </c>
      <c r="E5535" s="79" t="str">
        <f t="shared" si="6"/>
        <v xml:space="preserve"> </v>
      </c>
    </row>
    <row r="5536" spans="1:5" ht="12.5">
      <c r="A5536" s="81" t="str">
        <f t="shared" si="0"/>
        <v xml:space="preserve"> </v>
      </c>
      <c r="B5536" s="81" t="str">
        <f t="shared" si="1"/>
        <v xml:space="preserve"> </v>
      </c>
      <c r="C5536" s="79" t="str">
        <f t="shared" si="7"/>
        <v xml:space="preserve"> </v>
      </c>
      <c r="D5536" s="79" t="str">
        <f t="shared" si="5"/>
        <v xml:space="preserve"> </v>
      </c>
      <c r="E5536" s="79" t="str">
        <f t="shared" si="6"/>
        <v xml:space="preserve"> </v>
      </c>
    </row>
    <row r="5537" spans="1:5" ht="12.5">
      <c r="A5537" s="81" t="str">
        <f t="shared" si="0"/>
        <v xml:space="preserve"> </v>
      </c>
      <c r="B5537" s="81" t="str">
        <f t="shared" si="1"/>
        <v xml:space="preserve"> </v>
      </c>
      <c r="C5537" s="79" t="str">
        <f t="shared" si="7"/>
        <v xml:space="preserve"> </v>
      </c>
      <c r="D5537" s="79" t="str">
        <f t="shared" si="5"/>
        <v xml:space="preserve"> </v>
      </c>
      <c r="E5537" s="79" t="str">
        <f t="shared" si="6"/>
        <v xml:space="preserve"> </v>
      </c>
    </row>
    <row r="5538" spans="1:5" ht="12.5">
      <c r="A5538" s="81" t="str">
        <f t="shared" si="0"/>
        <v xml:space="preserve"> </v>
      </c>
      <c r="B5538" s="81" t="str">
        <f t="shared" si="1"/>
        <v xml:space="preserve"> </v>
      </c>
      <c r="C5538" s="79" t="str">
        <f t="shared" si="7"/>
        <v xml:space="preserve"> </v>
      </c>
      <c r="D5538" s="79" t="str">
        <f t="shared" si="5"/>
        <v xml:space="preserve"> </v>
      </c>
      <c r="E5538" s="79" t="str">
        <f t="shared" si="6"/>
        <v xml:space="preserve"> </v>
      </c>
    </row>
    <row r="5539" spans="1:5" ht="12.5">
      <c r="A5539" s="81" t="str">
        <f t="shared" si="0"/>
        <v xml:space="preserve"> </v>
      </c>
      <c r="B5539" s="81" t="str">
        <f t="shared" si="1"/>
        <v xml:space="preserve"> </v>
      </c>
      <c r="C5539" s="79" t="str">
        <f t="shared" si="7"/>
        <v xml:space="preserve"> </v>
      </c>
      <c r="D5539" s="79" t="str">
        <f t="shared" si="5"/>
        <v xml:space="preserve"> </v>
      </c>
      <c r="E5539" s="79" t="str">
        <f t="shared" si="6"/>
        <v xml:space="preserve"> </v>
      </c>
    </row>
    <row r="5540" spans="1:5" ht="12.5">
      <c r="A5540" s="81" t="str">
        <f t="shared" si="0"/>
        <v xml:space="preserve"> </v>
      </c>
      <c r="B5540" s="81" t="str">
        <f t="shared" si="1"/>
        <v xml:space="preserve"> </v>
      </c>
      <c r="C5540" s="79" t="str">
        <f t="shared" si="7"/>
        <v xml:space="preserve"> </v>
      </c>
      <c r="D5540" s="79" t="str">
        <f t="shared" si="5"/>
        <v xml:space="preserve"> </v>
      </c>
      <c r="E5540" s="79" t="str">
        <f t="shared" si="6"/>
        <v xml:space="preserve"> </v>
      </c>
    </row>
    <row r="5541" spans="1:5" ht="12.5">
      <c r="A5541" s="81" t="str">
        <f t="shared" si="0"/>
        <v xml:space="preserve"> </v>
      </c>
      <c r="B5541" s="81" t="str">
        <f t="shared" si="1"/>
        <v xml:space="preserve"> </v>
      </c>
      <c r="C5541" s="79" t="str">
        <f t="shared" si="7"/>
        <v xml:space="preserve"> </v>
      </c>
      <c r="D5541" s="79" t="str">
        <f t="shared" si="5"/>
        <v xml:space="preserve"> </v>
      </c>
      <c r="E5541" s="79" t="str">
        <f t="shared" si="6"/>
        <v xml:space="preserve"> </v>
      </c>
    </row>
    <row r="5542" spans="1:5" ht="12.5">
      <c r="A5542" s="81" t="str">
        <f t="shared" si="0"/>
        <v xml:space="preserve"> </v>
      </c>
      <c r="B5542" s="81" t="str">
        <f t="shared" si="1"/>
        <v xml:space="preserve"> </v>
      </c>
      <c r="C5542" s="79" t="str">
        <f t="shared" si="7"/>
        <v xml:space="preserve"> </v>
      </c>
      <c r="D5542" s="79" t="str">
        <f t="shared" si="5"/>
        <v xml:space="preserve"> </v>
      </c>
      <c r="E5542" s="79" t="str">
        <f t="shared" si="6"/>
        <v xml:space="preserve"> </v>
      </c>
    </row>
    <row r="5543" spans="1:5" ht="12.5">
      <c r="A5543" s="81" t="str">
        <f t="shared" si="0"/>
        <v xml:space="preserve"> </v>
      </c>
      <c r="B5543" s="81" t="str">
        <f t="shared" si="1"/>
        <v xml:space="preserve"> </v>
      </c>
      <c r="C5543" s="79" t="str">
        <f t="shared" si="7"/>
        <v xml:space="preserve"> </v>
      </c>
      <c r="D5543" s="79" t="str">
        <f t="shared" si="5"/>
        <v xml:space="preserve"> </v>
      </c>
      <c r="E5543" s="79" t="str">
        <f t="shared" si="6"/>
        <v xml:space="preserve"> </v>
      </c>
    </row>
    <row r="5544" spans="1:5" ht="12.5">
      <c r="A5544" s="81" t="str">
        <f t="shared" si="0"/>
        <v xml:space="preserve"> </v>
      </c>
      <c r="B5544" s="81" t="str">
        <f t="shared" si="1"/>
        <v xml:space="preserve"> </v>
      </c>
      <c r="C5544" s="79" t="str">
        <f t="shared" si="7"/>
        <v xml:space="preserve"> </v>
      </c>
      <c r="D5544" s="79" t="str">
        <f t="shared" si="5"/>
        <v xml:space="preserve"> </v>
      </c>
      <c r="E5544" s="79" t="str">
        <f t="shared" si="6"/>
        <v xml:space="preserve"> </v>
      </c>
    </row>
    <row r="5545" spans="1:5" ht="12.5">
      <c r="A5545" s="81" t="str">
        <f t="shared" si="0"/>
        <v xml:space="preserve"> </v>
      </c>
      <c r="B5545" s="81" t="str">
        <f t="shared" si="1"/>
        <v xml:space="preserve"> </v>
      </c>
      <c r="C5545" s="79" t="str">
        <f t="shared" si="7"/>
        <v xml:space="preserve"> </v>
      </c>
      <c r="D5545" s="79" t="str">
        <f t="shared" si="5"/>
        <v xml:space="preserve"> </v>
      </c>
      <c r="E5545" s="79" t="str">
        <f t="shared" si="6"/>
        <v xml:space="preserve"> </v>
      </c>
    </row>
    <row r="5546" spans="1:5" ht="12.5">
      <c r="A5546" s="81" t="str">
        <f t="shared" si="0"/>
        <v xml:space="preserve"> </v>
      </c>
      <c r="B5546" s="81" t="str">
        <f t="shared" si="1"/>
        <v xml:space="preserve"> </v>
      </c>
      <c r="C5546" s="79" t="str">
        <f t="shared" si="7"/>
        <v xml:space="preserve"> </v>
      </c>
      <c r="D5546" s="79" t="str">
        <f t="shared" si="5"/>
        <v xml:space="preserve"> </v>
      </c>
      <c r="E5546" s="79" t="str">
        <f t="shared" si="6"/>
        <v xml:space="preserve"> </v>
      </c>
    </row>
    <row r="5547" spans="1:5" ht="12.5">
      <c r="A5547" s="81" t="str">
        <f t="shared" si="0"/>
        <v xml:space="preserve"> </v>
      </c>
      <c r="B5547" s="81" t="str">
        <f t="shared" si="1"/>
        <v xml:space="preserve"> </v>
      </c>
      <c r="C5547" s="79" t="str">
        <f t="shared" si="7"/>
        <v xml:space="preserve"> </v>
      </c>
      <c r="D5547" s="79" t="str">
        <f t="shared" si="5"/>
        <v xml:space="preserve"> </v>
      </c>
      <c r="E5547" s="79" t="str">
        <f t="shared" si="6"/>
        <v xml:space="preserve"> </v>
      </c>
    </row>
    <row r="5548" spans="1:5" ht="12.5">
      <c r="A5548" s="81" t="str">
        <f t="shared" si="0"/>
        <v xml:space="preserve"> </v>
      </c>
      <c r="B5548" s="81" t="str">
        <f t="shared" si="1"/>
        <v xml:space="preserve"> </v>
      </c>
      <c r="C5548" s="79" t="str">
        <f t="shared" si="7"/>
        <v xml:space="preserve"> </v>
      </c>
      <c r="D5548" s="79" t="str">
        <f t="shared" si="5"/>
        <v xml:space="preserve"> </v>
      </c>
      <c r="E5548" s="79" t="str">
        <f t="shared" si="6"/>
        <v xml:space="preserve"> </v>
      </c>
    </row>
    <row r="5549" spans="1:5" ht="12.5">
      <c r="A5549" s="81" t="str">
        <f t="shared" si="0"/>
        <v xml:space="preserve"> </v>
      </c>
      <c r="B5549" s="81" t="str">
        <f t="shared" si="1"/>
        <v xml:space="preserve"> </v>
      </c>
      <c r="C5549" s="79" t="str">
        <f t="shared" si="7"/>
        <v xml:space="preserve"> </v>
      </c>
      <c r="D5549" s="79" t="str">
        <f t="shared" si="5"/>
        <v xml:space="preserve"> </v>
      </c>
      <c r="E5549" s="79" t="str">
        <f t="shared" si="6"/>
        <v xml:space="preserve"> </v>
      </c>
    </row>
    <row r="5550" spans="1:5" ht="12.5">
      <c r="A5550" s="81" t="str">
        <f t="shared" si="0"/>
        <v xml:space="preserve"> </v>
      </c>
      <c r="B5550" s="81" t="str">
        <f t="shared" si="1"/>
        <v xml:space="preserve"> </v>
      </c>
      <c r="C5550" s="79" t="str">
        <f t="shared" si="7"/>
        <v xml:space="preserve"> </v>
      </c>
      <c r="D5550" s="79" t="str">
        <f t="shared" si="5"/>
        <v xml:space="preserve"> </v>
      </c>
      <c r="E5550" s="79" t="str">
        <f t="shared" si="6"/>
        <v xml:space="preserve"> </v>
      </c>
    </row>
    <row r="5551" spans="1:5" ht="12.5">
      <c r="A5551" s="81" t="str">
        <f t="shared" si="0"/>
        <v xml:space="preserve"> </v>
      </c>
      <c r="B5551" s="81" t="str">
        <f t="shared" si="1"/>
        <v xml:space="preserve"> </v>
      </c>
      <c r="C5551" s="79" t="str">
        <f t="shared" si="7"/>
        <v xml:space="preserve"> </v>
      </c>
      <c r="D5551" s="79" t="str">
        <f t="shared" si="5"/>
        <v xml:space="preserve"> </v>
      </c>
      <c r="E5551" s="79" t="str">
        <f t="shared" si="6"/>
        <v xml:space="preserve"> </v>
      </c>
    </row>
    <row r="5552" spans="1:5" ht="12.5">
      <c r="A5552" s="81" t="str">
        <f t="shared" si="0"/>
        <v xml:space="preserve"> </v>
      </c>
      <c r="B5552" s="81" t="str">
        <f t="shared" si="1"/>
        <v xml:space="preserve"> </v>
      </c>
      <c r="C5552" s="79" t="str">
        <f t="shared" si="7"/>
        <v xml:space="preserve"> </v>
      </c>
      <c r="D5552" s="79" t="str">
        <f t="shared" si="5"/>
        <v xml:space="preserve"> </v>
      </c>
      <c r="E5552" s="79" t="str">
        <f t="shared" si="6"/>
        <v xml:space="preserve"> </v>
      </c>
    </row>
    <row r="5553" spans="1:5" ht="12.5">
      <c r="A5553" s="81" t="str">
        <f t="shared" si="0"/>
        <v xml:space="preserve"> </v>
      </c>
      <c r="B5553" s="81" t="str">
        <f t="shared" si="1"/>
        <v xml:space="preserve"> </v>
      </c>
      <c r="C5553" s="79" t="str">
        <f t="shared" si="7"/>
        <v xml:space="preserve"> </v>
      </c>
      <c r="D5553" s="79" t="str">
        <f t="shared" si="5"/>
        <v xml:space="preserve"> </v>
      </c>
      <c r="E5553" s="79" t="str">
        <f t="shared" si="6"/>
        <v xml:space="preserve"> </v>
      </c>
    </row>
    <row r="5554" spans="1:5" ht="12.5">
      <c r="A5554" s="81" t="str">
        <f t="shared" si="0"/>
        <v xml:space="preserve"> </v>
      </c>
      <c r="B5554" s="81" t="str">
        <f t="shared" si="1"/>
        <v xml:space="preserve"> </v>
      </c>
      <c r="C5554" s="79" t="str">
        <f t="shared" si="7"/>
        <v xml:space="preserve"> </v>
      </c>
      <c r="D5554" s="79" t="str">
        <f t="shared" si="5"/>
        <v xml:space="preserve"> </v>
      </c>
      <c r="E5554" s="79" t="str">
        <f t="shared" si="6"/>
        <v xml:space="preserve"> </v>
      </c>
    </row>
    <row r="5555" spans="1:5" ht="12.5">
      <c r="A5555" s="81" t="str">
        <f t="shared" si="0"/>
        <v xml:space="preserve"> </v>
      </c>
      <c r="B5555" s="81" t="str">
        <f t="shared" si="1"/>
        <v xml:space="preserve"> </v>
      </c>
      <c r="C5555" s="79" t="str">
        <f t="shared" si="7"/>
        <v xml:space="preserve"> </v>
      </c>
      <c r="D5555" s="79" t="str">
        <f t="shared" si="5"/>
        <v xml:space="preserve"> </v>
      </c>
      <c r="E5555" s="79" t="str">
        <f t="shared" si="6"/>
        <v xml:space="preserve"> </v>
      </c>
    </row>
    <row r="5556" spans="1:5" ht="12.5">
      <c r="A5556" s="81" t="str">
        <f t="shared" si="0"/>
        <v xml:space="preserve"> </v>
      </c>
      <c r="B5556" s="81" t="str">
        <f t="shared" si="1"/>
        <v xml:space="preserve"> </v>
      </c>
      <c r="C5556" s="79" t="str">
        <f t="shared" si="7"/>
        <v xml:space="preserve"> </v>
      </c>
      <c r="D5556" s="79" t="str">
        <f t="shared" si="5"/>
        <v xml:space="preserve"> </v>
      </c>
      <c r="E5556" s="79" t="str">
        <f t="shared" si="6"/>
        <v xml:space="preserve"> </v>
      </c>
    </row>
    <row r="5557" spans="1:5" ht="12.5">
      <c r="A5557" s="81" t="str">
        <f t="shared" si="0"/>
        <v xml:space="preserve"> </v>
      </c>
      <c r="B5557" s="81" t="str">
        <f t="shared" si="1"/>
        <v xml:space="preserve"> </v>
      </c>
      <c r="C5557" s="79" t="str">
        <f t="shared" si="7"/>
        <v xml:space="preserve"> </v>
      </c>
      <c r="D5557" s="79" t="str">
        <f t="shared" si="5"/>
        <v xml:space="preserve"> </v>
      </c>
      <c r="E5557" s="79" t="str">
        <f t="shared" si="6"/>
        <v xml:space="preserve"> </v>
      </c>
    </row>
    <row r="5558" spans="1:5" ht="12.5">
      <c r="A5558" s="81" t="str">
        <f t="shared" si="0"/>
        <v xml:space="preserve"> </v>
      </c>
      <c r="B5558" s="81" t="str">
        <f t="shared" si="1"/>
        <v xml:space="preserve"> </v>
      </c>
      <c r="C5558" s="79" t="str">
        <f t="shared" si="7"/>
        <v xml:space="preserve"> </v>
      </c>
      <c r="D5558" s="79" t="str">
        <f t="shared" si="5"/>
        <v xml:space="preserve"> </v>
      </c>
      <c r="E5558" s="79" t="str">
        <f t="shared" si="6"/>
        <v xml:space="preserve"> </v>
      </c>
    </row>
    <row r="5559" spans="1:5" ht="12.5">
      <c r="A5559" s="81" t="str">
        <f t="shared" si="0"/>
        <v xml:space="preserve"> </v>
      </c>
      <c r="B5559" s="81" t="str">
        <f t="shared" si="1"/>
        <v xml:space="preserve"> </v>
      </c>
      <c r="C5559" s="79" t="str">
        <f t="shared" si="7"/>
        <v xml:space="preserve"> </v>
      </c>
      <c r="D5559" s="79" t="str">
        <f t="shared" si="5"/>
        <v xml:space="preserve"> </v>
      </c>
      <c r="E5559" s="79" t="str">
        <f t="shared" si="6"/>
        <v xml:space="preserve"> </v>
      </c>
    </row>
    <row r="5560" spans="1:5" ht="12.5">
      <c r="A5560" s="81" t="str">
        <f t="shared" si="0"/>
        <v xml:space="preserve"> </v>
      </c>
      <c r="B5560" s="81" t="str">
        <f t="shared" si="1"/>
        <v xml:space="preserve"> </v>
      </c>
      <c r="C5560" s="79" t="str">
        <f t="shared" si="7"/>
        <v xml:space="preserve"> </v>
      </c>
      <c r="D5560" s="79" t="str">
        <f t="shared" si="5"/>
        <v xml:space="preserve"> </v>
      </c>
      <c r="E5560" s="79" t="str">
        <f t="shared" si="6"/>
        <v xml:space="preserve"> </v>
      </c>
    </row>
    <row r="5561" spans="1:5" ht="12.5">
      <c r="A5561" s="81" t="str">
        <f t="shared" si="0"/>
        <v xml:space="preserve"> </v>
      </c>
      <c r="B5561" s="81" t="str">
        <f t="shared" si="1"/>
        <v xml:space="preserve"> </v>
      </c>
      <c r="C5561" s="79" t="str">
        <f t="shared" si="7"/>
        <v xml:space="preserve"> </v>
      </c>
      <c r="D5561" s="79" t="str">
        <f t="shared" si="5"/>
        <v xml:space="preserve"> </v>
      </c>
      <c r="E5561" s="79" t="str">
        <f t="shared" si="6"/>
        <v xml:space="preserve"> </v>
      </c>
    </row>
    <row r="5562" spans="1:5" ht="12.5">
      <c r="A5562" s="81" t="str">
        <f t="shared" si="0"/>
        <v xml:space="preserve"> </v>
      </c>
      <c r="B5562" s="81" t="str">
        <f t="shared" si="1"/>
        <v xml:space="preserve"> </v>
      </c>
      <c r="C5562" s="79" t="str">
        <f t="shared" si="7"/>
        <v xml:space="preserve"> </v>
      </c>
      <c r="D5562" s="79" t="str">
        <f t="shared" si="5"/>
        <v xml:space="preserve"> </v>
      </c>
      <c r="E5562" s="79" t="str">
        <f t="shared" si="6"/>
        <v xml:space="preserve"> </v>
      </c>
    </row>
    <row r="5563" spans="1:5" ht="12.5">
      <c r="A5563" s="81" t="str">
        <f t="shared" si="0"/>
        <v xml:space="preserve"> </v>
      </c>
      <c r="B5563" s="81" t="str">
        <f t="shared" si="1"/>
        <v xml:space="preserve"> </v>
      </c>
      <c r="C5563" s="79" t="str">
        <f t="shared" si="7"/>
        <v xml:space="preserve"> </v>
      </c>
      <c r="D5563" s="79" t="str">
        <f t="shared" si="5"/>
        <v xml:space="preserve"> </v>
      </c>
      <c r="E5563" s="79" t="str">
        <f t="shared" si="6"/>
        <v xml:space="preserve"> </v>
      </c>
    </row>
    <row r="5564" spans="1:5" ht="12.5">
      <c r="A5564" s="81" t="str">
        <f t="shared" si="0"/>
        <v xml:space="preserve"> </v>
      </c>
      <c r="B5564" s="81" t="str">
        <f t="shared" si="1"/>
        <v xml:space="preserve"> </v>
      </c>
      <c r="C5564" s="79" t="str">
        <f t="shared" si="7"/>
        <v xml:space="preserve"> </v>
      </c>
      <c r="D5564" s="79" t="str">
        <f t="shared" si="5"/>
        <v xml:space="preserve"> </v>
      </c>
      <c r="E5564" s="79" t="str">
        <f t="shared" si="6"/>
        <v xml:space="preserve"> </v>
      </c>
    </row>
    <row r="5565" spans="1:5" ht="12.5">
      <c r="A5565" s="81" t="str">
        <f t="shared" si="0"/>
        <v xml:space="preserve"> </v>
      </c>
      <c r="B5565" s="81" t="str">
        <f t="shared" si="1"/>
        <v xml:space="preserve"> </v>
      </c>
      <c r="C5565" s="79" t="str">
        <f t="shared" si="7"/>
        <v xml:space="preserve"> </v>
      </c>
      <c r="D5565" s="79" t="str">
        <f t="shared" si="5"/>
        <v xml:space="preserve"> </v>
      </c>
      <c r="E5565" s="79" t="str">
        <f t="shared" si="6"/>
        <v xml:space="preserve"> </v>
      </c>
    </row>
    <row r="5566" spans="1:5" ht="12.5">
      <c r="A5566" s="81" t="str">
        <f t="shared" si="0"/>
        <v xml:space="preserve"> </v>
      </c>
      <c r="B5566" s="81" t="str">
        <f t="shared" si="1"/>
        <v xml:space="preserve"> </v>
      </c>
      <c r="C5566" s="79" t="str">
        <f t="shared" si="7"/>
        <v xml:space="preserve"> </v>
      </c>
      <c r="D5566" s="79" t="str">
        <f t="shared" si="5"/>
        <v xml:space="preserve"> </v>
      </c>
      <c r="E5566" s="79" t="str">
        <f t="shared" si="6"/>
        <v xml:space="preserve"> </v>
      </c>
    </row>
    <row r="5567" spans="1:5" ht="12.5">
      <c r="A5567" s="81" t="str">
        <f t="shared" si="0"/>
        <v xml:space="preserve"> </v>
      </c>
      <c r="B5567" s="81" t="str">
        <f t="shared" si="1"/>
        <v xml:space="preserve"> </v>
      </c>
      <c r="C5567" s="79" t="str">
        <f t="shared" si="7"/>
        <v xml:space="preserve"> </v>
      </c>
      <c r="D5567" s="79" t="str">
        <f t="shared" si="5"/>
        <v xml:space="preserve"> </v>
      </c>
      <c r="E5567" s="79" t="str">
        <f t="shared" si="6"/>
        <v xml:space="preserve"> </v>
      </c>
    </row>
    <row r="5568" spans="1:5" ht="12.5">
      <c r="A5568" s="81" t="str">
        <f t="shared" si="0"/>
        <v xml:space="preserve"> </v>
      </c>
      <c r="B5568" s="81" t="str">
        <f t="shared" si="1"/>
        <v xml:space="preserve"> </v>
      </c>
      <c r="C5568" s="79" t="str">
        <f t="shared" si="7"/>
        <v xml:space="preserve"> </v>
      </c>
      <c r="D5568" s="79" t="str">
        <f t="shared" si="5"/>
        <v xml:space="preserve"> </v>
      </c>
      <c r="E5568" s="79" t="str">
        <f t="shared" si="6"/>
        <v xml:space="preserve"> </v>
      </c>
    </row>
    <row r="5569" spans="1:5" ht="12.5">
      <c r="A5569" s="81" t="str">
        <f t="shared" si="0"/>
        <v xml:space="preserve"> </v>
      </c>
      <c r="B5569" s="81" t="str">
        <f t="shared" si="1"/>
        <v xml:space="preserve"> </v>
      </c>
      <c r="C5569" s="79" t="str">
        <f t="shared" si="7"/>
        <v xml:space="preserve"> </v>
      </c>
      <c r="D5569" s="79" t="str">
        <f t="shared" si="5"/>
        <v xml:space="preserve"> </v>
      </c>
      <c r="E5569" s="79" t="str">
        <f t="shared" si="6"/>
        <v xml:space="preserve"> </v>
      </c>
    </row>
    <row r="5570" spans="1:5" ht="12.5">
      <c r="A5570" s="81" t="str">
        <f t="shared" si="0"/>
        <v xml:space="preserve"> </v>
      </c>
      <c r="B5570" s="81" t="str">
        <f t="shared" si="1"/>
        <v xml:space="preserve"> </v>
      </c>
      <c r="C5570" s="79" t="str">
        <f t="shared" si="7"/>
        <v xml:space="preserve"> </v>
      </c>
      <c r="D5570" s="79" t="str">
        <f t="shared" si="5"/>
        <v xml:space="preserve"> </v>
      </c>
      <c r="E5570" s="79" t="str">
        <f t="shared" si="6"/>
        <v xml:space="preserve"> </v>
      </c>
    </row>
    <row r="5571" spans="1:5" ht="12.5">
      <c r="A5571" s="81" t="str">
        <f t="shared" si="0"/>
        <v xml:space="preserve"> </v>
      </c>
      <c r="B5571" s="81" t="str">
        <f t="shared" si="1"/>
        <v xml:space="preserve"> </v>
      </c>
      <c r="C5571" s="79" t="str">
        <f t="shared" si="7"/>
        <v xml:space="preserve"> </v>
      </c>
      <c r="D5571" s="79" t="str">
        <f t="shared" si="5"/>
        <v xml:space="preserve"> </v>
      </c>
      <c r="E5571" s="79" t="str">
        <f t="shared" si="6"/>
        <v xml:space="preserve"> </v>
      </c>
    </row>
    <row r="5572" spans="1:5" ht="12.5">
      <c r="A5572" s="81" t="str">
        <f t="shared" si="0"/>
        <v xml:space="preserve"> </v>
      </c>
      <c r="B5572" s="81" t="str">
        <f t="shared" si="1"/>
        <v xml:space="preserve"> </v>
      </c>
      <c r="C5572" s="79" t="str">
        <f t="shared" si="7"/>
        <v xml:space="preserve"> </v>
      </c>
      <c r="D5572" s="79" t="str">
        <f t="shared" si="5"/>
        <v xml:space="preserve"> </v>
      </c>
      <c r="E5572" s="79" t="str">
        <f t="shared" si="6"/>
        <v xml:space="preserve"> </v>
      </c>
    </row>
    <row r="5573" spans="1:5" ht="12.5">
      <c r="A5573" s="81" t="str">
        <f t="shared" si="0"/>
        <v xml:space="preserve"> </v>
      </c>
      <c r="B5573" s="81" t="str">
        <f t="shared" si="1"/>
        <v xml:space="preserve"> </v>
      </c>
      <c r="C5573" s="79" t="str">
        <f t="shared" si="7"/>
        <v xml:space="preserve"> </v>
      </c>
      <c r="D5573" s="79" t="str">
        <f t="shared" si="5"/>
        <v xml:space="preserve"> </v>
      </c>
      <c r="E5573" s="79" t="str">
        <f t="shared" si="6"/>
        <v xml:space="preserve"> </v>
      </c>
    </row>
    <row r="5574" spans="1:5" ht="12.5">
      <c r="A5574" s="81" t="str">
        <f t="shared" si="0"/>
        <v xml:space="preserve"> </v>
      </c>
      <c r="B5574" s="81" t="str">
        <f t="shared" si="1"/>
        <v xml:space="preserve"> </v>
      </c>
      <c r="C5574" s="79" t="str">
        <f t="shared" si="7"/>
        <v xml:space="preserve"> </v>
      </c>
      <c r="D5574" s="79" t="str">
        <f t="shared" si="5"/>
        <v xml:space="preserve"> </v>
      </c>
      <c r="E5574" s="79" t="str">
        <f t="shared" si="6"/>
        <v xml:space="preserve"> </v>
      </c>
    </row>
    <row r="5575" spans="1:5" ht="12.5">
      <c r="A5575" s="81" t="str">
        <f t="shared" si="0"/>
        <v xml:space="preserve"> </v>
      </c>
      <c r="B5575" s="81" t="str">
        <f t="shared" si="1"/>
        <v xml:space="preserve"> </v>
      </c>
      <c r="C5575" s="79" t="str">
        <f t="shared" si="7"/>
        <v xml:space="preserve"> </v>
      </c>
      <c r="D5575" s="79" t="str">
        <f t="shared" si="5"/>
        <v xml:space="preserve"> </v>
      </c>
      <c r="E5575" s="79" t="str">
        <f t="shared" si="6"/>
        <v xml:space="preserve"> </v>
      </c>
    </row>
    <row r="5576" spans="1:5" ht="12.5">
      <c r="A5576" s="81" t="str">
        <f t="shared" si="0"/>
        <v xml:space="preserve"> </v>
      </c>
      <c r="B5576" s="81" t="str">
        <f t="shared" si="1"/>
        <v xml:space="preserve"> </v>
      </c>
      <c r="C5576" s="79" t="str">
        <f t="shared" si="7"/>
        <v xml:space="preserve"> </v>
      </c>
      <c r="D5576" s="79" t="str">
        <f t="shared" si="5"/>
        <v xml:space="preserve"> </v>
      </c>
      <c r="E5576" s="79" t="str">
        <f t="shared" si="6"/>
        <v xml:space="preserve"> </v>
      </c>
    </row>
    <row r="5577" spans="1:5" ht="12.5">
      <c r="A5577" s="81" t="str">
        <f t="shared" si="0"/>
        <v xml:space="preserve"> </v>
      </c>
      <c r="B5577" s="81" t="str">
        <f t="shared" si="1"/>
        <v xml:space="preserve"> </v>
      </c>
      <c r="C5577" s="79" t="str">
        <f t="shared" si="7"/>
        <v xml:space="preserve"> </v>
      </c>
      <c r="D5577" s="79" t="str">
        <f t="shared" si="5"/>
        <v xml:space="preserve"> </v>
      </c>
      <c r="E5577" s="79" t="str">
        <f t="shared" si="6"/>
        <v xml:space="preserve"> </v>
      </c>
    </row>
    <row r="5578" spans="1:5" ht="12.5">
      <c r="A5578" s="81" t="str">
        <f t="shared" si="0"/>
        <v xml:space="preserve"> </v>
      </c>
      <c r="B5578" s="81" t="str">
        <f t="shared" si="1"/>
        <v xml:space="preserve"> </v>
      </c>
      <c r="C5578" s="79" t="str">
        <f t="shared" si="7"/>
        <v xml:space="preserve"> </v>
      </c>
      <c r="D5578" s="79" t="str">
        <f t="shared" si="5"/>
        <v xml:space="preserve"> </v>
      </c>
      <c r="E5578" s="79" t="str">
        <f t="shared" si="6"/>
        <v xml:space="preserve"> </v>
      </c>
    </row>
    <row r="5579" spans="1:5" ht="12.5">
      <c r="A5579" s="81" t="str">
        <f t="shared" si="0"/>
        <v xml:space="preserve"> </v>
      </c>
      <c r="B5579" s="81" t="str">
        <f t="shared" si="1"/>
        <v xml:space="preserve"> </v>
      </c>
      <c r="C5579" s="79" t="str">
        <f t="shared" si="7"/>
        <v xml:space="preserve"> </v>
      </c>
      <c r="D5579" s="79" t="str">
        <f t="shared" si="5"/>
        <v xml:space="preserve"> </v>
      </c>
      <c r="E5579" s="79" t="str">
        <f t="shared" si="6"/>
        <v xml:space="preserve"> </v>
      </c>
    </row>
    <row r="5580" spans="1:5" ht="12.5">
      <c r="A5580" s="81" t="str">
        <f t="shared" si="0"/>
        <v xml:space="preserve"> </v>
      </c>
      <c r="B5580" s="81" t="str">
        <f t="shared" si="1"/>
        <v xml:space="preserve"> </v>
      </c>
      <c r="C5580" s="79" t="str">
        <f t="shared" si="7"/>
        <v xml:space="preserve"> </v>
      </c>
      <c r="D5580" s="79" t="str">
        <f t="shared" si="5"/>
        <v xml:space="preserve"> </v>
      </c>
      <c r="E5580" s="79" t="str">
        <f t="shared" si="6"/>
        <v xml:space="preserve"> </v>
      </c>
    </row>
    <row r="5581" spans="1:5" ht="12.5">
      <c r="A5581" s="81" t="str">
        <f t="shared" si="0"/>
        <v xml:space="preserve"> </v>
      </c>
      <c r="B5581" s="81" t="str">
        <f t="shared" si="1"/>
        <v xml:space="preserve"> </v>
      </c>
      <c r="C5581" s="79" t="str">
        <f t="shared" si="7"/>
        <v xml:space="preserve"> </v>
      </c>
      <c r="D5581" s="79" t="str">
        <f t="shared" si="5"/>
        <v xml:space="preserve"> </v>
      </c>
      <c r="E5581" s="79" t="str">
        <f t="shared" si="6"/>
        <v xml:space="preserve"> </v>
      </c>
    </row>
    <row r="5582" spans="1:5" ht="12.5">
      <c r="A5582" s="81" t="str">
        <f t="shared" si="0"/>
        <v xml:space="preserve"> </v>
      </c>
      <c r="B5582" s="81" t="str">
        <f t="shared" si="1"/>
        <v xml:space="preserve"> </v>
      </c>
      <c r="C5582" s="79" t="str">
        <f t="shared" si="7"/>
        <v xml:space="preserve"> </v>
      </c>
      <c r="D5582" s="79" t="str">
        <f t="shared" si="5"/>
        <v xml:space="preserve"> </v>
      </c>
      <c r="E5582" s="79" t="str">
        <f t="shared" si="6"/>
        <v xml:space="preserve"> </v>
      </c>
    </row>
    <row r="5583" spans="1:5" ht="12.5">
      <c r="A5583" s="81" t="str">
        <f t="shared" si="0"/>
        <v xml:space="preserve"> </v>
      </c>
      <c r="B5583" s="81" t="str">
        <f t="shared" si="1"/>
        <v xml:space="preserve"> </v>
      </c>
      <c r="C5583" s="79" t="str">
        <f t="shared" si="7"/>
        <v xml:space="preserve"> </v>
      </c>
      <c r="D5583" s="79" t="str">
        <f t="shared" si="5"/>
        <v xml:space="preserve"> </v>
      </c>
      <c r="E5583" s="79" t="str">
        <f t="shared" si="6"/>
        <v xml:space="preserve"> </v>
      </c>
    </row>
    <row r="5584" spans="1:5" ht="12.5">
      <c r="A5584" s="81" t="str">
        <f t="shared" si="0"/>
        <v xml:space="preserve"> </v>
      </c>
      <c r="B5584" s="81" t="str">
        <f t="shared" si="1"/>
        <v xml:space="preserve"> </v>
      </c>
      <c r="C5584" s="79" t="str">
        <f t="shared" si="7"/>
        <v xml:space="preserve"> </v>
      </c>
      <c r="D5584" s="79" t="str">
        <f t="shared" si="5"/>
        <v xml:space="preserve"> </v>
      </c>
      <c r="E5584" s="79" t="str">
        <f t="shared" si="6"/>
        <v xml:space="preserve"> </v>
      </c>
    </row>
    <row r="5585" spans="1:5" ht="12.5">
      <c r="A5585" s="81" t="str">
        <f t="shared" si="0"/>
        <v xml:space="preserve"> </v>
      </c>
      <c r="B5585" s="81" t="str">
        <f t="shared" si="1"/>
        <v xml:space="preserve"> </v>
      </c>
      <c r="C5585" s="79" t="str">
        <f t="shared" si="7"/>
        <v xml:space="preserve"> </v>
      </c>
      <c r="D5585" s="79" t="str">
        <f t="shared" si="5"/>
        <v xml:space="preserve"> </v>
      </c>
      <c r="E5585" s="79" t="str">
        <f t="shared" si="6"/>
        <v xml:space="preserve"> </v>
      </c>
    </row>
    <row r="5586" spans="1:5" ht="12.5">
      <c r="A5586" s="81" t="str">
        <f t="shared" si="0"/>
        <v xml:space="preserve"> </v>
      </c>
      <c r="B5586" s="81" t="str">
        <f t="shared" si="1"/>
        <v xml:space="preserve"> </v>
      </c>
      <c r="C5586" s="79" t="str">
        <f t="shared" si="7"/>
        <v xml:space="preserve"> </v>
      </c>
      <c r="D5586" s="79" t="str">
        <f t="shared" si="5"/>
        <v xml:space="preserve"> </v>
      </c>
      <c r="E5586" s="79" t="str">
        <f t="shared" si="6"/>
        <v xml:space="preserve"> </v>
      </c>
    </row>
    <row r="5587" spans="1:5" ht="12.5">
      <c r="A5587" s="81" t="str">
        <f t="shared" si="0"/>
        <v xml:space="preserve"> </v>
      </c>
      <c r="B5587" s="81" t="str">
        <f t="shared" si="1"/>
        <v xml:space="preserve"> </v>
      </c>
      <c r="C5587" s="79" t="str">
        <f t="shared" si="7"/>
        <v xml:space="preserve"> </v>
      </c>
      <c r="D5587" s="79" t="str">
        <f t="shared" si="5"/>
        <v xml:space="preserve"> </v>
      </c>
      <c r="E5587" s="79" t="str">
        <f t="shared" si="6"/>
        <v xml:space="preserve"> </v>
      </c>
    </row>
    <row r="5588" spans="1:5" ht="12.5">
      <c r="A5588" s="81" t="str">
        <f t="shared" si="0"/>
        <v xml:space="preserve"> </v>
      </c>
      <c r="B5588" s="81" t="str">
        <f t="shared" si="1"/>
        <v xml:space="preserve"> </v>
      </c>
      <c r="C5588" s="79" t="str">
        <f t="shared" si="7"/>
        <v xml:space="preserve"> </v>
      </c>
      <c r="D5588" s="79" t="str">
        <f t="shared" si="5"/>
        <v xml:space="preserve"> </v>
      </c>
      <c r="E5588" s="79" t="str">
        <f t="shared" si="6"/>
        <v xml:space="preserve"> </v>
      </c>
    </row>
    <row r="5589" spans="1:5" ht="12.5">
      <c r="A5589" s="81" t="str">
        <f t="shared" si="0"/>
        <v xml:space="preserve"> </v>
      </c>
      <c r="B5589" s="81" t="str">
        <f t="shared" si="1"/>
        <v xml:space="preserve"> </v>
      </c>
      <c r="C5589" s="79" t="str">
        <f t="shared" si="7"/>
        <v xml:space="preserve"> </v>
      </c>
      <c r="D5589" s="79" t="str">
        <f t="shared" si="5"/>
        <v xml:space="preserve"> </v>
      </c>
      <c r="E5589" s="79" t="str">
        <f t="shared" si="6"/>
        <v xml:space="preserve"> </v>
      </c>
    </row>
    <row r="5590" spans="1:5" ht="12.5">
      <c r="A5590" s="81" t="str">
        <f t="shared" si="0"/>
        <v xml:space="preserve"> </v>
      </c>
      <c r="B5590" s="81" t="str">
        <f t="shared" si="1"/>
        <v xml:space="preserve"> </v>
      </c>
      <c r="C5590" s="79" t="str">
        <f t="shared" si="7"/>
        <v xml:space="preserve"> </v>
      </c>
      <c r="D5590" s="79" t="str">
        <f t="shared" si="5"/>
        <v xml:space="preserve"> </v>
      </c>
      <c r="E5590" s="79" t="str">
        <f t="shared" si="6"/>
        <v xml:space="preserve"> </v>
      </c>
    </row>
    <row r="5591" spans="1:5" ht="12.5">
      <c r="A5591" s="81" t="str">
        <f t="shared" si="0"/>
        <v xml:space="preserve"> </v>
      </c>
      <c r="B5591" s="81" t="str">
        <f t="shared" si="1"/>
        <v xml:space="preserve"> </v>
      </c>
      <c r="C5591" s="79" t="str">
        <f t="shared" si="7"/>
        <v xml:space="preserve"> </v>
      </c>
      <c r="D5591" s="79" t="str">
        <f t="shared" si="5"/>
        <v xml:space="preserve"> </v>
      </c>
      <c r="E5591" s="79" t="str">
        <f t="shared" si="6"/>
        <v xml:space="preserve"> </v>
      </c>
    </row>
    <row r="5592" spans="1:5" ht="12.5">
      <c r="A5592" s="81" t="str">
        <f t="shared" si="0"/>
        <v xml:space="preserve"> </v>
      </c>
      <c r="B5592" s="81" t="str">
        <f t="shared" si="1"/>
        <v xml:space="preserve"> </v>
      </c>
      <c r="C5592" s="79" t="str">
        <f t="shared" si="7"/>
        <v xml:space="preserve"> </v>
      </c>
      <c r="D5592" s="79" t="str">
        <f t="shared" si="5"/>
        <v xml:space="preserve"> </v>
      </c>
      <c r="E5592" s="79" t="str">
        <f t="shared" si="6"/>
        <v xml:space="preserve"> </v>
      </c>
    </row>
    <row r="5593" spans="1:5" ht="12.5">
      <c r="A5593" s="81" t="str">
        <f t="shared" si="0"/>
        <v xml:space="preserve"> </v>
      </c>
      <c r="B5593" s="81" t="str">
        <f t="shared" si="1"/>
        <v xml:space="preserve"> </v>
      </c>
      <c r="C5593" s="79" t="str">
        <f t="shared" si="7"/>
        <v xml:space="preserve"> </v>
      </c>
      <c r="D5593" s="79" t="str">
        <f t="shared" si="5"/>
        <v xml:space="preserve"> </v>
      </c>
      <c r="E5593" s="79" t="str">
        <f t="shared" si="6"/>
        <v xml:space="preserve"> </v>
      </c>
    </row>
    <row r="5594" spans="1:5" ht="12.5">
      <c r="A5594" s="81" t="str">
        <f t="shared" si="0"/>
        <v xml:space="preserve"> </v>
      </c>
      <c r="B5594" s="81" t="str">
        <f t="shared" si="1"/>
        <v xml:space="preserve"> </v>
      </c>
      <c r="C5594" s="79" t="str">
        <f t="shared" si="7"/>
        <v xml:space="preserve"> </v>
      </c>
      <c r="D5594" s="79" t="str">
        <f t="shared" si="5"/>
        <v xml:space="preserve"> </v>
      </c>
      <c r="E5594" s="79" t="str">
        <f t="shared" si="6"/>
        <v xml:space="preserve"> </v>
      </c>
    </row>
    <row r="5595" spans="1:5" ht="12.5">
      <c r="A5595" s="81" t="str">
        <f t="shared" si="0"/>
        <v xml:space="preserve"> </v>
      </c>
      <c r="B5595" s="81" t="str">
        <f t="shared" si="1"/>
        <v xml:space="preserve"> </v>
      </c>
      <c r="C5595" s="79" t="str">
        <f t="shared" si="7"/>
        <v xml:space="preserve"> </v>
      </c>
      <c r="D5595" s="79" t="str">
        <f t="shared" si="5"/>
        <v xml:space="preserve"> </v>
      </c>
      <c r="E5595" s="79" t="str">
        <f t="shared" si="6"/>
        <v xml:space="preserve"> </v>
      </c>
    </row>
    <row r="5596" spans="1:5" ht="12.5">
      <c r="A5596" s="81" t="str">
        <f t="shared" si="0"/>
        <v xml:space="preserve"> </v>
      </c>
      <c r="B5596" s="81" t="str">
        <f t="shared" si="1"/>
        <v xml:space="preserve"> </v>
      </c>
      <c r="C5596" s="79" t="str">
        <f t="shared" si="7"/>
        <v xml:space="preserve"> </v>
      </c>
      <c r="D5596" s="79" t="str">
        <f t="shared" si="5"/>
        <v xml:space="preserve"> </v>
      </c>
      <c r="E5596" s="79" t="str">
        <f t="shared" si="6"/>
        <v xml:space="preserve"> </v>
      </c>
    </row>
    <row r="5597" spans="1:5" ht="12.5">
      <c r="A5597" s="81" t="str">
        <f t="shared" si="0"/>
        <v xml:space="preserve"> </v>
      </c>
      <c r="B5597" s="81" t="str">
        <f t="shared" si="1"/>
        <v xml:space="preserve"> </v>
      </c>
      <c r="C5597" s="79" t="str">
        <f t="shared" si="7"/>
        <v xml:space="preserve"> </v>
      </c>
      <c r="D5597" s="79" t="str">
        <f t="shared" si="5"/>
        <v xml:space="preserve"> </v>
      </c>
      <c r="E5597" s="79" t="str">
        <f t="shared" si="6"/>
        <v xml:space="preserve"> </v>
      </c>
    </row>
    <row r="5598" spans="1:5" ht="12.5">
      <c r="A5598" s="81" t="str">
        <f t="shared" si="0"/>
        <v xml:space="preserve"> </v>
      </c>
      <c r="B5598" s="81" t="str">
        <f t="shared" si="1"/>
        <v xml:space="preserve"> </v>
      </c>
      <c r="C5598" s="79" t="str">
        <f t="shared" si="7"/>
        <v xml:space="preserve"> </v>
      </c>
      <c r="D5598" s="79" t="str">
        <f t="shared" si="5"/>
        <v xml:space="preserve"> </v>
      </c>
      <c r="E5598" s="79" t="str">
        <f t="shared" si="6"/>
        <v xml:space="preserve"> </v>
      </c>
    </row>
    <row r="5599" spans="1:5" ht="12.5">
      <c r="A5599" s="81" t="str">
        <f t="shared" si="0"/>
        <v xml:space="preserve"> </v>
      </c>
      <c r="B5599" s="81" t="str">
        <f t="shared" si="1"/>
        <v xml:space="preserve"> </v>
      </c>
      <c r="C5599" s="79" t="str">
        <f t="shared" si="7"/>
        <v xml:space="preserve"> </v>
      </c>
      <c r="D5599" s="79" t="str">
        <f t="shared" si="5"/>
        <v xml:space="preserve"> </v>
      </c>
      <c r="E5599" s="79" t="str">
        <f t="shared" si="6"/>
        <v xml:space="preserve"> </v>
      </c>
    </row>
    <row r="5600" spans="1:5" ht="12.5">
      <c r="A5600" s="81" t="str">
        <f t="shared" si="0"/>
        <v xml:space="preserve"> </v>
      </c>
      <c r="B5600" s="81" t="str">
        <f t="shared" si="1"/>
        <v xml:space="preserve"> </v>
      </c>
      <c r="C5600" s="79" t="str">
        <f t="shared" si="7"/>
        <v xml:space="preserve"> </v>
      </c>
      <c r="D5600" s="79" t="str">
        <f t="shared" si="5"/>
        <v xml:space="preserve"> </v>
      </c>
      <c r="E5600" s="79" t="str">
        <f t="shared" si="6"/>
        <v xml:space="preserve"> </v>
      </c>
    </row>
    <row r="5601" spans="1:5" ht="12.5">
      <c r="A5601" s="81" t="str">
        <f t="shared" si="0"/>
        <v xml:space="preserve"> </v>
      </c>
      <c r="B5601" s="81" t="str">
        <f t="shared" si="1"/>
        <v xml:space="preserve"> </v>
      </c>
      <c r="C5601" s="79" t="str">
        <f t="shared" si="7"/>
        <v xml:space="preserve"> </v>
      </c>
      <c r="D5601" s="79" t="str">
        <f t="shared" si="5"/>
        <v xml:space="preserve"> </v>
      </c>
      <c r="E5601" s="79" t="str">
        <f t="shared" si="6"/>
        <v xml:space="preserve"> </v>
      </c>
    </row>
    <row r="5602" spans="1:5" ht="12.5">
      <c r="A5602" s="81" t="str">
        <f t="shared" si="0"/>
        <v xml:space="preserve"> </v>
      </c>
      <c r="B5602" s="81" t="str">
        <f t="shared" si="1"/>
        <v xml:space="preserve"> </v>
      </c>
      <c r="C5602" s="79" t="str">
        <f t="shared" si="7"/>
        <v xml:space="preserve"> </v>
      </c>
      <c r="D5602" s="79" t="str">
        <f t="shared" si="5"/>
        <v xml:space="preserve"> </v>
      </c>
      <c r="E5602" s="79" t="str">
        <f t="shared" si="6"/>
        <v xml:space="preserve"> </v>
      </c>
    </row>
    <row r="5603" spans="1:5" ht="12.5">
      <c r="A5603" s="81" t="str">
        <f t="shared" si="0"/>
        <v xml:space="preserve"> </v>
      </c>
      <c r="B5603" s="81" t="str">
        <f t="shared" si="1"/>
        <v xml:space="preserve"> </v>
      </c>
      <c r="C5603" s="79" t="str">
        <f t="shared" si="7"/>
        <v xml:space="preserve"> </v>
      </c>
      <c r="D5603" s="79" t="str">
        <f t="shared" si="5"/>
        <v xml:space="preserve"> </v>
      </c>
      <c r="E5603" s="79" t="str">
        <f t="shared" si="6"/>
        <v xml:space="preserve"> </v>
      </c>
    </row>
    <row r="5604" spans="1:5" ht="12.5">
      <c r="A5604" s="81" t="str">
        <f t="shared" si="0"/>
        <v xml:space="preserve"> </v>
      </c>
      <c r="B5604" s="81" t="str">
        <f t="shared" si="1"/>
        <v xml:space="preserve"> </v>
      </c>
      <c r="C5604" s="79" t="str">
        <f t="shared" si="7"/>
        <v xml:space="preserve"> </v>
      </c>
      <c r="D5604" s="79" t="str">
        <f t="shared" si="5"/>
        <v xml:space="preserve"> </v>
      </c>
      <c r="E5604" s="79" t="str">
        <f t="shared" si="6"/>
        <v xml:space="preserve"> </v>
      </c>
    </row>
    <row r="5605" spans="1:5" ht="12.5">
      <c r="A5605" s="81" t="str">
        <f t="shared" si="0"/>
        <v xml:space="preserve"> </v>
      </c>
      <c r="B5605" s="81" t="str">
        <f t="shared" si="1"/>
        <v xml:space="preserve"> </v>
      </c>
      <c r="C5605" s="79" t="str">
        <f t="shared" si="7"/>
        <v xml:space="preserve"> </v>
      </c>
      <c r="D5605" s="79" t="str">
        <f t="shared" si="5"/>
        <v xml:space="preserve"> </v>
      </c>
      <c r="E5605" s="79" t="str">
        <f t="shared" si="6"/>
        <v xml:space="preserve"> </v>
      </c>
    </row>
    <row r="5606" spans="1:5" ht="12.5">
      <c r="A5606" s="81" t="str">
        <f t="shared" si="0"/>
        <v xml:space="preserve"> </v>
      </c>
      <c r="B5606" s="81" t="str">
        <f t="shared" si="1"/>
        <v xml:space="preserve"> </v>
      </c>
      <c r="C5606" s="79" t="str">
        <f t="shared" si="7"/>
        <v xml:space="preserve"> </v>
      </c>
      <c r="D5606" s="79" t="str">
        <f t="shared" si="5"/>
        <v xml:space="preserve"> </v>
      </c>
      <c r="E5606" s="79" t="str">
        <f t="shared" si="6"/>
        <v xml:space="preserve"> </v>
      </c>
    </row>
    <row r="5607" spans="1:5" ht="12.5">
      <c r="A5607" s="81" t="str">
        <f t="shared" si="0"/>
        <v xml:space="preserve"> </v>
      </c>
      <c r="B5607" s="81" t="str">
        <f t="shared" si="1"/>
        <v xml:space="preserve"> </v>
      </c>
      <c r="C5607" s="79" t="str">
        <f t="shared" si="7"/>
        <v xml:space="preserve"> </v>
      </c>
      <c r="D5607" s="79" t="str">
        <f t="shared" si="5"/>
        <v xml:space="preserve"> </v>
      </c>
      <c r="E5607" s="79" t="str">
        <f t="shared" si="6"/>
        <v xml:space="preserve"> </v>
      </c>
    </row>
    <row r="5608" spans="1:5" ht="12.5">
      <c r="A5608" s="81" t="str">
        <f t="shared" si="0"/>
        <v xml:space="preserve"> </v>
      </c>
      <c r="B5608" s="81" t="str">
        <f t="shared" si="1"/>
        <v xml:space="preserve"> </v>
      </c>
      <c r="C5608" s="79" t="str">
        <f t="shared" si="7"/>
        <v xml:space="preserve"> </v>
      </c>
      <c r="D5608" s="79" t="str">
        <f t="shared" si="5"/>
        <v xml:space="preserve"> </v>
      </c>
      <c r="E5608" s="79" t="str">
        <f t="shared" si="6"/>
        <v xml:space="preserve"> </v>
      </c>
    </row>
    <row r="5609" spans="1:5" ht="12.5">
      <c r="A5609" s="81" t="str">
        <f t="shared" si="0"/>
        <v xml:space="preserve"> </v>
      </c>
      <c r="B5609" s="81" t="str">
        <f t="shared" si="1"/>
        <v xml:space="preserve"> </v>
      </c>
      <c r="C5609" s="79" t="str">
        <f t="shared" si="7"/>
        <v xml:space="preserve"> </v>
      </c>
      <c r="D5609" s="79" t="str">
        <f t="shared" si="5"/>
        <v xml:space="preserve"> </v>
      </c>
      <c r="E5609" s="79" t="str">
        <f t="shared" si="6"/>
        <v xml:space="preserve"> </v>
      </c>
    </row>
    <row r="5610" spans="1:5" ht="12.5">
      <c r="A5610" s="81" t="str">
        <f t="shared" si="0"/>
        <v xml:space="preserve"> </v>
      </c>
      <c r="B5610" s="81" t="str">
        <f t="shared" si="1"/>
        <v xml:space="preserve"> </v>
      </c>
      <c r="C5610" s="79" t="str">
        <f t="shared" si="7"/>
        <v xml:space="preserve"> </v>
      </c>
      <c r="D5610" s="79" t="str">
        <f t="shared" si="5"/>
        <v xml:space="preserve"> </v>
      </c>
      <c r="E5610" s="79" t="str">
        <f t="shared" si="6"/>
        <v xml:space="preserve"> </v>
      </c>
    </row>
    <row r="5611" spans="1:5" ht="12.5">
      <c r="A5611" s="81" t="str">
        <f t="shared" si="0"/>
        <v xml:space="preserve"> </v>
      </c>
      <c r="B5611" s="81" t="str">
        <f t="shared" si="1"/>
        <v xml:space="preserve"> </v>
      </c>
      <c r="C5611" s="79" t="str">
        <f t="shared" si="7"/>
        <v xml:space="preserve"> </v>
      </c>
      <c r="D5611" s="79" t="str">
        <f t="shared" si="5"/>
        <v xml:space="preserve"> </v>
      </c>
      <c r="E5611" s="79" t="str">
        <f t="shared" si="6"/>
        <v xml:space="preserve"> </v>
      </c>
    </row>
    <row r="5612" spans="1:5" ht="12.5">
      <c r="A5612" s="81" t="str">
        <f t="shared" si="0"/>
        <v xml:space="preserve"> </v>
      </c>
      <c r="B5612" s="81" t="str">
        <f t="shared" si="1"/>
        <v xml:space="preserve"> </v>
      </c>
      <c r="C5612" s="79" t="str">
        <f t="shared" si="7"/>
        <v xml:space="preserve"> </v>
      </c>
      <c r="D5612" s="79" t="str">
        <f t="shared" si="5"/>
        <v xml:space="preserve"> </v>
      </c>
      <c r="E5612" s="79" t="str">
        <f t="shared" si="6"/>
        <v xml:space="preserve"> </v>
      </c>
    </row>
    <row r="5613" spans="1:5" ht="12.5">
      <c r="A5613" s="81" t="str">
        <f t="shared" si="0"/>
        <v xml:space="preserve"> </v>
      </c>
      <c r="B5613" s="81" t="str">
        <f t="shared" si="1"/>
        <v xml:space="preserve"> </v>
      </c>
      <c r="C5613" s="79" t="str">
        <f t="shared" si="7"/>
        <v xml:space="preserve"> </v>
      </c>
      <c r="D5613" s="79" t="str">
        <f t="shared" si="5"/>
        <v xml:space="preserve"> </v>
      </c>
      <c r="E5613" s="79" t="str">
        <f t="shared" si="6"/>
        <v xml:space="preserve"> </v>
      </c>
    </row>
    <row r="5614" spans="1:5" ht="12.5">
      <c r="A5614" s="81" t="str">
        <f t="shared" si="0"/>
        <v xml:space="preserve"> </v>
      </c>
      <c r="B5614" s="81" t="str">
        <f t="shared" si="1"/>
        <v xml:space="preserve"> </v>
      </c>
      <c r="C5614" s="79" t="str">
        <f t="shared" si="7"/>
        <v xml:space="preserve"> </v>
      </c>
      <c r="D5614" s="79" t="str">
        <f t="shared" si="5"/>
        <v xml:space="preserve"> </v>
      </c>
      <c r="E5614" s="79" t="str">
        <f t="shared" si="6"/>
        <v xml:space="preserve"> </v>
      </c>
    </row>
    <row r="5615" spans="1:5" ht="12.5">
      <c r="A5615" s="81" t="str">
        <f t="shared" si="0"/>
        <v xml:space="preserve"> </v>
      </c>
      <c r="B5615" s="81" t="str">
        <f t="shared" si="1"/>
        <v xml:space="preserve"> </v>
      </c>
      <c r="C5615" s="79" t="str">
        <f t="shared" si="7"/>
        <v xml:space="preserve"> </v>
      </c>
      <c r="D5615" s="79" t="str">
        <f t="shared" si="5"/>
        <v xml:space="preserve"> </v>
      </c>
      <c r="E5615" s="79" t="str">
        <f t="shared" si="6"/>
        <v xml:space="preserve"> </v>
      </c>
    </row>
    <row r="5616" spans="1:5" ht="12.5">
      <c r="A5616" s="81" t="str">
        <f t="shared" si="0"/>
        <v xml:space="preserve"> </v>
      </c>
      <c r="B5616" s="81" t="str">
        <f t="shared" si="1"/>
        <v xml:space="preserve"> </v>
      </c>
      <c r="C5616" s="79" t="str">
        <f t="shared" si="7"/>
        <v xml:space="preserve"> </v>
      </c>
      <c r="D5616" s="79" t="str">
        <f t="shared" si="5"/>
        <v xml:space="preserve"> </v>
      </c>
      <c r="E5616" s="79" t="str">
        <f t="shared" si="6"/>
        <v xml:space="preserve"> </v>
      </c>
    </row>
    <row r="5617" spans="1:5" ht="12.5">
      <c r="A5617" s="81" t="str">
        <f t="shared" si="0"/>
        <v xml:space="preserve"> </v>
      </c>
      <c r="B5617" s="81" t="str">
        <f t="shared" si="1"/>
        <v xml:space="preserve"> </v>
      </c>
      <c r="C5617" s="79" t="str">
        <f t="shared" si="7"/>
        <v xml:space="preserve"> </v>
      </c>
      <c r="D5617" s="79" t="str">
        <f t="shared" si="5"/>
        <v xml:space="preserve"> </v>
      </c>
      <c r="E5617" s="79" t="str">
        <f t="shared" si="6"/>
        <v xml:space="preserve"> </v>
      </c>
    </row>
    <row r="5618" spans="1:5" ht="12.5">
      <c r="A5618" s="81" t="str">
        <f t="shared" si="0"/>
        <v xml:space="preserve"> </v>
      </c>
      <c r="B5618" s="81" t="str">
        <f t="shared" si="1"/>
        <v xml:space="preserve"> </v>
      </c>
      <c r="C5618" s="79" t="str">
        <f t="shared" si="7"/>
        <v xml:space="preserve"> </v>
      </c>
      <c r="D5618" s="79" t="str">
        <f t="shared" si="5"/>
        <v xml:space="preserve"> </v>
      </c>
      <c r="E5618" s="79" t="str">
        <f t="shared" si="6"/>
        <v xml:space="preserve"> </v>
      </c>
    </row>
    <row r="5619" spans="1:5" ht="12.5">
      <c r="A5619" s="81" t="str">
        <f t="shared" si="0"/>
        <v xml:space="preserve"> </v>
      </c>
      <c r="B5619" s="81" t="str">
        <f t="shared" si="1"/>
        <v xml:space="preserve"> </v>
      </c>
      <c r="C5619" s="79" t="str">
        <f t="shared" si="7"/>
        <v xml:space="preserve"> </v>
      </c>
      <c r="D5619" s="79" t="str">
        <f t="shared" si="5"/>
        <v xml:space="preserve"> </v>
      </c>
      <c r="E5619" s="79" t="str">
        <f t="shared" si="6"/>
        <v xml:space="preserve"> </v>
      </c>
    </row>
    <row r="5620" spans="1:5" ht="12.5">
      <c r="A5620" s="81" t="str">
        <f t="shared" si="0"/>
        <v xml:space="preserve"> </v>
      </c>
      <c r="B5620" s="81" t="str">
        <f t="shared" si="1"/>
        <v xml:space="preserve"> </v>
      </c>
      <c r="C5620" s="79" t="str">
        <f t="shared" si="7"/>
        <v xml:space="preserve"> </v>
      </c>
      <c r="D5620" s="79" t="str">
        <f t="shared" si="5"/>
        <v xml:space="preserve"> </v>
      </c>
      <c r="E5620" s="79" t="str">
        <f t="shared" si="6"/>
        <v xml:space="preserve"> </v>
      </c>
    </row>
    <row r="5621" spans="1:5" ht="12.5">
      <c r="A5621" s="81" t="str">
        <f t="shared" si="0"/>
        <v xml:space="preserve"> </v>
      </c>
      <c r="B5621" s="81" t="str">
        <f t="shared" si="1"/>
        <v xml:space="preserve"> </v>
      </c>
      <c r="C5621" s="79" t="str">
        <f t="shared" si="7"/>
        <v xml:space="preserve"> </v>
      </c>
      <c r="D5621" s="79" t="str">
        <f t="shared" si="5"/>
        <v xml:space="preserve"> </v>
      </c>
      <c r="E5621" s="79" t="str">
        <f t="shared" si="6"/>
        <v xml:space="preserve"> </v>
      </c>
    </row>
    <row r="5622" spans="1:5" ht="12.5">
      <c r="A5622" s="81" t="str">
        <f t="shared" si="0"/>
        <v xml:space="preserve"> </v>
      </c>
      <c r="B5622" s="81" t="str">
        <f t="shared" si="1"/>
        <v xml:space="preserve"> </v>
      </c>
      <c r="C5622" s="79" t="str">
        <f t="shared" si="7"/>
        <v xml:space="preserve"> </v>
      </c>
      <c r="D5622" s="79" t="str">
        <f t="shared" si="5"/>
        <v xml:space="preserve"> </v>
      </c>
      <c r="E5622" s="79" t="str">
        <f t="shared" si="6"/>
        <v xml:space="preserve"> </v>
      </c>
    </row>
    <row r="5623" spans="1:5" ht="12.5">
      <c r="A5623" s="81" t="str">
        <f t="shared" si="0"/>
        <v xml:space="preserve"> </v>
      </c>
      <c r="B5623" s="81" t="str">
        <f t="shared" si="1"/>
        <v xml:space="preserve"> </v>
      </c>
      <c r="C5623" s="79" t="str">
        <f t="shared" si="7"/>
        <v xml:space="preserve"> </v>
      </c>
      <c r="D5623" s="79" t="str">
        <f t="shared" si="5"/>
        <v xml:space="preserve"> </v>
      </c>
      <c r="E5623" s="79" t="str">
        <f t="shared" si="6"/>
        <v xml:space="preserve"> </v>
      </c>
    </row>
    <row r="5624" spans="1:5" ht="12.5">
      <c r="A5624" s="81" t="str">
        <f t="shared" si="0"/>
        <v xml:space="preserve"> </v>
      </c>
      <c r="B5624" s="81" t="str">
        <f t="shared" si="1"/>
        <v xml:space="preserve"> </v>
      </c>
      <c r="C5624" s="79" t="str">
        <f t="shared" si="7"/>
        <v xml:space="preserve"> </v>
      </c>
      <c r="D5624" s="79" t="str">
        <f t="shared" si="5"/>
        <v xml:space="preserve"> </v>
      </c>
      <c r="E5624" s="79" t="str">
        <f t="shared" si="6"/>
        <v xml:space="preserve"> </v>
      </c>
    </row>
    <row r="5625" spans="1:5" ht="12.5">
      <c r="A5625" s="81" t="str">
        <f t="shared" si="0"/>
        <v xml:space="preserve"> </v>
      </c>
      <c r="B5625" s="81" t="str">
        <f t="shared" si="1"/>
        <v xml:space="preserve"> </v>
      </c>
      <c r="C5625" s="79" t="str">
        <f t="shared" si="7"/>
        <v xml:space="preserve"> </v>
      </c>
      <c r="D5625" s="79" t="str">
        <f t="shared" si="5"/>
        <v xml:space="preserve"> </v>
      </c>
      <c r="E5625" s="79" t="str">
        <f t="shared" si="6"/>
        <v xml:space="preserve"> </v>
      </c>
    </row>
    <row r="5626" spans="1:5" ht="12.5">
      <c r="A5626" s="81" t="str">
        <f t="shared" si="0"/>
        <v xml:space="preserve"> </v>
      </c>
      <c r="B5626" s="81" t="str">
        <f t="shared" si="1"/>
        <v xml:space="preserve"> </v>
      </c>
      <c r="C5626" s="79" t="str">
        <f t="shared" si="7"/>
        <v xml:space="preserve"> </v>
      </c>
      <c r="D5626" s="79" t="str">
        <f t="shared" si="5"/>
        <v xml:space="preserve"> </v>
      </c>
      <c r="E5626" s="79" t="str">
        <f t="shared" si="6"/>
        <v xml:space="preserve"> </v>
      </c>
    </row>
    <row r="5627" spans="1:5" ht="12.5">
      <c r="A5627" s="81" t="str">
        <f t="shared" si="0"/>
        <v xml:space="preserve"> </v>
      </c>
      <c r="B5627" s="81" t="str">
        <f t="shared" si="1"/>
        <v xml:space="preserve"> </v>
      </c>
      <c r="C5627" s="79" t="str">
        <f t="shared" si="7"/>
        <v xml:space="preserve"> </v>
      </c>
      <c r="D5627" s="79" t="str">
        <f t="shared" si="5"/>
        <v xml:space="preserve"> </v>
      </c>
      <c r="E5627" s="79" t="str">
        <f t="shared" si="6"/>
        <v xml:space="preserve"> </v>
      </c>
    </row>
    <row r="5628" spans="1:5" ht="12.5">
      <c r="A5628" s="81" t="str">
        <f t="shared" si="0"/>
        <v xml:space="preserve"> </v>
      </c>
      <c r="B5628" s="81" t="str">
        <f t="shared" si="1"/>
        <v xml:space="preserve"> </v>
      </c>
      <c r="C5628" s="79" t="str">
        <f t="shared" si="7"/>
        <v xml:space="preserve"> </v>
      </c>
      <c r="D5628" s="79" t="str">
        <f t="shared" si="5"/>
        <v xml:space="preserve"> </v>
      </c>
      <c r="E5628" s="79" t="str">
        <f t="shared" si="6"/>
        <v xml:space="preserve"> </v>
      </c>
    </row>
    <row r="5629" spans="1:5" ht="12.5">
      <c r="A5629" s="81" t="str">
        <f t="shared" si="0"/>
        <v xml:space="preserve"> </v>
      </c>
      <c r="B5629" s="81" t="str">
        <f t="shared" si="1"/>
        <v xml:space="preserve"> </v>
      </c>
      <c r="C5629" s="79" t="str">
        <f t="shared" si="7"/>
        <v xml:space="preserve"> </v>
      </c>
      <c r="D5629" s="79" t="str">
        <f t="shared" si="5"/>
        <v xml:space="preserve"> </v>
      </c>
      <c r="E5629" s="79" t="str">
        <f t="shared" si="6"/>
        <v xml:space="preserve"> </v>
      </c>
    </row>
    <row r="5630" spans="1:5" ht="12.5">
      <c r="A5630" s="81" t="str">
        <f t="shared" si="0"/>
        <v xml:space="preserve"> </v>
      </c>
      <c r="B5630" s="81" t="str">
        <f t="shared" si="1"/>
        <v xml:space="preserve"> </v>
      </c>
      <c r="C5630" s="79" t="str">
        <f t="shared" si="7"/>
        <v xml:space="preserve"> </v>
      </c>
      <c r="D5630" s="79" t="str">
        <f t="shared" si="5"/>
        <v xml:space="preserve"> </v>
      </c>
      <c r="E5630" s="79" t="str">
        <f t="shared" si="6"/>
        <v xml:space="preserve"> </v>
      </c>
    </row>
    <row r="5631" spans="1:5" ht="12.5">
      <c r="A5631" s="81" t="str">
        <f t="shared" si="0"/>
        <v xml:space="preserve"> </v>
      </c>
      <c r="B5631" s="81" t="str">
        <f t="shared" si="1"/>
        <v xml:space="preserve"> </v>
      </c>
      <c r="C5631" s="79" t="str">
        <f t="shared" si="7"/>
        <v xml:space="preserve"> </v>
      </c>
      <c r="D5631" s="79" t="str">
        <f t="shared" si="5"/>
        <v xml:space="preserve"> </v>
      </c>
      <c r="E5631" s="79" t="str">
        <f t="shared" si="6"/>
        <v xml:space="preserve"> </v>
      </c>
    </row>
    <row r="5632" spans="1:5" ht="12.5">
      <c r="A5632" s="81" t="str">
        <f t="shared" si="0"/>
        <v xml:space="preserve"> </v>
      </c>
      <c r="B5632" s="81" t="str">
        <f t="shared" si="1"/>
        <v xml:space="preserve"> </v>
      </c>
      <c r="C5632" s="79" t="str">
        <f t="shared" si="7"/>
        <v xml:space="preserve"> </v>
      </c>
      <c r="D5632" s="79" t="str">
        <f t="shared" si="5"/>
        <v xml:space="preserve"> </v>
      </c>
      <c r="E5632" s="79" t="str">
        <f t="shared" si="6"/>
        <v xml:space="preserve"> </v>
      </c>
    </row>
    <row r="5633" spans="1:5" ht="12.5">
      <c r="A5633" s="81" t="str">
        <f t="shared" si="0"/>
        <v xml:space="preserve"> </v>
      </c>
      <c r="B5633" s="81" t="str">
        <f t="shared" si="1"/>
        <v xml:space="preserve"> </v>
      </c>
      <c r="C5633" s="79" t="str">
        <f t="shared" si="7"/>
        <v xml:space="preserve"> </v>
      </c>
      <c r="D5633" s="79" t="str">
        <f t="shared" si="5"/>
        <v xml:space="preserve"> </v>
      </c>
      <c r="E5633" s="79" t="str">
        <f t="shared" si="6"/>
        <v xml:space="preserve"> </v>
      </c>
    </row>
    <row r="5634" spans="1:5" ht="12.5">
      <c r="A5634" s="81" t="str">
        <f t="shared" si="0"/>
        <v xml:space="preserve"> </v>
      </c>
      <c r="B5634" s="81" t="str">
        <f t="shared" si="1"/>
        <v xml:space="preserve"> </v>
      </c>
      <c r="C5634" s="79" t="str">
        <f t="shared" si="7"/>
        <v xml:space="preserve"> </v>
      </c>
      <c r="D5634" s="79" t="str">
        <f t="shared" si="5"/>
        <v xml:space="preserve"> </v>
      </c>
      <c r="E5634" s="79" t="str">
        <f t="shared" si="6"/>
        <v xml:space="preserve"> </v>
      </c>
    </row>
    <row r="5635" spans="1:5" ht="12.5">
      <c r="A5635" s="81" t="str">
        <f t="shared" si="0"/>
        <v xml:space="preserve"> </v>
      </c>
      <c r="B5635" s="81" t="str">
        <f t="shared" si="1"/>
        <v xml:space="preserve"> </v>
      </c>
      <c r="C5635" s="79" t="str">
        <f t="shared" si="7"/>
        <v xml:space="preserve"> </v>
      </c>
      <c r="D5635" s="79" t="str">
        <f t="shared" si="5"/>
        <v xml:space="preserve"> </v>
      </c>
      <c r="E5635" s="79" t="str">
        <f t="shared" si="6"/>
        <v xml:space="preserve"> </v>
      </c>
    </row>
    <row r="5636" spans="1:5" ht="12.5">
      <c r="A5636" s="81" t="str">
        <f t="shared" si="0"/>
        <v xml:space="preserve"> </v>
      </c>
      <c r="B5636" s="81" t="str">
        <f t="shared" si="1"/>
        <v xml:space="preserve"> </v>
      </c>
      <c r="C5636" s="79" t="str">
        <f t="shared" si="7"/>
        <v xml:space="preserve"> </v>
      </c>
      <c r="D5636" s="79" t="str">
        <f t="shared" si="5"/>
        <v xml:space="preserve"> </v>
      </c>
      <c r="E5636" s="79" t="str">
        <f t="shared" si="6"/>
        <v xml:space="preserve"> </v>
      </c>
    </row>
    <row r="5637" spans="1:5" ht="12.5">
      <c r="A5637" s="81" t="str">
        <f t="shared" si="0"/>
        <v xml:space="preserve"> </v>
      </c>
      <c r="B5637" s="81" t="str">
        <f t="shared" si="1"/>
        <v xml:space="preserve"> </v>
      </c>
      <c r="C5637" s="79" t="str">
        <f t="shared" si="7"/>
        <v xml:space="preserve"> </v>
      </c>
      <c r="D5637" s="79" t="str">
        <f t="shared" si="5"/>
        <v xml:space="preserve"> </v>
      </c>
      <c r="E5637" s="79" t="str">
        <f t="shared" si="6"/>
        <v xml:space="preserve"> </v>
      </c>
    </row>
    <row r="5638" spans="1:5" ht="12.5">
      <c r="A5638" s="81" t="str">
        <f t="shared" si="0"/>
        <v xml:space="preserve"> </v>
      </c>
      <c r="B5638" s="81" t="str">
        <f t="shared" si="1"/>
        <v xml:space="preserve"> </v>
      </c>
      <c r="C5638" s="79" t="str">
        <f t="shared" si="7"/>
        <v xml:space="preserve"> </v>
      </c>
      <c r="D5638" s="79" t="str">
        <f t="shared" si="5"/>
        <v xml:space="preserve"> </v>
      </c>
      <c r="E5638" s="79" t="str">
        <f t="shared" si="6"/>
        <v xml:space="preserve"> </v>
      </c>
    </row>
    <row r="5639" spans="1:5" ht="12.5">
      <c r="A5639" s="81" t="str">
        <f t="shared" si="0"/>
        <v xml:space="preserve"> </v>
      </c>
      <c r="B5639" s="81" t="str">
        <f t="shared" si="1"/>
        <v xml:space="preserve"> </v>
      </c>
      <c r="C5639" s="79" t="str">
        <f t="shared" si="7"/>
        <v xml:space="preserve"> </v>
      </c>
      <c r="D5639" s="79" t="str">
        <f t="shared" si="5"/>
        <v xml:space="preserve"> </v>
      </c>
      <c r="E5639" s="79" t="str">
        <f t="shared" si="6"/>
        <v xml:space="preserve"> </v>
      </c>
    </row>
    <row r="5640" spans="1:5" ht="12.5">
      <c r="A5640" s="81" t="str">
        <f t="shared" si="0"/>
        <v xml:space="preserve"> </v>
      </c>
      <c r="B5640" s="81" t="str">
        <f t="shared" si="1"/>
        <v xml:space="preserve"> </v>
      </c>
      <c r="C5640" s="79" t="str">
        <f t="shared" si="7"/>
        <v xml:space="preserve"> </v>
      </c>
      <c r="D5640" s="79" t="str">
        <f t="shared" si="5"/>
        <v xml:space="preserve"> </v>
      </c>
      <c r="E5640" s="79" t="str">
        <f t="shared" si="6"/>
        <v xml:space="preserve"> </v>
      </c>
    </row>
    <row r="5641" spans="1:5" ht="12.5">
      <c r="A5641" s="81" t="str">
        <f t="shared" si="0"/>
        <v xml:space="preserve"> </v>
      </c>
      <c r="B5641" s="81" t="str">
        <f t="shared" si="1"/>
        <v xml:space="preserve"> </v>
      </c>
      <c r="C5641" s="79" t="str">
        <f t="shared" si="7"/>
        <v xml:space="preserve"> </v>
      </c>
      <c r="D5641" s="79" t="str">
        <f t="shared" si="5"/>
        <v xml:space="preserve"> </v>
      </c>
      <c r="E5641" s="79" t="str">
        <f t="shared" si="6"/>
        <v xml:space="preserve"> </v>
      </c>
    </row>
    <row r="5642" spans="1:5" ht="12.5">
      <c r="A5642" s="81" t="str">
        <f t="shared" si="0"/>
        <v xml:space="preserve"> </v>
      </c>
      <c r="B5642" s="81" t="str">
        <f t="shared" si="1"/>
        <v xml:space="preserve"> </v>
      </c>
      <c r="C5642" s="79" t="str">
        <f t="shared" si="7"/>
        <v xml:space="preserve"> </v>
      </c>
      <c r="D5642" s="79" t="str">
        <f t="shared" si="5"/>
        <v xml:space="preserve"> </v>
      </c>
      <c r="E5642" s="79" t="str">
        <f t="shared" si="6"/>
        <v xml:space="preserve"> </v>
      </c>
    </row>
    <row r="5643" spans="1:5" ht="12.5">
      <c r="A5643" s="81" t="str">
        <f t="shared" si="0"/>
        <v xml:space="preserve"> </v>
      </c>
      <c r="B5643" s="81" t="str">
        <f t="shared" si="1"/>
        <v xml:space="preserve"> </v>
      </c>
      <c r="C5643" s="79" t="str">
        <f t="shared" si="7"/>
        <v xml:space="preserve"> </v>
      </c>
      <c r="D5643" s="79" t="str">
        <f t="shared" si="5"/>
        <v xml:space="preserve"> </v>
      </c>
      <c r="E5643" s="79" t="str">
        <f t="shared" si="6"/>
        <v xml:space="preserve"> </v>
      </c>
    </row>
    <row r="5644" spans="1:5" ht="12.5">
      <c r="A5644" s="81" t="str">
        <f t="shared" si="0"/>
        <v xml:space="preserve"> </v>
      </c>
      <c r="B5644" s="81" t="str">
        <f t="shared" si="1"/>
        <v xml:space="preserve"> </v>
      </c>
      <c r="C5644" s="79" t="str">
        <f t="shared" si="7"/>
        <v xml:space="preserve"> </v>
      </c>
      <c r="D5644" s="79" t="str">
        <f t="shared" si="5"/>
        <v xml:space="preserve"> </v>
      </c>
      <c r="E5644" s="79" t="str">
        <f t="shared" si="6"/>
        <v xml:space="preserve"> </v>
      </c>
    </row>
    <row r="5645" spans="1:5" ht="12.5">
      <c r="A5645" s="81" t="str">
        <f t="shared" si="0"/>
        <v xml:space="preserve"> </v>
      </c>
      <c r="B5645" s="81" t="str">
        <f t="shared" si="1"/>
        <v xml:space="preserve"> </v>
      </c>
      <c r="C5645" s="79" t="str">
        <f t="shared" si="7"/>
        <v xml:space="preserve"> </v>
      </c>
      <c r="D5645" s="79" t="str">
        <f t="shared" si="5"/>
        <v xml:space="preserve"> </v>
      </c>
      <c r="E5645" s="79" t="str">
        <f t="shared" si="6"/>
        <v xml:space="preserve"> </v>
      </c>
    </row>
    <row r="5646" spans="1:5" ht="12.5">
      <c r="A5646" s="81" t="str">
        <f t="shared" si="0"/>
        <v xml:space="preserve"> </v>
      </c>
      <c r="B5646" s="81" t="str">
        <f t="shared" si="1"/>
        <v xml:space="preserve"> </v>
      </c>
      <c r="C5646" s="79" t="str">
        <f t="shared" si="7"/>
        <v xml:space="preserve"> </v>
      </c>
      <c r="D5646" s="79" t="str">
        <f t="shared" si="5"/>
        <v xml:space="preserve"> </v>
      </c>
      <c r="E5646" s="79" t="str">
        <f t="shared" si="6"/>
        <v xml:space="preserve"> </v>
      </c>
    </row>
    <row r="5647" spans="1:5" ht="12.5">
      <c r="A5647" s="81" t="str">
        <f t="shared" si="0"/>
        <v xml:space="preserve"> </v>
      </c>
      <c r="B5647" s="81" t="str">
        <f t="shared" si="1"/>
        <v xml:space="preserve"> </v>
      </c>
      <c r="C5647" s="79" t="str">
        <f t="shared" si="7"/>
        <v xml:space="preserve"> </v>
      </c>
      <c r="D5647" s="79" t="str">
        <f t="shared" si="5"/>
        <v xml:space="preserve"> </v>
      </c>
      <c r="E5647" s="79" t="str">
        <f t="shared" si="6"/>
        <v xml:space="preserve"> </v>
      </c>
    </row>
    <row r="5648" spans="1:5" ht="12.5">
      <c r="A5648" s="81" t="str">
        <f t="shared" si="0"/>
        <v xml:space="preserve"> </v>
      </c>
      <c r="B5648" s="81" t="str">
        <f t="shared" si="1"/>
        <v xml:space="preserve"> </v>
      </c>
      <c r="C5648" s="79" t="str">
        <f t="shared" si="7"/>
        <v xml:space="preserve"> </v>
      </c>
      <c r="D5648" s="79" t="str">
        <f t="shared" si="5"/>
        <v xml:space="preserve"> </v>
      </c>
      <c r="E5648" s="79" t="str">
        <f t="shared" si="6"/>
        <v xml:space="preserve"> </v>
      </c>
    </row>
    <row r="5649" spans="1:5" ht="12.5">
      <c r="A5649" s="81" t="str">
        <f t="shared" si="0"/>
        <v xml:space="preserve"> </v>
      </c>
      <c r="B5649" s="81" t="str">
        <f t="shared" si="1"/>
        <v xml:space="preserve"> </v>
      </c>
      <c r="C5649" s="79" t="str">
        <f t="shared" si="7"/>
        <v xml:space="preserve"> </v>
      </c>
      <c r="D5649" s="79" t="str">
        <f t="shared" si="5"/>
        <v xml:space="preserve"> </v>
      </c>
      <c r="E5649" s="79" t="str">
        <f t="shared" si="6"/>
        <v xml:space="preserve"> </v>
      </c>
    </row>
    <row r="5650" spans="1:5" ht="12.5">
      <c r="A5650" s="81" t="str">
        <f t="shared" si="0"/>
        <v xml:space="preserve"> </v>
      </c>
      <c r="B5650" s="81" t="str">
        <f t="shared" si="1"/>
        <v xml:space="preserve"> </v>
      </c>
      <c r="C5650" s="79" t="str">
        <f t="shared" si="7"/>
        <v xml:space="preserve"> </v>
      </c>
      <c r="D5650" s="79" t="str">
        <f t="shared" si="5"/>
        <v xml:space="preserve"> </v>
      </c>
      <c r="E5650" s="79" t="str">
        <f t="shared" si="6"/>
        <v xml:space="preserve"> </v>
      </c>
    </row>
    <row r="5651" spans="1:5" ht="12.5">
      <c r="A5651" s="81" t="str">
        <f t="shared" si="0"/>
        <v xml:space="preserve"> </v>
      </c>
      <c r="B5651" s="81" t="str">
        <f t="shared" si="1"/>
        <v xml:space="preserve"> </v>
      </c>
      <c r="C5651" s="79" t="str">
        <f t="shared" si="7"/>
        <v xml:space="preserve"> </v>
      </c>
      <c r="D5651" s="79" t="str">
        <f t="shared" si="5"/>
        <v xml:space="preserve"> </v>
      </c>
      <c r="E5651" s="79" t="str">
        <f t="shared" si="6"/>
        <v xml:space="preserve"> </v>
      </c>
    </row>
    <row r="5652" spans="1:5" ht="12.5">
      <c r="A5652" s="81" t="str">
        <f t="shared" si="0"/>
        <v xml:space="preserve"> </v>
      </c>
      <c r="B5652" s="81" t="str">
        <f t="shared" si="1"/>
        <v xml:space="preserve"> </v>
      </c>
      <c r="C5652" s="79" t="str">
        <f t="shared" si="7"/>
        <v xml:space="preserve"> </v>
      </c>
      <c r="D5652" s="79" t="str">
        <f t="shared" si="5"/>
        <v xml:space="preserve"> </v>
      </c>
      <c r="E5652" s="79" t="str">
        <f t="shared" si="6"/>
        <v xml:space="preserve"> </v>
      </c>
    </row>
    <row r="5653" spans="1:5" ht="12.5">
      <c r="A5653" s="81" t="str">
        <f t="shared" si="0"/>
        <v xml:space="preserve"> </v>
      </c>
      <c r="B5653" s="81" t="str">
        <f t="shared" si="1"/>
        <v xml:space="preserve"> </v>
      </c>
      <c r="C5653" s="79" t="str">
        <f t="shared" si="7"/>
        <v xml:space="preserve"> </v>
      </c>
      <c r="D5653" s="79" t="str">
        <f t="shared" si="5"/>
        <v xml:space="preserve"> </v>
      </c>
      <c r="E5653" s="79" t="str">
        <f t="shared" si="6"/>
        <v xml:space="preserve"> </v>
      </c>
    </row>
    <row r="5654" spans="1:5" ht="12.5">
      <c r="A5654" s="81" t="str">
        <f t="shared" si="0"/>
        <v xml:space="preserve"> </v>
      </c>
      <c r="B5654" s="81" t="str">
        <f t="shared" si="1"/>
        <v xml:space="preserve"> </v>
      </c>
      <c r="C5654" s="79" t="str">
        <f t="shared" si="7"/>
        <v xml:space="preserve"> </v>
      </c>
      <c r="D5654" s="79" t="str">
        <f t="shared" si="5"/>
        <v xml:space="preserve"> </v>
      </c>
      <c r="E5654" s="79" t="str">
        <f t="shared" si="6"/>
        <v xml:space="preserve"> </v>
      </c>
    </row>
    <row r="5655" spans="1:5" ht="12.5">
      <c r="A5655" s="81" t="str">
        <f t="shared" si="0"/>
        <v xml:space="preserve"> </v>
      </c>
      <c r="B5655" s="81" t="str">
        <f t="shared" si="1"/>
        <v xml:space="preserve"> </v>
      </c>
      <c r="C5655" s="79" t="str">
        <f t="shared" si="7"/>
        <v xml:space="preserve"> </v>
      </c>
      <c r="D5655" s="79" t="str">
        <f t="shared" si="5"/>
        <v xml:space="preserve"> </v>
      </c>
      <c r="E5655" s="79" t="str">
        <f t="shared" si="6"/>
        <v xml:space="preserve"> </v>
      </c>
    </row>
    <row r="5656" spans="1:5" ht="12.5">
      <c r="A5656" s="81" t="str">
        <f t="shared" si="0"/>
        <v xml:space="preserve"> </v>
      </c>
      <c r="B5656" s="81" t="str">
        <f t="shared" si="1"/>
        <v xml:space="preserve"> </v>
      </c>
      <c r="C5656" s="79" t="str">
        <f t="shared" si="7"/>
        <v xml:space="preserve"> </v>
      </c>
      <c r="D5656" s="79" t="str">
        <f t="shared" si="5"/>
        <v xml:space="preserve"> </v>
      </c>
      <c r="E5656" s="79" t="str">
        <f t="shared" si="6"/>
        <v xml:space="preserve"> </v>
      </c>
    </row>
    <row r="5657" spans="1:5" ht="12.5">
      <c r="A5657" s="81" t="str">
        <f t="shared" si="0"/>
        <v xml:space="preserve"> </v>
      </c>
      <c r="B5657" s="81" t="str">
        <f t="shared" si="1"/>
        <v xml:space="preserve"> </v>
      </c>
      <c r="C5657" s="79" t="str">
        <f t="shared" si="7"/>
        <v xml:space="preserve"> </v>
      </c>
      <c r="D5657" s="79" t="str">
        <f t="shared" si="5"/>
        <v xml:space="preserve"> </v>
      </c>
      <c r="E5657" s="79" t="str">
        <f t="shared" si="6"/>
        <v xml:space="preserve"> </v>
      </c>
    </row>
    <row r="5658" spans="1:5" ht="12.5">
      <c r="A5658" s="81" t="str">
        <f t="shared" si="0"/>
        <v xml:space="preserve"> </v>
      </c>
      <c r="B5658" s="81" t="str">
        <f t="shared" si="1"/>
        <v xml:space="preserve"> </v>
      </c>
      <c r="C5658" s="79" t="str">
        <f t="shared" si="7"/>
        <v xml:space="preserve"> </v>
      </c>
      <c r="D5658" s="79" t="str">
        <f t="shared" si="5"/>
        <v xml:space="preserve"> </v>
      </c>
      <c r="E5658" s="79" t="str">
        <f t="shared" si="6"/>
        <v xml:space="preserve"> </v>
      </c>
    </row>
    <row r="5659" spans="1:5" ht="12.5">
      <c r="A5659" s="81" t="str">
        <f t="shared" si="0"/>
        <v xml:space="preserve"> </v>
      </c>
      <c r="B5659" s="81" t="str">
        <f t="shared" si="1"/>
        <v xml:space="preserve"> </v>
      </c>
      <c r="C5659" s="79" t="str">
        <f t="shared" si="7"/>
        <v xml:space="preserve"> </v>
      </c>
      <c r="D5659" s="79" t="str">
        <f t="shared" si="5"/>
        <v xml:space="preserve"> </v>
      </c>
      <c r="E5659" s="79" t="str">
        <f t="shared" si="6"/>
        <v xml:space="preserve"> </v>
      </c>
    </row>
    <row r="5660" spans="1:5" ht="12.5">
      <c r="A5660" s="81" t="str">
        <f t="shared" si="0"/>
        <v xml:space="preserve"> </v>
      </c>
      <c r="B5660" s="81" t="str">
        <f t="shared" si="1"/>
        <v xml:space="preserve"> </v>
      </c>
      <c r="C5660" s="79" t="str">
        <f t="shared" si="7"/>
        <v xml:space="preserve"> </v>
      </c>
      <c r="D5660" s="79" t="str">
        <f t="shared" si="5"/>
        <v xml:space="preserve"> </v>
      </c>
      <c r="E5660" s="79" t="str">
        <f t="shared" si="6"/>
        <v xml:space="preserve"> </v>
      </c>
    </row>
    <row r="5661" spans="1:5" ht="12.5">
      <c r="A5661" s="81" t="str">
        <f t="shared" si="0"/>
        <v xml:space="preserve"> </v>
      </c>
      <c r="B5661" s="81" t="str">
        <f t="shared" si="1"/>
        <v xml:space="preserve"> </v>
      </c>
      <c r="C5661" s="79" t="str">
        <f t="shared" si="7"/>
        <v xml:space="preserve"> </v>
      </c>
      <c r="D5661" s="79" t="str">
        <f t="shared" si="5"/>
        <v xml:space="preserve"> </v>
      </c>
      <c r="E5661" s="79" t="str">
        <f t="shared" si="6"/>
        <v xml:space="preserve"> </v>
      </c>
    </row>
    <row r="5662" spans="1:5" ht="12.5">
      <c r="A5662" s="81" t="str">
        <f t="shared" si="0"/>
        <v xml:space="preserve"> </v>
      </c>
      <c r="B5662" s="81" t="str">
        <f t="shared" si="1"/>
        <v xml:space="preserve"> </v>
      </c>
      <c r="C5662" s="79" t="str">
        <f t="shared" si="7"/>
        <v xml:space="preserve"> </v>
      </c>
      <c r="D5662" s="79" t="str">
        <f t="shared" si="5"/>
        <v xml:space="preserve"> </v>
      </c>
      <c r="E5662" s="79" t="str">
        <f t="shared" si="6"/>
        <v xml:space="preserve"> </v>
      </c>
    </row>
    <row r="5663" spans="1:5" ht="12.5">
      <c r="A5663" s="81" t="str">
        <f t="shared" si="0"/>
        <v xml:space="preserve"> </v>
      </c>
      <c r="B5663" s="81" t="str">
        <f t="shared" si="1"/>
        <v xml:space="preserve"> </v>
      </c>
      <c r="C5663" s="79" t="str">
        <f t="shared" si="7"/>
        <v xml:space="preserve"> </v>
      </c>
      <c r="D5663" s="79" t="str">
        <f t="shared" si="5"/>
        <v xml:space="preserve"> </v>
      </c>
      <c r="E5663" s="79" t="str">
        <f t="shared" si="6"/>
        <v xml:space="preserve"> </v>
      </c>
    </row>
    <row r="5664" spans="1:5" ht="12.5">
      <c r="A5664" s="81" t="str">
        <f t="shared" si="0"/>
        <v xml:space="preserve"> </v>
      </c>
      <c r="B5664" s="81" t="str">
        <f t="shared" si="1"/>
        <v xml:space="preserve"> </v>
      </c>
      <c r="C5664" s="79" t="str">
        <f t="shared" si="7"/>
        <v xml:space="preserve"> </v>
      </c>
      <c r="D5664" s="79" t="str">
        <f t="shared" si="5"/>
        <v xml:space="preserve"> </v>
      </c>
      <c r="E5664" s="79" t="str">
        <f t="shared" si="6"/>
        <v xml:space="preserve"> </v>
      </c>
    </row>
    <row r="5665" spans="1:5" ht="12.5">
      <c r="A5665" s="81" t="str">
        <f t="shared" si="0"/>
        <v xml:space="preserve"> </v>
      </c>
      <c r="B5665" s="81" t="str">
        <f t="shared" si="1"/>
        <v xml:space="preserve"> </v>
      </c>
      <c r="C5665" s="79" t="str">
        <f t="shared" si="7"/>
        <v xml:space="preserve"> </v>
      </c>
      <c r="D5665" s="79" t="str">
        <f t="shared" si="5"/>
        <v xml:space="preserve"> </v>
      </c>
      <c r="E5665" s="79" t="str">
        <f t="shared" si="6"/>
        <v xml:space="preserve"> </v>
      </c>
    </row>
    <row r="5666" spans="1:5" ht="12.5">
      <c r="A5666" s="81" t="str">
        <f t="shared" si="0"/>
        <v xml:space="preserve"> </v>
      </c>
      <c r="B5666" s="81" t="str">
        <f t="shared" si="1"/>
        <v xml:space="preserve"> </v>
      </c>
      <c r="C5666" s="79" t="str">
        <f t="shared" si="7"/>
        <v xml:space="preserve"> </v>
      </c>
      <c r="D5666" s="79" t="str">
        <f t="shared" si="5"/>
        <v xml:space="preserve"> </v>
      </c>
      <c r="E5666" s="79" t="str">
        <f t="shared" si="6"/>
        <v xml:space="preserve"> </v>
      </c>
    </row>
    <row r="5667" spans="1:5" ht="12.5">
      <c r="A5667" s="81" t="str">
        <f t="shared" si="0"/>
        <v xml:space="preserve"> </v>
      </c>
      <c r="B5667" s="81" t="str">
        <f t="shared" si="1"/>
        <v xml:space="preserve"> </v>
      </c>
      <c r="C5667" s="79" t="str">
        <f t="shared" si="7"/>
        <v xml:space="preserve"> </v>
      </c>
      <c r="D5667" s="79" t="str">
        <f t="shared" si="5"/>
        <v xml:space="preserve"> </v>
      </c>
      <c r="E5667" s="79" t="str">
        <f t="shared" si="6"/>
        <v xml:space="preserve"> </v>
      </c>
    </row>
    <row r="5668" spans="1:5" ht="12.5">
      <c r="A5668" s="81" t="str">
        <f t="shared" si="0"/>
        <v xml:space="preserve"> </v>
      </c>
      <c r="B5668" s="81" t="str">
        <f t="shared" si="1"/>
        <v xml:space="preserve"> </v>
      </c>
      <c r="C5668" s="79" t="str">
        <f t="shared" si="7"/>
        <v xml:space="preserve"> </v>
      </c>
      <c r="D5668" s="79" t="str">
        <f t="shared" si="5"/>
        <v xml:space="preserve"> </v>
      </c>
      <c r="E5668" s="79" t="str">
        <f t="shared" si="6"/>
        <v xml:space="preserve"> </v>
      </c>
    </row>
    <row r="5669" spans="1:5" ht="12.5">
      <c r="A5669" s="81" t="str">
        <f t="shared" si="0"/>
        <v xml:space="preserve"> </v>
      </c>
      <c r="B5669" s="81" t="str">
        <f t="shared" si="1"/>
        <v xml:space="preserve"> </v>
      </c>
      <c r="C5669" s="79" t="str">
        <f t="shared" si="7"/>
        <v xml:space="preserve"> </v>
      </c>
      <c r="D5669" s="79" t="str">
        <f t="shared" si="5"/>
        <v xml:space="preserve"> </v>
      </c>
      <c r="E5669" s="79" t="str">
        <f t="shared" si="6"/>
        <v xml:space="preserve"> </v>
      </c>
    </row>
    <row r="5670" spans="1:5" ht="12.5">
      <c r="A5670" s="81" t="str">
        <f t="shared" si="0"/>
        <v xml:space="preserve"> </v>
      </c>
      <c r="B5670" s="81" t="str">
        <f t="shared" si="1"/>
        <v xml:space="preserve"> </v>
      </c>
      <c r="C5670" s="79" t="str">
        <f t="shared" si="7"/>
        <v xml:space="preserve"> </v>
      </c>
      <c r="D5670" s="79" t="str">
        <f t="shared" si="5"/>
        <v xml:space="preserve"> </v>
      </c>
      <c r="E5670" s="79" t="str">
        <f t="shared" si="6"/>
        <v xml:space="preserve"> </v>
      </c>
    </row>
    <row r="5671" spans="1:5" ht="12.5">
      <c r="A5671" s="81" t="str">
        <f t="shared" si="0"/>
        <v xml:space="preserve"> </v>
      </c>
      <c r="B5671" s="81" t="str">
        <f t="shared" si="1"/>
        <v xml:space="preserve"> </v>
      </c>
      <c r="C5671" s="79" t="str">
        <f t="shared" si="7"/>
        <v xml:space="preserve"> </v>
      </c>
      <c r="D5671" s="79" t="str">
        <f t="shared" si="5"/>
        <v xml:space="preserve"> </v>
      </c>
      <c r="E5671" s="79" t="str">
        <f t="shared" si="6"/>
        <v xml:space="preserve"> </v>
      </c>
    </row>
    <row r="5672" spans="1:5" ht="12.5">
      <c r="A5672" s="81" t="str">
        <f t="shared" si="0"/>
        <v xml:space="preserve"> </v>
      </c>
      <c r="B5672" s="81" t="str">
        <f t="shared" si="1"/>
        <v xml:space="preserve"> </v>
      </c>
      <c r="C5672" s="79" t="str">
        <f t="shared" si="7"/>
        <v xml:space="preserve"> </v>
      </c>
      <c r="D5672" s="79" t="str">
        <f t="shared" si="5"/>
        <v xml:space="preserve"> </v>
      </c>
      <c r="E5672" s="79" t="str">
        <f t="shared" si="6"/>
        <v xml:space="preserve"> </v>
      </c>
    </row>
    <row r="5673" spans="1:5" ht="12.5">
      <c r="A5673" s="81" t="str">
        <f t="shared" si="0"/>
        <v xml:space="preserve"> </v>
      </c>
      <c r="B5673" s="81" t="str">
        <f t="shared" si="1"/>
        <v xml:space="preserve"> </v>
      </c>
      <c r="C5673" s="79" t="str">
        <f t="shared" si="7"/>
        <v xml:space="preserve"> </v>
      </c>
      <c r="D5673" s="79" t="str">
        <f t="shared" si="5"/>
        <v xml:space="preserve"> </v>
      </c>
      <c r="E5673" s="79" t="str">
        <f t="shared" si="6"/>
        <v xml:space="preserve"> </v>
      </c>
    </row>
    <row r="5674" spans="1:5" ht="12.5">
      <c r="A5674" s="81" t="str">
        <f t="shared" si="0"/>
        <v xml:space="preserve"> </v>
      </c>
      <c r="B5674" s="81" t="str">
        <f t="shared" si="1"/>
        <v xml:space="preserve"> </v>
      </c>
      <c r="C5674" s="79" t="str">
        <f t="shared" si="7"/>
        <v xml:space="preserve"> </v>
      </c>
      <c r="D5674" s="79" t="str">
        <f t="shared" si="5"/>
        <v xml:space="preserve"> </v>
      </c>
      <c r="E5674" s="79" t="str">
        <f t="shared" si="6"/>
        <v xml:space="preserve"> </v>
      </c>
    </row>
    <row r="5675" spans="1:5" ht="12.5">
      <c r="A5675" s="81" t="str">
        <f t="shared" si="0"/>
        <v xml:space="preserve"> </v>
      </c>
      <c r="B5675" s="81" t="str">
        <f t="shared" si="1"/>
        <v xml:space="preserve"> </v>
      </c>
      <c r="C5675" s="79" t="str">
        <f t="shared" si="7"/>
        <v xml:space="preserve"> </v>
      </c>
      <c r="D5675" s="79" t="str">
        <f t="shared" si="5"/>
        <v xml:space="preserve"> </v>
      </c>
      <c r="E5675" s="79" t="str">
        <f t="shared" si="6"/>
        <v xml:space="preserve"> </v>
      </c>
    </row>
    <row r="5676" spans="1:5" ht="12.5">
      <c r="A5676" s="81" t="str">
        <f t="shared" si="0"/>
        <v xml:space="preserve"> </v>
      </c>
      <c r="B5676" s="81" t="str">
        <f t="shared" si="1"/>
        <v xml:space="preserve"> </v>
      </c>
      <c r="C5676" s="79" t="str">
        <f t="shared" si="7"/>
        <v xml:space="preserve"> </v>
      </c>
      <c r="D5676" s="79" t="str">
        <f t="shared" si="5"/>
        <v xml:space="preserve"> </v>
      </c>
      <c r="E5676" s="79" t="str">
        <f t="shared" si="6"/>
        <v xml:space="preserve"> </v>
      </c>
    </row>
    <row r="5677" spans="1:5" ht="12.5">
      <c r="A5677" s="81" t="str">
        <f t="shared" si="0"/>
        <v xml:space="preserve"> </v>
      </c>
      <c r="B5677" s="81" t="str">
        <f t="shared" si="1"/>
        <v xml:space="preserve"> </v>
      </c>
      <c r="C5677" s="79" t="str">
        <f t="shared" si="7"/>
        <v xml:space="preserve"> </v>
      </c>
      <c r="D5677" s="79" t="str">
        <f t="shared" si="5"/>
        <v xml:space="preserve"> </v>
      </c>
      <c r="E5677" s="79" t="str">
        <f t="shared" si="6"/>
        <v xml:space="preserve"> </v>
      </c>
    </row>
    <row r="5678" spans="1:5" ht="12.5">
      <c r="A5678" s="81" t="str">
        <f t="shared" si="0"/>
        <v xml:space="preserve"> </v>
      </c>
      <c r="B5678" s="81" t="str">
        <f t="shared" si="1"/>
        <v xml:space="preserve"> </v>
      </c>
      <c r="C5678" s="79" t="str">
        <f t="shared" si="7"/>
        <v xml:space="preserve"> </v>
      </c>
      <c r="D5678" s="79" t="str">
        <f t="shared" si="5"/>
        <v xml:space="preserve"> </v>
      </c>
      <c r="E5678" s="79" t="str">
        <f t="shared" si="6"/>
        <v xml:space="preserve"> </v>
      </c>
    </row>
    <row r="5679" spans="1:5" ht="12.5">
      <c r="A5679" s="81" t="str">
        <f t="shared" si="0"/>
        <v xml:space="preserve"> </v>
      </c>
      <c r="B5679" s="81" t="str">
        <f t="shared" si="1"/>
        <v xml:space="preserve"> </v>
      </c>
      <c r="C5679" s="79" t="str">
        <f t="shared" si="7"/>
        <v xml:space="preserve"> </v>
      </c>
      <c r="D5679" s="79" t="str">
        <f t="shared" si="5"/>
        <v xml:space="preserve"> </v>
      </c>
      <c r="E5679" s="79" t="str">
        <f t="shared" si="6"/>
        <v xml:space="preserve"> </v>
      </c>
    </row>
    <row r="5680" spans="1:5" ht="12.5">
      <c r="A5680" s="81" t="str">
        <f t="shared" si="0"/>
        <v xml:space="preserve"> </v>
      </c>
      <c r="B5680" s="81" t="str">
        <f t="shared" si="1"/>
        <v xml:space="preserve"> </v>
      </c>
      <c r="C5680" s="79" t="str">
        <f t="shared" si="7"/>
        <v xml:space="preserve"> </v>
      </c>
      <c r="D5680" s="79" t="str">
        <f t="shared" si="5"/>
        <v xml:space="preserve"> </v>
      </c>
      <c r="E5680" s="79" t="str">
        <f t="shared" si="6"/>
        <v xml:space="preserve"> </v>
      </c>
    </row>
    <row r="5681" spans="1:5" ht="12.5">
      <c r="A5681" s="81" t="str">
        <f t="shared" si="0"/>
        <v xml:space="preserve"> </v>
      </c>
      <c r="B5681" s="81" t="str">
        <f t="shared" si="1"/>
        <v xml:space="preserve"> </v>
      </c>
      <c r="C5681" s="79" t="str">
        <f t="shared" si="7"/>
        <v xml:space="preserve"> </v>
      </c>
      <c r="D5681" s="79" t="str">
        <f t="shared" si="5"/>
        <v xml:space="preserve"> </v>
      </c>
      <c r="E5681" s="79" t="str">
        <f t="shared" si="6"/>
        <v xml:space="preserve"> </v>
      </c>
    </row>
    <row r="5682" spans="1:5" ht="12.5">
      <c r="A5682" s="81" t="str">
        <f t="shared" si="0"/>
        <v xml:space="preserve"> </v>
      </c>
      <c r="B5682" s="81" t="str">
        <f t="shared" si="1"/>
        <v xml:space="preserve"> </v>
      </c>
      <c r="C5682" s="79" t="str">
        <f t="shared" si="7"/>
        <v xml:space="preserve"> </v>
      </c>
      <c r="D5682" s="79" t="str">
        <f t="shared" si="5"/>
        <v xml:space="preserve"> </v>
      </c>
      <c r="E5682" s="79" t="str">
        <f t="shared" si="6"/>
        <v xml:space="preserve"> </v>
      </c>
    </row>
    <row r="5683" spans="1:5" ht="12.5">
      <c r="A5683" s="81" t="str">
        <f t="shared" si="0"/>
        <v xml:space="preserve"> </v>
      </c>
      <c r="B5683" s="81" t="str">
        <f t="shared" si="1"/>
        <v xml:space="preserve"> </v>
      </c>
      <c r="C5683" s="79" t="str">
        <f t="shared" si="7"/>
        <v xml:space="preserve"> </v>
      </c>
      <c r="D5683" s="79" t="str">
        <f t="shared" si="5"/>
        <v xml:space="preserve"> </v>
      </c>
      <c r="E5683" s="79" t="str">
        <f t="shared" si="6"/>
        <v xml:space="preserve"> </v>
      </c>
    </row>
    <row r="5684" spans="1:5" ht="12.5">
      <c r="A5684" s="81" t="str">
        <f t="shared" si="0"/>
        <v xml:space="preserve"> </v>
      </c>
      <c r="B5684" s="81" t="str">
        <f t="shared" si="1"/>
        <v xml:space="preserve"> </v>
      </c>
      <c r="C5684" s="79" t="str">
        <f t="shared" si="7"/>
        <v xml:space="preserve"> </v>
      </c>
      <c r="D5684" s="79" t="str">
        <f t="shared" si="5"/>
        <v xml:space="preserve"> </v>
      </c>
      <c r="E5684" s="79" t="str">
        <f t="shared" si="6"/>
        <v xml:space="preserve"> </v>
      </c>
    </row>
    <row r="5685" spans="1:5" ht="12.5">
      <c r="A5685" s="81" t="str">
        <f t="shared" si="0"/>
        <v xml:space="preserve"> </v>
      </c>
      <c r="B5685" s="81" t="str">
        <f t="shared" si="1"/>
        <v xml:space="preserve"> </v>
      </c>
      <c r="C5685" s="79" t="str">
        <f t="shared" si="7"/>
        <v xml:space="preserve"> </v>
      </c>
      <c r="D5685" s="79" t="str">
        <f t="shared" si="5"/>
        <v xml:space="preserve"> </v>
      </c>
      <c r="E5685" s="79" t="str">
        <f t="shared" si="6"/>
        <v xml:space="preserve"> </v>
      </c>
    </row>
    <row r="5686" spans="1:5" ht="12.5">
      <c r="A5686" s="81" t="str">
        <f t="shared" si="0"/>
        <v xml:space="preserve"> </v>
      </c>
      <c r="B5686" s="81" t="str">
        <f t="shared" si="1"/>
        <v xml:space="preserve"> </v>
      </c>
      <c r="C5686" s="79" t="str">
        <f t="shared" si="7"/>
        <v xml:space="preserve"> </v>
      </c>
      <c r="D5686" s="79" t="str">
        <f t="shared" si="5"/>
        <v xml:space="preserve"> </v>
      </c>
      <c r="E5686" s="79" t="str">
        <f t="shared" si="6"/>
        <v xml:space="preserve"> </v>
      </c>
    </row>
    <row r="5687" spans="1:5" ht="12.5">
      <c r="A5687" s="81" t="str">
        <f t="shared" si="0"/>
        <v xml:space="preserve"> </v>
      </c>
      <c r="B5687" s="81" t="str">
        <f t="shared" si="1"/>
        <v xml:space="preserve"> </v>
      </c>
      <c r="C5687" s="79" t="str">
        <f t="shared" si="7"/>
        <v xml:space="preserve"> </v>
      </c>
      <c r="D5687" s="79" t="str">
        <f t="shared" si="5"/>
        <v xml:space="preserve"> </v>
      </c>
      <c r="E5687" s="79" t="str">
        <f t="shared" si="6"/>
        <v xml:space="preserve"> </v>
      </c>
    </row>
    <row r="5688" spans="1:5" ht="12.5">
      <c r="A5688" s="81" t="str">
        <f t="shared" si="0"/>
        <v xml:space="preserve"> </v>
      </c>
      <c r="B5688" s="81" t="str">
        <f t="shared" si="1"/>
        <v xml:space="preserve"> </v>
      </c>
      <c r="C5688" s="79" t="str">
        <f t="shared" si="7"/>
        <v xml:space="preserve"> </v>
      </c>
      <c r="D5688" s="79" t="str">
        <f t="shared" si="5"/>
        <v xml:space="preserve"> </v>
      </c>
      <c r="E5688" s="79" t="str">
        <f t="shared" si="6"/>
        <v xml:space="preserve"> </v>
      </c>
    </row>
    <row r="5689" spans="1:5" ht="12.5">
      <c r="A5689" s="81" t="str">
        <f t="shared" si="0"/>
        <v xml:space="preserve"> </v>
      </c>
      <c r="B5689" s="81" t="str">
        <f t="shared" si="1"/>
        <v xml:space="preserve"> </v>
      </c>
      <c r="C5689" s="79" t="str">
        <f t="shared" si="7"/>
        <v xml:space="preserve"> </v>
      </c>
      <c r="D5689" s="79" t="str">
        <f t="shared" si="5"/>
        <v xml:space="preserve"> </v>
      </c>
      <c r="E5689" s="79" t="str">
        <f t="shared" si="6"/>
        <v xml:space="preserve"> </v>
      </c>
    </row>
    <row r="5690" spans="1:5" ht="12.5">
      <c r="A5690" s="81" t="str">
        <f t="shared" si="0"/>
        <v xml:space="preserve"> </v>
      </c>
      <c r="B5690" s="81" t="str">
        <f t="shared" si="1"/>
        <v xml:space="preserve"> </v>
      </c>
      <c r="C5690" s="79" t="str">
        <f t="shared" si="7"/>
        <v xml:space="preserve"> </v>
      </c>
      <c r="D5690" s="79" t="str">
        <f t="shared" si="5"/>
        <v xml:space="preserve"> </v>
      </c>
      <c r="E5690" s="79" t="str">
        <f t="shared" si="6"/>
        <v xml:space="preserve"> </v>
      </c>
    </row>
    <row r="5691" spans="1:5" ht="12.5">
      <c r="A5691" s="81" t="str">
        <f t="shared" si="0"/>
        <v xml:space="preserve"> </v>
      </c>
      <c r="B5691" s="81" t="str">
        <f t="shared" si="1"/>
        <v xml:space="preserve"> </v>
      </c>
      <c r="C5691" s="79" t="str">
        <f t="shared" si="7"/>
        <v xml:space="preserve"> </v>
      </c>
      <c r="D5691" s="79" t="str">
        <f t="shared" si="5"/>
        <v xml:space="preserve"> </v>
      </c>
      <c r="E5691" s="79" t="str">
        <f t="shared" si="6"/>
        <v xml:space="preserve"> </v>
      </c>
    </row>
    <row r="5692" spans="1:5" ht="12.5">
      <c r="A5692" s="81" t="str">
        <f t="shared" si="0"/>
        <v xml:space="preserve"> </v>
      </c>
      <c r="B5692" s="81" t="str">
        <f t="shared" si="1"/>
        <v xml:space="preserve"> </v>
      </c>
      <c r="C5692" s="79" t="str">
        <f t="shared" si="7"/>
        <v xml:space="preserve"> </v>
      </c>
      <c r="D5692" s="79" t="str">
        <f t="shared" si="5"/>
        <v xml:space="preserve"> </v>
      </c>
      <c r="E5692" s="79" t="str">
        <f t="shared" si="6"/>
        <v xml:space="preserve"> </v>
      </c>
    </row>
    <row r="5693" spans="1:5" ht="12.5">
      <c r="A5693" s="81" t="str">
        <f t="shared" si="0"/>
        <v xml:space="preserve"> </v>
      </c>
      <c r="B5693" s="81" t="str">
        <f t="shared" si="1"/>
        <v xml:space="preserve"> </v>
      </c>
      <c r="C5693" s="79" t="str">
        <f t="shared" si="7"/>
        <v xml:space="preserve"> </v>
      </c>
      <c r="D5693" s="79" t="str">
        <f t="shared" si="5"/>
        <v xml:space="preserve"> </v>
      </c>
      <c r="E5693" s="79" t="str">
        <f t="shared" si="6"/>
        <v xml:space="preserve"> </v>
      </c>
    </row>
    <row r="5694" spans="1:5" ht="12.5">
      <c r="A5694" s="81" t="str">
        <f t="shared" si="0"/>
        <v xml:space="preserve"> </v>
      </c>
      <c r="B5694" s="81" t="str">
        <f t="shared" si="1"/>
        <v xml:space="preserve"> </v>
      </c>
      <c r="C5694" s="79" t="str">
        <f t="shared" si="7"/>
        <v xml:space="preserve"> </v>
      </c>
      <c r="D5694" s="79" t="str">
        <f t="shared" si="5"/>
        <v xml:space="preserve"> </v>
      </c>
      <c r="E5694" s="79" t="str">
        <f t="shared" si="6"/>
        <v xml:space="preserve"> </v>
      </c>
    </row>
    <row r="5695" spans="1:5" ht="12.5">
      <c r="A5695" s="81" t="str">
        <f t="shared" si="0"/>
        <v xml:space="preserve"> </v>
      </c>
      <c r="B5695" s="81" t="str">
        <f t="shared" si="1"/>
        <v xml:space="preserve"> </v>
      </c>
      <c r="C5695" s="79" t="str">
        <f t="shared" si="7"/>
        <v xml:space="preserve"> </v>
      </c>
      <c r="D5695" s="79" t="str">
        <f t="shared" si="5"/>
        <v xml:space="preserve"> </v>
      </c>
      <c r="E5695" s="79" t="str">
        <f t="shared" si="6"/>
        <v xml:space="preserve"> </v>
      </c>
    </row>
    <row r="5696" spans="1:5" ht="12.5">
      <c r="A5696" s="81" t="str">
        <f t="shared" si="0"/>
        <v xml:space="preserve"> </v>
      </c>
      <c r="B5696" s="81" t="str">
        <f t="shared" si="1"/>
        <v xml:space="preserve"> </v>
      </c>
      <c r="C5696" s="79" t="str">
        <f t="shared" si="7"/>
        <v xml:space="preserve"> </v>
      </c>
      <c r="D5696" s="79" t="str">
        <f t="shared" si="5"/>
        <v xml:space="preserve"> </v>
      </c>
      <c r="E5696" s="79" t="str">
        <f t="shared" si="6"/>
        <v xml:space="preserve"> </v>
      </c>
    </row>
    <row r="5697" spans="1:5" ht="12.5">
      <c r="A5697" s="81" t="str">
        <f t="shared" si="0"/>
        <v xml:space="preserve"> </v>
      </c>
      <c r="B5697" s="81" t="str">
        <f t="shared" si="1"/>
        <v xml:space="preserve"> </v>
      </c>
      <c r="C5697" s="79" t="str">
        <f t="shared" si="7"/>
        <v xml:space="preserve"> </v>
      </c>
      <c r="D5697" s="79" t="str">
        <f t="shared" si="5"/>
        <v xml:space="preserve"> </v>
      </c>
      <c r="E5697" s="79" t="str">
        <f t="shared" si="6"/>
        <v xml:space="preserve"> </v>
      </c>
    </row>
    <row r="5698" spans="1:5" ht="12.5">
      <c r="A5698" s="81" t="str">
        <f t="shared" si="0"/>
        <v xml:space="preserve"> </v>
      </c>
      <c r="B5698" s="81" t="str">
        <f t="shared" si="1"/>
        <v xml:space="preserve"> </v>
      </c>
      <c r="C5698" s="79" t="str">
        <f t="shared" si="7"/>
        <v xml:space="preserve"> </v>
      </c>
      <c r="D5698" s="79" t="str">
        <f t="shared" si="5"/>
        <v xml:space="preserve"> </v>
      </c>
      <c r="E5698" s="79" t="str">
        <f t="shared" si="6"/>
        <v xml:space="preserve"> </v>
      </c>
    </row>
    <row r="5699" spans="1:5" ht="12.5">
      <c r="A5699" s="81" t="str">
        <f t="shared" si="0"/>
        <v xml:space="preserve"> </v>
      </c>
      <c r="B5699" s="81" t="str">
        <f t="shared" si="1"/>
        <v xml:space="preserve"> </v>
      </c>
      <c r="C5699" s="79" t="str">
        <f t="shared" si="7"/>
        <v xml:space="preserve"> </v>
      </c>
      <c r="D5699" s="79" t="str">
        <f t="shared" si="5"/>
        <v xml:space="preserve"> </v>
      </c>
      <c r="E5699" s="79" t="str">
        <f t="shared" si="6"/>
        <v xml:space="preserve"> </v>
      </c>
    </row>
    <row r="5700" spans="1:5" ht="12.5">
      <c r="A5700" s="81" t="str">
        <f t="shared" si="0"/>
        <v xml:space="preserve"> </v>
      </c>
      <c r="B5700" s="81" t="str">
        <f t="shared" si="1"/>
        <v xml:space="preserve"> </v>
      </c>
      <c r="C5700" s="79" t="str">
        <f t="shared" si="7"/>
        <v xml:space="preserve"> </v>
      </c>
      <c r="D5700" s="79" t="str">
        <f t="shared" si="5"/>
        <v xml:space="preserve"> </v>
      </c>
      <c r="E5700" s="79" t="str">
        <f t="shared" si="6"/>
        <v xml:space="preserve"> </v>
      </c>
    </row>
    <row r="5701" spans="1:5" ht="12.5">
      <c r="A5701" s="81" t="str">
        <f t="shared" si="0"/>
        <v xml:space="preserve"> </v>
      </c>
      <c r="B5701" s="81" t="str">
        <f t="shared" si="1"/>
        <v xml:space="preserve"> </v>
      </c>
      <c r="C5701" s="79" t="str">
        <f t="shared" si="7"/>
        <v xml:space="preserve"> </v>
      </c>
      <c r="D5701" s="79" t="str">
        <f t="shared" si="5"/>
        <v xml:space="preserve"> </v>
      </c>
      <c r="E5701" s="79" t="str">
        <f t="shared" si="6"/>
        <v xml:space="preserve"> </v>
      </c>
    </row>
    <row r="5702" spans="1:5" ht="12.5">
      <c r="A5702" s="81" t="str">
        <f t="shared" si="0"/>
        <v xml:space="preserve"> </v>
      </c>
      <c r="B5702" s="81" t="str">
        <f t="shared" si="1"/>
        <v xml:space="preserve"> </v>
      </c>
      <c r="C5702" s="79" t="str">
        <f t="shared" si="7"/>
        <v xml:space="preserve"> </v>
      </c>
      <c r="D5702" s="79" t="str">
        <f t="shared" si="5"/>
        <v xml:space="preserve"> </v>
      </c>
      <c r="E5702" s="79" t="str">
        <f t="shared" si="6"/>
        <v xml:space="preserve"> </v>
      </c>
    </row>
    <row r="5703" spans="1:5" ht="12.5">
      <c r="A5703" s="81" t="str">
        <f t="shared" si="0"/>
        <v xml:space="preserve"> </v>
      </c>
      <c r="B5703" s="81" t="str">
        <f t="shared" si="1"/>
        <v xml:space="preserve"> </v>
      </c>
      <c r="C5703" s="79" t="str">
        <f t="shared" si="7"/>
        <v xml:space="preserve"> </v>
      </c>
      <c r="D5703" s="79" t="str">
        <f t="shared" si="5"/>
        <v xml:space="preserve"> </v>
      </c>
      <c r="E5703" s="79" t="str">
        <f t="shared" si="6"/>
        <v xml:space="preserve"> </v>
      </c>
    </row>
    <row r="5704" spans="1:5" ht="12.5">
      <c r="A5704" s="81" t="str">
        <f t="shared" si="0"/>
        <v xml:space="preserve"> </v>
      </c>
      <c r="B5704" s="81" t="str">
        <f t="shared" si="1"/>
        <v xml:space="preserve"> </v>
      </c>
      <c r="C5704" s="79" t="str">
        <f t="shared" si="7"/>
        <v xml:space="preserve"> </v>
      </c>
      <c r="D5704" s="79" t="str">
        <f t="shared" si="5"/>
        <v xml:space="preserve"> </v>
      </c>
      <c r="E5704" s="79" t="str">
        <f t="shared" si="6"/>
        <v xml:space="preserve"> </v>
      </c>
    </row>
    <row r="5705" spans="1:5" ht="12.5">
      <c r="A5705" s="81" t="str">
        <f t="shared" si="0"/>
        <v xml:space="preserve"> </v>
      </c>
      <c r="B5705" s="81" t="str">
        <f t="shared" si="1"/>
        <v xml:space="preserve"> </v>
      </c>
      <c r="C5705" s="79" t="str">
        <f t="shared" si="7"/>
        <v xml:space="preserve"> </v>
      </c>
      <c r="D5705" s="79" t="str">
        <f t="shared" si="5"/>
        <v xml:space="preserve"> </v>
      </c>
      <c r="E5705" s="79" t="str">
        <f t="shared" si="6"/>
        <v xml:space="preserve"> </v>
      </c>
    </row>
    <row r="5706" spans="1:5" ht="12.5">
      <c r="A5706" s="81" t="str">
        <f t="shared" si="0"/>
        <v xml:space="preserve"> </v>
      </c>
      <c r="B5706" s="81" t="str">
        <f t="shared" si="1"/>
        <v xml:space="preserve"> </v>
      </c>
      <c r="C5706" s="79" t="str">
        <f t="shared" si="7"/>
        <v xml:space="preserve"> </v>
      </c>
      <c r="D5706" s="79" t="str">
        <f t="shared" si="5"/>
        <v xml:space="preserve"> </v>
      </c>
      <c r="E5706" s="79" t="str">
        <f t="shared" si="6"/>
        <v xml:space="preserve"> </v>
      </c>
    </row>
    <row r="5707" spans="1:5" ht="12.5">
      <c r="A5707" s="81" t="str">
        <f t="shared" si="0"/>
        <v xml:space="preserve"> </v>
      </c>
      <c r="B5707" s="81" t="str">
        <f t="shared" si="1"/>
        <v xml:space="preserve"> </v>
      </c>
      <c r="C5707" s="79" t="str">
        <f t="shared" si="7"/>
        <v xml:space="preserve"> </v>
      </c>
      <c r="D5707" s="79" t="str">
        <f t="shared" si="5"/>
        <v xml:space="preserve"> </v>
      </c>
      <c r="E5707" s="79" t="str">
        <f t="shared" si="6"/>
        <v xml:space="preserve"> </v>
      </c>
    </row>
    <row r="5708" spans="1:5" ht="12.5">
      <c r="A5708" s="81" t="str">
        <f t="shared" si="0"/>
        <v xml:space="preserve"> </v>
      </c>
      <c r="B5708" s="81" t="str">
        <f t="shared" si="1"/>
        <v xml:space="preserve"> </v>
      </c>
      <c r="C5708" s="79" t="str">
        <f t="shared" si="7"/>
        <v xml:space="preserve"> </v>
      </c>
      <c r="D5708" s="79" t="str">
        <f t="shared" si="5"/>
        <v xml:space="preserve"> </v>
      </c>
      <c r="E5708" s="79" t="str">
        <f t="shared" si="6"/>
        <v xml:space="preserve"> </v>
      </c>
    </row>
    <row r="5709" spans="1:5" ht="12.5">
      <c r="A5709" s="81" t="str">
        <f t="shared" si="0"/>
        <v xml:space="preserve"> </v>
      </c>
      <c r="B5709" s="81" t="str">
        <f t="shared" si="1"/>
        <v xml:space="preserve"> </v>
      </c>
      <c r="C5709" s="79" t="str">
        <f t="shared" si="7"/>
        <v xml:space="preserve"> </v>
      </c>
      <c r="D5709" s="79" t="str">
        <f t="shared" si="5"/>
        <v xml:space="preserve"> </v>
      </c>
      <c r="E5709" s="79" t="str">
        <f t="shared" si="6"/>
        <v xml:space="preserve"> </v>
      </c>
    </row>
    <row r="5710" spans="1:5" ht="12.5">
      <c r="A5710" s="81" t="str">
        <f t="shared" si="0"/>
        <v xml:space="preserve"> </v>
      </c>
      <c r="B5710" s="81" t="str">
        <f t="shared" si="1"/>
        <v xml:space="preserve"> </v>
      </c>
      <c r="C5710" s="79" t="str">
        <f t="shared" si="7"/>
        <v xml:space="preserve"> </v>
      </c>
      <c r="D5710" s="79" t="str">
        <f t="shared" si="5"/>
        <v xml:space="preserve"> </v>
      </c>
      <c r="E5710" s="79" t="str">
        <f t="shared" si="6"/>
        <v xml:space="preserve"> </v>
      </c>
    </row>
    <row r="5711" spans="1:5" ht="12.5">
      <c r="A5711" s="81" t="str">
        <f t="shared" si="0"/>
        <v xml:space="preserve"> </v>
      </c>
      <c r="B5711" s="81" t="str">
        <f t="shared" si="1"/>
        <v xml:space="preserve"> </v>
      </c>
      <c r="C5711" s="79" t="str">
        <f t="shared" si="7"/>
        <v xml:space="preserve"> </v>
      </c>
      <c r="D5711" s="79" t="str">
        <f t="shared" si="5"/>
        <v xml:space="preserve"> </v>
      </c>
      <c r="E5711" s="79" t="str">
        <f t="shared" si="6"/>
        <v xml:space="preserve"> </v>
      </c>
    </row>
    <row r="5712" spans="1:5" ht="12.5">
      <c r="A5712" s="81" t="str">
        <f t="shared" si="0"/>
        <v xml:space="preserve"> </v>
      </c>
      <c r="B5712" s="81" t="str">
        <f t="shared" si="1"/>
        <v xml:space="preserve"> </v>
      </c>
      <c r="C5712" s="79" t="str">
        <f t="shared" si="7"/>
        <v xml:space="preserve"> </v>
      </c>
      <c r="D5712" s="79" t="str">
        <f t="shared" si="5"/>
        <v xml:space="preserve"> </v>
      </c>
      <c r="E5712" s="79" t="str">
        <f t="shared" si="6"/>
        <v xml:space="preserve"> </v>
      </c>
    </row>
    <row r="5713" spans="1:5" ht="12.5">
      <c r="A5713" s="81" t="str">
        <f t="shared" si="0"/>
        <v xml:space="preserve"> </v>
      </c>
      <c r="B5713" s="81" t="str">
        <f t="shared" si="1"/>
        <v xml:space="preserve"> </v>
      </c>
      <c r="C5713" s="79" t="str">
        <f t="shared" si="7"/>
        <v xml:space="preserve"> </v>
      </c>
      <c r="D5713" s="79" t="str">
        <f t="shared" si="5"/>
        <v xml:space="preserve"> </v>
      </c>
      <c r="E5713" s="79" t="str">
        <f t="shared" si="6"/>
        <v xml:space="preserve"> </v>
      </c>
    </row>
    <row r="5714" spans="1:5" ht="12.5">
      <c r="A5714" s="81" t="str">
        <f t="shared" si="0"/>
        <v xml:space="preserve"> </v>
      </c>
      <c r="B5714" s="81" t="str">
        <f t="shared" si="1"/>
        <v xml:space="preserve"> </v>
      </c>
      <c r="C5714" s="79" t="str">
        <f t="shared" si="7"/>
        <v xml:space="preserve"> </v>
      </c>
      <c r="D5714" s="79" t="str">
        <f t="shared" si="5"/>
        <v xml:space="preserve"> </v>
      </c>
      <c r="E5714" s="79" t="str">
        <f t="shared" si="6"/>
        <v xml:space="preserve"> </v>
      </c>
    </row>
    <row r="5715" spans="1:5" ht="12.5">
      <c r="A5715" s="81" t="str">
        <f t="shared" si="0"/>
        <v xml:space="preserve"> </v>
      </c>
      <c r="B5715" s="81" t="str">
        <f t="shared" si="1"/>
        <v xml:space="preserve"> </v>
      </c>
      <c r="C5715" s="79" t="str">
        <f t="shared" si="7"/>
        <v xml:space="preserve"> </v>
      </c>
      <c r="D5715" s="79" t="str">
        <f t="shared" si="5"/>
        <v xml:space="preserve"> </v>
      </c>
      <c r="E5715" s="79" t="str">
        <f t="shared" si="6"/>
        <v xml:space="preserve"> </v>
      </c>
    </row>
    <row r="5716" spans="1:5" ht="12.5">
      <c r="A5716" s="81" t="str">
        <f t="shared" si="0"/>
        <v xml:space="preserve"> </v>
      </c>
      <c r="B5716" s="81" t="str">
        <f t="shared" si="1"/>
        <v xml:space="preserve"> </v>
      </c>
      <c r="C5716" s="79" t="str">
        <f t="shared" si="7"/>
        <v xml:space="preserve"> </v>
      </c>
      <c r="D5716" s="79" t="str">
        <f t="shared" si="5"/>
        <v xml:space="preserve"> </v>
      </c>
      <c r="E5716" s="79" t="str">
        <f t="shared" si="6"/>
        <v xml:space="preserve"> </v>
      </c>
    </row>
    <row r="5717" spans="1:5" ht="12.5">
      <c r="A5717" s="81" t="str">
        <f t="shared" si="0"/>
        <v xml:space="preserve"> </v>
      </c>
      <c r="B5717" s="81" t="str">
        <f t="shared" si="1"/>
        <v xml:space="preserve"> </v>
      </c>
      <c r="C5717" s="79" t="str">
        <f t="shared" si="7"/>
        <v xml:space="preserve"> </v>
      </c>
      <c r="D5717" s="79" t="str">
        <f t="shared" si="5"/>
        <v xml:space="preserve"> </v>
      </c>
      <c r="E5717" s="79" t="str">
        <f t="shared" si="6"/>
        <v xml:space="preserve"> </v>
      </c>
    </row>
    <row r="5718" spans="1:5" ht="12.5">
      <c r="A5718" s="81" t="str">
        <f t="shared" si="0"/>
        <v xml:space="preserve"> </v>
      </c>
      <c r="B5718" s="81" t="str">
        <f t="shared" si="1"/>
        <v xml:space="preserve"> </v>
      </c>
      <c r="C5718" s="79" t="str">
        <f t="shared" si="7"/>
        <v xml:space="preserve"> </v>
      </c>
      <c r="D5718" s="79" t="str">
        <f t="shared" si="5"/>
        <v xml:space="preserve"> </v>
      </c>
      <c r="E5718" s="79" t="str">
        <f t="shared" si="6"/>
        <v xml:space="preserve"> </v>
      </c>
    </row>
    <row r="5719" spans="1:5" ht="12.5">
      <c r="A5719" s="81" t="str">
        <f t="shared" si="0"/>
        <v xml:space="preserve"> </v>
      </c>
      <c r="B5719" s="81" t="str">
        <f t="shared" si="1"/>
        <v xml:space="preserve"> </v>
      </c>
      <c r="C5719" s="79" t="str">
        <f t="shared" si="7"/>
        <v xml:space="preserve"> </v>
      </c>
      <c r="D5719" s="79" t="str">
        <f t="shared" si="5"/>
        <v xml:space="preserve"> </v>
      </c>
      <c r="E5719" s="79" t="str">
        <f t="shared" si="6"/>
        <v xml:space="preserve"> </v>
      </c>
    </row>
    <row r="5720" spans="1:5" ht="12.5">
      <c r="A5720" s="81" t="str">
        <f t="shared" si="0"/>
        <v xml:space="preserve"> </v>
      </c>
      <c r="B5720" s="81" t="str">
        <f t="shared" si="1"/>
        <v xml:space="preserve"> </v>
      </c>
      <c r="C5720" s="79" t="str">
        <f t="shared" si="7"/>
        <v xml:space="preserve"> </v>
      </c>
      <c r="D5720" s="79" t="str">
        <f t="shared" si="5"/>
        <v xml:space="preserve"> </v>
      </c>
      <c r="E5720" s="79" t="str">
        <f t="shared" si="6"/>
        <v xml:space="preserve"> </v>
      </c>
    </row>
    <row r="5721" spans="1:5" ht="12.5">
      <c r="A5721" s="81" t="str">
        <f t="shared" si="0"/>
        <v xml:space="preserve"> </v>
      </c>
      <c r="B5721" s="81" t="str">
        <f t="shared" si="1"/>
        <v xml:space="preserve"> </v>
      </c>
      <c r="C5721" s="79" t="str">
        <f t="shared" si="7"/>
        <v xml:space="preserve"> </v>
      </c>
      <c r="D5721" s="79" t="str">
        <f t="shared" si="5"/>
        <v xml:space="preserve"> </v>
      </c>
      <c r="E5721" s="79" t="str">
        <f t="shared" si="6"/>
        <v xml:space="preserve"> </v>
      </c>
    </row>
    <row r="5722" spans="1:5" ht="12.5">
      <c r="A5722" s="81" t="str">
        <f t="shared" si="0"/>
        <v xml:space="preserve"> </v>
      </c>
      <c r="B5722" s="81" t="str">
        <f t="shared" si="1"/>
        <v xml:space="preserve"> </v>
      </c>
      <c r="C5722" s="79" t="str">
        <f t="shared" si="7"/>
        <v xml:space="preserve"> </v>
      </c>
      <c r="D5722" s="79" t="str">
        <f t="shared" si="5"/>
        <v xml:space="preserve"> </v>
      </c>
      <c r="E5722" s="79" t="str">
        <f t="shared" si="6"/>
        <v xml:space="preserve"> </v>
      </c>
    </row>
    <row r="5723" spans="1:5" ht="12.5">
      <c r="A5723" s="81" t="str">
        <f t="shared" si="0"/>
        <v xml:space="preserve"> </v>
      </c>
      <c r="B5723" s="81" t="str">
        <f t="shared" si="1"/>
        <v xml:space="preserve"> </v>
      </c>
      <c r="C5723" s="79" t="str">
        <f t="shared" si="7"/>
        <v xml:space="preserve"> </v>
      </c>
      <c r="D5723" s="79" t="str">
        <f t="shared" si="5"/>
        <v xml:space="preserve"> </v>
      </c>
      <c r="E5723" s="79" t="str">
        <f t="shared" si="6"/>
        <v xml:space="preserve"> </v>
      </c>
    </row>
    <row r="5724" spans="1:5" ht="12.5">
      <c r="A5724" s="81" t="str">
        <f t="shared" si="0"/>
        <v xml:space="preserve"> </v>
      </c>
      <c r="B5724" s="81" t="str">
        <f t="shared" si="1"/>
        <v xml:space="preserve"> </v>
      </c>
      <c r="C5724" s="79" t="str">
        <f t="shared" si="7"/>
        <v xml:space="preserve"> </v>
      </c>
      <c r="D5724" s="79" t="str">
        <f t="shared" si="5"/>
        <v xml:space="preserve"> </v>
      </c>
      <c r="E5724" s="79" t="str">
        <f t="shared" si="6"/>
        <v xml:space="preserve"> </v>
      </c>
    </row>
    <row r="5725" spans="1:5" ht="12.5">
      <c r="A5725" s="81" t="str">
        <f t="shared" si="0"/>
        <v xml:space="preserve"> </v>
      </c>
      <c r="B5725" s="81" t="str">
        <f t="shared" si="1"/>
        <v xml:space="preserve"> </v>
      </c>
      <c r="C5725" s="79" t="str">
        <f t="shared" si="7"/>
        <v xml:space="preserve"> </v>
      </c>
      <c r="D5725" s="79" t="str">
        <f t="shared" si="5"/>
        <v xml:space="preserve"> </v>
      </c>
      <c r="E5725" s="79" t="str">
        <f t="shared" si="6"/>
        <v xml:space="preserve"> </v>
      </c>
    </row>
    <row r="5726" spans="1:5" ht="12.5">
      <c r="A5726" s="81" t="str">
        <f t="shared" si="0"/>
        <v xml:space="preserve"> </v>
      </c>
      <c r="B5726" s="81" t="str">
        <f t="shared" si="1"/>
        <v xml:space="preserve"> </v>
      </c>
      <c r="C5726" s="79" t="str">
        <f t="shared" si="7"/>
        <v xml:space="preserve"> </v>
      </c>
      <c r="D5726" s="79" t="str">
        <f t="shared" si="5"/>
        <v xml:space="preserve"> </v>
      </c>
      <c r="E5726" s="79" t="str">
        <f t="shared" si="6"/>
        <v xml:space="preserve"> </v>
      </c>
    </row>
    <row r="5727" spans="1:5" ht="12.5">
      <c r="A5727" s="81" t="str">
        <f t="shared" si="0"/>
        <v xml:space="preserve"> </v>
      </c>
      <c r="B5727" s="81" t="str">
        <f t="shared" si="1"/>
        <v xml:space="preserve"> </v>
      </c>
      <c r="C5727" s="79" t="str">
        <f t="shared" si="7"/>
        <v xml:space="preserve"> </v>
      </c>
      <c r="D5727" s="79" t="str">
        <f t="shared" si="5"/>
        <v xml:space="preserve"> </v>
      </c>
      <c r="E5727" s="79" t="str">
        <f t="shared" si="6"/>
        <v xml:space="preserve"> </v>
      </c>
    </row>
    <row r="5728" spans="1:5" ht="12.5">
      <c r="A5728" s="81" t="str">
        <f t="shared" si="0"/>
        <v xml:space="preserve"> </v>
      </c>
      <c r="B5728" s="81" t="str">
        <f t="shared" si="1"/>
        <v xml:space="preserve"> </v>
      </c>
      <c r="C5728" s="79" t="str">
        <f t="shared" si="7"/>
        <v xml:space="preserve"> </v>
      </c>
      <c r="D5728" s="79" t="str">
        <f t="shared" si="5"/>
        <v xml:space="preserve"> </v>
      </c>
      <c r="E5728" s="79" t="str">
        <f t="shared" si="6"/>
        <v xml:space="preserve"> </v>
      </c>
    </row>
    <row r="5729" spans="1:5" ht="12.5">
      <c r="A5729" s="81" t="str">
        <f t="shared" si="0"/>
        <v xml:space="preserve"> </v>
      </c>
      <c r="B5729" s="81" t="str">
        <f t="shared" si="1"/>
        <v xml:space="preserve"> </v>
      </c>
      <c r="C5729" s="79" t="str">
        <f t="shared" si="7"/>
        <v xml:space="preserve"> </v>
      </c>
      <c r="D5729" s="79" t="str">
        <f t="shared" si="5"/>
        <v xml:space="preserve"> </v>
      </c>
      <c r="E5729" s="79" t="str">
        <f t="shared" si="6"/>
        <v xml:space="preserve"> </v>
      </c>
    </row>
    <row r="5730" spans="1:5" ht="12.5">
      <c r="A5730" s="81" t="str">
        <f t="shared" si="0"/>
        <v xml:space="preserve"> </v>
      </c>
      <c r="B5730" s="81" t="str">
        <f t="shared" si="1"/>
        <v xml:space="preserve"> </v>
      </c>
      <c r="C5730" s="79" t="str">
        <f t="shared" si="7"/>
        <v xml:space="preserve"> </v>
      </c>
      <c r="D5730" s="79" t="str">
        <f t="shared" si="5"/>
        <v xml:space="preserve"> </v>
      </c>
      <c r="E5730" s="79" t="str">
        <f t="shared" si="6"/>
        <v xml:space="preserve"> </v>
      </c>
    </row>
    <row r="5731" spans="1:5" ht="12.5">
      <c r="A5731" s="81" t="str">
        <f t="shared" si="0"/>
        <v xml:space="preserve"> </v>
      </c>
      <c r="B5731" s="81" t="str">
        <f t="shared" si="1"/>
        <v xml:space="preserve"> </v>
      </c>
      <c r="C5731" s="79" t="str">
        <f t="shared" si="7"/>
        <v xml:space="preserve"> </v>
      </c>
      <c r="D5731" s="79" t="str">
        <f t="shared" si="5"/>
        <v xml:space="preserve"> </v>
      </c>
      <c r="E5731" s="79" t="str">
        <f t="shared" si="6"/>
        <v xml:space="preserve"> </v>
      </c>
    </row>
    <row r="5732" spans="1:5" ht="12.5">
      <c r="A5732" s="81" t="str">
        <f t="shared" si="0"/>
        <v xml:space="preserve"> </v>
      </c>
      <c r="B5732" s="81" t="str">
        <f t="shared" si="1"/>
        <v xml:space="preserve"> </v>
      </c>
      <c r="C5732" s="79" t="str">
        <f t="shared" si="7"/>
        <v xml:space="preserve"> </v>
      </c>
      <c r="D5732" s="79" t="str">
        <f t="shared" si="5"/>
        <v xml:space="preserve"> </v>
      </c>
      <c r="E5732" s="79" t="str">
        <f t="shared" si="6"/>
        <v xml:space="preserve"> </v>
      </c>
    </row>
    <row r="5733" spans="1:5" ht="12.5">
      <c r="A5733" s="81" t="str">
        <f t="shared" si="0"/>
        <v xml:space="preserve"> </v>
      </c>
      <c r="B5733" s="81" t="str">
        <f t="shared" si="1"/>
        <v xml:space="preserve"> </v>
      </c>
      <c r="C5733" s="79" t="str">
        <f t="shared" si="7"/>
        <v xml:space="preserve"> </v>
      </c>
      <c r="D5733" s="79" t="str">
        <f t="shared" si="5"/>
        <v xml:space="preserve"> </v>
      </c>
      <c r="E5733" s="79" t="str">
        <f t="shared" si="6"/>
        <v xml:space="preserve"> </v>
      </c>
    </row>
    <row r="5734" spans="1:5" ht="12.5">
      <c r="A5734" s="81" t="str">
        <f t="shared" si="0"/>
        <v xml:space="preserve"> </v>
      </c>
      <c r="B5734" s="81" t="str">
        <f t="shared" si="1"/>
        <v xml:space="preserve"> </v>
      </c>
      <c r="C5734" s="79" t="str">
        <f t="shared" si="7"/>
        <v xml:space="preserve"> </v>
      </c>
      <c r="D5734" s="79" t="str">
        <f t="shared" si="5"/>
        <v xml:space="preserve"> </v>
      </c>
      <c r="E5734" s="79" t="str">
        <f t="shared" si="6"/>
        <v xml:space="preserve"> </v>
      </c>
    </row>
    <row r="5735" spans="1:5" ht="12.5">
      <c r="A5735" s="81" t="str">
        <f t="shared" si="0"/>
        <v xml:space="preserve"> </v>
      </c>
      <c r="B5735" s="81" t="str">
        <f t="shared" si="1"/>
        <v xml:space="preserve"> </v>
      </c>
      <c r="C5735" s="79" t="str">
        <f t="shared" si="7"/>
        <v xml:space="preserve"> </v>
      </c>
      <c r="D5735" s="79" t="str">
        <f t="shared" si="5"/>
        <v xml:space="preserve"> </v>
      </c>
      <c r="E5735" s="79" t="str">
        <f t="shared" si="6"/>
        <v xml:space="preserve"> </v>
      </c>
    </row>
    <row r="5736" spans="1:5" ht="12.5">
      <c r="A5736" s="81" t="str">
        <f t="shared" si="0"/>
        <v xml:space="preserve"> </v>
      </c>
      <c r="B5736" s="81" t="str">
        <f t="shared" si="1"/>
        <v xml:space="preserve"> </v>
      </c>
      <c r="C5736" s="79" t="str">
        <f t="shared" si="7"/>
        <v xml:space="preserve"> </v>
      </c>
      <c r="D5736" s="79" t="str">
        <f t="shared" si="5"/>
        <v xml:space="preserve"> </v>
      </c>
      <c r="E5736" s="79" t="str">
        <f t="shared" si="6"/>
        <v xml:space="preserve"> </v>
      </c>
    </row>
    <row r="5737" spans="1:5" ht="12.5">
      <c r="A5737" s="81" t="str">
        <f t="shared" si="0"/>
        <v xml:space="preserve"> </v>
      </c>
      <c r="B5737" s="81" t="str">
        <f t="shared" si="1"/>
        <v xml:space="preserve"> </v>
      </c>
      <c r="C5737" s="79" t="str">
        <f t="shared" si="7"/>
        <v xml:space="preserve"> </v>
      </c>
      <c r="D5737" s="79" t="str">
        <f t="shared" si="5"/>
        <v xml:space="preserve"> </v>
      </c>
      <c r="E5737" s="79" t="str">
        <f t="shared" si="6"/>
        <v xml:space="preserve"> </v>
      </c>
    </row>
    <row r="5738" spans="1:5" ht="12.5">
      <c r="A5738" s="81" t="str">
        <f t="shared" si="0"/>
        <v xml:space="preserve"> </v>
      </c>
      <c r="B5738" s="81" t="str">
        <f t="shared" si="1"/>
        <v xml:space="preserve"> </v>
      </c>
      <c r="C5738" s="79" t="str">
        <f t="shared" si="7"/>
        <v xml:space="preserve"> </v>
      </c>
      <c r="D5738" s="79" t="str">
        <f t="shared" si="5"/>
        <v xml:space="preserve"> </v>
      </c>
      <c r="E5738" s="79" t="str">
        <f t="shared" si="6"/>
        <v xml:space="preserve"> </v>
      </c>
    </row>
    <row r="5739" spans="1:5" ht="12.5">
      <c r="A5739" s="81" t="str">
        <f t="shared" si="0"/>
        <v xml:space="preserve"> </v>
      </c>
      <c r="B5739" s="81" t="str">
        <f t="shared" si="1"/>
        <v xml:space="preserve"> </v>
      </c>
      <c r="C5739" s="79" t="str">
        <f t="shared" si="7"/>
        <v xml:space="preserve"> </v>
      </c>
      <c r="D5739" s="79" t="str">
        <f t="shared" si="5"/>
        <v xml:space="preserve"> </v>
      </c>
      <c r="E5739" s="79" t="str">
        <f t="shared" si="6"/>
        <v xml:space="preserve"> </v>
      </c>
    </row>
    <row r="5740" spans="1:5" ht="12.5">
      <c r="A5740" s="81" t="str">
        <f t="shared" si="0"/>
        <v xml:space="preserve"> </v>
      </c>
      <c r="B5740" s="81" t="str">
        <f t="shared" si="1"/>
        <v xml:space="preserve"> </v>
      </c>
      <c r="C5740" s="79" t="str">
        <f t="shared" si="7"/>
        <v xml:space="preserve"> </v>
      </c>
      <c r="D5740" s="79" t="str">
        <f t="shared" si="5"/>
        <v xml:space="preserve"> </v>
      </c>
      <c r="E5740" s="79" t="str">
        <f t="shared" si="6"/>
        <v xml:space="preserve"> </v>
      </c>
    </row>
    <row r="5741" spans="1:5" ht="12.5">
      <c r="A5741" s="81" t="str">
        <f t="shared" si="0"/>
        <v xml:space="preserve"> </v>
      </c>
      <c r="B5741" s="81" t="str">
        <f t="shared" si="1"/>
        <v xml:space="preserve"> </v>
      </c>
      <c r="C5741" s="79" t="str">
        <f t="shared" si="7"/>
        <v xml:space="preserve"> </v>
      </c>
      <c r="D5741" s="79" t="str">
        <f t="shared" si="5"/>
        <v xml:space="preserve"> </v>
      </c>
      <c r="E5741" s="79" t="str">
        <f t="shared" si="6"/>
        <v xml:space="preserve"> </v>
      </c>
    </row>
    <row r="5742" spans="1:5" ht="12.5">
      <c r="A5742" s="81" t="str">
        <f t="shared" si="0"/>
        <v xml:space="preserve"> </v>
      </c>
      <c r="B5742" s="81" t="str">
        <f t="shared" si="1"/>
        <v xml:space="preserve"> </v>
      </c>
      <c r="C5742" s="79" t="str">
        <f t="shared" si="7"/>
        <v xml:space="preserve"> </v>
      </c>
      <c r="D5742" s="79" t="str">
        <f t="shared" si="5"/>
        <v xml:space="preserve"> </v>
      </c>
      <c r="E5742" s="79" t="str">
        <f t="shared" si="6"/>
        <v xml:space="preserve"> </v>
      </c>
    </row>
    <row r="5743" spans="1:5" ht="12.5">
      <c r="A5743" s="81" t="str">
        <f t="shared" si="0"/>
        <v xml:space="preserve"> </v>
      </c>
      <c r="B5743" s="81" t="str">
        <f t="shared" si="1"/>
        <v xml:space="preserve"> </v>
      </c>
      <c r="C5743" s="79" t="str">
        <f t="shared" si="7"/>
        <v xml:space="preserve"> </v>
      </c>
      <c r="D5743" s="79" t="str">
        <f t="shared" si="5"/>
        <v xml:space="preserve"> </v>
      </c>
      <c r="E5743" s="79" t="str">
        <f t="shared" si="6"/>
        <v xml:space="preserve"> </v>
      </c>
    </row>
    <row r="5744" spans="1:5" ht="12.5">
      <c r="A5744" s="81" t="str">
        <f t="shared" si="0"/>
        <v xml:space="preserve"> </v>
      </c>
      <c r="B5744" s="81" t="str">
        <f t="shared" si="1"/>
        <v xml:space="preserve"> </v>
      </c>
      <c r="C5744" s="79" t="str">
        <f t="shared" si="7"/>
        <v xml:space="preserve"> </v>
      </c>
      <c r="D5744" s="79" t="str">
        <f t="shared" si="5"/>
        <v xml:space="preserve"> </v>
      </c>
      <c r="E5744" s="79" t="str">
        <f t="shared" si="6"/>
        <v xml:space="preserve"> </v>
      </c>
    </row>
    <row r="5745" spans="1:5" ht="12.5">
      <c r="A5745" s="81" t="str">
        <f t="shared" si="0"/>
        <v xml:space="preserve"> </v>
      </c>
      <c r="B5745" s="81" t="str">
        <f t="shared" si="1"/>
        <v xml:space="preserve"> </v>
      </c>
      <c r="C5745" s="79" t="str">
        <f t="shared" si="7"/>
        <v xml:space="preserve"> </v>
      </c>
      <c r="D5745" s="79" t="str">
        <f t="shared" si="5"/>
        <v xml:space="preserve"> </v>
      </c>
      <c r="E5745" s="79" t="str">
        <f t="shared" si="6"/>
        <v xml:space="preserve"> </v>
      </c>
    </row>
    <row r="5746" spans="1:5" ht="12.5">
      <c r="A5746" s="81" t="str">
        <f t="shared" si="0"/>
        <v xml:space="preserve"> </v>
      </c>
      <c r="B5746" s="81" t="str">
        <f t="shared" si="1"/>
        <v xml:space="preserve"> </v>
      </c>
      <c r="C5746" s="79" t="str">
        <f t="shared" si="7"/>
        <v xml:space="preserve"> </v>
      </c>
      <c r="D5746" s="79" t="str">
        <f t="shared" si="5"/>
        <v xml:space="preserve"> </v>
      </c>
      <c r="E5746" s="79" t="str">
        <f t="shared" si="6"/>
        <v xml:space="preserve"> </v>
      </c>
    </row>
    <row r="5747" spans="1:5" ht="12.5">
      <c r="A5747" s="81" t="str">
        <f t="shared" si="0"/>
        <v xml:space="preserve"> </v>
      </c>
      <c r="B5747" s="81" t="str">
        <f t="shared" si="1"/>
        <v xml:space="preserve"> </v>
      </c>
      <c r="C5747" s="79" t="str">
        <f t="shared" si="7"/>
        <v xml:space="preserve"> </v>
      </c>
      <c r="D5747" s="79" t="str">
        <f t="shared" si="5"/>
        <v xml:space="preserve"> </v>
      </c>
      <c r="E5747" s="79" t="str">
        <f t="shared" si="6"/>
        <v xml:space="preserve"> </v>
      </c>
    </row>
    <row r="5748" spans="1:5" ht="12.5">
      <c r="A5748" s="81" t="str">
        <f t="shared" si="0"/>
        <v xml:space="preserve"> </v>
      </c>
      <c r="B5748" s="81" t="str">
        <f t="shared" si="1"/>
        <v xml:space="preserve"> </v>
      </c>
      <c r="C5748" s="79" t="str">
        <f t="shared" si="7"/>
        <v xml:space="preserve"> </v>
      </c>
      <c r="D5748" s="79" t="str">
        <f t="shared" si="5"/>
        <v xml:space="preserve"> </v>
      </c>
      <c r="E5748" s="79" t="str">
        <f t="shared" si="6"/>
        <v xml:space="preserve"> </v>
      </c>
    </row>
    <row r="5749" spans="1:5" ht="12.5">
      <c r="A5749" s="81" t="str">
        <f t="shared" si="0"/>
        <v xml:space="preserve"> </v>
      </c>
      <c r="B5749" s="81" t="str">
        <f t="shared" si="1"/>
        <v xml:space="preserve"> </v>
      </c>
      <c r="C5749" s="79" t="str">
        <f t="shared" si="7"/>
        <v xml:space="preserve"> </v>
      </c>
      <c r="D5749" s="79" t="str">
        <f t="shared" si="5"/>
        <v xml:space="preserve"> </v>
      </c>
      <c r="E5749" s="79" t="str">
        <f t="shared" si="6"/>
        <v xml:space="preserve"> </v>
      </c>
    </row>
    <row r="5750" spans="1:5" ht="12.5">
      <c r="A5750" s="81" t="str">
        <f t="shared" si="0"/>
        <v xml:space="preserve"> </v>
      </c>
      <c r="B5750" s="81" t="str">
        <f t="shared" si="1"/>
        <v xml:space="preserve"> </v>
      </c>
      <c r="C5750" s="79" t="str">
        <f t="shared" si="7"/>
        <v xml:space="preserve"> </v>
      </c>
      <c r="D5750" s="79" t="str">
        <f t="shared" si="5"/>
        <v xml:space="preserve"> </v>
      </c>
      <c r="E5750" s="79" t="str">
        <f t="shared" si="6"/>
        <v xml:space="preserve"> </v>
      </c>
    </row>
    <row r="5751" spans="1:5" ht="12.5">
      <c r="A5751" s="81" t="str">
        <f t="shared" si="0"/>
        <v xml:space="preserve"> </v>
      </c>
      <c r="B5751" s="81" t="str">
        <f t="shared" si="1"/>
        <v xml:space="preserve"> </v>
      </c>
      <c r="C5751" s="79" t="str">
        <f t="shared" si="7"/>
        <v xml:space="preserve"> </v>
      </c>
      <c r="D5751" s="79" t="str">
        <f t="shared" si="5"/>
        <v xml:space="preserve"> </v>
      </c>
      <c r="E5751" s="79" t="str">
        <f t="shared" si="6"/>
        <v xml:space="preserve"> </v>
      </c>
    </row>
    <row r="5752" spans="1:5" ht="12.5">
      <c r="A5752" s="81" t="str">
        <f t="shared" si="0"/>
        <v xml:space="preserve"> </v>
      </c>
      <c r="B5752" s="81" t="str">
        <f t="shared" si="1"/>
        <v xml:space="preserve"> </v>
      </c>
      <c r="C5752" s="79" t="str">
        <f t="shared" si="7"/>
        <v xml:space="preserve"> </v>
      </c>
      <c r="D5752" s="79" t="str">
        <f t="shared" si="5"/>
        <v xml:space="preserve"> </v>
      </c>
      <c r="E5752" s="79" t="str">
        <f t="shared" si="6"/>
        <v xml:space="preserve"> </v>
      </c>
    </row>
    <row r="5753" spans="1:5" ht="12.5">
      <c r="A5753" s="81" t="str">
        <f t="shared" si="0"/>
        <v xml:space="preserve"> </v>
      </c>
      <c r="B5753" s="81" t="str">
        <f t="shared" si="1"/>
        <v xml:space="preserve"> </v>
      </c>
      <c r="C5753" s="79" t="str">
        <f t="shared" si="7"/>
        <v xml:space="preserve"> </v>
      </c>
      <c r="D5753" s="79" t="str">
        <f t="shared" si="5"/>
        <v xml:space="preserve"> </v>
      </c>
      <c r="E5753" s="79" t="str">
        <f t="shared" si="6"/>
        <v xml:space="preserve"> </v>
      </c>
    </row>
    <row r="5754" spans="1:5" ht="12.5">
      <c r="A5754" s="81" t="str">
        <f t="shared" si="0"/>
        <v xml:space="preserve"> </v>
      </c>
      <c r="B5754" s="81" t="str">
        <f t="shared" si="1"/>
        <v xml:space="preserve"> </v>
      </c>
      <c r="C5754" s="79" t="str">
        <f t="shared" si="7"/>
        <v xml:space="preserve"> </v>
      </c>
      <c r="D5754" s="79" t="str">
        <f t="shared" si="5"/>
        <v xml:space="preserve"> </v>
      </c>
      <c r="E5754" s="79" t="str">
        <f t="shared" si="6"/>
        <v xml:space="preserve"> </v>
      </c>
    </row>
    <row r="5755" spans="1:5" ht="12.5">
      <c r="A5755" s="81" t="str">
        <f t="shared" si="0"/>
        <v xml:space="preserve"> </v>
      </c>
      <c r="B5755" s="81" t="str">
        <f t="shared" si="1"/>
        <v xml:space="preserve"> </v>
      </c>
      <c r="C5755" s="79" t="str">
        <f t="shared" si="7"/>
        <v xml:space="preserve"> </v>
      </c>
      <c r="D5755" s="79" t="str">
        <f t="shared" si="5"/>
        <v xml:space="preserve"> </v>
      </c>
      <c r="E5755" s="79" t="str">
        <f t="shared" si="6"/>
        <v xml:space="preserve"> </v>
      </c>
    </row>
    <row r="5756" spans="1:5" ht="12.5">
      <c r="A5756" s="81" t="str">
        <f t="shared" si="0"/>
        <v xml:space="preserve"> </v>
      </c>
      <c r="B5756" s="81" t="str">
        <f t="shared" si="1"/>
        <v xml:space="preserve"> </v>
      </c>
      <c r="C5756" s="79" t="str">
        <f t="shared" si="7"/>
        <v xml:space="preserve"> </v>
      </c>
      <c r="D5756" s="79" t="str">
        <f t="shared" si="5"/>
        <v xml:space="preserve"> </v>
      </c>
      <c r="E5756" s="79" t="str">
        <f t="shared" si="6"/>
        <v xml:space="preserve"> </v>
      </c>
    </row>
    <row r="5757" spans="1:5" ht="12.5">
      <c r="A5757" s="81" t="str">
        <f t="shared" si="0"/>
        <v xml:space="preserve"> </v>
      </c>
      <c r="B5757" s="81" t="str">
        <f t="shared" si="1"/>
        <v xml:space="preserve"> </v>
      </c>
      <c r="C5757" s="79" t="str">
        <f t="shared" si="7"/>
        <v xml:space="preserve"> </v>
      </c>
      <c r="D5757" s="79" t="str">
        <f t="shared" si="5"/>
        <v xml:space="preserve"> </v>
      </c>
      <c r="E5757" s="79" t="str">
        <f t="shared" si="6"/>
        <v xml:space="preserve"> </v>
      </c>
    </row>
    <row r="5758" spans="1:5" ht="12.5">
      <c r="A5758" s="81" t="str">
        <f t="shared" si="0"/>
        <v xml:space="preserve"> </v>
      </c>
      <c r="B5758" s="81" t="str">
        <f t="shared" si="1"/>
        <v xml:space="preserve"> </v>
      </c>
      <c r="C5758" s="79" t="str">
        <f t="shared" si="7"/>
        <v xml:space="preserve"> </v>
      </c>
      <c r="D5758" s="79" t="str">
        <f t="shared" si="5"/>
        <v xml:space="preserve"> </v>
      </c>
      <c r="E5758" s="79" t="str">
        <f t="shared" si="6"/>
        <v xml:space="preserve"> </v>
      </c>
    </row>
    <row r="5759" spans="1:5" ht="12.5">
      <c r="A5759" s="81" t="str">
        <f t="shared" si="0"/>
        <v xml:space="preserve"> </v>
      </c>
      <c r="B5759" s="81" t="str">
        <f t="shared" si="1"/>
        <v xml:space="preserve"> </v>
      </c>
      <c r="C5759" s="79" t="str">
        <f t="shared" si="7"/>
        <v xml:space="preserve"> </v>
      </c>
      <c r="D5759" s="79" t="str">
        <f t="shared" si="5"/>
        <v xml:space="preserve"> </v>
      </c>
      <c r="E5759" s="79" t="str">
        <f t="shared" si="6"/>
        <v xml:space="preserve"> </v>
      </c>
    </row>
    <row r="5760" spans="1:5" ht="12.5">
      <c r="A5760" s="81" t="str">
        <f t="shared" si="0"/>
        <v xml:space="preserve"> </v>
      </c>
      <c r="B5760" s="81" t="str">
        <f t="shared" si="1"/>
        <v xml:space="preserve"> </v>
      </c>
      <c r="C5760" s="79" t="str">
        <f t="shared" si="7"/>
        <v xml:space="preserve"> </v>
      </c>
      <c r="D5760" s="79" t="str">
        <f t="shared" si="5"/>
        <v xml:space="preserve"> </v>
      </c>
      <c r="E5760" s="79" t="str">
        <f t="shared" si="6"/>
        <v xml:space="preserve"> </v>
      </c>
    </row>
    <row r="5761" spans="1:5" ht="12.5">
      <c r="A5761" s="81" t="str">
        <f t="shared" si="0"/>
        <v xml:space="preserve"> </v>
      </c>
      <c r="B5761" s="81" t="str">
        <f t="shared" si="1"/>
        <v xml:space="preserve"> </v>
      </c>
      <c r="C5761" s="79" t="str">
        <f t="shared" si="7"/>
        <v xml:space="preserve"> </v>
      </c>
      <c r="D5761" s="79" t="str">
        <f t="shared" si="5"/>
        <v xml:space="preserve"> </v>
      </c>
      <c r="E5761" s="79" t="str">
        <f t="shared" si="6"/>
        <v xml:space="preserve"> </v>
      </c>
    </row>
    <row r="5762" spans="1:5" ht="12.5">
      <c r="A5762" s="81" t="str">
        <f t="shared" si="0"/>
        <v xml:space="preserve"> </v>
      </c>
      <c r="B5762" s="81" t="str">
        <f t="shared" si="1"/>
        <v xml:space="preserve"> </v>
      </c>
      <c r="C5762" s="79" t="str">
        <f t="shared" si="7"/>
        <v xml:space="preserve"> </v>
      </c>
      <c r="D5762" s="79" t="str">
        <f t="shared" si="5"/>
        <v xml:space="preserve"> </v>
      </c>
      <c r="E5762" s="79" t="str">
        <f t="shared" si="6"/>
        <v xml:space="preserve"> </v>
      </c>
    </row>
    <row r="5763" spans="1:5" ht="12.5">
      <c r="A5763" s="81" t="str">
        <f t="shared" si="0"/>
        <v xml:space="preserve"> </v>
      </c>
      <c r="B5763" s="81" t="str">
        <f t="shared" si="1"/>
        <v xml:space="preserve"> </v>
      </c>
      <c r="C5763" s="79" t="str">
        <f t="shared" si="7"/>
        <v xml:space="preserve"> </v>
      </c>
      <c r="D5763" s="79" t="str">
        <f t="shared" si="5"/>
        <v xml:space="preserve"> </v>
      </c>
      <c r="E5763" s="79" t="str">
        <f t="shared" si="6"/>
        <v xml:space="preserve"> </v>
      </c>
    </row>
    <row r="5764" spans="1:5" ht="12.5">
      <c r="A5764" s="81" t="str">
        <f t="shared" si="0"/>
        <v xml:space="preserve"> </v>
      </c>
      <c r="B5764" s="81" t="str">
        <f t="shared" si="1"/>
        <v xml:space="preserve"> </v>
      </c>
      <c r="C5764" s="79" t="str">
        <f t="shared" si="7"/>
        <v xml:space="preserve"> </v>
      </c>
      <c r="D5764" s="79" t="str">
        <f t="shared" si="5"/>
        <v xml:space="preserve"> </v>
      </c>
      <c r="E5764" s="79" t="str">
        <f t="shared" si="6"/>
        <v xml:space="preserve"> </v>
      </c>
    </row>
    <row r="5765" spans="1:5" ht="12.5">
      <c r="A5765" s="81" t="str">
        <f t="shared" si="0"/>
        <v xml:space="preserve"> </v>
      </c>
      <c r="B5765" s="81" t="str">
        <f t="shared" si="1"/>
        <v xml:space="preserve"> </v>
      </c>
      <c r="C5765" s="79" t="str">
        <f t="shared" si="7"/>
        <v xml:space="preserve"> </v>
      </c>
      <c r="D5765" s="79" t="str">
        <f t="shared" si="5"/>
        <v xml:space="preserve"> </v>
      </c>
      <c r="E5765" s="79" t="str">
        <f t="shared" si="6"/>
        <v xml:space="preserve"> </v>
      </c>
    </row>
    <row r="5766" spans="1:5" ht="12.5">
      <c r="A5766" s="81" t="str">
        <f t="shared" si="0"/>
        <v xml:space="preserve"> </v>
      </c>
      <c r="B5766" s="81" t="str">
        <f t="shared" si="1"/>
        <v xml:space="preserve"> </v>
      </c>
      <c r="C5766" s="79" t="str">
        <f t="shared" si="7"/>
        <v xml:space="preserve"> </v>
      </c>
      <c r="D5766" s="79" t="str">
        <f t="shared" si="5"/>
        <v xml:space="preserve"> </v>
      </c>
      <c r="E5766" s="79" t="str">
        <f t="shared" si="6"/>
        <v xml:space="preserve"> </v>
      </c>
    </row>
    <row r="5767" spans="1:5" ht="12.5">
      <c r="A5767" s="81" t="str">
        <f t="shared" si="0"/>
        <v xml:space="preserve"> </v>
      </c>
      <c r="B5767" s="81" t="str">
        <f t="shared" si="1"/>
        <v xml:space="preserve"> </v>
      </c>
      <c r="C5767" s="79" t="str">
        <f t="shared" si="7"/>
        <v xml:space="preserve"> </v>
      </c>
      <c r="D5767" s="79" t="str">
        <f t="shared" si="5"/>
        <v xml:space="preserve"> </v>
      </c>
      <c r="E5767" s="79" t="str">
        <f t="shared" si="6"/>
        <v xml:space="preserve"> </v>
      </c>
    </row>
    <row r="5768" spans="1:5" ht="12.5">
      <c r="A5768" s="81" t="str">
        <f t="shared" si="0"/>
        <v xml:space="preserve"> </v>
      </c>
      <c r="B5768" s="81" t="str">
        <f t="shared" si="1"/>
        <v xml:space="preserve"> </v>
      </c>
      <c r="C5768" s="79" t="str">
        <f t="shared" si="7"/>
        <v xml:space="preserve"> </v>
      </c>
      <c r="D5768" s="79" t="str">
        <f t="shared" si="5"/>
        <v xml:space="preserve"> </v>
      </c>
      <c r="E5768" s="79" t="str">
        <f t="shared" si="6"/>
        <v xml:space="preserve"> </v>
      </c>
    </row>
    <row r="5769" spans="1:5" ht="12.5">
      <c r="A5769" s="81" t="str">
        <f t="shared" si="0"/>
        <v xml:space="preserve"> </v>
      </c>
      <c r="B5769" s="81" t="str">
        <f t="shared" si="1"/>
        <v xml:space="preserve"> </v>
      </c>
      <c r="C5769" s="79" t="str">
        <f t="shared" si="7"/>
        <v xml:space="preserve"> </v>
      </c>
      <c r="D5769" s="79" t="str">
        <f t="shared" si="5"/>
        <v xml:space="preserve"> </v>
      </c>
      <c r="E5769" s="79" t="str">
        <f t="shared" si="6"/>
        <v xml:space="preserve"> </v>
      </c>
    </row>
    <row r="5770" spans="1:5" ht="12.5">
      <c r="A5770" s="81" t="str">
        <f t="shared" si="0"/>
        <v xml:space="preserve"> </v>
      </c>
      <c r="B5770" s="81" t="str">
        <f t="shared" si="1"/>
        <v xml:space="preserve"> </v>
      </c>
      <c r="C5770" s="79" t="str">
        <f t="shared" si="7"/>
        <v xml:space="preserve"> </v>
      </c>
      <c r="D5770" s="79" t="str">
        <f t="shared" si="5"/>
        <v xml:space="preserve"> </v>
      </c>
      <c r="E5770" s="79" t="str">
        <f t="shared" si="6"/>
        <v xml:space="preserve"> </v>
      </c>
    </row>
    <row r="5771" spans="1:5" ht="12.5">
      <c r="A5771" s="81" t="str">
        <f t="shared" si="0"/>
        <v xml:space="preserve"> </v>
      </c>
      <c r="B5771" s="81" t="str">
        <f t="shared" si="1"/>
        <v xml:space="preserve"> </v>
      </c>
      <c r="C5771" s="79" t="str">
        <f t="shared" si="7"/>
        <v xml:space="preserve"> </v>
      </c>
      <c r="D5771" s="79" t="str">
        <f t="shared" si="5"/>
        <v xml:space="preserve"> </v>
      </c>
      <c r="E5771" s="79" t="str">
        <f t="shared" si="6"/>
        <v xml:space="preserve"> </v>
      </c>
    </row>
    <row r="5772" spans="1:5" ht="12.5">
      <c r="A5772" s="81" t="str">
        <f t="shared" si="0"/>
        <v xml:space="preserve"> </v>
      </c>
      <c r="B5772" s="81" t="str">
        <f t="shared" si="1"/>
        <v xml:space="preserve"> </v>
      </c>
      <c r="C5772" s="79" t="str">
        <f t="shared" si="7"/>
        <v xml:space="preserve"> </v>
      </c>
      <c r="D5772" s="79" t="str">
        <f t="shared" si="5"/>
        <v xml:space="preserve"> </v>
      </c>
      <c r="E5772" s="79" t="str">
        <f t="shared" si="6"/>
        <v xml:space="preserve"> </v>
      </c>
    </row>
    <row r="5773" spans="1:5" ht="12.5">
      <c r="A5773" s="81" t="str">
        <f t="shared" si="0"/>
        <v xml:space="preserve"> </v>
      </c>
      <c r="B5773" s="81" t="str">
        <f t="shared" si="1"/>
        <v xml:space="preserve"> </v>
      </c>
      <c r="C5773" s="79" t="str">
        <f t="shared" si="7"/>
        <v xml:space="preserve"> </v>
      </c>
      <c r="D5773" s="79" t="str">
        <f t="shared" si="5"/>
        <v xml:space="preserve"> </v>
      </c>
      <c r="E5773" s="79" t="str">
        <f t="shared" si="6"/>
        <v xml:space="preserve"> </v>
      </c>
    </row>
    <row r="5774" spans="1:5" ht="12.5">
      <c r="A5774" s="81" t="str">
        <f t="shared" si="0"/>
        <v xml:space="preserve"> </v>
      </c>
      <c r="B5774" s="81" t="str">
        <f t="shared" si="1"/>
        <v xml:space="preserve"> </v>
      </c>
      <c r="C5774" s="79" t="str">
        <f t="shared" si="7"/>
        <v xml:space="preserve"> </v>
      </c>
      <c r="D5774" s="79" t="str">
        <f t="shared" si="5"/>
        <v xml:space="preserve"> </v>
      </c>
      <c r="E5774" s="79" t="str">
        <f t="shared" si="6"/>
        <v xml:space="preserve"> </v>
      </c>
    </row>
    <row r="5775" spans="1:5" ht="12.5">
      <c r="A5775" s="81" t="str">
        <f t="shared" si="0"/>
        <v xml:space="preserve"> </v>
      </c>
      <c r="B5775" s="81" t="str">
        <f t="shared" si="1"/>
        <v xml:space="preserve"> </v>
      </c>
      <c r="C5775" s="79" t="str">
        <f t="shared" si="7"/>
        <v xml:space="preserve"> </v>
      </c>
      <c r="D5775" s="79" t="str">
        <f t="shared" si="5"/>
        <v xml:space="preserve"> </v>
      </c>
      <c r="E5775" s="79" t="str">
        <f t="shared" si="6"/>
        <v xml:space="preserve"> </v>
      </c>
    </row>
    <row r="5776" spans="1:5" ht="12.5">
      <c r="A5776" s="81" t="str">
        <f t="shared" si="0"/>
        <v xml:space="preserve"> </v>
      </c>
      <c r="B5776" s="81" t="str">
        <f t="shared" si="1"/>
        <v xml:space="preserve"> </v>
      </c>
      <c r="C5776" s="79" t="str">
        <f t="shared" si="7"/>
        <v xml:space="preserve"> </v>
      </c>
      <c r="D5776" s="79" t="str">
        <f t="shared" si="5"/>
        <v xml:space="preserve"> </v>
      </c>
      <c r="E5776" s="79" t="str">
        <f t="shared" si="6"/>
        <v xml:space="preserve"> </v>
      </c>
    </row>
    <row r="5777" spans="1:5" ht="12.5">
      <c r="A5777" s="81" t="str">
        <f t="shared" si="0"/>
        <v xml:space="preserve"> </v>
      </c>
      <c r="B5777" s="81" t="str">
        <f t="shared" si="1"/>
        <v xml:space="preserve"> </v>
      </c>
      <c r="C5777" s="79" t="str">
        <f t="shared" si="7"/>
        <v xml:space="preserve"> </v>
      </c>
      <c r="D5777" s="79" t="str">
        <f t="shared" si="5"/>
        <v xml:space="preserve"> </v>
      </c>
      <c r="E5777" s="79" t="str">
        <f t="shared" si="6"/>
        <v xml:space="preserve"> </v>
      </c>
    </row>
    <row r="5778" spans="1:5" ht="12.5">
      <c r="A5778" s="81" t="str">
        <f t="shared" si="0"/>
        <v xml:space="preserve"> </v>
      </c>
      <c r="B5778" s="81" t="str">
        <f t="shared" si="1"/>
        <v xml:space="preserve"> </v>
      </c>
      <c r="C5778" s="79" t="str">
        <f t="shared" si="7"/>
        <v xml:space="preserve"> </v>
      </c>
      <c r="D5778" s="79" t="str">
        <f t="shared" si="5"/>
        <v xml:space="preserve"> </v>
      </c>
      <c r="E5778" s="79" t="str">
        <f t="shared" si="6"/>
        <v xml:space="preserve"> </v>
      </c>
    </row>
    <row r="5779" spans="1:5" ht="12.5">
      <c r="A5779" s="81" t="str">
        <f t="shared" si="0"/>
        <v xml:space="preserve"> </v>
      </c>
      <c r="B5779" s="81" t="str">
        <f t="shared" si="1"/>
        <v xml:space="preserve"> </v>
      </c>
      <c r="C5779" s="79" t="str">
        <f t="shared" si="7"/>
        <v xml:space="preserve"> </v>
      </c>
      <c r="D5779" s="79" t="str">
        <f t="shared" si="5"/>
        <v xml:space="preserve"> </v>
      </c>
      <c r="E5779" s="79" t="str">
        <f t="shared" si="6"/>
        <v xml:space="preserve"> </v>
      </c>
    </row>
    <row r="5780" spans="1:5" ht="12.5">
      <c r="A5780" s="81" t="str">
        <f t="shared" si="0"/>
        <v xml:space="preserve"> </v>
      </c>
      <c r="B5780" s="81" t="str">
        <f t="shared" si="1"/>
        <v xml:space="preserve"> </v>
      </c>
      <c r="C5780" s="79" t="str">
        <f t="shared" si="7"/>
        <v xml:space="preserve"> </v>
      </c>
      <c r="D5780" s="79" t="str">
        <f t="shared" si="5"/>
        <v xml:space="preserve"> </v>
      </c>
      <c r="E5780" s="79" t="str">
        <f t="shared" si="6"/>
        <v xml:space="preserve"> </v>
      </c>
    </row>
    <row r="5781" spans="1:5" ht="12.5">
      <c r="A5781" s="81" t="str">
        <f t="shared" si="0"/>
        <v xml:space="preserve"> </v>
      </c>
      <c r="B5781" s="81" t="str">
        <f t="shared" si="1"/>
        <v xml:space="preserve"> </v>
      </c>
      <c r="C5781" s="79" t="str">
        <f t="shared" si="7"/>
        <v xml:space="preserve"> </v>
      </c>
      <c r="D5781" s="79" t="str">
        <f t="shared" si="5"/>
        <v xml:space="preserve"> </v>
      </c>
      <c r="E5781" s="79" t="str">
        <f t="shared" si="6"/>
        <v xml:space="preserve"> </v>
      </c>
    </row>
    <row r="5782" spans="1:5" ht="12.5">
      <c r="A5782" s="81" t="str">
        <f t="shared" si="0"/>
        <v xml:space="preserve"> </v>
      </c>
      <c r="B5782" s="81" t="str">
        <f t="shared" si="1"/>
        <v xml:space="preserve"> </v>
      </c>
      <c r="C5782" s="79" t="str">
        <f t="shared" si="7"/>
        <v xml:space="preserve"> </v>
      </c>
      <c r="D5782" s="79" t="str">
        <f t="shared" si="5"/>
        <v xml:space="preserve"> </v>
      </c>
      <c r="E5782" s="79" t="str">
        <f t="shared" si="6"/>
        <v xml:space="preserve"> </v>
      </c>
    </row>
    <row r="5783" spans="1:5" ht="12.5">
      <c r="A5783" s="81" t="str">
        <f t="shared" si="0"/>
        <v xml:space="preserve"> </v>
      </c>
      <c r="B5783" s="81" t="str">
        <f t="shared" si="1"/>
        <v xml:space="preserve"> </v>
      </c>
      <c r="C5783" s="79" t="str">
        <f t="shared" si="7"/>
        <v xml:space="preserve"> </v>
      </c>
      <c r="D5783" s="79" t="str">
        <f t="shared" si="5"/>
        <v xml:space="preserve"> </v>
      </c>
      <c r="E5783" s="79" t="str">
        <f t="shared" si="6"/>
        <v xml:space="preserve"> </v>
      </c>
    </row>
    <row r="5784" spans="1:5" ht="12.5">
      <c r="A5784" s="81" t="str">
        <f t="shared" si="0"/>
        <v xml:space="preserve"> </v>
      </c>
      <c r="B5784" s="81" t="str">
        <f t="shared" si="1"/>
        <v xml:space="preserve"> </v>
      </c>
      <c r="C5784" s="79" t="str">
        <f t="shared" si="7"/>
        <v xml:space="preserve"> </v>
      </c>
      <c r="D5784" s="79" t="str">
        <f t="shared" si="5"/>
        <v xml:space="preserve"> </v>
      </c>
      <c r="E5784" s="79" t="str">
        <f t="shared" si="6"/>
        <v xml:space="preserve"> </v>
      </c>
    </row>
    <row r="5785" spans="1:5" ht="12.5">
      <c r="A5785" s="81" t="str">
        <f t="shared" si="0"/>
        <v xml:space="preserve"> </v>
      </c>
      <c r="B5785" s="81" t="str">
        <f t="shared" si="1"/>
        <v xml:space="preserve"> </v>
      </c>
      <c r="C5785" s="79" t="str">
        <f t="shared" si="7"/>
        <v xml:space="preserve"> </v>
      </c>
      <c r="D5785" s="79" t="str">
        <f t="shared" si="5"/>
        <v xml:space="preserve"> </v>
      </c>
      <c r="E5785" s="79" t="str">
        <f t="shared" si="6"/>
        <v xml:space="preserve"> </v>
      </c>
    </row>
    <row r="5786" spans="1:5" ht="12.5">
      <c r="A5786" s="81" t="str">
        <f t="shared" si="0"/>
        <v xml:space="preserve"> </v>
      </c>
      <c r="B5786" s="81" t="str">
        <f t="shared" si="1"/>
        <v xml:space="preserve"> </v>
      </c>
      <c r="C5786" s="79" t="str">
        <f t="shared" si="7"/>
        <v xml:space="preserve"> </v>
      </c>
      <c r="D5786" s="79" t="str">
        <f t="shared" si="5"/>
        <v xml:space="preserve"> </v>
      </c>
      <c r="E5786" s="79" t="str">
        <f t="shared" si="6"/>
        <v xml:space="preserve"> </v>
      </c>
    </row>
    <row r="5787" spans="1:5" ht="12.5">
      <c r="A5787" s="81" t="str">
        <f t="shared" si="0"/>
        <v xml:space="preserve"> </v>
      </c>
      <c r="B5787" s="81" t="str">
        <f t="shared" si="1"/>
        <v xml:space="preserve"> </v>
      </c>
      <c r="C5787" s="79" t="str">
        <f t="shared" si="7"/>
        <v xml:space="preserve"> </v>
      </c>
      <c r="D5787" s="79" t="str">
        <f t="shared" si="5"/>
        <v xml:space="preserve"> </v>
      </c>
      <c r="E5787" s="79" t="str">
        <f t="shared" si="6"/>
        <v xml:space="preserve"> </v>
      </c>
    </row>
    <row r="5788" spans="1:5" ht="12.5">
      <c r="A5788" s="81" t="str">
        <f t="shared" si="0"/>
        <v xml:space="preserve"> </v>
      </c>
      <c r="B5788" s="81" t="str">
        <f t="shared" si="1"/>
        <v xml:space="preserve"> </v>
      </c>
      <c r="C5788" s="79" t="str">
        <f t="shared" si="7"/>
        <v xml:space="preserve"> </v>
      </c>
      <c r="D5788" s="79" t="str">
        <f t="shared" si="5"/>
        <v xml:space="preserve"> </v>
      </c>
      <c r="E5788" s="79" t="str">
        <f t="shared" si="6"/>
        <v xml:space="preserve"> </v>
      </c>
    </row>
    <row r="5789" spans="1:5" ht="12.5">
      <c r="A5789" s="81" t="str">
        <f t="shared" si="0"/>
        <v xml:space="preserve"> </v>
      </c>
      <c r="B5789" s="81" t="str">
        <f t="shared" si="1"/>
        <v xml:space="preserve"> </v>
      </c>
      <c r="C5789" s="79" t="str">
        <f t="shared" si="7"/>
        <v xml:space="preserve"> </v>
      </c>
      <c r="D5789" s="79" t="str">
        <f t="shared" si="5"/>
        <v xml:space="preserve"> </v>
      </c>
      <c r="E5789" s="79" t="str">
        <f t="shared" si="6"/>
        <v xml:space="preserve"> </v>
      </c>
    </row>
    <row r="5790" spans="1:5" ht="12.5">
      <c r="A5790" s="81" t="str">
        <f t="shared" si="0"/>
        <v xml:space="preserve"> </v>
      </c>
      <c r="B5790" s="81" t="str">
        <f t="shared" si="1"/>
        <v xml:space="preserve"> </v>
      </c>
      <c r="C5790" s="79" t="str">
        <f t="shared" si="7"/>
        <v xml:space="preserve"> </v>
      </c>
      <c r="D5790" s="79" t="str">
        <f t="shared" si="5"/>
        <v xml:space="preserve"> </v>
      </c>
      <c r="E5790" s="79" t="str">
        <f t="shared" si="6"/>
        <v xml:space="preserve"> </v>
      </c>
    </row>
    <row r="5791" spans="1:5" ht="12.5">
      <c r="A5791" s="81" t="str">
        <f t="shared" si="0"/>
        <v xml:space="preserve"> </v>
      </c>
      <c r="B5791" s="81" t="str">
        <f t="shared" si="1"/>
        <v xml:space="preserve"> </v>
      </c>
      <c r="C5791" s="79" t="str">
        <f t="shared" si="7"/>
        <v xml:space="preserve"> </v>
      </c>
      <c r="D5791" s="79" t="str">
        <f t="shared" si="5"/>
        <v xml:space="preserve"> </v>
      </c>
      <c r="E5791" s="79" t="str">
        <f t="shared" si="6"/>
        <v xml:space="preserve"> </v>
      </c>
    </row>
    <row r="5792" spans="1:5" ht="12.5">
      <c r="A5792" s="81" t="str">
        <f t="shared" si="0"/>
        <v xml:space="preserve"> </v>
      </c>
      <c r="B5792" s="81" t="str">
        <f t="shared" si="1"/>
        <v xml:space="preserve"> </v>
      </c>
      <c r="C5792" s="79" t="str">
        <f t="shared" si="7"/>
        <v xml:space="preserve"> </v>
      </c>
      <c r="D5792" s="79" t="str">
        <f t="shared" si="5"/>
        <v xml:space="preserve"> </v>
      </c>
      <c r="E5792" s="79" t="str">
        <f t="shared" si="6"/>
        <v xml:space="preserve"> </v>
      </c>
    </row>
    <row r="5793" spans="1:5" ht="12.5">
      <c r="A5793" s="81" t="str">
        <f t="shared" si="0"/>
        <v xml:space="preserve"> </v>
      </c>
      <c r="B5793" s="81" t="str">
        <f t="shared" si="1"/>
        <v xml:space="preserve"> </v>
      </c>
      <c r="C5793" s="79" t="str">
        <f t="shared" si="7"/>
        <v xml:space="preserve"> </v>
      </c>
      <c r="D5793" s="79" t="str">
        <f t="shared" si="5"/>
        <v xml:space="preserve"> </v>
      </c>
      <c r="E5793" s="79" t="str">
        <f t="shared" si="6"/>
        <v xml:space="preserve"> </v>
      </c>
    </row>
    <row r="5794" spans="1:5" ht="12.5">
      <c r="A5794" s="81" t="str">
        <f t="shared" si="0"/>
        <v xml:space="preserve"> </v>
      </c>
      <c r="B5794" s="81" t="str">
        <f t="shared" si="1"/>
        <v xml:space="preserve"> </v>
      </c>
      <c r="C5794" s="79" t="str">
        <f t="shared" si="7"/>
        <v xml:space="preserve"> </v>
      </c>
      <c r="D5794" s="79" t="str">
        <f t="shared" si="5"/>
        <v xml:space="preserve"> </v>
      </c>
      <c r="E5794" s="79" t="str">
        <f t="shared" si="6"/>
        <v xml:space="preserve"> </v>
      </c>
    </row>
    <row r="5795" spans="1:5" ht="12.5">
      <c r="A5795" s="81" t="str">
        <f t="shared" si="0"/>
        <v xml:space="preserve"> </v>
      </c>
      <c r="B5795" s="81" t="str">
        <f t="shared" si="1"/>
        <v xml:space="preserve"> </v>
      </c>
      <c r="C5795" s="79" t="str">
        <f t="shared" si="7"/>
        <v xml:space="preserve"> </v>
      </c>
      <c r="D5795" s="79" t="str">
        <f t="shared" si="5"/>
        <v xml:space="preserve"> </v>
      </c>
      <c r="E5795" s="79" t="str">
        <f t="shared" si="6"/>
        <v xml:space="preserve"> </v>
      </c>
    </row>
    <row r="5796" spans="1:5" ht="12.5">
      <c r="A5796" s="81" t="str">
        <f t="shared" si="0"/>
        <v xml:space="preserve"> </v>
      </c>
      <c r="B5796" s="81" t="str">
        <f t="shared" si="1"/>
        <v xml:space="preserve"> </v>
      </c>
      <c r="C5796" s="79" t="str">
        <f t="shared" si="7"/>
        <v xml:space="preserve"> </v>
      </c>
      <c r="D5796" s="79" t="str">
        <f t="shared" si="5"/>
        <v xml:space="preserve"> </v>
      </c>
      <c r="E5796" s="79" t="str">
        <f t="shared" si="6"/>
        <v xml:space="preserve"> </v>
      </c>
    </row>
    <row r="5797" spans="1:5" ht="12.5">
      <c r="A5797" s="81" t="str">
        <f t="shared" si="0"/>
        <v xml:space="preserve"> </v>
      </c>
      <c r="B5797" s="81" t="str">
        <f t="shared" si="1"/>
        <v xml:space="preserve"> </v>
      </c>
      <c r="C5797" s="79" t="str">
        <f t="shared" si="7"/>
        <v xml:space="preserve"> </v>
      </c>
      <c r="D5797" s="79" t="str">
        <f t="shared" si="5"/>
        <v xml:space="preserve"> </v>
      </c>
      <c r="E5797" s="79" t="str">
        <f t="shared" si="6"/>
        <v xml:space="preserve"> </v>
      </c>
    </row>
    <row r="5798" spans="1:5" ht="12.5">
      <c r="A5798" s="81" t="str">
        <f t="shared" si="0"/>
        <v xml:space="preserve"> </v>
      </c>
      <c r="B5798" s="81" t="str">
        <f t="shared" si="1"/>
        <v xml:space="preserve"> </v>
      </c>
      <c r="C5798" s="79" t="str">
        <f t="shared" si="7"/>
        <v xml:space="preserve"> </v>
      </c>
      <c r="D5798" s="79" t="str">
        <f t="shared" si="5"/>
        <v xml:space="preserve"> </v>
      </c>
      <c r="E5798" s="79" t="str">
        <f t="shared" si="6"/>
        <v xml:space="preserve"> </v>
      </c>
    </row>
    <row r="5799" spans="1:5" ht="12.5">
      <c r="A5799" s="81" t="str">
        <f t="shared" si="0"/>
        <v xml:space="preserve"> </v>
      </c>
      <c r="B5799" s="81" t="str">
        <f t="shared" si="1"/>
        <v xml:space="preserve"> </v>
      </c>
      <c r="C5799" s="79" t="str">
        <f t="shared" si="7"/>
        <v xml:space="preserve"> </v>
      </c>
      <c r="D5799" s="79" t="str">
        <f t="shared" si="5"/>
        <v xml:space="preserve"> </v>
      </c>
      <c r="E5799" s="79" t="str">
        <f t="shared" si="6"/>
        <v xml:space="preserve"> </v>
      </c>
    </row>
    <row r="5800" spans="1:5" ht="12.5">
      <c r="A5800" s="81" t="str">
        <f t="shared" si="0"/>
        <v xml:space="preserve"> </v>
      </c>
      <c r="B5800" s="81" t="str">
        <f t="shared" si="1"/>
        <v xml:space="preserve"> </v>
      </c>
      <c r="C5800" s="79" t="str">
        <f t="shared" si="7"/>
        <v xml:space="preserve"> </v>
      </c>
      <c r="D5800" s="79" t="str">
        <f t="shared" si="5"/>
        <v xml:space="preserve"> </v>
      </c>
      <c r="E5800" s="79" t="str">
        <f t="shared" si="6"/>
        <v xml:space="preserve"> </v>
      </c>
    </row>
    <row r="5801" spans="1:5" ht="12.5">
      <c r="A5801" s="81" t="str">
        <f t="shared" si="0"/>
        <v xml:space="preserve"> </v>
      </c>
      <c r="B5801" s="81" t="str">
        <f t="shared" si="1"/>
        <v xml:space="preserve"> </v>
      </c>
      <c r="C5801" s="79" t="str">
        <f t="shared" si="7"/>
        <v xml:space="preserve"> </v>
      </c>
      <c r="D5801" s="79" t="str">
        <f t="shared" si="5"/>
        <v xml:space="preserve"> </v>
      </c>
      <c r="E5801" s="79" t="str">
        <f t="shared" si="6"/>
        <v xml:space="preserve"> </v>
      </c>
    </row>
    <row r="5802" spans="1:5" ht="12.5">
      <c r="A5802" s="81" t="str">
        <f t="shared" si="0"/>
        <v xml:space="preserve"> </v>
      </c>
      <c r="B5802" s="81" t="str">
        <f t="shared" si="1"/>
        <v xml:space="preserve"> </v>
      </c>
      <c r="C5802" s="79" t="str">
        <f t="shared" si="7"/>
        <v xml:space="preserve"> </v>
      </c>
      <c r="D5802" s="79" t="str">
        <f t="shared" si="5"/>
        <v xml:space="preserve"> </v>
      </c>
      <c r="E5802" s="79" t="str">
        <f t="shared" si="6"/>
        <v xml:space="preserve"> </v>
      </c>
    </row>
    <row r="5803" spans="1:5" ht="12.5">
      <c r="A5803" s="81" t="str">
        <f t="shared" si="0"/>
        <v xml:space="preserve"> </v>
      </c>
      <c r="B5803" s="81" t="str">
        <f t="shared" si="1"/>
        <v xml:space="preserve"> </v>
      </c>
      <c r="C5803" s="79" t="str">
        <f t="shared" si="7"/>
        <v xml:space="preserve"> </v>
      </c>
      <c r="D5803" s="79" t="str">
        <f t="shared" si="5"/>
        <v xml:space="preserve"> </v>
      </c>
      <c r="E5803" s="79" t="str">
        <f t="shared" si="6"/>
        <v xml:space="preserve"> </v>
      </c>
    </row>
    <row r="5804" spans="1:5" ht="12.5">
      <c r="A5804" s="81" t="str">
        <f t="shared" si="0"/>
        <v xml:space="preserve"> </v>
      </c>
      <c r="B5804" s="81" t="str">
        <f t="shared" si="1"/>
        <v xml:space="preserve"> </v>
      </c>
      <c r="C5804" s="79" t="str">
        <f t="shared" si="7"/>
        <v xml:space="preserve"> </v>
      </c>
      <c r="D5804" s="79" t="str">
        <f t="shared" si="5"/>
        <v xml:space="preserve"> </v>
      </c>
      <c r="E5804" s="79" t="str">
        <f t="shared" si="6"/>
        <v xml:space="preserve"> </v>
      </c>
    </row>
    <row r="5805" spans="1:5" ht="12.5">
      <c r="A5805" s="81" t="str">
        <f t="shared" si="0"/>
        <v xml:space="preserve"> </v>
      </c>
      <c r="B5805" s="81" t="str">
        <f t="shared" si="1"/>
        <v xml:space="preserve"> </v>
      </c>
      <c r="C5805" s="79" t="str">
        <f t="shared" si="7"/>
        <v xml:space="preserve"> </v>
      </c>
      <c r="D5805" s="79" t="str">
        <f t="shared" si="5"/>
        <v xml:space="preserve"> </v>
      </c>
      <c r="E5805" s="79" t="str">
        <f t="shared" si="6"/>
        <v xml:space="preserve"> </v>
      </c>
    </row>
    <row r="5806" spans="1:5" ht="12.5">
      <c r="A5806" s="81" t="str">
        <f t="shared" si="0"/>
        <v xml:space="preserve"> </v>
      </c>
      <c r="B5806" s="81" t="str">
        <f t="shared" si="1"/>
        <v xml:space="preserve"> </v>
      </c>
      <c r="C5806" s="79" t="str">
        <f t="shared" si="7"/>
        <v xml:space="preserve"> </v>
      </c>
      <c r="D5806" s="79" t="str">
        <f t="shared" si="5"/>
        <v xml:space="preserve"> </v>
      </c>
      <c r="E5806" s="79" t="str">
        <f t="shared" si="6"/>
        <v xml:space="preserve"> </v>
      </c>
    </row>
    <row r="5807" spans="1:5" ht="12.5">
      <c r="A5807" s="81" t="str">
        <f t="shared" si="0"/>
        <v xml:space="preserve"> </v>
      </c>
      <c r="B5807" s="81" t="str">
        <f t="shared" si="1"/>
        <v xml:space="preserve"> </v>
      </c>
      <c r="C5807" s="79" t="str">
        <f t="shared" si="7"/>
        <v xml:space="preserve"> </v>
      </c>
      <c r="D5807" s="79" t="str">
        <f t="shared" si="5"/>
        <v xml:space="preserve"> </v>
      </c>
      <c r="E5807" s="79" t="str">
        <f t="shared" si="6"/>
        <v xml:space="preserve"> </v>
      </c>
    </row>
    <row r="5808" spans="1:5" ht="12.5">
      <c r="A5808" s="81" t="str">
        <f t="shared" si="0"/>
        <v xml:space="preserve"> </v>
      </c>
      <c r="B5808" s="81" t="str">
        <f t="shared" si="1"/>
        <v xml:space="preserve"> </v>
      </c>
      <c r="C5808" s="79" t="str">
        <f t="shared" si="7"/>
        <v xml:space="preserve"> </v>
      </c>
      <c r="D5808" s="79" t="str">
        <f t="shared" si="5"/>
        <v xml:space="preserve"> </v>
      </c>
      <c r="E5808" s="79" t="str">
        <f t="shared" si="6"/>
        <v xml:space="preserve"> </v>
      </c>
    </row>
    <row r="5809" spans="1:5" ht="12.5">
      <c r="A5809" s="81" t="str">
        <f t="shared" si="0"/>
        <v xml:space="preserve"> </v>
      </c>
      <c r="B5809" s="81" t="str">
        <f t="shared" si="1"/>
        <v xml:space="preserve"> </v>
      </c>
      <c r="C5809" s="79" t="str">
        <f t="shared" si="7"/>
        <v xml:space="preserve"> </v>
      </c>
      <c r="D5809" s="79" t="str">
        <f t="shared" si="5"/>
        <v xml:space="preserve"> </v>
      </c>
      <c r="E5809" s="79" t="str">
        <f t="shared" si="6"/>
        <v xml:space="preserve"> </v>
      </c>
    </row>
    <row r="5810" spans="1:5" ht="12.5">
      <c r="A5810" s="81" t="str">
        <f t="shared" si="0"/>
        <v xml:space="preserve"> </v>
      </c>
      <c r="B5810" s="81" t="str">
        <f t="shared" si="1"/>
        <v xml:space="preserve"> </v>
      </c>
      <c r="C5810" s="79" t="str">
        <f t="shared" si="7"/>
        <v xml:space="preserve"> </v>
      </c>
      <c r="D5810" s="79" t="str">
        <f t="shared" si="5"/>
        <v xml:space="preserve"> </v>
      </c>
      <c r="E5810" s="79" t="str">
        <f t="shared" si="6"/>
        <v xml:space="preserve"> </v>
      </c>
    </row>
    <row r="5811" spans="1:5" ht="12.5">
      <c r="A5811" s="81" t="str">
        <f t="shared" si="0"/>
        <v xml:space="preserve"> </v>
      </c>
      <c r="B5811" s="81" t="str">
        <f t="shared" si="1"/>
        <v xml:space="preserve"> </v>
      </c>
      <c r="C5811" s="79" t="str">
        <f t="shared" si="7"/>
        <v xml:space="preserve"> </v>
      </c>
      <c r="D5811" s="79" t="str">
        <f t="shared" si="5"/>
        <v xml:space="preserve"> </v>
      </c>
      <c r="E5811" s="79" t="str">
        <f t="shared" si="6"/>
        <v xml:space="preserve"> </v>
      </c>
    </row>
    <row r="5812" spans="1:5" ht="12.5">
      <c r="A5812" s="81" t="str">
        <f t="shared" si="0"/>
        <v xml:space="preserve"> </v>
      </c>
      <c r="B5812" s="81" t="str">
        <f t="shared" si="1"/>
        <v xml:space="preserve"> </v>
      </c>
      <c r="C5812" s="79" t="str">
        <f t="shared" si="7"/>
        <v xml:space="preserve"> </v>
      </c>
      <c r="D5812" s="79" t="str">
        <f t="shared" si="5"/>
        <v xml:space="preserve"> </v>
      </c>
      <c r="E5812" s="79" t="str">
        <f t="shared" si="6"/>
        <v xml:space="preserve"> </v>
      </c>
    </row>
    <row r="5813" spans="1:5" ht="12.5">
      <c r="A5813" s="81" t="str">
        <f t="shared" si="0"/>
        <v xml:space="preserve"> </v>
      </c>
      <c r="B5813" s="81" t="str">
        <f t="shared" si="1"/>
        <v xml:space="preserve"> </v>
      </c>
      <c r="C5813" s="79" t="str">
        <f t="shared" si="7"/>
        <v xml:space="preserve"> </v>
      </c>
      <c r="D5813" s="79" t="str">
        <f t="shared" si="5"/>
        <v xml:space="preserve"> </v>
      </c>
      <c r="E5813" s="79" t="str">
        <f t="shared" si="6"/>
        <v xml:space="preserve"> </v>
      </c>
    </row>
    <row r="5814" spans="1:5" ht="12.5">
      <c r="A5814" s="81" t="str">
        <f t="shared" si="0"/>
        <v xml:space="preserve"> </v>
      </c>
      <c r="B5814" s="81" t="str">
        <f t="shared" si="1"/>
        <v xml:space="preserve"> </v>
      </c>
      <c r="C5814" s="79" t="str">
        <f t="shared" si="7"/>
        <v xml:space="preserve"> </v>
      </c>
      <c r="D5814" s="79" t="str">
        <f t="shared" si="5"/>
        <v xml:space="preserve"> </v>
      </c>
      <c r="E5814" s="79" t="str">
        <f t="shared" si="6"/>
        <v xml:space="preserve"> </v>
      </c>
    </row>
    <row r="5815" spans="1:5" ht="12.5">
      <c r="A5815" s="81" t="str">
        <f t="shared" si="0"/>
        <v xml:space="preserve"> </v>
      </c>
      <c r="B5815" s="81" t="str">
        <f t="shared" si="1"/>
        <v xml:space="preserve"> </v>
      </c>
      <c r="C5815" s="79" t="str">
        <f t="shared" si="7"/>
        <v xml:space="preserve"> </v>
      </c>
      <c r="D5815" s="79" t="str">
        <f t="shared" si="5"/>
        <v xml:space="preserve"> </v>
      </c>
      <c r="E5815" s="79" t="str">
        <f t="shared" si="6"/>
        <v xml:space="preserve"> </v>
      </c>
    </row>
    <row r="5816" spans="1:5" ht="12.5">
      <c r="A5816" s="81" t="str">
        <f t="shared" si="0"/>
        <v xml:space="preserve"> </v>
      </c>
      <c r="B5816" s="81" t="str">
        <f t="shared" si="1"/>
        <v xml:space="preserve"> </v>
      </c>
      <c r="C5816" s="79" t="str">
        <f t="shared" si="7"/>
        <v xml:space="preserve"> </v>
      </c>
      <c r="D5816" s="79" t="str">
        <f t="shared" si="5"/>
        <v xml:space="preserve"> </v>
      </c>
      <c r="E5816" s="79" t="str">
        <f t="shared" si="6"/>
        <v xml:space="preserve"> </v>
      </c>
    </row>
    <row r="5817" spans="1:5" ht="12.5">
      <c r="A5817" s="81" t="str">
        <f t="shared" si="0"/>
        <v xml:space="preserve"> </v>
      </c>
      <c r="B5817" s="81" t="str">
        <f t="shared" si="1"/>
        <v xml:space="preserve"> </v>
      </c>
      <c r="C5817" s="79" t="str">
        <f t="shared" si="7"/>
        <v xml:space="preserve"> </v>
      </c>
      <c r="D5817" s="79" t="str">
        <f t="shared" si="5"/>
        <v xml:space="preserve"> </v>
      </c>
      <c r="E5817" s="79" t="str">
        <f t="shared" si="6"/>
        <v xml:space="preserve"> </v>
      </c>
    </row>
    <row r="5818" spans="1:5" ht="12.5">
      <c r="A5818" s="81" t="str">
        <f t="shared" si="0"/>
        <v xml:space="preserve"> </v>
      </c>
      <c r="B5818" s="81" t="str">
        <f t="shared" si="1"/>
        <v xml:space="preserve"> </v>
      </c>
      <c r="C5818" s="79" t="str">
        <f t="shared" si="7"/>
        <v xml:space="preserve"> </v>
      </c>
      <c r="D5818" s="79" t="str">
        <f t="shared" si="5"/>
        <v xml:space="preserve"> </v>
      </c>
      <c r="E5818" s="79" t="str">
        <f t="shared" si="6"/>
        <v xml:space="preserve"> </v>
      </c>
    </row>
    <row r="5819" spans="1:5" ht="12.5">
      <c r="A5819" s="81" t="str">
        <f t="shared" si="0"/>
        <v xml:space="preserve"> </v>
      </c>
      <c r="B5819" s="81" t="str">
        <f t="shared" si="1"/>
        <v xml:space="preserve"> </v>
      </c>
      <c r="C5819" s="79" t="str">
        <f t="shared" si="7"/>
        <v xml:space="preserve"> </v>
      </c>
      <c r="D5819" s="79" t="str">
        <f t="shared" si="5"/>
        <v xml:space="preserve"> </v>
      </c>
      <c r="E5819" s="79" t="str">
        <f t="shared" si="6"/>
        <v xml:space="preserve"> </v>
      </c>
    </row>
    <row r="5820" spans="1:5" ht="12.5">
      <c r="A5820" s="81" t="str">
        <f t="shared" si="0"/>
        <v xml:space="preserve"> </v>
      </c>
      <c r="B5820" s="81" t="str">
        <f t="shared" si="1"/>
        <v xml:space="preserve"> </v>
      </c>
      <c r="C5820" s="79" t="str">
        <f t="shared" si="7"/>
        <v xml:space="preserve"> </v>
      </c>
      <c r="D5820" s="79" t="str">
        <f t="shared" si="5"/>
        <v xml:space="preserve"> </v>
      </c>
      <c r="E5820" s="79" t="str">
        <f t="shared" si="6"/>
        <v xml:space="preserve"> </v>
      </c>
    </row>
    <row r="5821" spans="1:5" ht="12.5">
      <c r="A5821" s="81" t="str">
        <f t="shared" si="0"/>
        <v xml:space="preserve"> </v>
      </c>
      <c r="B5821" s="81" t="str">
        <f t="shared" si="1"/>
        <v xml:space="preserve"> </v>
      </c>
      <c r="C5821" s="79" t="str">
        <f t="shared" si="7"/>
        <v xml:space="preserve"> </v>
      </c>
      <c r="D5821" s="79" t="str">
        <f t="shared" si="5"/>
        <v xml:space="preserve"> </v>
      </c>
      <c r="E5821" s="79" t="str">
        <f t="shared" si="6"/>
        <v xml:space="preserve"> </v>
      </c>
    </row>
    <row r="5822" spans="1:5" ht="12.5">
      <c r="A5822" s="81" t="str">
        <f t="shared" si="0"/>
        <v xml:space="preserve"> </v>
      </c>
      <c r="B5822" s="81" t="str">
        <f t="shared" si="1"/>
        <v xml:space="preserve"> </v>
      </c>
      <c r="C5822" s="79" t="str">
        <f t="shared" si="7"/>
        <v xml:space="preserve"> </v>
      </c>
      <c r="D5822" s="79" t="str">
        <f t="shared" si="5"/>
        <v xml:space="preserve"> </v>
      </c>
      <c r="E5822" s="79" t="str">
        <f t="shared" si="6"/>
        <v xml:space="preserve"> </v>
      </c>
    </row>
    <row r="5823" spans="1:5" ht="12.5">
      <c r="A5823" s="81" t="str">
        <f t="shared" si="0"/>
        <v xml:space="preserve"> </v>
      </c>
      <c r="B5823" s="81" t="str">
        <f t="shared" si="1"/>
        <v xml:space="preserve"> </v>
      </c>
      <c r="C5823" s="79" t="str">
        <f t="shared" si="7"/>
        <v xml:space="preserve"> </v>
      </c>
      <c r="D5823" s="79" t="str">
        <f t="shared" si="5"/>
        <v xml:space="preserve"> </v>
      </c>
      <c r="E5823" s="79" t="str">
        <f t="shared" si="6"/>
        <v xml:space="preserve"> </v>
      </c>
    </row>
    <row r="5824" spans="1:5" ht="12.5">
      <c r="A5824" s="81" t="str">
        <f t="shared" si="0"/>
        <v xml:space="preserve"> </v>
      </c>
      <c r="B5824" s="81" t="str">
        <f t="shared" si="1"/>
        <v xml:space="preserve"> </v>
      </c>
      <c r="C5824" s="79" t="str">
        <f t="shared" si="7"/>
        <v xml:space="preserve"> </v>
      </c>
      <c r="D5824" s="79" t="str">
        <f t="shared" si="5"/>
        <v xml:space="preserve"> </v>
      </c>
      <c r="E5824" s="79" t="str">
        <f t="shared" si="6"/>
        <v xml:space="preserve"> </v>
      </c>
    </row>
    <row r="5825" spans="1:5" ht="12.5">
      <c r="A5825" s="81" t="str">
        <f t="shared" si="0"/>
        <v xml:space="preserve"> </v>
      </c>
      <c r="B5825" s="81" t="str">
        <f t="shared" si="1"/>
        <v xml:space="preserve"> </v>
      </c>
      <c r="C5825" s="79" t="str">
        <f t="shared" si="7"/>
        <v xml:space="preserve"> </v>
      </c>
      <c r="D5825" s="79" t="str">
        <f t="shared" si="5"/>
        <v xml:space="preserve"> </v>
      </c>
      <c r="E5825" s="79" t="str">
        <f t="shared" si="6"/>
        <v xml:space="preserve"> </v>
      </c>
    </row>
    <row r="5826" spans="1:5" ht="12.5">
      <c r="A5826" s="81" t="str">
        <f t="shared" si="0"/>
        <v xml:space="preserve"> </v>
      </c>
      <c r="B5826" s="81" t="str">
        <f t="shared" si="1"/>
        <v xml:space="preserve"> </v>
      </c>
      <c r="C5826" s="79" t="str">
        <f t="shared" si="7"/>
        <v xml:space="preserve"> </v>
      </c>
      <c r="D5826" s="79" t="str">
        <f t="shared" si="5"/>
        <v xml:space="preserve"> </v>
      </c>
      <c r="E5826" s="79" t="str">
        <f t="shared" si="6"/>
        <v xml:space="preserve"> </v>
      </c>
    </row>
    <row r="5827" spans="1:5" ht="12.5">
      <c r="A5827" s="81" t="str">
        <f t="shared" si="0"/>
        <v xml:space="preserve"> </v>
      </c>
      <c r="B5827" s="81" t="str">
        <f t="shared" si="1"/>
        <v xml:space="preserve"> </v>
      </c>
      <c r="C5827" s="79" t="str">
        <f t="shared" si="7"/>
        <v xml:space="preserve"> </v>
      </c>
      <c r="D5827" s="79" t="str">
        <f t="shared" si="5"/>
        <v xml:space="preserve"> </v>
      </c>
      <c r="E5827" s="79" t="str">
        <f t="shared" si="6"/>
        <v xml:space="preserve"> </v>
      </c>
    </row>
    <row r="5828" spans="1:5" ht="12.5">
      <c r="A5828" s="81" t="str">
        <f t="shared" si="0"/>
        <v xml:space="preserve"> </v>
      </c>
      <c r="B5828" s="81" t="str">
        <f t="shared" si="1"/>
        <v xml:space="preserve"> </v>
      </c>
      <c r="C5828" s="79" t="str">
        <f t="shared" si="7"/>
        <v xml:space="preserve"> </v>
      </c>
      <c r="D5828" s="79" t="str">
        <f t="shared" si="5"/>
        <v xml:space="preserve"> </v>
      </c>
      <c r="E5828" s="79" t="str">
        <f t="shared" si="6"/>
        <v xml:space="preserve"> </v>
      </c>
    </row>
    <row r="5829" spans="1:5" ht="12.5">
      <c r="A5829" s="81" t="str">
        <f t="shared" si="0"/>
        <v xml:space="preserve"> </v>
      </c>
      <c r="B5829" s="81" t="str">
        <f t="shared" si="1"/>
        <v xml:space="preserve"> </v>
      </c>
      <c r="C5829" s="79" t="str">
        <f t="shared" si="7"/>
        <v xml:space="preserve"> </v>
      </c>
      <c r="D5829" s="79" t="str">
        <f t="shared" si="5"/>
        <v xml:space="preserve"> </v>
      </c>
      <c r="E5829" s="79" t="str">
        <f t="shared" si="6"/>
        <v xml:space="preserve"> </v>
      </c>
    </row>
    <row r="5830" spans="1:5" ht="12.5">
      <c r="A5830" s="81" t="str">
        <f t="shared" si="0"/>
        <v xml:space="preserve"> </v>
      </c>
      <c r="B5830" s="81" t="str">
        <f t="shared" si="1"/>
        <v xml:space="preserve"> </v>
      </c>
      <c r="C5830" s="79" t="str">
        <f t="shared" si="7"/>
        <v xml:space="preserve"> </v>
      </c>
      <c r="D5830" s="79" t="str">
        <f t="shared" si="5"/>
        <v xml:space="preserve"> </v>
      </c>
      <c r="E5830" s="79" t="str">
        <f t="shared" si="6"/>
        <v xml:space="preserve"> </v>
      </c>
    </row>
    <row r="5831" spans="1:5" ht="12.5">
      <c r="A5831" s="81" t="str">
        <f t="shared" si="0"/>
        <v xml:space="preserve"> </v>
      </c>
      <c r="B5831" s="81" t="str">
        <f t="shared" si="1"/>
        <v xml:space="preserve"> </v>
      </c>
      <c r="C5831" s="79" t="str">
        <f t="shared" si="7"/>
        <v xml:space="preserve"> </v>
      </c>
      <c r="D5831" s="79" t="str">
        <f t="shared" si="5"/>
        <v xml:space="preserve"> </v>
      </c>
      <c r="E5831" s="79" t="str">
        <f t="shared" si="6"/>
        <v xml:space="preserve"> </v>
      </c>
    </row>
    <row r="5832" spans="1:5" ht="12.5">
      <c r="A5832" s="81" t="str">
        <f t="shared" si="0"/>
        <v xml:space="preserve"> </v>
      </c>
      <c r="B5832" s="81" t="str">
        <f t="shared" si="1"/>
        <v xml:space="preserve"> </v>
      </c>
      <c r="C5832" s="79" t="str">
        <f t="shared" si="7"/>
        <v xml:space="preserve"> </v>
      </c>
      <c r="D5832" s="79" t="str">
        <f t="shared" si="5"/>
        <v xml:space="preserve"> </v>
      </c>
      <c r="E5832" s="79" t="str">
        <f t="shared" si="6"/>
        <v xml:space="preserve"> </v>
      </c>
    </row>
    <row r="5833" spans="1:5" ht="12.5">
      <c r="A5833" s="81" t="str">
        <f t="shared" si="0"/>
        <v xml:space="preserve"> </v>
      </c>
      <c r="B5833" s="81" t="str">
        <f t="shared" si="1"/>
        <v xml:space="preserve"> </v>
      </c>
      <c r="C5833" s="79" t="str">
        <f t="shared" si="7"/>
        <v xml:space="preserve"> </v>
      </c>
      <c r="D5833" s="79" t="str">
        <f t="shared" si="5"/>
        <v xml:space="preserve"> </v>
      </c>
      <c r="E5833" s="79" t="str">
        <f t="shared" si="6"/>
        <v xml:space="preserve"> </v>
      </c>
    </row>
    <row r="5834" spans="1:5" ht="12.5">
      <c r="A5834" s="81" t="str">
        <f t="shared" si="0"/>
        <v xml:space="preserve"> </v>
      </c>
      <c r="B5834" s="81" t="str">
        <f t="shared" si="1"/>
        <v xml:space="preserve"> </v>
      </c>
      <c r="C5834" s="79" t="str">
        <f t="shared" si="7"/>
        <v xml:space="preserve"> </v>
      </c>
      <c r="D5834" s="79" t="str">
        <f t="shared" si="5"/>
        <v xml:space="preserve"> </v>
      </c>
      <c r="E5834" s="79" t="str">
        <f t="shared" si="6"/>
        <v xml:space="preserve"> </v>
      </c>
    </row>
    <row r="5835" spans="1:5" ht="12.5">
      <c r="A5835" s="81" t="str">
        <f t="shared" si="0"/>
        <v xml:space="preserve"> </v>
      </c>
      <c r="B5835" s="81" t="str">
        <f t="shared" si="1"/>
        <v xml:space="preserve"> </v>
      </c>
      <c r="C5835" s="79" t="str">
        <f t="shared" si="7"/>
        <v xml:space="preserve"> </v>
      </c>
      <c r="D5835" s="79" t="str">
        <f t="shared" si="5"/>
        <v xml:space="preserve"> </v>
      </c>
      <c r="E5835" s="79" t="str">
        <f t="shared" si="6"/>
        <v xml:space="preserve"> </v>
      </c>
    </row>
    <row r="5836" spans="1:5" ht="12.5">
      <c r="A5836" s="81" t="str">
        <f t="shared" si="0"/>
        <v xml:space="preserve"> </v>
      </c>
      <c r="B5836" s="81" t="str">
        <f t="shared" si="1"/>
        <v xml:space="preserve"> </v>
      </c>
      <c r="C5836" s="79" t="str">
        <f t="shared" si="7"/>
        <v xml:space="preserve"> </v>
      </c>
      <c r="D5836" s="79" t="str">
        <f t="shared" si="5"/>
        <v xml:space="preserve"> </v>
      </c>
      <c r="E5836" s="79" t="str">
        <f t="shared" si="6"/>
        <v xml:space="preserve"> </v>
      </c>
    </row>
    <row r="5837" spans="1:5" ht="12.5">
      <c r="A5837" s="81" t="str">
        <f t="shared" si="0"/>
        <v xml:space="preserve"> </v>
      </c>
      <c r="B5837" s="81" t="str">
        <f t="shared" si="1"/>
        <v xml:space="preserve"> </v>
      </c>
      <c r="C5837" s="79" t="str">
        <f t="shared" si="7"/>
        <v xml:space="preserve"> </v>
      </c>
      <c r="D5837" s="79" t="str">
        <f t="shared" si="5"/>
        <v xml:space="preserve"> </v>
      </c>
      <c r="E5837" s="79" t="str">
        <f t="shared" si="6"/>
        <v xml:space="preserve"> </v>
      </c>
    </row>
    <row r="5838" spans="1:5" ht="12.5">
      <c r="A5838" s="81" t="str">
        <f t="shared" si="0"/>
        <v xml:space="preserve"> </v>
      </c>
      <c r="B5838" s="81" t="str">
        <f t="shared" si="1"/>
        <v xml:space="preserve"> </v>
      </c>
      <c r="C5838" s="79" t="str">
        <f t="shared" si="7"/>
        <v xml:space="preserve"> </v>
      </c>
      <c r="D5838" s="79" t="str">
        <f t="shared" si="5"/>
        <v xml:space="preserve"> </v>
      </c>
      <c r="E5838" s="79" t="str">
        <f t="shared" si="6"/>
        <v xml:space="preserve"> </v>
      </c>
    </row>
    <row r="5839" spans="1:5" ht="12.5">
      <c r="A5839" s="81" t="str">
        <f t="shared" si="0"/>
        <v xml:space="preserve"> </v>
      </c>
      <c r="B5839" s="81" t="str">
        <f t="shared" si="1"/>
        <v xml:space="preserve"> </v>
      </c>
      <c r="C5839" s="79" t="str">
        <f t="shared" si="7"/>
        <v xml:space="preserve"> </v>
      </c>
      <c r="D5839" s="79" t="str">
        <f t="shared" si="5"/>
        <v xml:space="preserve"> </v>
      </c>
      <c r="E5839" s="79" t="str">
        <f t="shared" si="6"/>
        <v xml:space="preserve"> </v>
      </c>
    </row>
    <row r="5840" spans="1:5" ht="12.5">
      <c r="A5840" s="81" t="str">
        <f t="shared" si="0"/>
        <v xml:space="preserve"> </v>
      </c>
      <c r="B5840" s="81" t="str">
        <f t="shared" si="1"/>
        <v xml:space="preserve"> </v>
      </c>
      <c r="C5840" s="79" t="str">
        <f t="shared" si="7"/>
        <v xml:space="preserve"> </v>
      </c>
      <c r="D5840" s="79" t="str">
        <f t="shared" si="5"/>
        <v xml:space="preserve"> </v>
      </c>
      <c r="E5840" s="79" t="str">
        <f t="shared" si="6"/>
        <v xml:space="preserve"> </v>
      </c>
    </row>
    <row r="5841" spans="1:5" ht="12.5">
      <c r="A5841" s="81" t="str">
        <f t="shared" si="0"/>
        <v xml:space="preserve"> </v>
      </c>
      <c r="B5841" s="81" t="str">
        <f t="shared" si="1"/>
        <v xml:space="preserve"> </v>
      </c>
      <c r="C5841" s="79" t="str">
        <f t="shared" si="7"/>
        <v xml:space="preserve"> </v>
      </c>
      <c r="D5841" s="79" t="str">
        <f t="shared" si="5"/>
        <v xml:space="preserve"> </v>
      </c>
      <c r="E5841" s="79" t="str">
        <f t="shared" si="6"/>
        <v xml:space="preserve"> </v>
      </c>
    </row>
    <row r="5842" spans="1:5" ht="12.5">
      <c r="A5842" s="81" t="str">
        <f t="shared" si="0"/>
        <v xml:space="preserve"> </v>
      </c>
      <c r="B5842" s="81" t="str">
        <f t="shared" si="1"/>
        <v xml:space="preserve"> </v>
      </c>
      <c r="C5842" s="79" t="str">
        <f t="shared" si="7"/>
        <v xml:space="preserve"> </v>
      </c>
      <c r="D5842" s="79" t="str">
        <f t="shared" si="5"/>
        <v xml:space="preserve"> </v>
      </c>
      <c r="E5842" s="79" t="str">
        <f t="shared" si="6"/>
        <v xml:space="preserve"> </v>
      </c>
    </row>
    <row r="5843" spans="1:5" ht="12.5">
      <c r="A5843" s="81" t="str">
        <f t="shared" si="0"/>
        <v xml:space="preserve"> </v>
      </c>
      <c r="B5843" s="81" t="str">
        <f t="shared" si="1"/>
        <v xml:space="preserve"> </v>
      </c>
      <c r="C5843" s="79" t="str">
        <f t="shared" si="7"/>
        <v xml:space="preserve"> </v>
      </c>
      <c r="D5843" s="79" t="str">
        <f t="shared" si="5"/>
        <v xml:space="preserve"> </v>
      </c>
      <c r="E5843" s="79" t="str">
        <f t="shared" si="6"/>
        <v xml:space="preserve"> </v>
      </c>
    </row>
    <row r="5844" spans="1:5" ht="12.5">
      <c r="A5844" s="81" t="str">
        <f t="shared" si="0"/>
        <v xml:space="preserve"> </v>
      </c>
      <c r="B5844" s="81" t="str">
        <f t="shared" si="1"/>
        <v xml:space="preserve"> </v>
      </c>
      <c r="C5844" s="79" t="str">
        <f t="shared" si="7"/>
        <v xml:space="preserve"> </v>
      </c>
      <c r="D5844" s="79" t="str">
        <f t="shared" si="5"/>
        <v xml:space="preserve"> </v>
      </c>
      <c r="E5844" s="79" t="str">
        <f t="shared" si="6"/>
        <v xml:space="preserve"> </v>
      </c>
    </row>
    <row r="5845" spans="1:5" ht="12.5">
      <c r="A5845" s="81" t="str">
        <f t="shared" si="0"/>
        <v xml:space="preserve"> </v>
      </c>
      <c r="B5845" s="81" t="str">
        <f t="shared" si="1"/>
        <v xml:space="preserve"> </v>
      </c>
      <c r="C5845" s="79" t="str">
        <f t="shared" si="7"/>
        <v xml:space="preserve"> </v>
      </c>
      <c r="D5845" s="79" t="str">
        <f t="shared" si="5"/>
        <v xml:space="preserve"> </v>
      </c>
      <c r="E5845" s="79" t="str">
        <f t="shared" si="6"/>
        <v xml:space="preserve"> </v>
      </c>
    </row>
    <row r="5846" spans="1:5" ht="12.5">
      <c r="A5846" s="81" t="str">
        <f t="shared" si="0"/>
        <v xml:space="preserve"> </v>
      </c>
      <c r="B5846" s="81" t="str">
        <f t="shared" si="1"/>
        <v xml:space="preserve"> </v>
      </c>
      <c r="C5846" s="79" t="str">
        <f t="shared" si="7"/>
        <v xml:space="preserve"> </v>
      </c>
      <c r="D5846" s="79" t="str">
        <f t="shared" si="5"/>
        <v xml:space="preserve"> </v>
      </c>
      <c r="E5846" s="79" t="str">
        <f t="shared" si="6"/>
        <v xml:space="preserve"> </v>
      </c>
    </row>
    <row r="5847" spans="1:5" ht="12.5">
      <c r="A5847" s="81" t="str">
        <f t="shared" si="0"/>
        <v xml:space="preserve"> </v>
      </c>
      <c r="B5847" s="81" t="str">
        <f t="shared" si="1"/>
        <v xml:space="preserve"> </v>
      </c>
      <c r="C5847" s="79" t="str">
        <f t="shared" si="7"/>
        <v xml:space="preserve"> </v>
      </c>
      <c r="D5847" s="79" t="str">
        <f t="shared" si="5"/>
        <v xml:space="preserve"> </v>
      </c>
      <c r="E5847" s="79" t="str">
        <f t="shared" si="6"/>
        <v xml:space="preserve"> </v>
      </c>
    </row>
    <row r="5848" spans="1:5" ht="12.5">
      <c r="A5848" s="81" t="str">
        <f t="shared" si="0"/>
        <v xml:space="preserve"> </v>
      </c>
      <c r="B5848" s="81" t="str">
        <f t="shared" si="1"/>
        <v xml:space="preserve"> </v>
      </c>
      <c r="C5848" s="79" t="str">
        <f t="shared" si="7"/>
        <v xml:space="preserve"> </v>
      </c>
      <c r="D5848" s="79" t="str">
        <f t="shared" si="5"/>
        <v xml:space="preserve"> </v>
      </c>
      <c r="E5848" s="79" t="str">
        <f t="shared" si="6"/>
        <v xml:space="preserve"> </v>
      </c>
    </row>
    <row r="5849" spans="1:5" ht="12.5">
      <c r="A5849" s="81" t="str">
        <f t="shared" si="0"/>
        <v xml:space="preserve"> </v>
      </c>
      <c r="B5849" s="81" t="str">
        <f t="shared" si="1"/>
        <v xml:space="preserve"> </v>
      </c>
      <c r="C5849" s="79" t="str">
        <f t="shared" si="7"/>
        <v xml:space="preserve"> </v>
      </c>
      <c r="D5849" s="79" t="str">
        <f t="shared" si="5"/>
        <v xml:space="preserve"> </v>
      </c>
      <c r="E5849" s="79" t="str">
        <f t="shared" si="6"/>
        <v xml:space="preserve"> </v>
      </c>
    </row>
    <row r="5850" spans="1:5" ht="12.5">
      <c r="A5850" s="81" t="str">
        <f t="shared" si="0"/>
        <v xml:space="preserve"> </v>
      </c>
      <c r="B5850" s="81" t="str">
        <f t="shared" si="1"/>
        <v xml:space="preserve"> </v>
      </c>
      <c r="C5850" s="79" t="str">
        <f t="shared" si="7"/>
        <v xml:space="preserve"> </v>
      </c>
      <c r="D5850" s="79" t="str">
        <f t="shared" si="5"/>
        <v xml:space="preserve"> </v>
      </c>
      <c r="E5850" s="79" t="str">
        <f t="shared" si="6"/>
        <v xml:space="preserve"> </v>
      </c>
    </row>
    <row r="5851" spans="1:5" ht="12.5">
      <c r="A5851" s="81" t="str">
        <f t="shared" si="0"/>
        <v xml:space="preserve"> </v>
      </c>
      <c r="B5851" s="81" t="str">
        <f t="shared" si="1"/>
        <v xml:space="preserve"> </v>
      </c>
      <c r="C5851" s="79" t="str">
        <f t="shared" si="7"/>
        <v xml:space="preserve"> </v>
      </c>
      <c r="D5851" s="79" t="str">
        <f t="shared" si="5"/>
        <v xml:space="preserve"> </v>
      </c>
      <c r="E5851" s="79" t="str">
        <f t="shared" si="6"/>
        <v xml:space="preserve"> </v>
      </c>
    </row>
    <row r="5852" spans="1:5" ht="12.5">
      <c r="A5852" s="81" t="str">
        <f t="shared" si="0"/>
        <v xml:space="preserve"> </v>
      </c>
      <c r="B5852" s="81" t="str">
        <f t="shared" si="1"/>
        <v xml:space="preserve"> </v>
      </c>
      <c r="C5852" s="79" t="str">
        <f t="shared" si="7"/>
        <v xml:space="preserve"> </v>
      </c>
      <c r="D5852" s="79" t="str">
        <f t="shared" si="5"/>
        <v xml:space="preserve"> </v>
      </c>
      <c r="E5852" s="79" t="str">
        <f t="shared" si="6"/>
        <v xml:space="preserve"> </v>
      </c>
    </row>
    <row r="5853" spans="1:5" ht="12.5">
      <c r="A5853" s="81" t="str">
        <f t="shared" si="0"/>
        <v xml:space="preserve"> </v>
      </c>
      <c r="B5853" s="81" t="str">
        <f t="shared" si="1"/>
        <v xml:space="preserve"> </v>
      </c>
      <c r="C5853" s="79" t="str">
        <f t="shared" si="7"/>
        <v xml:space="preserve"> </v>
      </c>
      <c r="D5853" s="79" t="str">
        <f t="shared" si="5"/>
        <v xml:space="preserve"> </v>
      </c>
      <c r="E5853" s="79" t="str">
        <f t="shared" si="6"/>
        <v xml:space="preserve"> </v>
      </c>
    </row>
    <row r="5854" spans="1:5" ht="12.5">
      <c r="A5854" s="81" t="str">
        <f t="shared" si="0"/>
        <v xml:space="preserve"> </v>
      </c>
      <c r="B5854" s="81" t="str">
        <f t="shared" si="1"/>
        <v xml:space="preserve"> </v>
      </c>
      <c r="C5854" s="79" t="str">
        <f t="shared" si="7"/>
        <v xml:space="preserve"> </v>
      </c>
      <c r="D5854" s="79" t="str">
        <f t="shared" si="5"/>
        <v xml:space="preserve"> </v>
      </c>
      <c r="E5854" s="79" t="str">
        <f t="shared" si="6"/>
        <v xml:space="preserve"> </v>
      </c>
    </row>
    <row r="5855" spans="1:5" ht="12.5">
      <c r="A5855" s="81" t="str">
        <f t="shared" si="0"/>
        <v xml:space="preserve"> </v>
      </c>
      <c r="B5855" s="81" t="str">
        <f t="shared" si="1"/>
        <v xml:space="preserve"> </v>
      </c>
      <c r="C5855" s="79" t="str">
        <f t="shared" si="7"/>
        <v xml:space="preserve"> </v>
      </c>
      <c r="D5855" s="79" t="str">
        <f t="shared" si="5"/>
        <v xml:space="preserve"> </v>
      </c>
      <c r="E5855" s="79" t="str">
        <f t="shared" si="6"/>
        <v xml:space="preserve"> </v>
      </c>
    </row>
    <row r="5856" spans="1:5" ht="12.5">
      <c r="A5856" s="81" t="str">
        <f t="shared" si="0"/>
        <v xml:space="preserve"> </v>
      </c>
      <c r="B5856" s="81" t="str">
        <f t="shared" si="1"/>
        <v xml:space="preserve"> </v>
      </c>
      <c r="C5856" s="79" t="str">
        <f t="shared" si="7"/>
        <v xml:space="preserve"> </v>
      </c>
      <c r="D5856" s="79" t="str">
        <f t="shared" si="5"/>
        <v xml:space="preserve"> </v>
      </c>
      <c r="E5856" s="79" t="str">
        <f t="shared" si="6"/>
        <v xml:space="preserve"> </v>
      </c>
    </row>
    <row r="5857" spans="1:5" ht="12.5">
      <c r="A5857" s="81" t="str">
        <f t="shared" si="0"/>
        <v xml:space="preserve"> </v>
      </c>
      <c r="B5857" s="81" t="str">
        <f t="shared" si="1"/>
        <v xml:space="preserve"> </v>
      </c>
      <c r="C5857" s="79" t="str">
        <f t="shared" si="7"/>
        <v xml:space="preserve"> </v>
      </c>
      <c r="D5857" s="79" t="str">
        <f t="shared" si="5"/>
        <v xml:space="preserve"> </v>
      </c>
      <c r="E5857" s="79" t="str">
        <f t="shared" si="6"/>
        <v xml:space="preserve"> </v>
      </c>
    </row>
    <row r="5858" spans="1:5" ht="12.5">
      <c r="A5858" s="81" t="str">
        <f t="shared" si="0"/>
        <v xml:space="preserve"> </v>
      </c>
      <c r="B5858" s="81" t="str">
        <f t="shared" si="1"/>
        <v xml:space="preserve"> </v>
      </c>
      <c r="C5858" s="79" t="str">
        <f t="shared" si="7"/>
        <v xml:space="preserve"> </v>
      </c>
      <c r="D5858" s="79" t="str">
        <f t="shared" si="5"/>
        <v xml:space="preserve"> </v>
      </c>
      <c r="E5858" s="79" t="str">
        <f t="shared" si="6"/>
        <v xml:space="preserve"> </v>
      </c>
    </row>
    <row r="5859" spans="1:5" ht="12.5">
      <c r="A5859" s="81" t="str">
        <f t="shared" si="0"/>
        <v xml:space="preserve"> </v>
      </c>
      <c r="B5859" s="81" t="str">
        <f t="shared" si="1"/>
        <v xml:space="preserve"> </v>
      </c>
      <c r="C5859" s="79" t="str">
        <f t="shared" si="7"/>
        <v xml:space="preserve"> </v>
      </c>
      <c r="D5859" s="79" t="str">
        <f t="shared" si="5"/>
        <v xml:space="preserve"> </v>
      </c>
      <c r="E5859" s="79" t="str">
        <f t="shared" si="6"/>
        <v xml:space="preserve"> </v>
      </c>
    </row>
    <row r="5860" spans="1:5" ht="12.5">
      <c r="A5860" s="81" t="str">
        <f t="shared" si="0"/>
        <v xml:space="preserve"> </v>
      </c>
      <c r="B5860" s="81" t="str">
        <f t="shared" si="1"/>
        <v xml:space="preserve"> </v>
      </c>
      <c r="C5860" s="79" t="str">
        <f t="shared" si="7"/>
        <v xml:space="preserve"> </v>
      </c>
      <c r="D5860" s="79" t="str">
        <f t="shared" si="5"/>
        <v xml:space="preserve"> </v>
      </c>
      <c r="E5860" s="79" t="str">
        <f t="shared" si="6"/>
        <v xml:space="preserve"> </v>
      </c>
    </row>
    <row r="5861" spans="1:5" ht="12.5">
      <c r="A5861" s="81" t="str">
        <f t="shared" si="0"/>
        <v xml:space="preserve"> </v>
      </c>
      <c r="B5861" s="81" t="str">
        <f t="shared" si="1"/>
        <v xml:space="preserve"> </v>
      </c>
      <c r="C5861" s="79" t="str">
        <f t="shared" si="7"/>
        <v xml:space="preserve"> </v>
      </c>
      <c r="D5861" s="79" t="str">
        <f t="shared" si="5"/>
        <v xml:space="preserve"> </v>
      </c>
      <c r="E5861" s="79" t="str">
        <f t="shared" si="6"/>
        <v xml:space="preserve"> </v>
      </c>
    </row>
    <row r="5862" spans="1:5" ht="12.5">
      <c r="A5862" s="81" t="str">
        <f t="shared" si="0"/>
        <v xml:space="preserve"> </v>
      </c>
      <c r="B5862" s="81" t="str">
        <f t="shared" si="1"/>
        <v xml:space="preserve"> </v>
      </c>
      <c r="C5862" s="79" t="str">
        <f t="shared" si="7"/>
        <v xml:space="preserve"> </v>
      </c>
      <c r="D5862" s="79" t="str">
        <f t="shared" si="5"/>
        <v xml:space="preserve"> </v>
      </c>
      <c r="E5862" s="79" t="str">
        <f t="shared" si="6"/>
        <v xml:space="preserve"> </v>
      </c>
    </row>
    <row r="5863" spans="1:5" ht="12.5">
      <c r="A5863" s="81" t="str">
        <f t="shared" si="0"/>
        <v xml:space="preserve"> </v>
      </c>
      <c r="B5863" s="81" t="str">
        <f t="shared" si="1"/>
        <v xml:space="preserve"> </v>
      </c>
      <c r="C5863" s="79" t="str">
        <f t="shared" si="7"/>
        <v xml:space="preserve"> </v>
      </c>
      <c r="D5863" s="79" t="str">
        <f t="shared" si="5"/>
        <v xml:space="preserve"> </v>
      </c>
      <c r="E5863" s="79" t="str">
        <f t="shared" si="6"/>
        <v xml:space="preserve"> </v>
      </c>
    </row>
    <row r="5864" spans="1:5" ht="12.5">
      <c r="A5864" s="81" t="str">
        <f t="shared" si="0"/>
        <v xml:space="preserve"> </v>
      </c>
      <c r="B5864" s="81" t="str">
        <f t="shared" si="1"/>
        <v xml:space="preserve"> </v>
      </c>
      <c r="C5864" s="79" t="str">
        <f t="shared" si="7"/>
        <v xml:space="preserve"> </v>
      </c>
      <c r="D5864" s="79" t="str">
        <f t="shared" si="5"/>
        <v xml:space="preserve"> </v>
      </c>
      <c r="E5864" s="79" t="str">
        <f t="shared" si="6"/>
        <v xml:space="preserve"> </v>
      </c>
    </row>
    <row r="5865" spans="1:5" ht="12.5">
      <c r="A5865" s="81" t="str">
        <f t="shared" si="0"/>
        <v xml:space="preserve"> </v>
      </c>
      <c r="B5865" s="81" t="str">
        <f t="shared" si="1"/>
        <v xml:space="preserve"> </v>
      </c>
      <c r="C5865" s="79" t="str">
        <f t="shared" si="7"/>
        <v xml:space="preserve"> </v>
      </c>
      <c r="D5865" s="79" t="str">
        <f t="shared" si="5"/>
        <v xml:space="preserve"> </v>
      </c>
      <c r="E5865" s="79" t="str">
        <f t="shared" si="6"/>
        <v xml:space="preserve"> </v>
      </c>
    </row>
    <row r="5866" spans="1:5" ht="12.5">
      <c r="A5866" s="81" t="str">
        <f t="shared" si="0"/>
        <v xml:space="preserve"> </v>
      </c>
      <c r="B5866" s="81" t="str">
        <f t="shared" si="1"/>
        <v xml:space="preserve"> </v>
      </c>
      <c r="C5866" s="79" t="str">
        <f t="shared" si="7"/>
        <v xml:space="preserve"> </v>
      </c>
      <c r="D5866" s="79" t="str">
        <f t="shared" si="5"/>
        <v xml:space="preserve"> </v>
      </c>
      <c r="E5866" s="79" t="str">
        <f t="shared" si="6"/>
        <v xml:space="preserve"> </v>
      </c>
    </row>
    <row r="5867" spans="1:5" ht="12.5">
      <c r="A5867" s="81" t="str">
        <f t="shared" si="0"/>
        <v xml:space="preserve"> </v>
      </c>
      <c r="B5867" s="81" t="str">
        <f t="shared" si="1"/>
        <v xml:space="preserve"> </v>
      </c>
      <c r="C5867" s="79" t="str">
        <f t="shared" si="7"/>
        <v xml:space="preserve"> </v>
      </c>
      <c r="D5867" s="79" t="str">
        <f t="shared" si="5"/>
        <v xml:space="preserve"> </v>
      </c>
      <c r="E5867" s="79" t="str">
        <f t="shared" si="6"/>
        <v xml:space="preserve"> </v>
      </c>
    </row>
    <row r="5868" spans="1:5" ht="12.5">
      <c r="A5868" s="81" t="str">
        <f t="shared" si="0"/>
        <v xml:space="preserve"> </v>
      </c>
      <c r="B5868" s="81" t="str">
        <f t="shared" si="1"/>
        <v xml:space="preserve"> </v>
      </c>
      <c r="C5868" s="79" t="str">
        <f t="shared" si="7"/>
        <v xml:space="preserve"> </v>
      </c>
      <c r="D5868" s="79" t="str">
        <f t="shared" si="5"/>
        <v xml:space="preserve"> </v>
      </c>
      <c r="E5868" s="79" t="str">
        <f t="shared" si="6"/>
        <v xml:space="preserve"> </v>
      </c>
    </row>
    <row r="5869" spans="1:5" ht="12.5">
      <c r="A5869" s="81" t="str">
        <f t="shared" si="0"/>
        <v xml:space="preserve"> </v>
      </c>
      <c r="B5869" s="81" t="str">
        <f t="shared" si="1"/>
        <v xml:space="preserve"> </v>
      </c>
      <c r="C5869" s="79" t="str">
        <f t="shared" si="7"/>
        <v xml:space="preserve"> </v>
      </c>
      <c r="D5869" s="79" t="str">
        <f t="shared" si="5"/>
        <v xml:space="preserve"> </v>
      </c>
      <c r="E5869" s="79" t="str">
        <f t="shared" si="6"/>
        <v xml:space="preserve"> </v>
      </c>
    </row>
    <row r="5870" spans="1:5" ht="12.5">
      <c r="A5870" s="81" t="str">
        <f t="shared" si="0"/>
        <v xml:space="preserve"> </v>
      </c>
      <c r="B5870" s="81" t="str">
        <f t="shared" si="1"/>
        <v xml:space="preserve"> </v>
      </c>
      <c r="C5870" s="79" t="str">
        <f t="shared" si="7"/>
        <v xml:space="preserve"> </v>
      </c>
      <c r="D5870" s="79" t="str">
        <f t="shared" si="5"/>
        <v xml:space="preserve"> </v>
      </c>
      <c r="E5870" s="79" t="str">
        <f t="shared" si="6"/>
        <v xml:space="preserve"> </v>
      </c>
    </row>
    <row r="5871" spans="1:5" ht="12.5">
      <c r="A5871" s="81" t="str">
        <f t="shared" si="0"/>
        <v xml:space="preserve"> </v>
      </c>
      <c r="B5871" s="81" t="str">
        <f t="shared" si="1"/>
        <v xml:space="preserve"> </v>
      </c>
      <c r="C5871" s="79" t="str">
        <f t="shared" si="7"/>
        <v xml:space="preserve"> </v>
      </c>
      <c r="D5871" s="79" t="str">
        <f t="shared" si="5"/>
        <v xml:space="preserve"> </v>
      </c>
      <c r="E5871" s="79" t="str">
        <f t="shared" si="6"/>
        <v xml:space="preserve"> </v>
      </c>
    </row>
    <row r="5872" spans="1:5" ht="12.5">
      <c r="A5872" s="81" t="str">
        <f t="shared" si="0"/>
        <v xml:space="preserve"> </v>
      </c>
      <c r="B5872" s="81" t="str">
        <f t="shared" si="1"/>
        <v xml:space="preserve"> </v>
      </c>
      <c r="C5872" s="79" t="str">
        <f t="shared" si="7"/>
        <v xml:space="preserve"> </v>
      </c>
      <c r="D5872" s="79" t="str">
        <f t="shared" si="5"/>
        <v xml:space="preserve"> </v>
      </c>
      <c r="E5872" s="79" t="str">
        <f t="shared" si="6"/>
        <v xml:space="preserve"> </v>
      </c>
    </row>
    <row r="5873" spans="1:5" ht="12.5">
      <c r="A5873" s="81" t="str">
        <f t="shared" si="0"/>
        <v xml:space="preserve"> </v>
      </c>
      <c r="B5873" s="81" t="str">
        <f t="shared" si="1"/>
        <v xml:space="preserve"> </v>
      </c>
      <c r="C5873" s="79" t="str">
        <f t="shared" si="7"/>
        <v xml:space="preserve"> </v>
      </c>
      <c r="D5873" s="79" t="str">
        <f t="shared" si="5"/>
        <v xml:space="preserve"> </v>
      </c>
      <c r="E5873" s="79" t="str">
        <f t="shared" si="6"/>
        <v xml:space="preserve"> </v>
      </c>
    </row>
    <row r="5874" spans="1:5" ht="12.5">
      <c r="A5874" s="81" t="str">
        <f t="shared" si="0"/>
        <v xml:space="preserve"> </v>
      </c>
      <c r="B5874" s="81" t="str">
        <f t="shared" si="1"/>
        <v xml:space="preserve"> </v>
      </c>
      <c r="C5874" s="79" t="str">
        <f t="shared" si="7"/>
        <v xml:space="preserve"> </v>
      </c>
      <c r="D5874" s="79" t="str">
        <f t="shared" si="5"/>
        <v xml:space="preserve"> </v>
      </c>
      <c r="E5874" s="79" t="str">
        <f t="shared" si="6"/>
        <v xml:space="preserve"> </v>
      </c>
    </row>
    <row r="5875" spans="1:5" ht="12.5">
      <c r="A5875" s="81" t="str">
        <f t="shared" si="0"/>
        <v xml:space="preserve"> </v>
      </c>
      <c r="B5875" s="81" t="str">
        <f t="shared" si="1"/>
        <v xml:space="preserve"> </v>
      </c>
      <c r="C5875" s="79" t="str">
        <f t="shared" si="7"/>
        <v xml:space="preserve"> </v>
      </c>
      <c r="D5875" s="79" t="str">
        <f t="shared" si="5"/>
        <v xml:space="preserve"> </v>
      </c>
      <c r="E5875" s="79" t="str">
        <f t="shared" si="6"/>
        <v xml:space="preserve"> </v>
      </c>
    </row>
    <row r="5876" spans="1:5" ht="12.5">
      <c r="A5876" s="81" t="str">
        <f t="shared" si="0"/>
        <v xml:space="preserve"> </v>
      </c>
      <c r="B5876" s="81" t="str">
        <f t="shared" si="1"/>
        <v xml:space="preserve"> </v>
      </c>
      <c r="C5876" s="79" t="str">
        <f t="shared" si="7"/>
        <v xml:space="preserve"> </v>
      </c>
      <c r="D5876" s="79" t="str">
        <f t="shared" si="5"/>
        <v xml:space="preserve"> </v>
      </c>
      <c r="E5876" s="79" t="str">
        <f t="shared" si="6"/>
        <v xml:space="preserve"> </v>
      </c>
    </row>
    <row r="5877" spans="1:5" ht="12.5">
      <c r="A5877" s="81" t="str">
        <f t="shared" si="0"/>
        <v xml:space="preserve"> </v>
      </c>
      <c r="B5877" s="81" t="str">
        <f t="shared" si="1"/>
        <v xml:space="preserve"> </v>
      </c>
      <c r="C5877" s="79" t="str">
        <f t="shared" si="7"/>
        <v xml:space="preserve"> </v>
      </c>
      <c r="D5877" s="79" t="str">
        <f t="shared" si="5"/>
        <v xml:space="preserve"> </v>
      </c>
      <c r="E5877" s="79" t="str">
        <f t="shared" si="6"/>
        <v xml:space="preserve"> </v>
      </c>
    </row>
    <row r="5878" spans="1:5" ht="12.5">
      <c r="A5878" s="81" t="str">
        <f t="shared" si="0"/>
        <v xml:space="preserve"> </v>
      </c>
      <c r="B5878" s="81" t="str">
        <f t="shared" si="1"/>
        <v xml:space="preserve"> </v>
      </c>
      <c r="C5878" s="79" t="str">
        <f t="shared" si="7"/>
        <v xml:space="preserve"> </v>
      </c>
      <c r="D5878" s="79" t="str">
        <f t="shared" si="5"/>
        <v xml:space="preserve"> </v>
      </c>
      <c r="E5878" s="79" t="str">
        <f t="shared" si="6"/>
        <v xml:space="preserve"> </v>
      </c>
    </row>
    <row r="5879" spans="1:5" ht="12.5">
      <c r="A5879" s="81" t="str">
        <f t="shared" si="0"/>
        <v xml:space="preserve"> </v>
      </c>
      <c r="B5879" s="81" t="str">
        <f t="shared" si="1"/>
        <v xml:space="preserve"> </v>
      </c>
      <c r="C5879" s="79" t="str">
        <f t="shared" si="7"/>
        <v xml:space="preserve"> </v>
      </c>
      <c r="D5879" s="79" t="str">
        <f t="shared" si="5"/>
        <v xml:space="preserve"> </v>
      </c>
      <c r="E5879" s="79" t="str">
        <f t="shared" si="6"/>
        <v xml:space="preserve"> </v>
      </c>
    </row>
    <row r="5880" spans="1:5" ht="12.5">
      <c r="A5880" s="81" t="str">
        <f t="shared" si="0"/>
        <v xml:space="preserve"> </v>
      </c>
      <c r="B5880" s="81" t="str">
        <f t="shared" si="1"/>
        <v xml:space="preserve"> </v>
      </c>
      <c r="C5880" s="79" t="str">
        <f t="shared" si="7"/>
        <v xml:space="preserve"> </v>
      </c>
      <c r="D5880" s="79" t="str">
        <f t="shared" si="5"/>
        <v xml:space="preserve"> </v>
      </c>
      <c r="E5880" s="79" t="str">
        <f t="shared" si="6"/>
        <v xml:space="preserve"> </v>
      </c>
    </row>
    <row r="5881" spans="1:5" ht="12.5">
      <c r="A5881" s="81" t="str">
        <f t="shared" si="0"/>
        <v xml:space="preserve"> </v>
      </c>
      <c r="B5881" s="81" t="str">
        <f t="shared" si="1"/>
        <v xml:space="preserve"> </v>
      </c>
      <c r="C5881" s="79" t="str">
        <f t="shared" si="7"/>
        <v xml:space="preserve"> </v>
      </c>
      <c r="D5881" s="79" t="str">
        <f t="shared" si="5"/>
        <v xml:space="preserve"> </v>
      </c>
      <c r="E5881" s="79" t="str">
        <f t="shared" si="6"/>
        <v xml:space="preserve"> </v>
      </c>
    </row>
    <row r="5882" spans="1:5" ht="12.5">
      <c r="A5882" s="81" t="str">
        <f t="shared" si="0"/>
        <v xml:space="preserve"> </v>
      </c>
      <c r="B5882" s="81" t="str">
        <f t="shared" si="1"/>
        <v xml:space="preserve"> </v>
      </c>
      <c r="C5882" s="79" t="str">
        <f t="shared" si="7"/>
        <v xml:space="preserve"> </v>
      </c>
      <c r="D5882" s="79" t="str">
        <f t="shared" si="5"/>
        <v xml:space="preserve"> </v>
      </c>
      <c r="E5882" s="79" t="str">
        <f t="shared" si="6"/>
        <v xml:space="preserve"> </v>
      </c>
    </row>
    <row r="5883" spans="1:5" ht="12.5">
      <c r="A5883" s="81" t="str">
        <f t="shared" si="0"/>
        <v xml:space="preserve"> </v>
      </c>
      <c r="B5883" s="81" t="str">
        <f t="shared" si="1"/>
        <v xml:space="preserve"> </v>
      </c>
      <c r="C5883" s="79" t="str">
        <f t="shared" si="7"/>
        <v xml:space="preserve"> </v>
      </c>
      <c r="D5883" s="79" t="str">
        <f t="shared" si="5"/>
        <v xml:space="preserve"> </v>
      </c>
      <c r="E5883" s="79" t="str">
        <f t="shared" si="6"/>
        <v xml:space="preserve"> </v>
      </c>
    </row>
    <row r="5884" spans="1:5" ht="12.5">
      <c r="A5884" s="81" t="str">
        <f t="shared" si="0"/>
        <v xml:space="preserve"> </v>
      </c>
      <c r="B5884" s="81" t="str">
        <f t="shared" si="1"/>
        <v xml:space="preserve"> </v>
      </c>
      <c r="C5884" s="79" t="str">
        <f t="shared" si="7"/>
        <v xml:space="preserve"> </v>
      </c>
      <c r="D5884" s="79" t="str">
        <f t="shared" si="5"/>
        <v xml:space="preserve"> </v>
      </c>
      <c r="E5884" s="79" t="str">
        <f t="shared" si="6"/>
        <v xml:space="preserve"> </v>
      </c>
    </row>
    <row r="5885" spans="1:5" ht="12.5">
      <c r="A5885" s="81" t="str">
        <f t="shared" si="0"/>
        <v xml:space="preserve"> </v>
      </c>
      <c r="B5885" s="81" t="str">
        <f t="shared" si="1"/>
        <v xml:space="preserve"> </v>
      </c>
      <c r="C5885" s="79" t="str">
        <f t="shared" si="7"/>
        <v xml:space="preserve"> </v>
      </c>
      <c r="D5885" s="79" t="str">
        <f t="shared" si="5"/>
        <v xml:space="preserve"> </v>
      </c>
      <c r="E5885" s="79" t="str">
        <f t="shared" si="6"/>
        <v xml:space="preserve"> </v>
      </c>
    </row>
    <row r="5886" spans="1:5" ht="12.5">
      <c r="A5886" s="81" t="str">
        <f t="shared" si="0"/>
        <v xml:space="preserve"> </v>
      </c>
      <c r="B5886" s="81" t="str">
        <f t="shared" si="1"/>
        <v xml:space="preserve"> </v>
      </c>
      <c r="C5886" s="79" t="str">
        <f t="shared" si="7"/>
        <v xml:space="preserve"> </v>
      </c>
      <c r="D5886" s="79" t="str">
        <f t="shared" si="5"/>
        <v xml:space="preserve"> </v>
      </c>
      <c r="E5886" s="79" t="str">
        <f t="shared" si="6"/>
        <v xml:space="preserve"> </v>
      </c>
    </row>
    <row r="5887" spans="1:5" ht="12.5">
      <c r="A5887" s="81" t="str">
        <f t="shared" si="0"/>
        <v xml:space="preserve"> </v>
      </c>
      <c r="B5887" s="81" t="str">
        <f t="shared" si="1"/>
        <v xml:space="preserve"> </v>
      </c>
      <c r="C5887" s="79" t="str">
        <f t="shared" si="7"/>
        <v xml:space="preserve"> </v>
      </c>
      <c r="D5887" s="79" t="str">
        <f t="shared" si="5"/>
        <v xml:space="preserve"> </v>
      </c>
      <c r="E5887" s="79" t="str">
        <f t="shared" si="6"/>
        <v xml:space="preserve"> </v>
      </c>
    </row>
    <row r="5888" spans="1:5" ht="12.5">
      <c r="A5888" s="81" t="str">
        <f t="shared" si="0"/>
        <v xml:space="preserve"> </v>
      </c>
      <c r="B5888" s="81" t="str">
        <f t="shared" si="1"/>
        <v xml:space="preserve"> </v>
      </c>
      <c r="C5888" s="79" t="str">
        <f t="shared" si="7"/>
        <v xml:space="preserve"> </v>
      </c>
      <c r="D5888" s="79" t="str">
        <f t="shared" si="5"/>
        <v xml:space="preserve"> </v>
      </c>
      <c r="E5888" s="79" t="str">
        <f t="shared" si="6"/>
        <v xml:space="preserve"> </v>
      </c>
    </row>
    <row r="5889" spans="1:5" ht="12.5">
      <c r="A5889" s="81" t="str">
        <f t="shared" si="0"/>
        <v xml:space="preserve"> </v>
      </c>
      <c r="B5889" s="81" t="str">
        <f t="shared" si="1"/>
        <v xml:space="preserve"> </v>
      </c>
      <c r="C5889" s="79" t="str">
        <f t="shared" si="7"/>
        <v xml:space="preserve"> </v>
      </c>
      <c r="D5889" s="79" t="str">
        <f t="shared" si="5"/>
        <v xml:space="preserve"> </v>
      </c>
      <c r="E5889" s="79" t="str">
        <f t="shared" si="6"/>
        <v xml:space="preserve"> </v>
      </c>
    </row>
    <row r="5890" spans="1:5" ht="12.5">
      <c r="A5890" s="81" t="str">
        <f t="shared" si="0"/>
        <v xml:space="preserve"> </v>
      </c>
      <c r="B5890" s="81" t="str">
        <f t="shared" si="1"/>
        <v xml:space="preserve"> </v>
      </c>
      <c r="C5890" s="79" t="str">
        <f t="shared" si="7"/>
        <v xml:space="preserve"> </v>
      </c>
      <c r="D5890" s="79" t="str">
        <f t="shared" si="5"/>
        <v xml:space="preserve"> </v>
      </c>
      <c r="E5890" s="79" t="str">
        <f t="shared" si="6"/>
        <v xml:space="preserve"> </v>
      </c>
    </row>
    <row r="5891" spans="1:5" ht="12.5">
      <c r="A5891" s="81" t="str">
        <f t="shared" si="0"/>
        <v xml:space="preserve"> </v>
      </c>
      <c r="B5891" s="81" t="str">
        <f t="shared" si="1"/>
        <v xml:space="preserve"> </v>
      </c>
      <c r="C5891" s="79" t="str">
        <f t="shared" si="7"/>
        <v xml:space="preserve"> </v>
      </c>
      <c r="D5891" s="79" t="str">
        <f t="shared" si="5"/>
        <v xml:space="preserve"> </v>
      </c>
      <c r="E5891" s="79" t="str">
        <f t="shared" si="6"/>
        <v xml:space="preserve"> </v>
      </c>
    </row>
    <row r="5892" spans="1:5" ht="12.5">
      <c r="A5892" s="81" t="str">
        <f t="shared" si="0"/>
        <v xml:space="preserve"> </v>
      </c>
      <c r="B5892" s="81" t="str">
        <f t="shared" si="1"/>
        <v xml:space="preserve"> </v>
      </c>
      <c r="C5892" s="79" t="str">
        <f t="shared" si="7"/>
        <v xml:space="preserve"> </v>
      </c>
      <c r="D5892" s="79" t="str">
        <f t="shared" si="5"/>
        <v xml:space="preserve"> </v>
      </c>
      <c r="E5892" s="79" t="str">
        <f t="shared" si="6"/>
        <v xml:space="preserve"> </v>
      </c>
    </row>
    <row r="5893" spans="1:5" ht="12.5">
      <c r="A5893" s="81" t="str">
        <f t="shared" si="0"/>
        <v xml:space="preserve"> </v>
      </c>
      <c r="B5893" s="81" t="str">
        <f t="shared" si="1"/>
        <v xml:space="preserve"> </v>
      </c>
      <c r="C5893" s="79" t="str">
        <f t="shared" si="7"/>
        <v xml:space="preserve"> </v>
      </c>
      <c r="D5893" s="79" t="str">
        <f t="shared" si="5"/>
        <v xml:space="preserve"> </v>
      </c>
      <c r="E5893" s="79" t="str">
        <f t="shared" si="6"/>
        <v xml:space="preserve"> </v>
      </c>
    </row>
    <row r="5894" spans="1:5" ht="12.5">
      <c r="A5894" s="81" t="str">
        <f t="shared" si="0"/>
        <v xml:space="preserve"> </v>
      </c>
      <c r="B5894" s="81" t="str">
        <f t="shared" si="1"/>
        <v xml:space="preserve"> </v>
      </c>
      <c r="C5894" s="79" t="str">
        <f t="shared" si="7"/>
        <v xml:space="preserve"> </v>
      </c>
      <c r="D5894" s="79" t="str">
        <f t="shared" si="5"/>
        <v xml:space="preserve"> </v>
      </c>
      <c r="E5894" s="79" t="str">
        <f t="shared" si="6"/>
        <v xml:space="preserve"> </v>
      </c>
    </row>
    <row r="5895" spans="1:5" ht="12.5">
      <c r="A5895" s="81" t="str">
        <f t="shared" si="0"/>
        <v xml:space="preserve"> </v>
      </c>
      <c r="B5895" s="81" t="str">
        <f t="shared" si="1"/>
        <v xml:space="preserve"> </v>
      </c>
      <c r="C5895" s="79" t="str">
        <f t="shared" si="7"/>
        <v xml:space="preserve"> </v>
      </c>
      <c r="D5895" s="79" t="str">
        <f t="shared" si="5"/>
        <v xml:space="preserve"> </v>
      </c>
      <c r="E5895" s="79" t="str">
        <f t="shared" si="6"/>
        <v xml:space="preserve"> </v>
      </c>
    </row>
    <row r="5896" spans="1:5" ht="12.5">
      <c r="A5896" s="81" t="str">
        <f t="shared" si="0"/>
        <v xml:space="preserve"> </v>
      </c>
      <c r="B5896" s="81" t="str">
        <f t="shared" si="1"/>
        <v xml:space="preserve"> </v>
      </c>
      <c r="C5896" s="79" t="str">
        <f t="shared" si="7"/>
        <v xml:space="preserve"> </v>
      </c>
      <c r="D5896" s="79" t="str">
        <f t="shared" si="5"/>
        <v xml:space="preserve"> </v>
      </c>
      <c r="E5896" s="79" t="str">
        <f t="shared" si="6"/>
        <v xml:space="preserve"> </v>
      </c>
    </row>
    <row r="5897" spans="1:5" ht="12.5">
      <c r="A5897" s="81" t="str">
        <f t="shared" si="0"/>
        <v xml:space="preserve"> </v>
      </c>
      <c r="B5897" s="81" t="str">
        <f t="shared" si="1"/>
        <v xml:space="preserve"> </v>
      </c>
      <c r="C5897" s="79" t="str">
        <f t="shared" si="7"/>
        <v xml:space="preserve"> </v>
      </c>
      <c r="D5897" s="79" t="str">
        <f t="shared" si="5"/>
        <v xml:space="preserve"> </v>
      </c>
      <c r="E5897" s="79" t="str">
        <f t="shared" si="6"/>
        <v xml:space="preserve"> </v>
      </c>
    </row>
    <row r="5898" spans="1:5" ht="12.5">
      <c r="A5898" s="81" t="str">
        <f t="shared" si="0"/>
        <v xml:space="preserve"> </v>
      </c>
      <c r="B5898" s="81" t="str">
        <f t="shared" si="1"/>
        <v xml:space="preserve"> </v>
      </c>
      <c r="C5898" s="79" t="str">
        <f t="shared" si="7"/>
        <v xml:space="preserve"> </v>
      </c>
      <c r="D5898" s="79" t="str">
        <f t="shared" si="5"/>
        <v xml:space="preserve"> </v>
      </c>
      <c r="E5898" s="79" t="str">
        <f t="shared" si="6"/>
        <v xml:space="preserve"> </v>
      </c>
    </row>
    <row r="5899" spans="1:5" ht="12.5">
      <c r="A5899" s="81" t="str">
        <f t="shared" si="0"/>
        <v xml:space="preserve"> </v>
      </c>
      <c r="B5899" s="81" t="str">
        <f t="shared" si="1"/>
        <v xml:space="preserve"> </v>
      </c>
      <c r="C5899" s="79" t="str">
        <f t="shared" si="7"/>
        <v xml:space="preserve"> </v>
      </c>
      <c r="D5899" s="79" t="str">
        <f t="shared" si="5"/>
        <v xml:space="preserve"> </v>
      </c>
      <c r="E5899" s="79" t="str">
        <f t="shared" si="6"/>
        <v xml:space="preserve"> </v>
      </c>
    </row>
    <row r="5900" spans="1:5" ht="12.5">
      <c r="A5900" s="81" t="str">
        <f t="shared" si="0"/>
        <v xml:space="preserve"> </v>
      </c>
      <c r="B5900" s="81" t="str">
        <f t="shared" si="1"/>
        <v xml:space="preserve"> </v>
      </c>
      <c r="C5900" s="79" t="str">
        <f t="shared" si="7"/>
        <v xml:space="preserve"> </v>
      </c>
      <c r="D5900" s="79" t="str">
        <f t="shared" si="5"/>
        <v xml:space="preserve"> </v>
      </c>
      <c r="E5900" s="79" t="str">
        <f t="shared" si="6"/>
        <v xml:space="preserve"> </v>
      </c>
    </row>
    <row r="5901" spans="1:5" ht="12.5">
      <c r="A5901" s="81" t="str">
        <f t="shared" si="0"/>
        <v xml:space="preserve"> </v>
      </c>
      <c r="B5901" s="81" t="str">
        <f t="shared" si="1"/>
        <v xml:space="preserve"> </v>
      </c>
      <c r="C5901" s="79" t="str">
        <f t="shared" si="7"/>
        <v xml:space="preserve"> </v>
      </c>
      <c r="D5901" s="79" t="str">
        <f t="shared" si="5"/>
        <v xml:space="preserve"> </v>
      </c>
      <c r="E5901" s="79" t="str">
        <f t="shared" si="6"/>
        <v xml:space="preserve"> </v>
      </c>
    </row>
    <row r="5902" spans="1:5" ht="12.5">
      <c r="A5902" s="81" t="str">
        <f t="shared" si="0"/>
        <v xml:space="preserve"> </v>
      </c>
      <c r="B5902" s="81" t="str">
        <f t="shared" si="1"/>
        <v xml:space="preserve"> </v>
      </c>
      <c r="C5902" s="79" t="str">
        <f t="shared" si="7"/>
        <v xml:space="preserve"> </v>
      </c>
      <c r="D5902" s="79" t="str">
        <f t="shared" si="5"/>
        <v xml:space="preserve"> </v>
      </c>
      <c r="E5902" s="79" t="str">
        <f t="shared" si="6"/>
        <v xml:space="preserve"> </v>
      </c>
    </row>
    <row r="5903" spans="1:5" ht="12.5">
      <c r="A5903" s="81" t="str">
        <f t="shared" si="0"/>
        <v xml:space="preserve"> </v>
      </c>
      <c r="B5903" s="81" t="str">
        <f t="shared" si="1"/>
        <v xml:space="preserve"> </v>
      </c>
      <c r="C5903" s="79" t="str">
        <f t="shared" si="7"/>
        <v xml:space="preserve"> </v>
      </c>
      <c r="D5903" s="79" t="str">
        <f t="shared" si="5"/>
        <v xml:space="preserve"> </v>
      </c>
      <c r="E5903" s="79" t="str">
        <f t="shared" si="6"/>
        <v xml:space="preserve"> </v>
      </c>
    </row>
    <row r="5904" spans="1:5" ht="12.5">
      <c r="A5904" s="81" t="str">
        <f t="shared" si="0"/>
        <v xml:space="preserve"> </v>
      </c>
      <c r="B5904" s="81" t="str">
        <f t="shared" si="1"/>
        <v xml:space="preserve"> </v>
      </c>
      <c r="C5904" s="79" t="str">
        <f t="shared" si="7"/>
        <v xml:space="preserve"> </v>
      </c>
      <c r="D5904" s="79" t="str">
        <f t="shared" si="5"/>
        <v xml:space="preserve"> </v>
      </c>
      <c r="E5904" s="79" t="str">
        <f t="shared" si="6"/>
        <v xml:space="preserve"> </v>
      </c>
    </row>
    <row r="5905" spans="1:5" ht="12.5">
      <c r="A5905" s="81" t="str">
        <f t="shared" si="0"/>
        <v xml:space="preserve"> </v>
      </c>
      <c r="B5905" s="81" t="str">
        <f t="shared" si="1"/>
        <v xml:space="preserve"> </v>
      </c>
      <c r="C5905" s="79" t="str">
        <f t="shared" si="7"/>
        <v xml:space="preserve"> </v>
      </c>
      <c r="D5905" s="79" t="str">
        <f t="shared" si="5"/>
        <v xml:space="preserve"> </v>
      </c>
      <c r="E5905" s="79" t="str">
        <f t="shared" si="6"/>
        <v xml:space="preserve"> </v>
      </c>
    </row>
    <row r="5906" spans="1:5" ht="12.5">
      <c r="A5906" s="81" t="str">
        <f t="shared" si="0"/>
        <v xml:space="preserve"> </v>
      </c>
      <c r="B5906" s="81" t="str">
        <f t="shared" si="1"/>
        <v xml:space="preserve"> </v>
      </c>
      <c r="C5906" s="79" t="str">
        <f t="shared" si="7"/>
        <v xml:space="preserve"> </v>
      </c>
      <c r="D5906" s="79" t="str">
        <f t="shared" si="5"/>
        <v xml:space="preserve"> </v>
      </c>
      <c r="E5906" s="79" t="str">
        <f t="shared" si="6"/>
        <v xml:space="preserve"> </v>
      </c>
    </row>
    <row r="5907" spans="1:5" ht="12.5">
      <c r="A5907" s="81" t="str">
        <f t="shared" si="0"/>
        <v xml:space="preserve"> </v>
      </c>
      <c r="B5907" s="81" t="str">
        <f t="shared" si="1"/>
        <v xml:space="preserve"> </v>
      </c>
      <c r="C5907" s="79" t="str">
        <f t="shared" si="7"/>
        <v xml:space="preserve"> </v>
      </c>
      <c r="D5907" s="79" t="str">
        <f t="shared" si="5"/>
        <v xml:space="preserve"> </v>
      </c>
      <c r="E5907" s="79" t="str">
        <f t="shared" si="6"/>
        <v xml:space="preserve"> </v>
      </c>
    </row>
    <row r="5908" spans="1:5" ht="12.5">
      <c r="A5908" s="81" t="str">
        <f t="shared" si="0"/>
        <v xml:space="preserve"> </v>
      </c>
      <c r="B5908" s="81" t="str">
        <f t="shared" si="1"/>
        <v xml:space="preserve"> </v>
      </c>
      <c r="C5908" s="79" t="str">
        <f t="shared" si="7"/>
        <v xml:space="preserve"> </v>
      </c>
      <c r="D5908" s="79" t="str">
        <f t="shared" si="5"/>
        <v xml:space="preserve"> </v>
      </c>
      <c r="E5908" s="79" t="str">
        <f t="shared" si="6"/>
        <v xml:space="preserve"> </v>
      </c>
    </row>
    <row r="5909" spans="1:5" ht="12.5">
      <c r="A5909" s="81" t="str">
        <f t="shared" si="0"/>
        <v xml:space="preserve"> </v>
      </c>
      <c r="B5909" s="81" t="str">
        <f t="shared" si="1"/>
        <v xml:space="preserve"> </v>
      </c>
      <c r="C5909" s="79" t="str">
        <f t="shared" si="7"/>
        <v xml:space="preserve"> </v>
      </c>
      <c r="D5909" s="79" t="str">
        <f t="shared" si="5"/>
        <v xml:space="preserve"> </v>
      </c>
      <c r="E5909" s="79" t="str">
        <f t="shared" si="6"/>
        <v xml:space="preserve"> </v>
      </c>
    </row>
    <row r="5910" spans="1:5" ht="12.5">
      <c r="A5910" s="81" t="str">
        <f t="shared" si="0"/>
        <v xml:space="preserve"> </v>
      </c>
      <c r="B5910" s="81" t="str">
        <f t="shared" si="1"/>
        <v xml:space="preserve"> </v>
      </c>
      <c r="C5910" s="79" t="str">
        <f t="shared" si="7"/>
        <v xml:space="preserve"> </v>
      </c>
      <c r="D5910" s="79" t="str">
        <f t="shared" si="5"/>
        <v xml:space="preserve"> </v>
      </c>
      <c r="E5910" s="79" t="str">
        <f t="shared" si="6"/>
        <v xml:space="preserve"> </v>
      </c>
    </row>
    <row r="5911" spans="1:5" ht="12.5">
      <c r="A5911" s="81" t="str">
        <f t="shared" si="0"/>
        <v xml:space="preserve"> </v>
      </c>
      <c r="B5911" s="81" t="str">
        <f t="shared" si="1"/>
        <v xml:space="preserve"> </v>
      </c>
      <c r="C5911" s="79" t="str">
        <f t="shared" si="7"/>
        <v xml:space="preserve"> </v>
      </c>
      <c r="D5911" s="79" t="str">
        <f t="shared" si="5"/>
        <v xml:space="preserve"> </v>
      </c>
      <c r="E5911" s="79" t="str">
        <f t="shared" si="6"/>
        <v xml:space="preserve"> </v>
      </c>
    </row>
    <row r="5912" spans="1:5" ht="12.5">
      <c r="A5912" s="81" t="str">
        <f t="shared" si="0"/>
        <v xml:space="preserve"> </v>
      </c>
      <c r="B5912" s="81" t="str">
        <f t="shared" si="1"/>
        <v xml:space="preserve"> </v>
      </c>
      <c r="C5912" s="79" t="str">
        <f t="shared" si="7"/>
        <v xml:space="preserve"> </v>
      </c>
      <c r="D5912" s="79" t="str">
        <f t="shared" si="5"/>
        <v xml:space="preserve"> </v>
      </c>
      <c r="E5912" s="79" t="str">
        <f t="shared" si="6"/>
        <v xml:space="preserve"> </v>
      </c>
    </row>
    <row r="5913" spans="1:5" ht="12.5">
      <c r="A5913" s="81" t="str">
        <f t="shared" si="0"/>
        <v xml:space="preserve"> </v>
      </c>
      <c r="B5913" s="81" t="str">
        <f t="shared" si="1"/>
        <v xml:space="preserve"> </v>
      </c>
      <c r="C5913" s="79" t="str">
        <f t="shared" si="7"/>
        <v xml:space="preserve"> </v>
      </c>
      <c r="D5913" s="79" t="str">
        <f t="shared" si="5"/>
        <v xml:space="preserve"> </v>
      </c>
      <c r="E5913" s="79" t="str">
        <f t="shared" si="6"/>
        <v xml:space="preserve"> </v>
      </c>
    </row>
    <row r="5914" spans="1:5" ht="12.5">
      <c r="A5914" s="81" t="str">
        <f t="shared" si="0"/>
        <v xml:space="preserve"> </v>
      </c>
      <c r="B5914" s="81" t="str">
        <f t="shared" si="1"/>
        <v xml:space="preserve"> </v>
      </c>
      <c r="C5914" s="79" t="str">
        <f t="shared" si="7"/>
        <v xml:space="preserve"> </v>
      </c>
      <c r="D5914" s="79" t="str">
        <f t="shared" si="5"/>
        <v xml:space="preserve"> </v>
      </c>
      <c r="E5914" s="79" t="str">
        <f t="shared" si="6"/>
        <v xml:space="preserve"> </v>
      </c>
    </row>
    <row r="5915" spans="1:5" ht="12.5">
      <c r="A5915" s="81" t="str">
        <f t="shared" si="0"/>
        <v xml:space="preserve"> </v>
      </c>
      <c r="B5915" s="81" t="str">
        <f t="shared" si="1"/>
        <v xml:space="preserve"> </v>
      </c>
      <c r="C5915" s="79" t="str">
        <f t="shared" si="7"/>
        <v xml:space="preserve"> </v>
      </c>
      <c r="D5915" s="79" t="str">
        <f t="shared" si="5"/>
        <v xml:space="preserve"> </v>
      </c>
      <c r="E5915" s="79" t="str">
        <f t="shared" si="6"/>
        <v xml:space="preserve"> </v>
      </c>
    </row>
    <row r="5916" spans="1:5" ht="12.5">
      <c r="A5916" s="81" t="str">
        <f t="shared" si="0"/>
        <v xml:space="preserve"> </v>
      </c>
      <c r="B5916" s="81" t="str">
        <f t="shared" si="1"/>
        <v xml:space="preserve"> </v>
      </c>
      <c r="C5916" s="79" t="str">
        <f t="shared" si="7"/>
        <v xml:space="preserve"> </v>
      </c>
      <c r="D5916" s="79" t="str">
        <f t="shared" si="5"/>
        <v xml:space="preserve"> </v>
      </c>
      <c r="E5916" s="79" t="str">
        <f t="shared" si="6"/>
        <v xml:space="preserve"> </v>
      </c>
    </row>
    <row r="5917" spans="1:5" ht="12.5">
      <c r="A5917" s="81" t="str">
        <f t="shared" si="0"/>
        <v xml:space="preserve"> </v>
      </c>
      <c r="B5917" s="81" t="str">
        <f t="shared" si="1"/>
        <v xml:space="preserve"> </v>
      </c>
      <c r="C5917" s="79" t="str">
        <f t="shared" si="7"/>
        <v xml:space="preserve"> </v>
      </c>
      <c r="D5917" s="79" t="str">
        <f t="shared" si="5"/>
        <v xml:space="preserve"> </v>
      </c>
      <c r="E5917" s="79" t="str">
        <f t="shared" si="6"/>
        <v xml:space="preserve"> </v>
      </c>
    </row>
    <row r="5918" spans="1:5" ht="12.5">
      <c r="A5918" s="81" t="str">
        <f t="shared" si="0"/>
        <v xml:space="preserve"> </v>
      </c>
      <c r="B5918" s="81" t="str">
        <f t="shared" si="1"/>
        <v xml:space="preserve"> </v>
      </c>
      <c r="C5918" s="79" t="str">
        <f t="shared" si="7"/>
        <v xml:space="preserve"> </v>
      </c>
      <c r="D5918" s="79" t="str">
        <f t="shared" si="5"/>
        <v xml:space="preserve"> </v>
      </c>
      <c r="E5918" s="79" t="str">
        <f t="shared" si="6"/>
        <v xml:space="preserve"> </v>
      </c>
    </row>
    <row r="5919" spans="1:5" ht="12.5">
      <c r="A5919" s="81" t="str">
        <f t="shared" si="0"/>
        <v xml:space="preserve"> </v>
      </c>
      <c r="B5919" s="81" t="str">
        <f t="shared" si="1"/>
        <v xml:space="preserve"> </v>
      </c>
      <c r="C5919" s="79" t="str">
        <f t="shared" si="7"/>
        <v xml:space="preserve"> </v>
      </c>
      <c r="D5919" s="79" t="str">
        <f t="shared" si="5"/>
        <v xml:space="preserve"> </v>
      </c>
      <c r="E5919" s="79" t="str">
        <f t="shared" si="6"/>
        <v xml:space="preserve"> </v>
      </c>
    </row>
    <row r="5920" spans="1:5" ht="12.5">
      <c r="A5920" s="81" t="str">
        <f t="shared" si="0"/>
        <v xml:space="preserve"> </v>
      </c>
      <c r="B5920" s="81" t="str">
        <f t="shared" si="1"/>
        <v xml:space="preserve"> </v>
      </c>
      <c r="C5920" s="79" t="str">
        <f t="shared" si="7"/>
        <v xml:space="preserve"> </v>
      </c>
      <c r="D5920" s="79" t="str">
        <f t="shared" si="5"/>
        <v xml:space="preserve"> </v>
      </c>
      <c r="E5920" s="79" t="str">
        <f t="shared" si="6"/>
        <v xml:space="preserve"> </v>
      </c>
    </row>
    <row r="5921" spans="1:5" ht="12.5">
      <c r="A5921" s="81" t="str">
        <f t="shared" si="0"/>
        <v xml:space="preserve"> </v>
      </c>
      <c r="B5921" s="81" t="str">
        <f t="shared" si="1"/>
        <v xml:space="preserve"> </v>
      </c>
      <c r="C5921" s="79" t="str">
        <f t="shared" si="7"/>
        <v xml:space="preserve"> </v>
      </c>
      <c r="D5921" s="79" t="str">
        <f t="shared" si="5"/>
        <v xml:space="preserve"> </v>
      </c>
      <c r="E5921" s="79" t="str">
        <f t="shared" si="6"/>
        <v xml:space="preserve"> </v>
      </c>
    </row>
    <row r="5922" spans="1:5" ht="12.5">
      <c r="A5922" s="81" t="str">
        <f t="shared" si="0"/>
        <v xml:space="preserve"> </v>
      </c>
      <c r="B5922" s="81" t="str">
        <f t="shared" si="1"/>
        <v xml:space="preserve"> </v>
      </c>
      <c r="C5922" s="79" t="str">
        <f t="shared" si="7"/>
        <v xml:space="preserve"> </v>
      </c>
      <c r="D5922" s="79" t="str">
        <f t="shared" si="5"/>
        <v xml:space="preserve"> </v>
      </c>
      <c r="E5922" s="79" t="str">
        <f t="shared" si="6"/>
        <v xml:space="preserve"> </v>
      </c>
    </row>
    <row r="5923" spans="1:5" ht="12.5">
      <c r="A5923" s="81" t="str">
        <f t="shared" si="0"/>
        <v xml:space="preserve"> </v>
      </c>
      <c r="B5923" s="81" t="str">
        <f t="shared" si="1"/>
        <v xml:space="preserve"> </v>
      </c>
      <c r="C5923" s="79" t="str">
        <f t="shared" si="7"/>
        <v xml:space="preserve"> </v>
      </c>
      <c r="D5923" s="79" t="str">
        <f t="shared" si="5"/>
        <v xml:space="preserve"> </v>
      </c>
      <c r="E5923" s="79" t="str">
        <f t="shared" si="6"/>
        <v xml:space="preserve"> </v>
      </c>
    </row>
    <row r="5924" spans="1:5" ht="12.5">
      <c r="A5924" s="81" t="str">
        <f t="shared" si="0"/>
        <v xml:space="preserve"> </v>
      </c>
      <c r="B5924" s="81" t="str">
        <f t="shared" si="1"/>
        <v xml:space="preserve"> </v>
      </c>
      <c r="C5924" s="79" t="str">
        <f t="shared" si="7"/>
        <v xml:space="preserve"> </v>
      </c>
      <c r="D5924" s="79" t="str">
        <f t="shared" si="5"/>
        <v xml:space="preserve"> </v>
      </c>
      <c r="E5924" s="79" t="str">
        <f t="shared" si="6"/>
        <v xml:space="preserve"> </v>
      </c>
    </row>
    <row r="5925" spans="1:5" ht="12.5">
      <c r="A5925" s="81" t="str">
        <f t="shared" si="0"/>
        <v xml:space="preserve"> </v>
      </c>
      <c r="B5925" s="81" t="str">
        <f t="shared" si="1"/>
        <v xml:space="preserve"> </v>
      </c>
      <c r="C5925" s="79" t="str">
        <f t="shared" si="7"/>
        <v xml:space="preserve"> </v>
      </c>
      <c r="D5925" s="79" t="str">
        <f t="shared" si="5"/>
        <v xml:space="preserve"> </v>
      </c>
      <c r="E5925" s="79" t="str">
        <f t="shared" si="6"/>
        <v xml:space="preserve"> </v>
      </c>
    </row>
    <row r="5926" spans="1:5" ht="12.5">
      <c r="A5926" s="81" t="str">
        <f t="shared" si="0"/>
        <v xml:space="preserve"> </v>
      </c>
      <c r="B5926" s="81" t="str">
        <f t="shared" si="1"/>
        <v xml:space="preserve"> </v>
      </c>
      <c r="C5926" s="79" t="str">
        <f t="shared" si="7"/>
        <v xml:space="preserve"> </v>
      </c>
      <c r="D5926" s="79" t="str">
        <f t="shared" si="5"/>
        <v xml:space="preserve"> </v>
      </c>
      <c r="E5926" s="79" t="str">
        <f t="shared" si="6"/>
        <v xml:space="preserve"> </v>
      </c>
    </row>
    <row r="5927" spans="1:5" ht="12.5">
      <c r="A5927" s="81" t="str">
        <f t="shared" si="0"/>
        <v xml:space="preserve"> </v>
      </c>
      <c r="B5927" s="81" t="str">
        <f t="shared" si="1"/>
        <v xml:space="preserve"> </v>
      </c>
      <c r="C5927" s="79" t="str">
        <f t="shared" si="7"/>
        <v xml:space="preserve"> </v>
      </c>
      <c r="D5927" s="79" t="str">
        <f t="shared" si="5"/>
        <v xml:space="preserve"> </v>
      </c>
      <c r="E5927" s="79" t="str">
        <f t="shared" si="6"/>
        <v xml:space="preserve"> </v>
      </c>
    </row>
    <row r="5928" spans="1:5" ht="12.5">
      <c r="A5928" s="81" t="str">
        <f t="shared" si="0"/>
        <v xml:space="preserve"> </v>
      </c>
      <c r="B5928" s="81" t="str">
        <f t="shared" si="1"/>
        <v xml:space="preserve"> </v>
      </c>
      <c r="C5928" s="79" t="str">
        <f t="shared" si="7"/>
        <v xml:space="preserve"> </v>
      </c>
      <c r="D5928" s="79" t="str">
        <f t="shared" si="5"/>
        <v xml:space="preserve"> </v>
      </c>
      <c r="E5928" s="79" t="str">
        <f t="shared" si="6"/>
        <v xml:space="preserve"> </v>
      </c>
    </row>
    <row r="5929" spans="1:5" ht="12.5">
      <c r="A5929" s="81" t="str">
        <f t="shared" si="0"/>
        <v xml:space="preserve"> </v>
      </c>
      <c r="B5929" s="81" t="str">
        <f t="shared" si="1"/>
        <v xml:space="preserve"> </v>
      </c>
      <c r="C5929" s="79" t="str">
        <f t="shared" si="7"/>
        <v xml:space="preserve"> </v>
      </c>
      <c r="D5929" s="79" t="str">
        <f t="shared" si="5"/>
        <v xml:space="preserve"> </v>
      </c>
      <c r="E5929" s="79" t="str">
        <f t="shared" si="6"/>
        <v xml:space="preserve"> </v>
      </c>
    </row>
    <row r="5930" spans="1:5" ht="12.5">
      <c r="A5930" s="81" t="str">
        <f t="shared" si="0"/>
        <v xml:space="preserve"> </v>
      </c>
      <c r="B5930" s="81" t="str">
        <f t="shared" si="1"/>
        <v xml:space="preserve"> </v>
      </c>
      <c r="C5930" s="79" t="str">
        <f t="shared" si="7"/>
        <v xml:space="preserve"> </v>
      </c>
      <c r="D5930" s="79" t="str">
        <f t="shared" si="5"/>
        <v xml:space="preserve"> </v>
      </c>
      <c r="E5930" s="79" t="str">
        <f t="shared" si="6"/>
        <v xml:space="preserve"> </v>
      </c>
    </row>
    <row r="5931" spans="1:5" ht="12.5">
      <c r="A5931" s="81" t="str">
        <f t="shared" si="0"/>
        <v xml:space="preserve"> </v>
      </c>
      <c r="B5931" s="81" t="str">
        <f t="shared" si="1"/>
        <v xml:space="preserve"> </v>
      </c>
      <c r="C5931" s="79" t="str">
        <f t="shared" si="7"/>
        <v xml:space="preserve"> </v>
      </c>
      <c r="D5931" s="79" t="str">
        <f t="shared" si="5"/>
        <v xml:space="preserve"> </v>
      </c>
      <c r="E5931" s="79" t="str">
        <f t="shared" si="6"/>
        <v xml:space="preserve"> </v>
      </c>
    </row>
    <row r="5932" spans="1:5" ht="12.5">
      <c r="A5932" s="81" t="str">
        <f t="shared" si="0"/>
        <v xml:space="preserve"> </v>
      </c>
      <c r="B5932" s="81" t="str">
        <f t="shared" si="1"/>
        <v xml:space="preserve"> </v>
      </c>
      <c r="C5932" s="79" t="str">
        <f t="shared" si="7"/>
        <v xml:space="preserve"> </v>
      </c>
      <c r="D5932" s="79" t="str">
        <f t="shared" si="5"/>
        <v xml:space="preserve"> </v>
      </c>
      <c r="E5932" s="79" t="str">
        <f t="shared" si="6"/>
        <v xml:space="preserve"> </v>
      </c>
    </row>
    <row r="5933" spans="1:5" ht="12.5">
      <c r="A5933" s="81" t="str">
        <f t="shared" si="0"/>
        <v xml:space="preserve"> </v>
      </c>
      <c r="B5933" s="81" t="str">
        <f t="shared" si="1"/>
        <v xml:space="preserve"> </v>
      </c>
      <c r="C5933" s="79" t="str">
        <f t="shared" si="7"/>
        <v xml:space="preserve"> </v>
      </c>
      <c r="D5933" s="79" t="str">
        <f t="shared" si="5"/>
        <v xml:space="preserve"> </v>
      </c>
      <c r="E5933" s="79" t="str">
        <f t="shared" si="6"/>
        <v xml:space="preserve"> </v>
      </c>
    </row>
    <row r="5934" spans="1:5" ht="12.5">
      <c r="A5934" s="81" t="str">
        <f t="shared" si="0"/>
        <v xml:space="preserve"> </v>
      </c>
      <c r="B5934" s="81" t="str">
        <f t="shared" si="1"/>
        <v xml:space="preserve"> </v>
      </c>
      <c r="C5934" s="79" t="str">
        <f t="shared" si="7"/>
        <v xml:space="preserve"> </v>
      </c>
      <c r="D5934" s="79" t="str">
        <f t="shared" si="5"/>
        <v xml:space="preserve"> </v>
      </c>
      <c r="E5934" s="79" t="str">
        <f t="shared" si="6"/>
        <v xml:space="preserve"> </v>
      </c>
    </row>
    <row r="5935" spans="1:5" ht="12.5">
      <c r="A5935" s="81" t="str">
        <f t="shared" si="0"/>
        <v xml:space="preserve"> </v>
      </c>
      <c r="B5935" s="81" t="str">
        <f t="shared" si="1"/>
        <v xml:space="preserve"> </v>
      </c>
      <c r="C5935" s="79" t="str">
        <f t="shared" si="7"/>
        <v xml:space="preserve"> </v>
      </c>
      <c r="D5935" s="79" t="str">
        <f t="shared" si="5"/>
        <v xml:space="preserve"> </v>
      </c>
      <c r="E5935" s="79" t="str">
        <f t="shared" si="6"/>
        <v xml:space="preserve"> </v>
      </c>
    </row>
    <row r="5936" spans="1:5" ht="12.5">
      <c r="A5936" s="81" t="str">
        <f t="shared" si="0"/>
        <v xml:space="preserve"> </v>
      </c>
      <c r="B5936" s="81" t="str">
        <f t="shared" si="1"/>
        <v xml:space="preserve"> </v>
      </c>
      <c r="C5936" s="79" t="str">
        <f t="shared" si="7"/>
        <v xml:space="preserve"> </v>
      </c>
      <c r="D5936" s="79" t="str">
        <f t="shared" si="5"/>
        <v xml:space="preserve"> </v>
      </c>
      <c r="E5936" s="79" t="str">
        <f t="shared" si="6"/>
        <v xml:space="preserve"> </v>
      </c>
    </row>
    <row r="5937" spans="1:5" ht="12.5">
      <c r="A5937" s="81" t="str">
        <f t="shared" si="0"/>
        <v xml:space="preserve"> </v>
      </c>
      <c r="B5937" s="81" t="str">
        <f t="shared" si="1"/>
        <v xml:space="preserve"> </v>
      </c>
      <c r="C5937" s="79" t="str">
        <f t="shared" si="7"/>
        <v xml:space="preserve"> </v>
      </c>
      <c r="D5937" s="79" t="str">
        <f t="shared" si="5"/>
        <v xml:space="preserve"> </v>
      </c>
      <c r="E5937" s="79" t="str">
        <f t="shared" si="6"/>
        <v xml:space="preserve"> </v>
      </c>
    </row>
    <row r="5938" spans="1:5" ht="12.5">
      <c r="A5938" s="81" t="str">
        <f t="shared" si="0"/>
        <v xml:space="preserve"> </v>
      </c>
      <c r="B5938" s="81" t="str">
        <f t="shared" si="1"/>
        <v xml:space="preserve"> </v>
      </c>
      <c r="C5938" s="79" t="str">
        <f t="shared" si="7"/>
        <v xml:space="preserve"> </v>
      </c>
      <c r="D5938" s="79" t="str">
        <f t="shared" si="5"/>
        <v xml:space="preserve"> </v>
      </c>
      <c r="E5938" s="79" t="str">
        <f t="shared" si="6"/>
        <v xml:space="preserve"> </v>
      </c>
    </row>
    <row r="5939" spans="1:5" ht="12.5">
      <c r="A5939" s="81" t="str">
        <f t="shared" si="0"/>
        <v xml:space="preserve"> </v>
      </c>
      <c r="B5939" s="81" t="str">
        <f t="shared" si="1"/>
        <v xml:space="preserve"> </v>
      </c>
      <c r="C5939" s="79" t="str">
        <f t="shared" si="7"/>
        <v xml:space="preserve"> </v>
      </c>
      <c r="D5939" s="79" t="str">
        <f t="shared" si="5"/>
        <v xml:space="preserve"> </v>
      </c>
      <c r="E5939" s="79" t="str">
        <f t="shared" si="6"/>
        <v xml:space="preserve"> </v>
      </c>
    </row>
    <row r="5940" spans="1:5" ht="12.5">
      <c r="A5940" s="81" t="str">
        <f t="shared" si="0"/>
        <v xml:space="preserve"> </v>
      </c>
      <c r="B5940" s="81" t="str">
        <f t="shared" si="1"/>
        <v xml:space="preserve"> </v>
      </c>
      <c r="C5940" s="79" t="str">
        <f t="shared" si="7"/>
        <v xml:space="preserve"> </v>
      </c>
      <c r="D5940" s="79" t="str">
        <f t="shared" si="5"/>
        <v xml:space="preserve"> </v>
      </c>
      <c r="E5940" s="79" t="str">
        <f t="shared" si="6"/>
        <v xml:space="preserve"> </v>
      </c>
    </row>
    <row r="5941" spans="1:5" ht="12.5">
      <c r="A5941" s="81" t="str">
        <f t="shared" si="0"/>
        <v xml:space="preserve"> </v>
      </c>
      <c r="B5941" s="81" t="str">
        <f t="shared" si="1"/>
        <v xml:space="preserve"> </v>
      </c>
      <c r="C5941" s="79" t="str">
        <f t="shared" si="7"/>
        <v xml:space="preserve"> </v>
      </c>
      <c r="D5941" s="79" t="str">
        <f t="shared" si="5"/>
        <v xml:space="preserve"> </v>
      </c>
      <c r="E5941" s="79" t="str">
        <f t="shared" si="6"/>
        <v xml:space="preserve"> </v>
      </c>
    </row>
    <row r="5942" spans="1:5" ht="12.5">
      <c r="A5942" s="81" t="str">
        <f t="shared" si="0"/>
        <v xml:space="preserve"> </v>
      </c>
      <c r="B5942" s="81" t="str">
        <f t="shared" si="1"/>
        <v xml:space="preserve"> </v>
      </c>
      <c r="C5942" s="79" t="str">
        <f t="shared" si="7"/>
        <v xml:space="preserve"> </v>
      </c>
      <c r="D5942" s="79" t="str">
        <f t="shared" si="5"/>
        <v xml:space="preserve"> </v>
      </c>
      <c r="E5942" s="79" t="str">
        <f t="shared" si="6"/>
        <v xml:space="preserve"> </v>
      </c>
    </row>
    <row r="5943" spans="1:5" ht="12.5">
      <c r="A5943" s="81" t="str">
        <f t="shared" si="0"/>
        <v xml:space="preserve"> </v>
      </c>
      <c r="B5943" s="81" t="str">
        <f t="shared" si="1"/>
        <v xml:space="preserve"> </v>
      </c>
      <c r="C5943" s="79" t="str">
        <f t="shared" si="7"/>
        <v xml:space="preserve"> </v>
      </c>
      <c r="D5943" s="79" t="str">
        <f t="shared" si="5"/>
        <v xml:space="preserve"> </v>
      </c>
      <c r="E5943" s="79" t="str">
        <f t="shared" si="6"/>
        <v xml:space="preserve"> </v>
      </c>
    </row>
    <row r="5944" spans="1:5" ht="12.5">
      <c r="A5944" s="81" t="str">
        <f t="shared" si="0"/>
        <v xml:space="preserve"> </v>
      </c>
      <c r="B5944" s="81" t="str">
        <f t="shared" si="1"/>
        <v xml:space="preserve"> </v>
      </c>
      <c r="C5944" s="79" t="str">
        <f t="shared" si="7"/>
        <v xml:space="preserve"> </v>
      </c>
      <c r="D5944" s="79" t="str">
        <f t="shared" si="5"/>
        <v xml:space="preserve"> </v>
      </c>
      <c r="E5944" s="79" t="str">
        <f t="shared" si="6"/>
        <v xml:space="preserve"> </v>
      </c>
    </row>
    <row r="5945" spans="1:5" ht="12.5">
      <c r="A5945" s="81" t="str">
        <f t="shared" si="0"/>
        <v xml:space="preserve"> </v>
      </c>
      <c r="B5945" s="81" t="str">
        <f t="shared" si="1"/>
        <v xml:space="preserve"> </v>
      </c>
      <c r="C5945" s="79" t="str">
        <f t="shared" si="7"/>
        <v xml:space="preserve"> </v>
      </c>
      <c r="D5945" s="79" t="str">
        <f t="shared" si="5"/>
        <v xml:space="preserve"> </v>
      </c>
      <c r="E5945" s="79" t="str">
        <f t="shared" si="6"/>
        <v xml:space="preserve"> </v>
      </c>
    </row>
    <row r="5946" spans="1:5" ht="12.5">
      <c r="A5946" s="81" t="str">
        <f t="shared" si="0"/>
        <v xml:space="preserve"> </v>
      </c>
      <c r="B5946" s="81" t="str">
        <f t="shared" si="1"/>
        <v xml:space="preserve"> </v>
      </c>
      <c r="C5946" s="79" t="str">
        <f t="shared" si="7"/>
        <v xml:space="preserve"> </v>
      </c>
      <c r="D5946" s="79" t="str">
        <f t="shared" si="5"/>
        <v xml:space="preserve"> </v>
      </c>
      <c r="E5946" s="79" t="str">
        <f t="shared" si="6"/>
        <v xml:space="preserve"> </v>
      </c>
    </row>
    <row r="5947" spans="1:5" ht="12.5">
      <c r="A5947" s="81" t="str">
        <f t="shared" si="0"/>
        <v xml:space="preserve"> </v>
      </c>
      <c r="B5947" s="81" t="str">
        <f t="shared" si="1"/>
        <v xml:space="preserve"> </v>
      </c>
      <c r="C5947" s="79" t="str">
        <f t="shared" si="7"/>
        <v xml:space="preserve"> </v>
      </c>
      <c r="D5947" s="79" t="str">
        <f t="shared" si="5"/>
        <v xml:space="preserve"> </v>
      </c>
      <c r="E5947" s="79" t="str">
        <f t="shared" si="6"/>
        <v xml:space="preserve"> </v>
      </c>
    </row>
    <row r="5948" spans="1:5" ht="12.5">
      <c r="A5948" s="81" t="str">
        <f t="shared" si="0"/>
        <v xml:space="preserve"> </v>
      </c>
      <c r="B5948" s="81" t="str">
        <f t="shared" si="1"/>
        <v xml:space="preserve"> </v>
      </c>
      <c r="C5948" s="79" t="str">
        <f t="shared" si="7"/>
        <v xml:space="preserve"> </v>
      </c>
      <c r="D5948" s="79" t="str">
        <f t="shared" si="5"/>
        <v xml:space="preserve"> </v>
      </c>
      <c r="E5948" s="79" t="str">
        <f t="shared" si="6"/>
        <v xml:space="preserve"> </v>
      </c>
    </row>
    <row r="5949" spans="1:5" ht="12.5">
      <c r="A5949" s="81" t="str">
        <f t="shared" si="0"/>
        <v xml:space="preserve"> </v>
      </c>
      <c r="B5949" s="81" t="str">
        <f t="shared" si="1"/>
        <v xml:space="preserve"> </v>
      </c>
      <c r="C5949" s="79" t="str">
        <f t="shared" si="7"/>
        <v xml:space="preserve"> </v>
      </c>
      <c r="D5949" s="79" t="str">
        <f t="shared" si="5"/>
        <v xml:space="preserve"> </v>
      </c>
      <c r="E5949" s="79" t="str">
        <f t="shared" si="6"/>
        <v xml:space="preserve"> </v>
      </c>
    </row>
    <row r="5950" spans="1:5" ht="12.5">
      <c r="A5950" s="81" t="str">
        <f t="shared" si="0"/>
        <v xml:space="preserve"> </v>
      </c>
      <c r="B5950" s="81" t="str">
        <f t="shared" si="1"/>
        <v xml:space="preserve"> </v>
      </c>
      <c r="C5950" s="79" t="str">
        <f t="shared" si="7"/>
        <v xml:space="preserve"> </v>
      </c>
      <c r="D5950" s="79" t="str">
        <f t="shared" si="5"/>
        <v xml:space="preserve"> </v>
      </c>
      <c r="E5950" s="79" t="str">
        <f t="shared" si="6"/>
        <v xml:space="preserve"> </v>
      </c>
    </row>
    <row r="5951" spans="1:5" ht="12.5">
      <c r="A5951" s="81" t="str">
        <f t="shared" si="0"/>
        <v xml:space="preserve"> </v>
      </c>
      <c r="B5951" s="81" t="str">
        <f t="shared" si="1"/>
        <v xml:space="preserve"> </v>
      </c>
      <c r="C5951" s="79" t="str">
        <f t="shared" si="7"/>
        <v xml:space="preserve"> </v>
      </c>
      <c r="D5951" s="79" t="str">
        <f t="shared" si="5"/>
        <v xml:space="preserve"> </v>
      </c>
      <c r="E5951" s="79" t="str">
        <f t="shared" si="6"/>
        <v xml:space="preserve"> </v>
      </c>
    </row>
    <row r="5952" spans="1:5" ht="12.5">
      <c r="A5952" s="81" t="str">
        <f t="shared" si="0"/>
        <v xml:space="preserve"> </v>
      </c>
      <c r="B5952" s="81" t="str">
        <f t="shared" si="1"/>
        <v xml:space="preserve"> </v>
      </c>
      <c r="C5952" s="79" t="str">
        <f t="shared" si="7"/>
        <v xml:space="preserve"> </v>
      </c>
      <c r="D5952" s="79" t="str">
        <f t="shared" si="5"/>
        <v xml:space="preserve"> </v>
      </c>
      <c r="E5952" s="79" t="str">
        <f t="shared" si="6"/>
        <v xml:space="preserve"> </v>
      </c>
    </row>
    <row r="5953" spans="1:5" ht="12.5">
      <c r="A5953" s="81" t="str">
        <f t="shared" si="0"/>
        <v xml:space="preserve"> </v>
      </c>
      <c r="B5953" s="81" t="str">
        <f t="shared" si="1"/>
        <v xml:space="preserve"> </v>
      </c>
      <c r="C5953" s="79" t="str">
        <f t="shared" si="7"/>
        <v xml:space="preserve"> </v>
      </c>
      <c r="D5953" s="79" t="str">
        <f t="shared" si="5"/>
        <v xml:space="preserve"> </v>
      </c>
      <c r="E5953" s="79" t="str">
        <f t="shared" si="6"/>
        <v xml:space="preserve"> </v>
      </c>
    </row>
    <row r="5954" spans="1:5" ht="12.5">
      <c r="A5954" s="81" t="str">
        <f t="shared" si="0"/>
        <v xml:space="preserve"> </v>
      </c>
      <c r="B5954" s="81" t="str">
        <f t="shared" si="1"/>
        <v xml:space="preserve"> </v>
      </c>
      <c r="C5954" s="79" t="str">
        <f t="shared" si="7"/>
        <v xml:space="preserve"> </v>
      </c>
      <c r="D5954" s="79" t="str">
        <f t="shared" si="5"/>
        <v xml:space="preserve"> </v>
      </c>
      <c r="E5954" s="79" t="str">
        <f t="shared" si="6"/>
        <v xml:space="preserve"> </v>
      </c>
    </row>
    <row r="5955" spans="1:5" ht="12.5">
      <c r="A5955" s="81" t="str">
        <f t="shared" si="0"/>
        <v xml:space="preserve"> </v>
      </c>
      <c r="B5955" s="81" t="str">
        <f t="shared" si="1"/>
        <v xml:space="preserve"> </v>
      </c>
      <c r="C5955" s="79" t="str">
        <f t="shared" si="7"/>
        <v xml:space="preserve"> </v>
      </c>
      <c r="D5955" s="79" t="str">
        <f t="shared" si="5"/>
        <v xml:space="preserve"> </v>
      </c>
      <c r="E5955" s="79" t="str">
        <f t="shared" si="6"/>
        <v xml:space="preserve"> </v>
      </c>
    </row>
    <row r="5956" spans="1:5" ht="12.5">
      <c r="A5956" s="81" t="str">
        <f t="shared" si="0"/>
        <v xml:space="preserve"> </v>
      </c>
      <c r="B5956" s="81" t="str">
        <f t="shared" si="1"/>
        <v xml:space="preserve"> </v>
      </c>
      <c r="C5956" s="79" t="str">
        <f t="shared" si="7"/>
        <v xml:space="preserve"> </v>
      </c>
      <c r="D5956" s="79" t="str">
        <f t="shared" si="5"/>
        <v xml:space="preserve"> </v>
      </c>
      <c r="E5956" s="79" t="str">
        <f t="shared" si="6"/>
        <v xml:space="preserve"> </v>
      </c>
    </row>
    <row r="5957" spans="1:5" ht="12.5">
      <c r="A5957" s="81" t="str">
        <f t="shared" si="0"/>
        <v xml:space="preserve"> </v>
      </c>
      <c r="B5957" s="81" t="str">
        <f t="shared" si="1"/>
        <v xml:space="preserve"> </v>
      </c>
      <c r="C5957" s="79" t="str">
        <f t="shared" si="7"/>
        <v xml:space="preserve"> </v>
      </c>
      <c r="D5957" s="79" t="str">
        <f t="shared" si="5"/>
        <v xml:space="preserve"> </v>
      </c>
      <c r="E5957" s="79" t="str">
        <f t="shared" si="6"/>
        <v xml:space="preserve"> </v>
      </c>
    </row>
    <row r="5958" spans="1:5" ht="12.5">
      <c r="A5958" s="81" t="str">
        <f t="shared" si="0"/>
        <v xml:space="preserve"> </v>
      </c>
      <c r="B5958" s="81" t="str">
        <f t="shared" si="1"/>
        <v xml:space="preserve"> </v>
      </c>
      <c r="C5958" s="79" t="str">
        <f t="shared" si="7"/>
        <v xml:space="preserve"> </v>
      </c>
      <c r="D5958" s="79" t="str">
        <f t="shared" si="5"/>
        <v xml:space="preserve"> </v>
      </c>
      <c r="E5958" s="79" t="str">
        <f t="shared" si="6"/>
        <v xml:space="preserve"> </v>
      </c>
    </row>
    <row r="5959" spans="1:5" ht="12.5">
      <c r="A5959" s="81" t="str">
        <f t="shared" si="0"/>
        <v xml:space="preserve"> </v>
      </c>
      <c r="B5959" s="81" t="str">
        <f t="shared" si="1"/>
        <v xml:space="preserve"> </v>
      </c>
      <c r="C5959" s="79" t="str">
        <f t="shared" si="7"/>
        <v xml:space="preserve"> </v>
      </c>
      <c r="D5959" s="79" t="str">
        <f t="shared" si="5"/>
        <v xml:space="preserve"> </v>
      </c>
      <c r="E5959" s="79" t="str">
        <f t="shared" si="6"/>
        <v xml:space="preserve"> </v>
      </c>
    </row>
    <row r="5960" spans="1:5" ht="12.5">
      <c r="A5960" s="81" t="str">
        <f t="shared" si="0"/>
        <v xml:space="preserve"> </v>
      </c>
      <c r="B5960" s="81" t="str">
        <f t="shared" si="1"/>
        <v xml:space="preserve"> </v>
      </c>
      <c r="C5960" s="79" t="str">
        <f t="shared" si="7"/>
        <v xml:space="preserve"> </v>
      </c>
      <c r="D5960" s="79" t="str">
        <f t="shared" si="5"/>
        <v xml:space="preserve"> </v>
      </c>
      <c r="E5960" s="79" t="str">
        <f t="shared" si="6"/>
        <v xml:space="preserve"> </v>
      </c>
    </row>
    <row r="5961" spans="1:5" ht="12.5">
      <c r="A5961" s="81" t="str">
        <f t="shared" si="0"/>
        <v xml:space="preserve"> </v>
      </c>
      <c r="B5961" s="81" t="str">
        <f t="shared" si="1"/>
        <v xml:space="preserve"> </v>
      </c>
      <c r="C5961" s="79" t="str">
        <f t="shared" si="7"/>
        <v xml:space="preserve"> </v>
      </c>
      <c r="D5961" s="79" t="str">
        <f t="shared" si="5"/>
        <v xml:space="preserve"> </v>
      </c>
      <c r="E5961" s="79" t="str">
        <f t="shared" si="6"/>
        <v xml:space="preserve"> </v>
      </c>
    </row>
    <row r="5962" spans="1:5" ht="12.5">
      <c r="A5962" s="81" t="str">
        <f t="shared" si="0"/>
        <v xml:space="preserve"> </v>
      </c>
      <c r="B5962" s="81" t="str">
        <f t="shared" si="1"/>
        <v xml:space="preserve"> </v>
      </c>
      <c r="C5962" s="79" t="str">
        <f t="shared" si="7"/>
        <v xml:space="preserve"> </v>
      </c>
      <c r="D5962" s="79" t="str">
        <f t="shared" si="5"/>
        <v xml:space="preserve"> </v>
      </c>
      <c r="E5962" s="79" t="str">
        <f t="shared" si="6"/>
        <v xml:space="preserve"> </v>
      </c>
    </row>
    <row r="5963" spans="1:5" ht="12.5">
      <c r="A5963" s="81" t="str">
        <f t="shared" si="0"/>
        <v xml:space="preserve"> </v>
      </c>
      <c r="B5963" s="81" t="str">
        <f t="shared" si="1"/>
        <v xml:space="preserve"> </v>
      </c>
      <c r="C5963" s="79" t="str">
        <f t="shared" si="7"/>
        <v xml:space="preserve"> </v>
      </c>
      <c r="D5963" s="79" t="str">
        <f t="shared" si="5"/>
        <v xml:space="preserve"> </v>
      </c>
      <c r="E5963" s="79" t="str">
        <f t="shared" si="6"/>
        <v xml:space="preserve"> </v>
      </c>
    </row>
    <row r="5964" spans="1:5" ht="12.5">
      <c r="A5964" s="81" t="str">
        <f t="shared" si="0"/>
        <v xml:space="preserve"> </v>
      </c>
      <c r="B5964" s="81" t="str">
        <f t="shared" si="1"/>
        <v xml:space="preserve"> </v>
      </c>
      <c r="C5964" s="79" t="str">
        <f t="shared" si="7"/>
        <v xml:space="preserve"> </v>
      </c>
      <c r="D5964" s="79" t="str">
        <f t="shared" si="5"/>
        <v xml:space="preserve"> </v>
      </c>
      <c r="E5964" s="79" t="str">
        <f t="shared" si="6"/>
        <v xml:space="preserve"> </v>
      </c>
    </row>
    <row r="5965" spans="1:5" ht="12.5">
      <c r="A5965" s="81" t="str">
        <f t="shared" si="0"/>
        <v xml:space="preserve"> </v>
      </c>
      <c r="B5965" s="81" t="str">
        <f t="shared" si="1"/>
        <v xml:space="preserve"> </v>
      </c>
      <c r="C5965" s="79" t="str">
        <f t="shared" si="7"/>
        <v xml:space="preserve"> </v>
      </c>
      <c r="D5965" s="79" t="str">
        <f t="shared" si="5"/>
        <v xml:space="preserve"> </v>
      </c>
      <c r="E5965" s="79" t="str">
        <f t="shared" si="6"/>
        <v xml:space="preserve"> </v>
      </c>
    </row>
    <row r="5966" spans="1:5" ht="12.5">
      <c r="A5966" s="81" t="str">
        <f t="shared" si="0"/>
        <v xml:space="preserve"> </v>
      </c>
      <c r="B5966" s="81" t="str">
        <f t="shared" si="1"/>
        <v xml:space="preserve"> </v>
      </c>
      <c r="C5966" s="79" t="str">
        <f t="shared" si="7"/>
        <v xml:space="preserve"> </v>
      </c>
      <c r="D5966" s="79" t="str">
        <f t="shared" si="5"/>
        <v xml:space="preserve"> </v>
      </c>
      <c r="E5966" s="79" t="str">
        <f t="shared" si="6"/>
        <v xml:space="preserve"> </v>
      </c>
    </row>
    <row r="5967" spans="1:5" ht="12.5">
      <c r="A5967" s="81" t="str">
        <f t="shared" si="0"/>
        <v xml:space="preserve"> </v>
      </c>
      <c r="B5967" s="81" t="str">
        <f t="shared" si="1"/>
        <v xml:space="preserve"> </v>
      </c>
      <c r="C5967" s="79" t="str">
        <f t="shared" si="7"/>
        <v xml:space="preserve"> </v>
      </c>
      <c r="D5967" s="79" t="str">
        <f t="shared" si="5"/>
        <v xml:space="preserve"> </v>
      </c>
      <c r="E5967" s="79" t="str">
        <f t="shared" si="6"/>
        <v xml:space="preserve"> </v>
      </c>
    </row>
    <row r="5968" spans="1:5" ht="12.5">
      <c r="A5968" s="81" t="str">
        <f t="shared" si="0"/>
        <v xml:space="preserve"> </v>
      </c>
      <c r="B5968" s="81" t="str">
        <f t="shared" si="1"/>
        <v xml:space="preserve"> </v>
      </c>
      <c r="C5968" s="79" t="str">
        <f t="shared" si="7"/>
        <v xml:space="preserve"> </v>
      </c>
      <c r="D5968" s="79" t="str">
        <f t="shared" si="5"/>
        <v xml:space="preserve"> </v>
      </c>
      <c r="E5968" s="79" t="str">
        <f t="shared" si="6"/>
        <v xml:space="preserve"> </v>
      </c>
    </row>
    <row r="5969" spans="1:5" ht="12.5">
      <c r="A5969" s="81" t="str">
        <f t="shared" si="0"/>
        <v xml:space="preserve"> </v>
      </c>
      <c r="B5969" s="81" t="str">
        <f t="shared" si="1"/>
        <v xml:space="preserve"> </v>
      </c>
      <c r="C5969" s="79" t="str">
        <f t="shared" si="7"/>
        <v xml:space="preserve"> </v>
      </c>
      <c r="D5969" s="79" t="str">
        <f t="shared" si="5"/>
        <v xml:space="preserve"> </v>
      </c>
      <c r="E5969" s="79" t="str">
        <f t="shared" si="6"/>
        <v xml:space="preserve"> </v>
      </c>
    </row>
    <row r="5970" spans="1:5" ht="12.5">
      <c r="A5970" s="81" t="str">
        <f t="shared" si="0"/>
        <v xml:space="preserve"> </v>
      </c>
      <c r="B5970" s="81" t="str">
        <f t="shared" si="1"/>
        <v xml:space="preserve"> </v>
      </c>
      <c r="C5970" s="79" t="str">
        <f t="shared" si="7"/>
        <v xml:space="preserve"> </v>
      </c>
      <c r="D5970" s="79" t="str">
        <f t="shared" si="5"/>
        <v xml:space="preserve"> </v>
      </c>
      <c r="E5970" s="79" t="str">
        <f t="shared" si="6"/>
        <v xml:space="preserve"> </v>
      </c>
    </row>
    <row r="5971" spans="1:5" ht="12.5">
      <c r="A5971" s="81" t="str">
        <f t="shared" si="0"/>
        <v xml:space="preserve"> </v>
      </c>
      <c r="B5971" s="81" t="str">
        <f t="shared" si="1"/>
        <v xml:space="preserve"> </v>
      </c>
      <c r="C5971" s="79" t="str">
        <f t="shared" si="7"/>
        <v xml:space="preserve"> </v>
      </c>
      <c r="D5971" s="79" t="str">
        <f t="shared" si="5"/>
        <v xml:space="preserve"> </v>
      </c>
      <c r="E5971" s="79" t="str">
        <f t="shared" si="6"/>
        <v xml:space="preserve"> </v>
      </c>
    </row>
    <row r="5972" spans="1:5" ht="12.5">
      <c r="A5972" s="81" t="str">
        <f t="shared" si="0"/>
        <v xml:space="preserve"> </v>
      </c>
      <c r="B5972" s="81" t="str">
        <f t="shared" si="1"/>
        <v xml:space="preserve"> </v>
      </c>
      <c r="C5972" s="79" t="str">
        <f t="shared" si="7"/>
        <v xml:space="preserve"> </v>
      </c>
      <c r="D5972" s="79" t="str">
        <f t="shared" si="5"/>
        <v xml:space="preserve"> </v>
      </c>
      <c r="E5972" s="79" t="str">
        <f t="shared" si="6"/>
        <v xml:space="preserve"> </v>
      </c>
    </row>
    <row r="5973" spans="1:5" ht="12.5">
      <c r="A5973" s="81" t="str">
        <f t="shared" si="0"/>
        <v xml:space="preserve"> </v>
      </c>
      <c r="B5973" s="81" t="str">
        <f t="shared" si="1"/>
        <v xml:space="preserve"> </v>
      </c>
      <c r="C5973" s="79" t="str">
        <f t="shared" si="7"/>
        <v xml:space="preserve"> </v>
      </c>
      <c r="D5973" s="79" t="str">
        <f t="shared" si="5"/>
        <v xml:space="preserve"> </v>
      </c>
      <c r="E5973" s="79" t="str">
        <f t="shared" si="6"/>
        <v xml:space="preserve"> </v>
      </c>
    </row>
    <row r="5974" spans="1:5" ht="12.5">
      <c r="A5974" s="81" t="str">
        <f t="shared" si="0"/>
        <v xml:space="preserve"> </v>
      </c>
      <c r="B5974" s="81" t="str">
        <f t="shared" si="1"/>
        <v xml:space="preserve"> </v>
      </c>
      <c r="C5974" s="79" t="str">
        <f t="shared" si="7"/>
        <v xml:space="preserve"> </v>
      </c>
      <c r="D5974" s="79" t="str">
        <f t="shared" si="5"/>
        <v xml:space="preserve"> </v>
      </c>
      <c r="E5974" s="79" t="str">
        <f t="shared" si="6"/>
        <v xml:space="preserve"> </v>
      </c>
    </row>
    <row r="5975" spans="1:5" ht="12.5">
      <c r="A5975" s="81" t="str">
        <f t="shared" si="0"/>
        <v xml:space="preserve"> </v>
      </c>
      <c r="B5975" s="81" t="str">
        <f t="shared" si="1"/>
        <v xml:space="preserve"> </v>
      </c>
      <c r="C5975" s="79" t="str">
        <f t="shared" si="7"/>
        <v xml:space="preserve"> </v>
      </c>
      <c r="D5975" s="79" t="str">
        <f t="shared" si="5"/>
        <v xml:space="preserve"> </v>
      </c>
      <c r="E5975" s="79" t="str">
        <f t="shared" si="6"/>
        <v xml:space="preserve"> </v>
      </c>
    </row>
    <row r="5976" spans="1:5" ht="12.5">
      <c r="A5976" s="81" t="str">
        <f t="shared" si="0"/>
        <v xml:space="preserve"> </v>
      </c>
      <c r="B5976" s="81" t="str">
        <f t="shared" si="1"/>
        <v xml:space="preserve"> </v>
      </c>
      <c r="C5976" s="79" t="str">
        <f t="shared" si="7"/>
        <v xml:space="preserve"> </v>
      </c>
      <c r="D5976" s="79" t="str">
        <f t="shared" si="5"/>
        <v xml:space="preserve"> </v>
      </c>
      <c r="E5976" s="79" t="str">
        <f t="shared" si="6"/>
        <v xml:space="preserve"> </v>
      </c>
    </row>
    <row r="5977" spans="1:5" ht="12.5">
      <c r="A5977" s="81" t="str">
        <f t="shared" si="0"/>
        <v xml:space="preserve"> </v>
      </c>
      <c r="B5977" s="81" t="str">
        <f t="shared" si="1"/>
        <v xml:space="preserve"> </v>
      </c>
      <c r="C5977" s="79" t="str">
        <f t="shared" si="7"/>
        <v xml:space="preserve"> </v>
      </c>
      <c r="D5977" s="79" t="str">
        <f t="shared" si="5"/>
        <v xml:space="preserve"> </v>
      </c>
      <c r="E5977" s="79" t="str">
        <f t="shared" si="6"/>
        <v xml:space="preserve"> </v>
      </c>
    </row>
    <row r="5978" spans="1:5" ht="12.5">
      <c r="A5978" s="81" t="str">
        <f t="shared" si="0"/>
        <v xml:space="preserve"> </v>
      </c>
      <c r="B5978" s="81" t="str">
        <f t="shared" si="1"/>
        <v xml:space="preserve"> </v>
      </c>
      <c r="C5978" s="79" t="str">
        <f t="shared" si="7"/>
        <v xml:space="preserve"> </v>
      </c>
      <c r="D5978" s="79" t="str">
        <f t="shared" si="5"/>
        <v xml:space="preserve"> </v>
      </c>
      <c r="E5978" s="79" t="str">
        <f t="shared" si="6"/>
        <v xml:space="preserve"> </v>
      </c>
    </row>
    <row r="5979" spans="1:5" ht="12.5">
      <c r="A5979" s="81" t="str">
        <f t="shared" si="0"/>
        <v xml:space="preserve"> </v>
      </c>
      <c r="B5979" s="81" t="str">
        <f t="shared" si="1"/>
        <v xml:space="preserve"> </v>
      </c>
      <c r="C5979" s="79" t="str">
        <f t="shared" si="7"/>
        <v xml:space="preserve"> </v>
      </c>
      <c r="D5979" s="79" t="str">
        <f t="shared" si="5"/>
        <v xml:space="preserve"> </v>
      </c>
      <c r="E5979" s="79" t="str">
        <f t="shared" si="6"/>
        <v xml:space="preserve"> </v>
      </c>
    </row>
    <row r="5980" spans="1:5" ht="12.5">
      <c r="A5980" s="81" t="str">
        <f t="shared" si="0"/>
        <v xml:space="preserve"> </v>
      </c>
      <c r="B5980" s="81" t="str">
        <f t="shared" si="1"/>
        <v xml:space="preserve"> </v>
      </c>
      <c r="C5980" s="79" t="str">
        <f t="shared" si="7"/>
        <v xml:space="preserve"> </v>
      </c>
      <c r="D5980" s="79" t="str">
        <f t="shared" si="5"/>
        <v xml:space="preserve"> </v>
      </c>
      <c r="E5980" s="79" t="str">
        <f t="shared" si="6"/>
        <v xml:space="preserve"> </v>
      </c>
    </row>
    <row r="5981" spans="1:5" ht="12.5">
      <c r="A5981" s="81" t="str">
        <f t="shared" si="0"/>
        <v xml:space="preserve"> </v>
      </c>
      <c r="B5981" s="81" t="str">
        <f t="shared" si="1"/>
        <v xml:space="preserve"> </v>
      </c>
      <c r="C5981" s="79" t="str">
        <f t="shared" si="7"/>
        <v xml:space="preserve"> </v>
      </c>
      <c r="D5981" s="79" t="str">
        <f t="shared" si="5"/>
        <v xml:space="preserve"> </v>
      </c>
      <c r="E5981" s="79" t="str">
        <f t="shared" si="6"/>
        <v xml:space="preserve"> </v>
      </c>
    </row>
    <row r="5982" spans="1:5" ht="12.5">
      <c r="A5982" s="81" t="str">
        <f t="shared" si="0"/>
        <v xml:space="preserve"> </v>
      </c>
      <c r="B5982" s="81" t="str">
        <f t="shared" si="1"/>
        <v xml:space="preserve"> </v>
      </c>
      <c r="C5982" s="79" t="str">
        <f t="shared" si="7"/>
        <v xml:space="preserve"> </v>
      </c>
      <c r="D5982" s="79" t="str">
        <f t="shared" si="5"/>
        <v xml:space="preserve"> </v>
      </c>
      <c r="E5982" s="79" t="str">
        <f t="shared" si="6"/>
        <v xml:space="preserve"> </v>
      </c>
    </row>
    <row r="5983" spans="1:5" ht="12.5">
      <c r="A5983" s="81" t="str">
        <f t="shared" si="0"/>
        <v xml:space="preserve"> </v>
      </c>
      <c r="B5983" s="81" t="str">
        <f t="shared" si="1"/>
        <v xml:space="preserve"> </v>
      </c>
      <c r="C5983" s="79" t="str">
        <f t="shared" si="7"/>
        <v xml:space="preserve"> </v>
      </c>
      <c r="D5983" s="79" t="str">
        <f t="shared" si="5"/>
        <v xml:space="preserve"> </v>
      </c>
      <c r="E5983" s="79" t="str">
        <f t="shared" si="6"/>
        <v xml:space="preserve"> </v>
      </c>
    </row>
    <row r="5984" spans="1:5" ht="12.5">
      <c r="A5984" s="81" t="str">
        <f t="shared" si="0"/>
        <v xml:space="preserve"> </v>
      </c>
      <c r="B5984" s="81" t="str">
        <f t="shared" si="1"/>
        <v xml:space="preserve"> </v>
      </c>
      <c r="C5984" s="79" t="str">
        <f t="shared" si="7"/>
        <v xml:space="preserve"> </v>
      </c>
      <c r="D5984" s="79" t="str">
        <f t="shared" si="5"/>
        <v xml:space="preserve"> </v>
      </c>
      <c r="E5984" s="79" t="str">
        <f t="shared" si="6"/>
        <v xml:space="preserve"> </v>
      </c>
    </row>
    <row r="5985" spans="1:5" ht="12.5">
      <c r="A5985" s="81" t="str">
        <f t="shared" si="0"/>
        <v xml:space="preserve"> </v>
      </c>
      <c r="B5985" s="81" t="str">
        <f t="shared" si="1"/>
        <v xml:space="preserve"> </v>
      </c>
      <c r="C5985" s="79" t="str">
        <f t="shared" si="7"/>
        <v xml:space="preserve"> </v>
      </c>
      <c r="D5985" s="79" t="str">
        <f t="shared" si="5"/>
        <v xml:space="preserve"> </v>
      </c>
      <c r="E5985" s="79" t="str">
        <f t="shared" si="6"/>
        <v xml:space="preserve"> </v>
      </c>
    </row>
    <row r="5986" spans="1:5" ht="12.5">
      <c r="A5986" s="81" t="str">
        <f t="shared" si="0"/>
        <v xml:space="preserve"> </v>
      </c>
      <c r="B5986" s="81" t="str">
        <f t="shared" si="1"/>
        <v xml:space="preserve"> </v>
      </c>
      <c r="C5986" s="79" t="str">
        <f t="shared" si="7"/>
        <v xml:space="preserve"> </v>
      </c>
      <c r="D5986" s="79" t="str">
        <f t="shared" si="5"/>
        <v xml:space="preserve"> </v>
      </c>
      <c r="E5986" s="79" t="str">
        <f t="shared" si="6"/>
        <v xml:space="preserve"> </v>
      </c>
    </row>
    <row r="5987" spans="1:5" ht="12.5">
      <c r="A5987" s="81" t="str">
        <f t="shared" si="0"/>
        <v xml:space="preserve"> </v>
      </c>
      <c r="B5987" s="81" t="str">
        <f t="shared" si="1"/>
        <v xml:space="preserve"> </v>
      </c>
      <c r="C5987" s="79" t="str">
        <f t="shared" si="7"/>
        <v xml:space="preserve"> </v>
      </c>
      <c r="D5987" s="79" t="str">
        <f t="shared" si="5"/>
        <v xml:space="preserve"> </v>
      </c>
      <c r="E5987" s="79" t="str">
        <f t="shared" si="6"/>
        <v xml:space="preserve"> </v>
      </c>
    </row>
    <row r="5988" spans="1:5" ht="12.5">
      <c r="A5988" s="81" t="str">
        <f t="shared" si="0"/>
        <v xml:space="preserve"> </v>
      </c>
      <c r="B5988" s="81" t="str">
        <f t="shared" si="1"/>
        <v xml:space="preserve"> </v>
      </c>
      <c r="C5988" s="79" t="str">
        <f t="shared" si="7"/>
        <v xml:space="preserve"> </v>
      </c>
      <c r="D5988" s="79" t="str">
        <f t="shared" si="5"/>
        <v xml:space="preserve"> </v>
      </c>
      <c r="E5988" s="79" t="str">
        <f t="shared" si="6"/>
        <v xml:space="preserve"> </v>
      </c>
    </row>
    <row r="5989" spans="1:5" ht="12.5">
      <c r="A5989" s="81" t="str">
        <f t="shared" si="0"/>
        <v xml:space="preserve"> </v>
      </c>
      <c r="B5989" s="81" t="str">
        <f t="shared" si="1"/>
        <v xml:space="preserve"> </v>
      </c>
      <c r="C5989" s="79" t="str">
        <f t="shared" si="7"/>
        <v xml:space="preserve"> </v>
      </c>
      <c r="D5989" s="79" t="str">
        <f t="shared" si="5"/>
        <v xml:space="preserve"> </v>
      </c>
      <c r="E5989" s="79" t="str">
        <f t="shared" si="6"/>
        <v xml:space="preserve"> </v>
      </c>
    </row>
    <row r="5990" spans="1:5" ht="12.5">
      <c r="A5990" s="81" t="str">
        <f t="shared" si="0"/>
        <v xml:space="preserve"> </v>
      </c>
      <c r="B5990" s="81" t="str">
        <f t="shared" si="1"/>
        <v xml:space="preserve"> </v>
      </c>
      <c r="C5990" s="79" t="str">
        <f t="shared" si="7"/>
        <v xml:space="preserve"> </v>
      </c>
      <c r="D5990" s="79" t="str">
        <f t="shared" si="5"/>
        <v xml:space="preserve"> </v>
      </c>
      <c r="E5990" s="79" t="str">
        <f t="shared" si="6"/>
        <v xml:space="preserve"> </v>
      </c>
    </row>
    <row r="5991" spans="1:5" ht="12.5">
      <c r="A5991" s="81" t="str">
        <f t="shared" si="0"/>
        <v xml:space="preserve"> </v>
      </c>
      <c r="B5991" s="81" t="str">
        <f t="shared" si="1"/>
        <v xml:space="preserve"> </v>
      </c>
      <c r="C5991" s="79" t="str">
        <f t="shared" si="7"/>
        <v xml:space="preserve"> </v>
      </c>
      <c r="D5991" s="79" t="str">
        <f t="shared" si="5"/>
        <v xml:space="preserve"> </v>
      </c>
      <c r="E5991" s="79" t="str">
        <f t="shared" si="6"/>
        <v xml:space="preserve"> </v>
      </c>
    </row>
    <row r="5992" spans="1:5" ht="12.5">
      <c r="A5992" s="81" t="str">
        <f t="shared" si="0"/>
        <v xml:space="preserve"> </v>
      </c>
      <c r="B5992" s="81" t="str">
        <f t="shared" si="1"/>
        <v xml:space="preserve"> </v>
      </c>
      <c r="C5992" s="79" t="str">
        <f t="shared" si="7"/>
        <v xml:space="preserve"> </v>
      </c>
      <c r="D5992" s="79" t="str">
        <f t="shared" si="5"/>
        <v xml:space="preserve"> </v>
      </c>
      <c r="E5992" s="79" t="str">
        <f t="shared" si="6"/>
        <v xml:space="preserve"> </v>
      </c>
    </row>
    <row r="5993" spans="1:5" ht="12.5">
      <c r="A5993" s="81" t="str">
        <f t="shared" si="0"/>
        <v xml:space="preserve"> </v>
      </c>
      <c r="B5993" s="81" t="str">
        <f t="shared" si="1"/>
        <v xml:space="preserve"> </v>
      </c>
      <c r="C5993" s="79" t="str">
        <f t="shared" si="7"/>
        <v xml:space="preserve"> </v>
      </c>
      <c r="D5993" s="79" t="str">
        <f t="shared" si="5"/>
        <v xml:space="preserve"> </v>
      </c>
      <c r="E5993" s="79" t="str">
        <f t="shared" si="6"/>
        <v xml:space="preserve"> </v>
      </c>
    </row>
    <row r="5994" spans="1:5" ht="12.5">
      <c r="A5994" s="81" t="str">
        <f t="shared" si="0"/>
        <v xml:space="preserve"> </v>
      </c>
      <c r="B5994" s="81" t="str">
        <f t="shared" si="1"/>
        <v xml:space="preserve"> </v>
      </c>
      <c r="C5994" s="79" t="str">
        <f t="shared" si="7"/>
        <v xml:space="preserve"> </v>
      </c>
      <c r="D5994" s="79" t="str">
        <f t="shared" si="5"/>
        <v xml:space="preserve"> </v>
      </c>
      <c r="E5994" s="79" t="str">
        <f t="shared" si="6"/>
        <v xml:space="preserve"> </v>
      </c>
    </row>
    <row r="5995" spans="1:5" ht="12.5">
      <c r="A5995" s="81" t="str">
        <f t="shared" si="0"/>
        <v xml:space="preserve"> </v>
      </c>
      <c r="B5995" s="81" t="str">
        <f t="shared" si="1"/>
        <v xml:space="preserve"> </v>
      </c>
      <c r="C5995" s="79" t="str">
        <f t="shared" si="7"/>
        <v xml:space="preserve"> </v>
      </c>
      <c r="D5995" s="79" t="str">
        <f t="shared" si="5"/>
        <v xml:space="preserve"> </v>
      </c>
      <c r="E5995" s="79" t="str">
        <f t="shared" si="6"/>
        <v xml:space="preserve"> </v>
      </c>
    </row>
    <row r="5996" spans="1:5" ht="12.5">
      <c r="A5996" s="81" t="str">
        <f t="shared" si="0"/>
        <v xml:space="preserve"> </v>
      </c>
      <c r="B5996" s="81" t="str">
        <f t="shared" si="1"/>
        <v xml:space="preserve"> </v>
      </c>
      <c r="C5996" s="79" t="str">
        <f t="shared" si="7"/>
        <v xml:space="preserve"> </v>
      </c>
      <c r="D5996" s="79" t="str">
        <f t="shared" si="5"/>
        <v xml:space="preserve"> </v>
      </c>
      <c r="E5996" s="79" t="str">
        <f t="shared" si="6"/>
        <v xml:space="preserve"> </v>
      </c>
    </row>
    <row r="5997" spans="1:5" ht="12.5">
      <c r="A5997" s="81" t="str">
        <f t="shared" si="0"/>
        <v xml:space="preserve"> </v>
      </c>
      <c r="B5997" s="81" t="str">
        <f t="shared" si="1"/>
        <v xml:space="preserve"> </v>
      </c>
      <c r="C5997" s="79" t="str">
        <f t="shared" si="7"/>
        <v xml:space="preserve"> </v>
      </c>
      <c r="D5997" s="79" t="str">
        <f t="shared" si="5"/>
        <v xml:space="preserve"> </v>
      </c>
      <c r="E5997" s="79" t="str">
        <f t="shared" si="6"/>
        <v xml:space="preserve"> </v>
      </c>
    </row>
    <row r="5998" spans="1:5" ht="12.5">
      <c r="A5998" s="81" t="str">
        <f t="shared" si="0"/>
        <v xml:space="preserve"> </v>
      </c>
      <c r="B5998" s="81" t="str">
        <f t="shared" si="1"/>
        <v xml:space="preserve"> </v>
      </c>
      <c r="C5998" s="79" t="str">
        <f t="shared" si="7"/>
        <v xml:space="preserve"> </v>
      </c>
      <c r="D5998" s="79" t="str">
        <f t="shared" si="5"/>
        <v xml:space="preserve"> </v>
      </c>
      <c r="E5998" s="79" t="str">
        <f t="shared" si="6"/>
        <v xml:space="preserve"> </v>
      </c>
    </row>
    <row r="5999" spans="1:5" ht="12.5">
      <c r="A5999" s="81" t="str">
        <f t="shared" si="0"/>
        <v xml:space="preserve"> </v>
      </c>
      <c r="B5999" s="81" t="str">
        <f t="shared" si="1"/>
        <v xml:space="preserve"> </v>
      </c>
      <c r="C5999" s="79" t="str">
        <f t="shared" si="7"/>
        <v xml:space="preserve"> </v>
      </c>
      <c r="D5999" s="79" t="str">
        <f t="shared" si="5"/>
        <v xml:space="preserve"> </v>
      </c>
      <c r="E5999" s="79" t="str">
        <f t="shared" si="6"/>
        <v xml:space="preserve"> </v>
      </c>
    </row>
    <row r="6000" spans="1:5" ht="12.5">
      <c r="A6000" s="81" t="str">
        <f t="shared" si="0"/>
        <v xml:space="preserve"> </v>
      </c>
      <c r="B6000" s="81" t="str">
        <f t="shared" si="1"/>
        <v xml:space="preserve"> </v>
      </c>
      <c r="C6000" s="79" t="str">
        <f t="shared" si="7"/>
        <v xml:space="preserve"> </v>
      </c>
      <c r="D6000" s="79" t="str">
        <f t="shared" si="5"/>
        <v xml:space="preserve"> </v>
      </c>
      <c r="E6000" s="79" t="str">
        <f t="shared" si="6"/>
        <v xml:space="preserve"> </v>
      </c>
    </row>
  </sheetData>
  <mergeCells count="12">
    <mergeCell ref="I2:I9"/>
    <mergeCell ref="J2:J9"/>
    <mergeCell ref="K2:K6"/>
    <mergeCell ref="K7:K9"/>
    <mergeCell ref="I10:I11"/>
    <mergeCell ref="J10:J11"/>
    <mergeCell ref="K10:K11"/>
    <mergeCell ref="I12:I13"/>
    <mergeCell ref="J12:J13"/>
    <mergeCell ref="K12:K15"/>
    <mergeCell ref="I14:I15"/>
    <mergeCell ref="J14:J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R1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4.08984375" customWidth="1"/>
    <col min="2" max="2" width="32.90625" customWidth="1"/>
    <col min="3" max="3" width="15.08984375" customWidth="1"/>
    <col min="4" max="4" width="13.36328125" customWidth="1"/>
    <col min="5" max="5" width="13.26953125" customWidth="1"/>
    <col min="6" max="6" width="15.453125" customWidth="1"/>
    <col min="7" max="7" width="14.90625" customWidth="1"/>
    <col min="8" max="8" width="14.08984375" customWidth="1"/>
  </cols>
  <sheetData>
    <row r="1" spans="1:18" ht="15.75" customHeight="1">
      <c r="A1" s="101" t="s">
        <v>232</v>
      </c>
      <c r="B1" s="102" t="s">
        <v>233</v>
      </c>
      <c r="C1" s="103" t="s">
        <v>234</v>
      </c>
      <c r="D1" s="103" t="s">
        <v>235</v>
      </c>
      <c r="E1" s="103" t="s">
        <v>236</v>
      </c>
      <c r="F1" s="102" t="s">
        <v>237</v>
      </c>
      <c r="G1" s="102" t="s">
        <v>238</v>
      </c>
      <c r="H1" s="104" t="s">
        <v>239</v>
      </c>
      <c r="K1" s="72" t="s">
        <v>240</v>
      </c>
      <c r="L1" s="72" t="s">
        <v>241</v>
      </c>
      <c r="M1" s="72" t="s">
        <v>242</v>
      </c>
      <c r="N1" s="72">
        <v>60</v>
      </c>
      <c r="O1" s="100">
        <v>4.1666666666666664E-2</v>
      </c>
      <c r="P1" s="72">
        <v>24</v>
      </c>
      <c r="Q1" s="72">
        <v>1440</v>
      </c>
      <c r="R1" s="72">
        <v>86400</v>
      </c>
    </row>
    <row r="2" spans="1:18" ht="15.75" customHeight="1">
      <c r="A2" s="105">
        <v>1</v>
      </c>
      <c r="B2" s="106" t="s">
        <v>79</v>
      </c>
      <c r="C2" s="107" t="s">
        <v>243</v>
      </c>
      <c r="D2" s="107" t="s">
        <v>244</v>
      </c>
      <c r="E2" s="107" t="s">
        <v>245</v>
      </c>
      <c r="F2" s="108">
        <v>0</v>
      </c>
      <c r="G2" s="108">
        <v>1.3888888888888889E-3</v>
      </c>
      <c r="H2" s="109">
        <f t="shared" ref="H2:H11" si="0">G2*86400</f>
        <v>120</v>
      </c>
      <c r="K2" s="72">
        <v>18000</v>
      </c>
      <c r="L2" s="110">
        <f t="shared" ref="L2:M2" si="1">K2/$N$1</f>
        <v>300</v>
      </c>
      <c r="M2" s="110">
        <f t="shared" si="1"/>
        <v>5</v>
      </c>
      <c r="N2" s="111">
        <f t="shared" ref="N2:N4" si="2">$O$1*M2</f>
        <v>0.20833333333333331</v>
      </c>
      <c r="O2" s="112">
        <f t="shared" ref="O2:O4" si="3">$P$1*N2</f>
        <v>5</v>
      </c>
      <c r="P2" s="112">
        <f t="shared" ref="P2:P4" si="4">$Q$1*N2</f>
        <v>300</v>
      </c>
      <c r="Q2" s="112">
        <f t="shared" ref="Q2:Q4" si="5">$R$1*N2</f>
        <v>18000</v>
      </c>
      <c r="R2" s="110"/>
    </row>
    <row r="3" spans="1:18" ht="15.75" customHeight="1">
      <c r="A3" s="113">
        <v>2</v>
      </c>
      <c r="B3" s="106" t="s">
        <v>246</v>
      </c>
      <c r="C3" s="114" t="s">
        <v>243</v>
      </c>
      <c r="D3" s="114" t="s">
        <v>244</v>
      </c>
      <c r="E3" s="114" t="s">
        <v>245</v>
      </c>
      <c r="F3" s="115">
        <v>0</v>
      </c>
      <c r="G3" s="115">
        <v>1.3888888888888889E-3</v>
      </c>
      <c r="H3" s="109">
        <f t="shared" si="0"/>
        <v>120</v>
      </c>
      <c r="K3" s="72">
        <v>25200</v>
      </c>
      <c r="L3" s="110">
        <f t="shared" ref="L3:M3" si="6">K3/$N$1</f>
        <v>420</v>
      </c>
      <c r="M3" s="110">
        <f t="shared" si="6"/>
        <v>7</v>
      </c>
      <c r="N3" s="111">
        <f t="shared" si="2"/>
        <v>0.29166666666666663</v>
      </c>
      <c r="O3" s="112">
        <f t="shared" si="3"/>
        <v>6.9999999999999991</v>
      </c>
      <c r="P3" s="112">
        <f t="shared" si="4"/>
        <v>419.99999999999994</v>
      </c>
      <c r="Q3" s="112">
        <f t="shared" si="5"/>
        <v>25199.999999999996</v>
      </c>
      <c r="R3" s="110"/>
    </row>
    <row r="4" spans="1:18" ht="15.75" customHeight="1">
      <c r="A4" s="105">
        <v>3</v>
      </c>
      <c r="B4" s="106" t="s">
        <v>27</v>
      </c>
      <c r="C4" s="107" t="s">
        <v>243</v>
      </c>
      <c r="D4" s="107" t="s">
        <v>244</v>
      </c>
      <c r="E4" s="107" t="s">
        <v>245</v>
      </c>
      <c r="F4" s="108">
        <v>0</v>
      </c>
      <c r="G4" s="116">
        <v>1.3888888888888889E-3</v>
      </c>
      <c r="H4" s="109">
        <f t="shared" si="0"/>
        <v>120</v>
      </c>
      <c r="K4" s="72">
        <v>34800</v>
      </c>
      <c r="L4" s="110">
        <f t="shared" ref="L4:M4" si="7">K4/$N$1</f>
        <v>580</v>
      </c>
      <c r="M4" s="110">
        <f t="shared" si="7"/>
        <v>9.6666666666666661</v>
      </c>
      <c r="N4" s="111">
        <f t="shared" si="2"/>
        <v>0.40277777777777773</v>
      </c>
      <c r="O4" s="112">
        <f t="shared" si="3"/>
        <v>9.6666666666666661</v>
      </c>
      <c r="P4" s="112">
        <f t="shared" si="4"/>
        <v>579.99999999999989</v>
      </c>
      <c r="Q4" s="112">
        <f t="shared" si="5"/>
        <v>34799.999999999993</v>
      </c>
      <c r="R4" s="110"/>
    </row>
    <row r="5" spans="1:18" ht="15.75" customHeight="1">
      <c r="A5" s="113">
        <v>4</v>
      </c>
      <c r="B5" s="106" t="s">
        <v>247</v>
      </c>
      <c r="C5" s="114" t="s">
        <v>243</v>
      </c>
      <c r="D5" s="114" t="s">
        <v>244</v>
      </c>
      <c r="E5" s="114" t="s">
        <v>245</v>
      </c>
      <c r="F5" s="115">
        <v>0</v>
      </c>
      <c r="G5" s="117">
        <v>3.472222222222222E-3</v>
      </c>
      <c r="H5" s="109">
        <f t="shared" si="0"/>
        <v>300</v>
      </c>
    </row>
    <row r="6" spans="1:18" ht="15.75" customHeight="1">
      <c r="A6" s="105">
        <v>5</v>
      </c>
      <c r="B6" s="106" t="s">
        <v>248</v>
      </c>
      <c r="C6" s="107" t="s">
        <v>243</v>
      </c>
      <c r="D6" s="107" t="s">
        <v>244</v>
      </c>
      <c r="E6" s="107" t="s">
        <v>245</v>
      </c>
      <c r="F6" s="108">
        <v>0</v>
      </c>
      <c r="G6" s="108">
        <v>3.472222222222222E-3</v>
      </c>
      <c r="H6" s="109">
        <f t="shared" si="0"/>
        <v>300</v>
      </c>
    </row>
    <row r="7" spans="1:18" ht="15.75" customHeight="1">
      <c r="A7" s="113">
        <v>6</v>
      </c>
      <c r="B7" s="106" t="s">
        <v>249</v>
      </c>
      <c r="C7" s="114" t="s">
        <v>243</v>
      </c>
      <c r="D7" s="114" t="s">
        <v>244</v>
      </c>
      <c r="E7" s="114" t="s">
        <v>245</v>
      </c>
      <c r="F7" s="115">
        <v>0</v>
      </c>
      <c r="G7" s="115">
        <v>8.3333333333333332E-3</v>
      </c>
      <c r="H7" s="109">
        <f t="shared" si="0"/>
        <v>720</v>
      </c>
      <c r="K7" s="118">
        <v>45782</v>
      </c>
      <c r="L7" s="118">
        <f>K7+60</f>
        <v>45842</v>
      </c>
    </row>
    <row r="8" spans="1:18" ht="15.75" customHeight="1">
      <c r="A8" s="105">
        <v>7</v>
      </c>
      <c r="B8" s="106" t="s">
        <v>46</v>
      </c>
      <c r="C8" s="107" t="s">
        <v>243</v>
      </c>
      <c r="D8" s="107" t="s">
        <v>244</v>
      </c>
      <c r="E8" s="107" t="s">
        <v>245</v>
      </c>
      <c r="F8" s="108">
        <v>0</v>
      </c>
      <c r="G8" s="108">
        <v>3.472222222222222E-3</v>
      </c>
      <c r="H8" s="109">
        <f t="shared" si="0"/>
        <v>300</v>
      </c>
      <c r="K8" s="119"/>
    </row>
    <row r="9" spans="1:18" ht="15.75" customHeight="1">
      <c r="A9" s="113">
        <v>8</v>
      </c>
      <c r="B9" s="106" t="s">
        <v>250</v>
      </c>
      <c r="C9" s="114" t="s">
        <v>243</v>
      </c>
      <c r="D9" s="114" t="s">
        <v>244</v>
      </c>
      <c r="E9" s="114" t="s">
        <v>245</v>
      </c>
      <c r="F9" s="115">
        <v>0</v>
      </c>
      <c r="G9" s="115">
        <v>4.1666666666666666E-3</v>
      </c>
      <c r="H9" s="109">
        <f t="shared" si="0"/>
        <v>360</v>
      </c>
    </row>
    <row r="10" spans="1:18" ht="15.75" customHeight="1">
      <c r="A10" s="105">
        <v>9</v>
      </c>
      <c r="B10" s="106" t="s">
        <v>144</v>
      </c>
      <c r="C10" s="107" t="s">
        <v>243</v>
      </c>
      <c r="D10" s="107" t="s">
        <v>244</v>
      </c>
      <c r="E10" s="107" t="s">
        <v>245</v>
      </c>
      <c r="F10" s="108">
        <v>0</v>
      </c>
      <c r="G10" s="108">
        <v>1.3888888888888889E-3</v>
      </c>
      <c r="H10" s="109">
        <f t="shared" si="0"/>
        <v>120</v>
      </c>
    </row>
    <row r="11" spans="1:18" ht="15.75" customHeight="1">
      <c r="A11" s="113">
        <v>10</v>
      </c>
      <c r="B11" s="106" t="s">
        <v>251</v>
      </c>
      <c r="C11" s="114" t="s">
        <v>243</v>
      </c>
      <c r="D11" s="114" t="s">
        <v>244</v>
      </c>
      <c r="E11" s="114" t="s">
        <v>245</v>
      </c>
      <c r="F11" s="115">
        <v>0</v>
      </c>
      <c r="G11" s="115">
        <v>1.3888888888888889E-3</v>
      </c>
      <c r="H11" s="109">
        <f t="shared" si="0"/>
        <v>120</v>
      </c>
    </row>
    <row r="12" spans="1:18" ht="15.75" customHeight="1">
      <c r="A12" s="105">
        <v>11</v>
      </c>
      <c r="B12" s="106" t="s">
        <v>140</v>
      </c>
      <c r="C12" s="107" t="s">
        <v>252</v>
      </c>
      <c r="D12" s="107" t="s">
        <v>252</v>
      </c>
      <c r="E12" s="107" t="s">
        <v>253</v>
      </c>
      <c r="F12" s="108">
        <v>0.4375</v>
      </c>
      <c r="G12" s="108">
        <v>3.4722222222222224E-2</v>
      </c>
      <c r="H12" s="109">
        <v>3000</v>
      </c>
    </row>
    <row r="13" spans="1:18" ht="15.75" customHeight="1">
      <c r="A13" s="113">
        <v>12</v>
      </c>
      <c r="B13" s="106" t="s">
        <v>254</v>
      </c>
      <c r="C13" s="114" t="s">
        <v>255</v>
      </c>
      <c r="D13" s="114" t="s">
        <v>256</v>
      </c>
      <c r="E13" s="114" t="s">
        <v>253</v>
      </c>
      <c r="F13" s="115">
        <v>0.625</v>
      </c>
      <c r="G13" s="115">
        <v>1.3888888888888888E-2</v>
      </c>
      <c r="H13" s="109">
        <f t="shared" ref="H13:H70" si="8">G13*86400</f>
        <v>1200</v>
      </c>
    </row>
    <row r="14" spans="1:18" ht="15.75" customHeight="1">
      <c r="A14" s="105">
        <v>13</v>
      </c>
      <c r="B14" s="106" t="s">
        <v>257</v>
      </c>
      <c r="C14" s="107" t="s">
        <v>243</v>
      </c>
      <c r="D14" s="107" t="s">
        <v>244</v>
      </c>
      <c r="E14" s="107" t="s">
        <v>245</v>
      </c>
      <c r="F14" s="108">
        <v>0</v>
      </c>
      <c r="G14" s="116">
        <v>2.0833333333333333E-3</v>
      </c>
      <c r="H14" s="109">
        <f t="shared" si="8"/>
        <v>180</v>
      </c>
    </row>
    <row r="15" spans="1:18" ht="15.75" customHeight="1">
      <c r="A15" s="113">
        <v>14</v>
      </c>
      <c r="B15" s="106" t="s">
        <v>28</v>
      </c>
      <c r="C15" s="114" t="s">
        <v>243</v>
      </c>
      <c r="D15" s="114" t="s">
        <v>244</v>
      </c>
      <c r="E15" s="114" t="s">
        <v>245</v>
      </c>
      <c r="F15" s="115">
        <v>1.3888888888888889E-3</v>
      </c>
      <c r="G15" s="115">
        <v>1.3888888888888889E-3</v>
      </c>
      <c r="H15" s="109">
        <f t="shared" si="8"/>
        <v>120</v>
      </c>
    </row>
    <row r="16" spans="1:18" ht="15.75" customHeight="1">
      <c r="A16" s="105">
        <v>15</v>
      </c>
      <c r="B16" s="106" t="s">
        <v>43</v>
      </c>
      <c r="C16" s="106" t="s">
        <v>258</v>
      </c>
      <c r="D16" s="106" t="s">
        <v>258</v>
      </c>
      <c r="E16" s="106" t="s">
        <v>253</v>
      </c>
      <c r="F16" s="108">
        <v>0</v>
      </c>
      <c r="G16" s="120">
        <v>3.4722222222222224E-2</v>
      </c>
      <c r="H16" s="109">
        <f t="shared" si="8"/>
        <v>3000</v>
      </c>
    </row>
    <row r="17" spans="1:9" ht="15.75" customHeight="1">
      <c r="A17" s="113">
        <v>16</v>
      </c>
      <c r="B17" s="106" t="s">
        <v>42</v>
      </c>
      <c r="C17" s="106" t="s">
        <v>258</v>
      </c>
      <c r="D17" s="106" t="s">
        <v>258</v>
      </c>
      <c r="E17" s="106" t="s">
        <v>253</v>
      </c>
      <c r="F17" s="115">
        <v>0</v>
      </c>
      <c r="G17" s="120">
        <v>6.9444444444444441E-3</v>
      </c>
      <c r="H17" s="109">
        <f t="shared" si="8"/>
        <v>600</v>
      </c>
    </row>
    <row r="18" spans="1:9" ht="15.75" customHeight="1">
      <c r="A18" s="105">
        <v>17</v>
      </c>
      <c r="B18" s="106" t="s">
        <v>108</v>
      </c>
      <c r="C18" s="106" t="s">
        <v>256</v>
      </c>
      <c r="D18" s="106" t="s">
        <v>256</v>
      </c>
      <c r="E18" s="106" t="s">
        <v>253</v>
      </c>
      <c r="F18" s="108">
        <v>0</v>
      </c>
      <c r="G18" s="120">
        <v>2.0833333333333332E-2</v>
      </c>
      <c r="H18" s="109">
        <f t="shared" si="8"/>
        <v>1800</v>
      </c>
    </row>
    <row r="19" spans="1:9" ht="15.75" customHeight="1">
      <c r="A19" s="113">
        <v>18</v>
      </c>
      <c r="B19" s="106" t="s">
        <v>122</v>
      </c>
      <c r="C19" s="106" t="s">
        <v>256</v>
      </c>
      <c r="D19" s="106" t="s">
        <v>256</v>
      </c>
      <c r="E19" s="106" t="s">
        <v>253</v>
      </c>
      <c r="F19" s="115">
        <v>0</v>
      </c>
      <c r="G19" s="120">
        <v>2.0833333333333332E-2</v>
      </c>
      <c r="H19" s="109">
        <f t="shared" si="8"/>
        <v>1800</v>
      </c>
    </row>
    <row r="20" spans="1:9" ht="15.75" customHeight="1">
      <c r="A20" s="105">
        <v>19</v>
      </c>
      <c r="B20" s="106" t="s">
        <v>98</v>
      </c>
      <c r="C20" s="106" t="s">
        <v>256</v>
      </c>
      <c r="D20" s="106" t="s">
        <v>256</v>
      </c>
      <c r="E20" s="106" t="s">
        <v>253</v>
      </c>
      <c r="F20" s="108">
        <v>0</v>
      </c>
      <c r="G20" s="120">
        <v>2.0833333333333332E-2</v>
      </c>
      <c r="H20" s="109">
        <f t="shared" si="8"/>
        <v>1800</v>
      </c>
    </row>
    <row r="21" spans="1:9" ht="15.75" customHeight="1">
      <c r="A21" s="113">
        <v>20</v>
      </c>
      <c r="B21" s="106" t="s">
        <v>83</v>
      </c>
      <c r="C21" s="106" t="s">
        <v>256</v>
      </c>
      <c r="D21" s="106" t="s">
        <v>256</v>
      </c>
      <c r="E21" s="106" t="s">
        <v>253</v>
      </c>
      <c r="F21" s="115">
        <v>0</v>
      </c>
      <c r="G21" s="120">
        <v>2.0833333333333332E-2</v>
      </c>
      <c r="H21" s="109">
        <f t="shared" si="8"/>
        <v>1800</v>
      </c>
    </row>
    <row r="22" spans="1:9" ht="15.75" customHeight="1">
      <c r="A22" s="105">
        <v>21</v>
      </c>
      <c r="B22" s="106" t="s">
        <v>102</v>
      </c>
      <c r="C22" s="106" t="s">
        <v>256</v>
      </c>
      <c r="D22" s="106" t="s">
        <v>256</v>
      </c>
      <c r="E22" s="106" t="s">
        <v>253</v>
      </c>
      <c r="F22" s="108">
        <v>0</v>
      </c>
      <c r="G22" s="116">
        <v>6.25E-2</v>
      </c>
      <c r="H22" s="109">
        <f t="shared" si="8"/>
        <v>5400</v>
      </c>
      <c r="I22" s="73">
        <v>45467</v>
      </c>
    </row>
    <row r="23" spans="1:9" ht="14.5">
      <c r="A23" s="113">
        <v>22</v>
      </c>
      <c r="B23" s="106" t="s">
        <v>99</v>
      </c>
      <c r="C23" s="106" t="s">
        <v>256</v>
      </c>
      <c r="D23" s="106" t="s">
        <v>256</v>
      </c>
      <c r="E23" s="106" t="s">
        <v>253</v>
      </c>
      <c r="F23" s="115">
        <v>0</v>
      </c>
      <c r="G23" s="117">
        <v>5.2083333333333336E-2</v>
      </c>
      <c r="H23" s="109">
        <f t="shared" si="8"/>
        <v>4500</v>
      </c>
      <c r="I23" s="73">
        <v>45467</v>
      </c>
    </row>
    <row r="24" spans="1:9" ht="14.5">
      <c r="A24" s="105">
        <v>23</v>
      </c>
      <c r="B24" s="106" t="s">
        <v>90</v>
      </c>
      <c r="C24" s="106" t="s">
        <v>256</v>
      </c>
      <c r="D24" s="106" t="s">
        <v>256</v>
      </c>
      <c r="E24" s="106" t="s">
        <v>253</v>
      </c>
      <c r="F24" s="108">
        <v>0</v>
      </c>
      <c r="G24" s="116">
        <v>7.2916666666666671E-2</v>
      </c>
      <c r="H24" s="109">
        <f t="shared" si="8"/>
        <v>6300</v>
      </c>
      <c r="I24" s="73">
        <v>45467</v>
      </c>
    </row>
    <row r="25" spans="1:9" ht="14.5">
      <c r="A25" s="113">
        <v>24</v>
      </c>
      <c r="B25" s="106" t="s">
        <v>84</v>
      </c>
      <c r="C25" s="106" t="s">
        <v>256</v>
      </c>
      <c r="D25" s="106" t="s">
        <v>256</v>
      </c>
      <c r="E25" s="106" t="s">
        <v>253</v>
      </c>
      <c r="F25" s="115">
        <v>0</v>
      </c>
      <c r="G25" s="120">
        <v>7.6388888888888895E-2</v>
      </c>
      <c r="H25" s="109">
        <f t="shared" si="8"/>
        <v>6600.0000000000009</v>
      </c>
      <c r="I25" s="73">
        <v>45467</v>
      </c>
    </row>
    <row r="26" spans="1:9" ht="14.5">
      <c r="A26" s="105">
        <v>25</v>
      </c>
      <c r="B26" s="106" t="s">
        <v>44</v>
      </c>
      <c r="C26" s="106" t="s">
        <v>252</v>
      </c>
      <c r="D26" s="106" t="s">
        <v>252</v>
      </c>
      <c r="E26" s="106" t="s">
        <v>245</v>
      </c>
      <c r="F26" s="108">
        <v>0</v>
      </c>
      <c r="G26" s="116">
        <v>3.472222222222222E-3</v>
      </c>
      <c r="H26" s="109">
        <f t="shared" si="8"/>
        <v>300</v>
      </c>
    </row>
    <row r="27" spans="1:9" ht="14.5">
      <c r="A27" s="113">
        <v>26</v>
      </c>
      <c r="B27" s="106" t="s">
        <v>56</v>
      </c>
      <c r="C27" s="106" t="s">
        <v>258</v>
      </c>
      <c r="D27" s="106" t="s">
        <v>258</v>
      </c>
      <c r="E27" s="106" t="s">
        <v>253</v>
      </c>
      <c r="F27" s="115">
        <v>0</v>
      </c>
      <c r="G27" s="120">
        <v>4.1666666666666664E-2</v>
      </c>
      <c r="H27" s="109">
        <f t="shared" si="8"/>
        <v>3600</v>
      </c>
    </row>
    <row r="28" spans="1:9" ht="14.5">
      <c r="A28" s="105">
        <v>27</v>
      </c>
      <c r="B28" s="106" t="s">
        <v>259</v>
      </c>
      <c r="C28" s="106" t="s">
        <v>258</v>
      </c>
      <c r="D28" s="106" t="s">
        <v>258</v>
      </c>
      <c r="E28" s="106" t="s">
        <v>253</v>
      </c>
      <c r="F28" s="108">
        <v>0</v>
      </c>
      <c r="G28" s="120">
        <v>2.0833333333333332E-2</v>
      </c>
      <c r="H28" s="109">
        <f t="shared" si="8"/>
        <v>1800</v>
      </c>
    </row>
    <row r="29" spans="1:9" ht="14.5">
      <c r="A29" s="113">
        <v>28</v>
      </c>
      <c r="B29" s="106" t="s">
        <v>37</v>
      </c>
      <c r="C29" s="106" t="s">
        <v>260</v>
      </c>
      <c r="D29" s="106" t="s">
        <v>260</v>
      </c>
      <c r="E29" s="106" t="s">
        <v>245</v>
      </c>
      <c r="F29" s="115">
        <v>0</v>
      </c>
      <c r="G29" s="117">
        <v>1.3888888888888889E-3</v>
      </c>
      <c r="H29" s="109">
        <f t="shared" si="8"/>
        <v>120</v>
      </c>
    </row>
    <row r="30" spans="1:9" ht="14.5">
      <c r="A30" s="105">
        <v>29</v>
      </c>
      <c r="B30" s="106" t="s">
        <v>20</v>
      </c>
      <c r="C30" s="106" t="s">
        <v>260</v>
      </c>
      <c r="D30" s="106" t="s">
        <v>260</v>
      </c>
      <c r="E30" s="106" t="s">
        <v>245</v>
      </c>
      <c r="F30" s="108">
        <v>0</v>
      </c>
      <c r="G30" s="116">
        <v>2.0833333333333333E-3</v>
      </c>
      <c r="H30" s="109">
        <f t="shared" si="8"/>
        <v>180</v>
      </c>
    </row>
    <row r="31" spans="1:9" ht="14.5">
      <c r="A31" s="113">
        <v>30</v>
      </c>
      <c r="B31" s="106" t="s">
        <v>48</v>
      </c>
      <c r="C31" s="106" t="s">
        <v>260</v>
      </c>
      <c r="D31" s="106" t="s">
        <v>260</v>
      </c>
      <c r="E31" s="106" t="s">
        <v>245</v>
      </c>
      <c r="F31" s="115">
        <v>0</v>
      </c>
      <c r="G31" s="117">
        <v>1.736111111111111E-3</v>
      </c>
      <c r="H31" s="109">
        <f t="shared" si="8"/>
        <v>150</v>
      </c>
    </row>
    <row r="32" spans="1:9" ht="14.5">
      <c r="A32" s="105">
        <v>31</v>
      </c>
      <c r="B32" s="106" t="s">
        <v>29</v>
      </c>
      <c r="C32" s="106" t="s">
        <v>260</v>
      </c>
      <c r="D32" s="106" t="s">
        <v>260</v>
      </c>
      <c r="E32" s="106" t="s">
        <v>245</v>
      </c>
      <c r="F32" s="108">
        <v>0</v>
      </c>
      <c r="G32" s="116">
        <v>2.0833333333333333E-3</v>
      </c>
      <c r="H32" s="109">
        <f t="shared" si="8"/>
        <v>180</v>
      </c>
    </row>
    <row r="33" spans="1:9" ht="14.5">
      <c r="A33" s="113">
        <v>32</v>
      </c>
      <c r="B33" s="106" t="s">
        <v>106</v>
      </c>
      <c r="C33" s="106" t="s">
        <v>252</v>
      </c>
      <c r="D33" s="106" t="s">
        <v>252</v>
      </c>
      <c r="E33" s="106" t="s">
        <v>245</v>
      </c>
      <c r="F33" s="115">
        <v>0</v>
      </c>
      <c r="G33" s="117">
        <v>2.0833333333333333E-3</v>
      </c>
      <c r="H33" s="109">
        <f t="shared" si="8"/>
        <v>180</v>
      </c>
    </row>
    <row r="34" spans="1:9" ht="14.5">
      <c r="A34" s="105">
        <v>33</v>
      </c>
      <c r="B34" s="106" t="s">
        <v>127</v>
      </c>
      <c r="C34" s="106" t="s">
        <v>252</v>
      </c>
      <c r="D34" s="106" t="s">
        <v>252</v>
      </c>
      <c r="E34" s="106" t="s">
        <v>245</v>
      </c>
      <c r="F34" s="108">
        <v>0</v>
      </c>
      <c r="G34" s="116">
        <v>3.472222222222222E-3</v>
      </c>
      <c r="H34" s="109">
        <f t="shared" si="8"/>
        <v>300</v>
      </c>
    </row>
    <row r="35" spans="1:9" ht="14.5">
      <c r="A35" s="113">
        <v>34</v>
      </c>
      <c r="B35" s="106" t="s">
        <v>105</v>
      </c>
      <c r="C35" s="106" t="s">
        <v>260</v>
      </c>
      <c r="D35" s="106" t="s">
        <v>260</v>
      </c>
      <c r="E35" s="106" t="s">
        <v>245</v>
      </c>
      <c r="F35" s="115">
        <v>0</v>
      </c>
      <c r="G35" s="117">
        <v>1.736111111111111E-3</v>
      </c>
      <c r="H35" s="109">
        <f t="shared" si="8"/>
        <v>150</v>
      </c>
    </row>
    <row r="36" spans="1:9" ht="14.5">
      <c r="A36" s="105">
        <v>35</v>
      </c>
      <c r="B36" s="106" t="s">
        <v>261</v>
      </c>
      <c r="C36" s="106" t="s">
        <v>260</v>
      </c>
      <c r="D36" s="106" t="s">
        <v>260</v>
      </c>
      <c r="E36" s="106" t="s">
        <v>245</v>
      </c>
      <c r="F36" s="108">
        <v>0</v>
      </c>
      <c r="G36" s="120">
        <v>1.3888888888888889E-3</v>
      </c>
      <c r="H36" s="109">
        <f t="shared" si="8"/>
        <v>120</v>
      </c>
    </row>
    <row r="37" spans="1:9" ht="14.5">
      <c r="A37" s="113">
        <v>36</v>
      </c>
      <c r="B37" s="106" t="s">
        <v>54</v>
      </c>
      <c r="C37" s="106" t="s">
        <v>256</v>
      </c>
      <c r="D37" s="106" t="s">
        <v>256</v>
      </c>
      <c r="E37" s="106" t="s">
        <v>253</v>
      </c>
      <c r="F37" s="115">
        <v>0</v>
      </c>
      <c r="G37" s="120">
        <v>2.0833333333333332E-2</v>
      </c>
      <c r="H37" s="109">
        <f t="shared" si="8"/>
        <v>1800</v>
      </c>
    </row>
    <row r="38" spans="1:9" ht="14.5">
      <c r="A38" s="105">
        <v>37</v>
      </c>
      <c r="B38" s="106" t="s">
        <v>115</v>
      </c>
      <c r="C38" s="106" t="s">
        <v>256</v>
      </c>
      <c r="D38" s="106" t="s">
        <v>256</v>
      </c>
      <c r="E38" s="106" t="s">
        <v>253</v>
      </c>
      <c r="F38" s="108">
        <v>0</v>
      </c>
      <c r="G38" s="116">
        <v>1.3888888888888888E-2</v>
      </c>
      <c r="H38" s="109">
        <f t="shared" si="8"/>
        <v>1200</v>
      </c>
    </row>
    <row r="39" spans="1:9" ht="14.5">
      <c r="A39" s="113">
        <v>38</v>
      </c>
      <c r="B39" s="106" t="s">
        <v>116</v>
      </c>
      <c r="C39" s="106" t="s">
        <v>256</v>
      </c>
      <c r="D39" s="106" t="s">
        <v>256</v>
      </c>
      <c r="E39" s="106" t="s">
        <v>253</v>
      </c>
      <c r="F39" s="115">
        <v>0</v>
      </c>
      <c r="G39" s="120">
        <v>2.0833333333333332E-2</v>
      </c>
      <c r="H39" s="109">
        <f t="shared" si="8"/>
        <v>1800</v>
      </c>
    </row>
    <row r="40" spans="1:9" ht="14.5">
      <c r="A40" s="105">
        <v>39</v>
      </c>
      <c r="B40" s="106" t="s">
        <v>262</v>
      </c>
      <c r="C40" s="121" t="s">
        <v>260</v>
      </c>
      <c r="D40" s="121" t="s">
        <v>260</v>
      </c>
      <c r="E40" s="121" t="s">
        <v>245</v>
      </c>
      <c r="F40" s="122">
        <v>0</v>
      </c>
      <c r="G40" s="116">
        <v>4.8611111111111112E-3</v>
      </c>
      <c r="H40" s="109">
        <f t="shared" si="8"/>
        <v>420</v>
      </c>
    </row>
    <row r="41" spans="1:9" ht="14.5">
      <c r="A41" s="113">
        <v>40</v>
      </c>
      <c r="B41" s="106" t="s">
        <v>97</v>
      </c>
      <c r="C41" s="123" t="s">
        <v>260</v>
      </c>
      <c r="D41" s="123" t="s">
        <v>260</v>
      </c>
      <c r="E41" s="123" t="s">
        <v>245</v>
      </c>
      <c r="F41" s="124">
        <v>0</v>
      </c>
      <c r="G41" s="117">
        <v>2.0833333333333333E-3</v>
      </c>
      <c r="H41" s="109">
        <f t="shared" si="8"/>
        <v>180</v>
      </c>
    </row>
    <row r="42" spans="1:9" ht="14.5">
      <c r="A42" s="105">
        <v>41</v>
      </c>
      <c r="B42" s="106" t="s">
        <v>263</v>
      </c>
      <c r="C42" s="106" t="s">
        <v>260</v>
      </c>
      <c r="D42" s="106" t="s">
        <v>260</v>
      </c>
      <c r="E42" s="106" t="s">
        <v>245</v>
      </c>
      <c r="F42" s="108">
        <v>0</v>
      </c>
      <c r="G42" s="108">
        <v>2.0833333333333333E-3</v>
      </c>
      <c r="H42" s="109">
        <f t="shared" si="8"/>
        <v>180</v>
      </c>
    </row>
    <row r="43" spans="1:9" ht="14.5">
      <c r="A43" s="113">
        <v>42</v>
      </c>
      <c r="B43" s="106" t="s">
        <v>264</v>
      </c>
      <c r="C43" s="106" t="s">
        <v>260</v>
      </c>
      <c r="D43" s="106" t="s">
        <v>260</v>
      </c>
      <c r="E43" s="106" t="s">
        <v>245</v>
      </c>
      <c r="F43" s="115">
        <v>0</v>
      </c>
      <c r="G43" s="115">
        <v>2.7777777777777779E-3</v>
      </c>
      <c r="H43" s="109">
        <f t="shared" si="8"/>
        <v>240</v>
      </c>
    </row>
    <row r="44" spans="1:9" ht="14.5">
      <c r="A44" s="105">
        <v>43</v>
      </c>
      <c r="B44" s="106" t="s">
        <v>265</v>
      </c>
      <c r="C44" s="106" t="s">
        <v>260</v>
      </c>
      <c r="D44" s="106" t="s">
        <v>260</v>
      </c>
      <c r="E44" s="106" t="s">
        <v>245</v>
      </c>
      <c r="F44" s="108">
        <v>0</v>
      </c>
      <c r="G44" s="108">
        <v>6.9444444444444441E-3</v>
      </c>
      <c r="H44" s="109">
        <f t="shared" si="8"/>
        <v>600</v>
      </c>
    </row>
    <row r="45" spans="1:9" ht="14.5">
      <c r="A45" s="113">
        <v>44</v>
      </c>
      <c r="B45" s="106" t="s">
        <v>38</v>
      </c>
      <c r="C45" s="106" t="s">
        <v>260</v>
      </c>
      <c r="D45" s="106" t="s">
        <v>260</v>
      </c>
      <c r="E45" s="106" t="s">
        <v>245</v>
      </c>
      <c r="F45" s="115">
        <v>0</v>
      </c>
      <c r="G45" s="115">
        <v>2.7777777777777779E-3</v>
      </c>
      <c r="H45" s="109">
        <f t="shared" si="8"/>
        <v>240</v>
      </c>
    </row>
    <row r="46" spans="1:9" ht="14.5">
      <c r="A46" s="105">
        <v>45</v>
      </c>
      <c r="B46" s="106" t="s">
        <v>63</v>
      </c>
      <c r="C46" s="106" t="s">
        <v>256</v>
      </c>
      <c r="D46" s="106" t="s">
        <v>256</v>
      </c>
      <c r="E46" s="106" t="s">
        <v>253</v>
      </c>
      <c r="F46" s="108">
        <v>0</v>
      </c>
      <c r="G46" s="120">
        <v>4.5138888888888888E-2</v>
      </c>
      <c r="H46" s="109">
        <f t="shared" si="8"/>
        <v>3900</v>
      </c>
    </row>
    <row r="47" spans="1:9" ht="14.5">
      <c r="A47" s="113">
        <v>46</v>
      </c>
      <c r="B47" s="106" t="s">
        <v>85</v>
      </c>
      <c r="C47" s="106" t="s">
        <v>256</v>
      </c>
      <c r="D47" s="106" t="s">
        <v>256</v>
      </c>
      <c r="E47" s="106" t="s">
        <v>253</v>
      </c>
      <c r="F47" s="115">
        <v>0</v>
      </c>
      <c r="G47" s="120">
        <v>0.11458333333333333</v>
      </c>
      <c r="H47" s="109">
        <f t="shared" si="8"/>
        <v>9900</v>
      </c>
      <c r="I47" s="73">
        <v>45467</v>
      </c>
    </row>
    <row r="48" spans="1:9" ht="14.5">
      <c r="A48" s="105">
        <v>47</v>
      </c>
      <c r="B48" s="107" t="s">
        <v>57</v>
      </c>
      <c r="C48" s="106" t="s">
        <v>256</v>
      </c>
      <c r="D48" s="106" t="s">
        <v>256</v>
      </c>
      <c r="E48" s="106" t="s">
        <v>245</v>
      </c>
      <c r="F48" s="108">
        <v>0</v>
      </c>
      <c r="G48" s="116">
        <v>2.7777777777777779E-3</v>
      </c>
      <c r="H48" s="109">
        <f t="shared" si="8"/>
        <v>240</v>
      </c>
    </row>
    <row r="49" spans="1:10" ht="14.5">
      <c r="A49" s="113">
        <v>48</v>
      </c>
      <c r="B49" s="106" t="s">
        <v>104</v>
      </c>
      <c r="C49" s="106" t="s">
        <v>256</v>
      </c>
      <c r="D49" s="106" t="s">
        <v>256</v>
      </c>
      <c r="E49" s="106" t="s">
        <v>253</v>
      </c>
      <c r="F49" s="115">
        <v>0</v>
      </c>
      <c r="G49" s="117">
        <v>3.4722222222222224E-2</v>
      </c>
      <c r="H49" s="109">
        <f t="shared" si="8"/>
        <v>3000</v>
      </c>
    </row>
    <row r="50" spans="1:10" ht="14.5">
      <c r="A50" s="105">
        <v>49</v>
      </c>
      <c r="B50" s="106" t="s">
        <v>50</v>
      </c>
      <c r="C50" s="106" t="s">
        <v>252</v>
      </c>
      <c r="D50" s="106" t="s">
        <v>252</v>
      </c>
      <c r="E50" s="106" t="s">
        <v>253</v>
      </c>
      <c r="F50" s="108">
        <v>0</v>
      </c>
      <c r="G50" s="116">
        <v>1.0416666666666666E-2</v>
      </c>
      <c r="H50" s="109">
        <f t="shared" si="8"/>
        <v>900</v>
      </c>
    </row>
    <row r="51" spans="1:10" ht="14.5">
      <c r="A51" s="113">
        <v>50</v>
      </c>
      <c r="B51" s="106" t="s">
        <v>51</v>
      </c>
      <c r="C51" s="106" t="s">
        <v>252</v>
      </c>
      <c r="D51" s="106" t="s">
        <v>252</v>
      </c>
      <c r="E51" s="106" t="s">
        <v>253</v>
      </c>
      <c r="F51" s="115">
        <v>0</v>
      </c>
      <c r="G51" s="117">
        <v>1.0416666666666666E-2</v>
      </c>
      <c r="H51" s="109">
        <f t="shared" si="8"/>
        <v>900</v>
      </c>
    </row>
    <row r="52" spans="1:10" ht="14.5">
      <c r="A52" s="105">
        <v>51</v>
      </c>
      <c r="B52" s="106" t="s">
        <v>52</v>
      </c>
      <c r="C52" s="106" t="s">
        <v>252</v>
      </c>
      <c r="D52" s="106" t="s">
        <v>252</v>
      </c>
      <c r="E52" s="106" t="s">
        <v>253</v>
      </c>
      <c r="F52" s="108">
        <v>0</v>
      </c>
      <c r="G52" s="116">
        <v>1.0416666666666666E-2</v>
      </c>
      <c r="H52" s="109">
        <f t="shared" si="8"/>
        <v>900</v>
      </c>
    </row>
    <row r="53" spans="1:10" ht="14.5">
      <c r="A53" s="113">
        <v>52</v>
      </c>
      <c r="B53" s="106" t="s">
        <v>93</v>
      </c>
      <c r="C53" s="106" t="s">
        <v>260</v>
      </c>
      <c r="D53" s="106" t="s">
        <v>260</v>
      </c>
      <c r="E53" s="106" t="s">
        <v>245</v>
      </c>
      <c r="F53" s="115">
        <v>0</v>
      </c>
      <c r="G53" s="117">
        <v>6.9444444444444441E-3</v>
      </c>
      <c r="H53" s="109">
        <f t="shared" si="8"/>
        <v>600</v>
      </c>
    </row>
    <row r="54" spans="1:10" ht="14.5">
      <c r="A54" s="105">
        <v>53</v>
      </c>
      <c r="B54" s="106" t="s">
        <v>16</v>
      </c>
      <c r="C54" s="106" t="s">
        <v>260</v>
      </c>
      <c r="D54" s="106" t="s">
        <v>260</v>
      </c>
      <c r="E54" s="106" t="s">
        <v>245</v>
      </c>
      <c r="F54" s="108">
        <v>0</v>
      </c>
      <c r="G54" s="116">
        <v>5.5555555555555558E-3</v>
      </c>
      <c r="H54" s="109">
        <f t="shared" si="8"/>
        <v>480</v>
      </c>
    </row>
    <row r="55" spans="1:10" ht="14.5">
      <c r="A55" s="113">
        <v>54</v>
      </c>
      <c r="B55" s="106" t="s">
        <v>86</v>
      </c>
      <c r="C55" s="106" t="s">
        <v>260</v>
      </c>
      <c r="D55" s="106" t="s">
        <v>260</v>
      </c>
      <c r="E55" s="106" t="s">
        <v>245</v>
      </c>
      <c r="F55" s="115">
        <v>0</v>
      </c>
      <c r="G55" s="117">
        <v>3.472222222222222E-3</v>
      </c>
      <c r="H55" s="109">
        <f t="shared" si="8"/>
        <v>300</v>
      </c>
    </row>
    <row r="56" spans="1:10" ht="14.5">
      <c r="A56" s="105">
        <v>55</v>
      </c>
      <c r="B56" s="106" t="s">
        <v>65</v>
      </c>
      <c r="C56" s="106" t="s">
        <v>256</v>
      </c>
      <c r="D56" s="106" t="s">
        <v>256</v>
      </c>
      <c r="E56" s="106" t="s">
        <v>253</v>
      </c>
      <c r="F56" s="108">
        <v>0</v>
      </c>
      <c r="G56" s="116">
        <v>2.0833333333333332E-2</v>
      </c>
      <c r="H56" s="109">
        <f t="shared" si="8"/>
        <v>1800</v>
      </c>
    </row>
    <row r="57" spans="1:10" ht="14.5">
      <c r="A57" s="113">
        <v>56</v>
      </c>
      <c r="B57" s="106" t="s">
        <v>53</v>
      </c>
      <c r="C57" s="106" t="s">
        <v>252</v>
      </c>
      <c r="D57" s="106" t="s">
        <v>252</v>
      </c>
      <c r="E57" s="106" t="s">
        <v>253</v>
      </c>
      <c r="F57" s="115">
        <v>0</v>
      </c>
      <c r="G57" s="117">
        <v>1.0416666666666666E-2</v>
      </c>
      <c r="H57" s="109">
        <f t="shared" si="8"/>
        <v>900</v>
      </c>
    </row>
    <row r="58" spans="1:10" ht="14.5">
      <c r="A58" s="105">
        <v>57</v>
      </c>
      <c r="B58" s="106" t="s">
        <v>49</v>
      </c>
      <c r="C58" s="106" t="s">
        <v>260</v>
      </c>
      <c r="D58" s="106" t="s">
        <v>260</v>
      </c>
      <c r="E58" s="106" t="s">
        <v>245</v>
      </c>
      <c r="F58" s="108">
        <v>0</v>
      </c>
      <c r="G58" s="116">
        <v>3.472222222222222E-3</v>
      </c>
      <c r="H58" s="109">
        <f t="shared" si="8"/>
        <v>300</v>
      </c>
    </row>
    <row r="59" spans="1:10" ht="14.5">
      <c r="A59" s="113">
        <v>58</v>
      </c>
      <c r="B59" s="106" t="s">
        <v>30</v>
      </c>
      <c r="C59" s="106" t="s">
        <v>252</v>
      </c>
      <c r="D59" s="106" t="s">
        <v>252</v>
      </c>
      <c r="E59" s="106" t="s">
        <v>253</v>
      </c>
      <c r="F59" s="115">
        <v>0</v>
      </c>
      <c r="G59" s="117">
        <v>4.8611111111111112E-2</v>
      </c>
      <c r="H59" s="109">
        <f t="shared" si="8"/>
        <v>4200</v>
      </c>
      <c r="J59" s="53"/>
    </row>
    <row r="60" spans="1:10" ht="14.5">
      <c r="A60" s="105">
        <v>59</v>
      </c>
      <c r="B60" s="106" t="s">
        <v>18</v>
      </c>
      <c r="C60" s="106" t="s">
        <v>252</v>
      </c>
      <c r="D60" s="106" t="s">
        <v>252</v>
      </c>
      <c r="E60" s="106" t="s">
        <v>253</v>
      </c>
      <c r="F60" s="108">
        <v>0</v>
      </c>
      <c r="G60" s="116">
        <v>4.8611111111111112E-2</v>
      </c>
      <c r="H60" s="109">
        <f t="shared" si="8"/>
        <v>4200</v>
      </c>
    </row>
    <row r="61" spans="1:10" ht="14.5">
      <c r="A61" s="113">
        <v>60</v>
      </c>
      <c r="B61" s="106" t="s">
        <v>67</v>
      </c>
      <c r="C61" s="106" t="s">
        <v>260</v>
      </c>
      <c r="D61" s="106" t="s">
        <v>260</v>
      </c>
      <c r="E61" s="106" t="s">
        <v>245</v>
      </c>
      <c r="F61" s="115">
        <v>0</v>
      </c>
      <c r="G61" s="117">
        <v>1.3888888888888889E-3</v>
      </c>
      <c r="H61" s="109">
        <f t="shared" si="8"/>
        <v>120</v>
      </c>
    </row>
    <row r="62" spans="1:10" ht="14.5">
      <c r="A62" s="105">
        <v>61</v>
      </c>
      <c r="B62" s="106" t="s">
        <v>34</v>
      </c>
      <c r="C62" s="106" t="s">
        <v>260</v>
      </c>
      <c r="D62" s="106" t="s">
        <v>260</v>
      </c>
      <c r="E62" s="106" t="s">
        <v>245</v>
      </c>
      <c r="F62" s="108">
        <v>0</v>
      </c>
      <c r="G62" s="116">
        <v>8.3333333333333332E-3</v>
      </c>
      <c r="H62" s="109">
        <f t="shared" si="8"/>
        <v>720</v>
      </c>
    </row>
    <row r="63" spans="1:10" ht="14.5">
      <c r="A63" s="113">
        <v>62</v>
      </c>
      <c r="B63" s="106" t="s">
        <v>36</v>
      </c>
      <c r="C63" s="106" t="s">
        <v>260</v>
      </c>
      <c r="D63" s="106" t="s">
        <v>260</v>
      </c>
      <c r="E63" s="106" t="s">
        <v>245</v>
      </c>
      <c r="F63" s="115">
        <v>0</v>
      </c>
      <c r="G63" s="117">
        <v>6.9444444444444447E-4</v>
      </c>
      <c r="H63" s="109">
        <f t="shared" si="8"/>
        <v>60</v>
      </c>
    </row>
    <row r="64" spans="1:10" ht="14.5">
      <c r="A64" s="105">
        <v>63</v>
      </c>
      <c r="B64" s="106" t="s">
        <v>19</v>
      </c>
      <c r="C64" s="106" t="s">
        <v>260</v>
      </c>
      <c r="D64" s="106" t="s">
        <v>260</v>
      </c>
      <c r="E64" s="106" t="s">
        <v>245</v>
      </c>
      <c r="F64" s="108">
        <v>0</v>
      </c>
      <c r="G64" s="116">
        <v>2.7777777777777779E-3</v>
      </c>
      <c r="H64" s="109">
        <f t="shared" si="8"/>
        <v>240</v>
      </c>
    </row>
    <row r="65" spans="1:8" ht="14.5">
      <c r="A65" s="113">
        <v>64</v>
      </c>
      <c r="B65" s="106" t="s">
        <v>26</v>
      </c>
      <c r="C65" s="106" t="s">
        <v>260</v>
      </c>
      <c r="D65" s="106" t="s">
        <v>260</v>
      </c>
      <c r="E65" s="106" t="s">
        <v>266</v>
      </c>
      <c r="F65" s="115">
        <v>0</v>
      </c>
      <c r="G65" s="117">
        <v>2.0833333333333332E-2</v>
      </c>
      <c r="H65" s="109">
        <f t="shared" si="8"/>
        <v>1800</v>
      </c>
    </row>
    <row r="66" spans="1:8" ht="14.5">
      <c r="A66" s="105">
        <v>65</v>
      </c>
      <c r="B66" s="106" t="s">
        <v>17</v>
      </c>
      <c r="C66" s="106" t="s">
        <v>256</v>
      </c>
      <c r="D66" s="106" t="s">
        <v>256</v>
      </c>
      <c r="E66" s="106" t="s">
        <v>266</v>
      </c>
      <c r="F66" s="108">
        <v>0</v>
      </c>
      <c r="G66" s="116">
        <v>2.0833333333333332E-2</v>
      </c>
      <c r="H66" s="109">
        <f t="shared" si="8"/>
        <v>1800</v>
      </c>
    </row>
    <row r="67" spans="1:8" ht="14.5">
      <c r="A67" s="113">
        <v>66</v>
      </c>
      <c r="B67" s="106" t="s">
        <v>40</v>
      </c>
      <c r="C67" s="106" t="s">
        <v>256</v>
      </c>
      <c r="D67" s="106" t="s">
        <v>256</v>
      </c>
      <c r="E67" s="106" t="s">
        <v>266</v>
      </c>
      <c r="F67" s="115">
        <v>0</v>
      </c>
      <c r="G67" s="117">
        <v>1.0416666666666666E-2</v>
      </c>
      <c r="H67" s="109">
        <f t="shared" si="8"/>
        <v>900</v>
      </c>
    </row>
    <row r="68" spans="1:8" ht="14.5">
      <c r="A68" s="105">
        <v>67</v>
      </c>
      <c r="B68" s="106" t="s">
        <v>35</v>
      </c>
      <c r="C68" s="106" t="s">
        <v>260</v>
      </c>
      <c r="D68" s="106" t="s">
        <v>260</v>
      </c>
      <c r="E68" s="106" t="s">
        <v>267</v>
      </c>
      <c r="F68" s="108">
        <v>0</v>
      </c>
      <c r="G68" s="116">
        <v>4.1666666666666664E-2</v>
      </c>
      <c r="H68" s="109">
        <f t="shared" si="8"/>
        <v>3600</v>
      </c>
    </row>
    <row r="69" spans="1:8" ht="14.5">
      <c r="A69" s="113">
        <v>68</v>
      </c>
      <c r="B69" s="106" t="s">
        <v>268</v>
      </c>
      <c r="C69" s="106" t="s">
        <v>256</v>
      </c>
      <c r="D69" s="106" t="s">
        <v>256</v>
      </c>
      <c r="E69" s="106" t="s">
        <v>267</v>
      </c>
      <c r="F69" s="115">
        <v>0</v>
      </c>
      <c r="G69" s="117">
        <v>1.0416666666666666E-2</v>
      </c>
      <c r="H69" s="109">
        <f t="shared" si="8"/>
        <v>900</v>
      </c>
    </row>
    <row r="70" spans="1:8" ht="14.5">
      <c r="A70" s="105">
        <v>69</v>
      </c>
      <c r="B70" s="106" t="s">
        <v>31</v>
      </c>
      <c r="C70" s="106" t="s">
        <v>256</v>
      </c>
      <c r="D70" s="106" t="s">
        <v>256</v>
      </c>
      <c r="E70" s="106" t="s">
        <v>267</v>
      </c>
      <c r="F70" s="108">
        <v>0</v>
      </c>
      <c r="G70" s="116">
        <v>2.0833333333333332E-2</v>
      </c>
      <c r="H70" s="109">
        <f t="shared" si="8"/>
        <v>1800</v>
      </c>
    </row>
    <row r="71" spans="1:8" ht="14.5">
      <c r="A71" s="113" t="str">
        <f t="shared" ref="A71:A100" si="9">IF(B71&lt;&gt;"",A70+1,"")</f>
        <v/>
      </c>
      <c r="B71" s="106"/>
      <c r="C71" s="106"/>
      <c r="D71" s="106"/>
      <c r="E71" s="106"/>
      <c r="F71" s="115"/>
      <c r="G71" s="117"/>
      <c r="H71" s="109"/>
    </row>
    <row r="72" spans="1:8" ht="14.5">
      <c r="A72" s="105" t="str">
        <f t="shared" si="9"/>
        <v/>
      </c>
      <c r="B72" s="106"/>
      <c r="C72" s="106"/>
      <c r="D72" s="106"/>
      <c r="E72" s="106"/>
      <c r="F72" s="108"/>
      <c r="G72" s="116"/>
      <c r="H72" s="109"/>
    </row>
    <row r="73" spans="1:8" ht="14.5">
      <c r="A73" s="113" t="str">
        <f t="shared" si="9"/>
        <v/>
      </c>
      <c r="B73" s="106"/>
      <c r="C73" s="106"/>
      <c r="D73" s="106"/>
      <c r="E73" s="106"/>
      <c r="F73" s="115"/>
      <c r="G73" s="117"/>
      <c r="H73" s="109"/>
    </row>
    <row r="74" spans="1:8" ht="14.5">
      <c r="A74" s="105" t="str">
        <f t="shared" si="9"/>
        <v/>
      </c>
      <c r="B74" s="106"/>
      <c r="C74" s="106"/>
      <c r="D74" s="106"/>
      <c r="E74" s="106"/>
      <c r="F74" s="108"/>
      <c r="G74" s="116"/>
      <c r="H74" s="109"/>
    </row>
    <row r="75" spans="1:8" ht="14.5">
      <c r="A75" s="113" t="str">
        <f t="shared" si="9"/>
        <v/>
      </c>
      <c r="B75" s="106"/>
      <c r="C75" s="106"/>
      <c r="D75" s="106"/>
      <c r="E75" s="106"/>
      <c r="F75" s="115"/>
      <c r="G75" s="117"/>
      <c r="H75" s="109"/>
    </row>
    <row r="76" spans="1:8" ht="14.5">
      <c r="A76" s="105" t="str">
        <f t="shared" si="9"/>
        <v/>
      </c>
      <c r="B76" s="106"/>
      <c r="C76" s="106"/>
      <c r="D76" s="106"/>
      <c r="E76" s="106"/>
      <c r="F76" s="108"/>
      <c r="G76" s="116"/>
      <c r="H76" s="109"/>
    </row>
    <row r="77" spans="1:8" ht="14.5">
      <c r="A77" s="113" t="str">
        <f t="shared" si="9"/>
        <v/>
      </c>
      <c r="B77" s="106"/>
      <c r="C77" s="106"/>
      <c r="D77" s="106"/>
      <c r="E77" s="106"/>
      <c r="F77" s="115"/>
      <c r="G77" s="117"/>
      <c r="H77" s="109"/>
    </row>
    <row r="78" spans="1:8" ht="14.5">
      <c r="A78" s="105" t="str">
        <f t="shared" si="9"/>
        <v/>
      </c>
      <c r="B78" s="106"/>
      <c r="C78" s="106"/>
      <c r="D78" s="106"/>
      <c r="E78" s="106"/>
      <c r="F78" s="108"/>
      <c r="G78" s="116"/>
      <c r="H78" s="109"/>
    </row>
    <row r="79" spans="1:8" ht="14.5">
      <c r="A79" s="113" t="str">
        <f t="shared" si="9"/>
        <v/>
      </c>
      <c r="B79" s="106"/>
      <c r="C79" s="106"/>
      <c r="D79" s="106"/>
      <c r="E79" s="106"/>
      <c r="F79" s="115"/>
      <c r="G79" s="117"/>
      <c r="H79" s="109"/>
    </row>
    <row r="80" spans="1:8" ht="14.5">
      <c r="A80" s="105" t="str">
        <f t="shared" si="9"/>
        <v/>
      </c>
      <c r="B80" s="106"/>
      <c r="C80" s="106"/>
      <c r="D80" s="106"/>
      <c r="E80" s="106"/>
      <c r="F80" s="108"/>
      <c r="G80" s="116"/>
      <c r="H80" s="109"/>
    </row>
    <row r="81" spans="1:8" ht="14.5">
      <c r="A81" s="113" t="str">
        <f t="shared" si="9"/>
        <v/>
      </c>
      <c r="B81" s="106"/>
      <c r="C81" s="106"/>
      <c r="D81" s="106"/>
      <c r="E81" s="106"/>
      <c r="F81" s="115"/>
      <c r="G81" s="117"/>
      <c r="H81" s="109"/>
    </row>
    <row r="82" spans="1:8" ht="14.5">
      <c r="A82" s="105" t="str">
        <f t="shared" si="9"/>
        <v/>
      </c>
      <c r="B82" s="106"/>
      <c r="C82" s="106"/>
      <c r="D82" s="106"/>
      <c r="E82" s="106"/>
      <c r="F82" s="108"/>
      <c r="G82" s="116"/>
      <c r="H82" s="109"/>
    </row>
    <row r="83" spans="1:8" ht="14.5">
      <c r="A83" s="113" t="str">
        <f t="shared" si="9"/>
        <v/>
      </c>
      <c r="B83" s="106"/>
      <c r="C83" s="106"/>
      <c r="D83" s="106"/>
      <c r="E83" s="106"/>
      <c r="F83" s="115"/>
      <c r="G83" s="117"/>
      <c r="H83" s="109"/>
    </row>
    <row r="84" spans="1:8" ht="14.5">
      <c r="A84" s="105" t="str">
        <f t="shared" si="9"/>
        <v/>
      </c>
      <c r="B84" s="106"/>
      <c r="C84" s="106"/>
      <c r="D84" s="106"/>
      <c r="E84" s="106"/>
      <c r="F84" s="108"/>
      <c r="G84" s="116"/>
      <c r="H84" s="109"/>
    </row>
    <row r="85" spans="1:8" ht="14.5">
      <c r="A85" s="113" t="str">
        <f t="shared" si="9"/>
        <v/>
      </c>
      <c r="B85" s="106"/>
      <c r="C85" s="106"/>
      <c r="D85" s="106"/>
      <c r="E85" s="106"/>
      <c r="F85" s="115"/>
      <c r="G85" s="117"/>
      <c r="H85" s="109"/>
    </row>
    <row r="86" spans="1:8" ht="14.5">
      <c r="A86" s="105" t="str">
        <f t="shared" si="9"/>
        <v/>
      </c>
      <c r="B86" s="106"/>
      <c r="C86" s="106"/>
      <c r="D86" s="106"/>
      <c r="E86" s="106"/>
      <c r="F86" s="108"/>
      <c r="G86" s="116"/>
      <c r="H86" s="109"/>
    </row>
    <row r="87" spans="1:8" ht="14.5">
      <c r="A87" s="113" t="str">
        <f t="shared" si="9"/>
        <v/>
      </c>
      <c r="B87" s="106"/>
      <c r="C87" s="106"/>
      <c r="D87" s="106"/>
      <c r="E87" s="106"/>
      <c r="F87" s="115"/>
      <c r="G87" s="117"/>
      <c r="H87" s="109"/>
    </row>
    <row r="88" spans="1:8" ht="14.5">
      <c r="A88" s="105" t="str">
        <f t="shared" si="9"/>
        <v/>
      </c>
      <c r="B88" s="106"/>
      <c r="C88" s="106"/>
      <c r="D88" s="106"/>
      <c r="E88" s="106"/>
      <c r="F88" s="108"/>
      <c r="G88" s="116"/>
      <c r="H88" s="109"/>
    </row>
    <row r="89" spans="1:8" ht="14.5">
      <c r="A89" s="113" t="str">
        <f t="shared" si="9"/>
        <v/>
      </c>
      <c r="B89" s="106"/>
      <c r="C89" s="106"/>
      <c r="D89" s="106"/>
      <c r="E89" s="106"/>
      <c r="F89" s="115"/>
      <c r="G89" s="117"/>
      <c r="H89" s="109"/>
    </row>
    <row r="90" spans="1:8" ht="14.5">
      <c r="A90" s="105" t="str">
        <f t="shared" si="9"/>
        <v/>
      </c>
      <c r="B90" s="106"/>
      <c r="C90" s="106"/>
      <c r="D90" s="106"/>
      <c r="E90" s="106"/>
      <c r="F90" s="108"/>
      <c r="G90" s="116"/>
      <c r="H90" s="109"/>
    </row>
    <row r="91" spans="1:8" ht="14.5">
      <c r="A91" s="113" t="str">
        <f t="shared" si="9"/>
        <v/>
      </c>
      <c r="B91" s="106"/>
      <c r="C91" s="106"/>
      <c r="D91" s="106"/>
      <c r="E91" s="106"/>
      <c r="F91" s="115"/>
      <c r="G91" s="117"/>
      <c r="H91" s="109"/>
    </row>
    <row r="92" spans="1:8" ht="14.5">
      <c r="A92" s="105" t="str">
        <f t="shared" si="9"/>
        <v/>
      </c>
      <c r="B92" s="106"/>
      <c r="C92" s="106"/>
      <c r="D92" s="106"/>
      <c r="E92" s="106"/>
      <c r="F92" s="108"/>
      <c r="G92" s="116"/>
      <c r="H92" s="109"/>
    </row>
    <row r="93" spans="1:8" ht="14.5">
      <c r="A93" s="113" t="str">
        <f t="shared" si="9"/>
        <v/>
      </c>
      <c r="B93" s="106"/>
      <c r="C93" s="106"/>
      <c r="D93" s="106"/>
      <c r="E93" s="106"/>
      <c r="F93" s="115"/>
      <c r="G93" s="117"/>
      <c r="H93" s="109"/>
    </row>
    <row r="94" spans="1:8" ht="14.5">
      <c r="A94" s="105" t="str">
        <f t="shared" si="9"/>
        <v/>
      </c>
      <c r="B94" s="106"/>
      <c r="C94" s="106"/>
      <c r="D94" s="106"/>
      <c r="E94" s="106"/>
      <c r="F94" s="108"/>
      <c r="G94" s="116"/>
      <c r="H94" s="109"/>
    </row>
    <row r="95" spans="1:8" ht="14.5">
      <c r="A95" s="113" t="str">
        <f t="shared" si="9"/>
        <v/>
      </c>
      <c r="B95" s="106"/>
      <c r="C95" s="106"/>
      <c r="D95" s="106"/>
      <c r="E95" s="106"/>
      <c r="F95" s="115"/>
      <c r="G95" s="117"/>
      <c r="H95" s="109"/>
    </row>
    <row r="96" spans="1:8" ht="14.5">
      <c r="A96" s="105" t="str">
        <f t="shared" si="9"/>
        <v/>
      </c>
      <c r="B96" s="106"/>
      <c r="C96" s="106"/>
      <c r="D96" s="106"/>
      <c r="E96" s="106"/>
      <c r="F96" s="108"/>
      <c r="G96" s="116"/>
      <c r="H96" s="109"/>
    </row>
    <row r="97" spans="1:8" ht="14.5">
      <c r="A97" s="113" t="str">
        <f t="shared" si="9"/>
        <v/>
      </c>
      <c r="B97" s="106"/>
      <c r="C97" s="106"/>
      <c r="D97" s="106"/>
      <c r="E97" s="106"/>
      <c r="F97" s="115"/>
      <c r="G97" s="117"/>
      <c r="H97" s="109"/>
    </row>
    <row r="98" spans="1:8" ht="14.5">
      <c r="A98" s="105" t="str">
        <f t="shared" si="9"/>
        <v/>
      </c>
      <c r="B98" s="106"/>
      <c r="C98" s="106"/>
      <c r="D98" s="106"/>
      <c r="E98" s="106"/>
      <c r="F98" s="108"/>
      <c r="G98" s="116"/>
      <c r="H98" s="109"/>
    </row>
    <row r="99" spans="1:8" ht="14.5">
      <c r="A99" s="113" t="str">
        <f t="shared" si="9"/>
        <v/>
      </c>
      <c r="B99" s="106"/>
      <c r="C99" s="106"/>
      <c r="D99" s="106"/>
      <c r="E99" s="106"/>
      <c r="F99" s="115"/>
      <c r="G99" s="117"/>
      <c r="H99" s="109"/>
    </row>
    <row r="100" spans="1:8" ht="14.5">
      <c r="A100" s="105" t="str">
        <f t="shared" si="9"/>
        <v/>
      </c>
      <c r="B100" s="106"/>
      <c r="C100" s="106"/>
      <c r="D100" s="106"/>
      <c r="E100" s="106"/>
      <c r="F100" s="108"/>
      <c r="G100" s="116"/>
      <c r="H100" s="109"/>
    </row>
  </sheetData>
  <dataValidations count="2">
    <dataValidation type="custom" allowBlank="1" showDropDown="1" sqref="F2:G100" xr:uid="{00000000-0002-0000-0F00-000000000000}">
      <formula1>OR(TIMEVALUE(TEXT(F2, "hh:mm:ss"))=F2, AND(ISNUMBER(F2), LEFT(CELL("format", F2))="D"))</formula1>
    </dataValidation>
    <dataValidation type="custom" allowBlank="1" showDropDown="1" sqref="H2:H100" xr:uid="{00000000-0002-0000-0F00-000001000000}">
      <formula1>AND(ISNUMBER(H2),(NOT(OR(NOT(ISERROR(DATEVALUE(H2))), AND(ISNUMBER(H2), LEFT(CELL("format", H2))="D")))))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439"/>
  <sheetViews>
    <sheetView workbookViewId="0">
      <pane ySplit="4" topLeftCell="A5" activePane="bottomLeft" state="frozen"/>
      <selection pane="bottomLeft" activeCell="D444" sqref="D444"/>
    </sheetView>
  </sheetViews>
  <sheetFormatPr defaultColWidth="12.6328125" defaultRowHeight="15.75" customHeight="1"/>
  <cols>
    <col min="1" max="1" width="5.36328125" bestFit="1" customWidth="1"/>
    <col min="2" max="2" width="11.08984375" bestFit="1" customWidth="1"/>
    <col min="3" max="3" width="10.453125" bestFit="1" customWidth="1"/>
    <col min="4" max="4" width="33.453125" customWidth="1"/>
    <col min="5" max="5" width="6.453125" customWidth="1"/>
    <col min="6" max="6" width="7" customWidth="1"/>
    <col min="7" max="7" width="8.7265625" customWidth="1"/>
    <col min="8" max="8" width="8.90625" customWidth="1"/>
    <col min="9" max="9" width="9.7265625" customWidth="1"/>
    <col min="10" max="10" width="11.26953125" customWidth="1"/>
    <col min="11" max="11" width="13.26953125" customWidth="1"/>
    <col min="12" max="12" width="7.6328125" customWidth="1"/>
    <col min="13" max="13" width="8.26953125" customWidth="1"/>
    <col min="14" max="14" width="7.36328125" customWidth="1"/>
    <col min="15" max="15" width="5.7265625" customWidth="1"/>
    <col min="16" max="16" width="10.26953125" customWidth="1"/>
    <col min="17" max="17" width="7.90625" bestFit="1" customWidth="1"/>
    <col min="18" max="18" width="11.1796875" bestFit="1" customWidth="1"/>
    <col min="19" max="19" width="10.26953125" customWidth="1"/>
    <col min="20" max="20" width="8.453125" bestFit="1" customWidth="1"/>
    <col min="21" max="21" width="11.6328125" customWidth="1"/>
    <col min="22" max="22" width="14" customWidth="1"/>
    <col min="23" max="23" width="7.90625" bestFit="1" customWidth="1"/>
    <col min="25" max="25" width="13.6328125" customWidth="1"/>
  </cols>
  <sheetData>
    <row r="1" spans="1:24" ht="15.75" customHeight="1">
      <c r="A1" s="141" t="s">
        <v>274</v>
      </c>
      <c r="B1" s="141" t="s">
        <v>275</v>
      </c>
      <c r="C1" s="1" t="s">
        <v>0</v>
      </c>
      <c r="D1" s="2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4">
        <v>0.1875</v>
      </c>
      <c r="R1" s="5" t="s">
        <v>0</v>
      </c>
      <c r="S1" s="5" t="s">
        <v>4</v>
      </c>
      <c r="T1" s="5" t="s">
        <v>14</v>
      </c>
      <c r="U1" s="5" t="s">
        <v>15</v>
      </c>
      <c r="V1" s="5" t="s">
        <v>13</v>
      </c>
      <c r="W1" s="4">
        <v>0.33333333333333331</v>
      </c>
    </row>
    <row r="2" spans="1:24" ht="15.75" customHeight="1">
      <c r="A2" s="142">
        <v>1</v>
      </c>
      <c r="B2" s="142" t="str">
        <f>VLOOKUP(D2,Task!$B:$E,4,0)</f>
        <v>Report</v>
      </c>
      <c r="C2" s="150">
        <v>45659</v>
      </c>
      <c r="D2" s="7" t="s">
        <v>42</v>
      </c>
      <c r="E2" s="7">
        <v>1</v>
      </c>
      <c r="F2" s="8">
        <v>6.9444444444444441E-3</v>
      </c>
      <c r="G2" s="9">
        <v>6.9444444444444441E-3</v>
      </c>
      <c r="H2" s="10">
        <v>0.37465277777777783</v>
      </c>
      <c r="I2" s="10">
        <v>0.3810763888888889</v>
      </c>
      <c r="J2" s="57">
        <f t="shared" ref="J2" si="0">IF(I2="","", IF(N2=" ",IF(OR(H2=0,I2=0),"",I2-H2),((I2-H2)-N2)))</f>
        <v>6.4236111111110605E-3</v>
      </c>
      <c r="K2" s="129">
        <f t="shared" ref="K2" si="1">IFERROR(IF(N2=" ",(H2+G2),(H2+G2+N2)),"")</f>
        <v>0.38159722222222225</v>
      </c>
      <c r="L2" s="8"/>
      <c r="M2" s="8"/>
      <c r="N2" s="8"/>
      <c r="O2" s="12"/>
      <c r="P2" s="16">
        <f t="shared" ref="P2:P65" si="2">IFERROR(G2/J2," ")</f>
        <v>1.0810810810810896</v>
      </c>
      <c r="Q2" s="8">
        <v>0.63107638888888884</v>
      </c>
      <c r="R2" s="14">
        <f ca="1">IFERROR(__xludf.DUMMYFUNCTION("UNIQUE($A$2:$A$993)"),45659)</f>
        <v>45659</v>
      </c>
      <c r="S2" s="15">
        <f ca="1">SUMIF($C:$C,$R2,$G:$G)</f>
        <v>0.35069444444444442</v>
      </c>
      <c r="T2" s="15">
        <f ca="1">SUMIF($C:$C,$R2,$J:$J)</f>
        <v>0.30892361111111105</v>
      </c>
      <c r="U2" s="15">
        <f t="shared" ref="U2:U18" ca="1" si="3">IF(OR(T2="",T2&gt;=$W$1)," ",$W$1-T2)</f>
        <v>2.4409722222222263E-2</v>
      </c>
      <c r="V2" s="16">
        <f ca="1">IFERROR(AVERAGEIF($C:$C,$R2,$P:$P)," ")</f>
        <v>1.1119442456365989</v>
      </c>
      <c r="W2" s="17">
        <f ca="1">U2-X2</f>
        <v>1.6458333333333373E-2</v>
      </c>
      <c r="X2" s="4">
        <v>7.951388888888888E-3</v>
      </c>
    </row>
    <row r="3" spans="1:24" ht="15.75" customHeight="1">
      <c r="A3" s="142">
        <f>A2+1</f>
        <v>2</v>
      </c>
      <c r="B3" s="142" t="str">
        <f>VLOOKUP(D3,Task!$B:$E,4,0)</f>
        <v>Report</v>
      </c>
      <c r="C3" s="150">
        <v>45659</v>
      </c>
      <c r="D3" s="7" t="s">
        <v>43</v>
      </c>
      <c r="E3" s="7">
        <v>1</v>
      </c>
      <c r="F3" s="8">
        <v>3.4722222222222224E-2</v>
      </c>
      <c r="G3" s="9">
        <v>3.4722222222222224E-2</v>
      </c>
      <c r="H3" s="10">
        <v>0.3810763888888889</v>
      </c>
      <c r="I3" s="8">
        <v>0.41223379629629631</v>
      </c>
      <c r="J3" s="57">
        <f t="shared" ref="J3:J66" si="4">IF(I3="","", IF(N3=" ",IF(OR(H3=0,I3=0),"",I3-H3),((I3-H3)-N3)))</f>
        <v>3.1157407407407411E-2</v>
      </c>
      <c r="K3" s="129">
        <f t="shared" ref="K3:K66" si="5">IFERROR(IF(N3=" ",(H3+G3),(H3+G3+N3)),"")</f>
        <v>0.4157986111111111</v>
      </c>
      <c r="L3" s="8"/>
      <c r="M3" s="8"/>
      <c r="N3" s="8"/>
      <c r="O3" s="12"/>
      <c r="P3" s="16">
        <f t="shared" si="2"/>
        <v>1.114413075780089</v>
      </c>
      <c r="Q3" s="8">
        <f>Q2-Q1</f>
        <v>0.44357638888888884</v>
      </c>
      <c r="R3" s="14">
        <f ca="1">IFERROR(__xludf.DUMMYFUNCTION("""COMPUTED_VALUE"""),45660)</f>
        <v>45660</v>
      </c>
      <c r="S3" s="15">
        <f ca="1">IF(SUMIF($C:$C,$R3,$G:$G)=0,"",SUMIF($C:$C,$R3,$G:$G))</f>
        <v>0.35416666666666663</v>
      </c>
      <c r="T3" s="15">
        <f ca="1">IF(SUMIF($C:$C,$R3,$J:$J)=0,"",SUMIF($C:$C,$R3,$J:$J))</f>
        <v>0.3217054629585645</v>
      </c>
      <c r="U3" s="15">
        <f t="shared" ca="1" si="3"/>
        <v>1.1627870374768812E-2</v>
      </c>
      <c r="V3" s="16">
        <f ca="1">IFERROR(AVERAGEIF($C:$C,$R3,$P:$P)," ")</f>
        <v>1.1012522247673595</v>
      </c>
    </row>
    <row r="4" spans="1:24" ht="15.75" customHeight="1">
      <c r="A4" s="142">
        <f t="shared" ref="A4:A67" si="6">A3+1</f>
        <v>3</v>
      </c>
      <c r="B4" s="142" t="str">
        <f>VLOOKUP(D4,Task!$B:$E,4,0)</f>
        <v>Report</v>
      </c>
      <c r="C4" s="150">
        <v>45659</v>
      </c>
      <c r="D4" s="7" t="s">
        <v>18</v>
      </c>
      <c r="E4" s="7">
        <v>1</v>
      </c>
      <c r="F4" s="8">
        <v>4.8611111111111112E-2</v>
      </c>
      <c r="G4" s="9">
        <v>4.8611111111111112E-2</v>
      </c>
      <c r="H4" s="10">
        <v>0.41223379629629631</v>
      </c>
      <c r="I4" s="10">
        <v>0.45613425925925927</v>
      </c>
      <c r="J4" s="57">
        <f t="shared" si="4"/>
        <v>4.3900462962962961E-2</v>
      </c>
      <c r="K4" s="129">
        <f t="shared" si="5"/>
        <v>0.46084490740740741</v>
      </c>
      <c r="L4" s="8"/>
      <c r="M4" s="8"/>
      <c r="N4" s="8"/>
      <c r="O4" s="12"/>
      <c r="P4" s="16">
        <f t="shared" si="2"/>
        <v>1.1073029264434486</v>
      </c>
      <c r="R4" s="14">
        <f ca="1">IFERROR(__xludf.DUMMYFUNCTION("""COMPUTED_VALUE"""),45663)</f>
        <v>45663</v>
      </c>
      <c r="S4" s="15">
        <f ca="1">IF(SUMIF($C:$C,$R4,$G:$G)=0,"",SUMIF($C:$C,$R4,$G:$G))</f>
        <v>0.30416666666666664</v>
      </c>
      <c r="T4" s="15">
        <f ca="1">IF(SUMIF($C:$C,$R4,$J:$J)=0,"",SUMIF($C:$C,$R4,$J:$J))</f>
        <v>0.29184027777777777</v>
      </c>
      <c r="U4" s="15">
        <f t="shared" ca="1" si="3"/>
        <v>4.1493055555555547E-2</v>
      </c>
      <c r="V4" s="16">
        <f ca="1">IFERROR(AVERAGEIF($C:$C,$R4,$P:$P)," ")</f>
        <v>1.0538161550888792</v>
      </c>
    </row>
    <row r="5" spans="1:24" ht="15.75" customHeight="1">
      <c r="A5" s="142">
        <f t="shared" si="6"/>
        <v>4</v>
      </c>
      <c r="B5" s="142" t="str">
        <f>VLOOKUP(D5,Task!$B:$E,4,0)</f>
        <v>Task</v>
      </c>
      <c r="C5" s="150">
        <v>45659</v>
      </c>
      <c r="D5" s="7" t="s">
        <v>44</v>
      </c>
      <c r="E5" s="7">
        <v>75</v>
      </c>
      <c r="F5" s="8">
        <v>3.472222222222222E-3</v>
      </c>
      <c r="G5" s="9">
        <v>0.26041666666666663</v>
      </c>
      <c r="H5" s="10">
        <v>0.45613425925925927</v>
      </c>
      <c r="I5" s="10">
        <v>0.75</v>
      </c>
      <c r="J5" s="57">
        <f t="shared" si="4"/>
        <v>0.22744212962962962</v>
      </c>
      <c r="K5" s="129">
        <f t="shared" si="5"/>
        <v>0.78297453703703712</v>
      </c>
      <c r="L5" s="8"/>
      <c r="M5" s="8"/>
      <c r="N5" s="8">
        <v>6.6423611111111114E-2</v>
      </c>
      <c r="O5" s="18" t="s">
        <v>45</v>
      </c>
      <c r="P5" s="16">
        <f t="shared" si="2"/>
        <v>1.1449798992417688</v>
      </c>
      <c r="Q5" s="19" t="e">
        <f ca="1">AVERAGEIF(C:C,TODAY(),P:P)</f>
        <v>#DIV/0!</v>
      </c>
      <c r="R5" s="14">
        <f ca="1">IFERROR(__xludf.DUMMYFUNCTION("""COMPUTED_VALUE"""),45664)</f>
        <v>45664</v>
      </c>
      <c r="S5" s="15">
        <f ca="1">IF(SUMIF($C:$C,$R5,$G:$G)=0,"",SUMIF($C:$C,$R5,$G:$G))</f>
        <v>0.31319444444444444</v>
      </c>
      <c r="T5" s="15">
        <f ca="1">IF(SUMIF($C:$C,$R5,$J:$J)=0,"",SUMIF($C:$C,$R5,$J:$J))</f>
        <v>0.28886443286573643</v>
      </c>
      <c r="U5" s="15">
        <f t="shared" ca="1" si="3"/>
        <v>4.4468900467596884E-2</v>
      </c>
      <c r="V5" s="16">
        <f ca="1">IFERROR(AVERAGEIF($C:$C,$R5,$P:$P)," ")</f>
        <v>1.0657392886123862</v>
      </c>
    </row>
    <row r="6" spans="1:24" ht="15.75" customHeight="1">
      <c r="A6" s="142">
        <f t="shared" si="6"/>
        <v>5</v>
      </c>
      <c r="B6" s="142" t="str">
        <f>VLOOKUP(D6,Task!$B:$E,4,0)</f>
        <v>Report</v>
      </c>
      <c r="C6" s="150">
        <v>45660</v>
      </c>
      <c r="D6" s="7" t="s">
        <v>18</v>
      </c>
      <c r="E6" s="7">
        <v>1</v>
      </c>
      <c r="F6" s="8">
        <v>4.8611111111111112E-2</v>
      </c>
      <c r="G6" s="9">
        <v>4.8611111111111112E-2</v>
      </c>
      <c r="H6" s="10">
        <v>0.37079861111111112</v>
      </c>
      <c r="I6" s="10">
        <v>0.41489583333333335</v>
      </c>
      <c r="J6" s="57">
        <f t="shared" si="4"/>
        <v>4.4097222222222232E-2</v>
      </c>
      <c r="K6" s="129">
        <f t="shared" si="5"/>
        <v>0.41940972222222223</v>
      </c>
      <c r="L6" s="8"/>
      <c r="M6" s="8"/>
      <c r="N6" s="8"/>
      <c r="O6" s="12"/>
      <c r="P6" s="16">
        <f t="shared" si="2"/>
        <v>1.1023622047244093</v>
      </c>
      <c r="Q6" s="19"/>
      <c r="R6" s="14">
        <f ca="1">IFERROR(__xludf.DUMMYFUNCTION("""COMPUTED_VALUE"""),45665)</f>
        <v>45665</v>
      </c>
      <c r="S6" s="15">
        <f ca="1">IF(SUMIF($C:$C,$R6,$G:$G)=0,"",SUMIF($C:$C,$R6,$G:$G))</f>
        <v>0.33854166666666663</v>
      </c>
      <c r="T6" s="15">
        <f ca="1">IF(SUMIF($C:$C,$R6,$J:$J)=0,"",SUMIF($C:$C,$R6,$J:$J))</f>
        <v>0.3142361111111111</v>
      </c>
      <c r="U6" s="15">
        <f t="shared" ca="1" si="3"/>
        <v>1.909722222222221E-2</v>
      </c>
      <c r="V6" s="16">
        <f ca="1">IFERROR(AVERAGEIF($C:$C,$R6,$P:$P)," ")</f>
        <v>1.0961630042282673</v>
      </c>
    </row>
    <row r="7" spans="1:24" ht="15.75" customHeight="1">
      <c r="A7" s="142">
        <f t="shared" si="6"/>
        <v>6</v>
      </c>
      <c r="B7" s="142" t="str">
        <f>VLOOKUP(D7,Task!$B:$E,4,0)</f>
        <v>Task</v>
      </c>
      <c r="C7" s="150">
        <v>45660</v>
      </c>
      <c r="D7" s="7" t="s">
        <v>46</v>
      </c>
      <c r="E7" s="7">
        <v>44</v>
      </c>
      <c r="F7" s="8">
        <v>3.472222222222222E-3</v>
      </c>
      <c r="G7" s="9">
        <v>0.15277777777777776</v>
      </c>
      <c r="H7" s="10">
        <v>0.41489583333333335</v>
      </c>
      <c r="I7" s="10">
        <v>0.58552083333333338</v>
      </c>
      <c r="J7" s="57">
        <f t="shared" si="4"/>
        <v>0.13813657407407409</v>
      </c>
      <c r="K7" s="129">
        <f t="shared" si="5"/>
        <v>0.60016203703703708</v>
      </c>
      <c r="L7" s="8"/>
      <c r="M7" s="8"/>
      <c r="N7" s="8">
        <v>3.2488425925925928E-2</v>
      </c>
      <c r="O7" s="12"/>
      <c r="P7" s="16">
        <f t="shared" si="2"/>
        <v>1.1059907834101379</v>
      </c>
      <c r="R7" s="14">
        <f ca="1">IFERROR(__xludf.DUMMYFUNCTION("""COMPUTED_VALUE"""),45666)</f>
        <v>45666</v>
      </c>
      <c r="S7" s="15">
        <f ca="1">IF(SUMIF($C:$C,$R7,$G:$G)=0,"",SUMIF($C:$C,$R7,$G:$G))</f>
        <v>0.30625000000000002</v>
      </c>
      <c r="T7" s="15">
        <f ca="1">IF(SUMIF($C:$C,$R7,$J:$J)=0,"",SUMIF($C:$C,$R7,$J:$J))</f>
        <v>0.28035879629629629</v>
      </c>
      <c r="U7" s="15">
        <f t="shared" ca="1" si="3"/>
        <v>5.2974537037037028E-2</v>
      </c>
      <c r="V7" s="16">
        <f ca="1">IFERROR(AVERAGEIF($C:$C,$R7,$P:$P)," ")</f>
        <v>1.0883233580289871</v>
      </c>
    </row>
    <row r="8" spans="1:24" ht="15.75" customHeight="1">
      <c r="A8" s="142">
        <f t="shared" si="6"/>
        <v>7</v>
      </c>
      <c r="B8" s="142" t="str">
        <f>VLOOKUP(D8,Task!$B:$E,4,0)</f>
        <v>Task</v>
      </c>
      <c r="C8" s="150">
        <v>45660</v>
      </c>
      <c r="D8" s="7" t="s">
        <v>46</v>
      </c>
      <c r="E8" s="7">
        <v>44</v>
      </c>
      <c r="F8" s="8">
        <v>3.472222222222222E-3</v>
      </c>
      <c r="G8" s="9">
        <v>0.15277777777777776</v>
      </c>
      <c r="H8" s="10">
        <v>0.58552083333333338</v>
      </c>
      <c r="I8" s="10">
        <v>0.75277027777337935</v>
      </c>
      <c r="J8" s="57">
        <f t="shared" si="4"/>
        <v>0.13947166666226818</v>
      </c>
      <c r="K8" s="129">
        <f t="shared" si="5"/>
        <v>0.76607638888888896</v>
      </c>
      <c r="L8" s="8"/>
      <c r="M8" s="8"/>
      <c r="N8" s="8">
        <v>2.7777777777777776E-2</v>
      </c>
      <c r="O8" s="12"/>
      <c r="P8" s="16">
        <f t="shared" si="2"/>
        <v>1.0954036861675314</v>
      </c>
      <c r="Q8" s="19"/>
      <c r="R8" s="14">
        <f ca="1">IFERROR(__xludf.DUMMYFUNCTION("""COMPUTED_VALUE"""),45667)</f>
        <v>45667</v>
      </c>
      <c r="S8" s="15">
        <f ca="1">IF(SUMIF($C:$C,$R8,$G:$G)=0,"",SUMIF($C:$C,$R8,$G:$G))</f>
        <v>0.30555555555555558</v>
      </c>
      <c r="T8" s="15">
        <f ca="1">IF(SUMIF($C:$C,$R8,$J:$J)=0,"",SUMIF($C:$C,$R8,$J:$J))</f>
        <v>0.29127314814814803</v>
      </c>
      <c r="U8" s="15">
        <f t="shared" ca="1" si="3"/>
        <v>4.2060185185185284E-2</v>
      </c>
      <c r="V8" s="16">
        <f ca="1">IFERROR(AVERAGEIF($C:$C,$R8,$P:$P)," ")</f>
        <v>1.0206922568803092</v>
      </c>
    </row>
    <row r="9" spans="1:24" ht="15.75" customHeight="1">
      <c r="A9" s="142">
        <f t="shared" si="6"/>
        <v>8</v>
      </c>
      <c r="B9" s="142" t="str">
        <f>VLOOKUP(D9,Task!$B:$E,4,0)</f>
        <v>Task</v>
      </c>
      <c r="C9" s="150">
        <v>45663</v>
      </c>
      <c r="D9" s="7" t="s">
        <v>28</v>
      </c>
      <c r="E9" s="7">
        <v>60</v>
      </c>
      <c r="F9" s="8">
        <v>1.3888888888888889E-3</v>
      </c>
      <c r="G9" s="9">
        <v>8.3333333333333343E-2</v>
      </c>
      <c r="H9" s="10">
        <v>0.36949074074074073</v>
      </c>
      <c r="I9" s="8">
        <v>0.46828703703703706</v>
      </c>
      <c r="J9" s="57">
        <f t="shared" si="4"/>
        <v>8.0706018518518552E-2</v>
      </c>
      <c r="K9" s="129">
        <f t="shared" si="5"/>
        <v>0.47091435185185188</v>
      </c>
      <c r="L9" s="8"/>
      <c r="M9" s="8"/>
      <c r="N9" s="8">
        <v>1.8090277777777778E-2</v>
      </c>
      <c r="O9" s="18" t="s">
        <v>47</v>
      </c>
      <c r="P9" s="16">
        <f t="shared" si="2"/>
        <v>1.0325541373870641</v>
      </c>
      <c r="Q9" s="4"/>
      <c r="R9" s="14">
        <f ca="1">IFERROR(__xludf.DUMMYFUNCTION("""COMPUTED_VALUE"""),45670)</f>
        <v>45670</v>
      </c>
      <c r="S9" s="15">
        <f ca="1">IF(SUMIF($C:$C,$R9,$G:$G)=0,"",SUMIF($C:$C,$R9,$G:$G))</f>
        <v>0.33611111111111108</v>
      </c>
      <c r="T9" s="15">
        <f ca="1">IF(SUMIF($C:$C,$R9,$J:$J)=0,"",SUMIF($C:$C,$R9,$J:$J))</f>
        <v>0.31266203703703699</v>
      </c>
      <c r="U9" s="15">
        <f t="shared" ca="1" si="3"/>
        <v>2.0671296296296326E-2</v>
      </c>
      <c r="V9" s="16">
        <f ca="1">IFERROR(AVERAGEIF($C:$C,$R9,$P:$P)," ")</f>
        <v>1.0907161977250992</v>
      </c>
    </row>
    <row r="10" spans="1:24" ht="15.75" customHeight="1">
      <c r="A10" s="142">
        <f t="shared" si="6"/>
        <v>9</v>
      </c>
      <c r="B10" s="142" t="str">
        <f>VLOOKUP(D10,Task!$B:$E,4,0)</f>
        <v>Task</v>
      </c>
      <c r="C10" s="150">
        <v>45663</v>
      </c>
      <c r="D10" s="7" t="s">
        <v>28</v>
      </c>
      <c r="E10" s="7">
        <v>79</v>
      </c>
      <c r="F10" s="8">
        <v>1.3888888888888889E-3</v>
      </c>
      <c r="G10" s="9">
        <v>0.10972222222222222</v>
      </c>
      <c r="H10" s="10">
        <v>0.47031250000000002</v>
      </c>
      <c r="I10" s="10">
        <v>0.62635416666666666</v>
      </c>
      <c r="J10" s="57">
        <f t="shared" si="4"/>
        <v>0.10964120370370367</v>
      </c>
      <c r="K10" s="129">
        <f t="shared" si="5"/>
        <v>0.62643518518518515</v>
      </c>
      <c r="L10" s="8"/>
      <c r="M10" s="8"/>
      <c r="N10" s="8">
        <v>4.6400462962962963E-2</v>
      </c>
      <c r="O10" s="18" t="s">
        <v>47</v>
      </c>
      <c r="P10" s="16">
        <f t="shared" si="2"/>
        <v>1.000738942256941</v>
      </c>
      <c r="Q10" s="4"/>
      <c r="R10" s="14">
        <f ca="1">IFERROR(__xludf.DUMMYFUNCTION("""COMPUTED_VALUE"""),45671)</f>
        <v>45671</v>
      </c>
      <c r="S10" s="15">
        <f ca="1">IF(SUMIF($C:$C,$R10,$G:$G)=0,"",SUMIF($C:$C,$R10,$G:$G))</f>
        <v>0.33888888888888896</v>
      </c>
      <c r="T10" s="15">
        <f ca="1">IF(SUMIF($C:$C,$R10,$J:$J)=0,"",SUMIF($C:$C,$R10,$J:$J))</f>
        <v>0.29510416666666661</v>
      </c>
      <c r="U10" s="15">
        <f t="shared" ca="1" si="3"/>
        <v>3.8229166666666703E-2</v>
      </c>
      <c r="V10" s="16">
        <f ca="1">IFERROR(AVERAGEIF($C:$C,$R10,$P:$P)," ")</f>
        <v>1.0908615229661107</v>
      </c>
    </row>
    <row r="11" spans="1:24" ht="15.75" customHeight="1">
      <c r="A11" s="142">
        <f t="shared" si="6"/>
        <v>10</v>
      </c>
      <c r="B11" s="142" t="str">
        <f>VLOOKUP(D11,Task!$B:$E,4,0)</f>
        <v>Report</v>
      </c>
      <c r="C11" s="150">
        <v>45663</v>
      </c>
      <c r="D11" s="7" t="s">
        <v>18</v>
      </c>
      <c r="E11" s="7">
        <v>1</v>
      </c>
      <c r="F11" s="8">
        <v>4.8611111111111112E-2</v>
      </c>
      <c r="G11" s="9">
        <v>4.8611111111111112E-2</v>
      </c>
      <c r="H11" s="10">
        <v>0.62635416666666666</v>
      </c>
      <c r="I11" s="10">
        <v>0.69571759259259258</v>
      </c>
      <c r="J11" s="57">
        <f t="shared" si="4"/>
        <v>4.3738425925925931E-2</v>
      </c>
      <c r="K11" s="129">
        <f t="shared" si="5"/>
        <v>0.70059027777777783</v>
      </c>
      <c r="L11" s="8"/>
      <c r="M11" s="8"/>
      <c r="N11" s="8">
        <v>2.5624999999999998E-2</v>
      </c>
      <c r="O11" s="12"/>
      <c r="P11" s="16">
        <f t="shared" si="2"/>
        <v>1.1114051336332362</v>
      </c>
      <c r="Q11" s="19"/>
      <c r="R11" s="14">
        <f ca="1">IFERROR(__xludf.DUMMYFUNCTION("""COMPUTED_VALUE"""),45672)</f>
        <v>45672</v>
      </c>
      <c r="S11" s="15">
        <f ca="1">IF(SUMIF($C:$C,$R11,$G:$G)=0,"",SUMIF($C:$C,$R11,$G:$G))</f>
        <v>0.35625000000000007</v>
      </c>
      <c r="T11" s="15">
        <f ca="1">IF(SUMIF($C:$C,$R11,$J:$J)=0,"",SUMIF($C:$C,$R11,$J:$J))</f>
        <v>0.32134259259259257</v>
      </c>
      <c r="U11" s="15">
        <f t="shared" ca="1" si="3"/>
        <v>1.1990740740740746E-2</v>
      </c>
      <c r="V11" s="16">
        <f ca="1">IFERROR(AVERAGEIF($C:$C,$R11,$P:$P)," ")</f>
        <v>1.1089729065389242</v>
      </c>
    </row>
    <row r="12" spans="1:24" ht="15.75" customHeight="1">
      <c r="A12" s="142">
        <f t="shared" si="6"/>
        <v>11</v>
      </c>
      <c r="B12" s="142" t="str">
        <f>VLOOKUP(D12,Task!$B:$E,4,0)</f>
        <v>Report</v>
      </c>
      <c r="C12" s="150">
        <v>45663</v>
      </c>
      <c r="D12" s="7" t="s">
        <v>42</v>
      </c>
      <c r="E12" s="7">
        <v>1</v>
      </c>
      <c r="F12" s="8">
        <v>6.9444444444444441E-3</v>
      </c>
      <c r="G12" s="9">
        <v>6.9444444444444441E-3</v>
      </c>
      <c r="H12" s="10">
        <v>0.69571759259259258</v>
      </c>
      <c r="I12" s="10">
        <v>0.70251157407407416</v>
      </c>
      <c r="J12" s="57">
        <f t="shared" si="4"/>
        <v>6.7939814814815813E-3</v>
      </c>
      <c r="K12" s="129">
        <f t="shared" si="5"/>
        <v>0.702662037037037</v>
      </c>
      <c r="L12" s="8"/>
      <c r="M12" s="8"/>
      <c r="N12" s="8"/>
      <c r="O12" s="12"/>
      <c r="P12" s="16">
        <f t="shared" si="2"/>
        <v>1.0221465076660838</v>
      </c>
      <c r="Q12" s="19"/>
      <c r="R12" s="14">
        <f ca="1">IFERROR(__xludf.DUMMYFUNCTION("""COMPUTED_VALUE"""),45673)</f>
        <v>45673</v>
      </c>
      <c r="S12" s="15">
        <f ca="1">IF(SUMIF($C:$C,$R12,$G:$G)=0,"",SUMIF($C:$C,$R12,$G:$G))</f>
        <v>0.36111111111111116</v>
      </c>
      <c r="T12" s="15">
        <f ca="1">IF(SUMIF($C:$C,$R12,$J:$J)=0,"",SUMIF($C:$C,$R12,$J:$J))</f>
        <v>0.32837962962962952</v>
      </c>
      <c r="U12" s="15">
        <f t="shared" ca="1" si="3"/>
        <v>4.9537037037037934E-3</v>
      </c>
      <c r="V12" s="16">
        <f ca="1">IFERROR(AVERAGEIF($C:$C,$R12,$P:$P)," ")</f>
        <v>1.1027697055195802</v>
      </c>
    </row>
    <row r="13" spans="1:24" ht="15.75" customHeight="1">
      <c r="A13" s="142">
        <f t="shared" si="6"/>
        <v>12</v>
      </c>
      <c r="B13" s="142" t="str">
        <f>VLOOKUP(D13,Task!$B:$E,4,0)</f>
        <v>Report</v>
      </c>
      <c r="C13" s="150">
        <v>45663</v>
      </c>
      <c r="D13" s="7" t="s">
        <v>43</v>
      </c>
      <c r="E13" s="7">
        <v>1</v>
      </c>
      <c r="F13" s="8">
        <v>3.4722222222222224E-2</v>
      </c>
      <c r="G13" s="9">
        <v>3.4722222222222224E-2</v>
      </c>
      <c r="H13" s="10">
        <v>0.70251157407407416</v>
      </c>
      <c r="I13" s="10">
        <v>0.73296296296296293</v>
      </c>
      <c r="J13" s="57">
        <f t="shared" si="4"/>
        <v>3.0451388888888764E-2</v>
      </c>
      <c r="K13" s="129">
        <f t="shared" si="5"/>
        <v>0.73723379629629637</v>
      </c>
      <c r="L13" s="8"/>
      <c r="M13" s="8"/>
      <c r="N13" s="8"/>
      <c r="O13" s="12"/>
      <c r="P13" s="16">
        <f t="shared" si="2"/>
        <v>1.1402508551881461</v>
      </c>
      <c r="Q13" s="19"/>
      <c r="R13" s="14">
        <f ca="1">IFERROR(__xludf.DUMMYFUNCTION("""COMPUTED_VALUE"""),45674)</f>
        <v>45674</v>
      </c>
      <c r="S13" s="15">
        <f ca="1">IF(SUMIF($C:$C,$R13,$G:$G)=0,"",SUMIF($C:$C,$R13,$G:$G))</f>
        <v>0.31805555555555565</v>
      </c>
      <c r="T13" s="15">
        <f ca="1">IF(SUMIF($C:$C,$R13,$J:$J)=0,"",SUMIF($C:$C,$R13,$J:$J))</f>
        <v>0.28652777777777777</v>
      </c>
      <c r="U13" s="15">
        <f t="shared" ca="1" si="3"/>
        <v>4.6805555555555545E-2</v>
      </c>
      <c r="V13" s="16">
        <f ca="1">IFERROR(AVERAGEIF($C:$C,$R13,$P:$P)," ")</f>
        <v>1.1104706816827206</v>
      </c>
    </row>
    <row r="14" spans="1:24" ht="15.75" customHeight="1">
      <c r="A14" s="142">
        <f t="shared" si="6"/>
        <v>13</v>
      </c>
      <c r="B14" s="142" t="str">
        <f>VLOOKUP(D14,Task!$B:$E,4,0)</f>
        <v>Task</v>
      </c>
      <c r="C14" s="150">
        <v>45663</v>
      </c>
      <c r="D14" s="7" t="s">
        <v>28</v>
      </c>
      <c r="E14" s="7">
        <v>15</v>
      </c>
      <c r="F14" s="8">
        <v>1.3888888888888889E-3</v>
      </c>
      <c r="G14" s="9">
        <v>2.0833333333333336E-2</v>
      </c>
      <c r="H14" s="10">
        <v>0.73296296296296293</v>
      </c>
      <c r="I14" s="10">
        <v>0.75347222222222221</v>
      </c>
      <c r="J14" s="57">
        <f t="shared" si="4"/>
        <v>2.0509259259259283E-2</v>
      </c>
      <c r="K14" s="129">
        <f t="shared" si="5"/>
        <v>0.7537962962962963</v>
      </c>
      <c r="L14" s="8"/>
      <c r="M14" s="8"/>
      <c r="N14" s="8"/>
      <c r="O14" s="18" t="s">
        <v>47</v>
      </c>
      <c r="P14" s="16">
        <f t="shared" si="2"/>
        <v>1.0158013544018047</v>
      </c>
      <c r="Q14" s="19"/>
      <c r="R14" s="20">
        <f ca="1">IFERROR(__xludf.DUMMYFUNCTION("""COMPUTED_VALUE"""),45677)</f>
        <v>45677</v>
      </c>
      <c r="S14" s="15">
        <f ca="1">IF(SUMIF($C:$C,$R14,$G:$G)=0,"",SUMIF($C:$C,$R14,$G:$G))</f>
        <v>0.35069444444444448</v>
      </c>
      <c r="T14" s="15">
        <f ca="1">IF(SUMIF($C:$C,$R14,$J:$J)=0,"",SUMIF($C:$C,$R14,$J:$J))</f>
        <v>0.32086805555555553</v>
      </c>
      <c r="U14" s="15">
        <f t="shared" ca="1" si="3"/>
        <v>1.2465277777777783E-2</v>
      </c>
      <c r="V14" s="16">
        <f ca="1">IFERROR(AVERAGEIF($C:$C,$R14,$P:$P)," ")</f>
        <v>1.080534367251154</v>
      </c>
    </row>
    <row r="15" spans="1:24" ht="15.75" customHeight="1">
      <c r="A15" s="142">
        <f t="shared" si="6"/>
        <v>14</v>
      </c>
      <c r="B15" s="142" t="str">
        <f>VLOOKUP(D15,Task!$B:$E,4,0)</f>
        <v>Task</v>
      </c>
      <c r="C15" s="150">
        <v>45664</v>
      </c>
      <c r="D15" s="7" t="s">
        <v>28</v>
      </c>
      <c r="E15" s="7">
        <v>51</v>
      </c>
      <c r="F15" s="8">
        <v>1.3888888888888889E-3</v>
      </c>
      <c r="G15" s="9">
        <v>7.0833333333333331E-2</v>
      </c>
      <c r="H15" s="10">
        <v>0.36640046296296302</v>
      </c>
      <c r="I15" s="10">
        <v>0.49557870370370372</v>
      </c>
      <c r="J15" s="57">
        <f t="shared" si="4"/>
        <v>7.0208333333333289E-2</v>
      </c>
      <c r="K15" s="129">
        <f t="shared" si="5"/>
        <v>0.49620370370370376</v>
      </c>
      <c r="L15" s="8"/>
      <c r="M15" s="8"/>
      <c r="N15" s="8">
        <v>5.8969907407407408E-2</v>
      </c>
      <c r="O15" s="18" t="s">
        <v>47</v>
      </c>
      <c r="P15" s="16">
        <f t="shared" si="2"/>
        <v>1.008902077151336</v>
      </c>
      <c r="Q15" s="4"/>
      <c r="R15" s="20">
        <f ca="1">IFERROR(__xludf.DUMMYFUNCTION("""COMPUTED_VALUE"""),45678)</f>
        <v>45678</v>
      </c>
      <c r="S15" s="15">
        <f ca="1">IF(SUMIF($C:$C,$R15,$G:$G)=0,"",SUMIF($C:$C,$R15,$G:$G))</f>
        <v>0.31388888888888894</v>
      </c>
      <c r="T15" s="15">
        <f ca="1">IF(SUMIF($C:$C,$R15,$J:$J)=0,"",SUMIF($C:$C,$R15,$J:$J))</f>
        <v>0.30196759259259259</v>
      </c>
      <c r="U15" s="15">
        <f t="shared" ca="1" si="3"/>
        <v>3.1365740740740722E-2</v>
      </c>
      <c r="V15" s="16">
        <f ca="1">IFERROR(AVERAGEIF($C:$C,$R15,$P:$P)," ")</f>
        <v>1.0769273640488177</v>
      </c>
    </row>
    <row r="16" spans="1:24" ht="15.75" customHeight="1">
      <c r="A16" s="142">
        <f t="shared" si="6"/>
        <v>15</v>
      </c>
      <c r="B16" s="142" t="str">
        <f>VLOOKUP(D16,Task!$B:$E,4,0)</f>
        <v>Report</v>
      </c>
      <c r="C16" s="150">
        <v>45664</v>
      </c>
      <c r="D16" s="7" t="s">
        <v>18</v>
      </c>
      <c r="E16" s="7">
        <v>1</v>
      </c>
      <c r="F16" s="8">
        <v>4.8611111111111112E-2</v>
      </c>
      <c r="G16" s="9">
        <v>4.8611111111111112E-2</v>
      </c>
      <c r="H16" s="10">
        <v>0.39353009259259264</v>
      </c>
      <c r="I16" s="10">
        <v>0.43966435185185193</v>
      </c>
      <c r="J16" s="57">
        <f t="shared" si="4"/>
        <v>4.6134259259259291E-2</v>
      </c>
      <c r="K16" s="129">
        <f t="shared" si="5"/>
        <v>0.44214120370370374</v>
      </c>
      <c r="L16" s="8"/>
      <c r="M16" s="8"/>
      <c r="N16" s="8"/>
      <c r="O16" s="12"/>
      <c r="P16" s="16">
        <f t="shared" si="2"/>
        <v>1.0536879076768684</v>
      </c>
      <c r="Q16" s="4"/>
      <c r="R16" s="20">
        <f ca="1">IFERROR(__xludf.DUMMYFUNCTION("""COMPUTED_VALUE"""),45679)</f>
        <v>45679</v>
      </c>
      <c r="S16" s="15">
        <f ca="1">IF(SUMIF($C:$C,$R16,$G:$G)=0,"",SUMIF($C:$C,$R16,$G:$G))</f>
        <v>0.3611111111111111</v>
      </c>
      <c r="T16" s="15">
        <f ca="1">IF(SUMIF($C:$C,$R16,$J:$J)=0,"",SUMIF($C:$C,$R16,$J:$J))</f>
        <v>0.33585648148148139</v>
      </c>
      <c r="U16" s="15" t="str">
        <f t="shared" ca="1" si="3"/>
        <v xml:space="preserve"> </v>
      </c>
      <c r="V16" s="16">
        <f ca="1">IFERROR(AVERAGEIF($C:$C,$R16,$P:$P)," ")</f>
        <v>1.077286923408648</v>
      </c>
    </row>
    <row r="17" spans="1:25" ht="15.75" customHeight="1">
      <c r="A17" s="142">
        <f t="shared" si="6"/>
        <v>16</v>
      </c>
      <c r="B17" s="142" t="str">
        <f>VLOOKUP(D17,Task!$B:$E,4,0)</f>
        <v>Task</v>
      </c>
      <c r="C17" s="150">
        <v>45664</v>
      </c>
      <c r="D17" s="7" t="s">
        <v>46</v>
      </c>
      <c r="E17" s="7">
        <v>1</v>
      </c>
      <c r="F17" s="8">
        <v>3.472222222222222E-3</v>
      </c>
      <c r="G17" s="9">
        <v>3.472222222222222E-3</v>
      </c>
      <c r="H17" s="10">
        <v>0.43966435185185193</v>
      </c>
      <c r="I17" s="10">
        <v>0.44277777777777777</v>
      </c>
      <c r="J17" s="57">
        <f t="shared" si="4"/>
        <v>3.113425925925839E-3</v>
      </c>
      <c r="K17" s="129">
        <f t="shared" si="5"/>
        <v>0.44313657407407414</v>
      </c>
      <c r="L17" s="8"/>
      <c r="M17" s="8"/>
      <c r="N17" s="8"/>
      <c r="O17" s="12"/>
      <c r="P17" s="16">
        <f t="shared" si="2"/>
        <v>1.1152416356877635</v>
      </c>
      <c r="Q17" s="19"/>
      <c r="R17" s="20">
        <f ca="1">IFERROR(__xludf.DUMMYFUNCTION("""COMPUTED_VALUE"""),45680)</f>
        <v>45680</v>
      </c>
      <c r="S17" s="15">
        <f ca="1">IF(SUMIF($C:$C,$R17,$G:$G)=0,"",SUMIF($C:$C,$R17,$G:$G))</f>
        <v>0.27916666666666667</v>
      </c>
      <c r="T17" s="15">
        <f ca="1">IF(SUMIF($C:$C,$R17,$J:$J)=0,"",SUMIF($C:$C,$R17,$J:$J))</f>
        <v>0.25931712962962949</v>
      </c>
      <c r="U17" s="15">
        <f t="shared" ca="1" si="3"/>
        <v>7.401620370370382E-2</v>
      </c>
      <c r="V17" s="16">
        <f ca="1">IFERROR(AVERAGEIF($C:$C,$R17,$P:$P)," ")</f>
        <v>1.0854153743148907</v>
      </c>
    </row>
    <row r="18" spans="1:25" ht="15.75" customHeight="1">
      <c r="A18" s="142">
        <f t="shared" si="6"/>
        <v>17</v>
      </c>
      <c r="B18" s="142" t="str">
        <f>VLOOKUP(D18,Task!$B:$E,4,0)</f>
        <v>Task</v>
      </c>
      <c r="C18" s="150">
        <v>45664</v>
      </c>
      <c r="D18" s="7" t="s">
        <v>28</v>
      </c>
      <c r="E18" s="7">
        <v>22</v>
      </c>
      <c r="F18" s="8">
        <v>1.3888888888888889E-3</v>
      </c>
      <c r="G18" s="9">
        <v>3.0555555555555558E-2</v>
      </c>
      <c r="H18" s="10">
        <v>0.49557870370370372</v>
      </c>
      <c r="I18" s="10">
        <v>0.58473379629629629</v>
      </c>
      <c r="J18" s="57">
        <f t="shared" si="4"/>
        <v>3.053240740740739E-2</v>
      </c>
      <c r="K18" s="129">
        <f t="shared" si="5"/>
        <v>0.58475694444444448</v>
      </c>
      <c r="L18" s="8"/>
      <c r="M18" s="8"/>
      <c r="N18" s="8">
        <v>5.8622685185185187E-2</v>
      </c>
      <c r="O18" s="18" t="s">
        <v>47</v>
      </c>
      <c r="P18" s="16">
        <f t="shared" si="2"/>
        <v>1.0007581501137233</v>
      </c>
      <c r="Q18" s="19"/>
      <c r="R18" s="20">
        <f ca="1">IFERROR(__xludf.DUMMYFUNCTION("""COMPUTED_VALUE"""),45686)</f>
        <v>45686</v>
      </c>
      <c r="S18" s="15">
        <f ca="1">IF(SUMIF($C:$C,$R18,$G:$G)=0,"",SUMIF($C:$C,$R18,$G:$G))</f>
        <v>0.2986111111111111</v>
      </c>
      <c r="T18" s="15">
        <f ca="1">IF(SUMIF($C:$C,$R18,$J:$J)=0,"",SUMIF($C:$C,$R18,$J:$J))</f>
        <v>0.27457175925925925</v>
      </c>
      <c r="U18" s="15">
        <f t="shared" ca="1" si="3"/>
        <v>5.8761574074074063E-2</v>
      </c>
      <c r="V18" s="16">
        <f ca="1">IFERROR(AVERAGEIF($C:$C,$R18,$P:$P)," ")</f>
        <v>1.0836807240918653</v>
      </c>
    </row>
    <row r="19" spans="1:25" ht="15.75" customHeight="1">
      <c r="A19" s="142">
        <f t="shared" si="6"/>
        <v>18</v>
      </c>
      <c r="B19" s="142" t="str">
        <f>VLOOKUP(D19,Task!$B:$E,4,0)</f>
        <v>Task</v>
      </c>
      <c r="C19" s="150">
        <v>45664</v>
      </c>
      <c r="D19" s="7" t="s">
        <v>46</v>
      </c>
      <c r="E19" s="7">
        <v>46</v>
      </c>
      <c r="F19" s="8">
        <v>3.472222222222222E-3</v>
      </c>
      <c r="G19" s="9">
        <v>0.15972222222222221</v>
      </c>
      <c r="H19" s="10">
        <v>0.58473379629629629</v>
      </c>
      <c r="I19" s="10">
        <v>0.75311211805092171</v>
      </c>
      <c r="J19" s="57">
        <f t="shared" si="4"/>
        <v>0.13887600693981061</v>
      </c>
      <c r="K19" s="129">
        <f t="shared" si="5"/>
        <v>0.7739583333333333</v>
      </c>
      <c r="L19" s="8"/>
      <c r="M19" s="8"/>
      <c r="N19" s="8">
        <v>2.9502314814814815E-2</v>
      </c>
      <c r="O19" s="12"/>
      <c r="P19" s="16">
        <f t="shared" si="2"/>
        <v>1.1501066724322397</v>
      </c>
      <c r="Q19" s="19"/>
      <c r="R19" s="20">
        <f ca="1">IFERROR(__xludf.DUMMYFUNCTION("""COMPUTED_VALUE"""),45687)</f>
        <v>45687</v>
      </c>
      <c r="S19" s="15">
        <f ca="1">IF(SUMIF($C:$C,$R19,$G:$G)=0,"",SUMIF($C:$C,$R19,$G:$G))</f>
        <v>0.35</v>
      </c>
      <c r="T19" s="15">
        <f ca="1">IF(SUMIF($C:$C,$R19,$J:$J)=0,"",SUMIF($C:$C,$R19,$J:$J))</f>
        <v>0.31325231481481469</v>
      </c>
      <c r="U19" s="15">
        <f t="shared" ref="U19:U23" ca="1" si="7">IF(T19=""," ",$W$1-T19)</f>
        <v>2.0081018518518623E-2</v>
      </c>
      <c r="V19" s="16">
        <f ca="1">IFERROR(AVERAGEIF($C:$C,$R19,$P:$P)," ")</f>
        <v>1.1134525232404269</v>
      </c>
    </row>
    <row r="20" spans="1:25" ht="15.75" customHeight="1">
      <c r="A20" s="142">
        <f t="shared" si="6"/>
        <v>19</v>
      </c>
      <c r="B20" s="142" t="str">
        <f>VLOOKUP(D20,Task!$B:$E,4,0)</f>
        <v>Task</v>
      </c>
      <c r="C20" s="150">
        <v>45665</v>
      </c>
      <c r="D20" s="7" t="s">
        <v>28</v>
      </c>
      <c r="E20" s="7">
        <v>90</v>
      </c>
      <c r="F20" s="8">
        <v>1.3888888888888889E-3</v>
      </c>
      <c r="G20" s="9">
        <v>0.125</v>
      </c>
      <c r="H20" s="10">
        <v>0.37543981481481481</v>
      </c>
      <c r="I20" s="10">
        <v>0.50219907407407416</v>
      </c>
      <c r="J20" s="57">
        <f t="shared" si="4"/>
        <v>0.11969907407407417</v>
      </c>
      <c r="K20" s="129">
        <f t="shared" si="5"/>
        <v>0.50749999999999995</v>
      </c>
      <c r="L20" s="8"/>
      <c r="M20" s="8"/>
      <c r="N20" s="8">
        <v>7.060185185185185E-3</v>
      </c>
      <c r="O20" s="18" t="s">
        <v>47</v>
      </c>
      <c r="P20" s="16">
        <f t="shared" si="2"/>
        <v>1.0442854380197246</v>
      </c>
      <c r="R20" s="20">
        <f ca="1">IFERROR(__xludf.DUMMYFUNCTION("""COMPUTED_VALUE"""),45691)</f>
        <v>45691</v>
      </c>
      <c r="S20" s="15">
        <f ca="1">IF(SUMIF($C:$C,$R20,$G:$G)=0,"",SUMIF($C:$C,$R20,$G:$G))</f>
        <v>0.34375</v>
      </c>
      <c r="T20" s="15">
        <f ca="1">IF(SUMIF($C:$C,$R20,$J:$J)=0,"",SUMIF($C:$C,$R20,$J:$J))</f>
        <v>0.32901620370370366</v>
      </c>
      <c r="U20" s="15">
        <f t="shared" ca="1" si="7"/>
        <v>4.3171296296296569E-3</v>
      </c>
      <c r="V20" s="16">
        <f ca="1">IFERROR(AVERAGEIF($C:$C,$R20,$P:$P)," ")</f>
        <v>1.0644296143897294</v>
      </c>
      <c r="Y20" s="4"/>
    </row>
    <row r="21" spans="1:25" ht="15.75" customHeight="1">
      <c r="A21" s="142">
        <f t="shared" si="6"/>
        <v>20</v>
      </c>
      <c r="B21" s="142" t="str">
        <f>VLOOKUP(D21,Task!$B:$E,4,0)</f>
        <v>Report</v>
      </c>
      <c r="C21" s="150">
        <v>45665</v>
      </c>
      <c r="D21" s="7" t="s">
        <v>18</v>
      </c>
      <c r="E21" s="7">
        <v>1</v>
      </c>
      <c r="F21" s="8">
        <v>4.8611111111111112E-2</v>
      </c>
      <c r="G21" s="9">
        <v>4.8611111111111112E-2</v>
      </c>
      <c r="H21" s="10">
        <v>0.50219907407407416</v>
      </c>
      <c r="I21" s="10">
        <v>0.57217592592592592</v>
      </c>
      <c r="J21" s="57">
        <f t="shared" si="4"/>
        <v>4.3842592592592503E-2</v>
      </c>
      <c r="K21" s="129">
        <f t="shared" si="5"/>
        <v>0.57694444444444459</v>
      </c>
      <c r="L21" s="8"/>
      <c r="M21" s="8"/>
      <c r="N21" s="8">
        <v>2.613425925925926E-2</v>
      </c>
      <c r="O21" s="12"/>
      <c r="P21" s="16">
        <f t="shared" si="2"/>
        <v>1.1087645195353772</v>
      </c>
      <c r="R21" s="20">
        <f ca="1">IFERROR(__xludf.DUMMYFUNCTION("""COMPUTED_VALUE"""),45692)</f>
        <v>45692</v>
      </c>
      <c r="S21" s="15">
        <f ca="1">IF(SUMIF($C:$C,$R21,$G:$G)=0,"",SUMIF($C:$C,$R21,$G:$G))</f>
        <v>0.33055555555555555</v>
      </c>
      <c r="T21" s="15">
        <f ca="1">IF(SUMIF($C:$C,$R21,$J:$J)=0,"",SUMIF($C:$C,$R21,$J:$J))</f>
        <v>0.31247363426102781</v>
      </c>
      <c r="U21" s="15">
        <f t="shared" ca="1" si="7"/>
        <v>2.0859699072305504E-2</v>
      </c>
      <c r="V21" s="16">
        <f ca="1">IFERROR(AVERAGEIF($C:$C,$R21,$P:$P)," ")</f>
        <v>1.0557760020003668</v>
      </c>
    </row>
    <row r="22" spans="1:25" ht="15.75" customHeight="1">
      <c r="A22" s="142">
        <f t="shared" si="6"/>
        <v>21</v>
      </c>
      <c r="B22" s="142" t="str">
        <f>VLOOKUP(D22,Task!$B:$E,4,0)</f>
        <v>Task</v>
      </c>
      <c r="C22" s="150">
        <v>45665</v>
      </c>
      <c r="D22" s="7" t="s">
        <v>48</v>
      </c>
      <c r="E22" s="7">
        <v>73</v>
      </c>
      <c r="F22" s="8">
        <v>1.736111111111111E-3</v>
      </c>
      <c r="G22" s="9">
        <v>0.1267361111111111</v>
      </c>
      <c r="H22" s="10">
        <v>0.57217592592592592</v>
      </c>
      <c r="I22" s="10">
        <v>0.72037037037037044</v>
      </c>
      <c r="J22" s="57">
        <f t="shared" si="4"/>
        <v>0.11759259259259267</v>
      </c>
      <c r="K22" s="129">
        <f t="shared" si="5"/>
        <v>0.7295138888888888</v>
      </c>
      <c r="L22" s="8"/>
      <c r="M22" s="8"/>
      <c r="N22" s="8">
        <v>3.0601851851851852E-2</v>
      </c>
      <c r="O22" s="12"/>
      <c r="P22" s="16">
        <f t="shared" si="2"/>
        <v>1.0777559055118102</v>
      </c>
      <c r="Q22" s="19"/>
      <c r="R22" s="20">
        <f ca="1">IFERROR(__xludf.DUMMYFUNCTION("""COMPUTED_VALUE"""),45693)</f>
        <v>45693</v>
      </c>
      <c r="S22" s="15">
        <f ca="1">IF(SUMIF($C:$C,$R22,$G:$G)=0,"",SUMIF($C:$C,$R22,$G:$G))</f>
        <v>0.35138888888888886</v>
      </c>
      <c r="T22" s="15">
        <f ca="1">IF(SUMIF($C:$C,$R22,$J:$J)=0,"",SUMIF($C:$C,$R22,$J:$J))</f>
        <v>0.33048611111111098</v>
      </c>
      <c r="U22" s="15">
        <f t="shared" ca="1" si="7"/>
        <v>2.8472222222223342E-3</v>
      </c>
      <c r="V22" s="16">
        <f ca="1">IFERROR(AVERAGEIF($C:$C,$R22,$P:$P)," ")</f>
        <v>1.0793417663513825</v>
      </c>
    </row>
    <row r="23" spans="1:25" ht="15.75" customHeight="1">
      <c r="A23" s="142">
        <f t="shared" si="6"/>
        <v>22</v>
      </c>
      <c r="B23" s="142" t="str">
        <f>VLOOKUP(D23,Task!$B:$E,4,0)</f>
        <v>Task</v>
      </c>
      <c r="C23" s="150">
        <v>45665</v>
      </c>
      <c r="D23" s="7" t="s">
        <v>46</v>
      </c>
      <c r="E23" s="7">
        <v>11</v>
      </c>
      <c r="F23" s="8">
        <v>3.472222222222222E-3</v>
      </c>
      <c r="G23" s="9">
        <v>3.8194444444444441E-2</v>
      </c>
      <c r="H23" s="10">
        <v>0.72037037037037044</v>
      </c>
      <c r="I23" s="10">
        <v>0.75347222222222221</v>
      </c>
      <c r="J23" s="57">
        <f t="shared" si="4"/>
        <v>3.3101851851851771E-2</v>
      </c>
      <c r="K23" s="129">
        <f t="shared" si="5"/>
        <v>0.75856481481481486</v>
      </c>
      <c r="L23" s="8"/>
      <c r="M23" s="8"/>
      <c r="N23" s="8"/>
      <c r="O23" s="12"/>
      <c r="P23" s="16">
        <f t="shared" si="2"/>
        <v>1.1538461538461566</v>
      </c>
      <c r="R23" s="20">
        <f ca="1">IFERROR(__xludf.DUMMYFUNCTION("""COMPUTED_VALUE"""),45694)</f>
        <v>45694</v>
      </c>
      <c r="S23" s="15">
        <f ca="1">IF(SUMIF($C:$C,$R23,$G:$G)=0,"",SUMIF($C:$C,$R23,$G:$G))</f>
        <v>0.31527777777777777</v>
      </c>
      <c r="T23" s="15">
        <f ca="1">IF(SUMIF($C:$C,$R23,$J:$J)=0,"",SUMIF($C:$C,$R23,$J:$J))</f>
        <v>0.30510416666666651</v>
      </c>
      <c r="U23" s="15">
        <f t="shared" ca="1" si="7"/>
        <v>2.8229166666666805E-2</v>
      </c>
      <c r="V23" s="16">
        <f ca="1">IFERROR(AVERAGEIF($C:$C,$R23,$P:$P)," ")</f>
        <v>1.0427248061650971</v>
      </c>
    </row>
    <row r="24" spans="1:25" ht="15.75" customHeight="1">
      <c r="A24" s="142">
        <f t="shared" si="6"/>
        <v>23</v>
      </c>
      <c r="B24" s="142" t="str">
        <f>VLOOKUP(D24,Task!$B:$E,4,0)</f>
        <v>Report</v>
      </c>
      <c r="C24" s="150">
        <v>45666</v>
      </c>
      <c r="D24" s="7" t="s">
        <v>42</v>
      </c>
      <c r="E24" s="7">
        <v>1</v>
      </c>
      <c r="F24" s="8">
        <v>6.9444444444444441E-3</v>
      </c>
      <c r="G24" s="9">
        <v>6.9444444444444441E-3</v>
      </c>
      <c r="H24" s="10">
        <v>0.36710648148148151</v>
      </c>
      <c r="I24" s="10">
        <v>0.37357638888888889</v>
      </c>
      <c r="J24" s="57">
        <f t="shared" si="4"/>
        <v>6.4699074074073826E-3</v>
      </c>
      <c r="K24" s="129">
        <f t="shared" si="5"/>
        <v>0.37405092592592593</v>
      </c>
      <c r="L24" s="8"/>
      <c r="M24" s="8"/>
      <c r="N24" s="8"/>
      <c r="O24" s="12"/>
      <c r="P24" s="16">
        <f t="shared" si="2"/>
        <v>1.0733452593917752</v>
      </c>
      <c r="Q24" s="19"/>
      <c r="R24" s="30">
        <f ca="1">IFERROR(__xludf.DUMMYFUNCTION("""COMPUTED_VALUE"""),45695)</f>
        <v>45695</v>
      </c>
      <c r="Y24" s="4"/>
    </row>
    <row r="25" spans="1:25" ht="15.75" customHeight="1">
      <c r="A25" s="142">
        <f t="shared" si="6"/>
        <v>24</v>
      </c>
      <c r="B25" s="142" t="str">
        <f>VLOOKUP(D25,Task!$B:$E,4,0)</f>
        <v>Report</v>
      </c>
      <c r="C25" s="150">
        <v>45666</v>
      </c>
      <c r="D25" s="7" t="s">
        <v>43</v>
      </c>
      <c r="E25" s="7">
        <v>1</v>
      </c>
      <c r="F25" s="8">
        <v>3.4722222222222224E-2</v>
      </c>
      <c r="G25" s="9">
        <v>3.4722222222222224E-2</v>
      </c>
      <c r="H25" s="10">
        <v>0.37357638888888889</v>
      </c>
      <c r="I25" s="10">
        <v>0.40358796296296295</v>
      </c>
      <c r="J25" s="57">
        <f t="shared" si="4"/>
        <v>3.0011574074074066E-2</v>
      </c>
      <c r="K25" s="129">
        <f t="shared" si="5"/>
        <v>0.4082986111111111</v>
      </c>
      <c r="L25" s="8"/>
      <c r="M25" s="8"/>
      <c r="N25" s="8"/>
      <c r="O25" s="12"/>
      <c r="P25" s="16">
        <f t="shared" si="2"/>
        <v>1.1569610489780182</v>
      </c>
      <c r="Q25" s="4"/>
      <c r="R25" s="30">
        <f ca="1">IFERROR(__xludf.DUMMYFUNCTION("""COMPUTED_VALUE"""),45698)</f>
        <v>45698</v>
      </c>
    </row>
    <row r="26" spans="1:25" ht="14.5">
      <c r="A26" s="142">
        <f t="shared" si="6"/>
        <v>25</v>
      </c>
      <c r="B26" s="142" t="str">
        <f>VLOOKUP(D26,Task!$B:$E,4,0)</f>
        <v>Report</v>
      </c>
      <c r="C26" s="150">
        <v>45666</v>
      </c>
      <c r="D26" s="7" t="s">
        <v>18</v>
      </c>
      <c r="E26" s="7">
        <v>1</v>
      </c>
      <c r="F26" s="8">
        <v>4.8611111111111112E-2</v>
      </c>
      <c r="G26" s="9">
        <v>4.8611111111111112E-2</v>
      </c>
      <c r="H26" s="10">
        <v>0.40358796296296295</v>
      </c>
      <c r="I26" s="10">
        <v>0.44997685185185188</v>
      </c>
      <c r="J26" s="57">
        <f t="shared" si="4"/>
        <v>4.6388888888888924E-2</v>
      </c>
      <c r="K26" s="129">
        <f t="shared" si="5"/>
        <v>0.45219907407407406</v>
      </c>
      <c r="L26" s="8"/>
      <c r="M26" s="8"/>
      <c r="N26" s="8"/>
      <c r="O26" s="12"/>
      <c r="P26" s="16">
        <f t="shared" si="2"/>
        <v>1.0479041916167657</v>
      </c>
      <c r="R26" s="30">
        <f ca="1">IFERROR(__xludf.DUMMYFUNCTION("""COMPUTED_VALUE"""),45699)</f>
        <v>45699</v>
      </c>
    </row>
    <row r="27" spans="1:25" ht="14.5">
      <c r="A27" s="142">
        <f t="shared" si="6"/>
        <v>26</v>
      </c>
      <c r="B27" s="142" t="str">
        <f>VLOOKUP(D27,Task!$B:$E,4,0)</f>
        <v>Task</v>
      </c>
      <c r="C27" s="150">
        <v>45666</v>
      </c>
      <c r="D27" s="7" t="s">
        <v>46</v>
      </c>
      <c r="E27" s="7">
        <v>19</v>
      </c>
      <c r="F27" s="8">
        <v>3.472222222222222E-3</v>
      </c>
      <c r="G27" s="9">
        <v>6.5972222222222224E-2</v>
      </c>
      <c r="H27" s="10">
        <v>0.44997685185185188</v>
      </c>
      <c r="I27" s="10">
        <v>0.54521990740740744</v>
      </c>
      <c r="J27" s="57">
        <f t="shared" si="4"/>
        <v>6.2893518518518529E-2</v>
      </c>
      <c r="K27" s="129">
        <f t="shared" si="5"/>
        <v>0.54829861111111111</v>
      </c>
      <c r="L27" s="8"/>
      <c r="M27" s="8"/>
      <c r="N27" s="8">
        <v>3.2349537037037038E-2</v>
      </c>
      <c r="O27" s="12"/>
      <c r="P27" s="16">
        <f t="shared" si="2"/>
        <v>1.0489510489510487</v>
      </c>
      <c r="Q27" s="19"/>
      <c r="R27" s="30">
        <f ca="1">IFERROR(__xludf.DUMMYFUNCTION("""COMPUTED_VALUE"""),45701)</f>
        <v>45701</v>
      </c>
    </row>
    <row r="28" spans="1:25" ht="14.5">
      <c r="A28" s="142">
        <f t="shared" si="6"/>
        <v>27</v>
      </c>
      <c r="B28" s="142" t="str">
        <f>VLOOKUP(D28,Task!$B:$E,4,0)</f>
        <v>Task</v>
      </c>
      <c r="C28" s="150">
        <v>45666</v>
      </c>
      <c r="D28" s="7" t="s">
        <v>16</v>
      </c>
      <c r="E28" s="7">
        <v>27</v>
      </c>
      <c r="F28" s="8">
        <v>5.5555555555555558E-3</v>
      </c>
      <c r="G28" s="9">
        <v>0.15</v>
      </c>
      <c r="H28" s="10">
        <v>0.54521990740740744</v>
      </c>
      <c r="I28" s="10">
        <v>0.75</v>
      </c>
      <c r="J28" s="57">
        <f t="shared" si="4"/>
        <v>0.13459490740740737</v>
      </c>
      <c r="K28" s="129">
        <f t="shared" si="5"/>
        <v>0.7654050925925926</v>
      </c>
      <c r="L28" s="8"/>
      <c r="M28" s="8"/>
      <c r="N28" s="8">
        <v>7.0185185185185184E-2</v>
      </c>
      <c r="O28" s="12"/>
      <c r="P28" s="16">
        <f t="shared" si="2"/>
        <v>1.1144552412073268</v>
      </c>
      <c r="Q28" s="19"/>
      <c r="R28" s="30">
        <f ca="1">IFERROR(__xludf.DUMMYFUNCTION("""COMPUTED_VALUE"""),45702)</f>
        <v>45702</v>
      </c>
    </row>
    <row r="29" spans="1:25" ht="14.5">
      <c r="A29" s="142">
        <f t="shared" si="6"/>
        <v>28</v>
      </c>
      <c r="B29" s="142" t="str">
        <f>VLOOKUP(D29,Task!$B:$E,4,0)</f>
        <v>Report</v>
      </c>
      <c r="C29" s="150">
        <v>45667</v>
      </c>
      <c r="D29" s="7" t="s">
        <v>18</v>
      </c>
      <c r="E29" s="7">
        <v>1</v>
      </c>
      <c r="F29" s="8">
        <v>4.8611111111111112E-2</v>
      </c>
      <c r="G29" s="9">
        <v>4.8611111111111112E-2</v>
      </c>
      <c r="H29" s="10">
        <v>0.33172453703703708</v>
      </c>
      <c r="I29" s="10">
        <v>0.41035879629629635</v>
      </c>
      <c r="J29" s="57">
        <f t="shared" si="4"/>
        <v>4.9351851851851855E-2</v>
      </c>
      <c r="K29" s="129">
        <f t="shared" si="5"/>
        <v>0.40961805555555558</v>
      </c>
      <c r="L29" s="8"/>
      <c r="M29" s="8"/>
      <c r="N29" s="8">
        <v>2.9282407407407406E-2</v>
      </c>
      <c r="O29" s="12"/>
      <c r="P29" s="16">
        <f t="shared" si="2"/>
        <v>0.98499061913696051</v>
      </c>
      <c r="Q29" s="19"/>
      <c r="R29" s="30">
        <f ca="1">IFERROR(__xludf.DUMMYFUNCTION("""COMPUTED_VALUE"""),45705)</f>
        <v>45705</v>
      </c>
    </row>
    <row r="30" spans="1:25" ht="14.5">
      <c r="A30" s="142">
        <f t="shared" si="6"/>
        <v>29</v>
      </c>
      <c r="B30" s="142" t="str">
        <f>VLOOKUP(D30,Task!$B:$E,4,0)</f>
        <v>Task</v>
      </c>
      <c r="C30" s="150">
        <v>45667</v>
      </c>
      <c r="D30" s="7" t="s">
        <v>16</v>
      </c>
      <c r="E30" s="7">
        <v>30</v>
      </c>
      <c r="F30" s="8">
        <v>5.5555555555555558E-3</v>
      </c>
      <c r="G30" s="9">
        <v>0.16666666666666669</v>
      </c>
      <c r="H30" s="10">
        <v>0.41035879629629635</v>
      </c>
      <c r="I30" s="10">
        <v>0.5955555555555555</v>
      </c>
      <c r="J30" s="57">
        <f t="shared" si="4"/>
        <v>0.15170138888888879</v>
      </c>
      <c r="K30" s="129">
        <f t="shared" si="5"/>
        <v>0.6105208333333334</v>
      </c>
      <c r="L30" s="8"/>
      <c r="M30" s="8"/>
      <c r="N30" s="8">
        <v>3.349537037037037E-2</v>
      </c>
      <c r="O30" s="12"/>
      <c r="P30" s="16">
        <f t="shared" si="2"/>
        <v>1.0986495765621431</v>
      </c>
      <c r="Q30" s="4"/>
      <c r="R30" s="30">
        <f ca="1">IFERROR(__xludf.DUMMYFUNCTION("""COMPUTED_VALUE"""),45706)</f>
        <v>45706</v>
      </c>
    </row>
    <row r="31" spans="1:25" ht="14.5">
      <c r="A31" s="142">
        <f t="shared" si="6"/>
        <v>30</v>
      </c>
      <c r="B31" s="142" t="str">
        <f>VLOOKUP(D31,Task!$B:$E,4,0)</f>
        <v>Task</v>
      </c>
      <c r="C31" s="150">
        <v>45667</v>
      </c>
      <c r="D31" s="7" t="s">
        <v>49</v>
      </c>
      <c r="E31" s="7">
        <v>12</v>
      </c>
      <c r="F31" s="8">
        <v>3.472222222222222E-3</v>
      </c>
      <c r="G31" s="9">
        <v>4.1666666666666664E-2</v>
      </c>
      <c r="H31" s="10">
        <v>0.62495370370370373</v>
      </c>
      <c r="I31" s="10">
        <v>0.66741898148148149</v>
      </c>
      <c r="J31" s="57">
        <f t="shared" si="4"/>
        <v>4.2465277777777755E-2</v>
      </c>
      <c r="K31" s="129">
        <f t="shared" si="5"/>
        <v>0.66662037037037036</v>
      </c>
      <c r="L31" s="8"/>
      <c r="M31" s="8"/>
      <c r="N31" s="8"/>
      <c r="O31" s="12"/>
      <c r="P31" s="16">
        <f t="shared" si="2"/>
        <v>0.98119378577269056</v>
      </c>
      <c r="Q31" s="19"/>
      <c r="R31" s="30">
        <f ca="1">IFERROR(__xludf.DUMMYFUNCTION("""COMPUTED_VALUE"""),45707)</f>
        <v>45707</v>
      </c>
    </row>
    <row r="32" spans="1:25" ht="14.5">
      <c r="A32" s="142">
        <f t="shared" si="6"/>
        <v>31</v>
      </c>
      <c r="B32" s="142" t="str">
        <f>VLOOKUP(D32,Task!$B:$E,4,0)</f>
        <v>Task</v>
      </c>
      <c r="C32" s="150">
        <v>45667</v>
      </c>
      <c r="D32" s="7" t="s">
        <v>48</v>
      </c>
      <c r="E32" s="7">
        <v>28</v>
      </c>
      <c r="F32" s="8">
        <v>1.736111111111111E-3</v>
      </c>
      <c r="G32" s="9">
        <v>4.8611111111111105E-2</v>
      </c>
      <c r="H32" s="10">
        <v>0.66752314814814817</v>
      </c>
      <c r="I32" s="10">
        <v>0.71527777777777779</v>
      </c>
      <c r="J32" s="57">
        <f t="shared" si="4"/>
        <v>4.7754629629629619E-2</v>
      </c>
      <c r="K32" s="129">
        <f t="shared" si="5"/>
        <v>0.71613425925925922</v>
      </c>
      <c r="L32" s="8"/>
      <c r="M32" s="8"/>
      <c r="N32" s="8"/>
      <c r="O32" s="12"/>
      <c r="P32" s="16">
        <f t="shared" si="2"/>
        <v>1.0179350460494427</v>
      </c>
      <c r="Q32" s="4"/>
      <c r="R32" s="30">
        <f ca="1">IFERROR(__xludf.DUMMYFUNCTION("""COMPUTED_VALUE"""),45708)</f>
        <v>45708</v>
      </c>
    </row>
    <row r="33" spans="1:18" ht="14.5">
      <c r="A33" s="142">
        <f t="shared" si="6"/>
        <v>32</v>
      </c>
      <c r="B33" s="142" t="str">
        <f>VLOOKUP(D33,Task!$B:$E,4,0)</f>
        <v>Report</v>
      </c>
      <c r="C33" s="150">
        <v>45670</v>
      </c>
      <c r="D33" s="7" t="s">
        <v>50</v>
      </c>
      <c r="E33" s="7">
        <v>2</v>
      </c>
      <c r="F33" s="8">
        <v>1.0416666666666666E-2</v>
      </c>
      <c r="G33" s="9">
        <v>2.0833333333333332E-2</v>
      </c>
      <c r="H33" s="10">
        <v>0.2952893518518519</v>
      </c>
      <c r="I33" s="10">
        <v>0.31452546296296297</v>
      </c>
      <c r="J33" s="57">
        <f t="shared" si="4"/>
        <v>1.9236111111111065E-2</v>
      </c>
      <c r="K33" s="129">
        <f t="shared" si="5"/>
        <v>0.31612268518518521</v>
      </c>
      <c r="L33" s="8"/>
      <c r="M33" s="8"/>
      <c r="N33" s="8"/>
      <c r="O33" s="12"/>
      <c r="P33" s="16">
        <f t="shared" si="2"/>
        <v>1.0830324909747318</v>
      </c>
      <c r="Q33" s="19"/>
      <c r="R33" s="30">
        <f ca="1">IFERROR(__xludf.DUMMYFUNCTION("""COMPUTED_VALUE"""),45709)</f>
        <v>45709</v>
      </c>
    </row>
    <row r="34" spans="1:18" ht="14.5">
      <c r="A34" s="142">
        <f t="shared" si="6"/>
        <v>33</v>
      </c>
      <c r="B34" s="142" t="str">
        <f>VLOOKUP(D34,Task!$B:$E,4,0)</f>
        <v>Report</v>
      </c>
      <c r="C34" s="150">
        <v>45670</v>
      </c>
      <c r="D34" s="7" t="s">
        <v>51</v>
      </c>
      <c r="E34" s="7">
        <v>2</v>
      </c>
      <c r="F34" s="8">
        <v>1.0416666666666666E-2</v>
      </c>
      <c r="G34" s="9">
        <v>2.0833333333333332E-2</v>
      </c>
      <c r="H34" s="10">
        <v>0.31452546296296297</v>
      </c>
      <c r="I34" s="10">
        <v>0.33283564814814814</v>
      </c>
      <c r="J34" s="57">
        <f t="shared" si="4"/>
        <v>1.8310185185185179E-2</v>
      </c>
      <c r="K34" s="129">
        <f t="shared" si="5"/>
        <v>0.33535879629629628</v>
      </c>
      <c r="L34" s="8"/>
      <c r="M34" s="8"/>
      <c r="N34" s="8"/>
      <c r="O34" s="12"/>
      <c r="P34" s="16">
        <f t="shared" si="2"/>
        <v>1.137800252844501</v>
      </c>
      <c r="Q34" s="19"/>
      <c r="R34" s="30">
        <f ca="1">IFERROR(__xludf.DUMMYFUNCTION("""COMPUTED_VALUE"""),45712)</f>
        <v>45712</v>
      </c>
    </row>
    <row r="35" spans="1:18" ht="14.5">
      <c r="A35" s="142">
        <f t="shared" si="6"/>
        <v>34</v>
      </c>
      <c r="B35" s="142" t="str">
        <f>VLOOKUP(D35,Task!$B:$E,4,0)</f>
        <v>Report</v>
      </c>
      <c r="C35" s="150">
        <v>45670</v>
      </c>
      <c r="D35" s="7" t="s">
        <v>52</v>
      </c>
      <c r="E35" s="7">
        <v>2</v>
      </c>
      <c r="F35" s="8">
        <v>1.0416666666666666E-2</v>
      </c>
      <c r="G35" s="9">
        <v>2.0833333333333332E-2</v>
      </c>
      <c r="H35" s="10">
        <v>0.33283564814814814</v>
      </c>
      <c r="I35" s="10">
        <v>0.35184027777777782</v>
      </c>
      <c r="J35" s="57">
        <f t="shared" si="4"/>
        <v>1.9004629629629677E-2</v>
      </c>
      <c r="K35" s="129">
        <f t="shared" si="5"/>
        <v>0.35366898148148146</v>
      </c>
      <c r="L35" s="8"/>
      <c r="M35" s="8"/>
      <c r="N35" s="8"/>
      <c r="O35" s="12"/>
      <c r="P35" s="16">
        <f t="shared" si="2"/>
        <v>1.0962241169305698</v>
      </c>
      <c r="R35" s="30">
        <f ca="1">IFERROR(__xludf.DUMMYFUNCTION("""COMPUTED_VALUE"""),45713)</f>
        <v>45713</v>
      </c>
    </row>
    <row r="36" spans="1:18" ht="14.5">
      <c r="A36" s="142">
        <f t="shared" si="6"/>
        <v>35</v>
      </c>
      <c r="B36" s="142" t="str">
        <f>VLOOKUP(D36,Task!$B:$E,4,0)</f>
        <v>Report</v>
      </c>
      <c r="C36" s="150">
        <v>45670</v>
      </c>
      <c r="D36" s="7" t="s">
        <v>53</v>
      </c>
      <c r="E36" s="7">
        <v>2</v>
      </c>
      <c r="F36" s="8">
        <v>1.0416666666666666E-2</v>
      </c>
      <c r="G36" s="9">
        <v>2.0833333333333332E-2</v>
      </c>
      <c r="H36" s="10">
        <v>0.35184027777777782</v>
      </c>
      <c r="I36" s="10">
        <v>0.37040509259259258</v>
      </c>
      <c r="J36" s="57">
        <f t="shared" si="4"/>
        <v>1.8564814814814756E-2</v>
      </c>
      <c r="K36" s="129">
        <f t="shared" si="5"/>
        <v>0.37267361111111114</v>
      </c>
      <c r="L36" s="8"/>
      <c r="M36" s="8"/>
      <c r="N36" s="8"/>
      <c r="O36" s="12"/>
      <c r="P36" s="16">
        <f t="shared" si="2"/>
        <v>1.1221945137157141</v>
      </c>
      <c r="R36" s="30">
        <f ca="1">IFERROR(__xludf.DUMMYFUNCTION("""COMPUTED_VALUE"""),45714)</f>
        <v>45714</v>
      </c>
    </row>
    <row r="37" spans="1:18" ht="14.5">
      <c r="A37" s="142">
        <f t="shared" si="6"/>
        <v>36</v>
      </c>
      <c r="B37" s="142" t="str">
        <f>VLOOKUP(D37,Task!$B:$E,4,0)</f>
        <v>Report</v>
      </c>
      <c r="C37" s="150">
        <v>45670</v>
      </c>
      <c r="D37" s="7" t="s">
        <v>42</v>
      </c>
      <c r="E37" s="7">
        <v>1</v>
      </c>
      <c r="F37" s="8">
        <v>6.9444444444444441E-3</v>
      </c>
      <c r="G37" s="9">
        <v>6.9444444444444441E-3</v>
      </c>
      <c r="H37" s="10">
        <v>0.37040509259259258</v>
      </c>
      <c r="I37" s="10">
        <v>0.37685185185185188</v>
      </c>
      <c r="J37" s="57">
        <f t="shared" si="4"/>
        <v>6.4467592592593048E-3</v>
      </c>
      <c r="K37" s="129">
        <f t="shared" si="5"/>
        <v>0.377349537037037</v>
      </c>
      <c r="L37" s="8"/>
      <c r="M37" s="8"/>
      <c r="N37" s="8"/>
      <c r="O37" s="12"/>
      <c r="P37" s="16">
        <f t="shared" si="2"/>
        <v>1.0771992818671376</v>
      </c>
      <c r="Q37" s="19"/>
      <c r="R37" s="30">
        <f ca="1">IFERROR(__xludf.DUMMYFUNCTION("""COMPUTED_VALUE"""),45715)</f>
        <v>45715</v>
      </c>
    </row>
    <row r="38" spans="1:18" ht="14.5">
      <c r="A38" s="142">
        <f t="shared" si="6"/>
        <v>37</v>
      </c>
      <c r="B38" s="142" t="str">
        <f>VLOOKUP(D38,Task!$B:$E,4,0)</f>
        <v>Report</v>
      </c>
      <c r="C38" s="150">
        <v>45670</v>
      </c>
      <c r="D38" s="7" t="s">
        <v>43</v>
      </c>
      <c r="E38" s="7">
        <v>1</v>
      </c>
      <c r="F38" s="8">
        <v>3.4722222222222224E-2</v>
      </c>
      <c r="G38" s="9">
        <v>3.4722222222222224E-2</v>
      </c>
      <c r="H38" s="10">
        <v>0.37685185185185188</v>
      </c>
      <c r="I38" s="10">
        <v>0.44120370370370376</v>
      </c>
      <c r="J38" s="57">
        <f t="shared" si="4"/>
        <v>3.1134259259259292E-2</v>
      </c>
      <c r="K38" s="129">
        <f t="shared" si="5"/>
        <v>0.4447916666666667</v>
      </c>
      <c r="L38" s="8"/>
      <c r="M38" s="8"/>
      <c r="N38" s="8">
        <v>3.321759259259259E-2</v>
      </c>
      <c r="O38" s="12"/>
      <c r="P38" s="16">
        <f t="shared" si="2"/>
        <v>1.1152416356877313</v>
      </c>
      <c r="Q38" s="19"/>
      <c r="R38" s="30">
        <f ca="1">IFERROR(__xludf.DUMMYFUNCTION("""COMPUTED_VALUE"""),45716)</f>
        <v>45716</v>
      </c>
    </row>
    <row r="39" spans="1:18" ht="14.5">
      <c r="A39" s="142">
        <f t="shared" si="6"/>
        <v>38</v>
      </c>
      <c r="B39" s="142" t="str">
        <f>VLOOKUP(D39,Task!$B:$E,4,0)</f>
        <v>Report</v>
      </c>
      <c r="C39" s="150">
        <v>45670</v>
      </c>
      <c r="D39" s="7" t="s">
        <v>50</v>
      </c>
      <c r="E39" s="7">
        <v>1</v>
      </c>
      <c r="F39" s="8">
        <v>1.0416666666666666E-2</v>
      </c>
      <c r="G39" s="9">
        <v>1.0416666666666666E-2</v>
      </c>
      <c r="H39" s="10">
        <v>0.44120370370370376</v>
      </c>
      <c r="I39" s="10">
        <v>0.450625</v>
      </c>
      <c r="J39" s="57">
        <f t="shared" si="4"/>
        <v>9.4212962962962332E-3</v>
      </c>
      <c r="K39" s="129">
        <f t="shared" si="5"/>
        <v>0.45162037037037045</v>
      </c>
      <c r="L39" s="8"/>
      <c r="M39" s="8"/>
      <c r="N39" s="8"/>
      <c r="O39" s="12"/>
      <c r="P39" s="16">
        <f t="shared" si="2"/>
        <v>1.1056511056511129</v>
      </c>
      <c r="Q39" s="19"/>
      <c r="R39" s="30">
        <f ca="1">IFERROR(__xludf.DUMMYFUNCTION("""COMPUTED_VALUE"""),45719)</f>
        <v>45719</v>
      </c>
    </row>
    <row r="40" spans="1:18" ht="14.5">
      <c r="A40" s="142">
        <f t="shared" si="6"/>
        <v>39</v>
      </c>
      <c r="B40" s="142" t="str">
        <f>VLOOKUP(D40,Task!$B:$E,4,0)</f>
        <v>Report</v>
      </c>
      <c r="C40" s="150">
        <v>45670</v>
      </c>
      <c r="D40" s="7" t="s">
        <v>51</v>
      </c>
      <c r="E40" s="7">
        <v>1</v>
      </c>
      <c r="F40" s="8">
        <v>1.0416666666666666E-2</v>
      </c>
      <c r="G40" s="9">
        <v>1.0416666666666666E-2</v>
      </c>
      <c r="H40" s="10">
        <v>0.450625</v>
      </c>
      <c r="I40" s="10">
        <v>0.46028935185185182</v>
      </c>
      <c r="J40" s="57">
        <f t="shared" si="4"/>
        <v>9.6643518518518268E-3</v>
      </c>
      <c r="K40" s="129">
        <f t="shared" si="5"/>
        <v>0.46104166666666668</v>
      </c>
      <c r="L40" s="8"/>
      <c r="M40" s="8"/>
      <c r="N40" s="8"/>
      <c r="O40" s="12"/>
      <c r="P40" s="16">
        <f t="shared" si="2"/>
        <v>1.0778443113772482</v>
      </c>
      <c r="Q40" s="4"/>
      <c r="R40" s="30">
        <f ca="1">IFERROR(__xludf.DUMMYFUNCTION("""COMPUTED_VALUE"""),45720)</f>
        <v>45720</v>
      </c>
    </row>
    <row r="41" spans="1:18" ht="14.5">
      <c r="A41" s="142">
        <f t="shared" si="6"/>
        <v>40</v>
      </c>
      <c r="B41" s="142" t="str">
        <f>VLOOKUP(D41,Task!$B:$E,4,0)</f>
        <v>Report</v>
      </c>
      <c r="C41" s="150">
        <v>45670</v>
      </c>
      <c r="D41" s="7" t="s">
        <v>52</v>
      </c>
      <c r="E41" s="7">
        <v>1</v>
      </c>
      <c r="F41" s="8">
        <v>1.0416666666666666E-2</v>
      </c>
      <c r="G41" s="9">
        <v>1.0416666666666666E-2</v>
      </c>
      <c r="H41" s="10">
        <v>0.46028935185185182</v>
      </c>
      <c r="I41" s="10">
        <v>0.46975694444444444</v>
      </c>
      <c r="J41" s="57">
        <f t="shared" si="4"/>
        <v>9.4675925925926108E-3</v>
      </c>
      <c r="K41" s="129">
        <f t="shared" si="5"/>
        <v>0.47070601851851851</v>
      </c>
      <c r="L41" s="8"/>
      <c r="M41" s="8"/>
      <c r="N41" s="8"/>
      <c r="O41" s="12"/>
      <c r="P41" s="16">
        <f t="shared" si="2"/>
        <v>1.100244498777504</v>
      </c>
      <c r="Q41" s="4"/>
      <c r="R41" s="30">
        <f ca="1">IFERROR(__xludf.DUMMYFUNCTION("""COMPUTED_VALUE"""),45721)</f>
        <v>45721</v>
      </c>
    </row>
    <row r="42" spans="1:18" ht="14.5">
      <c r="A42" s="142">
        <f t="shared" si="6"/>
        <v>41</v>
      </c>
      <c r="B42" s="142" t="str">
        <f>VLOOKUP(D42,Task!$B:$E,4,0)</f>
        <v>Report</v>
      </c>
      <c r="C42" s="150">
        <v>45670</v>
      </c>
      <c r="D42" s="7" t="s">
        <v>53</v>
      </c>
      <c r="E42" s="7">
        <v>1</v>
      </c>
      <c r="F42" s="8">
        <v>1.0416666666666666E-2</v>
      </c>
      <c r="G42" s="9">
        <v>1.0416666666666666E-2</v>
      </c>
      <c r="H42" s="10">
        <v>0.46975694444444444</v>
      </c>
      <c r="I42" s="10">
        <v>0.47932870370370373</v>
      </c>
      <c r="J42" s="57">
        <f t="shared" si="4"/>
        <v>9.5717592592592937E-3</v>
      </c>
      <c r="K42" s="129">
        <f t="shared" si="5"/>
        <v>0.48017361111111112</v>
      </c>
      <c r="L42" s="8"/>
      <c r="M42" s="8"/>
      <c r="N42" s="8"/>
      <c r="O42" s="12"/>
      <c r="P42" s="16">
        <f t="shared" si="2"/>
        <v>1.0882708585247844</v>
      </c>
      <c r="Q42" s="4"/>
      <c r="R42" s="30">
        <f ca="1">IFERROR(__xludf.DUMMYFUNCTION("""COMPUTED_VALUE"""),45722)</f>
        <v>45722</v>
      </c>
    </row>
    <row r="43" spans="1:18" ht="14.5">
      <c r="A43" s="142">
        <f t="shared" si="6"/>
        <v>42</v>
      </c>
      <c r="B43" s="142" t="str">
        <f>VLOOKUP(D43,Task!$B:$E,4,0)</f>
        <v>Report</v>
      </c>
      <c r="C43" s="150">
        <v>45670</v>
      </c>
      <c r="D43" s="7" t="s">
        <v>18</v>
      </c>
      <c r="E43" s="7">
        <v>2</v>
      </c>
      <c r="F43" s="8">
        <v>4.8611111111111112E-2</v>
      </c>
      <c r="G43" s="9">
        <v>9.7222222222222224E-2</v>
      </c>
      <c r="H43" s="10">
        <v>0.47932870370370373</v>
      </c>
      <c r="I43" s="10">
        <v>0.60349537037037038</v>
      </c>
      <c r="J43" s="57">
        <f t="shared" si="4"/>
        <v>8.9641203703703681E-2</v>
      </c>
      <c r="K43" s="129">
        <f t="shared" si="5"/>
        <v>0.61107638888888893</v>
      </c>
      <c r="L43" s="8"/>
      <c r="M43" s="8"/>
      <c r="N43" s="8">
        <v>3.4525462962962966E-2</v>
      </c>
      <c r="O43" s="12"/>
      <c r="P43" s="16">
        <f t="shared" si="2"/>
        <v>1.0845706907682378</v>
      </c>
      <c r="Q43" s="19"/>
      <c r="R43" s="30">
        <f ca="1">IFERROR(__xludf.DUMMYFUNCTION("""COMPUTED_VALUE"""),45726)</f>
        <v>45726</v>
      </c>
    </row>
    <row r="44" spans="1:18" ht="14.5">
      <c r="A44" s="142">
        <f t="shared" si="6"/>
        <v>43</v>
      </c>
      <c r="B44" s="142" t="str">
        <f>VLOOKUP(D44,Task!$B:$E,4,0)</f>
        <v>Task</v>
      </c>
      <c r="C44" s="150">
        <v>45670</v>
      </c>
      <c r="D44" s="7" t="s">
        <v>16</v>
      </c>
      <c r="E44" s="7">
        <v>13</v>
      </c>
      <c r="F44" s="8">
        <v>5.5555555555555558E-3</v>
      </c>
      <c r="G44" s="9">
        <v>7.2222222222222229E-2</v>
      </c>
      <c r="H44" s="10">
        <v>0.60349537037037038</v>
      </c>
      <c r="I44" s="10">
        <v>0.67569444444444449</v>
      </c>
      <c r="J44" s="57">
        <f t="shared" si="4"/>
        <v>7.219907407407411E-2</v>
      </c>
      <c r="K44" s="129">
        <f t="shared" si="5"/>
        <v>0.67571759259259256</v>
      </c>
      <c r="L44" s="8"/>
      <c r="M44" s="8"/>
      <c r="N44" s="8"/>
      <c r="O44" s="12"/>
      <c r="P44" s="16">
        <f t="shared" si="2"/>
        <v>1.0003206155819169</v>
      </c>
      <c r="Q44" s="19"/>
      <c r="R44" s="30">
        <f ca="1">IFERROR(__xludf.DUMMYFUNCTION("""COMPUTED_VALUE"""),45727)</f>
        <v>45727</v>
      </c>
    </row>
    <row r="45" spans="1:18" ht="14.5">
      <c r="A45" s="142">
        <f t="shared" si="6"/>
        <v>44</v>
      </c>
      <c r="B45" s="142" t="str">
        <f>VLOOKUP(D45,Task!$B:$E,4,0)</f>
        <v>Task</v>
      </c>
      <c r="C45" s="150">
        <v>45671</v>
      </c>
      <c r="D45" s="7" t="s">
        <v>16</v>
      </c>
      <c r="E45" s="7">
        <v>1</v>
      </c>
      <c r="F45" s="8">
        <v>5.5555555555555558E-3</v>
      </c>
      <c r="G45" s="9">
        <v>5.5555555555555558E-3</v>
      </c>
      <c r="H45" s="10">
        <v>0.36409722222222229</v>
      </c>
      <c r="I45" s="10">
        <v>0.37012731481481487</v>
      </c>
      <c r="J45" s="57">
        <f t="shared" si="4"/>
        <v>6.030092592592573E-3</v>
      </c>
      <c r="K45" s="129">
        <f t="shared" si="5"/>
        <v>0.36965277777777783</v>
      </c>
      <c r="L45" s="8"/>
      <c r="M45" s="8"/>
      <c r="N45" s="8"/>
      <c r="O45" s="12"/>
      <c r="P45" s="16">
        <f t="shared" si="2"/>
        <v>0.92130518234165371</v>
      </c>
      <c r="Q45" s="19"/>
      <c r="R45" s="30">
        <f ca="1">IFERROR(__xludf.DUMMYFUNCTION("""COMPUTED_VALUE"""),45728)</f>
        <v>45728</v>
      </c>
    </row>
    <row r="46" spans="1:18" ht="14.5">
      <c r="A46" s="142">
        <f t="shared" si="6"/>
        <v>45</v>
      </c>
      <c r="B46" s="142" t="str">
        <f>VLOOKUP(D46,Task!$B:$E,4,0)</f>
        <v>Report</v>
      </c>
      <c r="C46" s="150">
        <v>45671</v>
      </c>
      <c r="D46" s="7" t="s">
        <v>18</v>
      </c>
      <c r="E46" s="7">
        <v>1</v>
      </c>
      <c r="F46" s="8">
        <v>4.8611111111111112E-2</v>
      </c>
      <c r="G46" s="9">
        <v>4.8611111111111112E-2</v>
      </c>
      <c r="H46" s="10">
        <v>0.37082175925925925</v>
      </c>
      <c r="I46" s="8">
        <v>0.41214120370370377</v>
      </c>
      <c r="J46" s="57">
        <f t="shared" si="4"/>
        <v>4.131944444444452E-2</v>
      </c>
      <c r="K46" s="129">
        <f t="shared" si="5"/>
        <v>0.41943287037037036</v>
      </c>
      <c r="L46" s="8"/>
      <c r="M46" s="8"/>
      <c r="N46" s="8"/>
      <c r="O46" s="12"/>
      <c r="P46" s="16">
        <f t="shared" si="2"/>
        <v>1.1764705882352919</v>
      </c>
      <c r="Q46" s="4"/>
      <c r="R46" s="30">
        <f ca="1">IFERROR(__xludf.DUMMYFUNCTION("""COMPUTED_VALUE"""),45729)</f>
        <v>45729</v>
      </c>
    </row>
    <row r="47" spans="1:18" ht="14.5">
      <c r="A47" s="142">
        <f t="shared" si="6"/>
        <v>46</v>
      </c>
      <c r="B47" s="142" t="str">
        <f>VLOOKUP(D47,Task!$B:$E,4,0)</f>
        <v>Report</v>
      </c>
      <c r="C47" s="150">
        <v>45671</v>
      </c>
      <c r="D47" s="7" t="s">
        <v>54</v>
      </c>
      <c r="E47" s="7">
        <v>1</v>
      </c>
      <c r="F47" s="8">
        <v>2.0833333333333332E-2</v>
      </c>
      <c r="G47" s="9">
        <v>2.0833333333333332E-2</v>
      </c>
      <c r="H47" s="10">
        <v>0.41214120370370377</v>
      </c>
      <c r="I47" s="10">
        <v>0.43071759259259257</v>
      </c>
      <c r="J47" s="57">
        <f t="shared" si="4"/>
        <v>1.8576388888888795E-2</v>
      </c>
      <c r="K47" s="129">
        <f t="shared" si="5"/>
        <v>0.43297453703703709</v>
      </c>
      <c r="L47" s="8"/>
      <c r="M47" s="8"/>
      <c r="N47" s="8"/>
      <c r="O47" s="18" t="s">
        <v>55</v>
      </c>
      <c r="P47" s="16">
        <f t="shared" si="2"/>
        <v>1.1214953271028094</v>
      </c>
      <c r="Q47" s="19"/>
      <c r="R47" s="30">
        <f ca="1">IFERROR(__xludf.DUMMYFUNCTION("""COMPUTED_VALUE"""),45730)</f>
        <v>45730</v>
      </c>
    </row>
    <row r="48" spans="1:18" ht="14.5">
      <c r="A48" s="142">
        <f t="shared" si="6"/>
        <v>47</v>
      </c>
      <c r="B48" s="142" t="str">
        <f>VLOOKUP(D48,Task!$B:$E,4,0)</f>
        <v>Task</v>
      </c>
      <c r="C48" s="150">
        <v>45671</v>
      </c>
      <c r="D48" s="7" t="s">
        <v>38</v>
      </c>
      <c r="E48" s="7">
        <v>80</v>
      </c>
      <c r="F48" s="8">
        <v>2.7777777777777779E-3</v>
      </c>
      <c r="G48" s="9">
        <v>0.22222222222222224</v>
      </c>
      <c r="H48" s="10">
        <v>0.45651620370370372</v>
      </c>
      <c r="I48" s="10">
        <v>0.71157407407407414</v>
      </c>
      <c r="J48" s="57">
        <f t="shared" si="4"/>
        <v>0.19075231481481486</v>
      </c>
      <c r="K48" s="129">
        <f t="shared" si="5"/>
        <v>0.74304398148148154</v>
      </c>
      <c r="L48" s="8"/>
      <c r="M48" s="8"/>
      <c r="N48" s="8">
        <v>6.430555555555556E-2</v>
      </c>
      <c r="O48" s="12"/>
      <c r="P48" s="16">
        <f t="shared" si="2"/>
        <v>1.1649778532856014</v>
      </c>
      <c r="Q48" s="4"/>
      <c r="R48" s="31">
        <f ca="1">IFERROR(__xludf.DUMMYFUNCTION("""COMPUTED_VALUE"""),45733)</f>
        <v>45733</v>
      </c>
    </row>
    <row r="49" spans="1:25" ht="14.5">
      <c r="A49" s="142">
        <f t="shared" si="6"/>
        <v>48</v>
      </c>
      <c r="B49" s="142" t="str">
        <f>VLOOKUP(D49,Task!$B:$E,4,0)</f>
        <v>Report</v>
      </c>
      <c r="C49" s="150">
        <v>45671</v>
      </c>
      <c r="D49" s="7" t="s">
        <v>50</v>
      </c>
      <c r="E49" s="7">
        <v>1</v>
      </c>
      <c r="F49" s="8">
        <v>1.0416666666666666E-2</v>
      </c>
      <c r="G49" s="9">
        <v>1.0416666666666666E-2</v>
      </c>
      <c r="H49" s="10">
        <v>0.71157407407407414</v>
      </c>
      <c r="I49" s="10">
        <v>0.72099537037037043</v>
      </c>
      <c r="J49" s="57">
        <f t="shared" si="4"/>
        <v>9.4212962962962887E-3</v>
      </c>
      <c r="K49" s="129">
        <f t="shared" si="5"/>
        <v>0.72199074074074077</v>
      </c>
      <c r="L49" s="8"/>
      <c r="M49" s="8"/>
      <c r="N49" s="8"/>
      <c r="O49" s="12"/>
      <c r="P49" s="16">
        <f t="shared" si="2"/>
        <v>1.1056511056511065</v>
      </c>
      <c r="Q49" s="19"/>
      <c r="R49" s="30">
        <f ca="1">IFERROR(__xludf.DUMMYFUNCTION("""COMPUTED_VALUE"""),45734)</f>
        <v>45734</v>
      </c>
    </row>
    <row r="50" spans="1:25" ht="14.5">
      <c r="A50" s="142">
        <f t="shared" si="6"/>
        <v>49</v>
      </c>
      <c r="B50" s="142" t="str">
        <f>VLOOKUP(D50,Task!$B:$E,4,0)</f>
        <v>Report</v>
      </c>
      <c r="C50" s="150">
        <v>45671</v>
      </c>
      <c r="D50" s="7" t="s">
        <v>51</v>
      </c>
      <c r="E50" s="7">
        <v>1</v>
      </c>
      <c r="F50" s="8">
        <v>1.0416666666666666E-2</v>
      </c>
      <c r="G50" s="9">
        <v>1.0416666666666666E-2</v>
      </c>
      <c r="H50" s="10">
        <v>0.72099537037037043</v>
      </c>
      <c r="I50" s="10">
        <v>0.7303587962962963</v>
      </c>
      <c r="J50" s="57">
        <f t="shared" si="4"/>
        <v>9.3634259259258723E-3</v>
      </c>
      <c r="K50" s="129">
        <f t="shared" si="5"/>
        <v>0.73141203703703705</v>
      </c>
      <c r="L50" s="8"/>
      <c r="M50" s="8"/>
      <c r="N50" s="8"/>
      <c r="O50" s="12"/>
      <c r="P50" s="16">
        <f t="shared" si="2"/>
        <v>1.1124845488257171</v>
      </c>
      <c r="Q50" s="4"/>
      <c r="R50" s="30">
        <f ca="1">IFERROR(__xludf.DUMMYFUNCTION("""COMPUTED_VALUE"""),45735)</f>
        <v>45735</v>
      </c>
    </row>
    <row r="51" spans="1:25" ht="14.5">
      <c r="A51" s="142">
        <f t="shared" si="6"/>
        <v>50</v>
      </c>
      <c r="B51" s="142" t="str">
        <f>VLOOKUP(D51,Task!$B:$E,4,0)</f>
        <v>Report</v>
      </c>
      <c r="C51" s="150">
        <v>45671</v>
      </c>
      <c r="D51" s="7" t="s">
        <v>52</v>
      </c>
      <c r="E51" s="7">
        <v>1</v>
      </c>
      <c r="F51" s="8">
        <v>1.0416666666666666E-2</v>
      </c>
      <c r="G51" s="9">
        <v>1.0416666666666666E-2</v>
      </c>
      <c r="H51" s="10">
        <v>0.7303587962962963</v>
      </c>
      <c r="I51" s="10">
        <v>0.73980324074074078</v>
      </c>
      <c r="J51" s="57">
        <f t="shared" si="4"/>
        <v>9.4444444444444775E-3</v>
      </c>
      <c r="K51" s="129">
        <f t="shared" si="5"/>
        <v>0.74077546296296293</v>
      </c>
      <c r="L51" s="8"/>
      <c r="M51" s="8"/>
      <c r="N51" s="8"/>
      <c r="O51" s="12"/>
      <c r="P51" s="16">
        <f t="shared" si="2"/>
        <v>1.1029411764705843</v>
      </c>
      <c r="Q51" s="19"/>
      <c r="R51" s="30">
        <f ca="1">IFERROR(__xludf.DUMMYFUNCTION("""COMPUTED_VALUE"""),45736)</f>
        <v>45736</v>
      </c>
    </row>
    <row r="52" spans="1:25" ht="14.5">
      <c r="A52" s="142">
        <f t="shared" si="6"/>
        <v>51</v>
      </c>
      <c r="B52" s="142" t="str">
        <f>VLOOKUP(D52,Task!$B:$E,4,0)</f>
        <v>Report</v>
      </c>
      <c r="C52" s="150">
        <v>45671</v>
      </c>
      <c r="D52" s="7" t="s">
        <v>53</v>
      </c>
      <c r="E52" s="7">
        <v>1</v>
      </c>
      <c r="F52" s="8">
        <v>1.0416666666666666E-2</v>
      </c>
      <c r="G52" s="9">
        <v>1.0416666666666666E-2</v>
      </c>
      <c r="H52" s="10">
        <v>0.73980324074074078</v>
      </c>
      <c r="I52" s="10">
        <v>0.75</v>
      </c>
      <c r="J52" s="57">
        <f t="shared" si="4"/>
        <v>1.0196759259259225E-2</v>
      </c>
      <c r="K52" s="129">
        <f t="shared" si="5"/>
        <v>0.7502199074074074</v>
      </c>
      <c r="L52" s="8"/>
      <c r="M52" s="8"/>
      <c r="N52" s="8"/>
      <c r="O52" s="12"/>
      <c r="P52" s="16">
        <f t="shared" si="2"/>
        <v>1.0215664018161215</v>
      </c>
      <c r="Q52" s="19"/>
      <c r="R52" s="30">
        <f ca="1">IFERROR(__xludf.DUMMYFUNCTION("""COMPUTED_VALUE"""),45740)</f>
        <v>45740</v>
      </c>
    </row>
    <row r="53" spans="1:25" ht="14.5">
      <c r="A53" s="142">
        <f t="shared" si="6"/>
        <v>52</v>
      </c>
      <c r="B53" s="142" t="str">
        <f>VLOOKUP(D53,Task!$B:$E,4,0)</f>
        <v>Report</v>
      </c>
      <c r="C53" s="150">
        <v>45672</v>
      </c>
      <c r="D53" s="7" t="s">
        <v>18</v>
      </c>
      <c r="E53" s="7">
        <v>1</v>
      </c>
      <c r="F53" s="8">
        <v>4.8611111111111112E-2</v>
      </c>
      <c r="G53" s="9">
        <v>4.8611111111111112E-2</v>
      </c>
      <c r="H53" s="10">
        <v>0.38137731481481485</v>
      </c>
      <c r="I53" s="10">
        <v>0.42418981481481483</v>
      </c>
      <c r="J53" s="57">
        <f t="shared" si="4"/>
        <v>4.2812499999999976E-2</v>
      </c>
      <c r="K53" s="129">
        <f t="shared" si="5"/>
        <v>0.42998842592592595</v>
      </c>
      <c r="L53" s="8"/>
      <c r="M53" s="8"/>
      <c r="N53" s="8"/>
      <c r="O53" s="12"/>
      <c r="P53" s="16">
        <f t="shared" si="2"/>
        <v>1.1354420113544208</v>
      </c>
      <c r="Q53" s="19"/>
      <c r="R53" s="30">
        <f ca="1">IFERROR(__xludf.DUMMYFUNCTION("""COMPUTED_VALUE"""),45741)</f>
        <v>45741</v>
      </c>
    </row>
    <row r="54" spans="1:25" ht="14.5">
      <c r="A54" s="142">
        <f t="shared" si="6"/>
        <v>53</v>
      </c>
      <c r="B54" s="142" t="str">
        <f>VLOOKUP(D54,Task!$B:$E,4,0)</f>
        <v>Report</v>
      </c>
      <c r="C54" s="150">
        <v>45672</v>
      </c>
      <c r="D54" s="7" t="s">
        <v>56</v>
      </c>
      <c r="E54" s="7">
        <v>1</v>
      </c>
      <c r="F54" s="8">
        <v>4.1666666666666664E-2</v>
      </c>
      <c r="G54" s="9">
        <v>4.1666666666666664E-2</v>
      </c>
      <c r="H54" s="10">
        <v>0.42418981481481483</v>
      </c>
      <c r="I54" s="10">
        <v>0.46226851851851852</v>
      </c>
      <c r="J54" s="57">
        <f t="shared" si="4"/>
        <v>3.8078703703703698E-2</v>
      </c>
      <c r="K54" s="129">
        <f t="shared" si="5"/>
        <v>0.46585648148148151</v>
      </c>
      <c r="L54" s="8"/>
      <c r="M54" s="8"/>
      <c r="N54" s="8"/>
      <c r="O54" s="12"/>
      <c r="P54" s="16">
        <f t="shared" si="2"/>
        <v>1.0942249240121582</v>
      </c>
      <c r="Q54" s="19"/>
      <c r="R54" s="30">
        <f ca="1">IFERROR(__xludf.DUMMYFUNCTION("""COMPUTED_VALUE"""),45742)</f>
        <v>45742</v>
      </c>
    </row>
    <row r="55" spans="1:25" ht="14.5">
      <c r="A55" s="142">
        <f t="shared" si="6"/>
        <v>54</v>
      </c>
      <c r="B55" s="142" t="str">
        <f>VLOOKUP(D55,Task!$B:$E,4,0)</f>
        <v>Task</v>
      </c>
      <c r="C55" s="150">
        <v>45672</v>
      </c>
      <c r="D55" s="7" t="s">
        <v>57</v>
      </c>
      <c r="E55" s="7">
        <v>7</v>
      </c>
      <c r="F55" s="8">
        <v>2.7777777777777779E-3</v>
      </c>
      <c r="G55" s="9">
        <v>1.9444444444444445E-2</v>
      </c>
      <c r="H55" s="10">
        <v>0.46226851851851852</v>
      </c>
      <c r="I55" s="10">
        <v>0.47958333333333331</v>
      </c>
      <c r="J55" s="57">
        <f t="shared" si="4"/>
        <v>1.7314814814814783E-2</v>
      </c>
      <c r="K55" s="129">
        <f t="shared" si="5"/>
        <v>0.48171296296296295</v>
      </c>
      <c r="L55" s="8"/>
      <c r="M55" s="8"/>
      <c r="N55" s="8"/>
      <c r="O55" s="18" t="s">
        <v>58</v>
      </c>
      <c r="P55" s="16">
        <f t="shared" si="2"/>
        <v>1.1229946524064192</v>
      </c>
      <c r="Q55" s="19"/>
      <c r="R55" s="30">
        <f ca="1">IFERROR(__xludf.DUMMYFUNCTION("""COMPUTED_VALUE"""),45743)</f>
        <v>45743</v>
      </c>
    </row>
    <row r="56" spans="1:25" ht="14.5">
      <c r="A56" s="142">
        <f t="shared" si="6"/>
        <v>55</v>
      </c>
      <c r="B56" s="142" t="str">
        <f>VLOOKUP(D56,Task!$B:$E,4,0)</f>
        <v>Task</v>
      </c>
      <c r="C56" s="150">
        <v>45672</v>
      </c>
      <c r="D56" s="7" t="s">
        <v>20</v>
      </c>
      <c r="E56" s="7">
        <v>11</v>
      </c>
      <c r="F56" s="8">
        <v>2.0833333333333333E-3</v>
      </c>
      <c r="G56" s="9">
        <v>2.2916666666666665E-2</v>
      </c>
      <c r="H56" s="10">
        <v>0.47958333333333331</v>
      </c>
      <c r="I56" s="10">
        <v>0.52836805555555555</v>
      </c>
      <c r="J56" s="57">
        <f t="shared" si="4"/>
        <v>2.0937500000000022E-2</v>
      </c>
      <c r="K56" s="129">
        <f t="shared" si="5"/>
        <v>0.53034722222222219</v>
      </c>
      <c r="L56" s="8"/>
      <c r="M56" s="8"/>
      <c r="N56" s="8">
        <v>2.7847222222222221E-2</v>
      </c>
      <c r="O56" s="18" t="s">
        <v>59</v>
      </c>
      <c r="P56" s="16">
        <f t="shared" si="2"/>
        <v>1.0945273631840784</v>
      </c>
      <c r="R56" s="4">
        <f ca="1">IFERROR(__xludf.DUMMYFUNCTION("""COMPUTED_VALUE"""),45748)</f>
        <v>45748</v>
      </c>
    </row>
    <row r="57" spans="1:25" ht="14.5">
      <c r="A57" s="142">
        <f t="shared" si="6"/>
        <v>56</v>
      </c>
      <c r="B57" s="142" t="str">
        <f>VLOOKUP(D57,Task!$B:$E,4,0)</f>
        <v>Task</v>
      </c>
      <c r="C57" s="150">
        <v>45672</v>
      </c>
      <c r="D57" s="7" t="s">
        <v>38</v>
      </c>
      <c r="E57" s="7">
        <v>52</v>
      </c>
      <c r="F57" s="8">
        <v>2.7777777777777779E-3</v>
      </c>
      <c r="G57" s="9">
        <v>0.14444444444444446</v>
      </c>
      <c r="H57" s="10">
        <v>0.52836805555555555</v>
      </c>
      <c r="I57" s="10">
        <v>0.6884837962962963</v>
      </c>
      <c r="J57" s="57">
        <f t="shared" si="4"/>
        <v>0.13026620370370373</v>
      </c>
      <c r="K57" s="129">
        <f t="shared" si="5"/>
        <v>0.70266203703703711</v>
      </c>
      <c r="L57" s="8"/>
      <c r="M57" s="8"/>
      <c r="N57" s="8">
        <v>2.9849537037037036E-2</v>
      </c>
      <c r="O57" s="18" t="s">
        <v>60</v>
      </c>
      <c r="P57" s="16">
        <f t="shared" si="2"/>
        <v>1.1088405153265215</v>
      </c>
      <c r="Q57" s="19"/>
      <c r="R57" s="4">
        <f ca="1">IFERROR(__xludf.DUMMYFUNCTION("""COMPUTED_VALUE"""),45749)</f>
        <v>45749</v>
      </c>
    </row>
    <row r="58" spans="1:25" ht="14.5">
      <c r="A58" s="142">
        <f t="shared" si="6"/>
        <v>57</v>
      </c>
      <c r="B58" s="142" t="str">
        <f>VLOOKUP(D58,Task!$B:$E,4,0)</f>
        <v>Report</v>
      </c>
      <c r="C58" s="150">
        <v>45672</v>
      </c>
      <c r="D58" s="7" t="s">
        <v>50</v>
      </c>
      <c r="E58" s="7">
        <v>1</v>
      </c>
      <c r="F58" s="8">
        <v>1.0416666666666666E-2</v>
      </c>
      <c r="G58" s="9">
        <v>1.0416666666666666E-2</v>
      </c>
      <c r="H58" s="10">
        <v>0.6884837962962963</v>
      </c>
      <c r="I58" s="10">
        <v>0.69777777777777783</v>
      </c>
      <c r="J58" s="57">
        <f t="shared" si="4"/>
        <v>9.293981481481528E-3</v>
      </c>
      <c r="K58" s="129">
        <f t="shared" si="5"/>
        <v>0.69890046296296293</v>
      </c>
      <c r="L58" s="8"/>
      <c r="M58" s="8"/>
      <c r="N58" s="8"/>
      <c r="O58" s="12"/>
      <c r="P58" s="16">
        <f t="shared" si="2"/>
        <v>1.1207970112079644</v>
      </c>
      <c r="Q58" s="19"/>
      <c r="R58" s="24">
        <f ca="1">IFERROR(__xludf.DUMMYFUNCTION("""COMPUTED_VALUE"""),45750)</f>
        <v>45750</v>
      </c>
    </row>
    <row r="59" spans="1:25" ht="14.5">
      <c r="A59" s="142">
        <f t="shared" si="6"/>
        <v>58</v>
      </c>
      <c r="B59" s="142" t="str">
        <f>VLOOKUP(D59,Task!$B:$E,4,0)</f>
        <v>Report</v>
      </c>
      <c r="C59" s="150">
        <v>45672</v>
      </c>
      <c r="D59" s="7" t="s">
        <v>51</v>
      </c>
      <c r="E59" s="7">
        <v>1</v>
      </c>
      <c r="F59" s="8">
        <v>1.0416666666666666E-2</v>
      </c>
      <c r="G59" s="9">
        <v>1.0416666666666666E-2</v>
      </c>
      <c r="H59" s="10">
        <v>0.69777777777777783</v>
      </c>
      <c r="I59" s="10">
        <v>0.70712962962962966</v>
      </c>
      <c r="J59" s="57">
        <f t="shared" si="4"/>
        <v>9.3518518518518334E-3</v>
      </c>
      <c r="K59" s="129">
        <f t="shared" si="5"/>
        <v>0.70819444444444446</v>
      </c>
      <c r="L59" s="8"/>
      <c r="M59" s="8"/>
      <c r="N59" s="8"/>
      <c r="O59" s="12"/>
      <c r="P59" s="16">
        <f t="shared" si="2"/>
        <v>1.113861386138616</v>
      </c>
      <c r="Q59" s="25"/>
      <c r="R59" s="25">
        <f ca="1">IFERROR(__xludf.DUMMYFUNCTION("""COMPUTED_VALUE"""),45751)</f>
        <v>45751</v>
      </c>
      <c r="S59" s="26"/>
      <c r="T59" s="26"/>
      <c r="U59" s="26"/>
      <c r="V59" s="26"/>
      <c r="W59" s="26"/>
      <c r="X59" s="26"/>
      <c r="Y59" s="26"/>
    </row>
    <row r="60" spans="1:25" ht="14.5">
      <c r="A60" s="142">
        <f t="shared" si="6"/>
        <v>59</v>
      </c>
      <c r="B60" s="142" t="str">
        <f>VLOOKUP(D60,Task!$B:$E,4,0)</f>
        <v>Report</v>
      </c>
      <c r="C60" s="150">
        <v>45672</v>
      </c>
      <c r="D60" s="7" t="s">
        <v>52</v>
      </c>
      <c r="E60" s="7">
        <v>1</v>
      </c>
      <c r="F60" s="8">
        <v>1.0416666666666666E-2</v>
      </c>
      <c r="G60" s="9">
        <v>1.0416666666666666E-2</v>
      </c>
      <c r="H60" s="10">
        <v>0.70712962962962966</v>
      </c>
      <c r="I60" s="10">
        <v>0.71658564814814818</v>
      </c>
      <c r="J60" s="57">
        <f t="shared" si="4"/>
        <v>9.4560185185185164E-3</v>
      </c>
      <c r="K60" s="129">
        <f t="shared" si="5"/>
        <v>0.71754629629629629</v>
      </c>
      <c r="L60" s="8"/>
      <c r="M60" s="8"/>
      <c r="N60" s="8"/>
      <c r="O60" s="12"/>
      <c r="P60" s="16">
        <f t="shared" si="2"/>
        <v>1.101591187270502</v>
      </c>
      <c r="Q60" s="19"/>
      <c r="R60" s="30">
        <f ca="1">IFERROR(__xludf.DUMMYFUNCTION("""COMPUTED_VALUE"""),45754)</f>
        <v>45754</v>
      </c>
      <c r="S60" s="4"/>
    </row>
    <row r="61" spans="1:25" ht="14.5">
      <c r="A61" s="142">
        <f t="shared" si="6"/>
        <v>60</v>
      </c>
      <c r="B61" s="142" t="str">
        <f>VLOOKUP(D61,Task!$B:$E,4,0)</f>
        <v>Report</v>
      </c>
      <c r="C61" s="150">
        <v>45672</v>
      </c>
      <c r="D61" s="7" t="s">
        <v>53</v>
      </c>
      <c r="E61" s="7">
        <v>1</v>
      </c>
      <c r="F61" s="8">
        <v>1.0416666666666666E-2</v>
      </c>
      <c r="G61" s="9">
        <v>1.0416666666666666E-2</v>
      </c>
      <c r="H61" s="10">
        <v>0.71658564814814818</v>
      </c>
      <c r="I61" s="10">
        <v>0.72598379629629628</v>
      </c>
      <c r="J61" s="57">
        <f t="shared" si="4"/>
        <v>9.3981481481481E-3</v>
      </c>
      <c r="K61" s="129">
        <f t="shared" si="5"/>
        <v>0.72700231481481481</v>
      </c>
      <c r="L61" s="8"/>
      <c r="M61" s="8"/>
      <c r="N61" s="8"/>
      <c r="O61" s="12"/>
      <c r="P61" s="16">
        <f t="shared" si="2"/>
        <v>1.1083743842364588</v>
      </c>
      <c r="Q61" s="19"/>
      <c r="R61" s="30">
        <f ca="1">IFERROR(__xludf.DUMMYFUNCTION("""COMPUTED_VALUE"""),45755)</f>
        <v>45755</v>
      </c>
      <c r="S61" s="4"/>
    </row>
    <row r="62" spans="1:25" ht="14.5">
      <c r="A62" s="142">
        <f t="shared" si="6"/>
        <v>61</v>
      </c>
      <c r="B62" s="142" t="str">
        <f>VLOOKUP(D62,Task!$B:$E,4,0)</f>
        <v>Task</v>
      </c>
      <c r="C62" s="150">
        <v>45672</v>
      </c>
      <c r="D62" s="7" t="s">
        <v>20</v>
      </c>
      <c r="E62" s="7">
        <v>18</v>
      </c>
      <c r="F62" s="8">
        <v>2.0833333333333333E-3</v>
      </c>
      <c r="G62" s="9">
        <v>3.7499999999999999E-2</v>
      </c>
      <c r="H62" s="10">
        <v>0.72598379629629628</v>
      </c>
      <c r="I62" s="10">
        <v>0.76041666666666663</v>
      </c>
      <c r="J62" s="57">
        <f t="shared" si="4"/>
        <v>3.443287037037035E-2</v>
      </c>
      <c r="K62" s="129">
        <f t="shared" si="5"/>
        <v>0.76348379629629626</v>
      </c>
      <c r="L62" s="8"/>
      <c r="M62" s="8"/>
      <c r="N62" s="8"/>
      <c r="O62" s="18" t="s">
        <v>61</v>
      </c>
      <c r="P62" s="16">
        <f t="shared" si="2"/>
        <v>1.0890756302521014</v>
      </c>
      <c r="Q62" s="19"/>
      <c r="R62" s="30">
        <f ca="1">IFERROR(__xludf.DUMMYFUNCTION("""COMPUTED_VALUE"""),45756)</f>
        <v>45756</v>
      </c>
    </row>
    <row r="63" spans="1:25" ht="14.5">
      <c r="A63" s="142">
        <f t="shared" si="6"/>
        <v>62</v>
      </c>
      <c r="B63" s="142" t="str">
        <f>VLOOKUP(D63,Task!$B:$E,4,0)</f>
        <v>Report</v>
      </c>
      <c r="C63" s="150">
        <v>45673</v>
      </c>
      <c r="D63" s="7" t="s">
        <v>43</v>
      </c>
      <c r="E63" s="7">
        <v>1</v>
      </c>
      <c r="F63" s="8">
        <v>3.4722222222222224E-2</v>
      </c>
      <c r="G63" s="9">
        <v>3.4722222222222224E-2</v>
      </c>
      <c r="H63" s="10">
        <v>0.36460648148148156</v>
      </c>
      <c r="I63" s="10">
        <v>0.3964699074074074</v>
      </c>
      <c r="J63" s="57">
        <f t="shared" si="4"/>
        <v>3.1863425925925837E-2</v>
      </c>
      <c r="K63" s="129">
        <f t="shared" si="5"/>
        <v>0.39932870370370377</v>
      </c>
      <c r="L63" s="8"/>
      <c r="M63" s="8"/>
      <c r="N63" s="8"/>
      <c r="O63" s="12"/>
      <c r="P63" s="16">
        <f t="shared" si="2"/>
        <v>1.0897203051216886</v>
      </c>
      <c r="R63" s="30">
        <f ca="1">IFERROR(__xludf.DUMMYFUNCTION("""COMPUTED_VALUE"""),45757)</f>
        <v>45757</v>
      </c>
    </row>
    <row r="64" spans="1:25" ht="14.5">
      <c r="A64" s="142">
        <f t="shared" si="6"/>
        <v>63</v>
      </c>
      <c r="B64" s="142" t="str">
        <f>VLOOKUP(D64,Task!$B:$E,4,0)</f>
        <v>Report</v>
      </c>
      <c r="C64" s="150">
        <v>45673</v>
      </c>
      <c r="D64" s="7" t="s">
        <v>42</v>
      </c>
      <c r="E64" s="7">
        <v>1</v>
      </c>
      <c r="F64" s="8">
        <v>6.9444444444444441E-3</v>
      </c>
      <c r="G64" s="9">
        <v>6.9444444444444441E-3</v>
      </c>
      <c r="H64" s="10">
        <v>0.3964699074074074</v>
      </c>
      <c r="I64" s="10">
        <v>0.40283564814814821</v>
      </c>
      <c r="J64" s="57">
        <f t="shared" si="4"/>
        <v>6.3657407407408106E-3</v>
      </c>
      <c r="K64" s="129">
        <f t="shared" si="5"/>
        <v>0.40341435185185182</v>
      </c>
      <c r="L64" s="8"/>
      <c r="M64" s="8"/>
      <c r="N64" s="8"/>
      <c r="O64" s="12"/>
      <c r="P64" s="16">
        <f t="shared" si="2"/>
        <v>1.0909090909090788</v>
      </c>
      <c r="Q64" s="4"/>
      <c r="R64" s="30">
        <f ca="1">IFERROR(__xludf.DUMMYFUNCTION("""COMPUTED_VALUE"""),45758)</f>
        <v>45758</v>
      </c>
    </row>
    <row r="65" spans="1:18" ht="14.5">
      <c r="A65" s="142">
        <f t="shared" si="6"/>
        <v>64</v>
      </c>
      <c r="B65" s="142" t="str">
        <f>VLOOKUP(D65,Task!$B:$E,4,0)</f>
        <v>Report</v>
      </c>
      <c r="C65" s="150">
        <v>45673</v>
      </c>
      <c r="D65" s="7" t="s">
        <v>18</v>
      </c>
      <c r="E65" s="7">
        <v>2</v>
      </c>
      <c r="F65" s="8">
        <v>4.8611111111111112E-2</v>
      </c>
      <c r="G65" s="9">
        <v>9.7222222222222224E-2</v>
      </c>
      <c r="H65" s="10">
        <v>0.40283564814814821</v>
      </c>
      <c r="I65" s="10">
        <v>0.5125925925925926</v>
      </c>
      <c r="J65" s="57">
        <f t="shared" si="4"/>
        <v>9.0115740740740691E-2</v>
      </c>
      <c r="K65" s="129">
        <f t="shared" si="5"/>
        <v>0.51969907407407412</v>
      </c>
      <c r="L65" s="8"/>
      <c r="M65" s="8"/>
      <c r="N65" s="8">
        <v>1.9641203703703702E-2</v>
      </c>
      <c r="O65" s="12"/>
      <c r="P65" s="16">
        <f t="shared" si="2"/>
        <v>1.0788594913948117</v>
      </c>
      <c r="Q65" s="19"/>
      <c r="R65" s="30">
        <f ca="1">IFERROR(__xludf.DUMMYFUNCTION("""COMPUTED_VALUE"""),45761)</f>
        <v>45761</v>
      </c>
    </row>
    <row r="66" spans="1:18" ht="14.5">
      <c r="A66" s="142">
        <f t="shared" si="6"/>
        <v>65</v>
      </c>
      <c r="B66" s="142" t="str">
        <f>VLOOKUP(D66,Task!$B:$E,4,0)</f>
        <v>Task</v>
      </c>
      <c r="C66" s="150">
        <v>45673</v>
      </c>
      <c r="D66" s="7" t="s">
        <v>38</v>
      </c>
      <c r="E66" s="7">
        <v>42</v>
      </c>
      <c r="F66" s="8">
        <v>2.7777777777777779E-3</v>
      </c>
      <c r="G66" s="9">
        <v>0.11666666666666667</v>
      </c>
      <c r="H66" s="10">
        <v>0.5125925925925926</v>
      </c>
      <c r="I66" s="10">
        <v>0.65473379629629624</v>
      </c>
      <c r="J66" s="57">
        <f t="shared" si="4"/>
        <v>0.10476851851851846</v>
      </c>
      <c r="K66" s="129">
        <f t="shared" si="5"/>
        <v>0.66663194444444451</v>
      </c>
      <c r="L66" s="8"/>
      <c r="M66" s="8"/>
      <c r="N66" s="8">
        <v>3.7372685185185182E-2</v>
      </c>
      <c r="O66" s="12"/>
      <c r="P66" s="16">
        <f t="shared" ref="P66:P129" si="8">IFERROR(G66/J66," ")</f>
        <v>1.1135660627485646</v>
      </c>
      <c r="Q66" s="19"/>
      <c r="R66" s="30">
        <f ca="1">IFERROR(__xludf.DUMMYFUNCTION("""COMPUTED_VALUE"""),45762)</f>
        <v>45762</v>
      </c>
    </row>
    <row r="67" spans="1:18" ht="14.5">
      <c r="A67" s="142">
        <f t="shared" si="6"/>
        <v>66</v>
      </c>
      <c r="B67" s="142" t="str">
        <f>VLOOKUP(D67,Task!$B:$E,4,0)</f>
        <v>Report</v>
      </c>
      <c r="C67" s="150">
        <v>45673</v>
      </c>
      <c r="D67" s="7" t="s">
        <v>50</v>
      </c>
      <c r="E67" s="7">
        <v>1</v>
      </c>
      <c r="F67" s="8">
        <v>1.0416666666666666E-2</v>
      </c>
      <c r="G67" s="9">
        <v>1.0416666666666666E-2</v>
      </c>
      <c r="H67" s="10">
        <v>0.65473379629629624</v>
      </c>
      <c r="I67" s="10">
        <v>0.66417824074074072</v>
      </c>
      <c r="J67" s="57">
        <f t="shared" ref="J67:J130" si="9">IF(I67="","", IF(N67=" ",IF(OR(H67=0,I67=0),"",I67-H67),((I67-H67)-N67)))</f>
        <v>9.4444444444444775E-3</v>
      </c>
      <c r="K67" s="129">
        <f t="shared" ref="K67:K130" si="10">IFERROR(IF(N67=" ",(H67+G67),(H67+G67+N67)),"")</f>
        <v>0.66515046296296287</v>
      </c>
      <c r="L67" s="8"/>
      <c r="M67" s="8"/>
      <c r="N67" s="8"/>
      <c r="O67" s="12"/>
      <c r="P67" s="16">
        <f t="shared" si="8"/>
        <v>1.1029411764705843</v>
      </c>
      <c r="Q67" s="19"/>
      <c r="R67" s="30">
        <f ca="1">IFERROR(__xludf.DUMMYFUNCTION("""COMPUTED_VALUE"""),45763)</f>
        <v>45763</v>
      </c>
    </row>
    <row r="68" spans="1:18" ht="14.5">
      <c r="A68" s="142">
        <f t="shared" ref="A68:A131" si="11">A67+1</f>
        <v>67</v>
      </c>
      <c r="B68" s="142" t="str">
        <f>VLOOKUP(D68,Task!$B:$E,4,0)</f>
        <v>Report</v>
      </c>
      <c r="C68" s="150">
        <v>45673</v>
      </c>
      <c r="D68" s="7" t="s">
        <v>51</v>
      </c>
      <c r="E68" s="7">
        <v>1</v>
      </c>
      <c r="F68" s="8">
        <v>1.0416666666666666E-2</v>
      </c>
      <c r="G68" s="9">
        <v>1.0416666666666666E-2</v>
      </c>
      <c r="H68" s="10">
        <v>0.66417824074074072</v>
      </c>
      <c r="I68" s="10">
        <v>0.67344907407407406</v>
      </c>
      <c r="J68" s="57">
        <f t="shared" si="9"/>
        <v>9.2708333333333393E-3</v>
      </c>
      <c r="K68" s="129">
        <f t="shared" si="10"/>
        <v>0.67459490740740735</v>
      </c>
      <c r="L68" s="8"/>
      <c r="M68" s="8"/>
      <c r="N68" s="8"/>
      <c r="O68" s="12"/>
      <c r="P68" s="16">
        <f t="shared" si="8"/>
        <v>1.1235955056179767</v>
      </c>
      <c r="Q68" s="19"/>
      <c r="R68" s="30">
        <f ca="1">IFERROR(__xludf.DUMMYFUNCTION("""COMPUTED_VALUE"""),45764)</f>
        <v>45764</v>
      </c>
    </row>
    <row r="69" spans="1:18" ht="14.5">
      <c r="A69" s="142">
        <f t="shared" si="11"/>
        <v>68</v>
      </c>
      <c r="B69" s="142" t="str">
        <f>VLOOKUP(D69,Task!$B:$E,4,0)</f>
        <v>Report</v>
      </c>
      <c r="C69" s="150">
        <v>45673</v>
      </c>
      <c r="D69" s="7" t="s">
        <v>52</v>
      </c>
      <c r="E69" s="7">
        <v>1</v>
      </c>
      <c r="F69" s="8">
        <v>1.0416666666666666E-2</v>
      </c>
      <c r="G69" s="9">
        <v>1.0416666666666666E-2</v>
      </c>
      <c r="H69" s="10">
        <v>0.67344907407407406</v>
      </c>
      <c r="I69" s="10">
        <v>0.68289351851851854</v>
      </c>
      <c r="J69" s="57">
        <f t="shared" si="9"/>
        <v>9.4444444444444775E-3</v>
      </c>
      <c r="K69" s="129">
        <f t="shared" si="10"/>
        <v>0.68386574074074069</v>
      </c>
      <c r="L69" s="8"/>
      <c r="M69" s="8"/>
      <c r="N69" s="8"/>
      <c r="O69" s="12"/>
      <c r="P69" s="16">
        <f t="shared" si="8"/>
        <v>1.1029411764705843</v>
      </c>
      <c r="Q69" s="19"/>
      <c r="R69" s="30">
        <f ca="1">IFERROR(__xludf.DUMMYFUNCTION("""COMPUTED_VALUE"""),45769)</f>
        <v>45769</v>
      </c>
    </row>
    <row r="70" spans="1:18" ht="14.5">
      <c r="A70" s="142">
        <f t="shared" si="11"/>
        <v>69</v>
      </c>
      <c r="B70" s="142" t="str">
        <f>VLOOKUP(D70,Task!$B:$E,4,0)</f>
        <v>Report</v>
      </c>
      <c r="C70" s="150">
        <v>45673</v>
      </c>
      <c r="D70" s="7" t="s">
        <v>53</v>
      </c>
      <c r="E70" s="7">
        <v>1</v>
      </c>
      <c r="F70" s="8">
        <v>1.0416666666666666E-2</v>
      </c>
      <c r="G70" s="9">
        <v>1.0416666666666666E-2</v>
      </c>
      <c r="H70" s="10">
        <v>0.68289351851851854</v>
      </c>
      <c r="I70" s="10">
        <v>0.69222222222222218</v>
      </c>
      <c r="J70" s="57">
        <f t="shared" si="9"/>
        <v>9.3287037037036447E-3</v>
      </c>
      <c r="K70" s="129">
        <f t="shared" si="10"/>
        <v>0.69331018518518517</v>
      </c>
      <c r="L70" s="8"/>
      <c r="M70" s="8"/>
      <c r="N70" s="8"/>
      <c r="O70" s="12"/>
      <c r="P70" s="16">
        <f t="shared" si="8"/>
        <v>1.1166253101737043</v>
      </c>
      <c r="Q70" s="19"/>
      <c r="R70" s="30">
        <f ca="1">IFERROR(__xludf.DUMMYFUNCTION("""COMPUTED_VALUE"""),45770)</f>
        <v>45770</v>
      </c>
    </row>
    <row r="71" spans="1:18" ht="14.5">
      <c r="A71" s="142">
        <f t="shared" si="11"/>
        <v>70</v>
      </c>
      <c r="B71" s="142" t="str">
        <f>VLOOKUP(D71,Task!$B:$E,4,0)</f>
        <v>Task</v>
      </c>
      <c r="C71" s="150">
        <v>45673</v>
      </c>
      <c r="D71" s="7" t="s">
        <v>38</v>
      </c>
      <c r="E71" s="7">
        <v>23</v>
      </c>
      <c r="F71" s="8">
        <v>2.7777777777777779E-3</v>
      </c>
      <c r="G71" s="9">
        <v>6.3888888888888898E-2</v>
      </c>
      <c r="H71" s="10">
        <v>0.69222222222222218</v>
      </c>
      <c r="I71" s="10">
        <v>0.75</v>
      </c>
      <c r="J71" s="57">
        <f t="shared" si="9"/>
        <v>5.7777777777777817E-2</v>
      </c>
      <c r="K71" s="129">
        <f t="shared" si="10"/>
        <v>0.75611111111111107</v>
      </c>
      <c r="L71" s="8"/>
      <c r="M71" s="8"/>
      <c r="N71" s="8"/>
      <c r="O71" s="12"/>
      <c r="P71" s="16">
        <f t="shared" si="8"/>
        <v>1.1057692307692302</v>
      </c>
      <c r="Q71" s="4"/>
      <c r="R71" s="30">
        <f ca="1">IFERROR(__xludf.DUMMYFUNCTION("""COMPUTED_VALUE"""),45771)</f>
        <v>45771</v>
      </c>
    </row>
    <row r="72" spans="1:18" ht="14.5">
      <c r="A72" s="142">
        <f t="shared" si="11"/>
        <v>71</v>
      </c>
      <c r="B72" s="142" t="str">
        <f>VLOOKUP(D72,Task!$B:$E,4,0)</f>
        <v>Report</v>
      </c>
      <c r="C72" s="150">
        <v>45674</v>
      </c>
      <c r="D72" s="7" t="s">
        <v>18</v>
      </c>
      <c r="E72" s="7">
        <v>1</v>
      </c>
      <c r="F72" s="8">
        <v>4.8611111111111112E-2</v>
      </c>
      <c r="G72" s="9">
        <v>4.8611111111111112E-2</v>
      </c>
      <c r="H72" s="10">
        <v>0.33193287037037045</v>
      </c>
      <c r="I72" s="10">
        <v>0.39949133101617917</v>
      </c>
      <c r="J72" s="57">
        <f t="shared" si="9"/>
        <v>4.3438090275438351E-2</v>
      </c>
      <c r="K72" s="129">
        <f t="shared" si="10"/>
        <v>0.4046643518518519</v>
      </c>
      <c r="L72" s="8"/>
      <c r="M72" s="8"/>
      <c r="N72" s="8">
        <v>2.4120370370370372E-2</v>
      </c>
      <c r="O72" s="12"/>
      <c r="P72" s="16">
        <f t="shared" si="8"/>
        <v>1.1190895088359305</v>
      </c>
      <c r="Q72" s="19"/>
      <c r="R72" s="30">
        <f ca="1">IFERROR(__xludf.DUMMYFUNCTION("""COMPUTED_VALUE"""),45772)</f>
        <v>45772</v>
      </c>
    </row>
    <row r="73" spans="1:18" ht="14.5">
      <c r="A73" s="142">
        <f t="shared" si="11"/>
        <v>72</v>
      </c>
      <c r="B73" s="142" t="str">
        <f>VLOOKUP(D73,Task!$B:$E,4,0)</f>
        <v>Task</v>
      </c>
      <c r="C73" s="150">
        <v>45674</v>
      </c>
      <c r="D73" s="7" t="s">
        <v>38</v>
      </c>
      <c r="E73" s="7">
        <v>63</v>
      </c>
      <c r="F73" s="8">
        <v>2.7777777777777779E-3</v>
      </c>
      <c r="G73" s="9">
        <v>0.17500000000000002</v>
      </c>
      <c r="H73" s="10">
        <v>0.39949133101617917</v>
      </c>
      <c r="I73" s="10">
        <v>0.60040509259259256</v>
      </c>
      <c r="J73" s="57">
        <f t="shared" si="9"/>
        <v>0.15824015046530227</v>
      </c>
      <c r="K73" s="129">
        <f t="shared" si="10"/>
        <v>0.61716494212729034</v>
      </c>
      <c r="L73" s="8"/>
      <c r="M73" s="8"/>
      <c r="N73" s="8">
        <v>4.2673611111111114E-2</v>
      </c>
      <c r="O73" s="18" t="s">
        <v>62</v>
      </c>
      <c r="P73" s="16">
        <f t="shared" si="8"/>
        <v>1.1059140141450556</v>
      </c>
      <c r="Q73" s="19"/>
      <c r="R73" s="30">
        <f ca="1">IFERROR(__xludf.DUMMYFUNCTION("""COMPUTED_VALUE"""),45775)</f>
        <v>45775</v>
      </c>
    </row>
    <row r="74" spans="1:18" ht="14.5">
      <c r="A74" s="142">
        <f t="shared" si="11"/>
        <v>73</v>
      </c>
      <c r="B74" s="142" t="str">
        <f>VLOOKUP(D74,Task!$B:$E,4,0)</f>
        <v>Task</v>
      </c>
      <c r="C74" s="150">
        <v>45674</v>
      </c>
      <c r="D74" s="7" t="s">
        <v>27</v>
      </c>
      <c r="E74" s="7">
        <v>38</v>
      </c>
      <c r="F74" s="8">
        <v>1.3888888888888889E-3</v>
      </c>
      <c r="G74" s="9">
        <v>5.2777777777777778E-2</v>
      </c>
      <c r="H74" s="10">
        <v>0.60040509259259256</v>
      </c>
      <c r="I74" s="10">
        <v>0.71527777777777779</v>
      </c>
      <c r="J74" s="57">
        <f t="shared" si="9"/>
        <v>4.7233796296296343E-2</v>
      </c>
      <c r="K74" s="129">
        <f t="shared" si="10"/>
        <v>0.72082175925925929</v>
      </c>
      <c r="L74" s="8"/>
      <c r="M74" s="8"/>
      <c r="N74" s="8">
        <v>6.7638888888888887E-2</v>
      </c>
      <c r="O74" s="12"/>
      <c r="P74" s="16">
        <f t="shared" si="8"/>
        <v>1.1173731928448898</v>
      </c>
      <c r="R74" s="30">
        <f ca="1">IFERROR(__xludf.DUMMYFUNCTION("""COMPUTED_VALUE"""),45776)</f>
        <v>45776</v>
      </c>
    </row>
    <row r="75" spans="1:18" ht="14.5">
      <c r="A75" s="142">
        <f t="shared" si="11"/>
        <v>74</v>
      </c>
      <c r="B75" s="142" t="str">
        <f>VLOOKUP(D75,Task!$B:$E,4,0)</f>
        <v>Report</v>
      </c>
      <c r="C75" s="150">
        <v>45674</v>
      </c>
      <c r="D75" s="7" t="s">
        <v>50</v>
      </c>
      <c r="E75" s="7">
        <v>1</v>
      </c>
      <c r="F75" s="8">
        <v>1.0416666666666666E-2</v>
      </c>
      <c r="G75" s="9">
        <v>1.0416666666666666E-2</v>
      </c>
      <c r="H75" s="10">
        <v>0.66041666666666665</v>
      </c>
      <c r="I75" s="10">
        <v>0.66975694444444445</v>
      </c>
      <c r="J75" s="57">
        <f t="shared" si="9"/>
        <v>9.3402777777777946E-3</v>
      </c>
      <c r="K75" s="129">
        <f t="shared" si="10"/>
        <v>0.67083333333333328</v>
      </c>
      <c r="L75" s="8"/>
      <c r="M75" s="8"/>
      <c r="N75" s="8"/>
      <c r="O75" s="12"/>
      <c r="P75" s="16">
        <f t="shared" si="8"/>
        <v>1.1152416356877304</v>
      </c>
      <c r="R75" s="30">
        <f ca="1">IFERROR(__xludf.DUMMYFUNCTION("""COMPUTED_VALUE"""),45777)</f>
        <v>45777</v>
      </c>
    </row>
    <row r="76" spans="1:18" ht="14.5">
      <c r="A76" s="142">
        <f t="shared" si="11"/>
        <v>75</v>
      </c>
      <c r="B76" s="142" t="str">
        <f>VLOOKUP(D76,Task!$B:$E,4,0)</f>
        <v>Report</v>
      </c>
      <c r="C76" s="150">
        <v>45674</v>
      </c>
      <c r="D76" s="7" t="s">
        <v>51</v>
      </c>
      <c r="E76" s="7">
        <v>1</v>
      </c>
      <c r="F76" s="8">
        <v>1.0416666666666666E-2</v>
      </c>
      <c r="G76" s="9">
        <v>1.0416666666666666E-2</v>
      </c>
      <c r="H76" s="10">
        <v>0.66975694444444445</v>
      </c>
      <c r="I76" s="10">
        <v>0.67915509259259255</v>
      </c>
      <c r="J76" s="57">
        <f t="shared" si="9"/>
        <v>9.3981481481481E-3</v>
      </c>
      <c r="K76" s="129">
        <f t="shared" si="10"/>
        <v>0.68017361111111108</v>
      </c>
      <c r="L76" s="8"/>
      <c r="M76" s="8"/>
      <c r="N76" s="8"/>
      <c r="O76" s="12"/>
      <c r="P76" s="16">
        <f t="shared" si="8"/>
        <v>1.1083743842364588</v>
      </c>
      <c r="Q76" s="19"/>
      <c r="R76" s="30"/>
    </row>
    <row r="77" spans="1:18" ht="14.5">
      <c r="A77" s="142">
        <f t="shared" si="11"/>
        <v>76</v>
      </c>
      <c r="B77" s="142" t="str">
        <f>VLOOKUP(D77,Task!$B:$E,4,0)</f>
        <v>Report</v>
      </c>
      <c r="C77" s="150">
        <v>45674</v>
      </c>
      <c r="D77" s="7" t="s">
        <v>52</v>
      </c>
      <c r="E77" s="7">
        <v>1</v>
      </c>
      <c r="F77" s="8">
        <v>1.0416666666666666E-2</v>
      </c>
      <c r="G77" s="9">
        <v>1.0416666666666666E-2</v>
      </c>
      <c r="H77" s="10">
        <v>0.67915509259259255</v>
      </c>
      <c r="I77" s="10">
        <v>0.68854166666666672</v>
      </c>
      <c r="J77" s="57">
        <f t="shared" si="9"/>
        <v>9.3865740740741721E-3</v>
      </c>
      <c r="K77" s="129">
        <f t="shared" si="10"/>
        <v>0.68957175925925918</v>
      </c>
      <c r="L77" s="8"/>
      <c r="M77" s="8"/>
      <c r="N77" s="8"/>
      <c r="O77" s="12"/>
      <c r="P77" s="16">
        <f t="shared" si="8"/>
        <v>1.1097410604192239</v>
      </c>
      <c r="Q77" s="19"/>
    </row>
    <row r="78" spans="1:18" ht="14.5">
      <c r="A78" s="142">
        <f t="shared" si="11"/>
        <v>77</v>
      </c>
      <c r="B78" s="142" t="str">
        <f>VLOOKUP(D78,Task!$B:$E,4,0)</f>
        <v>Report</v>
      </c>
      <c r="C78" s="150">
        <v>45674</v>
      </c>
      <c r="D78" s="7" t="s">
        <v>53</v>
      </c>
      <c r="E78" s="7">
        <v>1</v>
      </c>
      <c r="F78" s="8">
        <v>1.0416666666666666E-2</v>
      </c>
      <c r="G78" s="9">
        <v>1.0416666666666666E-2</v>
      </c>
      <c r="H78" s="10">
        <v>0.68854166666666672</v>
      </c>
      <c r="I78" s="10">
        <v>0.69803240740740746</v>
      </c>
      <c r="J78" s="57">
        <f t="shared" si="9"/>
        <v>9.490740740740744E-3</v>
      </c>
      <c r="K78" s="129">
        <f t="shared" si="10"/>
        <v>0.69895833333333335</v>
      </c>
      <c r="L78" s="8"/>
      <c r="M78" s="8"/>
      <c r="N78" s="8"/>
      <c r="O78" s="12"/>
      <c r="P78" s="16">
        <f t="shared" si="8"/>
        <v>1.0975609756097557</v>
      </c>
      <c r="Q78" s="19"/>
    </row>
    <row r="79" spans="1:18" ht="14.5">
      <c r="A79" s="142">
        <f t="shared" si="11"/>
        <v>78</v>
      </c>
      <c r="B79" s="142" t="str">
        <f>VLOOKUP(D79,Task!$B:$E,4,0)</f>
        <v>Report</v>
      </c>
      <c r="C79" s="150">
        <v>45677</v>
      </c>
      <c r="D79" s="7" t="s">
        <v>43</v>
      </c>
      <c r="E79" s="7">
        <v>1</v>
      </c>
      <c r="F79" s="8">
        <v>3.4722222222222224E-2</v>
      </c>
      <c r="G79" s="9">
        <v>3.4722222222222224E-2</v>
      </c>
      <c r="H79" s="10">
        <v>0.37664351851851852</v>
      </c>
      <c r="I79" s="10">
        <v>0.41333333333333333</v>
      </c>
      <c r="J79" s="57">
        <f t="shared" si="9"/>
        <v>3.6689814814814814E-2</v>
      </c>
      <c r="K79" s="129">
        <f t="shared" si="10"/>
        <v>0.41136574074074073</v>
      </c>
      <c r="L79" s="8"/>
      <c r="M79" s="8"/>
      <c r="N79" s="8"/>
      <c r="O79" s="12"/>
      <c r="P79" s="16">
        <f t="shared" si="8"/>
        <v>0.94637223974763418</v>
      </c>
      <c r="Q79" s="4"/>
    </row>
    <row r="80" spans="1:18" ht="14.5">
      <c r="A80" s="142">
        <f t="shared" si="11"/>
        <v>79</v>
      </c>
      <c r="B80" s="142" t="str">
        <f>VLOOKUP(D80,Task!$B:$E,4,0)</f>
        <v>Report</v>
      </c>
      <c r="C80" s="150">
        <v>45677</v>
      </c>
      <c r="D80" s="7" t="s">
        <v>42</v>
      </c>
      <c r="E80" s="7">
        <v>1</v>
      </c>
      <c r="F80" s="8">
        <v>6.9444444444444441E-3</v>
      </c>
      <c r="G80" s="9">
        <v>6.9444444444444441E-3</v>
      </c>
      <c r="H80" s="10">
        <v>0.41333333333333333</v>
      </c>
      <c r="I80" s="10">
        <v>0.41973379629629631</v>
      </c>
      <c r="J80" s="57">
        <f t="shared" si="9"/>
        <v>6.4004629629629828E-3</v>
      </c>
      <c r="K80" s="129">
        <f t="shared" si="10"/>
        <v>0.42027777777777775</v>
      </c>
      <c r="L80" s="8"/>
      <c r="M80" s="8"/>
      <c r="N80" s="8"/>
      <c r="O80" s="12"/>
      <c r="P80" s="16">
        <f t="shared" si="8"/>
        <v>1.0849909584086765</v>
      </c>
      <c r="Q80" s="19"/>
    </row>
    <row r="81" spans="1:18" ht="14.5">
      <c r="A81" s="142">
        <f t="shared" si="11"/>
        <v>80</v>
      </c>
      <c r="B81" s="142" t="str">
        <f>VLOOKUP(D81,Task!$B:$E,4,0)</f>
        <v>Report</v>
      </c>
      <c r="C81" s="150">
        <v>45677</v>
      </c>
      <c r="D81" s="7" t="s">
        <v>18</v>
      </c>
      <c r="E81" s="7">
        <v>1</v>
      </c>
      <c r="F81" s="8">
        <v>4.8611111111111112E-2</v>
      </c>
      <c r="G81" s="9">
        <v>4.8611111111111112E-2</v>
      </c>
      <c r="H81" s="10">
        <v>0.41973379629629631</v>
      </c>
      <c r="I81" s="10">
        <v>0.46247685185185183</v>
      </c>
      <c r="J81" s="57">
        <f t="shared" si="9"/>
        <v>4.274305555555552E-2</v>
      </c>
      <c r="K81" s="129">
        <f t="shared" si="10"/>
        <v>0.46834490740740742</v>
      </c>
      <c r="L81" s="8"/>
      <c r="M81" s="8"/>
      <c r="N81" s="8"/>
      <c r="O81" s="12"/>
      <c r="P81" s="16">
        <f t="shared" si="8"/>
        <v>1.1372867587327387</v>
      </c>
      <c r="Q81" s="4"/>
    </row>
    <row r="82" spans="1:18" ht="14.5">
      <c r="A82" s="142">
        <f t="shared" si="11"/>
        <v>81</v>
      </c>
      <c r="B82" s="142" t="str">
        <f>VLOOKUP(D82,Task!$B:$E,4,0)</f>
        <v>Report</v>
      </c>
      <c r="C82" s="150">
        <v>45677</v>
      </c>
      <c r="D82" s="7" t="s">
        <v>63</v>
      </c>
      <c r="E82" s="7">
        <v>1</v>
      </c>
      <c r="F82" s="8">
        <v>4.5138888888888888E-2</v>
      </c>
      <c r="G82" s="9">
        <v>4.5138888888888888E-2</v>
      </c>
      <c r="H82" s="10">
        <v>0.46247685185185183</v>
      </c>
      <c r="I82" s="10">
        <v>0.50290509259259264</v>
      </c>
      <c r="J82" s="57">
        <f t="shared" si="9"/>
        <v>4.0428240740740806E-2</v>
      </c>
      <c r="K82" s="129">
        <f t="shared" si="10"/>
        <v>0.50761574074074067</v>
      </c>
      <c r="L82" s="8"/>
      <c r="M82" s="8"/>
      <c r="N82" s="8"/>
      <c r="O82" s="12"/>
      <c r="P82" s="16">
        <f t="shared" si="8"/>
        <v>1.1165187517892909</v>
      </c>
    </row>
    <row r="83" spans="1:18" ht="14.5">
      <c r="A83" s="142">
        <f t="shared" si="11"/>
        <v>82</v>
      </c>
      <c r="B83" s="142" t="str">
        <f>VLOOKUP(D83,Task!$B:$E,4,0)</f>
        <v>Task</v>
      </c>
      <c r="C83" s="150">
        <v>45677</v>
      </c>
      <c r="D83" s="7" t="s">
        <v>27</v>
      </c>
      <c r="E83" s="7">
        <v>80</v>
      </c>
      <c r="F83" s="8">
        <v>1.3888888888888889E-3</v>
      </c>
      <c r="G83" s="9">
        <v>0.11111111111111112</v>
      </c>
      <c r="H83" s="10">
        <v>0.50290509259259264</v>
      </c>
      <c r="I83" s="10">
        <v>0.6045949074074074</v>
      </c>
      <c r="J83" s="57">
        <f t="shared" si="9"/>
        <v>8.7557870370370314E-2</v>
      </c>
      <c r="K83" s="129">
        <f t="shared" si="10"/>
        <v>0.62814814814814823</v>
      </c>
      <c r="L83" s="8"/>
      <c r="M83" s="8"/>
      <c r="N83" s="8">
        <v>1.4131944444444445E-2</v>
      </c>
      <c r="O83" s="18" t="s">
        <v>64</v>
      </c>
      <c r="P83" s="16">
        <f t="shared" si="8"/>
        <v>1.269001982815599</v>
      </c>
      <c r="Q83" s="19"/>
    </row>
    <row r="84" spans="1:18" ht="14.5">
      <c r="A84" s="142">
        <f t="shared" si="11"/>
        <v>83</v>
      </c>
      <c r="B84" s="142" t="str">
        <f>VLOOKUP(D84,Task!$B:$E,4,0)</f>
        <v>Task</v>
      </c>
      <c r="C84" s="150">
        <v>45677</v>
      </c>
      <c r="D84" s="7" t="s">
        <v>27</v>
      </c>
      <c r="E84" s="7">
        <v>45</v>
      </c>
      <c r="F84" s="8">
        <v>1.3888888888888889E-3</v>
      </c>
      <c r="G84" s="9">
        <v>6.25E-2</v>
      </c>
      <c r="H84" s="10">
        <v>0.6045949074074074</v>
      </c>
      <c r="I84" s="10">
        <v>0.7194328703703704</v>
      </c>
      <c r="J84" s="57">
        <f t="shared" si="9"/>
        <v>6.9537037037037078E-2</v>
      </c>
      <c r="K84" s="129">
        <f t="shared" si="10"/>
        <v>0.71239583333333334</v>
      </c>
      <c r="L84" s="8"/>
      <c r="M84" s="8"/>
      <c r="N84" s="8">
        <v>4.5300925925925925E-2</v>
      </c>
      <c r="O84" s="12"/>
      <c r="P84" s="16">
        <f t="shared" si="8"/>
        <v>0.89880159786950675</v>
      </c>
      <c r="Q84" s="19"/>
    </row>
    <row r="85" spans="1:18" ht="14.5">
      <c r="A85" s="142">
        <f t="shared" si="11"/>
        <v>84</v>
      </c>
      <c r="B85" s="142" t="str">
        <f>VLOOKUP(D85,Task!$B:$E,4,0)</f>
        <v>Task</v>
      </c>
      <c r="C85" s="150">
        <v>45677</v>
      </c>
      <c r="D85" s="7" t="s">
        <v>27</v>
      </c>
      <c r="E85" s="7">
        <v>30</v>
      </c>
      <c r="F85" s="8">
        <v>1.3888888888888889E-3</v>
      </c>
      <c r="G85" s="9">
        <v>4.1666666666666671E-2</v>
      </c>
      <c r="H85" s="10">
        <v>0.7194328703703704</v>
      </c>
      <c r="I85" s="10">
        <v>0.75694444444444442</v>
      </c>
      <c r="J85" s="57">
        <f t="shared" si="9"/>
        <v>3.7511574074074017E-2</v>
      </c>
      <c r="K85" s="129">
        <f t="shared" si="10"/>
        <v>0.76109953703703703</v>
      </c>
      <c r="L85" s="8"/>
      <c r="M85" s="8"/>
      <c r="N85" s="8"/>
      <c r="O85" s="12"/>
      <c r="P85" s="16">
        <f t="shared" si="8"/>
        <v>1.1107682813946331</v>
      </c>
      <c r="Q85" s="4"/>
    </row>
    <row r="86" spans="1:18" ht="14.5">
      <c r="A86" s="142">
        <f t="shared" si="11"/>
        <v>85</v>
      </c>
      <c r="B86" s="142" t="str">
        <f>VLOOKUP(D86,Task!$B:$E,4,0)</f>
        <v>Task</v>
      </c>
      <c r="C86" s="150">
        <v>45678</v>
      </c>
      <c r="D86" s="7" t="s">
        <v>20</v>
      </c>
      <c r="E86" s="7">
        <v>9</v>
      </c>
      <c r="F86" s="8">
        <v>2.0833333333333333E-3</v>
      </c>
      <c r="G86" s="9">
        <v>1.8749999999999999E-2</v>
      </c>
      <c r="H86" s="10">
        <v>0.3759837962962963</v>
      </c>
      <c r="I86" s="10">
        <v>0.39314814814814814</v>
      </c>
      <c r="J86" s="57">
        <f t="shared" si="9"/>
        <v>1.7164351851851833E-2</v>
      </c>
      <c r="K86" s="129">
        <f t="shared" si="10"/>
        <v>0.39473379629629629</v>
      </c>
      <c r="L86" s="8"/>
      <c r="M86" s="8"/>
      <c r="N86" s="8"/>
      <c r="O86" s="12"/>
      <c r="P86" s="16">
        <f t="shared" si="8"/>
        <v>1.0923803101820646</v>
      </c>
      <c r="Q86" s="4"/>
    </row>
    <row r="87" spans="1:18" ht="14.5">
      <c r="A87" s="142">
        <f t="shared" si="11"/>
        <v>86</v>
      </c>
      <c r="B87" s="142" t="str">
        <f>VLOOKUP(D87,Task!$B:$E,4,0)</f>
        <v>Task</v>
      </c>
      <c r="C87" s="150">
        <v>45678</v>
      </c>
      <c r="D87" s="7" t="s">
        <v>16</v>
      </c>
      <c r="E87" s="7">
        <v>43</v>
      </c>
      <c r="F87" s="8">
        <v>5.5555555555555558E-3</v>
      </c>
      <c r="G87" s="9">
        <v>0.2388888888888889</v>
      </c>
      <c r="H87" s="10">
        <v>0.39314814814814814</v>
      </c>
      <c r="I87" s="10">
        <v>0.7299768518518519</v>
      </c>
      <c r="J87" s="57">
        <f t="shared" si="9"/>
        <v>0.23290509259259268</v>
      </c>
      <c r="K87" s="129">
        <f t="shared" si="10"/>
        <v>0.73596064814814821</v>
      </c>
      <c r="L87" s="8"/>
      <c r="M87" s="8"/>
      <c r="N87" s="8">
        <v>0.10392361111111111</v>
      </c>
      <c r="O87" s="12"/>
      <c r="P87" s="16">
        <f t="shared" si="8"/>
        <v>1.0256919942354517</v>
      </c>
      <c r="Q87" s="4"/>
    </row>
    <row r="88" spans="1:18" ht="14.5">
      <c r="A88" s="142">
        <f t="shared" si="11"/>
        <v>87</v>
      </c>
      <c r="B88" s="142" t="str">
        <f>VLOOKUP(D88,Task!$B:$E,4,0)</f>
        <v>Report</v>
      </c>
      <c r="C88" s="150">
        <v>45678</v>
      </c>
      <c r="D88" s="7" t="s">
        <v>65</v>
      </c>
      <c r="E88" s="7">
        <v>1</v>
      </c>
      <c r="F88" s="8">
        <v>2.0833333333333332E-2</v>
      </c>
      <c r="G88" s="9">
        <v>2.0833333333333332E-2</v>
      </c>
      <c r="H88" s="10">
        <v>0.57103009259259263</v>
      </c>
      <c r="I88" s="10">
        <v>0.59</v>
      </c>
      <c r="J88" s="57">
        <f t="shared" si="9"/>
        <v>1.8969907407407338E-2</v>
      </c>
      <c r="K88" s="129">
        <f t="shared" si="10"/>
        <v>0.591863425925926</v>
      </c>
      <c r="L88" s="8"/>
      <c r="M88" s="8"/>
      <c r="N88" s="8"/>
      <c r="O88" s="12"/>
      <c r="P88" s="16">
        <f t="shared" si="8"/>
        <v>1.0982306284319747</v>
      </c>
      <c r="Q88" s="19"/>
    </row>
    <row r="89" spans="1:18" ht="14.5">
      <c r="A89" s="142">
        <f t="shared" si="11"/>
        <v>88</v>
      </c>
      <c r="B89" s="142" t="str">
        <f>VLOOKUP(D89,Task!$B:$E,4,0)</f>
        <v>Task</v>
      </c>
      <c r="C89" s="150">
        <v>45678</v>
      </c>
      <c r="D89" s="7" t="s">
        <v>20</v>
      </c>
      <c r="E89" s="7">
        <v>5</v>
      </c>
      <c r="F89" s="8">
        <v>2.0833333333333333E-3</v>
      </c>
      <c r="G89" s="9">
        <v>1.0416666666666666E-2</v>
      </c>
      <c r="H89" s="10">
        <v>0.59</v>
      </c>
      <c r="I89" s="10">
        <v>0.59943287037037041</v>
      </c>
      <c r="J89" s="57">
        <f t="shared" si="9"/>
        <v>9.4328703703704386E-3</v>
      </c>
      <c r="K89" s="129">
        <f t="shared" si="10"/>
        <v>0.6004166666666666</v>
      </c>
      <c r="L89" s="8"/>
      <c r="M89" s="8"/>
      <c r="N89" s="8"/>
      <c r="O89" s="12"/>
      <c r="P89" s="16">
        <f t="shared" si="8"/>
        <v>1.1042944785275992</v>
      </c>
      <c r="Q89" s="19"/>
      <c r="R89" s="4"/>
    </row>
    <row r="90" spans="1:18" ht="14.5">
      <c r="A90" s="142">
        <f t="shared" si="11"/>
        <v>89</v>
      </c>
      <c r="B90" s="142" t="str">
        <f>VLOOKUP(D90,Task!$B:$E,4,0)</f>
        <v>Task</v>
      </c>
      <c r="C90" s="150">
        <v>45678</v>
      </c>
      <c r="D90" s="7" t="s">
        <v>38</v>
      </c>
      <c r="E90" s="7">
        <v>9</v>
      </c>
      <c r="F90" s="8">
        <v>2.7777777777777779E-3</v>
      </c>
      <c r="G90" s="9">
        <v>2.5000000000000001E-2</v>
      </c>
      <c r="H90" s="10">
        <v>0.7299768518518519</v>
      </c>
      <c r="I90" s="10">
        <v>0.75347222222222221</v>
      </c>
      <c r="J90" s="57">
        <f t="shared" si="9"/>
        <v>2.3495370370370305E-2</v>
      </c>
      <c r="K90" s="129">
        <f t="shared" si="10"/>
        <v>0.75497685185185193</v>
      </c>
      <c r="L90" s="8"/>
      <c r="M90" s="8"/>
      <c r="N90" s="8"/>
      <c r="O90" s="12"/>
      <c r="P90" s="16">
        <f t="shared" si="8"/>
        <v>1.064039408866998</v>
      </c>
      <c r="Q90" s="19"/>
    </row>
    <row r="91" spans="1:18" ht="14.5">
      <c r="A91" s="142">
        <f t="shared" si="11"/>
        <v>90</v>
      </c>
      <c r="B91" s="142" t="str">
        <f>VLOOKUP(D91,Task!$B:$E,4,0)</f>
        <v>Report</v>
      </c>
      <c r="C91" s="150">
        <v>45679</v>
      </c>
      <c r="D91" s="7" t="s">
        <v>18</v>
      </c>
      <c r="E91" s="7">
        <v>1</v>
      </c>
      <c r="F91" s="8">
        <v>4.8611111111111112E-2</v>
      </c>
      <c r="G91" s="9">
        <v>4.8611111111111112E-2</v>
      </c>
      <c r="H91" s="10">
        <v>0.34901620370370379</v>
      </c>
      <c r="I91" s="10">
        <v>0.40120370370370373</v>
      </c>
      <c r="J91" s="57">
        <f t="shared" si="9"/>
        <v>4.3912037037036979E-2</v>
      </c>
      <c r="K91" s="129">
        <f t="shared" si="10"/>
        <v>0.40590277777777783</v>
      </c>
      <c r="L91" s="8"/>
      <c r="M91" s="8"/>
      <c r="N91" s="8">
        <v>8.2754629629629636E-3</v>
      </c>
      <c r="O91" s="12"/>
      <c r="P91" s="16">
        <f t="shared" si="8"/>
        <v>1.1070110701107025</v>
      </c>
      <c r="Q91" s="19"/>
    </row>
    <row r="92" spans="1:18" ht="14.5">
      <c r="A92" s="142">
        <f t="shared" si="11"/>
        <v>91</v>
      </c>
      <c r="B92" s="142" t="str">
        <f>VLOOKUP(D92,Task!$B:$E,4,0)</f>
        <v>Task</v>
      </c>
      <c r="C92" s="150">
        <v>45679</v>
      </c>
      <c r="D92" s="7" t="s">
        <v>28</v>
      </c>
      <c r="E92" s="7">
        <v>108</v>
      </c>
      <c r="F92" s="8">
        <v>1.3888888888888889E-3</v>
      </c>
      <c r="G92" s="9">
        <v>0.15</v>
      </c>
      <c r="H92" s="10">
        <v>0.40120370370370373</v>
      </c>
      <c r="I92" s="10">
        <v>0.5516550925925926</v>
      </c>
      <c r="J92" s="57">
        <f t="shared" si="9"/>
        <v>0.14074074074074072</v>
      </c>
      <c r="K92" s="129">
        <f t="shared" si="10"/>
        <v>0.5609143518518519</v>
      </c>
      <c r="L92" s="8"/>
      <c r="M92" s="8"/>
      <c r="N92" s="8">
        <v>9.7106481481481488E-3</v>
      </c>
      <c r="O92" s="18" t="s">
        <v>66</v>
      </c>
      <c r="P92" s="16">
        <f t="shared" si="8"/>
        <v>1.0657894736842106</v>
      </c>
      <c r="Q92" s="19"/>
    </row>
    <row r="93" spans="1:18" ht="14.5">
      <c r="A93" s="142">
        <f t="shared" si="11"/>
        <v>92</v>
      </c>
      <c r="B93" s="142" t="str">
        <f>VLOOKUP(D93,Task!$B:$E,4,0)</f>
        <v>Task</v>
      </c>
      <c r="C93" s="150">
        <v>45679</v>
      </c>
      <c r="D93" s="7" t="s">
        <v>16</v>
      </c>
      <c r="E93" s="7">
        <v>6</v>
      </c>
      <c r="F93" s="8">
        <v>5.5555555555555558E-3</v>
      </c>
      <c r="G93" s="9">
        <v>3.3333333333333333E-2</v>
      </c>
      <c r="H93" s="10">
        <v>0.5516550925925926</v>
      </c>
      <c r="I93" s="10">
        <v>0.60085648148148152</v>
      </c>
      <c r="J93" s="57">
        <f t="shared" si="9"/>
        <v>3.1527777777777807E-2</v>
      </c>
      <c r="K93" s="129">
        <f t="shared" si="10"/>
        <v>0.60266203703703702</v>
      </c>
      <c r="L93" s="8"/>
      <c r="M93" s="8"/>
      <c r="N93" s="8">
        <v>1.7673611111111112E-2</v>
      </c>
      <c r="O93" s="12"/>
      <c r="P93" s="16">
        <f t="shared" si="8"/>
        <v>1.0572687224669592</v>
      </c>
      <c r="Q93" s="19"/>
    </row>
    <row r="94" spans="1:18" ht="14.5">
      <c r="A94" s="142">
        <f t="shared" si="11"/>
        <v>93</v>
      </c>
      <c r="B94" s="142" t="str">
        <f>VLOOKUP(D94,Task!$B:$E,4,0)</f>
        <v>Task</v>
      </c>
      <c r="C94" s="150">
        <v>45679</v>
      </c>
      <c r="D94" s="7" t="s">
        <v>20</v>
      </c>
      <c r="E94" s="7">
        <v>26</v>
      </c>
      <c r="F94" s="8">
        <v>2.0833333333333333E-3</v>
      </c>
      <c r="G94" s="9">
        <v>5.4166666666666669E-2</v>
      </c>
      <c r="H94" s="10">
        <v>0.60085648148148152</v>
      </c>
      <c r="I94" s="10">
        <v>0.68090277777777775</v>
      </c>
      <c r="J94" s="57">
        <f t="shared" si="9"/>
        <v>5.0578703703703633E-2</v>
      </c>
      <c r="K94" s="129">
        <f t="shared" si="10"/>
        <v>0.68449074074074079</v>
      </c>
      <c r="L94" s="8"/>
      <c r="M94" s="8"/>
      <c r="N94" s="8">
        <v>2.9467592592592594E-2</v>
      </c>
      <c r="O94" s="12"/>
      <c r="P94" s="16">
        <f t="shared" si="8"/>
        <v>1.0709382151029763</v>
      </c>
    </row>
    <row r="95" spans="1:18" ht="14.5">
      <c r="A95" s="142">
        <f t="shared" si="11"/>
        <v>94</v>
      </c>
      <c r="B95" s="142" t="str">
        <f>VLOOKUP(D95,Task!$B:$E,4,0)</f>
        <v>Task</v>
      </c>
      <c r="C95" s="150">
        <v>45679</v>
      </c>
      <c r="D95" s="7" t="s">
        <v>38</v>
      </c>
      <c r="E95" s="7">
        <v>27</v>
      </c>
      <c r="F95" s="8">
        <v>2.7777777777777779E-3</v>
      </c>
      <c r="G95" s="9">
        <v>7.4999999999999997E-2</v>
      </c>
      <c r="H95" s="10">
        <v>0.68090277777777775</v>
      </c>
      <c r="I95" s="10">
        <v>0.75</v>
      </c>
      <c r="J95" s="57">
        <f t="shared" si="9"/>
        <v>6.9097222222222254E-2</v>
      </c>
      <c r="K95" s="129">
        <f t="shared" si="10"/>
        <v>0.7559027777777777</v>
      </c>
      <c r="L95" s="8"/>
      <c r="M95" s="8"/>
      <c r="N95" s="8"/>
      <c r="O95" s="12"/>
      <c r="P95" s="16">
        <f t="shared" si="8"/>
        <v>1.0854271356783913</v>
      </c>
      <c r="Q95" s="4"/>
    </row>
    <row r="96" spans="1:18" ht="14.5">
      <c r="A96" s="142">
        <f t="shared" si="11"/>
        <v>95</v>
      </c>
      <c r="B96" s="142" t="str">
        <f>VLOOKUP(D96,Task!$B:$E,4,0)</f>
        <v>Report</v>
      </c>
      <c r="C96" s="150">
        <v>45680</v>
      </c>
      <c r="D96" s="7" t="s">
        <v>43</v>
      </c>
      <c r="E96" s="7">
        <v>1</v>
      </c>
      <c r="F96" s="8">
        <v>3.4722222222222224E-2</v>
      </c>
      <c r="G96" s="9">
        <v>3.4722222222222224E-2</v>
      </c>
      <c r="H96" s="10">
        <v>0.37950231481481489</v>
      </c>
      <c r="I96" s="10">
        <v>0.41017361111111111</v>
      </c>
      <c r="J96" s="57">
        <f t="shared" si="9"/>
        <v>3.0671296296296224E-2</v>
      </c>
      <c r="K96" s="129">
        <f t="shared" si="10"/>
        <v>0.4142245370370371</v>
      </c>
      <c r="L96" s="8"/>
      <c r="M96" s="8"/>
      <c r="N96" s="8"/>
      <c r="O96" s="12"/>
      <c r="P96" s="16">
        <f t="shared" si="8"/>
        <v>1.1320754716981158</v>
      </c>
      <c r="Q96" s="19"/>
    </row>
    <row r="97" spans="1:17" ht="14.5">
      <c r="A97" s="142">
        <f t="shared" si="11"/>
        <v>96</v>
      </c>
      <c r="B97" s="142" t="str">
        <f>VLOOKUP(D97,Task!$B:$E,4,0)</f>
        <v>Report</v>
      </c>
      <c r="C97" s="150">
        <v>45680</v>
      </c>
      <c r="D97" s="7" t="s">
        <v>18</v>
      </c>
      <c r="E97" s="7">
        <v>1</v>
      </c>
      <c r="F97" s="8">
        <v>4.8611111111111112E-2</v>
      </c>
      <c r="G97" s="9">
        <v>4.8611111111111112E-2</v>
      </c>
      <c r="H97" s="10">
        <v>0.41017361111111111</v>
      </c>
      <c r="I97" s="10">
        <v>0.46106481481481487</v>
      </c>
      <c r="J97" s="57">
        <f t="shared" si="9"/>
        <v>4.4490740740740775E-2</v>
      </c>
      <c r="K97" s="129">
        <f t="shared" si="10"/>
        <v>0.4651851851851852</v>
      </c>
      <c r="L97" s="8"/>
      <c r="M97" s="8"/>
      <c r="N97" s="8">
        <v>6.4004629629629828E-3</v>
      </c>
      <c r="O97" s="12"/>
      <c r="P97" s="16">
        <f t="shared" si="8"/>
        <v>1.0926118626430792</v>
      </c>
      <c r="Q97" s="19"/>
    </row>
    <row r="98" spans="1:17" ht="14.5">
      <c r="A98" s="142">
        <f t="shared" si="11"/>
        <v>97</v>
      </c>
      <c r="B98" s="142" t="str">
        <f>VLOOKUP(D98,Task!$B:$E,4,0)</f>
        <v>Report</v>
      </c>
      <c r="C98" s="150">
        <v>45680</v>
      </c>
      <c r="D98" s="7" t="s">
        <v>42</v>
      </c>
      <c r="E98" s="7">
        <v>1</v>
      </c>
      <c r="F98" s="8">
        <v>6.9444444444444441E-3</v>
      </c>
      <c r="G98" s="9">
        <v>6.9444444444444441E-3</v>
      </c>
      <c r="H98" s="10">
        <v>0.41819444444444442</v>
      </c>
      <c r="I98" s="10">
        <v>0.42459490740740741</v>
      </c>
      <c r="J98" s="57">
        <f t="shared" si="9"/>
        <v>6.4004629629629828E-3</v>
      </c>
      <c r="K98" s="129">
        <f t="shared" si="10"/>
        <v>0.42513888888888884</v>
      </c>
      <c r="L98" s="8"/>
      <c r="M98" s="8"/>
      <c r="N98" s="8"/>
      <c r="O98" s="12"/>
      <c r="P98" s="16">
        <f t="shared" si="8"/>
        <v>1.0849909584086765</v>
      </c>
    </row>
    <row r="99" spans="1:17" ht="14.5">
      <c r="A99" s="142">
        <f t="shared" si="11"/>
        <v>98</v>
      </c>
      <c r="B99" s="142" t="str">
        <f>VLOOKUP(D99,Task!$B:$E,4,0)</f>
        <v>Task</v>
      </c>
      <c r="C99" s="150">
        <v>45680</v>
      </c>
      <c r="D99" s="7" t="s">
        <v>37</v>
      </c>
      <c r="E99" s="7">
        <v>40</v>
      </c>
      <c r="F99" s="8">
        <v>1.3888888888888889E-3</v>
      </c>
      <c r="G99" s="9">
        <v>5.5555555555555559E-2</v>
      </c>
      <c r="H99" s="10">
        <v>0.46106481481481487</v>
      </c>
      <c r="I99" s="10">
        <v>0.52099537037037036</v>
      </c>
      <c r="J99" s="57">
        <f t="shared" si="9"/>
        <v>5.0844907407407339E-2</v>
      </c>
      <c r="K99" s="129">
        <f t="shared" si="10"/>
        <v>0.52570601851851861</v>
      </c>
      <c r="L99" s="8"/>
      <c r="M99" s="8"/>
      <c r="N99" s="8">
        <v>9.0856481481481483E-3</v>
      </c>
      <c r="O99" s="12"/>
      <c r="P99" s="16">
        <f t="shared" si="8"/>
        <v>1.0926473935806982</v>
      </c>
      <c r="Q99" s="19"/>
    </row>
    <row r="100" spans="1:17" ht="14.5">
      <c r="A100" s="142">
        <f t="shared" si="11"/>
        <v>99</v>
      </c>
      <c r="B100" s="142" t="str">
        <f>VLOOKUP(D100,Task!$B:$E,4,0)</f>
        <v>Task</v>
      </c>
      <c r="C100" s="150">
        <v>45680</v>
      </c>
      <c r="D100" s="7" t="s">
        <v>28</v>
      </c>
      <c r="E100" s="7">
        <v>24</v>
      </c>
      <c r="F100" s="8">
        <v>1.3888888888888889E-3</v>
      </c>
      <c r="G100" s="9">
        <v>3.3333333333333333E-2</v>
      </c>
      <c r="H100" s="10">
        <v>0.52099537037037036</v>
      </c>
      <c r="I100" s="10">
        <v>0.57076388888888885</v>
      </c>
      <c r="J100" s="57">
        <f t="shared" si="9"/>
        <v>3.1331018518518494E-2</v>
      </c>
      <c r="K100" s="129">
        <f t="shared" si="10"/>
        <v>0.57276620370370368</v>
      </c>
      <c r="L100" s="8"/>
      <c r="M100" s="8"/>
      <c r="N100" s="8">
        <v>1.8437499999999999E-2</v>
      </c>
      <c r="O100" s="18" t="s">
        <v>66</v>
      </c>
      <c r="P100" s="16">
        <f t="shared" si="8"/>
        <v>1.0639083856667906</v>
      </c>
      <c r="Q100" s="19"/>
    </row>
    <row r="101" spans="1:17" ht="14.5">
      <c r="A101" s="142">
        <f t="shared" si="11"/>
        <v>100</v>
      </c>
      <c r="B101" s="142" t="str">
        <f>VLOOKUP(D101,Task!$B:$E,4,0)</f>
        <v>Task</v>
      </c>
      <c r="C101" s="150">
        <v>45680</v>
      </c>
      <c r="D101" s="7" t="s">
        <v>38</v>
      </c>
      <c r="E101" s="7">
        <v>36</v>
      </c>
      <c r="F101" s="8">
        <v>2.7777777777777779E-3</v>
      </c>
      <c r="G101" s="9">
        <v>0.1</v>
      </c>
      <c r="H101" s="10">
        <v>0.66136574074074073</v>
      </c>
      <c r="I101" s="10">
        <v>0.75694444444444442</v>
      </c>
      <c r="J101" s="57">
        <f t="shared" si="9"/>
        <v>9.5578703703703694E-2</v>
      </c>
      <c r="K101" s="129">
        <f t="shared" si="10"/>
        <v>0.7613657407407407</v>
      </c>
      <c r="L101" s="8"/>
      <c r="M101" s="8"/>
      <c r="N101" s="8"/>
      <c r="O101" s="12"/>
      <c r="P101" s="16">
        <f t="shared" si="8"/>
        <v>1.0462581738919836</v>
      </c>
      <c r="Q101" s="19"/>
    </row>
    <row r="102" spans="1:17" ht="14.5">
      <c r="A102" s="142">
        <f t="shared" si="11"/>
        <v>101</v>
      </c>
      <c r="B102" s="142" t="str">
        <f>VLOOKUP(D102,Task!$B:$E,4,0)</f>
        <v>Report</v>
      </c>
      <c r="C102" s="150">
        <v>45686</v>
      </c>
      <c r="D102" s="7" t="s">
        <v>43</v>
      </c>
      <c r="E102" s="7">
        <v>1</v>
      </c>
      <c r="F102" s="8">
        <v>3.4722222222222224E-2</v>
      </c>
      <c r="G102" s="9">
        <v>3.4722222222222224E-2</v>
      </c>
      <c r="H102" s="10">
        <v>0.37211805555555555</v>
      </c>
      <c r="I102" s="10">
        <v>0.40552083333333333</v>
      </c>
      <c r="J102" s="57">
        <f t="shared" si="9"/>
        <v>3.1331018518518522E-2</v>
      </c>
      <c r="K102" s="129">
        <f t="shared" si="10"/>
        <v>0.40891203703703705</v>
      </c>
      <c r="L102" s="8"/>
      <c r="M102" s="8"/>
      <c r="N102" s="8">
        <v>2.0717592592592593E-3</v>
      </c>
      <c r="O102" s="12"/>
      <c r="P102" s="16">
        <f t="shared" si="8"/>
        <v>1.1082379017362394</v>
      </c>
    </row>
    <row r="103" spans="1:17" ht="14.5">
      <c r="A103" s="142">
        <f t="shared" si="11"/>
        <v>102</v>
      </c>
      <c r="B103" s="142" t="str">
        <f>VLOOKUP(D103,Task!$B:$E,4,0)</f>
        <v>Report</v>
      </c>
      <c r="C103" s="150">
        <v>45686</v>
      </c>
      <c r="D103" s="7" t="s">
        <v>42</v>
      </c>
      <c r="E103" s="7">
        <v>1</v>
      </c>
      <c r="F103" s="8">
        <v>6.9444444444444441E-3</v>
      </c>
      <c r="G103" s="9">
        <v>6.9444444444444441E-3</v>
      </c>
      <c r="H103" s="10">
        <v>0.40552083333333333</v>
      </c>
      <c r="I103" s="10">
        <v>0.4119560185185186</v>
      </c>
      <c r="J103" s="57">
        <f t="shared" si="9"/>
        <v>6.4351851851852659E-3</v>
      </c>
      <c r="K103" s="129">
        <f t="shared" si="10"/>
        <v>0.41246527777777775</v>
      </c>
      <c r="L103" s="8"/>
      <c r="M103" s="8"/>
      <c r="N103" s="8"/>
      <c r="O103" s="12"/>
      <c r="P103" s="16">
        <f t="shared" si="8"/>
        <v>1.0791366906474684</v>
      </c>
      <c r="Q103" s="19"/>
    </row>
    <row r="104" spans="1:17" ht="14.5">
      <c r="A104" s="142">
        <f t="shared" si="11"/>
        <v>103</v>
      </c>
      <c r="B104" s="142" t="str">
        <f>VLOOKUP(D104,Task!$B:$E,4,0)</f>
        <v>Report</v>
      </c>
      <c r="C104" s="150">
        <v>45686</v>
      </c>
      <c r="D104" s="7" t="s">
        <v>18</v>
      </c>
      <c r="E104" s="7">
        <v>2</v>
      </c>
      <c r="F104" s="8">
        <v>4.8611111111111112E-2</v>
      </c>
      <c r="G104" s="9">
        <v>9.7222222222222224E-2</v>
      </c>
      <c r="H104" s="10">
        <v>0.4119560185185186</v>
      </c>
      <c r="I104" s="10">
        <v>0.50140046296296303</v>
      </c>
      <c r="J104" s="57">
        <f t="shared" si="9"/>
        <v>8.9444444444444438E-2</v>
      </c>
      <c r="K104" s="129">
        <f t="shared" si="10"/>
        <v>0.50917824074074081</v>
      </c>
      <c r="L104" s="8"/>
      <c r="M104" s="8"/>
      <c r="N104" s="8"/>
      <c r="O104" s="12"/>
      <c r="P104" s="16">
        <f t="shared" si="8"/>
        <v>1.0869565217391306</v>
      </c>
    </row>
    <row r="105" spans="1:17" ht="14.5">
      <c r="A105" s="142">
        <f t="shared" si="11"/>
        <v>104</v>
      </c>
      <c r="B105" s="142" t="str">
        <f>VLOOKUP(D105,Task!$B:$E,4,0)</f>
        <v>Report</v>
      </c>
      <c r="C105" s="150">
        <v>45686</v>
      </c>
      <c r="D105" s="7" t="s">
        <v>63</v>
      </c>
      <c r="E105" s="7">
        <v>1</v>
      </c>
      <c r="F105" s="8">
        <v>4.5138888888888888E-2</v>
      </c>
      <c r="G105" s="9">
        <v>4.5138888888888888E-2</v>
      </c>
      <c r="H105" s="10">
        <v>0.50140046296296303</v>
      </c>
      <c r="I105" s="10">
        <v>0.60436342592592596</v>
      </c>
      <c r="J105" s="57">
        <f t="shared" si="9"/>
        <v>4.3263888888888852E-2</v>
      </c>
      <c r="K105" s="129">
        <f t="shared" si="10"/>
        <v>0.60623842592592592</v>
      </c>
      <c r="L105" s="8"/>
      <c r="M105" s="8"/>
      <c r="N105" s="8">
        <v>5.9699074074074071E-2</v>
      </c>
      <c r="O105" s="12"/>
      <c r="P105" s="16">
        <f t="shared" si="8"/>
        <v>1.0433386837881229</v>
      </c>
      <c r="Q105" s="4"/>
    </row>
    <row r="106" spans="1:17" ht="14.5">
      <c r="A106" s="142">
        <f t="shared" si="11"/>
        <v>105</v>
      </c>
      <c r="B106" s="142" t="str">
        <f>VLOOKUP(D106,Task!$B:$E,4,0)</f>
        <v>Task</v>
      </c>
      <c r="C106" s="150">
        <v>45686</v>
      </c>
      <c r="D106" s="7" t="s">
        <v>20</v>
      </c>
      <c r="E106" s="7">
        <v>55</v>
      </c>
      <c r="F106" s="8">
        <v>2.0833333333333333E-3</v>
      </c>
      <c r="G106" s="9">
        <v>0.11458333333333333</v>
      </c>
      <c r="H106" s="10">
        <v>0.60436342592592596</v>
      </c>
      <c r="I106" s="10">
        <v>0.75</v>
      </c>
      <c r="J106" s="57">
        <f t="shared" si="9"/>
        <v>0.10409722222222219</v>
      </c>
      <c r="K106" s="129">
        <f t="shared" si="10"/>
        <v>0.7604861111111112</v>
      </c>
      <c r="L106" s="8"/>
      <c r="M106" s="8"/>
      <c r="N106" s="8">
        <v>4.1539351851851855E-2</v>
      </c>
      <c r="O106" s="12"/>
      <c r="P106" s="16">
        <f t="shared" si="8"/>
        <v>1.1007338225483658</v>
      </c>
      <c r="Q106" s="19"/>
    </row>
    <row r="107" spans="1:17" ht="14.5">
      <c r="A107" s="142">
        <f t="shared" si="11"/>
        <v>106</v>
      </c>
      <c r="B107" s="142" t="str">
        <f>VLOOKUP(D107,Task!$B:$E,4,0)</f>
        <v>Task</v>
      </c>
      <c r="C107" s="150">
        <v>45687</v>
      </c>
      <c r="D107" s="7" t="s">
        <v>20</v>
      </c>
      <c r="E107" s="7">
        <v>55</v>
      </c>
      <c r="F107" s="8">
        <v>2.0833333333333333E-3</v>
      </c>
      <c r="G107" s="9">
        <v>0.11458333333333333</v>
      </c>
      <c r="H107" s="10">
        <v>0.37625000000000008</v>
      </c>
      <c r="I107" s="10">
        <v>0.4797569444444445</v>
      </c>
      <c r="J107" s="57">
        <f t="shared" si="9"/>
        <v>0.10350694444444442</v>
      </c>
      <c r="K107" s="129">
        <f t="shared" si="10"/>
        <v>0.4908333333333334</v>
      </c>
      <c r="L107" s="8"/>
      <c r="M107" s="8"/>
      <c r="N107" s="8"/>
      <c r="O107" s="12"/>
      <c r="P107" s="16">
        <f t="shared" si="8"/>
        <v>1.1070110701107014</v>
      </c>
    </row>
    <row r="108" spans="1:17" ht="14.5">
      <c r="A108" s="142">
        <f t="shared" si="11"/>
        <v>107</v>
      </c>
      <c r="B108" s="142" t="str">
        <f>VLOOKUP(D108,Task!$B:$E,4,0)</f>
        <v>Task</v>
      </c>
      <c r="C108" s="150">
        <v>45687</v>
      </c>
      <c r="D108" s="7" t="s">
        <v>16</v>
      </c>
      <c r="E108" s="7">
        <v>18</v>
      </c>
      <c r="F108" s="8">
        <v>5.5555555555555558E-3</v>
      </c>
      <c r="G108" s="9">
        <v>0.1</v>
      </c>
      <c r="H108" s="10">
        <v>0.4797569444444445</v>
      </c>
      <c r="I108" s="8">
        <v>0.60677083333333337</v>
      </c>
      <c r="J108" s="57">
        <f t="shared" si="9"/>
        <v>9.4386574074074053E-2</v>
      </c>
      <c r="K108" s="129">
        <f t="shared" si="10"/>
        <v>0.61238425925925932</v>
      </c>
      <c r="L108" s="8"/>
      <c r="M108" s="8"/>
      <c r="N108" s="8">
        <v>3.2627314814814817E-2</v>
      </c>
      <c r="O108" s="12"/>
      <c r="P108" s="16">
        <f t="shared" si="8"/>
        <v>1.059472716125077</v>
      </c>
    </row>
    <row r="109" spans="1:17" ht="14.5">
      <c r="A109" s="142">
        <f t="shared" si="11"/>
        <v>108</v>
      </c>
      <c r="B109" s="142" t="str">
        <f>VLOOKUP(D109,Task!$B:$E,4,0)</f>
        <v>Task</v>
      </c>
      <c r="C109" s="150">
        <v>45687</v>
      </c>
      <c r="D109" s="7" t="s">
        <v>20</v>
      </c>
      <c r="E109" s="7">
        <v>65</v>
      </c>
      <c r="F109" s="8">
        <v>2.0833333333333333E-3</v>
      </c>
      <c r="G109" s="9">
        <v>0.13541666666666666</v>
      </c>
      <c r="H109" s="10">
        <v>0.60677083333333337</v>
      </c>
      <c r="I109" s="10">
        <v>0.75694444444444442</v>
      </c>
      <c r="J109" s="57">
        <f t="shared" si="9"/>
        <v>0.11535879629629624</v>
      </c>
      <c r="K109" s="129">
        <f t="shared" si="10"/>
        <v>0.77700231481481485</v>
      </c>
      <c r="L109" s="8"/>
      <c r="M109" s="8"/>
      <c r="N109" s="8">
        <v>3.4814814814814812E-2</v>
      </c>
      <c r="O109" s="12"/>
      <c r="P109" s="16">
        <f t="shared" si="8"/>
        <v>1.1738737834855026</v>
      </c>
    </row>
    <row r="110" spans="1:17" ht="14.5">
      <c r="A110" s="142">
        <f t="shared" si="11"/>
        <v>109</v>
      </c>
      <c r="B110" s="142" t="str">
        <f>VLOOKUP(D110,Task!$B:$E,4,0)</f>
        <v>Report</v>
      </c>
      <c r="C110" s="150">
        <v>45691</v>
      </c>
      <c r="D110" s="7" t="s">
        <v>43</v>
      </c>
      <c r="E110" s="7">
        <v>1</v>
      </c>
      <c r="F110" s="8">
        <v>3.4722222222222224E-2</v>
      </c>
      <c r="G110" s="9">
        <v>3.4722222222222224E-2</v>
      </c>
      <c r="H110" s="10">
        <v>0.37659722222222225</v>
      </c>
      <c r="I110" s="10">
        <v>0.40811342592592592</v>
      </c>
      <c r="J110" s="57">
        <f t="shared" si="9"/>
        <v>3.1516203703703671E-2</v>
      </c>
      <c r="K110" s="129">
        <f t="shared" si="10"/>
        <v>0.41131944444444446</v>
      </c>
      <c r="L110" s="8"/>
      <c r="M110" s="8"/>
      <c r="N110" s="8"/>
      <c r="O110" s="12"/>
      <c r="P110" s="16">
        <f t="shared" si="8"/>
        <v>1.1017260374586864</v>
      </c>
      <c r="Q110" s="19"/>
    </row>
    <row r="111" spans="1:17" ht="14.5">
      <c r="A111" s="142">
        <f t="shared" si="11"/>
        <v>110</v>
      </c>
      <c r="B111" s="142" t="str">
        <f>VLOOKUP(D111,Task!$B:$E,4,0)</f>
        <v>Report</v>
      </c>
      <c r="C111" s="150">
        <v>45691</v>
      </c>
      <c r="D111" s="7" t="s">
        <v>42</v>
      </c>
      <c r="E111" s="7">
        <v>1</v>
      </c>
      <c r="F111" s="8">
        <v>6.9444444444444441E-3</v>
      </c>
      <c r="G111" s="9">
        <v>6.9444444444444441E-3</v>
      </c>
      <c r="H111" s="10">
        <v>0.40811342592592592</v>
      </c>
      <c r="I111" s="10">
        <v>0.41453703703703704</v>
      </c>
      <c r="J111" s="57">
        <f t="shared" si="9"/>
        <v>6.423611111111116E-3</v>
      </c>
      <c r="K111" s="129">
        <f t="shared" si="10"/>
        <v>0.41505787037037034</v>
      </c>
      <c r="L111" s="8"/>
      <c r="M111" s="8"/>
      <c r="N111" s="8"/>
      <c r="O111" s="12"/>
      <c r="P111" s="16">
        <f t="shared" si="8"/>
        <v>1.0810810810810803</v>
      </c>
      <c r="Q111" s="19"/>
    </row>
    <row r="112" spans="1:17" ht="14.5">
      <c r="A112" s="142">
        <f t="shared" si="11"/>
        <v>111</v>
      </c>
      <c r="B112" s="142" t="str">
        <f>VLOOKUP(D112,Task!$B:$E,4,0)</f>
        <v>Report</v>
      </c>
      <c r="C112" s="150">
        <v>45691</v>
      </c>
      <c r="D112" s="7" t="s">
        <v>18</v>
      </c>
      <c r="E112" s="7">
        <v>1</v>
      </c>
      <c r="F112" s="8">
        <v>4.8611111111111112E-2</v>
      </c>
      <c r="G112" s="9">
        <v>4.8611111111111112E-2</v>
      </c>
      <c r="H112" s="10">
        <v>0.41453703703703704</v>
      </c>
      <c r="I112" s="10">
        <v>0.45997685185185183</v>
      </c>
      <c r="J112" s="57">
        <f t="shared" si="9"/>
        <v>4.5439814814814794E-2</v>
      </c>
      <c r="K112" s="129">
        <f t="shared" si="10"/>
        <v>0.46314814814814814</v>
      </c>
      <c r="L112" s="8"/>
      <c r="M112" s="8"/>
      <c r="N112" s="8"/>
      <c r="O112" s="12"/>
      <c r="P112" s="16">
        <f t="shared" si="8"/>
        <v>1.0697911360163022</v>
      </c>
    </row>
    <row r="113" spans="1:17" ht="14.5">
      <c r="A113" s="142">
        <f t="shared" si="11"/>
        <v>112</v>
      </c>
      <c r="B113" s="142" t="str">
        <f>VLOOKUP(D113,Task!$B:$E,4,0)</f>
        <v>Task</v>
      </c>
      <c r="C113" s="150">
        <v>45691</v>
      </c>
      <c r="D113" s="7" t="s">
        <v>67</v>
      </c>
      <c r="E113" s="7">
        <v>115</v>
      </c>
      <c r="F113" s="8">
        <v>1.3888888888888889E-3</v>
      </c>
      <c r="G113" s="9">
        <v>0.15972222222222224</v>
      </c>
      <c r="H113" s="10">
        <v>0.45997685185185183</v>
      </c>
      <c r="I113" s="10">
        <v>0.6504050925925926</v>
      </c>
      <c r="J113" s="57">
        <f t="shared" si="9"/>
        <v>0.1559606481481482</v>
      </c>
      <c r="K113" s="129">
        <f t="shared" si="10"/>
        <v>0.65416666666666667</v>
      </c>
      <c r="L113" s="8"/>
      <c r="M113" s="8"/>
      <c r="N113" s="8">
        <v>3.4467592592592591E-2</v>
      </c>
      <c r="O113" s="18" t="s">
        <v>68</v>
      </c>
      <c r="P113" s="16">
        <f t="shared" si="8"/>
        <v>1.0241187384044526</v>
      </c>
      <c r="Q113" s="4"/>
    </row>
    <row r="114" spans="1:17" ht="14.5">
      <c r="A114" s="142">
        <f t="shared" si="11"/>
        <v>113</v>
      </c>
      <c r="B114" s="142" t="str">
        <f>VLOOKUP(D114,Task!$B:$E,4,0)</f>
        <v>Task</v>
      </c>
      <c r="C114" s="150">
        <v>45691</v>
      </c>
      <c r="D114" s="7" t="s">
        <v>20</v>
      </c>
      <c r="E114" s="7">
        <v>45</v>
      </c>
      <c r="F114" s="8">
        <v>2.0833333333333333E-3</v>
      </c>
      <c r="G114" s="9">
        <v>9.375E-2</v>
      </c>
      <c r="H114" s="10">
        <v>0.6504050925925926</v>
      </c>
      <c r="I114" s="10">
        <v>0.75347222222222221</v>
      </c>
      <c r="J114" s="57">
        <f t="shared" si="9"/>
        <v>8.9675925925925909E-2</v>
      </c>
      <c r="K114" s="129">
        <f t="shared" si="10"/>
        <v>0.75754629629629633</v>
      </c>
      <c r="L114" s="8"/>
      <c r="M114" s="8"/>
      <c r="N114" s="8">
        <v>1.3391203703703704E-2</v>
      </c>
      <c r="O114" s="12"/>
      <c r="P114" s="16">
        <f t="shared" si="8"/>
        <v>1.0454310789881263</v>
      </c>
      <c r="Q114" s="4"/>
    </row>
    <row r="115" spans="1:17" ht="14.5">
      <c r="A115" s="142">
        <f t="shared" si="11"/>
        <v>114</v>
      </c>
      <c r="B115" s="142" t="str">
        <f>VLOOKUP(D115,Task!$B:$E,4,0)</f>
        <v>Report</v>
      </c>
      <c r="C115" s="150">
        <v>45692</v>
      </c>
      <c r="D115" s="7" t="s">
        <v>18</v>
      </c>
      <c r="E115" s="7">
        <v>1</v>
      </c>
      <c r="F115" s="8">
        <v>4.8611111111111112E-2</v>
      </c>
      <c r="G115" s="9">
        <v>4.8611111111111112E-2</v>
      </c>
      <c r="H115" s="10">
        <v>0.37458333333333338</v>
      </c>
      <c r="I115" s="10">
        <v>0.42402777777777778</v>
      </c>
      <c r="J115" s="57">
        <f t="shared" si="9"/>
        <v>4.9444444444444402E-2</v>
      </c>
      <c r="K115" s="129">
        <f t="shared" si="10"/>
        <v>0.42319444444444448</v>
      </c>
      <c r="L115" s="8"/>
      <c r="M115" s="8"/>
      <c r="N115" s="8"/>
      <c r="O115" s="18"/>
      <c r="P115" s="16">
        <f t="shared" si="8"/>
        <v>0.98314606741573118</v>
      </c>
      <c r="Q115" s="4"/>
    </row>
    <row r="116" spans="1:17" ht="14.5">
      <c r="A116" s="142">
        <f t="shared" si="11"/>
        <v>115</v>
      </c>
      <c r="B116" s="142" t="str">
        <f>VLOOKUP(D116,Task!$B:$E,4,0)</f>
        <v>Task</v>
      </c>
      <c r="C116" s="150">
        <v>45692</v>
      </c>
      <c r="D116" s="7" t="s">
        <v>67</v>
      </c>
      <c r="E116" s="7">
        <v>47</v>
      </c>
      <c r="F116" s="8">
        <v>1.3888888888888889E-3</v>
      </c>
      <c r="G116" s="9">
        <v>6.5277777777777782E-2</v>
      </c>
      <c r="H116" s="10">
        <v>0.42402777777777778</v>
      </c>
      <c r="I116" s="10">
        <v>0.48304398148148153</v>
      </c>
      <c r="J116" s="57">
        <f t="shared" si="9"/>
        <v>5.9016203703703751E-2</v>
      </c>
      <c r="K116" s="129">
        <f t="shared" si="10"/>
        <v>0.48930555555555555</v>
      </c>
      <c r="L116" s="8"/>
      <c r="M116" s="8"/>
      <c r="N116" s="8"/>
      <c r="O116" s="18" t="s">
        <v>68</v>
      </c>
      <c r="P116" s="16">
        <f t="shared" si="8"/>
        <v>1.106099235144145</v>
      </c>
      <c r="Q116" s="19" t="e">
        <f ca="1">AVERAGEIF(C:C,TODAY(),P:P)</f>
        <v>#DIV/0!</v>
      </c>
    </row>
    <row r="117" spans="1:17" ht="14.5">
      <c r="A117" s="142">
        <f t="shared" si="11"/>
        <v>116</v>
      </c>
      <c r="B117" s="142" t="str">
        <f>VLOOKUP(D117,Task!$B:$E,4,0)</f>
        <v>Task</v>
      </c>
      <c r="C117" s="150">
        <v>45692</v>
      </c>
      <c r="D117" s="7" t="s">
        <v>20</v>
      </c>
      <c r="E117" s="7">
        <v>29</v>
      </c>
      <c r="F117" s="8">
        <v>2.0833333333333333E-3</v>
      </c>
      <c r="G117" s="9">
        <v>6.0416666666666667E-2</v>
      </c>
      <c r="H117" s="10">
        <v>0.48304398148148153</v>
      </c>
      <c r="I117" s="10">
        <v>0.57208333333333339</v>
      </c>
      <c r="J117" s="57">
        <f t="shared" si="9"/>
        <v>5.7650462962962966E-2</v>
      </c>
      <c r="K117" s="129">
        <f t="shared" si="10"/>
        <v>0.57484953703703712</v>
      </c>
      <c r="L117" s="8"/>
      <c r="M117" s="8"/>
      <c r="N117" s="8">
        <v>3.138888888888889E-2</v>
      </c>
      <c r="O117" s="18"/>
      <c r="P117" s="16">
        <f t="shared" si="8"/>
        <v>1.0479823328648865</v>
      </c>
    </row>
    <row r="118" spans="1:17" ht="14.5">
      <c r="A118" s="142">
        <f t="shared" si="11"/>
        <v>117</v>
      </c>
      <c r="B118" s="142" t="str">
        <f>VLOOKUP(D118,Task!$B:$E,4,0)</f>
        <v>Task</v>
      </c>
      <c r="C118" s="150">
        <v>45692</v>
      </c>
      <c r="D118" s="7" t="s">
        <v>48</v>
      </c>
      <c r="E118" s="7">
        <v>55</v>
      </c>
      <c r="F118" s="8">
        <v>1.736111111111111E-3</v>
      </c>
      <c r="G118" s="9">
        <v>9.5486111111111105E-2</v>
      </c>
      <c r="H118" s="10">
        <v>0.57208333333333339</v>
      </c>
      <c r="I118" s="10">
        <v>0.70800925925925928</v>
      </c>
      <c r="J118" s="57">
        <f t="shared" si="9"/>
        <v>9.034722222222219E-2</v>
      </c>
      <c r="K118" s="129">
        <f t="shared" si="10"/>
        <v>0.71314814814814809</v>
      </c>
      <c r="L118" s="8"/>
      <c r="M118" s="8"/>
      <c r="N118" s="8">
        <v>4.5578703703703705E-2</v>
      </c>
      <c r="O118" s="18"/>
      <c r="P118" s="16">
        <f t="shared" si="8"/>
        <v>1.0568793235972331</v>
      </c>
      <c r="Q118" s="4"/>
    </row>
    <row r="119" spans="1:17" ht="14.5">
      <c r="A119" s="142">
        <f t="shared" si="11"/>
        <v>118</v>
      </c>
      <c r="B119" s="142" t="str">
        <f>VLOOKUP(D119,Task!$B:$E,4,0)</f>
        <v>Task</v>
      </c>
      <c r="C119" s="150">
        <v>45692</v>
      </c>
      <c r="D119" s="7" t="s">
        <v>48</v>
      </c>
      <c r="E119" s="7">
        <v>35</v>
      </c>
      <c r="F119" s="8">
        <v>1.736111111111111E-3</v>
      </c>
      <c r="G119" s="9">
        <v>6.0763888888888888E-2</v>
      </c>
      <c r="H119" s="10">
        <v>0.70800925925925928</v>
      </c>
      <c r="I119" s="10">
        <v>0.76402456018695375</v>
      </c>
      <c r="J119" s="57">
        <f t="shared" si="9"/>
        <v>5.6015300927694467E-2</v>
      </c>
      <c r="K119" s="129">
        <f t="shared" si="10"/>
        <v>0.76877314814814812</v>
      </c>
      <c r="L119" s="8"/>
      <c r="M119" s="8"/>
      <c r="N119" s="8"/>
      <c r="O119" s="12"/>
      <c r="P119" s="16">
        <f t="shared" si="8"/>
        <v>1.0847730509798381</v>
      </c>
      <c r="Q119" s="19"/>
    </row>
    <row r="120" spans="1:17" ht="14.5">
      <c r="A120" s="142">
        <f t="shared" si="11"/>
        <v>119</v>
      </c>
      <c r="B120" s="142" t="str">
        <f>VLOOKUP(D120,Task!$B:$E,4,0)</f>
        <v>Report</v>
      </c>
      <c r="C120" s="150">
        <v>45693</v>
      </c>
      <c r="D120" s="7" t="s">
        <v>18</v>
      </c>
      <c r="E120" s="7">
        <v>1</v>
      </c>
      <c r="F120" s="8">
        <v>4.8611111111111112E-2</v>
      </c>
      <c r="G120" s="9">
        <v>4.8611111111111112E-2</v>
      </c>
      <c r="H120" s="10">
        <v>0.38030092592592601</v>
      </c>
      <c r="I120" s="10">
        <v>0.42546296296296299</v>
      </c>
      <c r="J120" s="57">
        <f t="shared" si="9"/>
        <v>4.5162037037036973E-2</v>
      </c>
      <c r="K120" s="129">
        <f t="shared" si="10"/>
        <v>0.42891203703703712</v>
      </c>
      <c r="L120" s="8"/>
      <c r="M120" s="8"/>
      <c r="N120" s="8"/>
      <c r="O120" s="18" t="s">
        <v>69</v>
      </c>
      <c r="P120" s="16">
        <f t="shared" si="8"/>
        <v>1.0763710917478231</v>
      </c>
    </row>
    <row r="121" spans="1:17" ht="14.5">
      <c r="A121" s="142">
        <f t="shared" si="11"/>
        <v>120</v>
      </c>
      <c r="B121" s="142" t="str">
        <f>VLOOKUP(D121,Task!$B:$E,4,0)</f>
        <v>Task</v>
      </c>
      <c r="C121" s="150">
        <v>45693</v>
      </c>
      <c r="D121" s="7" t="s">
        <v>16</v>
      </c>
      <c r="E121" s="7">
        <v>4</v>
      </c>
      <c r="F121" s="8">
        <v>5.5555555555555558E-3</v>
      </c>
      <c r="G121" s="9">
        <v>2.2222222222222223E-2</v>
      </c>
      <c r="H121" s="10">
        <v>0.42546296296296299</v>
      </c>
      <c r="I121" s="10">
        <v>0.44598379629629636</v>
      </c>
      <c r="J121" s="57">
        <f t="shared" si="9"/>
        <v>2.0520833333333377E-2</v>
      </c>
      <c r="K121" s="129">
        <f t="shared" si="10"/>
        <v>0.44768518518518519</v>
      </c>
      <c r="L121" s="8"/>
      <c r="M121" s="8"/>
      <c r="N121" s="8"/>
      <c r="O121" s="12"/>
      <c r="P121" s="16">
        <f t="shared" si="8"/>
        <v>1.0829103214889995</v>
      </c>
      <c r="Q121" s="19"/>
    </row>
    <row r="122" spans="1:17" ht="14.5">
      <c r="A122" s="142">
        <f t="shared" si="11"/>
        <v>121</v>
      </c>
      <c r="B122" s="142" t="str">
        <f>VLOOKUP(D122,Task!$B:$E,4,0)</f>
        <v>Task</v>
      </c>
      <c r="C122" s="150">
        <v>45693</v>
      </c>
      <c r="D122" s="7" t="s">
        <v>48</v>
      </c>
      <c r="E122" s="7">
        <v>68</v>
      </c>
      <c r="F122" s="8">
        <v>1.736111111111111E-3</v>
      </c>
      <c r="G122" s="9">
        <v>0.11805555555555555</v>
      </c>
      <c r="H122" s="10">
        <v>0.44598379629629636</v>
      </c>
      <c r="I122" s="10">
        <v>0.57981481481481478</v>
      </c>
      <c r="J122" s="57">
        <f t="shared" si="9"/>
        <v>0.11076388888888879</v>
      </c>
      <c r="K122" s="129">
        <f t="shared" si="10"/>
        <v>0.58710648148148159</v>
      </c>
      <c r="L122" s="8"/>
      <c r="M122" s="8"/>
      <c r="N122" s="8">
        <v>2.3067129629629628E-2</v>
      </c>
      <c r="O122" s="18"/>
      <c r="P122" s="16">
        <f t="shared" si="8"/>
        <v>1.0658307210031357</v>
      </c>
    </row>
    <row r="123" spans="1:17" ht="14.5">
      <c r="A123" s="142">
        <f t="shared" si="11"/>
        <v>122</v>
      </c>
      <c r="B123" s="142" t="str">
        <f>VLOOKUP(D123,Task!$B:$E,4,0)</f>
        <v>Task</v>
      </c>
      <c r="C123" s="150">
        <v>45693</v>
      </c>
      <c r="D123" s="7" t="s">
        <v>38</v>
      </c>
      <c r="E123" s="7">
        <v>3</v>
      </c>
      <c r="F123" s="8">
        <v>2.7777777777777779E-3</v>
      </c>
      <c r="G123" s="9">
        <v>8.3333333333333332E-3</v>
      </c>
      <c r="H123" s="10">
        <v>0.57981481481481478</v>
      </c>
      <c r="I123" s="10">
        <v>0.58725694444444443</v>
      </c>
      <c r="J123" s="57">
        <f t="shared" si="9"/>
        <v>7.4421296296296457E-3</v>
      </c>
      <c r="K123" s="129">
        <f t="shared" si="10"/>
        <v>0.58814814814814809</v>
      </c>
      <c r="L123" s="8"/>
      <c r="M123" s="8"/>
      <c r="N123" s="8"/>
      <c r="O123" s="18"/>
      <c r="P123" s="16">
        <f t="shared" si="8"/>
        <v>1.1197511664074626</v>
      </c>
    </row>
    <row r="124" spans="1:17" ht="14.5">
      <c r="A124" s="142">
        <f t="shared" si="11"/>
        <v>123</v>
      </c>
      <c r="B124" s="142" t="str">
        <f>VLOOKUP(D124,Task!$B:$E,4,0)</f>
        <v>Task</v>
      </c>
      <c r="C124" s="150">
        <v>45693</v>
      </c>
      <c r="D124" s="7" t="s">
        <v>27</v>
      </c>
      <c r="E124" s="7">
        <v>9</v>
      </c>
      <c r="F124" s="8">
        <v>1.3888888888888889E-3</v>
      </c>
      <c r="G124" s="9">
        <v>1.2500000000000001E-2</v>
      </c>
      <c r="H124" s="10">
        <v>0.58725694444444443</v>
      </c>
      <c r="I124" s="10">
        <v>0.59880787037037042</v>
      </c>
      <c r="J124" s="57">
        <f t="shared" si="9"/>
        <v>1.1550925925925992E-2</v>
      </c>
      <c r="K124" s="129">
        <f t="shared" si="10"/>
        <v>0.59975694444444438</v>
      </c>
      <c r="L124" s="8"/>
      <c r="M124" s="8"/>
      <c r="N124" s="8"/>
      <c r="O124" s="18" t="s">
        <v>70</v>
      </c>
      <c r="P124" s="16">
        <f t="shared" si="8"/>
        <v>1.0821643286573084</v>
      </c>
      <c r="Q124" s="19"/>
    </row>
    <row r="125" spans="1:17" ht="14.5">
      <c r="A125" s="142">
        <f t="shared" si="11"/>
        <v>124</v>
      </c>
      <c r="B125" s="142" t="str">
        <f>VLOOKUP(D125,Task!$B:$E,4,0)</f>
        <v>Task</v>
      </c>
      <c r="C125" s="150">
        <v>45693</v>
      </c>
      <c r="D125" s="7" t="s">
        <v>20</v>
      </c>
      <c r="E125" s="7">
        <v>68</v>
      </c>
      <c r="F125" s="8">
        <v>2.0833333333333333E-3</v>
      </c>
      <c r="G125" s="9">
        <v>0.14166666666666666</v>
      </c>
      <c r="H125" s="10">
        <v>0.59880787037037042</v>
      </c>
      <c r="I125" s="10">
        <v>0.76041666666666663</v>
      </c>
      <c r="J125" s="57">
        <f t="shared" si="9"/>
        <v>0.13504629629629622</v>
      </c>
      <c r="K125" s="129">
        <f t="shared" si="10"/>
        <v>0.76703703703703718</v>
      </c>
      <c r="L125" s="8"/>
      <c r="M125" s="8"/>
      <c r="N125" s="8">
        <v>2.6562499999999999E-2</v>
      </c>
      <c r="O125" s="12"/>
      <c r="P125" s="16">
        <f t="shared" si="8"/>
        <v>1.0490229688035659</v>
      </c>
    </row>
    <row r="126" spans="1:17" ht="14.5">
      <c r="A126" s="142">
        <f t="shared" si="11"/>
        <v>125</v>
      </c>
      <c r="B126" s="142" t="str">
        <f>VLOOKUP(D126,Task!$B:$E,4,0)</f>
        <v>Report</v>
      </c>
      <c r="C126" s="150">
        <v>45694</v>
      </c>
      <c r="D126" s="7" t="s">
        <v>43</v>
      </c>
      <c r="E126" s="7">
        <v>1</v>
      </c>
      <c r="F126" s="8">
        <v>3.4722222222222224E-2</v>
      </c>
      <c r="G126" s="9">
        <v>3.4722222222222224E-2</v>
      </c>
      <c r="H126" s="10">
        <v>0.38099537037037046</v>
      </c>
      <c r="I126" s="10">
        <v>0.42350694444444448</v>
      </c>
      <c r="J126" s="57">
        <f t="shared" si="9"/>
        <v>3.1527777777777724E-2</v>
      </c>
      <c r="K126" s="129">
        <f t="shared" si="10"/>
        <v>0.42670138888888898</v>
      </c>
      <c r="L126" s="8"/>
      <c r="M126" s="8"/>
      <c r="N126" s="8">
        <v>1.0983796296296297E-2</v>
      </c>
      <c r="O126" s="18"/>
      <c r="P126" s="16">
        <f t="shared" si="8"/>
        <v>1.1013215859030856</v>
      </c>
      <c r="Q126" s="19"/>
    </row>
    <row r="127" spans="1:17" ht="14.5">
      <c r="A127" s="142">
        <f t="shared" si="11"/>
        <v>126</v>
      </c>
      <c r="B127" s="142" t="str">
        <f>VLOOKUP(D127,Task!$B:$E,4,0)</f>
        <v>Report</v>
      </c>
      <c r="C127" s="150">
        <v>45694</v>
      </c>
      <c r="D127" s="7" t="s">
        <v>42</v>
      </c>
      <c r="E127" s="7">
        <v>1</v>
      </c>
      <c r="F127" s="8">
        <v>6.9444444444444441E-3</v>
      </c>
      <c r="G127" s="9">
        <v>6.9444444444444441E-3</v>
      </c>
      <c r="H127" s="10">
        <v>0.42350694444444448</v>
      </c>
      <c r="I127" s="10">
        <v>0.43011574074074077</v>
      </c>
      <c r="J127" s="57">
        <f t="shared" si="9"/>
        <v>6.6087962962962932E-3</v>
      </c>
      <c r="K127" s="129">
        <f t="shared" si="10"/>
        <v>0.4304513888888889</v>
      </c>
      <c r="L127" s="8"/>
      <c r="M127" s="8"/>
      <c r="N127" s="8"/>
      <c r="O127" s="12"/>
      <c r="P127" s="16">
        <f t="shared" si="8"/>
        <v>1.0507880910683016</v>
      </c>
    </row>
    <row r="128" spans="1:17" ht="14.5">
      <c r="A128" s="142">
        <f t="shared" si="11"/>
        <v>127</v>
      </c>
      <c r="B128" s="142" t="str">
        <f>VLOOKUP(D128,Task!$B:$E,4,0)</f>
        <v>Report</v>
      </c>
      <c r="C128" s="150">
        <v>45694</v>
      </c>
      <c r="D128" s="7" t="s">
        <v>18</v>
      </c>
      <c r="E128" s="7">
        <v>1</v>
      </c>
      <c r="F128" s="8">
        <v>4.8611111111111112E-2</v>
      </c>
      <c r="G128" s="9">
        <v>4.8611111111111112E-2</v>
      </c>
      <c r="H128" s="10">
        <v>0.43011574074074077</v>
      </c>
      <c r="I128" s="10">
        <v>0.48857638888888888</v>
      </c>
      <c r="J128" s="57">
        <f t="shared" si="9"/>
        <v>4.7592592592592554E-2</v>
      </c>
      <c r="K128" s="129">
        <f t="shared" si="10"/>
        <v>0.48959490740740741</v>
      </c>
      <c r="L128" s="8"/>
      <c r="M128" s="8"/>
      <c r="N128" s="8">
        <v>1.0868055555555556E-2</v>
      </c>
      <c r="O128" s="18"/>
      <c r="P128" s="16">
        <f t="shared" si="8"/>
        <v>1.0214007782101175</v>
      </c>
      <c r="Q128" s="4"/>
    </row>
    <row r="129" spans="1:17" ht="14.5">
      <c r="A129" s="142">
        <f t="shared" si="11"/>
        <v>128</v>
      </c>
      <c r="B129" s="142" t="str">
        <f>VLOOKUP(D129,Task!$B:$E,4,0)</f>
        <v>Task</v>
      </c>
      <c r="C129" s="150">
        <v>45694</v>
      </c>
      <c r="D129" s="7" t="s">
        <v>16</v>
      </c>
      <c r="E129" s="7">
        <v>15</v>
      </c>
      <c r="F129" s="8">
        <v>5.5555555555555558E-3</v>
      </c>
      <c r="G129" s="9">
        <v>8.3333333333333343E-2</v>
      </c>
      <c r="H129" s="10">
        <v>0.48857638888888888</v>
      </c>
      <c r="I129" s="10">
        <v>0.59673611111111113</v>
      </c>
      <c r="J129" s="57">
        <f t="shared" si="9"/>
        <v>8.3194444444444474E-2</v>
      </c>
      <c r="K129" s="129">
        <f t="shared" si="10"/>
        <v>0.59687500000000004</v>
      </c>
      <c r="L129" s="8"/>
      <c r="M129" s="8"/>
      <c r="N129" s="8">
        <v>2.4965277777777777E-2</v>
      </c>
      <c r="O129" s="12"/>
      <c r="P129" s="16">
        <f t="shared" si="8"/>
        <v>1.0016694490818028</v>
      </c>
    </row>
    <row r="130" spans="1:17" ht="14.5">
      <c r="A130" s="142">
        <f t="shared" si="11"/>
        <v>129</v>
      </c>
      <c r="B130" s="142" t="str">
        <f>VLOOKUP(D130,Task!$B:$E,4,0)</f>
        <v>Task</v>
      </c>
      <c r="C130" s="150">
        <v>45694</v>
      </c>
      <c r="D130" s="7" t="s">
        <v>20</v>
      </c>
      <c r="E130" s="7">
        <v>38</v>
      </c>
      <c r="F130" s="8">
        <v>2.0833333333333333E-3</v>
      </c>
      <c r="G130" s="9">
        <v>7.9166666666666663E-2</v>
      </c>
      <c r="H130" s="10">
        <v>0.59673611111111113</v>
      </c>
      <c r="I130" s="10">
        <v>0.70049768518518518</v>
      </c>
      <c r="J130" s="57">
        <f t="shared" si="9"/>
        <v>7.6261574074074051E-2</v>
      </c>
      <c r="K130" s="129">
        <f t="shared" si="10"/>
        <v>0.70340277777777771</v>
      </c>
      <c r="L130" s="8"/>
      <c r="M130" s="8"/>
      <c r="N130" s="8">
        <v>2.75E-2</v>
      </c>
      <c r="O130" s="12"/>
      <c r="P130" s="16">
        <f t="shared" ref="P130:P193" si="12">IFERROR(G130/J130," ")</f>
        <v>1.038093792684778</v>
      </c>
      <c r="Q130" s="19" t="e">
        <f ca="1">AVERAGEIF(C:C,TODAY(),P:P)</f>
        <v>#DIV/0!</v>
      </c>
    </row>
    <row r="131" spans="1:17" ht="14.5">
      <c r="A131" s="142">
        <f t="shared" si="11"/>
        <v>130</v>
      </c>
      <c r="B131" s="142" t="str">
        <f>VLOOKUP(D131,Task!$B:$E,4,0)</f>
        <v>Task</v>
      </c>
      <c r="C131" s="150">
        <v>45694</v>
      </c>
      <c r="D131" s="7" t="s">
        <v>20</v>
      </c>
      <c r="E131" s="7">
        <v>30</v>
      </c>
      <c r="F131" s="8">
        <v>2.0833333333333333E-3</v>
      </c>
      <c r="G131" s="9">
        <v>6.25E-2</v>
      </c>
      <c r="H131" s="10">
        <v>0.70049768518518518</v>
      </c>
      <c r="I131" s="10">
        <v>0.76041666666666663</v>
      </c>
      <c r="J131" s="57">
        <f t="shared" ref="J131:J194" si="13">IF(I131="","", IF(N131=" ",IF(OR(H131=0,I131=0),"",I131-H131),((I131-H131)-N131)))</f>
        <v>5.9918981481481448E-2</v>
      </c>
      <c r="K131" s="129">
        <f t="shared" ref="K131:K194" si="14">IFERROR(IF(N131=" ",(H131+G131),(H131+G131+N131)),"")</f>
        <v>0.76299768518518518</v>
      </c>
      <c r="L131" s="8"/>
      <c r="M131" s="8"/>
      <c r="N131" s="8"/>
      <c r="O131" s="12"/>
      <c r="P131" s="16">
        <f t="shared" si="12"/>
        <v>1.0430751400424962</v>
      </c>
    </row>
    <row r="132" spans="1:17" ht="14.5">
      <c r="A132" s="142">
        <f t="shared" ref="A132:A195" si="15">A131+1</f>
        <v>131</v>
      </c>
      <c r="B132" s="142" t="str">
        <f>VLOOKUP(D132,Task!$B:$E,4,0)</f>
        <v>Task</v>
      </c>
      <c r="C132" s="150">
        <v>45695</v>
      </c>
      <c r="D132" s="7" t="s">
        <v>67</v>
      </c>
      <c r="E132" s="7">
        <v>60</v>
      </c>
      <c r="F132" s="8">
        <v>1.3888888888888889E-3</v>
      </c>
      <c r="G132" s="9">
        <v>8.3333333333333343E-2</v>
      </c>
      <c r="H132" s="10">
        <v>0.36597222222222225</v>
      </c>
      <c r="I132" s="10">
        <v>0.44797453703703705</v>
      </c>
      <c r="J132" s="57">
        <f t="shared" si="13"/>
        <v>8.2002314814814792E-2</v>
      </c>
      <c r="K132" s="129">
        <f t="shared" si="14"/>
        <v>0.44930555555555562</v>
      </c>
      <c r="L132" s="8"/>
      <c r="M132" s="8"/>
      <c r="N132" s="8"/>
      <c r="O132" s="18"/>
      <c r="P132" s="16">
        <f t="shared" si="12"/>
        <v>1.0162314749470718</v>
      </c>
      <c r="Q132" s="4"/>
    </row>
    <row r="133" spans="1:17" ht="14.5">
      <c r="A133" s="142">
        <f t="shared" si="15"/>
        <v>132</v>
      </c>
      <c r="B133" s="142" t="str">
        <f>VLOOKUP(D133,Task!$B:$E,4,0)</f>
        <v>Report</v>
      </c>
      <c r="C133" s="150">
        <v>45695</v>
      </c>
      <c r="D133" s="7" t="s">
        <v>18</v>
      </c>
      <c r="E133" s="7">
        <v>1</v>
      </c>
      <c r="F133" s="8">
        <v>4.8611111111111112E-2</v>
      </c>
      <c r="G133" s="9">
        <v>4.8611111111111112E-2</v>
      </c>
      <c r="H133" s="10">
        <v>0.44797453703703705</v>
      </c>
      <c r="I133" s="10">
        <v>0.4931712962962963</v>
      </c>
      <c r="J133" s="57">
        <f t="shared" si="13"/>
        <v>4.5196759259259256E-2</v>
      </c>
      <c r="K133" s="129">
        <f t="shared" si="14"/>
        <v>0.49658564814814815</v>
      </c>
      <c r="L133" s="8"/>
      <c r="M133" s="8"/>
      <c r="N133" s="8"/>
      <c r="O133" s="18"/>
      <c r="P133" s="16">
        <f t="shared" si="12"/>
        <v>1.0755441741357235</v>
      </c>
    </row>
    <row r="134" spans="1:17" ht="14.5">
      <c r="A134" s="142">
        <f t="shared" si="15"/>
        <v>133</v>
      </c>
      <c r="B134" s="142" t="str">
        <f>VLOOKUP(D134,Task!$B:$E,4,0)</f>
        <v>Task</v>
      </c>
      <c r="C134" s="150">
        <v>45695</v>
      </c>
      <c r="D134" s="7" t="s">
        <v>20</v>
      </c>
      <c r="E134" s="7">
        <v>23</v>
      </c>
      <c r="F134" s="8">
        <v>2.0833333333333333E-3</v>
      </c>
      <c r="G134" s="9">
        <v>4.7916666666666663E-2</v>
      </c>
      <c r="H134" s="10">
        <v>0.4931712962962963</v>
      </c>
      <c r="I134" s="10">
        <v>0.58236111111111111</v>
      </c>
      <c r="J134" s="57">
        <f t="shared" si="13"/>
        <v>4.6828703703703692E-2</v>
      </c>
      <c r="K134" s="129">
        <f t="shared" si="14"/>
        <v>0.58344907407407409</v>
      </c>
      <c r="L134" s="8"/>
      <c r="M134" s="8"/>
      <c r="N134" s="8">
        <v>4.2361111111111113E-2</v>
      </c>
      <c r="O134" s="18"/>
      <c r="P134" s="16">
        <f t="shared" si="12"/>
        <v>1.0232328225407812</v>
      </c>
    </row>
    <row r="135" spans="1:17" ht="14.5">
      <c r="A135" s="142">
        <f t="shared" si="15"/>
        <v>134</v>
      </c>
      <c r="B135" s="142" t="str">
        <f>VLOOKUP(D135,Task!$B:$E,4,0)</f>
        <v>Task</v>
      </c>
      <c r="C135" s="150">
        <v>45695</v>
      </c>
      <c r="D135" s="7" t="s">
        <v>67</v>
      </c>
      <c r="E135" s="7">
        <v>108</v>
      </c>
      <c r="F135" s="8">
        <v>1.3888888888888889E-3</v>
      </c>
      <c r="G135" s="9">
        <v>0.15</v>
      </c>
      <c r="H135" s="10">
        <v>0.58236111111111111</v>
      </c>
      <c r="I135" s="10">
        <v>0.75</v>
      </c>
      <c r="J135" s="57">
        <f t="shared" si="13"/>
        <v>0.13579861111111111</v>
      </c>
      <c r="K135" s="129">
        <f t="shared" si="14"/>
        <v>0.76420138888888889</v>
      </c>
      <c r="L135" s="8"/>
      <c r="M135" s="8"/>
      <c r="N135" s="8">
        <v>3.184027777777778E-2</v>
      </c>
      <c r="O135" s="18" t="s">
        <v>71</v>
      </c>
      <c r="P135" s="16">
        <f t="shared" si="12"/>
        <v>1.104576834569164</v>
      </c>
    </row>
    <row r="136" spans="1:17" ht="14.5">
      <c r="A136" s="142">
        <f t="shared" si="15"/>
        <v>135</v>
      </c>
      <c r="B136" s="142" t="str">
        <f>VLOOKUP(D136,Task!$B:$E,4,0)</f>
        <v>Report</v>
      </c>
      <c r="C136" s="150">
        <v>45698</v>
      </c>
      <c r="D136" s="7" t="s">
        <v>43</v>
      </c>
      <c r="E136" s="7">
        <v>1</v>
      </c>
      <c r="F136" s="8">
        <v>3.4722222222222224E-2</v>
      </c>
      <c r="G136" s="9">
        <v>3.4722222222222224E-2</v>
      </c>
      <c r="H136" s="10">
        <v>0.37475694444444452</v>
      </c>
      <c r="I136" s="10">
        <v>0.40674768518518523</v>
      </c>
      <c r="J136" s="57">
        <f t="shared" si="13"/>
        <v>3.1990740740740709E-2</v>
      </c>
      <c r="K136" s="129">
        <f t="shared" si="14"/>
        <v>0.40947916666666673</v>
      </c>
      <c r="L136" s="8"/>
      <c r="M136" s="8"/>
      <c r="N136" s="8"/>
      <c r="O136" s="12"/>
      <c r="P136" s="16">
        <f t="shared" si="12"/>
        <v>1.0853835021707681</v>
      </c>
      <c r="Q136" s="4"/>
    </row>
    <row r="137" spans="1:17" ht="14.5">
      <c r="A137" s="142">
        <f t="shared" si="15"/>
        <v>136</v>
      </c>
      <c r="B137" s="142" t="str">
        <f>VLOOKUP(D137,Task!$B:$E,4,0)</f>
        <v>Report</v>
      </c>
      <c r="C137" s="150">
        <v>45698</v>
      </c>
      <c r="D137" s="7" t="s">
        <v>42</v>
      </c>
      <c r="E137" s="7">
        <v>1</v>
      </c>
      <c r="F137" s="8">
        <v>6.9444444444444441E-3</v>
      </c>
      <c r="G137" s="9">
        <v>6.9444444444444441E-3</v>
      </c>
      <c r="H137" s="10">
        <v>0.40674768518518523</v>
      </c>
      <c r="I137" s="10">
        <v>0.41348379629629628</v>
      </c>
      <c r="J137" s="57">
        <f t="shared" si="13"/>
        <v>6.7361111111110539E-3</v>
      </c>
      <c r="K137" s="129">
        <f t="shared" si="14"/>
        <v>0.41369212962962965</v>
      </c>
      <c r="L137" s="8"/>
      <c r="M137" s="8"/>
      <c r="N137" s="8"/>
      <c r="O137" s="12"/>
      <c r="P137" s="16">
        <f t="shared" si="12"/>
        <v>1.0309278350515552</v>
      </c>
    </row>
    <row r="138" spans="1:17" ht="14.5">
      <c r="A138" s="142">
        <f t="shared" si="15"/>
        <v>137</v>
      </c>
      <c r="B138" s="142" t="str">
        <f>VLOOKUP(D138,Task!$B:$E,4,0)</f>
        <v>Report</v>
      </c>
      <c r="C138" s="150">
        <v>45698</v>
      </c>
      <c r="D138" s="7" t="s">
        <v>30</v>
      </c>
      <c r="E138" s="7">
        <v>2</v>
      </c>
      <c r="F138" s="8">
        <v>4.8611111111111112E-2</v>
      </c>
      <c r="G138" s="9">
        <v>9.7222222222222224E-2</v>
      </c>
      <c r="H138" s="10">
        <v>0.41348379629629628</v>
      </c>
      <c r="I138" s="10">
        <v>0.52647416666150093</v>
      </c>
      <c r="J138" s="57">
        <f t="shared" si="13"/>
        <v>8.9460277772612062E-2</v>
      </c>
      <c r="K138" s="129">
        <f t="shared" si="14"/>
        <v>0.53423611111111113</v>
      </c>
      <c r="L138" s="8"/>
      <c r="M138" s="8"/>
      <c r="N138" s="8">
        <v>2.3530092592592592E-2</v>
      </c>
      <c r="O138" s="12"/>
      <c r="P138" s="16">
        <f t="shared" si="12"/>
        <v>1.0867641442980904</v>
      </c>
    </row>
    <row r="139" spans="1:17" ht="14.5">
      <c r="A139" s="142">
        <f t="shared" si="15"/>
        <v>138</v>
      </c>
      <c r="B139" s="142" t="str">
        <f>VLOOKUP(D139,Task!$B:$E,4,0)</f>
        <v>Task</v>
      </c>
      <c r="C139" s="150">
        <v>45698</v>
      </c>
      <c r="D139" s="7" t="s">
        <v>38</v>
      </c>
      <c r="E139" s="7">
        <v>27</v>
      </c>
      <c r="F139" s="8">
        <v>2.7777777777777779E-3</v>
      </c>
      <c r="G139" s="9">
        <v>7.4999999999999997E-2</v>
      </c>
      <c r="H139" s="10">
        <v>0.52647416666150093</v>
      </c>
      <c r="I139" s="10">
        <v>0.64626157407407403</v>
      </c>
      <c r="J139" s="57">
        <f t="shared" si="13"/>
        <v>7.174342593109162E-2</v>
      </c>
      <c r="K139" s="129">
        <f t="shared" si="14"/>
        <v>0.64951814814298237</v>
      </c>
      <c r="L139" s="8"/>
      <c r="M139" s="8"/>
      <c r="N139" s="8">
        <v>4.8043981481481479E-2</v>
      </c>
      <c r="O139" s="12"/>
      <c r="P139" s="16">
        <f t="shared" si="12"/>
        <v>1.0453919509229495</v>
      </c>
    </row>
    <row r="140" spans="1:17" ht="14.5">
      <c r="A140" s="142">
        <f t="shared" si="15"/>
        <v>139</v>
      </c>
      <c r="B140" s="142" t="str">
        <f>VLOOKUP(D140,Task!$B:$E,4,0)</f>
        <v>Task</v>
      </c>
      <c r="C140" s="150">
        <v>45698</v>
      </c>
      <c r="D140" s="7" t="s">
        <v>38</v>
      </c>
      <c r="E140" s="7">
        <v>33</v>
      </c>
      <c r="F140" s="8">
        <v>2.7777777777777779E-3</v>
      </c>
      <c r="G140" s="9">
        <v>9.1666666666666674E-2</v>
      </c>
      <c r="H140" s="10">
        <v>0.64626157407407403</v>
      </c>
      <c r="I140" s="10">
        <v>0.75</v>
      </c>
      <c r="J140" s="57">
        <f t="shared" si="13"/>
        <v>8.5289351851851936E-2</v>
      </c>
      <c r="K140" s="129">
        <f t="shared" si="14"/>
        <v>0.75637731481481474</v>
      </c>
      <c r="L140" s="8"/>
      <c r="M140" s="8"/>
      <c r="N140" s="8">
        <v>1.8449074074074034E-2</v>
      </c>
      <c r="O140" s="12"/>
      <c r="P140" s="16">
        <f t="shared" si="12"/>
        <v>1.0747726964309938</v>
      </c>
    </row>
    <row r="141" spans="1:17" ht="14.5">
      <c r="A141" s="142">
        <f t="shared" si="15"/>
        <v>140</v>
      </c>
      <c r="B141" s="142" t="str">
        <f>VLOOKUP(D141,Task!$B:$E,4,0)</f>
        <v>Report</v>
      </c>
      <c r="C141" s="150">
        <v>45698</v>
      </c>
      <c r="D141" s="7" t="s">
        <v>65</v>
      </c>
      <c r="E141" s="7">
        <v>1</v>
      </c>
      <c r="F141" s="8">
        <v>2.0833333333333332E-2</v>
      </c>
      <c r="G141" s="9">
        <v>2.0833333333333332E-2</v>
      </c>
      <c r="H141" s="10">
        <v>0.66547453703703707</v>
      </c>
      <c r="I141" s="10">
        <v>0.68392361111111111</v>
      </c>
      <c r="J141" s="57">
        <f t="shared" si="13"/>
        <v>1.8449074074074034E-2</v>
      </c>
      <c r="K141" s="129">
        <f t="shared" si="14"/>
        <v>0.68630787037037044</v>
      </c>
      <c r="L141" s="8"/>
      <c r="M141" s="8"/>
      <c r="N141" s="8"/>
      <c r="O141" s="18" t="s">
        <v>72</v>
      </c>
      <c r="P141" s="16">
        <f t="shared" si="12"/>
        <v>1.1292346298619849</v>
      </c>
    </row>
    <row r="142" spans="1:17" ht="14.5">
      <c r="A142" s="142">
        <f t="shared" si="15"/>
        <v>141</v>
      </c>
      <c r="B142" s="142" t="str">
        <f>VLOOKUP(D142,Task!$B:$E,4,0)</f>
        <v>Report</v>
      </c>
      <c r="C142" s="150">
        <v>45699</v>
      </c>
      <c r="D142" s="7" t="s">
        <v>30</v>
      </c>
      <c r="E142" s="7">
        <v>2</v>
      </c>
      <c r="F142" s="8">
        <v>4.8611111111111112E-2</v>
      </c>
      <c r="G142" s="9">
        <v>9.7222222222222224E-2</v>
      </c>
      <c r="H142" s="10">
        <v>0.37900462962962966</v>
      </c>
      <c r="I142" s="10">
        <v>0.50983796296296291</v>
      </c>
      <c r="J142" s="57">
        <f t="shared" si="13"/>
        <v>0.10297453703703695</v>
      </c>
      <c r="K142" s="129">
        <f t="shared" si="14"/>
        <v>0.50408564814814816</v>
      </c>
      <c r="L142" s="8"/>
      <c r="M142" s="8"/>
      <c r="N142" s="8">
        <v>2.7858796296296295E-2</v>
      </c>
      <c r="O142" s="12"/>
      <c r="P142" s="16">
        <f t="shared" si="12"/>
        <v>0.94413847364280179</v>
      </c>
    </row>
    <row r="143" spans="1:17" ht="14.5">
      <c r="A143" s="142">
        <f t="shared" si="15"/>
        <v>142</v>
      </c>
      <c r="B143" s="142" t="str">
        <f>VLOOKUP(D143,Task!$B:$E,4,0)</f>
        <v>Task</v>
      </c>
      <c r="C143" s="150">
        <v>45699</v>
      </c>
      <c r="D143" s="7" t="s">
        <v>38</v>
      </c>
      <c r="E143" s="7">
        <v>23</v>
      </c>
      <c r="F143" s="8">
        <v>2.7777777777777779E-3</v>
      </c>
      <c r="G143" s="9">
        <v>6.3888888888888898E-2</v>
      </c>
      <c r="H143" s="10">
        <v>0.50983796296296291</v>
      </c>
      <c r="I143" s="10">
        <v>0.59940972222222222</v>
      </c>
      <c r="J143" s="57">
        <f t="shared" si="13"/>
        <v>6.2210648148148195E-2</v>
      </c>
      <c r="K143" s="129">
        <f t="shared" si="14"/>
        <v>0.60108796296296285</v>
      </c>
      <c r="L143" s="8"/>
      <c r="M143" s="8"/>
      <c r="N143" s="8">
        <v>2.736111111111111E-2</v>
      </c>
      <c r="O143" s="12"/>
      <c r="P143" s="16">
        <f t="shared" si="12"/>
        <v>1.0269767441860458</v>
      </c>
    </row>
    <row r="144" spans="1:17" ht="14.5">
      <c r="A144" s="142">
        <f t="shared" si="15"/>
        <v>143</v>
      </c>
      <c r="B144" s="142" t="str">
        <f>VLOOKUP(D144,Task!$B:$E,4,0)</f>
        <v>Task</v>
      </c>
      <c r="C144" s="150">
        <v>45699</v>
      </c>
      <c r="D144" s="7" t="s">
        <v>20</v>
      </c>
      <c r="E144" s="7">
        <v>65</v>
      </c>
      <c r="F144" s="8">
        <v>2.0833333333333333E-3</v>
      </c>
      <c r="G144" s="9">
        <v>0.13541666666666666</v>
      </c>
      <c r="H144" s="10">
        <v>0.59940972222222222</v>
      </c>
      <c r="I144" s="10">
        <v>0.7652138194462168</v>
      </c>
      <c r="J144" s="57">
        <f t="shared" si="13"/>
        <v>0.12255178240917977</v>
      </c>
      <c r="K144" s="129">
        <f t="shared" si="14"/>
        <v>0.77807870370370369</v>
      </c>
      <c r="L144" s="8"/>
      <c r="M144" s="8"/>
      <c r="N144" s="8">
        <v>4.3252314814814813E-2</v>
      </c>
      <c r="O144" s="12"/>
      <c r="P144" s="16">
        <f t="shared" si="12"/>
        <v>1.1049750889345142</v>
      </c>
    </row>
    <row r="145" spans="1:16" ht="14.5">
      <c r="A145" s="142">
        <f t="shared" si="15"/>
        <v>144</v>
      </c>
      <c r="B145" s="142" t="str">
        <f>VLOOKUP(D145,Task!$B:$E,4,0)</f>
        <v>Report</v>
      </c>
      <c r="C145" s="150">
        <v>45701</v>
      </c>
      <c r="D145" s="7" t="s">
        <v>43</v>
      </c>
      <c r="E145" s="7">
        <v>1</v>
      </c>
      <c r="F145" s="8">
        <v>3.4722222222222224E-2</v>
      </c>
      <c r="G145" s="9">
        <v>3.4722222222222224E-2</v>
      </c>
      <c r="H145" s="10">
        <v>0.37922453703703707</v>
      </c>
      <c r="I145" s="10">
        <v>0.41098379629629633</v>
      </c>
      <c r="J145" s="57">
        <f t="shared" si="13"/>
        <v>3.1759259259259265E-2</v>
      </c>
      <c r="K145" s="129">
        <f t="shared" si="14"/>
        <v>0.41394675925925928</v>
      </c>
      <c r="L145" s="8"/>
      <c r="M145" s="8"/>
      <c r="N145" s="8"/>
      <c r="O145" s="12"/>
      <c r="P145" s="16">
        <f t="shared" si="12"/>
        <v>1.0932944606413992</v>
      </c>
    </row>
    <row r="146" spans="1:16" ht="14.5">
      <c r="A146" s="142">
        <f t="shared" si="15"/>
        <v>145</v>
      </c>
      <c r="B146" s="142" t="str">
        <f>VLOOKUP(D146,Task!$B:$E,4,0)</f>
        <v>Report</v>
      </c>
      <c r="C146" s="150">
        <v>45701</v>
      </c>
      <c r="D146" s="7" t="s">
        <v>42</v>
      </c>
      <c r="E146" s="7">
        <v>1</v>
      </c>
      <c r="F146" s="8">
        <v>6.9444444444444441E-3</v>
      </c>
      <c r="G146" s="9">
        <v>6.9444444444444441E-3</v>
      </c>
      <c r="H146" s="10">
        <v>0.41098379629629633</v>
      </c>
      <c r="I146" s="10">
        <v>0.41739583333333335</v>
      </c>
      <c r="J146" s="57">
        <f t="shared" si="13"/>
        <v>6.4120370370370217E-3</v>
      </c>
      <c r="K146" s="129">
        <f t="shared" si="14"/>
        <v>0.41792824074074075</v>
      </c>
      <c r="L146" s="8"/>
      <c r="M146" s="8"/>
      <c r="N146" s="8"/>
      <c r="O146" s="12"/>
      <c r="P146" s="16">
        <f t="shared" si="12"/>
        <v>1.0830324909747318</v>
      </c>
    </row>
    <row r="147" spans="1:16" ht="14.5">
      <c r="A147" s="142">
        <f t="shared" si="15"/>
        <v>146</v>
      </c>
      <c r="B147" s="142" t="str">
        <f>VLOOKUP(D147,Task!$B:$E,4,0)</f>
        <v>Report</v>
      </c>
      <c r="C147" s="150">
        <v>45701</v>
      </c>
      <c r="D147" s="7" t="s">
        <v>30</v>
      </c>
      <c r="E147" s="7">
        <v>2</v>
      </c>
      <c r="F147" s="8">
        <v>4.8611111111111112E-2</v>
      </c>
      <c r="G147" s="9">
        <v>9.7222222222222224E-2</v>
      </c>
      <c r="H147" s="10">
        <v>0.41739583333333335</v>
      </c>
      <c r="I147" s="10">
        <v>0.52210648148148153</v>
      </c>
      <c r="J147" s="57">
        <f t="shared" si="13"/>
        <v>8.7824074074074165E-2</v>
      </c>
      <c r="K147" s="129">
        <f t="shared" si="14"/>
        <v>0.53150462962962963</v>
      </c>
      <c r="L147" s="8"/>
      <c r="M147" s="8"/>
      <c r="N147" s="8">
        <v>1.6886574074074012E-2</v>
      </c>
      <c r="O147" s="12"/>
      <c r="P147" s="16">
        <f t="shared" si="12"/>
        <v>1.1070110701106999</v>
      </c>
    </row>
    <row r="148" spans="1:16" ht="14.5">
      <c r="A148" s="142">
        <f t="shared" si="15"/>
        <v>147</v>
      </c>
      <c r="B148" s="142" t="str">
        <f>VLOOKUP(D148,Task!$B:$E,4,0)</f>
        <v>Task</v>
      </c>
      <c r="C148" s="150">
        <v>45701</v>
      </c>
      <c r="D148" s="7" t="s">
        <v>20</v>
      </c>
      <c r="E148" s="7">
        <v>9</v>
      </c>
      <c r="F148" s="8">
        <v>2.0833333333333333E-3</v>
      </c>
      <c r="G148" s="9">
        <v>1.8749999999999999E-2</v>
      </c>
      <c r="H148" s="10">
        <v>0.45752314814814821</v>
      </c>
      <c r="I148" s="10">
        <v>0.47440972222222222</v>
      </c>
      <c r="J148" s="57">
        <f t="shared" si="13"/>
        <v>1.6886574074074012E-2</v>
      </c>
      <c r="K148" s="129">
        <f t="shared" si="14"/>
        <v>0.4762731481481482</v>
      </c>
      <c r="L148" s="8"/>
      <c r="M148" s="8"/>
      <c r="N148" s="8"/>
      <c r="O148" s="12"/>
      <c r="P148" s="16">
        <f t="shared" si="12"/>
        <v>1.1103495544893802</v>
      </c>
    </row>
    <row r="149" spans="1:16" ht="14.5">
      <c r="A149" s="142">
        <f t="shared" si="15"/>
        <v>148</v>
      </c>
      <c r="B149" s="142" t="str">
        <f>VLOOKUP(D149,Task!$B:$E,4,0)</f>
        <v>Task</v>
      </c>
      <c r="C149" s="150">
        <v>45701</v>
      </c>
      <c r="D149" s="7" t="s">
        <v>16</v>
      </c>
      <c r="E149" s="7">
        <v>30</v>
      </c>
      <c r="F149" s="8">
        <v>5.5555555555555558E-3</v>
      </c>
      <c r="G149" s="9">
        <v>0.16666666666666669</v>
      </c>
      <c r="H149" s="10">
        <v>0.52210648148148153</v>
      </c>
      <c r="I149" s="10">
        <v>0.75805072917137295</v>
      </c>
      <c r="J149" s="57">
        <f t="shared" si="13"/>
        <v>0.16131461806026179</v>
      </c>
      <c r="K149" s="129">
        <f t="shared" si="14"/>
        <v>0.76340277777777787</v>
      </c>
      <c r="L149" s="8"/>
      <c r="M149" s="8"/>
      <c r="N149" s="8">
        <v>7.4629629629629629E-2</v>
      </c>
      <c r="O149" s="12"/>
      <c r="P149" s="16">
        <f t="shared" si="12"/>
        <v>1.0331777037367162</v>
      </c>
    </row>
    <row r="150" spans="1:16" ht="14.5">
      <c r="A150" s="142">
        <f t="shared" si="15"/>
        <v>149</v>
      </c>
      <c r="B150" s="142" t="str">
        <f>VLOOKUP(D150,Task!$B:$E,4,0)</f>
        <v>Report</v>
      </c>
      <c r="C150" s="150">
        <v>45702</v>
      </c>
      <c r="D150" s="7" t="s">
        <v>30</v>
      </c>
      <c r="E150" s="7">
        <v>2</v>
      </c>
      <c r="F150" s="8">
        <v>4.8611111111111112E-2</v>
      </c>
      <c r="G150" s="9">
        <v>9.7222222222222224E-2</v>
      </c>
      <c r="H150" s="10">
        <v>0.39293981481481488</v>
      </c>
      <c r="I150" s="10">
        <v>0.49799768518518517</v>
      </c>
      <c r="J150" s="57">
        <f t="shared" si="13"/>
        <v>9.0428240740740656E-2</v>
      </c>
      <c r="K150" s="129">
        <f t="shared" si="14"/>
        <v>0.50479166666666675</v>
      </c>
      <c r="L150" s="8"/>
      <c r="M150" s="8"/>
      <c r="N150" s="8">
        <v>1.462962962962963E-2</v>
      </c>
      <c r="O150" s="12"/>
      <c r="P150" s="16">
        <f t="shared" si="12"/>
        <v>1.0751311916037385</v>
      </c>
    </row>
    <row r="151" spans="1:16" ht="14.5">
      <c r="A151" s="142">
        <f t="shared" si="15"/>
        <v>150</v>
      </c>
      <c r="B151" s="142" t="str">
        <f>VLOOKUP(D151,Task!$B:$E,4,0)</f>
        <v>Task</v>
      </c>
      <c r="C151" s="150">
        <v>45702</v>
      </c>
      <c r="D151" s="7" t="s">
        <v>19</v>
      </c>
      <c r="E151" s="7">
        <v>68</v>
      </c>
      <c r="F151" s="8">
        <v>2.7777777777777779E-3</v>
      </c>
      <c r="G151" s="9">
        <v>0.18888888888888888</v>
      </c>
      <c r="H151" s="10">
        <v>0.49799768518518517</v>
      </c>
      <c r="I151" s="10">
        <v>0.77180797453911509</v>
      </c>
      <c r="J151" s="57">
        <f t="shared" si="13"/>
        <v>0.18364825231689288</v>
      </c>
      <c r="K151" s="129">
        <f t="shared" si="14"/>
        <v>0.77704861111111112</v>
      </c>
      <c r="L151" s="8"/>
      <c r="M151" s="8"/>
      <c r="N151" s="8">
        <v>9.0162037037037041E-2</v>
      </c>
      <c r="O151" s="12"/>
      <c r="P151" s="16">
        <f t="shared" si="12"/>
        <v>1.0285362724985427</v>
      </c>
    </row>
    <row r="152" spans="1:16" ht="14.5">
      <c r="A152" s="142">
        <f t="shared" si="15"/>
        <v>151</v>
      </c>
      <c r="B152" s="142" t="str">
        <f>VLOOKUP(D152,Task!$B:$E,4,0)</f>
        <v>Task</v>
      </c>
      <c r="C152" s="150">
        <v>45702</v>
      </c>
      <c r="D152" s="7" t="s">
        <v>36</v>
      </c>
      <c r="E152" s="7">
        <v>36</v>
      </c>
      <c r="F152" s="8">
        <v>6.9444444444444447E-4</v>
      </c>
      <c r="G152" s="9">
        <v>2.5000000000000001E-2</v>
      </c>
      <c r="H152" s="10">
        <v>0.54759259259259263</v>
      </c>
      <c r="I152" s="10">
        <v>0.58534722222222224</v>
      </c>
      <c r="J152" s="57">
        <f t="shared" si="13"/>
        <v>2.4675925925925907E-2</v>
      </c>
      <c r="K152" s="129">
        <f t="shared" si="14"/>
        <v>0.58567129629629633</v>
      </c>
      <c r="L152" s="8"/>
      <c r="M152" s="8"/>
      <c r="N152" s="8">
        <v>1.3078703703703703E-2</v>
      </c>
      <c r="O152" s="12"/>
      <c r="P152" s="16">
        <f t="shared" si="12"/>
        <v>1.0131332082551603</v>
      </c>
    </row>
    <row r="153" spans="1:16" ht="14.5">
      <c r="A153" s="142">
        <f t="shared" si="15"/>
        <v>152</v>
      </c>
      <c r="B153" s="142" t="str">
        <f>VLOOKUP(D153,Task!$B:$E,4,0)</f>
        <v>Task</v>
      </c>
      <c r="C153" s="150">
        <v>45702</v>
      </c>
      <c r="D153" s="7" t="s">
        <v>16</v>
      </c>
      <c r="E153" s="7">
        <v>1</v>
      </c>
      <c r="F153" s="8">
        <v>5.5555555555555558E-3</v>
      </c>
      <c r="G153" s="9">
        <v>5.5555555555555558E-3</v>
      </c>
      <c r="H153" s="10">
        <v>0.50747685185185187</v>
      </c>
      <c r="I153" s="10">
        <v>0.51254629629629633</v>
      </c>
      <c r="J153" s="57">
        <f t="shared" si="13"/>
        <v>5.0694444444444597E-3</v>
      </c>
      <c r="K153" s="129">
        <f t="shared" si="14"/>
        <v>0.51303240740740741</v>
      </c>
      <c r="L153" s="8"/>
      <c r="M153" s="8"/>
      <c r="N153" s="8"/>
      <c r="O153" s="12"/>
      <c r="P153" s="16">
        <f t="shared" si="12"/>
        <v>1.0958904109589009</v>
      </c>
    </row>
    <row r="154" spans="1:16" ht="14.5">
      <c r="A154" s="142">
        <f t="shared" si="15"/>
        <v>153</v>
      </c>
      <c r="B154" s="142" t="str">
        <f>VLOOKUP(D154,Task!$B:$E,4,0)</f>
        <v>Report</v>
      </c>
      <c r="C154" s="150">
        <v>45705</v>
      </c>
      <c r="D154" s="7" t="s">
        <v>43</v>
      </c>
      <c r="E154" s="7">
        <v>1</v>
      </c>
      <c r="F154" s="8">
        <v>3.4722222222222224E-2</v>
      </c>
      <c r="G154" s="9">
        <v>3.4722222222222224E-2</v>
      </c>
      <c r="H154" s="10">
        <v>0.38728009259259266</v>
      </c>
      <c r="I154" s="10">
        <v>0.41924768518518518</v>
      </c>
      <c r="J154" s="57">
        <f t="shared" si="13"/>
        <v>3.196759259259252E-2</v>
      </c>
      <c r="K154" s="129">
        <f t="shared" si="14"/>
        <v>0.42200231481481487</v>
      </c>
      <c r="L154" s="8"/>
      <c r="M154" s="8"/>
      <c r="N154" s="8"/>
      <c r="O154" s="12"/>
      <c r="P154" s="16">
        <f t="shared" si="12"/>
        <v>1.0861694424330222</v>
      </c>
    </row>
    <row r="155" spans="1:16" ht="14.5">
      <c r="A155" s="142">
        <f t="shared" si="15"/>
        <v>154</v>
      </c>
      <c r="B155" s="142" t="str">
        <f>VLOOKUP(D155,Task!$B:$E,4,0)</f>
        <v>Task</v>
      </c>
      <c r="C155" s="150">
        <v>45705</v>
      </c>
      <c r="D155" s="7" t="s">
        <v>16</v>
      </c>
      <c r="E155" s="7">
        <v>7</v>
      </c>
      <c r="F155" s="8">
        <v>5.5555555555555558E-3</v>
      </c>
      <c r="G155" s="9">
        <v>3.888888888888889E-2</v>
      </c>
      <c r="H155" s="10">
        <v>0.41924768518518518</v>
      </c>
      <c r="I155" s="10">
        <v>0.46047453703703711</v>
      </c>
      <c r="J155" s="57">
        <f t="shared" si="13"/>
        <v>3.4826388888888893E-2</v>
      </c>
      <c r="K155" s="129">
        <f t="shared" si="14"/>
        <v>0.46453703703703708</v>
      </c>
      <c r="L155" s="8"/>
      <c r="M155" s="8"/>
      <c r="N155" s="8">
        <v>6.4004629629630383E-3</v>
      </c>
      <c r="O155" s="18"/>
      <c r="P155" s="16">
        <f t="shared" si="12"/>
        <v>1.1166500498504486</v>
      </c>
    </row>
    <row r="156" spans="1:16" ht="14.5">
      <c r="A156" s="142">
        <f t="shared" si="15"/>
        <v>155</v>
      </c>
      <c r="B156" s="142" t="str">
        <f>VLOOKUP(D156,Task!$B:$E,4,0)</f>
        <v>Report</v>
      </c>
      <c r="C156" s="150">
        <v>45705</v>
      </c>
      <c r="D156" s="7" t="s">
        <v>42</v>
      </c>
      <c r="E156" s="7">
        <v>1</v>
      </c>
      <c r="F156" s="8">
        <v>6.9444444444444441E-3</v>
      </c>
      <c r="G156" s="9">
        <v>6.9444444444444441E-3</v>
      </c>
      <c r="H156" s="10">
        <v>0.42863425925925924</v>
      </c>
      <c r="I156" s="10">
        <v>0.43503472222222228</v>
      </c>
      <c r="J156" s="57">
        <f t="shared" si="13"/>
        <v>6.4004629629630383E-3</v>
      </c>
      <c r="K156" s="129">
        <f t="shared" si="14"/>
        <v>0.43557870370370366</v>
      </c>
      <c r="L156" s="8"/>
      <c r="M156" s="8"/>
      <c r="N156" s="8"/>
      <c r="O156" s="12"/>
      <c r="P156" s="16">
        <f t="shared" si="12"/>
        <v>1.084990958408667</v>
      </c>
    </row>
    <row r="157" spans="1:16" ht="14.5">
      <c r="A157" s="142">
        <f t="shared" si="15"/>
        <v>156</v>
      </c>
      <c r="B157" s="142" t="str">
        <f>VLOOKUP(D157,Task!$B:$E,4,0)</f>
        <v>Task</v>
      </c>
      <c r="C157" s="150">
        <v>45705</v>
      </c>
      <c r="D157" s="7" t="s">
        <v>46</v>
      </c>
      <c r="E157" s="7">
        <v>26</v>
      </c>
      <c r="F157" s="8">
        <v>3.472222222222222E-3</v>
      </c>
      <c r="G157" s="9">
        <v>9.0277777777777776E-2</v>
      </c>
      <c r="H157" s="10">
        <v>0.46096064814814819</v>
      </c>
      <c r="I157" s="10">
        <v>0.57429398148148147</v>
      </c>
      <c r="J157" s="57">
        <f t="shared" si="13"/>
        <v>8.4803240740740693E-2</v>
      </c>
      <c r="K157" s="129">
        <f t="shared" si="14"/>
        <v>0.57976851851851863</v>
      </c>
      <c r="L157" s="8"/>
      <c r="M157" s="8"/>
      <c r="N157" s="8">
        <v>2.8530092592592593E-2</v>
      </c>
      <c r="O157" s="18" t="s">
        <v>73</v>
      </c>
      <c r="P157" s="16">
        <f t="shared" si="12"/>
        <v>1.0645557526955103</v>
      </c>
    </row>
    <row r="158" spans="1:16" ht="14.5">
      <c r="A158" s="142">
        <f t="shared" si="15"/>
        <v>157</v>
      </c>
      <c r="B158" s="142" t="str">
        <f>VLOOKUP(D158,Task!$B:$E,4,0)</f>
        <v>Report</v>
      </c>
      <c r="C158" s="150">
        <v>45705</v>
      </c>
      <c r="D158" s="7" t="s">
        <v>30</v>
      </c>
      <c r="E158" s="7">
        <v>2</v>
      </c>
      <c r="F158" s="8">
        <v>4.8611111111111112E-2</v>
      </c>
      <c r="G158" s="9">
        <v>9.7222222222222224E-2</v>
      </c>
      <c r="H158" s="10">
        <v>0.57429398148148147</v>
      </c>
      <c r="I158" s="10">
        <v>0.69657407407407412</v>
      </c>
      <c r="J158" s="57">
        <f t="shared" si="13"/>
        <v>8.9872685185185236E-2</v>
      </c>
      <c r="K158" s="129">
        <f t="shared" si="14"/>
        <v>0.70392361111111112</v>
      </c>
      <c r="L158" s="8"/>
      <c r="M158" s="8"/>
      <c r="N158" s="8">
        <v>3.2407407407407406E-2</v>
      </c>
      <c r="O158" s="12"/>
      <c r="P158" s="16">
        <f t="shared" si="12"/>
        <v>1.0817772054088854</v>
      </c>
    </row>
    <row r="159" spans="1:16" ht="14.5">
      <c r="A159" s="142">
        <f t="shared" si="15"/>
        <v>158</v>
      </c>
      <c r="B159" s="142" t="str">
        <f>VLOOKUP(D159,Task!$B:$E,4,0)</f>
        <v>Task</v>
      </c>
      <c r="C159" s="150">
        <v>45705</v>
      </c>
      <c r="D159" s="7" t="s">
        <v>16</v>
      </c>
      <c r="E159" s="7">
        <v>14</v>
      </c>
      <c r="F159" s="8">
        <v>5.5555555555555558E-3</v>
      </c>
      <c r="G159" s="9">
        <v>7.7777777777777779E-2</v>
      </c>
      <c r="H159" s="10">
        <v>0.69657407407407412</v>
      </c>
      <c r="I159" s="10">
        <v>0.76736111111111116</v>
      </c>
      <c r="J159" s="57">
        <f t="shared" si="13"/>
        <v>7.0787037037037037E-2</v>
      </c>
      <c r="K159" s="129">
        <f t="shared" si="14"/>
        <v>0.77435185185185196</v>
      </c>
      <c r="L159" s="8"/>
      <c r="M159" s="8"/>
      <c r="N159" s="8"/>
      <c r="O159" s="12"/>
      <c r="P159" s="16">
        <f t="shared" si="12"/>
        <v>1.0987573577501635</v>
      </c>
    </row>
    <row r="160" spans="1:16" ht="14.5">
      <c r="A160" s="142">
        <f t="shared" si="15"/>
        <v>159</v>
      </c>
      <c r="B160" s="142" t="str">
        <f>VLOOKUP(D160,Task!$B:$E,4,0)</f>
        <v>Report</v>
      </c>
      <c r="C160" s="150">
        <v>45706</v>
      </c>
      <c r="D160" s="7" t="s">
        <v>18</v>
      </c>
      <c r="E160" s="7">
        <v>1</v>
      </c>
      <c r="F160" s="8">
        <v>4.8611111111111112E-2</v>
      </c>
      <c r="G160" s="9">
        <v>4.8611111111111112E-2</v>
      </c>
      <c r="H160" s="10">
        <v>0.37642361111111111</v>
      </c>
      <c r="I160" s="10">
        <v>0.44387731481481485</v>
      </c>
      <c r="J160" s="57">
        <f t="shared" si="13"/>
        <v>4.5995370370370409E-2</v>
      </c>
      <c r="K160" s="129">
        <f t="shared" si="14"/>
        <v>0.44649305555555557</v>
      </c>
      <c r="L160" s="8"/>
      <c r="M160" s="8"/>
      <c r="N160" s="8">
        <v>2.1458333333333333E-2</v>
      </c>
      <c r="O160" s="12"/>
      <c r="P160" s="16">
        <f t="shared" si="12"/>
        <v>1.0568696527428276</v>
      </c>
    </row>
    <row r="161" spans="1:16" ht="14.5">
      <c r="A161" s="142">
        <f t="shared" si="15"/>
        <v>160</v>
      </c>
      <c r="B161" s="142" t="str">
        <f>VLOOKUP(D161,Task!$B:$E,4,0)</f>
        <v>Task</v>
      </c>
      <c r="C161" s="150">
        <v>45706</v>
      </c>
      <c r="D161" s="7" t="s">
        <v>46</v>
      </c>
      <c r="E161" s="7">
        <v>15</v>
      </c>
      <c r="F161" s="8">
        <v>3.472222222222222E-3</v>
      </c>
      <c r="G161" s="9">
        <v>5.2083333333333329E-2</v>
      </c>
      <c r="H161" s="10">
        <v>0.44387731481481485</v>
      </c>
      <c r="I161" s="10">
        <v>0.49068287037037039</v>
      </c>
      <c r="J161" s="57">
        <f t="shared" si="13"/>
        <v>4.6805555555555545E-2</v>
      </c>
      <c r="K161" s="129">
        <f t="shared" si="14"/>
        <v>0.49596064814814816</v>
      </c>
      <c r="L161" s="8"/>
      <c r="M161" s="8"/>
      <c r="N161" s="8"/>
      <c r="O161" s="12"/>
      <c r="P161" s="16">
        <f t="shared" si="12"/>
        <v>1.1127596439169141</v>
      </c>
    </row>
    <row r="162" spans="1:16" ht="14.5">
      <c r="A162" s="142">
        <f t="shared" si="15"/>
        <v>161</v>
      </c>
      <c r="B162" s="142" t="str">
        <f>VLOOKUP(D162,Task!$B:$E,4,0)</f>
        <v>Task</v>
      </c>
      <c r="C162" s="150">
        <v>45706</v>
      </c>
      <c r="D162" s="7" t="s">
        <v>28</v>
      </c>
      <c r="E162" s="7">
        <v>10</v>
      </c>
      <c r="F162" s="8">
        <v>1.3888888888888889E-3</v>
      </c>
      <c r="G162" s="9">
        <v>1.388888888888889E-2</v>
      </c>
      <c r="H162" s="10">
        <v>0.49068287037037039</v>
      </c>
      <c r="I162" s="10">
        <v>0.50414351851851846</v>
      </c>
      <c r="J162" s="57">
        <f t="shared" si="13"/>
        <v>1.3460648148148069E-2</v>
      </c>
      <c r="K162" s="129">
        <f t="shared" si="14"/>
        <v>0.50457175925925923</v>
      </c>
      <c r="L162" s="8"/>
      <c r="M162" s="8"/>
      <c r="N162" s="8"/>
      <c r="O162" s="18" t="s">
        <v>74</v>
      </c>
      <c r="P162" s="16">
        <f t="shared" si="12"/>
        <v>1.0318142734307887</v>
      </c>
    </row>
    <row r="163" spans="1:16" ht="14.5">
      <c r="A163" s="142">
        <f t="shared" si="15"/>
        <v>162</v>
      </c>
      <c r="B163" s="142" t="str">
        <f>VLOOKUP(D163,Task!$B:$E,4,0)</f>
        <v>Report</v>
      </c>
      <c r="C163" s="150">
        <v>45706</v>
      </c>
      <c r="D163" s="7" t="s">
        <v>65</v>
      </c>
      <c r="E163" s="7">
        <v>1</v>
      </c>
      <c r="F163" s="8">
        <v>2.0833333333333332E-2</v>
      </c>
      <c r="G163" s="9">
        <v>2.0833333333333332E-2</v>
      </c>
      <c r="H163" s="10">
        <v>0.50414351851851846</v>
      </c>
      <c r="I163" s="10">
        <v>0.52304398148148146</v>
      </c>
      <c r="J163" s="57">
        <f t="shared" si="13"/>
        <v>1.8900462962962994E-2</v>
      </c>
      <c r="K163" s="129">
        <f t="shared" si="14"/>
        <v>0.52497685185185183</v>
      </c>
      <c r="L163" s="8"/>
      <c r="M163" s="8"/>
      <c r="N163" s="8"/>
      <c r="O163" s="18"/>
      <c r="P163" s="16">
        <f t="shared" si="12"/>
        <v>1.1022657685241868</v>
      </c>
    </row>
    <row r="164" spans="1:16" ht="14.5">
      <c r="A164" s="142">
        <f t="shared" si="15"/>
        <v>163</v>
      </c>
      <c r="B164" s="142" t="str">
        <f>VLOOKUP(D164,Task!$B:$E,4,0)</f>
        <v>Task</v>
      </c>
      <c r="C164" s="150">
        <v>45706</v>
      </c>
      <c r="D164" s="7" t="s">
        <v>16</v>
      </c>
      <c r="E164" s="7">
        <v>32</v>
      </c>
      <c r="F164" s="8">
        <v>5.5555555555555558E-3</v>
      </c>
      <c r="G164" s="9">
        <v>0.17777777777777778</v>
      </c>
      <c r="H164" s="10">
        <v>0.52304398148148146</v>
      </c>
      <c r="I164" s="10">
        <v>0.75636535880039446</v>
      </c>
      <c r="J164" s="57">
        <f t="shared" si="13"/>
        <v>0.17614545139298707</v>
      </c>
      <c r="K164" s="129">
        <f t="shared" si="14"/>
        <v>0.75799768518518518</v>
      </c>
      <c r="L164" s="8"/>
      <c r="M164" s="8"/>
      <c r="N164" s="8">
        <v>5.7175925925925929E-2</v>
      </c>
      <c r="O164" s="18"/>
      <c r="P164" s="16">
        <f t="shared" si="12"/>
        <v>1.0092669232834683</v>
      </c>
    </row>
    <row r="165" spans="1:16" ht="14.5">
      <c r="A165" s="142">
        <f t="shared" si="15"/>
        <v>164</v>
      </c>
      <c r="B165" s="142" t="str">
        <f>VLOOKUP(D165,Task!$B:$E,4,0)</f>
        <v>Report</v>
      </c>
      <c r="C165" s="150">
        <v>45707</v>
      </c>
      <c r="D165" s="7" t="s">
        <v>18</v>
      </c>
      <c r="E165" s="7">
        <v>1</v>
      </c>
      <c r="F165" s="8">
        <v>4.8611111111111112E-2</v>
      </c>
      <c r="G165" s="9">
        <v>4.8611111111111112E-2</v>
      </c>
      <c r="H165" s="10">
        <v>0.37186342592592592</v>
      </c>
      <c r="I165" s="10">
        <v>0.4177199074074075</v>
      </c>
      <c r="J165" s="57">
        <f t="shared" si="13"/>
        <v>4.5856481481481581E-2</v>
      </c>
      <c r="K165" s="129">
        <f t="shared" si="14"/>
        <v>0.42047453703703702</v>
      </c>
      <c r="L165" s="8"/>
      <c r="M165" s="8"/>
      <c r="N165" s="8"/>
      <c r="O165" s="18"/>
      <c r="P165" s="16">
        <f t="shared" si="12"/>
        <v>1.0600706713780896</v>
      </c>
    </row>
    <row r="166" spans="1:16" ht="14.5">
      <c r="A166" s="142">
        <f t="shared" si="15"/>
        <v>165</v>
      </c>
      <c r="B166" s="142" t="str">
        <f>VLOOKUP(D166,Task!$B:$E,4,0)</f>
        <v>Report</v>
      </c>
      <c r="C166" s="150">
        <v>45707</v>
      </c>
      <c r="D166" s="7" t="s">
        <v>42</v>
      </c>
      <c r="E166" s="7">
        <v>1</v>
      </c>
      <c r="F166" s="8">
        <v>6.9444444444444441E-3</v>
      </c>
      <c r="G166" s="9">
        <v>6.9444444444444441E-3</v>
      </c>
      <c r="H166" s="10">
        <v>0.4177199074074075</v>
      </c>
      <c r="I166" s="10">
        <v>0.4241435185185185</v>
      </c>
      <c r="J166" s="57">
        <f t="shared" si="13"/>
        <v>6.423611111111005E-3</v>
      </c>
      <c r="K166" s="129">
        <f t="shared" si="14"/>
        <v>0.42466435185185192</v>
      </c>
      <c r="L166" s="8"/>
      <c r="M166" s="8"/>
      <c r="N166" s="8"/>
      <c r="O166" s="12"/>
      <c r="P166" s="16">
        <f t="shared" si="12"/>
        <v>1.0810810810810989</v>
      </c>
    </row>
    <row r="167" spans="1:16" ht="14.5">
      <c r="A167" s="142">
        <f t="shared" si="15"/>
        <v>166</v>
      </c>
      <c r="B167" s="142" t="str">
        <f>VLOOKUP(D167,Task!$B:$E,4,0)</f>
        <v>Report</v>
      </c>
      <c r="C167" s="150">
        <v>45707</v>
      </c>
      <c r="D167" s="7" t="s">
        <v>43</v>
      </c>
      <c r="E167" s="7">
        <v>1</v>
      </c>
      <c r="F167" s="8">
        <v>3.4722222222222224E-2</v>
      </c>
      <c r="G167" s="9">
        <v>3.4722222222222224E-2</v>
      </c>
      <c r="H167" s="10">
        <v>0.4241435185185185</v>
      </c>
      <c r="I167" s="10">
        <v>0.45552083333333337</v>
      </c>
      <c r="J167" s="57">
        <f t="shared" si="13"/>
        <v>3.1377314814814872E-2</v>
      </c>
      <c r="K167" s="129">
        <f t="shared" si="14"/>
        <v>0.45886574074074071</v>
      </c>
      <c r="L167" s="8"/>
      <c r="M167" s="8"/>
      <c r="N167" s="8"/>
      <c r="O167" s="12"/>
      <c r="P167" s="16">
        <f t="shared" si="12"/>
        <v>1.1066027296200645</v>
      </c>
    </row>
    <row r="168" spans="1:16" ht="14.5">
      <c r="A168" s="142">
        <f t="shared" si="15"/>
        <v>167</v>
      </c>
      <c r="B168" s="142" t="str">
        <f>VLOOKUP(D168,Task!$B:$E,4,0)</f>
        <v>Task</v>
      </c>
      <c r="C168" s="150">
        <v>45707</v>
      </c>
      <c r="D168" s="7" t="s">
        <v>19</v>
      </c>
      <c r="E168" s="7">
        <v>2</v>
      </c>
      <c r="F168" s="8">
        <v>2.7777777777777779E-3</v>
      </c>
      <c r="G168" s="9">
        <v>5.5555555555555558E-3</v>
      </c>
      <c r="H168" s="10">
        <v>0.45552083333333337</v>
      </c>
      <c r="I168" s="10">
        <v>0.46068287037037037</v>
      </c>
      <c r="J168" s="57">
        <f t="shared" si="13"/>
        <v>5.1620370370369928E-3</v>
      </c>
      <c r="K168" s="129">
        <f t="shared" si="14"/>
        <v>0.46107638888888891</v>
      </c>
      <c r="L168" s="8"/>
      <c r="M168" s="8"/>
      <c r="N168" s="8"/>
      <c r="O168" s="12"/>
      <c r="P168" s="16">
        <f t="shared" si="12"/>
        <v>1.0762331838565116</v>
      </c>
    </row>
    <row r="169" spans="1:16" ht="14.5">
      <c r="A169" s="142">
        <f t="shared" si="15"/>
        <v>168</v>
      </c>
      <c r="B169" s="142" t="str">
        <f>VLOOKUP(D169,Task!$B:$E,4,0)</f>
        <v>Task</v>
      </c>
      <c r="C169" s="150">
        <v>45707</v>
      </c>
      <c r="D169" s="7" t="s">
        <v>16</v>
      </c>
      <c r="E169" s="7">
        <v>3</v>
      </c>
      <c r="F169" s="8">
        <v>5.5555555555555558E-3</v>
      </c>
      <c r="G169" s="9">
        <v>1.6666666666666666E-2</v>
      </c>
      <c r="H169" s="10">
        <v>0.46068287037037037</v>
      </c>
      <c r="I169" s="10">
        <v>0.47598379629629628</v>
      </c>
      <c r="J169" s="57">
        <f t="shared" si="13"/>
        <v>1.5300925925925912E-2</v>
      </c>
      <c r="K169" s="129">
        <f t="shared" si="14"/>
        <v>0.47734953703703703</v>
      </c>
      <c r="L169" s="8"/>
      <c r="M169" s="8"/>
      <c r="N169" s="8"/>
      <c r="O169" s="12"/>
      <c r="P169" s="16">
        <f t="shared" si="12"/>
        <v>1.0892586989409994</v>
      </c>
    </row>
    <row r="170" spans="1:16" ht="14.5">
      <c r="A170" s="142">
        <f t="shared" si="15"/>
        <v>169</v>
      </c>
      <c r="B170" s="142" t="str">
        <f>VLOOKUP(D170,Task!$B:$E,4,0)</f>
        <v>Task</v>
      </c>
      <c r="C170" s="150">
        <v>45707</v>
      </c>
      <c r="D170" s="7" t="s">
        <v>36</v>
      </c>
      <c r="E170" s="7">
        <v>48</v>
      </c>
      <c r="F170" s="8">
        <v>6.9444444444444447E-4</v>
      </c>
      <c r="G170" s="9">
        <v>3.3333333333333333E-2</v>
      </c>
      <c r="H170" s="10">
        <v>0.47598379629629628</v>
      </c>
      <c r="I170" s="10">
        <v>0.5075115740740741</v>
      </c>
      <c r="J170" s="57">
        <f t="shared" si="13"/>
        <v>3.1527777777777821E-2</v>
      </c>
      <c r="K170" s="129">
        <f t="shared" si="14"/>
        <v>0.50931712962962961</v>
      </c>
      <c r="L170" s="8"/>
      <c r="M170" s="8"/>
      <c r="N170" s="8"/>
      <c r="O170" s="18"/>
      <c r="P170" s="16">
        <f t="shared" si="12"/>
        <v>1.0572687224669588</v>
      </c>
    </row>
    <row r="171" spans="1:16" ht="14.5">
      <c r="A171" s="142">
        <f t="shared" si="15"/>
        <v>170</v>
      </c>
      <c r="B171" s="142" t="str">
        <f>VLOOKUP(D171,Task!$B:$E,4,0)</f>
        <v>Task</v>
      </c>
      <c r="C171" s="150">
        <v>45707</v>
      </c>
      <c r="D171" s="7" t="s">
        <v>38</v>
      </c>
      <c r="E171" s="7">
        <v>8</v>
      </c>
      <c r="F171" s="8">
        <v>2.7777777777777779E-3</v>
      </c>
      <c r="G171" s="9">
        <v>2.2222222222222223E-2</v>
      </c>
      <c r="H171" s="10">
        <v>0.55486111111111114</v>
      </c>
      <c r="I171" s="10">
        <v>0.58163194444444444</v>
      </c>
      <c r="J171" s="57">
        <f t="shared" si="13"/>
        <v>2.1712962962962927E-2</v>
      </c>
      <c r="K171" s="129">
        <f t="shared" si="14"/>
        <v>0.58214120370370381</v>
      </c>
      <c r="L171" s="8"/>
      <c r="M171" s="8"/>
      <c r="N171" s="8">
        <v>5.0578703703703706E-3</v>
      </c>
      <c r="O171" s="12"/>
      <c r="P171" s="16">
        <f t="shared" si="12"/>
        <v>1.0234541577825178</v>
      </c>
    </row>
    <row r="172" spans="1:16" ht="14.5">
      <c r="A172" s="142">
        <f t="shared" si="15"/>
        <v>171</v>
      </c>
      <c r="B172" s="142" t="str">
        <f>VLOOKUP(D172,Task!$B:$E,4,0)</f>
        <v>Task</v>
      </c>
      <c r="C172" s="150">
        <v>45707</v>
      </c>
      <c r="D172" s="7" t="s">
        <v>16</v>
      </c>
      <c r="E172" s="7">
        <v>5</v>
      </c>
      <c r="F172" s="8">
        <v>5.5555555555555558E-3</v>
      </c>
      <c r="G172" s="9">
        <v>2.777777777777778E-2</v>
      </c>
      <c r="H172" s="10">
        <v>0.68841435185185185</v>
      </c>
      <c r="I172" s="10">
        <v>0.71400462962962963</v>
      </c>
      <c r="J172" s="57">
        <f t="shared" si="13"/>
        <v>2.5590277777777781E-2</v>
      </c>
      <c r="K172" s="129">
        <f t="shared" si="14"/>
        <v>0.71619212962962964</v>
      </c>
      <c r="L172" s="8"/>
      <c r="M172" s="8"/>
      <c r="N172" s="8"/>
      <c r="O172" s="12"/>
      <c r="P172" s="16">
        <f t="shared" si="12"/>
        <v>1.0854816824966078</v>
      </c>
    </row>
    <row r="173" spans="1:16" ht="14.5">
      <c r="A173" s="142">
        <f t="shared" si="15"/>
        <v>172</v>
      </c>
      <c r="B173" s="142" t="str">
        <f>VLOOKUP(D173,Task!$B:$E,4,0)</f>
        <v>Report</v>
      </c>
      <c r="C173" s="150">
        <v>45708</v>
      </c>
      <c r="D173" s="7" t="s">
        <v>18</v>
      </c>
      <c r="E173" s="7">
        <v>1</v>
      </c>
      <c r="F173" s="8">
        <v>4.8611111111111112E-2</v>
      </c>
      <c r="G173" s="9">
        <v>4.8611111111111112E-2</v>
      </c>
      <c r="H173" s="10">
        <v>0.3759837962962963</v>
      </c>
      <c r="I173" s="10">
        <v>0.42578703703703702</v>
      </c>
      <c r="J173" s="57">
        <f t="shared" si="13"/>
        <v>4.4571759259259235E-2</v>
      </c>
      <c r="K173" s="129">
        <f t="shared" si="14"/>
        <v>0.42982638888888891</v>
      </c>
      <c r="L173" s="8"/>
      <c r="M173" s="8"/>
      <c r="N173" s="8">
        <v>5.2314814814814811E-3</v>
      </c>
      <c r="O173" s="12"/>
      <c r="P173" s="16">
        <f t="shared" si="12"/>
        <v>1.0906258114775389</v>
      </c>
    </row>
    <row r="174" spans="1:16" ht="14.5">
      <c r="A174" s="142">
        <f t="shared" si="15"/>
        <v>173</v>
      </c>
      <c r="B174" s="142" t="str">
        <f>VLOOKUP(D174,Task!$B:$E,4,0)</f>
        <v>Task</v>
      </c>
      <c r="C174" s="150">
        <v>45708</v>
      </c>
      <c r="D174" s="7" t="s">
        <v>16</v>
      </c>
      <c r="E174" s="7">
        <v>8</v>
      </c>
      <c r="F174" s="8">
        <v>5.5555555555555558E-3</v>
      </c>
      <c r="G174" s="9">
        <v>4.4444444444444446E-2</v>
      </c>
      <c r="H174" s="10">
        <v>0.42578703703703702</v>
      </c>
      <c r="I174" s="10">
        <v>0.4674652777777778</v>
      </c>
      <c r="J174" s="57">
        <f t="shared" si="13"/>
        <v>4.167824074074078E-2</v>
      </c>
      <c r="K174" s="129">
        <f t="shared" si="14"/>
        <v>0.47023148148148147</v>
      </c>
      <c r="L174" s="8"/>
      <c r="M174" s="8"/>
      <c r="N174" s="8"/>
      <c r="O174" s="12"/>
      <c r="P174" s="16">
        <f t="shared" si="12"/>
        <v>1.0663704526520401</v>
      </c>
    </row>
    <row r="175" spans="1:16" ht="14.5">
      <c r="A175" s="142">
        <f t="shared" si="15"/>
        <v>174</v>
      </c>
      <c r="B175" s="142" t="str">
        <f>VLOOKUP(D175,Task!$B:$E,4,0)</f>
        <v>Task</v>
      </c>
      <c r="C175" s="150">
        <v>45708</v>
      </c>
      <c r="D175" s="7" t="s">
        <v>27</v>
      </c>
      <c r="E175" s="7">
        <v>16</v>
      </c>
      <c r="F175" s="8">
        <v>1.3888888888888889E-3</v>
      </c>
      <c r="G175" s="9">
        <v>2.2222222222222223E-2</v>
      </c>
      <c r="H175" s="10">
        <v>0.4674652777777778</v>
      </c>
      <c r="I175" s="10">
        <v>0.49648148148148147</v>
      </c>
      <c r="J175" s="57">
        <f t="shared" si="13"/>
        <v>2.1099537037037E-2</v>
      </c>
      <c r="K175" s="129">
        <f t="shared" si="14"/>
        <v>0.49760416666666668</v>
      </c>
      <c r="L175" s="8"/>
      <c r="M175" s="8"/>
      <c r="N175" s="8">
        <v>7.9166666666666673E-3</v>
      </c>
      <c r="O175" s="18" t="s">
        <v>75</v>
      </c>
      <c r="P175" s="16">
        <f t="shared" si="12"/>
        <v>1.0532089961601774</v>
      </c>
    </row>
    <row r="176" spans="1:16" ht="14.5">
      <c r="A176" s="142">
        <f t="shared" si="15"/>
        <v>175</v>
      </c>
      <c r="B176" s="142" t="str">
        <f>VLOOKUP(D176,Task!$B:$E,4,0)</f>
        <v>Task</v>
      </c>
      <c r="C176" s="150">
        <v>45708</v>
      </c>
      <c r="D176" s="7" t="s">
        <v>19</v>
      </c>
      <c r="E176" s="7">
        <v>13</v>
      </c>
      <c r="F176" s="8">
        <v>2.7777777777777779E-3</v>
      </c>
      <c r="G176" s="9">
        <v>3.6111111111111115E-2</v>
      </c>
      <c r="H176" s="10">
        <v>0.49648148148148147</v>
      </c>
      <c r="I176" s="10">
        <v>0.53017361111111116</v>
      </c>
      <c r="J176" s="57">
        <f t="shared" si="13"/>
        <v>3.3692129629629697E-2</v>
      </c>
      <c r="K176" s="129">
        <f t="shared" si="14"/>
        <v>0.53259259259259262</v>
      </c>
      <c r="L176" s="8"/>
      <c r="M176" s="8"/>
      <c r="N176" s="8"/>
      <c r="O176" s="12"/>
      <c r="P176" s="16">
        <f t="shared" si="12"/>
        <v>1.0717966334592903</v>
      </c>
    </row>
    <row r="177" spans="1:16" ht="14.5">
      <c r="A177" s="142">
        <f t="shared" si="15"/>
        <v>176</v>
      </c>
      <c r="B177" s="142" t="str">
        <f>VLOOKUP(D177,Task!$B:$E,4,0)</f>
        <v>Task</v>
      </c>
      <c r="C177" s="150">
        <v>45708</v>
      </c>
      <c r="D177" s="7" t="s">
        <v>36</v>
      </c>
      <c r="E177" s="7">
        <v>20</v>
      </c>
      <c r="F177" s="8">
        <v>6.9444444444444447E-4</v>
      </c>
      <c r="G177" s="9">
        <v>1.388888888888889E-2</v>
      </c>
      <c r="H177" s="10">
        <v>0.53017361111111116</v>
      </c>
      <c r="I177" s="10">
        <v>0.56821759259259264</v>
      </c>
      <c r="J177" s="57">
        <f t="shared" si="13"/>
        <v>1.2662037037037027E-2</v>
      </c>
      <c r="K177" s="129">
        <f t="shared" si="14"/>
        <v>0.56944444444444442</v>
      </c>
      <c r="L177" s="8"/>
      <c r="M177" s="8"/>
      <c r="N177" s="8">
        <v>2.5381944444444443E-2</v>
      </c>
      <c r="O177" s="12"/>
      <c r="P177" s="16">
        <f t="shared" si="12"/>
        <v>1.096892138939672</v>
      </c>
    </row>
    <row r="178" spans="1:16" ht="14.5">
      <c r="A178" s="142">
        <f t="shared" si="15"/>
        <v>177</v>
      </c>
      <c r="B178" s="142" t="str">
        <f>VLOOKUP(D178,Task!$B:$E,4,0)</f>
        <v>Task</v>
      </c>
      <c r="C178" s="150">
        <v>45708</v>
      </c>
      <c r="D178" s="7" t="s">
        <v>16</v>
      </c>
      <c r="E178" s="7">
        <v>16</v>
      </c>
      <c r="F178" s="8">
        <v>5.5555555555555558E-3</v>
      </c>
      <c r="G178" s="9">
        <v>8.8888888888888892E-2</v>
      </c>
      <c r="H178" s="10">
        <v>0.56821759259259264</v>
      </c>
      <c r="I178" s="10">
        <v>0.68251157407407403</v>
      </c>
      <c r="J178" s="57">
        <f t="shared" si="13"/>
        <v>8.2916666666666583E-2</v>
      </c>
      <c r="K178" s="129">
        <f t="shared" si="14"/>
        <v>0.68848379629629641</v>
      </c>
      <c r="L178" s="8"/>
      <c r="M178" s="8"/>
      <c r="N178" s="8">
        <v>3.1377314814814816E-2</v>
      </c>
      <c r="O178" s="12"/>
      <c r="P178" s="16">
        <f t="shared" si="12"/>
        <v>1.0720268006700178</v>
      </c>
    </row>
    <row r="179" spans="1:16" ht="14.5">
      <c r="A179" s="142">
        <f t="shared" si="15"/>
        <v>178</v>
      </c>
      <c r="B179" s="142" t="str">
        <f>VLOOKUP(D179,Task!$B:$E,4,0)</f>
        <v>Report</v>
      </c>
      <c r="C179" s="150">
        <v>45709</v>
      </c>
      <c r="D179" s="7" t="s">
        <v>18</v>
      </c>
      <c r="E179" s="7">
        <v>1</v>
      </c>
      <c r="F179" s="8">
        <v>4.8611111111111112E-2</v>
      </c>
      <c r="G179" s="9">
        <v>4.8611111111111112E-2</v>
      </c>
      <c r="H179" s="10">
        <v>0.33649305555555564</v>
      </c>
      <c r="I179" s="10">
        <v>0.40445601851851853</v>
      </c>
      <c r="J179" s="57">
        <f t="shared" si="13"/>
        <v>4.4675925925925855E-2</v>
      </c>
      <c r="K179" s="129">
        <f t="shared" si="14"/>
        <v>0.4083912037037038</v>
      </c>
      <c r="L179" s="8"/>
      <c r="M179" s="8"/>
      <c r="N179" s="8">
        <v>2.3287037037037037E-2</v>
      </c>
      <c r="O179" s="12"/>
      <c r="P179" s="16">
        <f t="shared" si="12"/>
        <v>1.0880829015544058</v>
      </c>
    </row>
    <row r="180" spans="1:16" ht="14.5">
      <c r="A180" s="142">
        <f t="shared" si="15"/>
        <v>179</v>
      </c>
      <c r="B180" s="142" t="str">
        <f>VLOOKUP(D180,Task!$B:$E,4,0)</f>
        <v>Task</v>
      </c>
      <c r="C180" s="150">
        <v>45709</v>
      </c>
      <c r="D180" s="7" t="s">
        <v>20</v>
      </c>
      <c r="E180" s="7">
        <v>2</v>
      </c>
      <c r="F180" s="8">
        <v>2.0833333333333333E-3</v>
      </c>
      <c r="G180" s="9">
        <v>4.1666666666666666E-3</v>
      </c>
      <c r="H180" s="10">
        <v>0.40445601851851853</v>
      </c>
      <c r="I180" s="10">
        <v>0.40818287037037038</v>
      </c>
      <c r="J180" s="57">
        <f t="shared" si="13"/>
        <v>3.7268518518518423E-3</v>
      </c>
      <c r="K180" s="129">
        <f t="shared" si="14"/>
        <v>0.40862268518518519</v>
      </c>
      <c r="L180" s="8"/>
      <c r="M180" s="8"/>
      <c r="N180" s="8"/>
      <c r="O180" s="18" t="s">
        <v>76</v>
      </c>
      <c r="P180" s="16">
        <f t="shared" si="12"/>
        <v>1.1180124223602512</v>
      </c>
    </row>
    <row r="181" spans="1:16" ht="14.5">
      <c r="A181" s="142">
        <f t="shared" si="15"/>
        <v>180</v>
      </c>
      <c r="B181" s="142" t="str">
        <f>VLOOKUP(D181,Task!$B:$E,4,0)</f>
        <v>Task</v>
      </c>
      <c r="C181" s="150">
        <v>45709</v>
      </c>
      <c r="D181" s="7" t="s">
        <v>16</v>
      </c>
      <c r="E181" s="7">
        <v>27</v>
      </c>
      <c r="F181" s="8">
        <v>5.5555555555555558E-3</v>
      </c>
      <c r="G181" s="9">
        <v>0.15</v>
      </c>
      <c r="H181" s="10">
        <v>0.40818287037037038</v>
      </c>
      <c r="I181" s="10">
        <v>0.55581018518518521</v>
      </c>
      <c r="J181" s="57">
        <f t="shared" si="13"/>
        <v>0.13802083333333334</v>
      </c>
      <c r="K181" s="129">
        <f t="shared" si="14"/>
        <v>0.56778935185185186</v>
      </c>
      <c r="L181" s="8"/>
      <c r="M181" s="8"/>
      <c r="N181" s="8">
        <v>9.6064814814814815E-3</v>
      </c>
      <c r="O181" s="18"/>
      <c r="P181" s="16">
        <f t="shared" si="12"/>
        <v>1.0867924528301887</v>
      </c>
    </row>
    <row r="182" spans="1:16" ht="14.5">
      <c r="A182" s="142">
        <f t="shared" si="15"/>
        <v>181</v>
      </c>
      <c r="B182" s="142" t="str">
        <f>VLOOKUP(D182,Task!$B:$E,4,0)</f>
        <v>Task</v>
      </c>
      <c r="C182" s="150">
        <v>45709</v>
      </c>
      <c r="D182" s="7" t="s">
        <v>16</v>
      </c>
      <c r="E182" s="7">
        <v>25</v>
      </c>
      <c r="F182" s="8">
        <v>5.5555555555555558E-3</v>
      </c>
      <c r="G182" s="9">
        <v>0.1388888888888889</v>
      </c>
      <c r="H182" s="10">
        <v>0.55581018518518521</v>
      </c>
      <c r="I182" s="10">
        <v>0.71875</v>
      </c>
      <c r="J182" s="57">
        <f t="shared" si="13"/>
        <v>0.12913194444444442</v>
      </c>
      <c r="K182" s="129">
        <f t="shared" si="14"/>
        <v>0.72850694444444453</v>
      </c>
      <c r="L182" s="8"/>
      <c r="M182" s="8"/>
      <c r="N182" s="8">
        <v>3.380787037037037E-2</v>
      </c>
      <c r="O182" s="12"/>
      <c r="P182" s="16">
        <f t="shared" si="12"/>
        <v>1.0755579456843241</v>
      </c>
    </row>
    <row r="183" spans="1:16" ht="14.5">
      <c r="A183" s="142">
        <f t="shared" si="15"/>
        <v>182</v>
      </c>
      <c r="B183" s="142" t="str">
        <f>VLOOKUP(D183,Task!$B:$E,4,0)</f>
        <v>Report</v>
      </c>
      <c r="C183" s="150">
        <v>45712</v>
      </c>
      <c r="D183" s="7" t="s">
        <v>50</v>
      </c>
      <c r="E183" s="7">
        <v>2</v>
      </c>
      <c r="F183" s="8">
        <v>1.0416666666666666E-2</v>
      </c>
      <c r="G183" s="9">
        <v>2.0833333333333332E-2</v>
      </c>
      <c r="H183" s="10">
        <v>0.28918981481481487</v>
      </c>
      <c r="I183" s="10">
        <v>0.30851851851851853</v>
      </c>
      <c r="J183" s="57">
        <f t="shared" si="13"/>
        <v>1.9328703703703654E-2</v>
      </c>
      <c r="K183" s="129">
        <f t="shared" si="14"/>
        <v>0.31002314814814819</v>
      </c>
      <c r="L183" s="8"/>
      <c r="M183" s="8"/>
      <c r="N183" s="8"/>
      <c r="O183" s="12"/>
      <c r="P183" s="16">
        <f t="shared" si="12"/>
        <v>1.0778443113772482</v>
      </c>
    </row>
    <row r="184" spans="1:16" ht="14.5">
      <c r="A184" s="142">
        <f t="shared" si="15"/>
        <v>183</v>
      </c>
      <c r="B184" s="142" t="str">
        <f>VLOOKUP(D184,Task!$B:$E,4,0)</f>
        <v>Report</v>
      </c>
      <c r="C184" s="150">
        <v>45712</v>
      </c>
      <c r="D184" s="7" t="s">
        <v>51</v>
      </c>
      <c r="E184" s="7">
        <v>2</v>
      </c>
      <c r="F184" s="8">
        <v>1.0416666666666666E-2</v>
      </c>
      <c r="G184" s="9">
        <v>2.0833333333333332E-2</v>
      </c>
      <c r="H184" s="10">
        <v>0.30851851851851853</v>
      </c>
      <c r="I184" s="10">
        <v>0.32758101851851851</v>
      </c>
      <c r="J184" s="57">
        <f t="shared" si="13"/>
        <v>1.9062499999999982E-2</v>
      </c>
      <c r="K184" s="129">
        <f t="shared" si="14"/>
        <v>0.32935185185185184</v>
      </c>
      <c r="L184" s="8"/>
      <c r="M184" s="8"/>
      <c r="N184" s="8"/>
      <c r="O184" s="12"/>
      <c r="P184" s="16">
        <f t="shared" si="12"/>
        <v>1.092896174863389</v>
      </c>
    </row>
    <row r="185" spans="1:16" ht="14.5">
      <c r="A185" s="142">
        <f t="shared" si="15"/>
        <v>184</v>
      </c>
      <c r="B185" s="142" t="str">
        <f>VLOOKUP(D185,Task!$B:$E,4,0)</f>
        <v>Report</v>
      </c>
      <c r="C185" s="150">
        <v>45712</v>
      </c>
      <c r="D185" s="7" t="s">
        <v>52</v>
      </c>
      <c r="E185" s="7">
        <v>2</v>
      </c>
      <c r="F185" s="8">
        <v>1.0416666666666666E-2</v>
      </c>
      <c r="G185" s="9">
        <v>2.0833333333333332E-2</v>
      </c>
      <c r="H185" s="10">
        <v>0.32758101851851851</v>
      </c>
      <c r="I185" s="10">
        <v>0.34562500000000007</v>
      </c>
      <c r="J185" s="57">
        <f t="shared" si="13"/>
        <v>1.8043981481481564E-2</v>
      </c>
      <c r="K185" s="129">
        <f t="shared" si="14"/>
        <v>0.34841435185185182</v>
      </c>
      <c r="L185" s="8"/>
      <c r="M185" s="8"/>
      <c r="N185" s="8"/>
      <c r="O185" s="12"/>
      <c r="P185" s="16">
        <f t="shared" si="12"/>
        <v>1.1545862732520793</v>
      </c>
    </row>
    <row r="186" spans="1:16" ht="14.5">
      <c r="A186" s="142">
        <f t="shared" si="15"/>
        <v>185</v>
      </c>
      <c r="B186" s="142" t="str">
        <f>VLOOKUP(D186,Task!$B:$E,4,0)</f>
        <v>Report</v>
      </c>
      <c r="C186" s="150">
        <v>45712</v>
      </c>
      <c r="D186" s="7" t="s">
        <v>53</v>
      </c>
      <c r="E186" s="7">
        <v>2</v>
      </c>
      <c r="F186" s="8">
        <v>1.0416666666666666E-2</v>
      </c>
      <c r="G186" s="9">
        <v>2.0833333333333332E-2</v>
      </c>
      <c r="H186" s="10">
        <v>0.34562500000000007</v>
      </c>
      <c r="I186" s="10">
        <v>0.36460648148148156</v>
      </c>
      <c r="J186" s="57">
        <f t="shared" si="13"/>
        <v>1.8981481481481488E-2</v>
      </c>
      <c r="K186" s="129">
        <f t="shared" si="14"/>
        <v>0.36645833333333339</v>
      </c>
      <c r="L186" s="8"/>
      <c r="M186" s="8"/>
      <c r="N186" s="8"/>
      <c r="O186" s="12"/>
      <c r="P186" s="16">
        <f t="shared" si="12"/>
        <v>1.0975609756097557</v>
      </c>
    </row>
    <row r="187" spans="1:16" ht="14.5">
      <c r="A187" s="142">
        <f t="shared" si="15"/>
        <v>186</v>
      </c>
      <c r="B187" s="142" t="str">
        <f>VLOOKUP(D187,Task!$B:$E,4,0)</f>
        <v>Report</v>
      </c>
      <c r="C187" s="150">
        <v>45712</v>
      </c>
      <c r="D187" s="7" t="s">
        <v>30</v>
      </c>
      <c r="E187" s="7">
        <v>2</v>
      </c>
      <c r="F187" s="8">
        <v>4.8611111111111112E-2</v>
      </c>
      <c r="G187" s="9">
        <v>9.7222222222222224E-2</v>
      </c>
      <c r="H187" s="10">
        <v>0.36460648148148156</v>
      </c>
      <c r="I187" s="10">
        <v>0.47560185185185189</v>
      </c>
      <c r="J187" s="57">
        <f t="shared" si="13"/>
        <v>9.2326388888888847E-2</v>
      </c>
      <c r="K187" s="129">
        <f t="shared" si="14"/>
        <v>0.48049768518518526</v>
      </c>
      <c r="L187" s="8"/>
      <c r="M187" s="8"/>
      <c r="N187" s="8">
        <v>1.8668981481481481E-2</v>
      </c>
      <c r="O187" s="12"/>
      <c r="P187" s="16">
        <f t="shared" si="12"/>
        <v>1.0530274539300495</v>
      </c>
    </row>
    <row r="188" spans="1:16" ht="14.5">
      <c r="A188" s="142">
        <f t="shared" si="15"/>
        <v>187</v>
      </c>
      <c r="B188" s="142" t="str">
        <f>VLOOKUP(D188,Task!$B:$E,4,0)</f>
        <v>Report</v>
      </c>
      <c r="C188" s="150">
        <v>45712</v>
      </c>
      <c r="D188" s="7" t="s">
        <v>42</v>
      </c>
      <c r="E188" s="7">
        <v>1</v>
      </c>
      <c r="F188" s="8">
        <v>6.9444444444444441E-3</v>
      </c>
      <c r="G188" s="9">
        <v>6.9444444444444441E-3</v>
      </c>
      <c r="H188" s="10">
        <v>0.47560185185185189</v>
      </c>
      <c r="I188" s="10">
        <v>0.48214120370370372</v>
      </c>
      <c r="J188" s="57">
        <f t="shared" si="13"/>
        <v>6.5393518518518379E-3</v>
      </c>
      <c r="K188" s="129">
        <f t="shared" si="14"/>
        <v>0.48254629629629631</v>
      </c>
      <c r="L188" s="8"/>
      <c r="M188" s="8"/>
      <c r="N188" s="8"/>
      <c r="O188" s="12"/>
      <c r="P188" s="16">
        <f t="shared" si="12"/>
        <v>1.0619469026548696</v>
      </c>
    </row>
    <row r="189" spans="1:16" ht="14.5">
      <c r="A189" s="142">
        <f t="shared" si="15"/>
        <v>188</v>
      </c>
      <c r="B189" s="142" t="str">
        <f>VLOOKUP(D189,Task!$B:$E,4,0)</f>
        <v>Report</v>
      </c>
      <c r="C189" s="150">
        <v>45712</v>
      </c>
      <c r="D189" s="7" t="s">
        <v>43</v>
      </c>
      <c r="E189" s="7">
        <v>1</v>
      </c>
      <c r="F189" s="8">
        <v>3.4722222222222224E-2</v>
      </c>
      <c r="G189" s="9">
        <v>3.4722222222222224E-2</v>
      </c>
      <c r="H189" s="10">
        <v>0.48214120370370372</v>
      </c>
      <c r="I189" s="10">
        <v>0.51722222222222225</v>
      </c>
      <c r="J189" s="57">
        <f t="shared" si="13"/>
        <v>3.5081018518518525E-2</v>
      </c>
      <c r="K189" s="129">
        <f t="shared" si="14"/>
        <v>0.51686342592592593</v>
      </c>
      <c r="L189" s="8"/>
      <c r="M189" s="8"/>
      <c r="N189" s="8"/>
      <c r="O189" s="12"/>
      <c r="P189" s="16">
        <f t="shared" si="12"/>
        <v>0.98977235235895733</v>
      </c>
    </row>
    <row r="190" spans="1:16" ht="14.5">
      <c r="A190" s="142">
        <f t="shared" si="15"/>
        <v>189</v>
      </c>
      <c r="B190" s="142" t="str">
        <f>VLOOKUP(D190,Task!$B:$E,4,0)</f>
        <v>Task</v>
      </c>
      <c r="C190" s="150">
        <v>45712</v>
      </c>
      <c r="D190" s="7" t="s">
        <v>37</v>
      </c>
      <c r="E190" s="7">
        <v>11</v>
      </c>
      <c r="F190" s="8">
        <v>1.3888888888888889E-3</v>
      </c>
      <c r="G190" s="9">
        <v>1.5277777777777779E-2</v>
      </c>
      <c r="H190" s="10">
        <v>0.51722222222222225</v>
      </c>
      <c r="I190" s="10">
        <v>0.53868055555555561</v>
      </c>
      <c r="J190" s="57">
        <f t="shared" si="13"/>
        <v>1.4444444444444468E-2</v>
      </c>
      <c r="K190" s="129">
        <f t="shared" si="14"/>
        <v>0.53951388888888885</v>
      </c>
      <c r="L190" s="8"/>
      <c r="M190" s="8"/>
      <c r="N190" s="8">
        <v>7.013888888888889E-3</v>
      </c>
      <c r="O190" s="12"/>
      <c r="P190" s="16">
        <f t="shared" si="12"/>
        <v>1.0576923076923062</v>
      </c>
    </row>
    <row r="191" spans="1:16" ht="14.5">
      <c r="A191" s="142">
        <f t="shared" si="15"/>
        <v>190</v>
      </c>
      <c r="B191" s="142" t="str">
        <f>VLOOKUP(D191,Task!$B:$E,4,0)</f>
        <v>Task</v>
      </c>
      <c r="C191" s="150">
        <v>45712</v>
      </c>
      <c r="D191" s="7" t="s">
        <v>16</v>
      </c>
      <c r="E191" s="7">
        <v>12</v>
      </c>
      <c r="F191" s="8">
        <v>5.5555555555555558E-3</v>
      </c>
      <c r="G191" s="9">
        <v>6.6666666666666666E-2</v>
      </c>
      <c r="H191" s="10">
        <v>0.53868055555555561</v>
      </c>
      <c r="I191" s="10">
        <v>0.61481481481481481</v>
      </c>
      <c r="J191" s="57">
        <f t="shared" si="13"/>
        <v>6.5266203703703646E-2</v>
      </c>
      <c r="K191" s="129">
        <f t="shared" si="14"/>
        <v>0.61621527777777785</v>
      </c>
      <c r="L191" s="8"/>
      <c r="M191" s="8"/>
      <c r="N191" s="8">
        <v>1.0868055555555556E-2</v>
      </c>
      <c r="O191" s="18"/>
      <c r="P191" s="16">
        <f t="shared" si="12"/>
        <v>1.0214577052668923</v>
      </c>
    </row>
    <row r="192" spans="1:16" ht="14.5">
      <c r="A192" s="142">
        <f t="shared" si="15"/>
        <v>191</v>
      </c>
      <c r="B192" s="142" t="str">
        <f>VLOOKUP(D192,Task!$B:$E,4,0)</f>
        <v>Task</v>
      </c>
      <c r="C192" s="150">
        <v>45712</v>
      </c>
      <c r="D192" s="7" t="s">
        <v>16</v>
      </c>
      <c r="E192" s="7">
        <v>8</v>
      </c>
      <c r="F192" s="8">
        <v>5.5555555555555558E-3</v>
      </c>
      <c r="G192" s="9">
        <v>4.4444444444444446E-2</v>
      </c>
      <c r="H192" s="10">
        <v>0.61481481481481481</v>
      </c>
      <c r="I192" s="10">
        <v>0.67352038194076158</v>
      </c>
      <c r="J192" s="57">
        <f t="shared" si="13"/>
        <v>3.8913900459280101E-2</v>
      </c>
      <c r="K192" s="129">
        <f t="shared" si="14"/>
        <v>0.67905092592592586</v>
      </c>
      <c r="L192" s="8"/>
      <c r="M192" s="8"/>
      <c r="N192" s="8">
        <v>1.9791666666666666E-2</v>
      </c>
      <c r="O192" s="12"/>
      <c r="P192" s="16">
        <f t="shared" si="12"/>
        <v>1.1421225813884055</v>
      </c>
    </row>
    <row r="193" spans="1:16" ht="14.5">
      <c r="A193" s="142">
        <f t="shared" si="15"/>
        <v>192</v>
      </c>
      <c r="B193" s="142" t="str">
        <f>VLOOKUP(D193,Task!$B:$E,4,0)</f>
        <v>Task</v>
      </c>
      <c r="C193" s="150">
        <v>45713</v>
      </c>
      <c r="D193" s="7" t="s">
        <v>16</v>
      </c>
      <c r="E193" s="7">
        <v>23</v>
      </c>
      <c r="F193" s="8">
        <v>5.5555555555555558E-3</v>
      </c>
      <c r="G193" s="9">
        <v>0.1277777777777778</v>
      </c>
      <c r="H193" s="10">
        <v>0.37746527777777783</v>
      </c>
      <c r="I193" s="10">
        <v>0.5204050925925926</v>
      </c>
      <c r="J193" s="57">
        <f t="shared" si="13"/>
        <v>0.11776620370370366</v>
      </c>
      <c r="K193" s="129">
        <f t="shared" si="14"/>
        <v>0.53041666666666676</v>
      </c>
      <c r="L193" s="8"/>
      <c r="M193" s="8"/>
      <c r="N193" s="8">
        <v>2.5173611111111112E-2</v>
      </c>
      <c r="O193" s="12"/>
      <c r="P193" s="16">
        <f t="shared" si="12"/>
        <v>1.0850122850122854</v>
      </c>
    </row>
    <row r="194" spans="1:16" ht="14.5">
      <c r="A194" s="142">
        <f t="shared" si="15"/>
        <v>193</v>
      </c>
      <c r="B194" s="142" t="str">
        <f>VLOOKUP(D194,Task!$B:$E,4,0)</f>
        <v>Report</v>
      </c>
      <c r="C194" s="150">
        <v>45713</v>
      </c>
      <c r="D194" s="7" t="s">
        <v>18</v>
      </c>
      <c r="E194" s="7">
        <v>2</v>
      </c>
      <c r="F194" s="8">
        <v>4.8611111111111112E-2</v>
      </c>
      <c r="G194" s="9">
        <v>9.7222222222222224E-2</v>
      </c>
      <c r="H194" s="10">
        <v>0.5204050925925926</v>
      </c>
      <c r="I194" s="10">
        <v>0.64869212962962963</v>
      </c>
      <c r="J194" s="57">
        <f t="shared" si="13"/>
        <v>8.8368055555555547E-2</v>
      </c>
      <c r="K194" s="129">
        <f t="shared" si="14"/>
        <v>0.65754629629629624</v>
      </c>
      <c r="L194" s="8"/>
      <c r="M194" s="8"/>
      <c r="N194" s="8">
        <v>3.9918981481481479E-2</v>
      </c>
      <c r="O194" s="12"/>
      <c r="P194" s="16">
        <f t="shared" ref="P194:P257" si="16">IFERROR(G194/J194," ")</f>
        <v>1.1001964636542241</v>
      </c>
    </row>
    <row r="195" spans="1:16" ht="14.5">
      <c r="A195" s="142">
        <f t="shared" si="15"/>
        <v>194</v>
      </c>
      <c r="B195" s="142" t="str">
        <f>VLOOKUP(D195,Task!$B:$E,4,0)</f>
        <v>Task</v>
      </c>
      <c r="C195" s="150">
        <v>45713</v>
      </c>
      <c r="D195" s="7" t="s">
        <v>36</v>
      </c>
      <c r="E195" s="7">
        <v>19</v>
      </c>
      <c r="F195" s="8">
        <v>6.9444444444444447E-4</v>
      </c>
      <c r="G195" s="9">
        <v>1.3194444444444444E-2</v>
      </c>
      <c r="H195" s="10">
        <v>0.64869212962962963</v>
      </c>
      <c r="I195" s="10">
        <v>0.66085648148148146</v>
      </c>
      <c r="J195" s="57">
        <f t="shared" ref="J195:J258" si="17">IF(I195="","", IF(N195=" ",IF(OR(H195=0,I195=0),"",I195-H195),((I195-H195)-N195)))</f>
        <v>1.2164351851851829E-2</v>
      </c>
      <c r="K195" s="129">
        <f t="shared" ref="K195:K258" si="18">IFERROR(IF(N195=" ",(H195+G195),(H195+G195+N195)),"")</f>
        <v>0.66188657407407403</v>
      </c>
      <c r="L195" s="8"/>
      <c r="M195" s="8"/>
      <c r="N195" s="8"/>
      <c r="O195" s="12"/>
      <c r="P195" s="16">
        <f t="shared" si="16"/>
        <v>1.0846812559467194</v>
      </c>
    </row>
    <row r="196" spans="1:16" ht="14.5">
      <c r="A196" s="142">
        <f t="shared" ref="A196:A259" si="19">A195+1</f>
        <v>195</v>
      </c>
      <c r="B196" s="142" t="str">
        <f>VLOOKUP(D196,Task!$B:$E,4,0)</f>
        <v>Task</v>
      </c>
      <c r="C196" s="150">
        <v>45713</v>
      </c>
      <c r="D196" s="7" t="s">
        <v>19</v>
      </c>
      <c r="E196" s="7">
        <v>10</v>
      </c>
      <c r="F196" s="8">
        <v>2.7777777777777779E-3</v>
      </c>
      <c r="G196" s="9">
        <v>2.777777777777778E-2</v>
      </c>
      <c r="H196" s="10">
        <v>0.66085648148148146</v>
      </c>
      <c r="I196" s="10">
        <v>0.68700231481481477</v>
      </c>
      <c r="J196" s="57">
        <f t="shared" si="17"/>
        <v>2.6145833333333313E-2</v>
      </c>
      <c r="K196" s="129">
        <f t="shared" si="18"/>
        <v>0.68863425925925925</v>
      </c>
      <c r="L196" s="8"/>
      <c r="M196" s="8"/>
      <c r="N196" s="8"/>
      <c r="O196" s="12"/>
      <c r="P196" s="16">
        <f t="shared" si="16"/>
        <v>1.0624169986719796</v>
      </c>
    </row>
    <row r="197" spans="1:16" ht="14.5">
      <c r="A197" s="142">
        <f t="shared" si="19"/>
        <v>196</v>
      </c>
      <c r="B197" s="142" t="str">
        <f>VLOOKUP(D197,Task!$B:$E,4,0)</f>
        <v>Task</v>
      </c>
      <c r="C197" s="150">
        <v>45713</v>
      </c>
      <c r="D197" s="7" t="s">
        <v>37</v>
      </c>
      <c r="E197" s="7">
        <v>55</v>
      </c>
      <c r="F197" s="8">
        <v>1.3888888888888889E-3</v>
      </c>
      <c r="G197" s="9">
        <v>7.6388888888888895E-2</v>
      </c>
      <c r="H197" s="10">
        <v>0.68700231481481477</v>
      </c>
      <c r="I197" s="10">
        <v>0.76041666666666663</v>
      </c>
      <c r="J197" s="57">
        <f t="shared" si="17"/>
        <v>7.3414351851851856E-2</v>
      </c>
      <c r="K197" s="129">
        <f t="shared" si="18"/>
        <v>0.76339120370370361</v>
      </c>
      <c r="L197" s="8"/>
      <c r="M197" s="8"/>
      <c r="N197" s="8"/>
      <c r="O197" s="12"/>
      <c r="P197" s="16">
        <f t="shared" si="16"/>
        <v>1.0405171054705975</v>
      </c>
    </row>
    <row r="198" spans="1:16" ht="14.5">
      <c r="A198" s="142">
        <f t="shared" si="19"/>
        <v>197</v>
      </c>
      <c r="B198" s="142" t="str">
        <f>VLOOKUP(D198,Task!$B:$E,4,0)</f>
        <v>Report</v>
      </c>
      <c r="C198" s="150">
        <v>45714</v>
      </c>
      <c r="D198" s="7" t="s">
        <v>18</v>
      </c>
      <c r="E198" s="7">
        <v>2</v>
      </c>
      <c r="F198" s="8">
        <v>4.8611111111111112E-2</v>
      </c>
      <c r="G198" s="9">
        <v>9.7222222222222224E-2</v>
      </c>
      <c r="H198" s="10">
        <v>0.38273148148148151</v>
      </c>
      <c r="I198" s="10">
        <v>0.48633101851851851</v>
      </c>
      <c r="J198" s="57">
        <f t="shared" si="17"/>
        <v>8.8217592592592556E-2</v>
      </c>
      <c r="K198" s="129">
        <f t="shared" si="18"/>
        <v>0.49533564814814818</v>
      </c>
      <c r="L198" s="8"/>
      <c r="M198" s="8"/>
      <c r="N198" s="8">
        <v>1.5381944444444445E-2</v>
      </c>
      <c r="O198" s="12"/>
      <c r="P198" s="16">
        <f t="shared" si="16"/>
        <v>1.1020729467331414</v>
      </c>
    </row>
    <row r="199" spans="1:16" ht="14.5">
      <c r="A199" s="142">
        <f t="shared" si="19"/>
        <v>198</v>
      </c>
      <c r="B199" s="142" t="str">
        <f>VLOOKUP(D199,Task!$B:$E,4,0)</f>
        <v>Task</v>
      </c>
      <c r="C199" s="150">
        <v>45714</v>
      </c>
      <c r="D199" s="7" t="s">
        <v>37</v>
      </c>
      <c r="E199" s="7">
        <v>122</v>
      </c>
      <c r="F199" s="8">
        <v>1.3888888888888889E-3</v>
      </c>
      <c r="G199" s="9">
        <v>0.16944444444444445</v>
      </c>
      <c r="H199" s="10">
        <v>0.48633101851851851</v>
      </c>
      <c r="I199" s="10">
        <v>0.70776620370370369</v>
      </c>
      <c r="J199" s="57">
        <f t="shared" si="17"/>
        <v>0.1582175925925926</v>
      </c>
      <c r="K199" s="129">
        <f t="shared" si="18"/>
        <v>0.71899305555555559</v>
      </c>
      <c r="L199" s="8"/>
      <c r="M199" s="8"/>
      <c r="N199" s="8">
        <v>6.3217592592592589E-2</v>
      </c>
      <c r="O199" s="12"/>
      <c r="P199" s="16">
        <f t="shared" si="16"/>
        <v>1.0709583028529626</v>
      </c>
    </row>
    <row r="200" spans="1:16" ht="14.5">
      <c r="A200" s="142">
        <f t="shared" si="19"/>
        <v>199</v>
      </c>
      <c r="B200" s="142" t="str">
        <f>VLOOKUP(D200,Task!$B:$E,4,0)</f>
        <v>Task</v>
      </c>
      <c r="C200" s="150">
        <v>45714</v>
      </c>
      <c r="D200" s="7" t="s">
        <v>37</v>
      </c>
      <c r="E200" s="7">
        <v>40</v>
      </c>
      <c r="F200" s="8">
        <v>1.3888888888888889E-3</v>
      </c>
      <c r="G200" s="9">
        <v>5.5555555555555559E-2</v>
      </c>
      <c r="H200" s="10">
        <v>0.70776620370370369</v>
      </c>
      <c r="I200" s="10">
        <v>0.76041666666666663</v>
      </c>
      <c r="J200" s="57">
        <f t="shared" si="17"/>
        <v>5.2650462962962941E-2</v>
      </c>
      <c r="K200" s="129">
        <f t="shared" si="18"/>
        <v>0.76332175925925927</v>
      </c>
      <c r="L200" s="8"/>
      <c r="M200" s="8"/>
      <c r="N200" s="8"/>
      <c r="O200" s="18"/>
      <c r="P200" s="16">
        <f t="shared" si="16"/>
        <v>1.0551769619696643</v>
      </c>
    </row>
    <row r="201" spans="1:16" ht="14.5">
      <c r="A201" s="142">
        <f t="shared" si="19"/>
        <v>200</v>
      </c>
      <c r="B201" s="142" t="str">
        <f>VLOOKUP(D201,Task!$B:$E,4,0)</f>
        <v>Report</v>
      </c>
      <c r="C201" s="150">
        <v>45715</v>
      </c>
      <c r="D201" s="7" t="s">
        <v>18</v>
      </c>
      <c r="E201" s="7">
        <v>1</v>
      </c>
      <c r="F201" s="8">
        <v>4.8611111111111112E-2</v>
      </c>
      <c r="G201" s="9">
        <v>4.8611111111111112E-2</v>
      </c>
      <c r="H201" s="10">
        <v>0.37959490740740742</v>
      </c>
      <c r="I201" s="10">
        <v>0.42262731481481486</v>
      </c>
      <c r="J201" s="57">
        <f t="shared" si="17"/>
        <v>4.3032407407407436E-2</v>
      </c>
      <c r="K201" s="129">
        <f t="shared" si="18"/>
        <v>0.42820601851851853</v>
      </c>
      <c r="L201" s="8"/>
      <c r="M201" s="8"/>
      <c r="N201" s="8"/>
      <c r="O201" s="12"/>
      <c r="P201" s="16">
        <f t="shared" si="16"/>
        <v>1.1296395911780519</v>
      </c>
    </row>
    <row r="202" spans="1:16" ht="14.5">
      <c r="A202" s="142">
        <f t="shared" si="19"/>
        <v>201</v>
      </c>
      <c r="B202" s="142" t="str">
        <f>VLOOKUP(D202,Task!$B:$E,4,0)</f>
        <v>Report</v>
      </c>
      <c r="C202" s="150">
        <v>45715</v>
      </c>
      <c r="D202" s="7" t="s">
        <v>42</v>
      </c>
      <c r="E202" s="7">
        <v>1</v>
      </c>
      <c r="F202" s="8">
        <v>6.9444444444444441E-3</v>
      </c>
      <c r="G202" s="9">
        <v>6.9444444444444441E-3</v>
      </c>
      <c r="H202" s="10">
        <v>0.42262731481481486</v>
      </c>
      <c r="I202" s="10">
        <v>0.42881944444444453</v>
      </c>
      <c r="J202" s="57">
        <f t="shared" si="17"/>
        <v>6.1921296296296724E-3</v>
      </c>
      <c r="K202" s="129">
        <f t="shared" si="18"/>
        <v>0.42957175925925928</v>
      </c>
      <c r="L202" s="8"/>
      <c r="M202" s="8"/>
      <c r="N202" s="8"/>
      <c r="O202" s="12"/>
      <c r="P202" s="16">
        <f t="shared" si="16"/>
        <v>1.1214953271027959</v>
      </c>
    </row>
    <row r="203" spans="1:16" ht="14.5">
      <c r="A203" s="142">
        <f t="shared" si="19"/>
        <v>202</v>
      </c>
      <c r="B203" s="142" t="str">
        <f>VLOOKUP(D203,Task!$B:$E,4,0)</f>
        <v>Report</v>
      </c>
      <c r="C203" s="150">
        <v>45715</v>
      </c>
      <c r="D203" s="7" t="s">
        <v>43</v>
      </c>
      <c r="E203" s="7">
        <v>1</v>
      </c>
      <c r="F203" s="8">
        <v>3.4722222222222224E-2</v>
      </c>
      <c r="G203" s="9">
        <v>3.4722222222222224E-2</v>
      </c>
      <c r="H203" s="10">
        <v>0.42881944444444453</v>
      </c>
      <c r="I203" s="10">
        <v>0.46010416666666676</v>
      </c>
      <c r="J203" s="57">
        <f t="shared" si="17"/>
        <v>3.1284722222222228E-2</v>
      </c>
      <c r="K203" s="129">
        <f t="shared" si="18"/>
        <v>0.46354166666666674</v>
      </c>
      <c r="L203" s="8"/>
      <c r="M203" s="8"/>
      <c r="N203" s="8"/>
      <c r="O203" s="12"/>
      <c r="P203" s="16">
        <f t="shared" si="16"/>
        <v>1.1098779134295227</v>
      </c>
    </row>
    <row r="204" spans="1:16" ht="14.5">
      <c r="A204" s="142">
        <f t="shared" si="19"/>
        <v>203</v>
      </c>
      <c r="B204" s="142" t="str">
        <f>VLOOKUP(D204,Task!$B:$E,4,0)</f>
        <v>Task</v>
      </c>
      <c r="C204" s="150">
        <v>45715</v>
      </c>
      <c r="D204" s="7" t="s">
        <v>20</v>
      </c>
      <c r="E204" s="7">
        <v>23</v>
      </c>
      <c r="F204" s="8">
        <v>2.0833333333333333E-3</v>
      </c>
      <c r="G204" s="9">
        <v>4.7916666666666663E-2</v>
      </c>
      <c r="H204" s="10">
        <v>0.46010416666666676</v>
      </c>
      <c r="I204" s="10">
        <v>0.5042592592592593</v>
      </c>
      <c r="J204" s="57">
        <f t="shared" si="17"/>
        <v>4.4155092592592537E-2</v>
      </c>
      <c r="K204" s="129">
        <f t="shared" si="18"/>
        <v>0.50802083333333337</v>
      </c>
      <c r="L204" s="8"/>
      <c r="M204" s="8"/>
      <c r="N204" s="8"/>
      <c r="O204" s="12"/>
      <c r="P204" s="16">
        <f t="shared" si="16"/>
        <v>1.085190039318481</v>
      </c>
    </row>
    <row r="205" spans="1:16" ht="14.5">
      <c r="A205" s="142">
        <f t="shared" si="19"/>
        <v>204</v>
      </c>
      <c r="B205" s="142" t="str">
        <f>VLOOKUP(D205,Task!$B:$E,4,0)</f>
        <v>Task</v>
      </c>
      <c r="C205" s="150">
        <v>45715</v>
      </c>
      <c r="D205" s="7" t="s">
        <v>19</v>
      </c>
      <c r="E205" s="7">
        <v>51</v>
      </c>
      <c r="F205" s="8">
        <v>2.7777777777777779E-3</v>
      </c>
      <c r="G205" s="9">
        <v>0.14166666666666666</v>
      </c>
      <c r="H205" s="10">
        <v>0.5042592592592593</v>
      </c>
      <c r="I205" s="10">
        <v>0.75694444444444442</v>
      </c>
      <c r="J205" s="57">
        <f t="shared" si="17"/>
        <v>0.14824074074074067</v>
      </c>
      <c r="K205" s="129">
        <f t="shared" si="18"/>
        <v>0.75037037037037047</v>
      </c>
      <c r="L205" s="8"/>
      <c r="M205" s="8"/>
      <c r="N205" s="8">
        <v>0.10444444444444445</v>
      </c>
      <c r="O205" s="12"/>
      <c r="P205" s="16">
        <f t="shared" si="16"/>
        <v>0.95565271705184296</v>
      </c>
    </row>
    <row r="206" spans="1:16" ht="14.5">
      <c r="A206" s="142">
        <f t="shared" si="19"/>
        <v>205</v>
      </c>
      <c r="B206" s="142" t="str">
        <f>VLOOKUP(D206,Task!$B:$E,4,0)</f>
        <v>Report</v>
      </c>
      <c r="C206" s="150">
        <v>45716</v>
      </c>
      <c r="D206" s="7" t="s">
        <v>18</v>
      </c>
      <c r="E206" s="7">
        <v>1</v>
      </c>
      <c r="F206" s="8">
        <v>4.8611111111111112E-2</v>
      </c>
      <c r="G206" s="9">
        <v>4.8611111111111112E-2</v>
      </c>
      <c r="H206" s="10">
        <v>0.38553240740740746</v>
      </c>
      <c r="I206" s="10">
        <v>0.43587962962962962</v>
      </c>
      <c r="J206" s="57">
        <f t="shared" si="17"/>
        <v>4.3298611111111045E-2</v>
      </c>
      <c r="K206" s="129">
        <f t="shared" si="18"/>
        <v>0.44119212962962967</v>
      </c>
      <c r="L206" s="8"/>
      <c r="M206" s="8"/>
      <c r="N206" s="8">
        <v>7.0486111111111114E-3</v>
      </c>
      <c r="O206" s="18"/>
      <c r="P206" s="16">
        <f t="shared" si="16"/>
        <v>1.12269446672013</v>
      </c>
    </row>
    <row r="207" spans="1:16" ht="14.5">
      <c r="A207" s="142">
        <f t="shared" si="19"/>
        <v>206</v>
      </c>
      <c r="B207" s="142" t="str">
        <f>VLOOKUP(D207,Task!$B:$E,4,0)</f>
        <v>Report</v>
      </c>
      <c r="C207" s="150">
        <v>45719</v>
      </c>
      <c r="D207" s="7" t="s">
        <v>43</v>
      </c>
      <c r="E207" s="7">
        <v>1</v>
      </c>
      <c r="F207" s="8">
        <v>3.4722222222222224E-2</v>
      </c>
      <c r="G207" s="9">
        <v>3.4722222222222224E-2</v>
      </c>
      <c r="H207" s="10">
        <v>0.31122685185185184</v>
      </c>
      <c r="I207" s="10">
        <v>0.34273148148148147</v>
      </c>
      <c r="J207" s="57">
        <f t="shared" si="17"/>
        <v>3.1504629629629632E-2</v>
      </c>
      <c r="K207" s="129">
        <f t="shared" si="18"/>
        <v>0.34594907407407405</v>
      </c>
      <c r="L207" s="8"/>
      <c r="M207" s="8"/>
      <c r="N207" s="8"/>
      <c r="O207" s="12"/>
      <c r="P207" s="16">
        <f t="shared" si="16"/>
        <v>1.1021307861866274</v>
      </c>
    </row>
    <row r="208" spans="1:16" ht="14.5">
      <c r="A208" s="142">
        <f t="shared" si="19"/>
        <v>207</v>
      </c>
      <c r="B208" s="142" t="str">
        <f>VLOOKUP(D208,Task!$B:$E,4,0)</f>
        <v>Report</v>
      </c>
      <c r="C208" s="150">
        <v>45719</v>
      </c>
      <c r="D208" s="7" t="s">
        <v>42</v>
      </c>
      <c r="E208" s="7">
        <v>1</v>
      </c>
      <c r="F208" s="8">
        <v>6.9444444444444441E-3</v>
      </c>
      <c r="G208" s="9">
        <v>6.9444444444444441E-3</v>
      </c>
      <c r="H208" s="10">
        <v>0.34273148148148147</v>
      </c>
      <c r="I208" s="10">
        <v>0.34956018518518517</v>
      </c>
      <c r="J208" s="57">
        <f t="shared" si="17"/>
        <v>6.8287037037036979E-3</v>
      </c>
      <c r="K208" s="129">
        <f t="shared" si="18"/>
        <v>0.34967592592592589</v>
      </c>
      <c r="L208" s="8"/>
      <c r="M208" s="8"/>
      <c r="N208" s="8"/>
      <c r="O208" s="12"/>
      <c r="P208" s="16">
        <f t="shared" si="16"/>
        <v>1.0169491525423737</v>
      </c>
    </row>
    <row r="209" spans="1:16" ht="14.5">
      <c r="A209" s="142">
        <f t="shared" si="19"/>
        <v>208</v>
      </c>
      <c r="B209" s="142" t="str">
        <f>VLOOKUP(D209,Task!$B:$E,4,0)</f>
        <v>Report</v>
      </c>
      <c r="C209" s="150">
        <v>45719</v>
      </c>
      <c r="D209" s="7" t="s">
        <v>18</v>
      </c>
      <c r="E209" s="7">
        <v>1</v>
      </c>
      <c r="F209" s="8">
        <v>4.8611111111111112E-2</v>
      </c>
      <c r="G209" s="9">
        <v>4.8611111111111112E-2</v>
      </c>
      <c r="H209" s="10">
        <v>0.34956018518518517</v>
      </c>
      <c r="I209" s="10">
        <v>0.39493055555555556</v>
      </c>
      <c r="J209" s="57">
        <f t="shared" si="17"/>
        <v>4.5370370370370394E-2</v>
      </c>
      <c r="K209" s="129">
        <f t="shared" si="18"/>
        <v>0.39817129629629627</v>
      </c>
      <c r="L209" s="8"/>
      <c r="M209" s="8"/>
      <c r="N209" s="8"/>
      <c r="O209" s="12"/>
      <c r="P209" s="16">
        <f t="shared" si="16"/>
        <v>1.071428571428571</v>
      </c>
    </row>
    <row r="210" spans="1:16" ht="14.5">
      <c r="A210" s="142">
        <f t="shared" si="19"/>
        <v>209</v>
      </c>
      <c r="B210" s="142" t="str">
        <f>VLOOKUP(D210,Task!$B:$E,4,0)</f>
        <v>Task</v>
      </c>
      <c r="C210" s="150">
        <v>45719</v>
      </c>
      <c r="D210" s="7" t="s">
        <v>27</v>
      </c>
      <c r="E210" s="7">
        <v>46</v>
      </c>
      <c r="F210" s="8">
        <v>1.3888888888888889E-3</v>
      </c>
      <c r="G210" s="9">
        <v>6.3888888888888898E-2</v>
      </c>
      <c r="H210" s="10">
        <v>0.39493055555555556</v>
      </c>
      <c r="I210" s="10">
        <v>0.45894675925925926</v>
      </c>
      <c r="J210" s="57">
        <f t="shared" si="17"/>
        <v>5.8969907407407401E-2</v>
      </c>
      <c r="K210" s="129">
        <f t="shared" si="18"/>
        <v>0.46386574074074072</v>
      </c>
      <c r="L210" s="8"/>
      <c r="M210" s="8"/>
      <c r="N210" s="8">
        <v>5.0462962962962961E-3</v>
      </c>
      <c r="O210" s="18" t="s">
        <v>77</v>
      </c>
      <c r="P210" s="16">
        <f t="shared" si="16"/>
        <v>1.0834151128557412</v>
      </c>
    </row>
    <row r="211" spans="1:16" ht="14.5">
      <c r="A211" s="142">
        <f t="shared" si="19"/>
        <v>210</v>
      </c>
      <c r="B211" s="142" t="str">
        <f>VLOOKUP(D211,Task!$B:$E,4,0)</f>
        <v>Task</v>
      </c>
      <c r="C211" s="150">
        <v>45719</v>
      </c>
      <c r="D211" s="7" t="s">
        <v>20</v>
      </c>
      <c r="E211" s="7">
        <v>48</v>
      </c>
      <c r="F211" s="8">
        <v>2.0833333333333333E-3</v>
      </c>
      <c r="G211" s="9">
        <v>0.1</v>
      </c>
      <c r="H211" s="10">
        <v>0.45894675925925926</v>
      </c>
      <c r="I211" s="10">
        <v>0.59590277777777778</v>
      </c>
      <c r="J211" s="57">
        <f t="shared" si="17"/>
        <v>9.2384259259259249E-2</v>
      </c>
      <c r="K211" s="129">
        <f t="shared" si="18"/>
        <v>0.60351851851851857</v>
      </c>
      <c r="L211" s="8"/>
      <c r="M211" s="8"/>
      <c r="N211" s="8">
        <v>4.4571759259259262E-2</v>
      </c>
      <c r="O211" s="18"/>
      <c r="P211" s="16">
        <f t="shared" si="16"/>
        <v>1.0824354798296167</v>
      </c>
    </row>
    <row r="212" spans="1:16" ht="14.5">
      <c r="A212" s="142">
        <f t="shared" si="19"/>
        <v>211</v>
      </c>
      <c r="B212" s="142" t="str">
        <f>VLOOKUP(D212,Task!$B:$E,4,0)</f>
        <v>Task</v>
      </c>
      <c r="C212" s="150">
        <v>45719</v>
      </c>
      <c r="D212" s="7" t="s">
        <v>19</v>
      </c>
      <c r="E212" s="7">
        <v>30</v>
      </c>
      <c r="F212" s="8">
        <v>2.7777777777777779E-3</v>
      </c>
      <c r="G212" s="9">
        <v>8.3333333333333343E-2</v>
      </c>
      <c r="H212" s="10">
        <v>0.59590277777777778</v>
      </c>
      <c r="I212" s="10">
        <v>0.67361111111111116</v>
      </c>
      <c r="J212" s="57">
        <f t="shared" si="17"/>
        <v>7.7708333333333379E-2</v>
      </c>
      <c r="K212" s="129">
        <f t="shared" si="18"/>
        <v>0.67923611111111115</v>
      </c>
      <c r="L212" s="8"/>
      <c r="M212" s="8"/>
      <c r="N212" s="8"/>
      <c r="O212" s="18"/>
      <c r="P212" s="16">
        <f t="shared" si="16"/>
        <v>1.0723860589812326</v>
      </c>
    </row>
    <row r="213" spans="1:16" ht="14.5">
      <c r="A213" s="142">
        <f t="shared" si="19"/>
        <v>212</v>
      </c>
      <c r="B213" s="142" t="str">
        <f>VLOOKUP(D213,Task!$B:$E,4,0)</f>
        <v>Task</v>
      </c>
      <c r="C213" s="150">
        <v>45720</v>
      </c>
      <c r="D213" s="7" t="s">
        <v>27</v>
      </c>
      <c r="E213" s="7">
        <v>32</v>
      </c>
      <c r="F213" s="8">
        <v>1.3888888888888889E-3</v>
      </c>
      <c r="G213" s="9">
        <v>4.4444444444444446E-2</v>
      </c>
      <c r="H213" s="10">
        <v>0.27956018518518522</v>
      </c>
      <c r="I213" s="10">
        <v>0.32085648148148149</v>
      </c>
      <c r="J213" s="57">
        <f t="shared" si="17"/>
        <v>4.1296296296296275E-2</v>
      </c>
      <c r="K213" s="129">
        <f t="shared" si="18"/>
        <v>0.32400462962962967</v>
      </c>
      <c r="L213" s="8"/>
      <c r="M213" s="8"/>
      <c r="N213" s="8"/>
      <c r="O213" s="18" t="s">
        <v>78</v>
      </c>
      <c r="P213" s="16">
        <f t="shared" si="16"/>
        <v>1.0762331838565029</v>
      </c>
    </row>
    <row r="214" spans="1:16" ht="14.5">
      <c r="A214" s="142">
        <f t="shared" si="19"/>
        <v>213</v>
      </c>
      <c r="B214" s="142" t="str">
        <f>VLOOKUP(D214,Task!$B:$E,4,0)</f>
        <v>Task</v>
      </c>
      <c r="C214" s="150">
        <v>45720</v>
      </c>
      <c r="D214" s="7" t="s">
        <v>19</v>
      </c>
      <c r="E214" s="7">
        <v>32</v>
      </c>
      <c r="F214" s="8">
        <v>2.7777777777777779E-3</v>
      </c>
      <c r="G214" s="9">
        <v>8.8888888888888892E-2</v>
      </c>
      <c r="H214" s="10">
        <v>0.32085648148148149</v>
      </c>
      <c r="I214" s="10">
        <v>0.40363425925925928</v>
      </c>
      <c r="J214" s="57">
        <f t="shared" si="17"/>
        <v>8.2777777777777783E-2</v>
      </c>
      <c r="K214" s="129">
        <f t="shared" si="18"/>
        <v>0.4097453703703704</v>
      </c>
      <c r="L214" s="8"/>
      <c r="M214" s="8"/>
      <c r="N214" s="8"/>
      <c r="O214" s="18"/>
      <c r="P214" s="16">
        <f t="shared" si="16"/>
        <v>1.0738255033557047</v>
      </c>
    </row>
    <row r="215" spans="1:16" ht="14.5">
      <c r="A215" s="142">
        <f t="shared" si="19"/>
        <v>214</v>
      </c>
      <c r="B215" s="142" t="str">
        <f>VLOOKUP(D215,Task!$B:$E,4,0)</f>
        <v>Task</v>
      </c>
      <c r="C215" s="150">
        <v>45720</v>
      </c>
      <c r="D215" s="7" t="s">
        <v>16</v>
      </c>
      <c r="E215" s="7">
        <v>12</v>
      </c>
      <c r="F215" s="8">
        <v>5.5555555555555558E-3</v>
      </c>
      <c r="G215" s="9">
        <v>6.6666666666666666E-2</v>
      </c>
      <c r="H215" s="10">
        <v>0.40363425925925928</v>
      </c>
      <c r="I215" s="10">
        <v>0.46658564814814812</v>
      </c>
      <c r="J215" s="57">
        <f t="shared" si="17"/>
        <v>6.2951388888888848E-2</v>
      </c>
      <c r="K215" s="129">
        <f t="shared" si="18"/>
        <v>0.47030092592592593</v>
      </c>
      <c r="L215" s="8"/>
      <c r="M215" s="8"/>
      <c r="N215" s="8"/>
      <c r="O215" s="18"/>
      <c r="P215" s="16">
        <f t="shared" si="16"/>
        <v>1.0590182018753453</v>
      </c>
    </row>
    <row r="216" spans="1:16" ht="14.5">
      <c r="A216" s="142">
        <f t="shared" si="19"/>
        <v>215</v>
      </c>
      <c r="B216" s="142" t="str">
        <f>VLOOKUP(D216,Task!$B:$E,4,0)</f>
        <v>Task</v>
      </c>
      <c r="C216" s="150">
        <v>45720</v>
      </c>
      <c r="D216" s="7" t="s">
        <v>36</v>
      </c>
      <c r="E216" s="7">
        <v>22</v>
      </c>
      <c r="F216" s="8">
        <v>6.9444444444444447E-4</v>
      </c>
      <c r="G216" s="9">
        <v>1.5277777777777779E-2</v>
      </c>
      <c r="H216" s="10">
        <v>0.46658564814814812</v>
      </c>
      <c r="I216" s="10">
        <v>0.48054398148148147</v>
      </c>
      <c r="J216" s="57">
        <f t="shared" si="17"/>
        <v>1.395833333333335E-2</v>
      </c>
      <c r="K216" s="129">
        <f t="shared" si="18"/>
        <v>0.4818634259259259</v>
      </c>
      <c r="L216" s="8"/>
      <c r="M216" s="8"/>
      <c r="N216" s="8"/>
      <c r="O216" s="12"/>
      <c r="P216" s="16">
        <f t="shared" si="16"/>
        <v>1.0945273631840784</v>
      </c>
    </row>
    <row r="217" spans="1:16" ht="14.5">
      <c r="A217" s="142">
        <f t="shared" si="19"/>
        <v>216</v>
      </c>
      <c r="B217" s="142" t="str">
        <f>VLOOKUP(D217,Task!$B:$E,4,0)</f>
        <v>Task</v>
      </c>
      <c r="C217" s="150">
        <v>45720</v>
      </c>
      <c r="D217" s="7" t="s">
        <v>19</v>
      </c>
      <c r="E217" s="7">
        <v>46</v>
      </c>
      <c r="F217" s="8">
        <v>2.7777777777777779E-3</v>
      </c>
      <c r="G217" s="9">
        <v>0.1277777777777778</v>
      </c>
      <c r="H217" s="10">
        <v>0.48054398148148147</v>
      </c>
      <c r="I217" s="10">
        <v>0.67136924768419703</v>
      </c>
      <c r="J217" s="57">
        <f t="shared" si="17"/>
        <v>0.12314008101753038</v>
      </c>
      <c r="K217" s="129">
        <f t="shared" si="18"/>
        <v>0.67600694444444442</v>
      </c>
      <c r="L217" s="8"/>
      <c r="M217" s="8"/>
      <c r="N217" s="8">
        <v>6.7685185185185182E-2</v>
      </c>
      <c r="O217" s="18"/>
      <c r="P217" s="16">
        <f t="shared" si="16"/>
        <v>1.0376619596310579</v>
      </c>
    </row>
    <row r="218" spans="1:16" ht="14.5">
      <c r="A218" s="142">
        <f t="shared" si="19"/>
        <v>217</v>
      </c>
      <c r="B218" s="142" t="str">
        <f>VLOOKUP(D218,Task!$B:$E,4,0)</f>
        <v>Report</v>
      </c>
      <c r="C218" s="150">
        <v>45720</v>
      </c>
      <c r="D218" s="7" t="s">
        <v>65</v>
      </c>
      <c r="E218" s="7">
        <v>1</v>
      </c>
      <c r="F218" s="8">
        <v>2.0833333333333332E-2</v>
      </c>
      <c r="G218" s="9">
        <v>2.0833333333333332E-2</v>
      </c>
      <c r="H218" s="10">
        <v>0.51003472222222224</v>
      </c>
      <c r="I218" s="10">
        <v>0.52918981481481486</v>
      </c>
      <c r="J218" s="57">
        <f t="shared" si="17"/>
        <v>1.9155092592592626E-2</v>
      </c>
      <c r="K218" s="129">
        <f t="shared" si="18"/>
        <v>0.53086805555555561</v>
      </c>
      <c r="L218" s="8"/>
      <c r="M218" s="8"/>
      <c r="N218" s="8"/>
      <c r="O218" s="12"/>
      <c r="P218" s="16">
        <f t="shared" si="16"/>
        <v>1.0876132930513576</v>
      </c>
    </row>
    <row r="219" spans="1:16" ht="14.5">
      <c r="A219" s="142">
        <f t="shared" si="19"/>
        <v>218</v>
      </c>
      <c r="B219" s="142" t="str">
        <f>VLOOKUP(D219,Task!$B:$E,4,0)</f>
        <v>Report</v>
      </c>
      <c r="C219" s="150">
        <v>45721</v>
      </c>
      <c r="D219" s="7" t="s">
        <v>18</v>
      </c>
      <c r="E219" s="7">
        <v>1</v>
      </c>
      <c r="F219" s="8">
        <v>4.8611111111111112E-2</v>
      </c>
      <c r="G219" s="9">
        <v>4.8611111111111112E-2</v>
      </c>
      <c r="H219" s="10">
        <v>0.31210648148148157</v>
      </c>
      <c r="I219" s="10">
        <v>0.3565625</v>
      </c>
      <c r="J219" s="57">
        <f t="shared" si="17"/>
        <v>4.4456018518518436E-2</v>
      </c>
      <c r="K219" s="129">
        <f t="shared" si="18"/>
        <v>0.36071759259259267</v>
      </c>
      <c r="L219" s="8"/>
      <c r="M219" s="8"/>
      <c r="N219" s="8"/>
      <c r="O219" s="18"/>
      <c r="P219" s="16">
        <f t="shared" si="16"/>
        <v>1.0934652434261931</v>
      </c>
    </row>
    <row r="220" spans="1:16" ht="14.5">
      <c r="A220" s="142">
        <f t="shared" si="19"/>
        <v>219</v>
      </c>
      <c r="B220" s="142" t="str">
        <f>VLOOKUP(D220,Task!$B:$E,4,0)</f>
        <v>Task</v>
      </c>
      <c r="C220" s="150">
        <v>45721</v>
      </c>
      <c r="D220" s="7" t="s">
        <v>79</v>
      </c>
      <c r="E220" s="7">
        <v>48</v>
      </c>
      <c r="F220" s="8">
        <v>1.3888888888888889E-3</v>
      </c>
      <c r="G220" s="9">
        <v>6.6666666666666666E-2</v>
      </c>
      <c r="H220" s="10">
        <v>0.3565625</v>
      </c>
      <c r="I220" s="10">
        <v>0.41804398148148147</v>
      </c>
      <c r="J220" s="57">
        <f t="shared" si="17"/>
        <v>6.148148148148147E-2</v>
      </c>
      <c r="K220" s="129">
        <f t="shared" si="18"/>
        <v>0.42322916666666666</v>
      </c>
      <c r="L220" s="8"/>
      <c r="M220" s="8"/>
      <c r="N220" s="8"/>
      <c r="O220" s="18"/>
      <c r="P220" s="16">
        <f t="shared" si="16"/>
        <v>1.0843373493975905</v>
      </c>
    </row>
    <row r="221" spans="1:16" ht="14.5">
      <c r="A221" s="142">
        <f t="shared" si="19"/>
        <v>220</v>
      </c>
      <c r="B221" s="142" t="str">
        <f>VLOOKUP(D221,Task!$B:$E,4,0)</f>
        <v>Task</v>
      </c>
      <c r="C221" s="150">
        <v>45721</v>
      </c>
      <c r="D221" s="7" t="s">
        <v>19</v>
      </c>
      <c r="E221" s="7">
        <v>60</v>
      </c>
      <c r="F221" s="8">
        <v>2.7777777777777779E-3</v>
      </c>
      <c r="G221" s="9">
        <v>0.16666666666666669</v>
      </c>
      <c r="H221" s="10">
        <v>0.41804398148148147</v>
      </c>
      <c r="I221" s="10">
        <v>0.6875</v>
      </c>
      <c r="J221" s="57">
        <f t="shared" si="17"/>
        <v>0.1650578703703704</v>
      </c>
      <c r="K221" s="129">
        <f t="shared" si="18"/>
        <v>0.68910879629629629</v>
      </c>
      <c r="L221" s="8"/>
      <c r="M221" s="8"/>
      <c r="N221" s="8">
        <v>0.10439814814814814</v>
      </c>
      <c r="O221" s="18"/>
      <c r="P221" s="16">
        <f t="shared" si="16"/>
        <v>1.0097468620713834</v>
      </c>
    </row>
    <row r="222" spans="1:16" ht="14.5">
      <c r="A222" s="142">
        <f t="shared" si="19"/>
        <v>221</v>
      </c>
      <c r="B222" s="142" t="str">
        <f>VLOOKUP(D222,Task!$B:$E,4,0)</f>
        <v>Report</v>
      </c>
      <c r="C222" s="150">
        <v>45722</v>
      </c>
      <c r="D222" s="7" t="s">
        <v>43</v>
      </c>
      <c r="E222" s="7">
        <v>1</v>
      </c>
      <c r="F222" s="8">
        <v>3.4722222222222224E-2</v>
      </c>
      <c r="G222" s="9">
        <v>3.4722222222222224E-2</v>
      </c>
      <c r="H222" s="10">
        <v>0.31076388888888895</v>
      </c>
      <c r="I222" s="10">
        <v>0.34416666666666673</v>
      </c>
      <c r="J222" s="57">
        <f t="shared" si="17"/>
        <v>3.3402777777777781E-2</v>
      </c>
      <c r="K222" s="129">
        <f t="shared" si="18"/>
        <v>0.34548611111111116</v>
      </c>
      <c r="L222" s="8"/>
      <c r="M222" s="8"/>
      <c r="N222" s="8"/>
      <c r="O222" s="12"/>
      <c r="P222" s="16">
        <f t="shared" si="16"/>
        <v>1.0395010395010393</v>
      </c>
    </row>
    <row r="223" spans="1:16" ht="14.5">
      <c r="A223" s="142">
        <f t="shared" si="19"/>
        <v>222</v>
      </c>
      <c r="B223" s="142" t="str">
        <f>VLOOKUP(D223,Task!$B:$E,4,0)</f>
        <v>Report</v>
      </c>
      <c r="C223" s="150">
        <v>45722</v>
      </c>
      <c r="D223" s="7" t="s">
        <v>42</v>
      </c>
      <c r="E223" s="7">
        <v>1</v>
      </c>
      <c r="F223" s="8">
        <v>6.9444444444444441E-3</v>
      </c>
      <c r="G223" s="9">
        <v>6.9444444444444441E-3</v>
      </c>
      <c r="H223" s="10">
        <v>0.34416666666666673</v>
      </c>
      <c r="I223" s="10">
        <v>0.35063657407407411</v>
      </c>
      <c r="J223" s="57">
        <f t="shared" si="17"/>
        <v>6.4699074074073826E-3</v>
      </c>
      <c r="K223" s="129">
        <f t="shared" si="18"/>
        <v>0.35111111111111115</v>
      </c>
      <c r="L223" s="8"/>
      <c r="M223" s="8"/>
      <c r="N223" s="8"/>
      <c r="O223" s="18"/>
      <c r="P223" s="16">
        <f t="shared" si="16"/>
        <v>1.0733452593917752</v>
      </c>
    </row>
    <row r="224" spans="1:16" ht="14.5">
      <c r="A224" s="142">
        <f t="shared" si="19"/>
        <v>223</v>
      </c>
      <c r="B224" s="142" t="str">
        <f>VLOOKUP(D224,Task!$B:$E,4,0)</f>
        <v>Report</v>
      </c>
      <c r="C224" s="150">
        <v>45722</v>
      </c>
      <c r="D224" s="7" t="s">
        <v>18</v>
      </c>
      <c r="E224" s="7">
        <v>1</v>
      </c>
      <c r="F224" s="8">
        <v>4.8611111111111112E-2</v>
      </c>
      <c r="G224" s="9">
        <v>4.8611111111111112E-2</v>
      </c>
      <c r="H224" s="10">
        <v>0.35063657407407411</v>
      </c>
      <c r="I224" s="10">
        <v>0.39478009259259261</v>
      </c>
      <c r="J224" s="57">
        <f t="shared" si="17"/>
        <v>4.4143518518518499E-2</v>
      </c>
      <c r="K224" s="129">
        <f t="shared" si="18"/>
        <v>0.39924768518518522</v>
      </c>
      <c r="L224" s="8"/>
      <c r="M224" s="8"/>
      <c r="N224" s="8"/>
      <c r="O224" s="12"/>
      <c r="P224" s="16">
        <f t="shared" si="16"/>
        <v>1.1012060828526486</v>
      </c>
    </row>
    <row r="225" spans="1:16" ht="14.5">
      <c r="A225" s="142">
        <f t="shared" si="19"/>
        <v>224</v>
      </c>
      <c r="B225" s="142" t="str">
        <f>VLOOKUP(D225,Task!$B:$E,4,0)</f>
        <v>Task</v>
      </c>
      <c r="C225" s="150">
        <v>45722</v>
      </c>
      <c r="D225" s="7" t="s">
        <v>20</v>
      </c>
      <c r="E225" s="7">
        <v>19</v>
      </c>
      <c r="F225" s="8">
        <v>2.0833333333333333E-3</v>
      </c>
      <c r="G225" s="9">
        <v>3.9583333333333331E-2</v>
      </c>
      <c r="H225" s="10">
        <v>0.39478009259259261</v>
      </c>
      <c r="I225" s="10">
        <v>0.43253472222222222</v>
      </c>
      <c r="J225" s="57">
        <f t="shared" si="17"/>
        <v>3.775462962962961E-2</v>
      </c>
      <c r="K225" s="129">
        <f t="shared" si="18"/>
        <v>0.43436342592592592</v>
      </c>
      <c r="L225" s="8"/>
      <c r="M225" s="8"/>
      <c r="N225" s="8"/>
      <c r="O225" s="18"/>
      <c r="P225" s="16">
        <f t="shared" si="16"/>
        <v>1.0484365419987742</v>
      </c>
    </row>
    <row r="226" spans="1:16" ht="14.5">
      <c r="A226" s="142">
        <f t="shared" si="19"/>
        <v>225</v>
      </c>
      <c r="B226" s="142" t="str">
        <f>VLOOKUP(D226,Task!$B:$E,4,0)</f>
        <v>Task</v>
      </c>
      <c r="C226" s="150">
        <v>45722</v>
      </c>
      <c r="D226" s="7" t="s">
        <v>19</v>
      </c>
      <c r="E226" s="7">
        <v>18</v>
      </c>
      <c r="F226" s="8">
        <v>2.7777777777777779E-3</v>
      </c>
      <c r="G226" s="9">
        <v>0.05</v>
      </c>
      <c r="H226" s="10">
        <v>0.43253472222222222</v>
      </c>
      <c r="I226" s="10">
        <v>0.50027777777777782</v>
      </c>
      <c r="J226" s="57">
        <f t="shared" si="17"/>
        <v>4.6817129629629674E-2</v>
      </c>
      <c r="K226" s="129">
        <f t="shared" si="18"/>
        <v>0.50346064814814817</v>
      </c>
      <c r="L226" s="8"/>
      <c r="M226" s="8"/>
      <c r="N226" s="8">
        <v>2.0925925925925924E-2</v>
      </c>
      <c r="O226" s="12"/>
      <c r="P226" s="16">
        <f t="shared" si="16"/>
        <v>1.0679851668726814</v>
      </c>
    </row>
    <row r="227" spans="1:16" ht="14.5">
      <c r="A227" s="142">
        <f t="shared" si="19"/>
        <v>226</v>
      </c>
      <c r="B227" s="142" t="str">
        <f>VLOOKUP(D227,Task!$B:$E,4,0)</f>
        <v>Task</v>
      </c>
      <c r="C227" s="150">
        <v>45722</v>
      </c>
      <c r="D227" s="7" t="s">
        <v>37</v>
      </c>
      <c r="E227" s="7">
        <v>18</v>
      </c>
      <c r="F227" s="8">
        <v>1.3888888888888889E-3</v>
      </c>
      <c r="G227" s="9">
        <v>2.5000000000000001E-2</v>
      </c>
      <c r="H227" s="10">
        <v>0.50027777777777782</v>
      </c>
      <c r="I227" s="10">
        <v>0.5235995370370371</v>
      </c>
      <c r="J227" s="57">
        <f t="shared" si="17"/>
        <v>2.3321759259259278E-2</v>
      </c>
      <c r="K227" s="129">
        <f t="shared" si="18"/>
        <v>0.52527777777777784</v>
      </c>
      <c r="L227" s="8"/>
      <c r="M227" s="8"/>
      <c r="N227" s="8"/>
      <c r="O227" s="12"/>
      <c r="P227" s="16">
        <f t="shared" si="16"/>
        <v>1.0719602977667486</v>
      </c>
    </row>
    <row r="228" spans="1:16" ht="14.5">
      <c r="A228" s="142">
        <f t="shared" si="19"/>
        <v>227</v>
      </c>
      <c r="B228" s="142" t="str">
        <f>VLOOKUP(D228,Task!$B:$E,4,0)</f>
        <v>Task</v>
      </c>
      <c r="C228" s="150">
        <v>45722</v>
      </c>
      <c r="D228" s="7" t="s">
        <v>29</v>
      </c>
      <c r="E228" s="7">
        <v>54</v>
      </c>
      <c r="F228" s="8">
        <v>2.0833333333333333E-3</v>
      </c>
      <c r="G228" s="9">
        <v>0.1125</v>
      </c>
      <c r="H228" s="10">
        <v>0.5235995370370371</v>
      </c>
      <c r="I228" s="10">
        <v>0.6875</v>
      </c>
      <c r="J228" s="57">
        <f t="shared" si="17"/>
        <v>0.10260416666666661</v>
      </c>
      <c r="K228" s="129">
        <f t="shared" si="18"/>
        <v>0.69739583333333344</v>
      </c>
      <c r="L228" s="8"/>
      <c r="M228" s="8"/>
      <c r="N228" s="8">
        <v>6.1296296296296293E-2</v>
      </c>
      <c r="O228" s="12"/>
      <c r="P228" s="16">
        <f t="shared" si="16"/>
        <v>1.0964467005076148</v>
      </c>
    </row>
    <row r="229" spans="1:16" ht="14.5">
      <c r="A229" s="142">
        <f t="shared" si="19"/>
        <v>228</v>
      </c>
      <c r="B229" s="142" t="str">
        <f>VLOOKUP(D229,Task!$B:$E,4,0)</f>
        <v>Report</v>
      </c>
      <c r="C229" s="150">
        <v>45726</v>
      </c>
      <c r="D229" s="7" t="s">
        <v>43</v>
      </c>
      <c r="E229" s="7">
        <v>1</v>
      </c>
      <c r="F229" s="8">
        <v>3.4722222222222224E-2</v>
      </c>
      <c r="G229" s="9">
        <v>3.4722222222222224E-2</v>
      </c>
      <c r="H229" s="10">
        <v>0.30642361111111116</v>
      </c>
      <c r="I229" s="10">
        <v>0.33719907407407412</v>
      </c>
      <c r="J229" s="57">
        <f t="shared" si="17"/>
        <v>3.0775462962962963E-2</v>
      </c>
      <c r="K229" s="129">
        <f t="shared" si="18"/>
        <v>0.34114583333333337</v>
      </c>
      <c r="L229" s="8"/>
      <c r="M229" s="8"/>
      <c r="N229" s="8"/>
      <c r="O229" s="18"/>
      <c r="P229" s="16">
        <f t="shared" si="16"/>
        <v>1.1282437006393382</v>
      </c>
    </row>
    <row r="230" spans="1:16" ht="14.5">
      <c r="A230" s="142">
        <f t="shared" si="19"/>
        <v>229</v>
      </c>
      <c r="B230" s="142" t="str">
        <f>VLOOKUP(D230,Task!$B:$E,4,0)</f>
        <v>Report</v>
      </c>
      <c r="C230" s="150">
        <v>45726</v>
      </c>
      <c r="D230" s="7" t="s">
        <v>42</v>
      </c>
      <c r="E230" s="7">
        <v>1</v>
      </c>
      <c r="F230" s="8">
        <v>6.9444444444444441E-3</v>
      </c>
      <c r="G230" s="9">
        <v>6.9444444444444441E-3</v>
      </c>
      <c r="H230" s="10">
        <v>0.33719907407407412</v>
      </c>
      <c r="I230" s="10">
        <v>0.34364583333333332</v>
      </c>
      <c r="J230" s="57">
        <f t="shared" si="17"/>
        <v>6.4467592592591938E-3</v>
      </c>
      <c r="K230" s="129">
        <f t="shared" si="18"/>
        <v>0.34414351851851854</v>
      </c>
      <c r="L230" s="8"/>
      <c r="M230" s="8"/>
      <c r="N230" s="8"/>
      <c r="O230" s="18"/>
      <c r="P230" s="16">
        <f t="shared" si="16"/>
        <v>1.0771992818671563</v>
      </c>
    </row>
    <row r="231" spans="1:16" ht="14.5">
      <c r="A231" s="142">
        <f t="shared" si="19"/>
        <v>230</v>
      </c>
      <c r="B231" s="142" t="str">
        <f>VLOOKUP(D231,Task!$B:$E,4,0)</f>
        <v>Report</v>
      </c>
      <c r="C231" s="150">
        <v>45726</v>
      </c>
      <c r="D231" s="7" t="s">
        <v>18</v>
      </c>
      <c r="E231" s="7">
        <v>1</v>
      </c>
      <c r="F231" s="8">
        <v>4.8611111111111112E-2</v>
      </c>
      <c r="G231" s="9">
        <v>4.8611111111111112E-2</v>
      </c>
      <c r="H231" s="10">
        <v>0.34364583333333332</v>
      </c>
      <c r="I231" s="10">
        <v>0.3881134259259259</v>
      </c>
      <c r="J231" s="57">
        <f t="shared" si="17"/>
        <v>4.4467592592592586E-2</v>
      </c>
      <c r="K231" s="129">
        <f t="shared" si="18"/>
        <v>0.39225694444444442</v>
      </c>
      <c r="L231" s="8"/>
      <c r="M231" s="8"/>
      <c r="N231" s="8"/>
      <c r="O231" s="18"/>
      <c r="P231" s="16">
        <f t="shared" si="16"/>
        <v>1.093180635085893</v>
      </c>
    </row>
    <row r="232" spans="1:16" ht="14.5">
      <c r="A232" s="142">
        <f t="shared" si="19"/>
        <v>231</v>
      </c>
      <c r="B232" s="142" t="str">
        <f>VLOOKUP(D232,Task!$B:$E,4,0)</f>
        <v>Task</v>
      </c>
      <c r="C232" s="150">
        <v>45726</v>
      </c>
      <c r="D232" s="7" t="s">
        <v>16</v>
      </c>
      <c r="E232" s="7">
        <v>7</v>
      </c>
      <c r="F232" s="8">
        <v>5.5555555555555558E-3</v>
      </c>
      <c r="G232" s="9">
        <v>3.888888888888889E-2</v>
      </c>
      <c r="H232" s="10">
        <v>0.3881134259259259</v>
      </c>
      <c r="I232" s="10">
        <v>0.4239236111111111</v>
      </c>
      <c r="J232" s="57">
        <f t="shared" si="17"/>
        <v>3.5810185185185195E-2</v>
      </c>
      <c r="K232" s="129">
        <f t="shared" si="18"/>
        <v>0.42700231481481477</v>
      </c>
      <c r="L232" s="8"/>
      <c r="M232" s="8"/>
      <c r="N232" s="8"/>
      <c r="O232" s="18"/>
      <c r="P232" s="16">
        <f t="shared" si="16"/>
        <v>1.0859728506787327</v>
      </c>
    </row>
    <row r="233" spans="1:16" ht="14.5">
      <c r="A233" s="142">
        <f t="shared" si="19"/>
        <v>232</v>
      </c>
      <c r="B233" s="142" t="str">
        <f>VLOOKUP(D233,Task!$B:$E,4,0)</f>
        <v>Task</v>
      </c>
      <c r="C233" s="150">
        <v>45726</v>
      </c>
      <c r="D233" s="7" t="s">
        <v>20</v>
      </c>
      <c r="E233" s="7">
        <v>3</v>
      </c>
      <c r="F233" s="8">
        <v>2.0833333333333333E-3</v>
      </c>
      <c r="G233" s="9">
        <v>6.2500000000000003E-3</v>
      </c>
      <c r="H233" s="10">
        <v>0.4239236111111111</v>
      </c>
      <c r="I233" s="10">
        <v>0.42973379629629632</v>
      </c>
      <c r="J233" s="57">
        <f t="shared" si="17"/>
        <v>5.8101851851852238E-3</v>
      </c>
      <c r="K233" s="129">
        <f t="shared" si="18"/>
        <v>0.43017361111111108</v>
      </c>
      <c r="L233" s="8"/>
      <c r="M233" s="8"/>
      <c r="N233" s="8"/>
      <c r="O233" s="18" t="s">
        <v>80</v>
      </c>
      <c r="P233" s="16">
        <f t="shared" si="16"/>
        <v>1.0756972111553713</v>
      </c>
    </row>
    <row r="234" spans="1:16" ht="14.5">
      <c r="A234" s="142">
        <f t="shared" si="19"/>
        <v>233</v>
      </c>
      <c r="B234" s="142" t="str">
        <f>VLOOKUP(D234,Task!$B:$E,4,0)</f>
        <v>Task</v>
      </c>
      <c r="C234" s="150">
        <v>45726</v>
      </c>
      <c r="D234" s="7" t="s">
        <v>29</v>
      </c>
      <c r="E234" s="7">
        <v>55</v>
      </c>
      <c r="F234" s="8">
        <v>2.0833333333333333E-3</v>
      </c>
      <c r="G234" s="9">
        <v>0.11458333333333333</v>
      </c>
      <c r="H234" s="10">
        <v>0.42973379629629632</v>
      </c>
      <c r="I234" s="10">
        <v>0.59015046296296292</v>
      </c>
      <c r="J234" s="57">
        <f t="shared" si="17"/>
        <v>0.11081018518518512</v>
      </c>
      <c r="K234" s="129">
        <f t="shared" si="18"/>
        <v>0.59392361111111114</v>
      </c>
      <c r="L234" s="8"/>
      <c r="M234" s="8"/>
      <c r="N234" s="8">
        <v>4.9606481481481481E-2</v>
      </c>
      <c r="O234" s="12"/>
      <c r="P234" s="16">
        <f t="shared" si="16"/>
        <v>1.0340505535826201</v>
      </c>
    </row>
    <row r="235" spans="1:16" ht="14.5">
      <c r="A235" s="142">
        <f t="shared" si="19"/>
        <v>234</v>
      </c>
      <c r="B235" s="142" t="str">
        <f>VLOOKUP(D235,Task!$B:$E,4,0)</f>
        <v>Task</v>
      </c>
      <c r="C235" s="150">
        <v>45726</v>
      </c>
      <c r="D235" s="7" t="s">
        <v>29</v>
      </c>
      <c r="E235" s="7">
        <v>17</v>
      </c>
      <c r="F235" s="8">
        <v>2.0833333333333333E-3</v>
      </c>
      <c r="G235" s="9">
        <v>3.5416666666666666E-2</v>
      </c>
      <c r="H235" s="10">
        <v>0.59015046296296292</v>
      </c>
      <c r="I235" s="10">
        <v>0.63237268518518519</v>
      </c>
      <c r="J235" s="57">
        <f t="shared" si="17"/>
        <v>3.4432870370370419E-2</v>
      </c>
      <c r="K235" s="129">
        <f t="shared" si="18"/>
        <v>0.63335648148148138</v>
      </c>
      <c r="L235" s="8"/>
      <c r="M235" s="8"/>
      <c r="N235" s="8">
        <v>7.789351851851852E-3</v>
      </c>
      <c r="O235" s="12"/>
      <c r="P235" s="16">
        <f t="shared" si="16"/>
        <v>1.0285714285714271</v>
      </c>
    </row>
    <row r="236" spans="1:16" ht="14.5">
      <c r="A236" s="142">
        <f t="shared" si="19"/>
        <v>235</v>
      </c>
      <c r="B236" s="142" t="str">
        <f>VLOOKUP(D236,Task!$B:$E,4,0)</f>
        <v>Task</v>
      </c>
      <c r="C236" s="150">
        <v>45726</v>
      </c>
      <c r="D236" s="7" t="s">
        <v>36</v>
      </c>
      <c r="E236" s="7">
        <v>4</v>
      </c>
      <c r="F236" s="8">
        <v>6.9444444444444447E-4</v>
      </c>
      <c r="G236" s="9">
        <v>2.7777777777777779E-3</v>
      </c>
      <c r="H236" s="10">
        <v>0.63237268518518519</v>
      </c>
      <c r="I236" s="10">
        <v>0.63491898148148151</v>
      </c>
      <c r="J236" s="57">
        <f t="shared" si="17"/>
        <v>2.5462962962963243E-3</v>
      </c>
      <c r="K236" s="129">
        <f t="shared" si="18"/>
        <v>0.63515046296296296</v>
      </c>
      <c r="L236" s="8"/>
      <c r="M236" s="8"/>
      <c r="N236" s="8"/>
      <c r="O236" s="12"/>
      <c r="P236" s="16">
        <f t="shared" si="16"/>
        <v>1.0909090909090791</v>
      </c>
    </row>
    <row r="237" spans="1:16" ht="14.5">
      <c r="A237" s="142">
        <f t="shared" si="19"/>
        <v>236</v>
      </c>
      <c r="B237" s="142" t="str">
        <f>VLOOKUP(D237,Task!$B:$E,4,0)</f>
        <v>Task</v>
      </c>
      <c r="C237" s="150">
        <v>45726</v>
      </c>
      <c r="D237" s="7" t="s">
        <v>19</v>
      </c>
      <c r="E237" s="7">
        <v>20</v>
      </c>
      <c r="F237" s="8">
        <v>2.7777777777777779E-3</v>
      </c>
      <c r="G237" s="9">
        <v>5.5555555555555559E-2</v>
      </c>
      <c r="H237" s="10">
        <v>0.63491898148148151</v>
      </c>
      <c r="I237" s="10">
        <v>0.68776620370370367</v>
      </c>
      <c r="J237" s="57">
        <f t="shared" si="17"/>
        <v>5.2847222222222157E-2</v>
      </c>
      <c r="K237" s="129">
        <f t="shared" si="18"/>
        <v>0.69047453703703709</v>
      </c>
      <c r="L237" s="8"/>
      <c r="M237" s="8"/>
      <c r="N237" s="8"/>
      <c r="O237" s="12"/>
      <c r="P237" s="16">
        <f t="shared" si="16"/>
        <v>1.0512483574244429</v>
      </c>
    </row>
    <row r="238" spans="1:16" ht="14.5">
      <c r="A238" s="142">
        <f t="shared" si="19"/>
        <v>237</v>
      </c>
      <c r="B238" s="142" t="str">
        <f>VLOOKUP(D238,Task!$B:$E,4,0)</f>
        <v>Report</v>
      </c>
      <c r="C238" s="150">
        <v>45727</v>
      </c>
      <c r="D238" s="7" t="s">
        <v>18</v>
      </c>
      <c r="E238" s="7">
        <v>1</v>
      </c>
      <c r="F238" s="8">
        <v>4.8611111111111112E-2</v>
      </c>
      <c r="G238" s="9">
        <v>4.8611111111111112E-2</v>
      </c>
      <c r="H238" s="10">
        <v>0.29738425925925926</v>
      </c>
      <c r="I238" s="10">
        <v>0.34962962962962962</v>
      </c>
      <c r="J238" s="57">
        <f t="shared" si="17"/>
        <v>4.4432870370370359E-2</v>
      </c>
      <c r="K238" s="129">
        <f t="shared" si="18"/>
        <v>0.35380787037037037</v>
      </c>
      <c r="L238" s="8"/>
      <c r="M238" s="8"/>
      <c r="N238" s="8">
        <v>7.8125E-3</v>
      </c>
      <c r="O238" s="18"/>
      <c r="P238" s="16">
        <f t="shared" si="16"/>
        <v>1.0940349049231575</v>
      </c>
    </row>
    <row r="239" spans="1:16" ht="14.5">
      <c r="A239" s="142">
        <f t="shared" si="19"/>
        <v>238</v>
      </c>
      <c r="B239" s="142" t="str">
        <f>VLOOKUP(D239,Task!$B:$E,4,0)</f>
        <v>Report</v>
      </c>
      <c r="C239" s="150">
        <v>45727</v>
      </c>
      <c r="D239" s="7" t="s">
        <v>18</v>
      </c>
      <c r="E239" s="7">
        <v>1</v>
      </c>
      <c r="F239" s="8">
        <v>4.8611111111111112E-2</v>
      </c>
      <c r="G239" s="9">
        <v>4.8611111111111112E-2</v>
      </c>
      <c r="H239" s="10">
        <v>0.34962962962962962</v>
      </c>
      <c r="I239" s="10">
        <v>0.40001157407407406</v>
      </c>
      <c r="J239" s="57">
        <f t="shared" si="17"/>
        <v>4.748842592592592E-2</v>
      </c>
      <c r="K239" s="129">
        <f t="shared" si="18"/>
        <v>0.40113425925925927</v>
      </c>
      <c r="L239" s="8"/>
      <c r="M239" s="8"/>
      <c r="N239" s="8">
        <v>2.8935185185185184E-3</v>
      </c>
      <c r="O239" s="18" t="s">
        <v>81</v>
      </c>
      <c r="P239" s="16">
        <f t="shared" si="16"/>
        <v>1.0236412381184501</v>
      </c>
    </row>
    <row r="240" spans="1:16" ht="14.5">
      <c r="A240" s="142">
        <f t="shared" si="19"/>
        <v>239</v>
      </c>
      <c r="B240" s="142" t="str">
        <f>VLOOKUP(D240,Task!$B:$E,4,0)</f>
        <v>Task</v>
      </c>
      <c r="C240" s="150">
        <v>45727</v>
      </c>
      <c r="D240" s="7" t="s">
        <v>16</v>
      </c>
      <c r="E240" s="7">
        <v>4</v>
      </c>
      <c r="F240" s="8">
        <v>5.5555555555555558E-3</v>
      </c>
      <c r="G240" s="9">
        <v>2.2222222222222223E-2</v>
      </c>
      <c r="H240" s="10">
        <v>0.40001157407407406</v>
      </c>
      <c r="I240" s="10">
        <v>0.42082175925925924</v>
      </c>
      <c r="J240" s="57">
        <f t="shared" si="17"/>
        <v>2.0810185185185182E-2</v>
      </c>
      <c r="K240" s="129">
        <f t="shared" si="18"/>
        <v>0.42223379629629626</v>
      </c>
      <c r="L240" s="8"/>
      <c r="M240" s="8"/>
      <c r="N240" s="8"/>
      <c r="O240" s="18" t="s">
        <v>82</v>
      </c>
      <c r="P240" s="16">
        <f t="shared" si="16"/>
        <v>1.0678531701890992</v>
      </c>
    </row>
    <row r="241" spans="1:16" ht="14.5">
      <c r="A241" s="142">
        <f t="shared" si="19"/>
        <v>240</v>
      </c>
      <c r="B241" s="142" t="str">
        <f>VLOOKUP(D241,Task!$B:$E,4,0)</f>
        <v>Task</v>
      </c>
      <c r="C241" s="150">
        <v>45727</v>
      </c>
      <c r="D241" s="7" t="s">
        <v>19</v>
      </c>
      <c r="E241" s="7">
        <v>47</v>
      </c>
      <c r="F241" s="8">
        <v>2.7777777777777779E-3</v>
      </c>
      <c r="G241" s="9">
        <v>0.13055555555555556</v>
      </c>
      <c r="H241" s="10">
        <v>0.42082175925925924</v>
      </c>
      <c r="I241" s="10">
        <v>0.61690972222222218</v>
      </c>
      <c r="J241" s="57">
        <f t="shared" si="17"/>
        <v>0.12335648148148146</v>
      </c>
      <c r="K241" s="129">
        <f t="shared" si="18"/>
        <v>0.62410879629629623</v>
      </c>
      <c r="L241" s="8"/>
      <c r="M241" s="8"/>
      <c r="N241" s="8">
        <v>7.273148148148148E-2</v>
      </c>
      <c r="O241" s="18"/>
      <c r="P241" s="16">
        <f t="shared" si="16"/>
        <v>1.0583599174329146</v>
      </c>
    </row>
    <row r="242" spans="1:16" ht="14.5">
      <c r="A242" s="142">
        <f t="shared" si="19"/>
        <v>241</v>
      </c>
      <c r="B242" s="142" t="str">
        <f>VLOOKUP(D242,Task!$B:$E,4,0)</f>
        <v>Report</v>
      </c>
      <c r="C242" s="150">
        <v>45727</v>
      </c>
      <c r="D242" s="7" t="s">
        <v>65</v>
      </c>
      <c r="E242" s="7">
        <v>1</v>
      </c>
      <c r="F242" s="8">
        <v>2.0833333333333332E-2</v>
      </c>
      <c r="G242" s="9">
        <v>2.0833333333333332E-2</v>
      </c>
      <c r="H242" s="10">
        <v>0.51009259259259254</v>
      </c>
      <c r="I242" s="10">
        <v>0.52921296296296294</v>
      </c>
      <c r="J242" s="57">
        <f t="shared" si="17"/>
        <v>1.9120370370370399E-2</v>
      </c>
      <c r="K242" s="129">
        <f t="shared" si="18"/>
        <v>0.53092592592592591</v>
      </c>
      <c r="L242" s="8"/>
      <c r="M242" s="8"/>
      <c r="N242" s="8"/>
      <c r="O242" s="18" t="s">
        <v>72</v>
      </c>
      <c r="P242" s="16">
        <f t="shared" si="16"/>
        <v>1.0895883777239692</v>
      </c>
    </row>
    <row r="243" spans="1:16" ht="14.5">
      <c r="A243" s="142">
        <f t="shared" si="19"/>
        <v>242</v>
      </c>
      <c r="B243" s="142" t="str">
        <f>VLOOKUP(D243,Task!$B:$E,4,0)</f>
        <v>Task</v>
      </c>
      <c r="C243" s="150">
        <v>45727</v>
      </c>
      <c r="D243" s="7" t="s">
        <v>38</v>
      </c>
      <c r="E243" s="7">
        <v>9</v>
      </c>
      <c r="F243" s="8">
        <v>2.7777777777777779E-3</v>
      </c>
      <c r="G243" s="9">
        <v>2.5000000000000001E-2</v>
      </c>
      <c r="H243" s="10">
        <v>0.61690972222222218</v>
      </c>
      <c r="I243" s="10">
        <v>0.64017361111111115</v>
      </c>
      <c r="J243" s="57">
        <f t="shared" si="17"/>
        <v>2.3263888888888973E-2</v>
      </c>
      <c r="K243" s="129">
        <f t="shared" si="18"/>
        <v>0.6419097222222222</v>
      </c>
      <c r="L243" s="8"/>
      <c r="M243" s="8"/>
      <c r="N243" s="8"/>
      <c r="O243" s="12"/>
      <c r="P243" s="16">
        <f t="shared" si="16"/>
        <v>1.074626865671638</v>
      </c>
    </row>
    <row r="244" spans="1:16" ht="14.5">
      <c r="A244" s="142">
        <f t="shared" si="19"/>
        <v>243</v>
      </c>
      <c r="B244" s="142" t="str">
        <f>VLOOKUP(D244,Task!$B:$E,4,0)</f>
        <v>Task</v>
      </c>
      <c r="C244" s="150">
        <v>45727</v>
      </c>
      <c r="D244" s="7" t="s">
        <v>16</v>
      </c>
      <c r="E244" s="7">
        <v>7</v>
      </c>
      <c r="F244" s="8">
        <v>5.5555555555555558E-3</v>
      </c>
      <c r="G244" s="9">
        <v>3.888888888888889E-2</v>
      </c>
      <c r="H244" s="10">
        <v>0.64017361111111115</v>
      </c>
      <c r="I244" s="10">
        <v>0.67361111111111116</v>
      </c>
      <c r="J244" s="57">
        <f t="shared" si="17"/>
        <v>3.3437500000000009E-2</v>
      </c>
      <c r="K244" s="129">
        <f t="shared" si="18"/>
        <v>0.67906250000000001</v>
      </c>
      <c r="L244" s="8"/>
      <c r="M244" s="8"/>
      <c r="N244" s="8"/>
      <c r="O244" s="12"/>
      <c r="P244" s="16">
        <f t="shared" si="16"/>
        <v>1.163032191069574</v>
      </c>
    </row>
    <row r="245" spans="1:16" ht="14.5">
      <c r="A245" s="142">
        <f t="shared" si="19"/>
        <v>244</v>
      </c>
      <c r="B245" s="142" t="str">
        <f>VLOOKUP(D245,Task!$B:$E,4,0)</f>
        <v>Report</v>
      </c>
      <c r="C245" s="150">
        <v>45728</v>
      </c>
      <c r="D245" s="7" t="s">
        <v>18</v>
      </c>
      <c r="E245" s="7">
        <v>1</v>
      </c>
      <c r="F245" s="8">
        <v>4.8611111111111112E-2</v>
      </c>
      <c r="G245" s="9">
        <v>4.8611111111111112E-2</v>
      </c>
      <c r="H245" s="10">
        <v>0.31135416666666671</v>
      </c>
      <c r="I245" s="10">
        <v>0.36185185185185187</v>
      </c>
      <c r="J245" s="57">
        <f t="shared" si="17"/>
        <v>4.3587962962962939E-2</v>
      </c>
      <c r="K245" s="129">
        <f t="shared" si="18"/>
        <v>0.36687500000000006</v>
      </c>
      <c r="L245" s="8"/>
      <c r="M245" s="8"/>
      <c r="N245" s="8">
        <v>6.9097222222222225E-3</v>
      </c>
      <c r="O245" s="12"/>
      <c r="P245" s="16">
        <f t="shared" si="16"/>
        <v>1.115241635687733</v>
      </c>
    </row>
    <row r="246" spans="1:16" ht="14.5">
      <c r="A246" s="142">
        <f t="shared" si="19"/>
        <v>245</v>
      </c>
      <c r="B246" s="142" t="str">
        <f>VLOOKUP(D246,Task!$B:$E,4,0)</f>
        <v>Task</v>
      </c>
      <c r="C246" s="150">
        <v>45728</v>
      </c>
      <c r="D246" s="7" t="s">
        <v>16</v>
      </c>
      <c r="E246" s="7">
        <v>26</v>
      </c>
      <c r="F246" s="8">
        <v>5.5555555555555558E-3</v>
      </c>
      <c r="G246" s="9">
        <v>0.14444444444444446</v>
      </c>
      <c r="H246" s="10">
        <v>0.36185185185185187</v>
      </c>
      <c r="I246" s="10">
        <v>0.49349537037037039</v>
      </c>
      <c r="J246" s="57">
        <f t="shared" si="17"/>
        <v>0.13164351851851852</v>
      </c>
      <c r="K246" s="129">
        <f t="shared" si="18"/>
        <v>0.50629629629629636</v>
      </c>
      <c r="L246" s="8"/>
      <c r="M246" s="8"/>
      <c r="N246" s="8"/>
      <c r="O246" s="12"/>
      <c r="P246" s="16">
        <f t="shared" si="16"/>
        <v>1.0972393177422193</v>
      </c>
    </row>
    <row r="247" spans="1:16" ht="14.5">
      <c r="A247" s="142">
        <f t="shared" si="19"/>
        <v>246</v>
      </c>
      <c r="B247" s="142" t="str">
        <f>VLOOKUP(D247,Task!$B:$E,4,0)</f>
        <v>Task</v>
      </c>
      <c r="C247" s="150">
        <v>45728</v>
      </c>
      <c r="D247" s="7" t="s">
        <v>16</v>
      </c>
      <c r="E247" s="7">
        <v>16</v>
      </c>
      <c r="F247" s="8">
        <v>5.5555555555555558E-3</v>
      </c>
      <c r="G247" s="9">
        <v>8.8888888888888892E-2</v>
      </c>
      <c r="H247" s="10">
        <v>0.49349537037037039</v>
      </c>
      <c r="I247" s="10">
        <v>0.63958333333333328</v>
      </c>
      <c r="J247" s="57">
        <f t="shared" si="17"/>
        <v>8.1863425925925853E-2</v>
      </c>
      <c r="K247" s="129">
        <f t="shared" si="18"/>
        <v>0.64660879629629631</v>
      </c>
      <c r="L247" s="8"/>
      <c r="M247" s="8"/>
      <c r="N247" s="8">
        <v>6.4224537037037038E-2</v>
      </c>
      <c r="O247" s="12"/>
      <c r="P247" s="16">
        <f t="shared" si="16"/>
        <v>1.0858193128799671</v>
      </c>
    </row>
    <row r="248" spans="1:16" ht="14.5">
      <c r="A248" s="142">
        <f t="shared" si="19"/>
        <v>247</v>
      </c>
      <c r="B248" s="142" t="str">
        <f>VLOOKUP(D248,Task!$B:$E,4,0)</f>
        <v>Task</v>
      </c>
      <c r="C248" s="150">
        <v>45728</v>
      </c>
      <c r="D248" s="7" t="s">
        <v>16</v>
      </c>
      <c r="E248" s="7">
        <v>9</v>
      </c>
      <c r="F248" s="8">
        <v>5.5555555555555558E-3</v>
      </c>
      <c r="G248" s="9">
        <v>0.05</v>
      </c>
      <c r="H248" s="10">
        <v>0.63958333333333328</v>
      </c>
      <c r="I248" s="10">
        <v>0.6875</v>
      </c>
      <c r="J248" s="57">
        <f t="shared" si="17"/>
        <v>4.7916666666666718E-2</v>
      </c>
      <c r="K248" s="129">
        <f t="shared" si="18"/>
        <v>0.68958333333333333</v>
      </c>
      <c r="L248" s="8"/>
      <c r="M248" s="8"/>
      <c r="N248" s="8"/>
      <c r="O248" s="12"/>
      <c r="P248" s="16">
        <f t="shared" si="16"/>
        <v>1.0434782608695641</v>
      </c>
    </row>
    <row r="249" spans="1:16" ht="14.5">
      <c r="A249" s="142">
        <f t="shared" si="19"/>
        <v>248</v>
      </c>
      <c r="B249" s="142" t="str">
        <f>VLOOKUP(D249,Task!$B:$E,4,0)</f>
        <v>Report</v>
      </c>
      <c r="C249" s="150">
        <v>45729</v>
      </c>
      <c r="D249" s="7" t="s">
        <v>43</v>
      </c>
      <c r="E249" s="7">
        <v>1</v>
      </c>
      <c r="F249" s="8">
        <v>3.4722222222222224E-2</v>
      </c>
      <c r="G249" s="9">
        <v>3.4722222222222224E-2</v>
      </c>
      <c r="H249" s="10">
        <v>0.29442129629629632</v>
      </c>
      <c r="I249" s="10">
        <v>0.32474537037037043</v>
      </c>
      <c r="J249" s="57">
        <f t="shared" si="17"/>
        <v>3.0324074074074114E-2</v>
      </c>
      <c r="K249" s="129">
        <f t="shared" si="18"/>
        <v>0.32914351851851853</v>
      </c>
      <c r="L249" s="8"/>
      <c r="M249" s="8"/>
      <c r="N249" s="8"/>
      <c r="O249" s="12"/>
      <c r="P249" s="16">
        <f t="shared" si="16"/>
        <v>1.1450381679389299</v>
      </c>
    </row>
    <row r="250" spans="1:16" ht="14.5">
      <c r="A250" s="142">
        <f t="shared" si="19"/>
        <v>249</v>
      </c>
      <c r="B250" s="142" t="str">
        <f>VLOOKUP(D250,Task!$B:$E,4,0)</f>
        <v>Report</v>
      </c>
      <c r="C250" s="150">
        <v>45729</v>
      </c>
      <c r="D250" s="7" t="s">
        <v>42</v>
      </c>
      <c r="E250" s="7">
        <v>1</v>
      </c>
      <c r="F250" s="8">
        <v>6.9444444444444441E-3</v>
      </c>
      <c r="G250" s="9">
        <v>6.9444444444444441E-3</v>
      </c>
      <c r="H250" s="10">
        <v>0.32474537037037043</v>
      </c>
      <c r="I250" s="10">
        <v>0.33140046296296294</v>
      </c>
      <c r="J250" s="57">
        <f t="shared" si="17"/>
        <v>6.6550925925925042E-3</v>
      </c>
      <c r="K250" s="129">
        <f t="shared" si="18"/>
        <v>0.33168981481481485</v>
      </c>
      <c r="L250" s="8"/>
      <c r="M250" s="8"/>
      <c r="N250" s="8"/>
      <c r="O250" s="12"/>
      <c r="P250" s="16">
        <f t="shared" si="16"/>
        <v>1.043478260869579</v>
      </c>
    </row>
    <row r="251" spans="1:16" ht="14.5">
      <c r="A251" s="142">
        <f t="shared" si="19"/>
        <v>250</v>
      </c>
      <c r="B251" s="142" t="str">
        <f>VLOOKUP(D251,Task!$B:$E,4,0)</f>
        <v>Report</v>
      </c>
      <c r="C251" s="150">
        <v>45729</v>
      </c>
      <c r="D251" s="7" t="s">
        <v>18</v>
      </c>
      <c r="E251" s="7">
        <v>1</v>
      </c>
      <c r="F251" s="8">
        <v>4.8611111111111112E-2</v>
      </c>
      <c r="G251" s="9">
        <v>4.8611111111111112E-2</v>
      </c>
      <c r="H251" s="10">
        <v>0.33140046296296294</v>
      </c>
      <c r="I251" s="10">
        <v>0.38216435185185182</v>
      </c>
      <c r="J251" s="57">
        <f t="shared" si="17"/>
        <v>4.3969907407407402E-2</v>
      </c>
      <c r="K251" s="129">
        <f t="shared" si="18"/>
        <v>0.38680555555555551</v>
      </c>
      <c r="L251" s="8"/>
      <c r="M251" s="8"/>
      <c r="N251" s="8">
        <v>6.7939814814814816E-3</v>
      </c>
      <c r="O251" s="12"/>
      <c r="P251" s="16">
        <f t="shared" si="16"/>
        <v>1.1055540931824166</v>
      </c>
    </row>
    <row r="252" spans="1:16" ht="14.5">
      <c r="A252" s="142">
        <f t="shared" si="19"/>
        <v>251</v>
      </c>
      <c r="B252" s="142" t="str">
        <f>VLOOKUP(D252,Task!$B:$E,4,0)</f>
        <v>Task</v>
      </c>
      <c r="C252" s="150">
        <v>45729</v>
      </c>
      <c r="D252" s="7" t="s">
        <v>16</v>
      </c>
      <c r="E252" s="7">
        <v>18</v>
      </c>
      <c r="F252" s="8">
        <v>5.5555555555555558E-3</v>
      </c>
      <c r="G252" s="9">
        <v>0.1</v>
      </c>
      <c r="H252" s="10">
        <v>0.38216435185185182</v>
      </c>
      <c r="I252" s="10">
        <v>0.47622685185185187</v>
      </c>
      <c r="J252" s="57">
        <f t="shared" si="17"/>
        <v>9.4062500000000049E-2</v>
      </c>
      <c r="K252" s="129">
        <f t="shared" si="18"/>
        <v>0.4821643518518518</v>
      </c>
      <c r="L252" s="8"/>
      <c r="M252" s="8"/>
      <c r="N252" s="8"/>
      <c r="O252" s="18"/>
      <c r="P252" s="16">
        <f t="shared" si="16"/>
        <v>1.0631229235880393</v>
      </c>
    </row>
    <row r="253" spans="1:16" ht="14.5">
      <c r="A253" s="142">
        <f t="shared" si="19"/>
        <v>252</v>
      </c>
      <c r="B253" s="142" t="str">
        <f>VLOOKUP(D253,Task!$B:$E,4,0)</f>
        <v>Task</v>
      </c>
      <c r="C253" s="150">
        <v>45729</v>
      </c>
      <c r="D253" s="7" t="s">
        <v>16</v>
      </c>
      <c r="E253" s="7">
        <v>26</v>
      </c>
      <c r="F253" s="8">
        <v>5.5555555555555558E-3</v>
      </c>
      <c r="G253" s="9">
        <v>0.14444444444444446</v>
      </c>
      <c r="H253" s="10">
        <v>0.47622685185185187</v>
      </c>
      <c r="I253" s="10">
        <v>0.67361111111111116</v>
      </c>
      <c r="J253" s="57">
        <f t="shared" si="17"/>
        <v>0.13156250000000003</v>
      </c>
      <c r="K253" s="129">
        <f t="shared" si="18"/>
        <v>0.68649305555555562</v>
      </c>
      <c r="L253" s="8"/>
      <c r="M253" s="8"/>
      <c r="N253" s="8">
        <v>6.582175925925926E-2</v>
      </c>
      <c r="O253" s="12"/>
      <c r="P253" s="16">
        <f t="shared" si="16"/>
        <v>1.0979150171549221</v>
      </c>
    </row>
    <row r="254" spans="1:16" ht="14.5">
      <c r="A254" s="142">
        <f t="shared" si="19"/>
        <v>253</v>
      </c>
      <c r="B254" s="142" t="str">
        <f>VLOOKUP(D254,Task!$B:$E,4,0)</f>
        <v>Task</v>
      </c>
      <c r="C254" s="150">
        <v>45730</v>
      </c>
      <c r="D254" s="7" t="s">
        <v>37</v>
      </c>
      <c r="E254" s="7">
        <v>130</v>
      </c>
      <c r="F254" s="8">
        <v>1.3888888888888889E-3</v>
      </c>
      <c r="G254" s="9">
        <v>0.18055555555555555</v>
      </c>
      <c r="H254" s="10">
        <v>0.3117361111111111</v>
      </c>
      <c r="I254" s="10">
        <v>0.5178935185185185</v>
      </c>
      <c r="J254" s="57">
        <f t="shared" si="17"/>
        <v>0.1675810185185185</v>
      </c>
      <c r="K254" s="129">
        <f t="shared" si="18"/>
        <v>0.53086805555555561</v>
      </c>
      <c r="L254" s="8"/>
      <c r="M254" s="8"/>
      <c r="N254" s="8">
        <v>3.8576388888888889E-2</v>
      </c>
      <c r="O254" s="18"/>
      <c r="P254" s="16">
        <f t="shared" si="16"/>
        <v>1.0774224739277576</v>
      </c>
    </row>
    <row r="255" spans="1:16" ht="14.5">
      <c r="A255" s="142">
        <f t="shared" si="19"/>
        <v>254</v>
      </c>
      <c r="B255" s="142" t="str">
        <f>VLOOKUP(D255,Task!$B:$E,4,0)</f>
        <v>Task</v>
      </c>
      <c r="C255" s="150">
        <v>45730</v>
      </c>
      <c r="D255" s="7" t="s">
        <v>20</v>
      </c>
      <c r="E255" s="7">
        <v>8</v>
      </c>
      <c r="F255" s="8">
        <v>2.0833333333333333E-3</v>
      </c>
      <c r="G255" s="9">
        <v>1.6666666666666666E-2</v>
      </c>
      <c r="H255" s="10">
        <v>0.5178935185185185</v>
      </c>
      <c r="I255" s="10">
        <v>0.53332175925925929</v>
      </c>
      <c r="J255" s="57">
        <f t="shared" si="17"/>
        <v>1.5428240740740784E-2</v>
      </c>
      <c r="K255" s="129">
        <f t="shared" si="18"/>
        <v>0.53456018518518522</v>
      </c>
      <c r="L255" s="8"/>
      <c r="M255" s="8"/>
      <c r="N255" s="8"/>
      <c r="O255" s="12"/>
      <c r="P255" s="16">
        <f t="shared" si="16"/>
        <v>1.0802700675168762</v>
      </c>
    </row>
    <row r="256" spans="1:16" ht="14.5">
      <c r="A256" s="142">
        <f t="shared" si="19"/>
        <v>255</v>
      </c>
      <c r="B256" s="142" t="str">
        <f>VLOOKUP(D256,Task!$B:$E,4,0)</f>
        <v>Task</v>
      </c>
      <c r="C256" s="150">
        <v>45730</v>
      </c>
      <c r="D256" s="7" t="s">
        <v>29</v>
      </c>
      <c r="E256" s="7">
        <v>8</v>
      </c>
      <c r="F256" s="8">
        <v>2.0833333333333333E-3</v>
      </c>
      <c r="G256" s="9">
        <v>1.6666666666666666E-2</v>
      </c>
      <c r="H256" s="10">
        <v>0.53332175925925929</v>
      </c>
      <c r="I256" s="10">
        <v>0.54885416666666675</v>
      </c>
      <c r="J256" s="57">
        <f t="shared" si="17"/>
        <v>1.5532407407407467E-2</v>
      </c>
      <c r="K256" s="129">
        <f t="shared" si="18"/>
        <v>0.54998842592592601</v>
      </c>
      <c r="L256" s="8"/>
      <c r="M256" s="8"/>
      <c r="N256" s="8"/>
      <c r="O256" s="12"/>
      <c r="P256" s="16">
        <f t="shared" si="16"/>
        <v>1.0730253353204131</v>
      </c>
    </row>
    <row r="257" spans="1:16" ht="14.5">
      <c r="A257" s="142">
        <f t="shared" si="19"/>
        <v>256</v>
      </c>
      <c r="B257" s="142" t="str">
        <f>VLOOKUP(D257,Task!$B:$E,4,0)</f>
        <v>Task</v>
      </c>
      <c r="C257" s="150">
        <v>45730</v>
      </c>
      <c r="D257" s="7" t="s">
        <v>19</v>
      </c>
      <c r="E257" s="7">
        <v>8</v>
      </c>
      <c r="F257" s="8">
        <v>2.7777777777777779E-3</v>
      </c>
      <c r="G257" s="9">
        <v>2.2222222222222223E-2</v>
      </c>
      <c r="H257" s="10">
        <v>0.54885416666666675</v>
      </c>
      <c r="I257" s="10">
        <v>0.60346064814814815</v>
      </c>
      <c r="J257" s="57">
        <f t="shared" si="17"/>
        <v>2.1157407407407319E-2</v>
      </c>
      <c r="K257" s="129">
        <f t="shared" si="18"/>
        <v>0.60452546296296306</v>
      </c>
      <c r="L257" s="8"/>
      <c r="M257" s="8"/>
      <c r="N257" s="8">
        <v>3.3449074074074076E-2</v>
      </c>
      <c r="O257" s="12"/>
      <c r="P257" s="16">
        <f t="shared" si="16"/>
        <v>1.0503282275711203</v>
      </c>
    </row>
    <row r="258" spans="1:16" ht="14.5">
      <c r="A258" s="142">
        <f t="shared" si="19"/>
        <v>257</v>
      </c>
      <c r="B258" s="142" t="str">
        <f>VLOOKUP(D258,Task!$B:$E,4,0)</f>
        <v>Report</v>
      </c>
      <c r="C258" s="150">
        <v>45730</v>
      </c>
      <c r="D258" s="7" t="s">
        <v>18</v>
      </c>
      <c r="E258" s="7">
        <v>2</v>
      </c>
      <c r="F258" s="8">
        <v>4.8611111111111112E-2</v>
      </c>
      <c r="G258" s="9">
        <v>9.7222222222222224E-2</v>
      </c>
      <c r="H258" s="10">
        <v>0.60346064814814815</v>
      </c>
      <c r="I258" s="10">
        <v>0.68888888888888888</v>
      </c>
      <c r="J258" s="57">
        <f t="shared" si="17"/>
        <v>8.5428240740740735E-2</v>
      </c>
      <c r="K258" s="129">
        <f t="shared" si="18"/>
        <v>0.70068287037037036</v>
      </c>
      <c r="L258" s="8"/>
      <c r="M258" s="8"/>
      <c r="N258" s="8"/>
      <c r="O258" s="12"/>
      <c r="P258" s="16">
        <f t="shared" ref="P258:P321" si="20">IFERROR(G258/J258," ")</f>
        <v>1.1380571738246852</v>
      </c>
    </row>
    <row r="259" spans="1:16" ht="14.5">
      <c r="A259" s="142">
        <f t="shared" si="19"/>
        <v>258</v>
      </c>
      <c r="B259" s="142" t="str">
        <f>VLOOKUP(D259,Task!$B:$E,4,0)</f>
        <v>Report</v>
      </c>
      <c r="C259" s="150">
        <v>45733</v>
      </c>
      <c r="D259" s="7" t="s">
        <v>42</v>
      </c>
      <c r="E259" s="7">
        <v>1</v>
      </c>
      <c r="F259" s="8">
        <v>6.9444444444444441E-3</v>
      </c>
      <c r="G259" s="9">
        <v>6.9444444444444441E-3</v>
      </c>
      <c r="H259" s="10">
        <v>0.30081018518518521</v>
      </c>
      <c r="I259" s="10">
        <v>0.30760416666666668</v>
      </c>
      <c r="J259" s="57">
        <f t="shared" ref="J259:J322" si="21">IF(I259="","", IF(N259=" ",IF(OR(H259=0,I259=0),"",I259-H259),((I259-H259)-N259)))</f>
        <v>6.7939814814814703E-3</v>
      </c>
      <c r="K259" s="129">
        <f t="shared" ref="K259:K322" si="22">IFERROR(IF(N259=" ",(H259+G259),(H259+G259+N259)),"")</f>
        <v>0.30775462962962963</v>
      </c>
      <c r="L259" s="8"/>
      <c r="M259" s="8"/>
      <c r="N259" s="8"/>
      <c r="O259" s="18"/>
      <c r="P259" s="16">
        <f t="shared" si="20"/>
        <v>1.0221465076661005</v>
      </c>
    </row>
    <row r="260" spans="1:16" ht="14.5">
      <c r="A260" s="142">
        <f t="shared" ref="A260:A323" si="23">A259+1</f>
        <v>259</v>
      </c>
      <c r="B260" s="142" t="str">
        <f>VLOOKUP(D260,Task!$B:$E,4,0)</f>
        <v>Report</v>
      </c>
      <c r="C260" s="150">
        <v>45733</v>
      </c>
      <c r="D260" s="7" t="s">
        <v>43</v>
      </c>
      <c r="E260" s="7">
        <v>1</v>
      </c>
      <c r="F260" s="8">
        <v>3.4722222222222224E-2</v>
      </c>
      <c r="G260" s="9">
        <v>3.4722222222222224E-2</v>
      </c>
      <c r="H260" s="10">
        <v>0.30760416666666668</v>
      </c>
      <c r="I260" s="10">
        <v>0.34032407407407406</v>
      </c>
      <c r="J260" s="57">
        <f t="shared" si="21"/>
        <v>3.2719907407407378E-2</v>
      </c>
      <c r="K260" s="129">
        <f t="shared" si="22"/>
        <v>0.34232638888888889</v>
      </c>
      <c r="L260" s="8"/>
      <c r="M260" s="8"/>
      <c r="N260" s="8"/>
      <c r="O260" s="18"/>
      <c r="P260" s="16">
        <f t="shared" si="20"/>
        <v>1.0611956137247975</v>
      </c>
    </row>
    <row r="261" spans="1:16" ht="14.5">
      <c r="A261" s="142">
        <f t="shared" si="23"/>
        <v>260</v>
      </c>
      <c r="B261" s="142" t="str">
        <f>VLOOKUP(D261,Task!$B:$E,4,0)</f>
        <v>Report</v>
      </c>
      <c r="C261" s="150">
        <v>45733</v>
      </c>
      <c r="D261" s="7" t="s">
        <v>18</v>
      </c>
      <c r="E261" s="7">
        <v>1</v>
      </c>
      <c r="F261" s="8">
        <v>4.8611111111111112E-2</v>
      </c>
      <c r="G261" s="9">
        <v>4.8611111111111112E-2</v>
      </c>
      <c r="H261" s="10">
        <v>0.34032407407407406</v>
      </c>
      <c r="I261" s="10">
        <v>0.39663194444444444</v>
      </c>
      <c r="J261" s="57">
        <f t="shared" si="21"/>
        <v>4.4004629629629644E-2</v>
      </c>
      <c r="K261" s="129">
        <f t="shared" si="22"/>
        <v>0.4012384259259259</v>
      </c>
      <c r="L261" s="8"/>
      <c r="M261" s="8"/>
      <c r="N261" s="8">
        <v>1.2303240740740741E-2</v>
      </c>
      <c r="O261" s="18"/>
      <c r="P261" s="16">
        <f t="shared" si="20"/>
        <v>1.1046817464492369</v>
      </c>
    </row>
    <row r="262" spans="1:16" ht="14.5">
      <c r="A262" s="142">
        <f t="shared" si="23"/>
        <v>261</v>
      </c>
      <c r="B262" s="142" t="str">
        <f>VLOOKUP(D262,Task!$B:$E,4,0)</f>
        <v>Task</v>
      </c>
      <c r="C262" s="150">
        <v>45733</v>
      </c>
      <c r="D262" s="7" t="s">
        <v>37</v>
      </c>
      <c r="E262" s="7">
        <v>57</v>
      </c>
      <c r="F262" s="8">
        <v>1.3888888888888889E-3</v>
      </c>
      <c r="G262" s="9">
        <v>7.9166666666666663E-2</v>
      </c>
      <c r="H262" s="10">
        <v>0.39663194444444444</v>
      </c>
      <c r="I262" s="10">
        <v>0.47247685185185184</v>
      </c>
      <c r="J262" s="57">
        <f t="shared" si="21"/>
        <v>7.092592592592592E-2</v>
      </c>
      <c r="K262" s="129">
        <f t="shared" si="22"/>
        <v>0.48071759259259256</v>
      </c>
      <c r="L262" s="8"/>
      <c r="M262" s="8"/>
      <c r="N262" s="8">
        <v>4.9189814814814816E-3</v>
      </c>
      <c r="O262" s="18"/>
      <c r="P262" s="16">
        <f t="shared" si="20"/>
        <v>1.1161879895561357</v>
      </c>
    </row>
    <row r="263" spans="1:16" ht="14.5">
      <c r="A263" s="142">
        <f t="shared" si="23"/>
        <v>262</v>
      </c>
      <c r="B263" s="142" t="str">
        <f>VLOOKUP(D263,Task!$B:$E,4,0)</f>
        <v>Task</v>
      </c>
      <c r="C263" s="150">
        <v>45733</v>
      </c>
      <c r="D263" s="7" t="s">
        <v>48</v>
      </c>
      <c r="E263" s="7">
        <v>40</v>
      </c>
      <c r="F263" s="8">
        <v>1.736111111111111E-3</v>
      </c>
      <c r="G263" s="9">
        <v>6.9444444444444448E-2</v>
      </c>
      <c r="H263" s="10">
        <v>0.47247685185185184</v>
      </c>
      <c r="I263" s="10">
        <v>0.54107638888888887</v>
      </c>
      <c r="J263" s="57">
        <f t="shared" si="21"/>
        <v>6.3182870370370361E-2</v>
      </c>
      <c r="K263" s="129">
        <f t="shared" si="22"/>
        <v>0.54733796296296289</v>
      </c>
      <c r="L263" s="8"/>
      <c r="M263" s="8"/>
      <c r="N263" s="8">
        <v>5.4166666666666669E-3</v>
      </c>
      <c r="O263" s="12"/>
      <c r="P263" s="16">
        <f t="shared" si="20"/>
        <v>1.0991023997069063</v>
      </c>
    </row>
    <row r="264" spans="1:16" ht="14.5">
      <c r="A264" s="142">
        <f t="shared" si="23"/>
        <v>263</v>
      </c>
      <c r="B264" s="142" t="str">
        <f>VLOOKUP(D264,Task!$B:$E,4,0)</f>
        <v>Task</v>
      </c>
      <c r="C264" s="150">
        <v>45733</v>
      </c>
      <c r="D264" s="7" t="s">
        <v>16</v>
      </c>
      <c r="E264" s="7">
        <v>18</v>
      </c>
      <c r="F264" s="8">
        <v>5.5555555555555558E-3</v>
      </c>
      <c r="G264" s="9">
        <v>0.1</v>
      </c>
      <c r="H264" s="10">
        <v>0.54107638888888887</v>
      </c>
      <c r="I264" s="10">
        <v>0.67708333333333337</v>
      </c>
      <c r="J264" s="57">
        <f t="shared" si="21"/>
        <v>8.7870370370370432E-2</v>
      </c>
      <c r="K264" s="129">
        <f t="shared" si="22"/>
        <v>0.68921296296296297</v>
      </c>
      <c r="L264" s="8"/>
      <c r="M264" s="8"/>
      <c r="N264" s="8">
        <v>4.8136574074074075E-2</v>
      </c>
      <c r="O264" s="12"/>
      <c r="P264" s="16">
        <f t="shared" si="20"/>
        <v>1.1380400421496304</v>
      </c>
    </row>
    <row r="265" spans="1:16" ht="14.5">
      <c r="A265" s="142">
        <f t="shared" si="23"/>
        <v>264</v>
      </c>
      <c r="B265" s="142" t="str">
        <f>VLOOKUP(D265,Task!$B:$E,4,0)</f>
        <v>Report</v>
      </c>
      <c r="C265" s="150">
        <v>45734</v>
      </c>
      <c r="D265" s="7" t="s">
        <v>18</v>
      </c>
      <c r="E265" s="7">
        <v>1</v>
      </c>
      <c r="F265" s="8">
        <v>4.8611111111111112E-2</v>
      </c>
      <c r="G265" s="9">
        <v>4.8611111111111112E-2</v>
      </c>
      <c r="H265" s="10">
        <v>0.29947916666666674</v>
      </c>
      <c r="I265" s="10">
        <v>0.34407407407407409</v>
      </c>
      <c r="J265" s="57">
        <f t="shared" si="21"/>
        <v>4.4594907407407347E-2</v>
      </c>
      <c r="K265" s="129">
        <f t="shared" si="22"/>
        <v>0.34809027777777785</v>
      </c>
      <c r="L265" s="8"/>
      <c r="M265" s="8"/>
      <c r="N265" s="8"/>
      <c r="O265" s="12"/>
      <c r="P265" s="16">
        <f t="shared" si="20"/>
        <v>1.0900596937451352</v>
      </c>
    </row>
    <row r="266" spans="1:16" ht="14.5">
      <c r="A266" s="142">
        <f t="shared" si="23"/>
        <v>265</v>
      </c>
      <c r="B266" s="142" t="str">
        <f>VLOOKUP(D266,Task!$B:$E,4,0)</f>
        <v>Task</v>
      </c>
      <c r="C266" s="150">
        <v>45734</v>
      </c>
      <c r="D266" s="7" t="s">
        <v>29</v>
      </c>
      <c r="E266" s="7">
        <v>40</v>
      </c>
      <c r="F266" s="8">
        <v>2.0833333333333333E-3</v>
      </c>
      <c r="G266" s="9">
        <v>8.3333333333333329E-2</v>
      </c>
      <c r="H266" s="10">
        <v>0.34407407407407409</v>
      </c>
      <c r="I266" s="10">
        <v>0.43177083333333333</v>
      </c>
      <c r="J266" s="57">
        <f t="shared" si="21"/>
        <v>7.6967592592592574E-2</v>
      </c>
      <c r="K266" s="129">
        <f t="shared" si="22"/>
        <v>0.43813657407407408</v>
      </c>
      <c r="L266" s="8"/>
      <c r="M266" s="8"/>
      <c r="N266" s="8">
        <v>1.0729166666666666E-2</v>
      </c>
      <c r="O266" s="12"/>
      <c r="P266" s="16">
        <f t="shared" si="20"/>
        <v>1.0827067669172934</v>
      </c>
    </row>
    <row r="267" spans="1:16" ht="14.5">
      <c r="A267" s="142">
        <f t="shared" si="23"/>
        <v>266</v>
      </c>
      <c r="B267" s="142" t="str">
        <f>VLOOKUP(D267,Task!$B:$E,4,0)</f>
        <v>Task</v>
      </c>
      <c r="C267" s="150">
        <v>45734</v>
      </c>
      <c r="D267" s="7" t="s">
        <v>34</v>
      </c>
      <c r="E267" s="7">
        <v>16</v>
      </c>
      <c r="F267" s="8">
        <v>8.3333333333333332E-3</v>
      </c>
      <c r="G267" s="9">
        <v>0.13333333333333333</v>
      </c>
      <c r="H267" s="10">
        <v>0.43177083333333333</v>
      </c>
      <c r="I267" s="10">
        <v>0.59636574074074078</v>
      </c>
      <c r="J267" s="57">
        <f t="shared" si="21"/>
        <v>0.11803240740740745</v>
      </c>
      <c r="K267" s="129">
        <f t="shared" si="22"/>
        <v>0.61166666666666658</v>
      </c>
      <c r="L267" s="8"/>
      <c r="M267" s="8"/>
      <c r="N267" s="8">
        <v>4.65625E-2</v>
      </c>
      <c r="O267" s="18"/>
      <c r="P267" s="16">
        <f t="shared" si="20"/>
        <v>1.1296332614238083</v>
      </c>
    </row>
    <row r="268" spans="1:16" ht="14.5">
      <c r="A268" s="142">
        <f t="shared" si="23"/>
        <v>267</v>
      </c>
      <c r="B268" s="142" t="str">
        <f>VLOOKUP(D268,Task!$B:$E,4,0)</f>
        <v>Task</v>
      </c>
      <c r="C268" s="150">
        <v>45734</v>
      </c>
      <c r="D268" s="7" t="s">
        <v>34</v>
      </c>
      <c r="E268" s="7">
        <v>8</v>
      </c>
      <c r="F268" s="8">
        <v>8.3333333333333332E-3</v>
      </c>
      <c r="G268" s="9">
        <v>6.6666666666666666E-2</v>
      </c>
      <c r="H268" s="10">
        <v>0.59636574074074078</v>
      </c>
      <c r="I268" s="10">
        <v>0.67361111111111116</v>
      </c>
      <c r="J268" s="57">
        <f t="shared" si="21"/>
        <v>5.7974537037037047E-2</v>
      </c>
      <c r="K268" s="129">
        <f t="shared" si="22"/>
        <v>0.68230324074074078</v>
      </c>
      <c r="L268" s="8"/>
      <c r="M268" s="8"/>
      <c r="N268" s="8">
        <v>1.9270833333333334E-2</v>
      </c>
      <c r="O268" s="12"/>
      <c r="P268" s="16">
        <f t="shared" si="20"/>
        <v>1.1499301257736072</v>
      </c>
    </row>
    <row r="269" spans="1:16" ht="14.5">
      <c r="A269" s="142">
        <f t="shared" si="23"/>
        <v>268</v>
      </c>
      <c r="B269" s="142" t="str">
        <f>VLOOKUP(D269,Task!$B:$E,4,0)</f>
        <v>Task</v>
      </c>
      <c r="C269" s="150">
        <v>45735</v>
      </c>
      <c r="D269" s="7" t="s">
        <v>20</v>
      </c>
      <c r="E269" s="7">
        <v>40</v>
      </c>
      <c r="F269" s="8">
        <v>2.0833333333333333E-3</v>
      </c>
      <c r="G269" s="9">
        <v>8.3333333333333329E-2</v>
      </c>
      <c r="H269" s="10">
        <v>0.29329861111111111</v>
      </c>
      <c r="I269" s="10">
        <v>0.36687500000000001</v>
      </c>
      <c r="J269" s="57">
        <f t="shared" si="21"/>
        <v>7.3576388888888899E-2</v>
      </c>
      <c r="K269" s="129">
        <f t="shared" si="22"/>
        <v>0.37663194444444442</v>
      </c>
      <c r="L269" s="8"/>
      <c r="M269" s="8"/>
      <c r="N269" s="8"/>
      <c r="O269" s="12"/>
      <c r="P269" s="16">
        <f t="shared" si="20"/>
        <v>1.1326097215667765</v>
      </c>
    </row>
    <row r="270" spans="1:16" ht="14.5">
      <c r="A270" s="142">
        <f t="shared" si="23"/>
        <v>269</v>
      </c>
      <c r="B270" s="142" t="str">
        <f>VLOOKUP(D270,Task!$B:$E,4,0)</f>
        <v>Report</v>
      </c>
      <c r="C270" s="150">
        <v>45735</v>
      </c>
      <c r="D270" s="7" t="s">
        <v>30</v>
      </c>
      <c r="E270" s="7">
        <v>3</v>
      </c>
      <c r="F270" s="8">
        <v>4.8611111111111112E-2</v>
      </c>
      <c r="G270" s="9">
        <v>0.14583333333333334</v>
      </c>
      <c r="H270" s="10">
        <v>0.36687500000000001</v>
      </c>
      <c r="I270" s="10">
        <v>0.53322916666666664</v>
      </c>
      <c r="J270" s="57">
        <f t="shared" si="21"/>
        <v>0.12980324074074071</v>
      </c>
      <c r="K270" s="129">
        <f t="shared" si="22"/>
        <v>0.54925925925925922</v>
      </c>
      <c r="L270" s="8"/>
      <c r="M270" s="8"/>
      <c r="N270" s="8">
        <v>3.6550925925925924E-2</v>
      </c>
      <c r="O270" s="12"/>
      <c r="P270" s="16">
        <f t="shared" si="20"/>
        <v>1.1234953187695056</v>
      </c>
    </row>
    <row r="271" spans="1:16" ht="14.5">
      <c r="A271" s="142">
        <f t="shared" si="23"/>
        <v>270</v>
      </c>
      <c r="B271" s="142" t="str">
        <f>VLOOKUP(D271,Task!$B:$E,4,0)</f>
        <v>Task</v>
      </c>
      <c r="C271" s="150">
        <v>45735</v>
      </c>
      <c r="D271" s="7" t="s">
        <v>34</v>
      </c>
      <c r="E271" s="7">
        <v>12</v>
      </c>
      <c r="F271" s="8">
        <v>8.3333333333333332E-3</v>
      </c>
      <c r="G271" s="9">
        <v>0.1</v>
      </c>
      <c r="H271" s="10">
        <v>0.53322916666666664</v>
      </c>
      <c r="I271" s="10">
        <v>0.67013888888888884</v>
      </c>
      <c r="J271" s="57">
        <f t="shared" si="21"/>
        <v>8.9537037037037012E-2</v>
      </c>
      <c r="K271" s="129">
        <f t="shared" si="22"/>
        <v>0.68060185185185185</v>
      </c>
      <c r="L271" s="8"/>
      <c r="M271" s="8"/>
      <c r="N271" s="8">
        <v>4.7372685185185184E-2</v>
      </c>
      <c r="O271" s="12"/>
      <c r="P271" s="16">
        <f t="shared" si="20"/>
        <v>1.1168562564632889</v>
      </c>
    </row>
    <row r="272" spans="1:16" ht="14.5">
      <c r="A272" s="142">
        <f t="shared" si="23"/>
        <v>271</v>
      </c>
      <c r="B272" s="142" t="str">
        <f>VLOOKUP(D272,Task!$B:$E,4,0)</f>
        <v>Report</v>
      </c>
      <c r="C272" s="150">
        <v>45736</v>
      </c>
      <c r="D272" s="7" t="s">
        <v>43</v>
      </c>
      <c r="E272" s="7">
        <v>1</v>
      </c>
      <c r="F272" s="8">
        <v>3.4722222222222224E-2</v>
      </c>
      <c r="G272" s="9">
        <v>3.4722222222222224E-2</v>
      </c>
      <c r="H272" s="10">
        <v>0.30857638888888894</v>
      </c>
      <c r="I272" s="10">
        <v>0.33994212962962961</v>
      </c>
      <c r="J272" s="57">
        <f t="shared" si="21"/>
        <v>3.1365740740740666E-2</v>
      </c>
      <c r="K272" s="129">
        <f t="shared" si="22"/>
        <v>0.34329861111111115</v>
      </c>
      <c r="L272" s="8"/>
      <c r="M272" s="8"/>
      <c r="N272" s="8"/>
      <c r="O272" s="12"/>
      <c r="P272" s="16">
        <f t="shared" si="20"/>
        <v>1.1070110701107039</v>
      </c>
    </row>
    <row r="273" spans="1:16" ht="14.5">
      <c r="A273" s="142">
        <f t="shared" si="23"/>
        <v>272</v>
      </c>
      <c r="B273" s="142" t="str">
        <f>VLOOKUP(D273,Task!$B:$E,4,0)</f>
        <v>Report</v>
      </c>
      <c r="C273" s="150">
        <v>45736</v>
      </c>
      <c r="D273" s="7" t="s">
        <v>42</v>
      </c>
      <c r="E273" s="7">
        <v>1</v>
      </c>
      <c r="F273" s="8">
        <v>6.9444444444444441E-3</v>
      </c>
      <c r="G273" s="9">
        <v>6.9444444444444441E-3</v>
      </c>
      <c r="H273" s="10">
        <v>0.33994212962962961</v>
      </c>
      <c r="I273" s="10">
        <v>0.34636574074074078</v>
      </c>
      <c r="J273" s="57">
        <f t="shared" si="21"/>
        <v>6.4236111111111716E-3</v>
      </c>
      <c r="K273" s="129">
        <f t="shared" si="22"/>
        <v>0.34688657407407403</v>
      </c>
      <c r="L273" s="8"/>
      <c r="M273" s="8"/>
      <c r="N273" s="8"/>
      <c r="O273" s="12"/>
      <c r="P273" s="16">
        <f t="shared" si="20"/>
        <v>1.0810810810810709</v>
      </c>
    </row>
    <row r="274" spans="1:16" ht="14.5">
      <c r="A274" s="142">
        <f t="shared" si="23"/>
        <v>273</v>
      </c>
      <c r="B274" s="142" t="str">
        <f>VLOOKUP(D274,Task!$B:$E,4,0)</f>
        <v>Report</v>
      </c>
      <c r="C274" s="150">
        <v>45736</v>
      </c>
      <c r="D274" s="7" t="s">
        <v>18</v>
      </c>
      <c r="E274" s="7">
        <v>1</v>
      </c>
      <c r="F274" s="8">
        <v>4.8611111111111112E-2</v>
      </c>
      <c r="G274" s="9">
        <v>4.8611111111111112E-2</v>
      </c>
      <c r="H274" s="10">
        <v>0.34636574074074078</v>
      </c>
      <c r="I274" s="10">
        <v>0.39096064814814824</v>
      </c>
      <c r="J274" s="57">
        <f t="shared" si="21"/>
        <v>4.4594907407407458E-2</v>
      </c>
      <c r="K274" s="129">
        <f t="shared" si="22"/>
        <v>0.39497685185185188</v>
      </c>
      <c r="L274" s="8"/>
      <c r="M274" s="8"/>
      <c r="N274" s="8"/>
      <c r="O274" s="12"/>
      <c r="P274" s="16">
        <f t="shared" si="20"/>
        <v>1.0900596937451323</v>
      </c>
    </row>
    <row r="275" spans="1:16" ht="14.5">
      <c r="A275" s="142">
        <f t="shared" si="23"/>
        <v>274</v>
      </c>
      <c r="B275" s="142" t="str">
        <f>VLOOKUP(D275,Task!$B:$E,4,0)</f>
        <v>Task</v>
      </c>
      <c r="C275" s="150">
        <v>45736</v>
      </c>
      <c r="D275" s="7" t="s">
        <v>34</v>
      </c>
      <c r="E275" s="7">
        <v>7</v>
      </c>
      <c r="F275" s="8">
        <v>8.3333333333333332E-3</v>
      </c>
      <c r="G275" s="9">
        <v>5.8333333333333334E-2</v>
      </c>
      <c r="H275" s="10">
        <v>0.39096064814814824</v>
      </c>
      <c r="I275" s="10">
        <v>0.50254629629629632</v>
      </c>
      <c r="J275" s="57">
        <f t="shared" si="21"/>
        <v>5.2256944444444384E-2</v>
      </c>
      <c r="K275" s="129">
        <f t="shared" si="22"/>
        <v>0.50862268518518527</v>
      </c>
      <c r="L275" s="8"/>
      <c r="M275" s="8"/>
      <c r="N275" s="8">
        <v>5.9328703703703703E-2</v>
      </c>
      <c r="O275" s="12"/>
      <c r="P275" s="16">
        <f t="shared" si="20"/>
        <v>1.1162790697674432</v>
      </c>
    </row>
    <row r="276" spans="1:16" ht="14.5">
      <c r="A276" s="142">
        <f t="shared" si="23"/>
        <v>275</v>
      </c>
      <c r="B276" s="142" t="str">
        <f>VLOOKUP(D276,Task!$B:$E,4,0)</f>
        <v>Task</v>
      </c>
      <c r="C276" s="150">
        <v>45736</v>
      </c>
      <c r="D276" s="7" t="s">
        <v>19</v>
      </c>
      <c r="E276" s="7">
        <v>5</v>
      </c>
      <c r="F276" s="8">
        <v>2.7777777777777779E-3</v>
      </c>
      <c r="G276" s="9">
        <v>1.388888888888889E-2</v>
      </c>
      <c r="H276" s="10">
        <v>0.50254629629629632</v>
      </c>
      <c r="I276" s="10">
        <v>0.51572916666666668</v>
      </c>
      <c r="J276" s="57">
        <f t="shared" si="21"/>
        <v>1.3182870370370359E-2</v>
      </c>
      <c r="K276" s="129">
        <f t="shared" si="22"/>
        <v>0.51643518518518516</v>
      </c>
      <c r="L276" s="8"/>
      <c r="M276" s="8"/>
      <c r="N276" s="8"/>
      <c r="O276" s="12"/>
      <c r="P276" s="16">
        <f t="shared" si="20"/>
        <v>1.0535557506584734</v>
      </c>
    </row>
    <row r="277" spans="1:16" ht="14.5">
      <c r="A277" s="142">
        <f t="shared" si="23"/>
        <v>276</v>
      </c>
      <c r="B277" s="142" t="str">
        <f>VLOOKUP(D277,Task!$B:$E,4,0)</f>
        <v>Task</v>
      </c>
      <c r="C277" s="150">
        <v>45736</v>
      </c>
      <c r="D277" s="7" t="s">
        <v>16</v>
      </c>
      <c r="E277" s="7">
        <v>26</v>
      </c>
      <c r="F277" s="8">
        <v>5.5555555555555558E-3</v>
      </c>
      <c r="G277" s="9">
        <v>0.14444444444444446</v>
      </c>
      <c r="H277" s="10">
        <v>0.51572916666666668</v>
      </c>
      <c r="I277" s="10">
        <v>0.68931635416811332</v>
      </c>
      <c r="J277" s="57">
        <f t="shared" si="21"/>
        <v>0.12289274305700219</v>
      </c>
      <c r="K277" s="129">
        <f t="shared" si="22"/>
        <v>0.71086805555555566</v>
      </c>
      <c r="L277" s="8"/>
      <c r="M277" s="8"/>
      <c r="N277" s="8">
        <v>5.0694444444444445E-2</v>
      </c>
      <c r="O277" s="12"/>
      <c r="P277" s="16">
        <f t="shared" si="20"/>
        <v>1.1753700084426124</v>
      </c>
    </row>
    <row r="278" spans="1:16" ht="14.5">
      <c r="A278" s="142">
        <f t="shared" si="23"/>
        <v>277</v>
      </c>
      <c r="B278" s="142" t="str">
        <f>VLOOKUP(D278,Task!$B:$E,4,0)</f>
        <v>Task</v>
      </c>
      <c r="C278" s="150">
        <v>45740</v>
      </c>
      <c r="D278" s="7" t="s">
        <v>36</v>
      </c>
      <c r="E278" s="7">
        <v>95</v>
      </c>
      <c r="F278" s="8">
        <v>6.9444444444444447E-4</v>
      </c>
      <c r="G278" s="9">
        <v>6.5972222222222224E-2</v>
      </c>
      <c r="H278" s="10">
        <v>0.30564814814814822</v>
      </c>
      <c r="I278" s="10">
        <v>0.37432208333484596</v>
      </c>
      <c r="J278" s="57">
        <f t="shared" si="21"/>
        <v>5.6139212964475507E-2</v>
      </c>
      <c r="K278" s="129">
        <f t="shared" si="22"/>
        <v>0.38415509259259267</v>
      </c>
      <c r="L278" s="8"/>
      <c r="M278" s="8"/>
      <c r="N278" s="8">
        <v>1.2534722222222221E-2</v>
      </c>
      <c r="O278" s="12"/>
      <c r="P278" s="16">
        <f t="shared" si="20"/>
        <v>1.1751540276129089</v>
      </c>
    </row>
    <row r="279" spans="1:16" ht="14.5">
      <c r="A279" s="142">
        <f t="shared" si="23"/>
        <v>278</v>
      </c>
      <c r="B279" s="142" t="str">
        <f>VLOOKUP(D279,Task!$B:$E,4,0)</f>
        <v>Report</v>
      </c>
      <c r="C279" s="150">
        <v>45740</v>
      </c>
      <c r="D279" s="7" t="s">
        <v>42</v>
      </c>
      <c r="E279" s="7">
        <v>1</v>
      </c>
      <c r="F279" s="8">
        <v>6.9444444444444441E-3</v>
      </c>
      <c r="G279" s="9">
        <v>6.9444444444444441E-3</v>
      </c>
      <c r="H279" s="10">
        <v>0.40057870370370374</v>
      </c>
      <c r="I279" s="10">
        <v>0.40725694444444444</v>
      </c>
      <c r="J279" s="57">
        <f t="shared" si="21"/>
        <v>6.678240740740693E-3</v>
      </c>
      <c r="K279" s="129">
        <f t="shared" si="22"/>
        <v>0.40752314814814816</v>
      </c>
      <c r="L279" s="8"/>
      <c r="M279" s="8"/>
      <c r="N279" s="8"/>
      <c r="O279" s="12"/>
      <c r="P279" s="16">
        <f t="shared" si="20"/>
        <v>1.0398613518197648</v>
      </c>
    </row>
    <row r="280" spans="1:16" ht="14.5">
      <c r="A280" s="142">
        <f t="shared" si="23"/>
        <v>279</v>
      </c>
      <c r="B280" s="142" t="str">
        <f>VLOOKUP(D280,Task!$B:$E,4,0)</f>
        <v>Report</v>
      </c>
      <c r="C280" s="150">
        <v>45740</v>
      </c>
      <c r="D280" s="7" t="s">
        <v>43</v>
      </c>
      <c r="E280" s="7">
        <v>1</v>
      </c>
      <c r="F280" s="8">
        <v>3.4722222222222224E-2</v>
      </c>
      <c r="G280" s="9">
        <v>3.4722222222222224E-2</v>
      </c>
      <c r="H280" s="10">
        <v>0.40725694444444444</v>
      </c>
      <c r="I280" s="10">
        <v>0.44996527777777784</v>
      </c>
      <c r="J280" s="57">
        <f t="shared" si="21"/>
        <v>3.1296296296296364E-2</v>
      </c>
      <c r="K280" s="129">
        <f t="shared" si="22"/>
        <v>0.45339120370370367</v>
      </c>
      <c r="L280" s="8"/>
      <c r="M280" s="8"/>
      <c r="N280" s="8">
        <v>1.1412037037037037E-2</v>
      </c>
      <c r="O280" s="12"/>
      <c r="P280" s="16">
        <f t="shared" si="20"/>
        <v>1.1094674556212993</v>
      </c>
    </row>
    <row r="281" spans="1:16" ht="14.5">
      <c r="A281" s="142">
        <f t="shared" si="23"/>
        <v>280</v>
      </c>
      <c r="B281" s="142" t="str">
        <f>VLOOKUP(D281,Task!$B:$E,4,0)</f>
        <v>Report</v>
      </c>
      <c r="C281" s="150">
        <v>45740</v>
      </c>
      <c r="D281" s="7" t="s">
        <v>18</v>
      </c>
      <c r="E281" s="7">
        <v>2</v>
      </c>
      <c r="F281" s="8">
        <v>4.8611111111111112E-2</v>
      </c>
      <c r="G281" s="9">
        <v>9.7222222222222224E-2</v>
      </c>
      <c r="H281" s="10">
        <v>0.44996527777777784</v>
      </c>
      <c r="I281" s="10">
        <v>0.54003472222222226</v>
      </c>
      <c r="J281" s="57">
        <f t="shared" si="21"/>
        <v>9.0069444444444424E-2</v>
      </c>
      <c r="K281" s="129">
        <f t="shared" si="22"/>
        <v>0.54718750000000005</v>
      </c>
      <c r="L281" s="8"/>
      <c r="M281" s="8"/>
      <c r="N281" s="8"/>
      <c r="O281" s="12"/>
      <c r="P281" s="16">
        <f t="shared" si="20"/>
        <v>1.0794140323824213</v>
      </c>
    </row>
    <row r="282" spans="1:16" ht="14.5">
      <c r="A282" s="142">
        <f t="shared" si="23"/>
        <v>281</v>
      </c>
      <c r="B282" s="142" t="str">
        <f>VLOOKUP(D282,Task!$B:$E,4,0)</f>
        <v>Task</v>
      </c>
      <c r="C282" s="150">
        <v>45740</v>
      </c>
      <c r="D282" s="7" t="s">
        <v>16</v>
      </c>
      <c r="E282" s="7">
        <v>20</v>
      </c>
      <c r="F282" s="8">
        <v>5.5555555555555558E-3</v>
      </c>
      <c r="G282" s="9">
        <v>0.11111111111111112</v>
      </c>
      <c r="H282" s="10">
        <v>0.54003472222222226</v>
      </c>
      <c r="I282" s="10">
        <v>0.6875</v>
      </c>
      <c r="J282" s="57">
        <f t="shared" si="21"/>
        <v>9.7453703703703654E-2</v>
      </c>
      <c r="K282" s="129">
        <f t="shared" si="22"/>
        <v>0.70115740740740751</v>
      </c>
      <c r="L282" s="8"/>
      <c r="M282" s="8"/>
      <c r="N282" s="8">
        <v>5.0011574074074076E-2</v>
      </c>
      <c r="O282" s="12"/>
      <c r="P282" s="16">
        <f t="shared" si="20"/>
        <v>1.1401425178147275</v>
      </c>
    </row>
    <row r="283" spans="1:16" ht="14.5">
      <c r="A283" s="142">
        <f t="shared" si="23"/>
        <v>282</v>
      </c>
      <c r="B283" s="142" t="str">
        <f>VLOOKUP(D283,Task!$B:$E,4,0)</f>
        <v>Report</v>
      </c>
      <c r="C283" s="150">
        <v>45741</v>
      </c>
      <c r="D283" s="7" t="s">
        <v>18</v>
      </c>
      <c r="E283" s="7">
        <v>3</v>
      </c>
      <c r="F283" s="8">
        <v>4.8611111111111112E-2</v>
      </c>
      <c r="G283" s="9">
        <v>0.14583333333333334</v>
      </c>
      <c r="H283" s="10">
        <v>0.31570601851851854</v>
      </c>
      <c r="I283" s="10">
        <v>0.45019675925925928</v>
      </c>
      <c r="J283" s="57">
        <f t="shared" si="21"/>
        <v>0.13449074074074074</v>
      </c>
      <c r="K283" s="129">
        <f t="shared" si="22"/>
        <v>0.46153935185185191</v>
      </c>
      <c r="L283" s="8"/>
      <c r="M283" s="8"/>
      <c r="N283" s="8"/>
      <c r="O283" s="12"/>
      <c r="P283" s="16">
        <f t="shared" si="20"/>
        <v>1.0843373493975903</v>
      </c>
    </row>
    <row r="284" spans="1:16" ht="14.5">
      <c r="A284" s="142">
        <f t="shared" si="23"/>
        <v>283</v>
      </c>
      <c r="B284" s="142" t="str">
        <f>VLOOKUP(D284,Task!$B:$E,4,0)</f>
        <v>Task</v>
      </c>
      <c r="C284" s="150">
        <v>45741</v>
      </c>
      <c r="D284" s="7" t="s">
        <v>34</v>
      </c>
      <c r="E284" s="7">
        <v>25</v>
      </c>
      <c r="F284" s="8">
        <v>8.3333333333333332E-3</v>
      </c>
      <c r="G284" s="9">
        <v>0.20833333333333334</v>
      </c>
      <c r="H284" s="10">
        <v>0.45019675925925928</v>
      </c>
      <c r="I284" s="10">
        <v>0.69444444444444442</v>
      </c>
      <c r="J284" s="57">
        <f t="shared" si="21"/>
        <v>0.17767361111111107</v>
      </c>
      <c r="K284" s="129">
        <f t="shared" si="22"/>
        <v>0.72510416666666677</v>
      </c>
      <c r="L284" s="8"/>
      <c r="M284" s="8"/>
      <c r="N284" s="8">
        <v>6.6574074074074077E-2</v>
      </c>
      <c r="O284" s="12"/>
      <c r="P284" s="16">
        <f t="shared" si="20"/>
        <v>1.1725620480750443</v>
      </c>
    </row>
    <row r="285" spans="1:16" ht="14.5">
      <c r="A285" s="142">
        <f t="shared" si="23"/>
        <v>284</v>
      </c>
      <c r="B285" s="142" t="str">
        <f>VLOOKUP(D285,Task!$B:$E,4,0)</f>
        <v>Task</v>
      </c>
      <c r="C285" s="150">
        <v>45742</v>
      </c>
      <c r="D285" s="7" t="s">
        <v>34</v>
      </c>
      <c r="E285" s="7">
        <v>5</v>
      </c>
      <c r="F285" s="8">
        <v>8.3333333333333332E-3</v>
      </c>
      <c r="G285" s="9">
        <v>4.1666666666666664E-2</v>
      </c>
      <c r="H285" s="10">
        <v>0.31626157407407407</v>
      </c>
      <c r="I285" s="10">
        <v>0.35342592592592592</v>
      </c>
      <c r="J285" s="57">
        <f t="shared" si="21"/>
        <v>3.7164351851851851E-2</v>
      </c>
      <c r="K285" s="129">
        <f t="shared" si="22"/>
        <v>0.35792824074074076</v>
      </c>
      <c r="L285" s="8"/>
      <c r="M285" s="8"/>
      <c r="N285" s="8"/>
      <c r="O285" s="12"/>
      <c r="P285" s="16">
        <f t="shared" si="20"/>
        <v>1.1211460604173153</v>
      </c>
    </row>
    <row r="286" spans="1:16" ht="14.5">
      <c r="A286" s="142">
        <f t="shared" si="23"/>
        <v>285</v>
      </c>
      <c r="B286" s="142" t="str">
        <f>VLOOKUP(D286,Task!$B:$E,4,0)</f>
        <v>Report</v>
      </c>
      <c r="C286" s="150">
        <v>45742</v>
      </c>
      <c r="D286" s="7" t="s">
        <v>18</v>
      </c>
      <c r="E286" s="7">
        <v>1</v>
      </c>
      <c r="F286" s="8">
        <v>4.8611111111111112E-2</v>
      </c>
      <c r="G286" s="9">
        <v>4.8611111111111112E-2</v>
      </c>
      <c r="H286" s="10">
        <v>0.35342592592592592</v>
      </c>
      <c r="I286" s="10">
        <v>0.39724537037037039</v>
      </c>
      <c r="J286" s="57">
        <f t="shared" si="21"/>
        <v>4.3819444444444466E-2</v>
      </c>
      <c r="K286" s="129">
        <f t="shared" si="22"/>
        <v>0.40203703703703703</v>
      </c>
      <c r="L286" s="8"/>
      <c r="M286" s="8"/>
      <c r="N286" s="8"/>
      <c r="O286" s="12"/>
      <c r="P286" s="16">
        <f t="shared" si="20"/>
        <v>1.1093502377179076</v>
      </c>
    </row>
    <row r="287" spans="1:16" ht="14.5">
      <c r="A287" s="142">
        <f t="shared" si="23"/>
        <v>286</v>
      </c>
      <c r="B287" s="142" t="str">
        <f>VLOOKUP(D287,Task!$B:$E,4,0)</f>
        <v>Task</v>
      </c>
      <c r="C287" s="150">
        <v>45742</v>
      </c>
      <c r="D287" s="7" t="s">
        <v>79</v>
      </c>
      <c r="E287" s="7">
        <v>95</v>
      </c>
      <c r="F287" s="8">
        <v>1.3888888888888889E-3</v>
      </c>
      <c r="G287" s="9">
        <v>0.13194444444444445</v>
      </c>
      <c r="H287" s="10">
        <v>0.39724537037037039</v>
      </c>
      <c r="I287" s="10">
        <v>0.53700231481481486</v>
      </c>
      <c r="J287" s="57">
        <f t="shared" si="21"/>
        <v>0.11937500000000004</v>
      </c>
      <c r="K287" s="129">
        <f t="shared" si="22"/>
        <v>0.54957175925925927</v>
      </c>
      <c r="L287" s="8"/>
      <c r="M287" s="8"/>
      <c r="N287" s="8">
        <v>2.0381944444444446E-2</v>
      </c>
      <c r="O287" s="12"/>
      <c r="P287" s="16">
        <f t="shared" si="20"/>
        <v>1.1052937754508432</v>
      </c>
    </row>
    <row r="288" spans="1:16" ht="14.5">
      <c r="A288" s="142">
        <f t="shared" si="23"/>
        <v>287</v>
      </c>
      <c r="B288" s="142" t="str">
        <f>VLOOKUP(D288,Task!$B:$E,4,0)</f>
        <v>Task</v>
      </c>
      <c r="C288" s="150">
        <v>45742</v>
      </c>
      <c r="D288" s="7" t="s">
        <v>16</v>
      </c>
      <c r="E288" s="7">
        <v>16</v>
      </c>
      <c r="F288" s="8">
        <v>5.5555555555555558E-3</v>
      </c>
      <c r="G288" s="9">
        <v>8.8888888888888892E-2</v>
      </c>
      <c r="H288" s="10">
        <v>0.53700231481481486</v>
      </c>
      <c r="I288" s="10">
        <v>0.69444444444444442</v>
      </c>
      <c r="J288" s="57">
        <f t="shared" si="21"/>
        <v>7.6458333333333267E-2</v>
      </c>
      <c r="K288" s="129">
        <f t="shared" si="22"/>
        <v>0.70687500000000003</v>
      </c>
      <c r="L288" s="8"/>
      <c r="M288" s="8"/>
      <c r="N288" s="8">
        <v>8.098379629629629E-2</v>
      </c>
      <c r="O288" s="12"/>
      <c r="P288" s="16">
        <f t="shared" si="20"/>
        <v>1.1625794732061772</v>
      </c>
    </row>
    <row r="289" spans="1:16" ht="14.5">
      <c r="A289" s="142">
        <f t="shared" si="23"/>
        <v>288</v>
      </c>
      <c r="B289" s="142" t="str">
        <f>VLOOKUP(D289,Task!$B:$E,4,0)</f>
        <v>Report</v>
      </c>
      <c r="C289" s="150">
        <v>45743</v>
      </c>
      <c r="D289" s="7" t="s">
        <v>18</v>
      </c>
      <c r="E289" s="7">
        <v>1</v>
      </c>
      <c r="F289" s="8">
        <v>4.8611111111111112E-2</v>
      </c>
      <c r="G289" s="9">
        <v>4.8611111111111112E-2</v>
      </c>
      <c r="H289" s="10">
        <v>0.3605902777777778</v>
      </c>
      <c r="I289" s="10">
        <v>0.40422453703703709</v>
      </c>
      <c r="J289" s="57">
        <f t="shared" si="21"/>
        <v>4.3634259259259289E-2</v>
      </c>
      <c r="K289" s="129">
        <f t="shared" si="22"/>
        <v>0.40920138888888891</v>
      </c>
      <c r="L289" s="8"/>
      <c r="M289" s="8"/>
      <c r="N289" s="8"/>
      <c r="O289" s="12"/>
      <c r="P289" s="16">
        <f t="shared" si="20"/>
        <v>1.1140583554376651</v>
      </c>
    </row>
    <row r="290" spans="1:16" ht="14.5">
      <c r="A290" s="142">
        <f t="shared" si="23"/>
        <v>289</v>
      </c>
      <c r="B290" s="142" t="str">
        <f>VLOOKUP(D290,Task!$B:$E,4,0)</f>
        <v>Task</v>
      </c>
      <c r="C290" s="150">
        <v>45743</v>
      </c>
      <c r="D290" s="7" t="s">
        <v>16</v>
      </c>
      <c r="E290" s="7">
        <v>18</v>
      </c>
      <c r="F290" s="8">
        <v>5.5555555555555558E-3</v>
      </c>
      <c r="G290" s="9">
        <v>0.1</v>
      </c>
      <c r="H290" s="10">
        <v>0.40422453703703709</v>
      </c>
      <c r="I290" s="10">
        <v>0.49478009259259259</v>
      </c>
      <c r="J290" s="57">
        <f t="shared" si="21"/>
        <v>9.05555555555555E-2</v>
      </c>
      <c r="K290" s="129">
        <f t="shared" si="22"/>
        <v>0.50422453703703707</v>
      </c>
      <c r="L290" s="8"/>
      <c r="M290" s="8"/>
      <c r="N290" s="8"/>
      <c r="O290" s="12"/>
      <c r="P290" s="16">
        <f t="shared" si="20"/>
        <v>1.1042944785276081</v>
      </c>
    </row>
    <row r="291" spans="1:16" ht="14.5">
      <c r="A291" s="142">
        <f t="shared" si="23"/>
        <v>290</v>
      </c>
      <c r="B291" s="142" t="str">
        <f>VLOOKUP(D291,Task!$B:$E,4,0)</f>
        <v>Report</v>
      </c>
      <c r="C291" s="150">
        <v>45743</v>
      </c>
      <c r="D291" s="7" t="s">
        <v>65</v>
      </c>
      <c r="E291" s="7">
        <v>4</v>
      </c>
      <c r="F291" s="8">
        <v>2.0833333333333332E-2</v>
      </c>
      <c r="G291" s="9">
        <v>8.3333333333333329E-2</v>
      </c>
      <c r="H291" s="10">
        <v>0.49478009259259259</v>
      </c>
      <c r="I291" s="10">
        <v>0.61793956018664176</v>
      </c>
      <c r="J291" s="57">
        <f t="shared" si="21"/>
        <v>7.4409467594049164E-2</v>
      </c>
      <c r="K291" s="129">
        <f t="shared" si="22"/>
        <v>0.62686342592592592</v>
      </c>
      <c r="L291" s="8"/>
      <c r="M291" s="8"/>
      <c r="N291" s="8">
        <v>4.8750000000000002E-2</v>
      </c>
      <c r="O291" s="12"/>
      <c r="P291" s="16">
        <f t="shared" si="20"/>
        <v>1.1199291706798591</v>
      </c>
    </row>
    <row r="292" spans="1:16" ht="14.5">
      <c r="A292" s="142">
        <f t="shared" si="23"/>
        <v>291</v>
      </c>
      <c r="B292" s="142" t="str">
        <f>VLOOKUP(D292,Task!$B:$E,4,0)</f>
        <v>Task</v>
      </c>
      <c r="C292" s="150">
        <v>45743</v>
      </c>
      <c r="D292" s="7" t="s">
        <v>16</v>
      </c>
      <c r="E292" s="7">
        <v>21</v>
      </c>
      <c r="F292" s="8">
        <v>5.5555555555555558E-3</v>
      </c>
      <c r="G292" s="9">
        <v>0.11666666666666667</v>
      </c>
      <c r="H292" s="10">
        <v>0.61793956018664176</v>
      </c>
      <c r="I292" s="10">
        <v>0.73611111111111116</v>
      </c>
      <c r="J292" s="57">
        <f t="shared" si="21"/>
        <v>0.10625025462817311</v>
      </c>
      <c r="K292" s="129">
        <f t="shared" si="22"/>
        <v>0.7465275231496048</v>
      </c>
      <c r="L292" s="8"/>
      <c r="M292" s="8"/>
      <c r="N292" s="8">
        <v>1.1921296296296296E-2</v>
      </c>
      <c r="O292" s="12"/>
      <c r="P292" s="16">
        <f t="shared" si="20"/>
        <v>1.0980365842411031</v>
      </c>
    </row>
    <row r="293" spans="1:16" ht="14.5">
      <c r="A293" s="142">
        <f t="shared" si="23"/>
        <v>292</v>
      </c>
      <c r="B293" s="142" t="str">
        <f>VLOOKUP(D293,Task!$B:$E,4,0)</f>
        <v>Report</v>
      </c>
      <c r="C293" s="150">
        <v>45748</v>
      </c>
      <c r="D293" s="7" t="s">
        <v>18</v>
      </c>
      <c r="E293" s="7">
        <v>1</v>
      </c>
      <c r="F293" s="8">
        <v>4.8611111111111112E-2</v>
      </c>
      <c r="G293" s="9">
        <v>4.8611111111111112E-2</v>
      </c>
      <c r="H293" s="10">
        <v>0.38043981481481481</v>
      </c>
      <c r="I293" s="10">
        <v>0.42475694444444445</v>
      </c>
      <c r="J293" s="57">
        <f t="shared" si="21"/>
        <v>4.4317129629629637E-2</v>
      </c>
      <c r="K293" s="129">
        <f t="shared" si="22"/>
        <v>0.42905092592592592</v>
      </c>
      <c r="L293" s="8"/>
      <c r="M293" s="8"/>
      <c r="N293" s="8"/>
      <c r="O293" s="12"/>
      <c r="P293" s="16">
        <f t="shared" si="20"/>
        <v>1.0968921389396709</v>
      </c>
    </row>
    <row r="294" spans="1:16" ht="14.5">
      <c r="A294" s="142">
        <f t="shared" si="23"/>
        <v>293</v>
      </c>
      <c r="B294" s="142" t="str">
        <f>VLOOKUP(D294,Task!$B:$E,4,0)</f>
        <v>report</v>
      </c>
      <c r="C294" s="150">
        <v>45748</v>
      </c>
      <c r="D294" s="7" t="s">
        <v>26</v>
      </c>
      <c r="E294" s="7">
        <v>1</v>
      </c>
      <c r="F294" s="8">
        <v>2.0833333333333332E-2</v>
      </c>
      <c r="G294" s="9">
        <v>2.0833333333333332E-2</v>
      </c>
      <c r="H294" s="10">
        <v>0.42475694444444445</v>
      </c>
      <c r="I294" s="10">
        <v>0.44357638888888884</v>
      </c>
      <c r="J294" s="57">
        <f t="shared" si="21"/>
        <v>1.8819444444444389E-2</v>
      </c>
      <c r="K294" s="129">
        <f t="shared" si="22"/>
        <v>0.44559027777777777</v>
      </c>
      <c r="L294" s="8"/>
      <c r="M294" s="8"/>
      <c r="N294" s="8"/>
      <c r="O294" s="12"/>
      <c r="P294" s="16">
        <f t="shared" si="20"/>
        <v>1.1070110701107043</v>
      </c>
    </row>
    <row r="295" spans="1:16" ht="14.5">
      <c r="A295" s="142">
        <f t="shared" si="23"/>
        <v>294</v>
      </c>
      <c r="B295" s="142" t="str">
        <f>VLOOKUP(D295,Task!$B:$E,4,0)</f>
        <v>Task</v>
      </c>
      <c r="C295" s="150">
        <v>45748</v>
      </c>
      <c r="D295" s="7" t="s">
        <v>16</v>
      </c>
      <c r="E295" s="7">
        <v>8</v>
      </c>
      <c r="F295" s="8">
        <v>5.5555555555555558E-3</v>
      </c>
      <c r="G295" s="9">
        <v>4.4444444444444446E-2</v>
      </c>
      <c r="H295" s="10">
        <v>0.44357638888888884</v>
      </c>
      <c r="I295" s="10">
        <v>0.48450231481481482</v>
      </c>
      <c r="J295" s="57">
        <f t="shared" si="21"/>
        <v>4.0925925925925977E-2</v>
      </c>
      <c r="K295" s="129">
        <f t="shared" si="22"/>
        <v>0.48802083333333329</v>
      </c>
      <c r="L295" s="8"/>
      <c r="M295" s="8"/>
      <c r="N295" s="8"/>
      <c r="O295" s="12"/>
      <c r="P295" s="16">
        <f t="shared" si="20"/>
        <v>1.0859728506787316</v>
      </c>
    </row>
    <row r="296" spans="1:16" ht="14.5">
      <c r="A296" s="142">
        <f t="shared" si="23"/>
        <v>295</v>
      </c>
      <c r="B296" s="142" t="str">
        <f>VLOOKUP(D296,Task!$B:$E,4,0)</f>
        <v>Task</v>
      </c>
      <c r="C296" s="150">
        <v>45748</v>
      </c>
      <c r="D296" s="7" t="s">
        <v>16</v>
      </c>
      <c r="E296" s="7">
        <v>12</v>
      </c>
      <c r="F296" s="8">
        <v>5.5555555555555558E-3</v>
      </c>
      <c r="G296" s="9">
        <v>6.6666666666666666E-2</v>
      </c>
      <c r="H296" s="10">
        <v>0.48450231481481482</v>
      </c>
      <c r="I296" s="10">
        <v>0.56409722222222225</v>
      </c>
      <c r="J296" s="57">
        <f t="shared" si="21"/>
        <v>6.1585648148148174E-2</v>
      </c>
      <c r="K296" s="129">
        <f t="shared" si="22"/>
        <v>0.56917824074074075</v>
      </c>
      <c r="L296" s="8"/>
      <c r="M296" s="8"/>
      <c r="N296" s="8">
        <v>1.800925925925926E-2</v>
      </c>
      <c r="O296" s="12"/>
      <c r="P296" s="16">
        <f t="shared" si="20"/>
        <v>1.0825032888554778</v>
      </c>
    </row>
    <row r="297" spans="1:16" ht="14.5">
      <c r="A297" s="142">
        <f t="shared" si="23"/>
        <v>296</v>
      </c>
      <c r="B297" s="142" t="str">
        <f>VLOOKUP(D297,Task!$B:$E,4,0)</f>
        <v>Task</v>
      </c>
      <c r="C297" s="150">
        <v>45748</v>
      </c>
      <c r="D297" s="7" t="s">
        <v>16</v>
      </c>
      <c r="E297" s="7">
        <v>15</v>
      </c>
      <c r="F297" s="8">
        <v>5.5555555555555558E-3</v>
      </c>
      <c r="G297" s="9">
        <v>8.3333333333333343E-2</v>
      </c>
      <c r="H297" s="10">
        <v>0.56409722222222225</v>
      </c>
      <c r="I297" s="10">
        <v>0.6469907407407407</v>
      </c>
      <c r="J297" s="57">
        <f t="shared" si="21"/>
        <v>7.6331018518518451E-2</v>
      </c>
      <c r="K297" s="129">
        <f t="shared" si="22"/>
        <v>0.65399305555555565</v>
      </c>
      <c r="L297" s="8"/>
      <c r="M297" s="8"/>
      <c r="N297" s="8">
        <v>6.5624999999999998E-3</v>
      </c>
      <c r="O297" s="12"/>
      <c r="P297" s="16">
        <f t="shared" si="20"/>
        <v>1.0917361637604257</v>
      </c>
    </row>
    <row r="298" spans="1:16" ht="14.5">
      <c r="A298" s="142">
        <f t="shared" si="23"/>
        <v>297</v>
      </c>
      <c r="B298" s="142" t="str">
        <f>VLOOKUP(D298,Task!$B:$E,4,0)</f>
        <v>Task</v>
      </c>
      <c r="C298" s="150">
        <v>45748</v>
      </c>
      <c r="D298" s="7" t="s">
        <v>16</v>
      </c>
      <c r="E298" s="7">
        <v>17</v>
      </c>
      <c r="F298" s="8">
        <v>5.5555555555555558E-3</v>
      </c>
      <c r="G298" s="9">
        <v>9.4444444444444442E-2</v>
      </c>
      <c r="H298" s="10">
        <v>0.6469907407407407</v>
      </c>
      <c r="I298" s="10">
        <v>0.75694444444444442</v>
      </c>
      <c r="J298" s="57">
        <f t="shared" si="21"/>
        <v>8.5567129629629646E-2</v>
      </c>
      <c r="K298" s="129">
        <f t="shared" si="22"/>
        <v>0.76582175925925922</v>
      </c>
      <c r="L298" s="8"/>
      <c r="M298" s="8"/>
      <c r="N298" s="8">
        <v>2.4386574074074074E-2</v>
      </c>
      <c r="O298" s="12"/>
      <c r="P298" s="16">
        <f t="shared" si="20"/>
        <v>1.1037467875016906</v>
      </c>
    </row>
    <row r="299" spans="1:16" ht="14.5">
      <c r="A299" s="142">
        <f t="shared" si="23"/>
        <v>298</v>
      </c>
      <c r="B299" s="142" t="str">
        <f>VLOOKUP(D299,Task!$B:$E,4,0)</f>
        <v>Report</v>
      </c>
      <c r="C299" s="150">
        <v>45749</v>
      </c>
      <c r="D299" s="7" t="s">
        <v>18</v>
      </c>
      <c r="E299" s="7">
        <v>1</v>
      </c>
      <c r="F299" s="8">
        <v>4.8611111111111112E-2</v>
      </c>
      <c r="G299" s="9">
        <v>4.8611111111111112E-2</v>
      </c>
      <c r="H299" s="10">
        <v>0.38469907407407411</v>
      </c>
      <c r="I299" s="10">
        <v>0.42827546296296298</v>
      </c>
      <c r="J299" s="57">
        <f t="shared" si="21"/>
        <v>4.3576388888888873E-2</v>
      </c>
      <c r="K299" s="129">
        <f t="shared" si="22"/>
        <v>0.43331018518518521</v>
      </c>
      <c r="L299" s="8"/>
      <c r="M299" s="8"/>
      <c r="N299" s="8"/>
      <c r="O299" s="12"/>
      <c r="P299" s="16">
        <f t="shared" si="20"/>
        <v>1.115537848605578</v>
      </c>
    </row>
    <row r="300" spans="1:16" ht="14.5">
      <c r="A300" s="142">
        <f t="shared" si="23"/>
        <v>299</v>
      </c>
      <c r="B300" s="142" t="str">
        <f>VLOOKUP(D300,Task!$B:$E,4,0)</f>
        <v>Task</v>
      </c>
      <c r="C300" s="150">
        <v>45749</v>
      </c>
      <c r="D300" s="7" t="s">
        <v>27</v>
      </c>
      <c r="E300" s="7">
        <v>80</v>
      </c>
      <c r="F300" s="8">
        <v>1.3888888888888889E-3</v>
      </c>
      <c r="G300" s="9">
        <v>0.11111111111111112</v>
      </c>
      <c r="H300" s="10">
        <v>0.42827546296296298</v>
      </c>
      <c r="I300" s="10">
        <v>0.56319444444444444</v>
      </c>
      <c r="J300" s="57">
        <f t="shared" si="21"/>
        <v>0.10075231481481479</v>
      </c>
      <c r="K300" s="129">
        <f t="shared" si="22"/>
        <v>0.57355324074074077</v>
      </c>
      <c r="L300" s="8"/>
      <c r="M300" s="8"/>
      <c r="N300" s="8">
        <v>3.4166666666666665E-2</v>
      </c>
      <c r="O300" s="12"/>
      <c r="P300" s="16">
        <f t="shared" si="20"/>
        <v>1.1028144744399773</v>
      </c>
    </row>
    <row r="301" spans="1:16" ht="14.5">
      <c r="A301" s="142">
        <f t="shared" si="23"/>
        <v>300</v>
      </c>
      <c r="B301" s="142" t="str">
        <f>VLOOKUP(D301,Task!$B:$E,4,0)</f>
        <v>Task</v>
      </c>
      <c r="C301" s="150">
        <v>45749</v>
      </c>
      <c r="D301" s="7" t="s">
        <v>16</v>
      </c>
      <c r="E301" s="7">
        <v>9</v>
      </c>
      <c r="F301" s="8">
        <v>5.5555555555555558E-3</v>
      </c>
      <c r="G301" s="9">
        <v>0.05</v>
      </c>
      <c r="H301" s="10">
        <v>0.56319444444444444</v>
      </c>
      <c r="I301" s="10">
        <v>0.61888888888888893</v>
      </c>
      <c r="J301" s="57">
        <f t="shared" si="21"/>
        <v>4.6296296296296342E-2</v>
      </c>
      <c r="K301" s="129">
        <f t="shared" si="22"/>
        <v>0.62259259259259259</v>
      </c>
      <c r="L301" s="8"/>
      <c r="M301" s="8"/>
      <c r="N301" s="8">
        <v>9.3981481481481485E-3</v>
      </c>
      <c r="O301" s="12"/>
      <c r="P301" s="16">
        <f t="shared" si="20"/>
        <v>1.079999999999999</v>
      </c>
    </row>
    <row r="302" spans="1:16" ht="14.5">
      <c r="A302" s="142">
        <f t="shared" si="23"/>
        <v>301</v>
      </c>
      <c r="B302" s="142" t="str">
        <f>VLOOKUP(D302,Task!$B:$E,4,0)</f>
        <v>Task</v>
      </c>
      <c r="C302" s="150">
        <v>45749</v>
      </c>
      <c r="D302" s="7" t="s">
        <v>16</v>
      </c>
      <c r="E302" s="7">
        <v>24</v>
      </c>
      <c r="F302" s="8">
        <v>5.5555555555555558E-3</v>
      </c>
      <c r="G302" s="9">
        <v>0.13333333333333333</v>
      </c>
      <c r="H302" s="10">
        <v>0.61888888888888893</v>
      </c>
      <c r="I302" s="10">
        <v>0.76388888888888884</v>
      </c>
      <c r="J302" s="57">
        <f t="shared" si="21"/>
        <v>0.12240740740740731</v>
      </c>
      <c r="K302" s="129">
        <f t="shared" si="22"/>
        <v>0.77481481481481485</v>
      </c>
      <c r="L302" s="8"/>
      <c r="M302" s="8"/>
      <c r="N302" s="8">
        <v>2.2592592592592591E-2</v>
      </c>
      <c r="O302" s="12"/>
      <c r="P302" s="16">
        <f t="shared" si="20"/>
        <v>1.0892586989409994</v>
      </c>
    </row>
    <row r="303" spans="1:16" ht="14.5">
      <c r="A303" s="142">
        <f t="shared" si="23"/>
        <v>302</v>
      </c>
      <c r="B303" s="142" t="str">
        <f>VLOOKUP(D303,Task!$B:$E,4,0)</f>
        <v>Report</v>
      </c>
      <c r="C303" s="150">
        <v>45750</v>
      </c>
      <c r="D303" s="7" t="s">
        <v>18</v>
      </c>
      <c r="E303" s="7">
        <v>1</v>
      </c>
      <c r="F303" s="8">
        <v>4.8611111111111112E-2</v>
      </c>
      <c r="G303" s="9">
        <v>4.8611111111111112E-2</v>
      </c>
      <c r="H303" s="10">
        <v>0.39038194444444441</v>
      </c>
      <c r="I303" s="10">
        <v>0.43465277777777778</v>
      </c>
      <c r="J303" s="57">
        <f t="shared" si="21"/>
        <v>4.427083333333337E-2</v>
      </c>
      <c r="K303" s="129">
        <f t="shared" si="22"/>
        <v>0.43899305555555551</v>
      </c>
      <c r="L303" s="8"/>
      <c r="M303" s="8"/>
      <c r="N303" s="8"/>
      <c r="O303" s="12"/>
      <c r="P303" s="16">
        <f t="shared" si="20"/>
        <v>1.0980392156862737</v>
      </c>
    </row>
    <row r="304" spans="1:16" ht="14.5">
      <c r="A304" s="142">
        <f t="shared" si="23"/>
        <v>303</v>
      </c>
      <c r="B304" s="142" t="str">
        <f>VLOOKUP(D304,Task!$B:$E,4,0)</f>
        <v>Task</v>
      </c>
      <c r="C304" s="150">
        <v>45750</v>
      </c>
      <c r="D304" s="7" t="s">
        <v>16</v>
      </c>
      <c r="E304" s="7">
        <v>13</v>
      </c>
      <c r="F304" s="8">
        <v>5.5555555555555558E-3</v>
      </c>
      <c r="G304" s="9">
        <v>7.2222222222222229E-2</v>
      </c>
      <c r="H304" s="10">
        <v>0.43465277777777778</v>
      </c>
      <c r="I304" s="10">
        <v>0.55398148148148152</v>
      </c>
      <c r="J304" s="57">
        <f t="shared" si="21"/>
        <v>6.782407407407412E-2</v>
      </c>
      <c r="K304" s="129">
        <f t="shared" si="22"/>
        <v>0.55837962962962961</v>
      </c>
      <c r="L304" s="8"/>
      <c r="M304" s="8"/>
      <c r="N304" s="8">
        <v>5.1504629629629629E-2</v>
      </c>
      <c r="O304" s="12"/>
      <c r="P304" s="16">
        <f t="shared" si="20"/>
        <v>1.064846416382252</v>
      </c>
    </row>
    <row r="305" spans="1:16" ht="14.5">
      <c r="A305" s="142">
        <f t="shared" si="23"/>
        <v>304</v>
      </c>
      <c r="B305" s="142" t="str">
        <f>VLOOKUP(D305,Task!$B:$E,4,0)</f>
        <v>Task</v>
      </c>
      <c r="C305" s="150">
        <v>45750</v>
      </c>
      <c r="D305" s="7" t="s">
        <v>36</v>
      </c>
      <c r="E305" s="7">
        <v>6</v>
      </c>
      <c r="F305" s="8">
        <v>6.9444444444444447E-4</v>
      </c>
      <c r="G305" s="9">
        <v>4.1666666666666666E-3</v>
      </c>
      <c r="H305" s="10">
        <v>0.55398148148148152</v>
      </c>
      <c r="I305" s="10">
        <v>0.5577199074074074</v>
      </c>
      <c r="J305" s="57">
        <f t="shared" si="21"/>
        <v>3.7384259259258812E-3</v>
      </c>
      <c r="K305" s="129">
        <f t="shared" si="22"/>
        <v>0.55814814814814817</v>
      </c>
      <c r="L305" s="8"/>
      <c r="M305" s="8"/>
      <c r="N305" s="8"/>
      <c r="O305" s="12"/>
      <c r="P305" s="16">
        <f t="shared" si="20"/>
        <v>1.1145510835913446</v>
      </c>
    </row>
    <row r="306" spans="1:16" ht="14.5">
      <c r="A306" s="142">
        <f t="shared" si="23"/>
        <v>305</v>
      </c>
      <c r="B306" s="142" t="str">
        <f>VLOOKUP(D306,Task!$B:$E,4,0)</f>
        <v>Task</v>
      </c>
      <c r="C306" s="150">
        <v>45750</v>
      </c>
      <c r="D306" s="7" t="s">
        <v>19</v>
      </c>
      <c r="E306" s="7">
        <v>65</v>
      </c>
      <c r="F306" s="8">
        <v>2.7777777777777779E-3</v>
      </c>
      <c r="G306" s="9">
        <v>0.18055555555555555</v>
      </c>
      <c r="H306" s="10">
        <v>0.5577199074074074</v>
      </c>
      <c r="I306" s="10">
        <v>0.77097222222222217</v>
      </c>
      <c r="J306" s="57">
        <f t="shared" si="21"/>
        <v>0.16961805555555551</v>
      </c>
      <c r="K306" s="129">
        <f t="shared" si="22"/>
        <v>0.78190972222222221</v>
      </c>
      <c r="L306" s="8"/>
      <c r="M306" s="8"/>
      <c r="N306" s="8">
        <v>4.3634259259259262E-2</v>
      </c>
      <c r="O306" s="12"/>
      <c r="P306" s="16">
        <f t="shared" si="20"/>
        <v>1.0644831115660187</v>
      </c>
    </row>
    <row r="307" spans="1:16" ht="14.5">
      <c r="A307" s="142">
        <f t="shared" si="23"/>
        <v>306</v>
      </c>
      <c r="B307" s="142" t="str">
        <f>VLOOKUP(D307,Task!$B:$E,4,0)</f>
        <v>Report</v>
      </c>
      <c r="C307" s="150">
        <v>45751</v>
      </c>
      <c r="D307" s="7" t="s">
        <v>18</v>
      </c>
      <c r="E307" s="7">
        <v>1</v>
      </c>
      <c r="F307" s="8">
        <v>4.8611111111111112E-2</v>
      </c>
      <c r="G307" s="9">
        <v>4.8611111111111112E-2</v>
      </c>
      <c r="H307" s="10">
        <v>0.38006944444444446</v>
      </c>
      <c r="I307" s="10">
        <v>0.47354166666666669</v>
      </c>
      <c r="J307" s="57">
        <f t="shared" si="21"/>
        <v>4.3969907407407423E-2</v>
      </c>
      <c r="K307" s="129">
        <f t="shared" si="22"/>
        <v>0.47818287037037038</v>
      </c>
      <c r="L307" s="8"/>
      <c r="M307" s="8"/>
      <c r="N307" s="8">
        <v>4.9502314814814811E-2</v>
      </c>
      <c r="O307" s="12"/>
      <c r="P307" s="16">
        <f t="shared" si="20"/>
        <v>1.1055540931824162</v>
      </c>
    </row>
    <row r="308" spans="1:16" ht="14.5">
      <c r="A308" s="142">
        <f t="shared" si="23"/>
        <v>307</v>
      </c>
      <c r="B308" s="142" t="str">
        <f>VLOOKUP(D308,Task!$B:$E,4,0)</f>
        <v>Task</v>
      </c>
      <c r="C308" s="150">
        <v>45751</v>
      </c>
      <c r="D308" s="7" t="s">
        <v>19</v>
      </c>
      <c r="E308" s="7">
        <v>18</v>
      </c>
      <c r="F308" s="8">
        <v>2.7777777777777779E-3</v>
      </c>
      <c r="G308" s="9">
        <v>0.05</v>
      </c>
      <c r="H308" s="10">
        <v>0.47354166666666669</v>
      </c>
      <c r="I308" s="10">
        <v>0.5635648148148148</v>
      </c>
      <c r="J308" s="57">
        <f t="shared" si="21"/>
        <v>4.5868055555555509E-2</v>
      </c>
      <c r="K308" s="129">
        <f t="shared" si="22"/>
        <v>0.56769675925925922</v>
      </c>
      <c r="L308" s="8"/>
      <c r="M308" s="8"/>
      <c r="N308" s="8">
        <v>4.4155092592592593E-2</v>
      </c>
      <c r="O308" s="12"/>
      <c r="P308" s="16">
        <f t="shared" si="20"/>
        <v>1.090083270249812</v>
      </c>
    </row>
    <row r="309" spans="1:16" ht="14.5">
      <c r="A309" s="142">
        <f t="shared" si="23"/>
        <v>308</v>
      </c>
      <c r="B309" s="142" t="str">
        <f>VLOOKUP(D309,Task!$B:$E,4,0)</f>
        <v>Task</v>
      </c>
      <c r="C309" s="150">
        <v>45751</v>
      </c>
      <c r="D309" s="7" t="s">
        <v>34</v>
      </c>
      <c r="E309" s="7">
        <v>24</v>
      </c>
      <c r="F309" s="8">
        <v>8.3333333333333332E-3</v>
      </c>
      <c r="G309" s="9">
        <v>0.2</v>
      </c>
      <c r="H309" s="10">
        <v>0.5635648148148148</v>
      </c>
      <c r="I309" s="10">
        <v>0.76041666666666663</v>
      </c>
      <c r="J309" s="57">
        <f t="shared" si="21"/>
        <v>0.18228009259259256</v>
      </c>
      <c r="K309" s="129">
        <f t="shared" si="22"/>
        <v>0.77813657407407411</v>
      </c>
      <c r="L309" s="8"/>
      <c r="M309" s="8"/>
      <c r="N309" s="8">
        <v>1.457175925925926E-2</v>
      </c>
      <c r="O309" s="12"/>
      <c r="P309" s="16">
        <f t="shared" si="20"/>
        <v>1.0972125214299322</v>
      </c>
    </row>
    <row r="310" spans="1:16" ht="14.5">
      <c r="A310" s="142">
        <f t="shared" si="23"/>
        <v>309</v>
      </c>
      <c r="B310" s="142" t="str">
        <f>VLOOKUP(D310,Task!$B:$E,4,0)</f>
        <v>Report</v>
      </c>
      <c r="C310" s="150">
        <v>45754</v>
      </c>
      <c r="D310" s="7" t="s">
        <v>18</v>
      </c>
      <c r="E310" s="7">
        <v>1</v>
      </c>
      <c r="F310" s="8">
        <v>4.8611111111111112E-2</v>
      </c>
      <c r="G310" s="9">
        <v>4.8611111111111112E-2</v>
      </c>
      <c r="H310" s="10">
        <v>0.3763657407407407</v>
      </c>
      <c r="I310" s="10">
        <v>0.42094907407407406</v>
      </c>
      <c r="J310" s="57">
        <f t="shared" si="21"/>
        <v>4.4583333333333364E-2</v>
      </c>
      <c r="K310" s="129">
        <f t="shared" si="22"/>
        <v>0.4249768518518518</v>
      </c>
      <c r="L310" s="8"/>
      <c r="M310" s="8"/>
      <c r="N310" s="8"/>
      <c r="O310" s="12"/>
      <c r="P310" s="16">
        <f t="shared" si="20"/>
        <v>1.0903426791277251</v>
      </c>
    </row>
    <row r="311" spans="1:16" ht="14.5">
      <c r="A311" s="142">
        <f t="shared" si="23"/>
        <v>310</v>
      </c>
      <c r="B311" s="142" t="str">
        <f>VLOOKUP(D311,Task!$B:$E,4,0)</f>
        <v>Task</v>
      </c>
      <c r="C311" s="150">
        <v>45754</v>
      </c>
      <c r="D311" s="7" t="s">
        <v>34</v>
      </c>
      <c r="E311" s="7">
        <v>16</v>
      </c>
      <c r="F311" s="8">
        <v>8.3333333333333332E-3</v>
      </c>
      <c r="G311" s="9">
        <v>0.13333333333333333</v>
      </c>
      <c r="H311" s="10">
        <v>0.42094907407407406</v>
      </c>
      <c r="I311" s="10">
        <v>0.58149305555555553</v>
      </c>
      <c r="J311" s="57">
        <f t="shared" si="21"/>
        <v>0.12964120370370369</v>
      </c>
      <c r="K311" s="129">
        <f t="shared" si="22"/>
        <v>0.58518518518518525</v>
      </c>
      <c r="L311" s="8"/>
      <c r="M311" s="8"/>
      <c r="N311" s="8">
        <v>3.0902777777777779E-2</v>
      </c>
      <c r="O311" s="12"/>
      <c r="P311" s="16">
        <f t="shared" si="20"/>
        <v>1.0284796000357113</v>
      </c>
    </row>
    <row r="312" spans="1:16" ht="14.5">
      <c r="A312" s="142">
        <f t="shared" si="23"/>
        <v>311</v>
      </c>
      <c r="B312" s="142" t="str">
        <f>VLOOKUP(D312,Task!$B:$E,4,0)</f>
        <v>Task</v>
      </c>
      <c r="C312" s="150">
        <v>45754</v>
      </c>
      <c r="D312" s="7" t="s">
        <v>19</v>
      </c>
      <c r="E312" s="7">
        <v>24</v>
      </c>
      <c r="F312" s="8">
        <v>2.7777777777777779E-3</v>
      </c>
      <c r="G312" s="9">
        <v>6.6666666666666666E-2</v>
      </c>
      <c r="H312" s="10">
        <v>0.58149305555555553</v>
      </c>
      <c r="I312" s="10">
        <v>0.66596064814814815</v>
      </c>
      <c r="J312" s="57">
        <f t="shared" si="21"/>
        <v>5.9583333333333363E-2</v>
      </c>
      <c r="K312" s="129">
        <f t="shared" si="22"/>
        <v>0.67304398148148148</v>
      </c>
      <c r="L312" s="8"/>
      <c r="M312" s="8"/>
      <c r="N312" s="8">
        <v>2.4884259259259255E-2</v>
      </c>
      <c r="O312" s="12"/>
      <c r="P312" s="16">
        <f t="shared" si="20"/>
        <v>1.1188811188811183</v>
      </c>
    </row>
    <row r="313" spans="1:16" ht="14.5">
      <c r="A313" s="142">
        <f t="shared" si="23"/>
        <v>312</v>
      </c>
      <c r="B313" s="142" t="str">
        <f>VLOOKUP(D313,Task!$B:$E,4,0)</f>
        <v>Task</v>
      </c>
      <c r="C313" s="150">
        <v>45754</v>
      </c>
      <c r="D313" s="7" t="s">
        <v>16</v>
      </c>
      <c r="E313" s="7">
        <v>2</v>
      </c>
      <c r="F313" s="8">
        <v>5.5555555555555558E-3</v>
      </c>
      <c r="G313" s="9">
        <v>1.1111111111111112E-2</v>
      </c>
      <c r="H313" s="10">
        <v>0.65478009259259262</v>
      </c>
      <c r="I313" s="10">
        <v>0.66493055555555558</v>
      </c>
      <c r="J313" s="57">
        <f t="shared" si="21"/>
        <v>1.0150462962962958E-2</v>
      </c>
      <c r="K313" s="129">
        <f t="shared" si="22"/>
        <v>0.66589120370370369</v>
      </c>
      <c r="L313" s="8"/>
      <c r="M313" s="8"/>
      <c r="N313" s="8"/>
      <c r="O313" s="12"/>
      <c r="P313" s="16">
        <f t="shared" si="20"/>
        <v>1.0946408209806162</v>
      </c>
    </row>
    <row r="314" spans="1:16" ht="14.5">
      <c r="A314" s="142">
        <f t="shared" si="23"/>
        <v>313</v>
      </c>
      <c r="B314" s="142" t="str">
        <f>VLOOKUP(D314,Task!$B:$E,4,0)</f>
        <v>Task</v>
      </c>
      <c r="C314" s="150">
        <v>45754</v>
      </c>
      <c r="D314" s="7" t="s">
        <v>27</v>
      </c>
      <c r="E314" s="7">
        <v>62</v>
      </c>
      <c r="F314" s="8">
        <v>1.3888888888888889E-3</v>
      </c>
      <c r="G314" s="9">
        <v>8.611111111111111E-2</v>
      </c>
      <c r="H314" s="10">
        <v>0.66596064814814815</v>
      </c>
      <c r="I314" s="10">
        <v>0.75694444444444442</v>
      </c>
      <c r="J314" s="57">
        <f t="shared" si="21"/>
        <v>7.7928240740740715E-2</v>
      </c>
      <c r="K314" s="129">
        <f t="shared" si="22"/>
        <v>0.76512731481481489</v>
      </c>
      <c r="L314" s="8"/>
      <c r="M314" s="8"/>
      <c r="N314" s="8">
        <v>1.3055555555555556E-2</v>
      </c>
      <c r="O314" s="12"/>
      <c r="P314" s="16">
        <f t="shared" si="20"/>
        <v>1.1050051982771427</v>
      </c>
    </row>
    <row r="315" spans="1:16" ht="14.5">
      <c r="A315" s="142">
        <f t="shared" si="23"/>
        <v>314</v>
      </c>
      <c r="B315" s="142" t="str">
        <f>VLOOKUP(D315,Task!$B:$E,4,0)</f>
        <v>Report</v>
      </c>
      <c r="C315" s="150">
        <v>45755</v>
      </c>
      <c r="D315" s="7" t="s">
        <v>18</v>
      </c>
      <c r="E315" s="7">
        <v>1</v>
      </c>
      <c r="F315" s="8">
        <v>4.8611111111111112E-2</v>
      </c>
      <c r="G315" s="9">
        <v>4.8611111111111112E-2</v>
      </c>
      <c r="H315" s="10">
        <v>0.38160879629629629</v>
      </c>
      <c r="I315" s="10">
        <v>0.42696759259259259</v>
      </c>
      <c r="J315" s="57">
        <f t="shared" si="21"/>
        <v>4.53587962962963E-2</v>
      </c>
      <c r="K315" s="129">
        <f t="shared" si="22"/>
        <v>0.4302199074074074</v>
      </c>
      <c r="L315" s="8"/>
      <c r="M315" s="8"/>
      <c r="N315" s="8"/>
      <c r="O315" s="12"/>
      <c r="P315" s="16">
        <f t="shared" si="20"/>
        <v>1.0717019647869355</v>
      </c>
    </row>
    <row r="316" spans="1:16" ht="14.5">
      <c r="A316" s="142">
        <f t="shared" si="23"/>
        <v>315</v>
      </c>
      <c r="B316" s="142" t="str">
        <f>VLOOKUP(D316,Task!$B:$E,4,0)</f>
        <v>Task</v>
      </c>
      <c r="C316" s="150">
        <v>45755</v>
      </c>
      <c r="D316" s="7" t="s">
        <v>27</v>
      </c>
      <c r="E316" s="7">
        <v>24</v>
      </c>
      <c r="F316" s="8">
        <v>1.3888888888888889E-3</v>
      </c>
      <c r="G316" s="9">
        <v>3.3333333333333333E-2</v>
      </c>
      <c r="H316" s="10">
        <v>0.42696759259259259</v>
      </c>
      <c r="I316" s="10">
        <v>0.48995370370370372</v>
      </c>
      <c r="J316" s="57">
        <f t="shared" si="21"/>
        <v>3.332175925925928E-2</v>
      </c>
      <c r="K316" s="129">
        <f t="shared" si="22"/>
        <v>0.48996527777777776</v>
      </c>
      <c r="L316" s="8"/>
      <c r="M316" s="8"/>
      <c r="N316" s="8">
        <v>2.9664351851851851E-2</v>
      </c>
      <c r="O316" s="12"/>
      <c r="P316" s="16">
        <f t="shared" si="20"/>
        <v>1.0003473428273699</v>
      </c>
    </row>
    <row r="317" spans="1:16" ht="14.5">
      <c r="A317" s="142">
        <f t="shared" si="23"/>
        <v>316</v>
      </c>
      <c r="B317" s="142" t="str">
        <f>VLOOKUP(D317,Task!$B:$E,4,0)</f>
        <v>Task</v>
      </c>
      <c r="C317" s="150">
        <v>45755</v>
      </c>
      <c r="D317" s="7" t="s">
        <v>19</v>
      </c>
      <c r="E317" s="7">
        <v>75</v>
      </c>
      <c r="F317" s="8">
        <v>2.7777777777777779E-3</v>
      </c>
      <c r="G317" s="9">
        <v>0.20833333333333334</v>
      </c>
      <c r="H317" s="10">
        <v>0.48995370370370372</v>
      </c>
      <c r="I317" s="10">
        <v>0.71796296296296291</v>
      </c>
      <c r="J317" s="57">
        <f t="shared" si="21"/>
        <v>0.19380787037037028</v>
      </c>
      <c r="K317" s="129">
        <f t="shared" si="22"/>
        <v>0.732488425925926</v>
      </c>
      <c r="L317" s="8"/>
      <c r="M317" s="8"/>
      <c r="N317" s="8">
        <v>3.4201388888888892E-2</v>
      </c>
      <c r="O317" s="12"/>
      <c r="P317" s="16">
        <f t="shared" si="20"/>
        <v>1.0749477455957008</v>
      </c>
    </row>
    <row r="318" spans="1:16" ht="14.5">
      <c r="A318" s="142">
        <f t="shared" si="23"/>
        <v>317</v>
      </c>
      <c r="B318" s="142" t="str">
        <f>VLOOKUP(D318,Task!$B:$E,4,0)</f>
        <v>Task</v>
      </c>
      <c r="C318" s="150">
        <v>45755</v>
      </c>
      <c r="D318" s="7" t="s">
        <v>16</v>
      </c>
      <c r="E318" s="7">
        <v>9</v>
      </c>
      <c r="F318" s="8">
        <v>5.5555555555555558E-3</v>
      </c>
      <c r="G318" s="9">
        <v>0.05</v>
      </c>
      <c r="H318" s="10">
        <v>0.71796296296296291</v>
      </c>
      <c r="I318" s="10">
        <v>0.76106498843000736</v>
      </c>
      <c r="J318" s="57">
        <f t="shared" si="21"/>
        <v>4.3102025467044447E-2</v>
      </c>
      <c r="K318" s="129">
        <f t="shared" si="22"/>
        <v>0.76796296296296296</v>
      </c>
      <c r="L318" s="8"/>
      <c r="M318" s="8"/>
      <c r="N318" s="8"/>
      <c r="O318" s="12"/>
      <c r="P318" s="16">
        <f t="shared" si="20"/>
        <v>1.1600382918948833</v>
      </c>
    </row>
    <row r="319" spans="1:16" ht="14.5">
      <c r="A319" s="142">
        <f t="shared" si="23"/>
        <v>318</v>
      </c>
      <c r="B319" s="142" t="str">
        <f>VLOOKUP(D319,Task!$B:$E,4,0)</f>
        <v>Report</v>
      </c>
      <c r="C319" s="150">
        <v>45756</v>
      </c>
      <c r="D319" s="7" t="s">
        <v>18</v>
      </c>
      <c r="E319" s="7">
        <v>1</v>
      </c>
      <c r="F319" s="8">
        <v>4.8611111111111112E-2</v>
      </c>
      <c r="G319" s="9">
        <v>4.8611111111111112E-2</v>
      </c>
      <c r="H319" s="10">
        <v>0.3834953703703704</v>
      </c>
      <c r="I319" s="10">
        <v>0.42813657407407413</v>
      </c>
      <c r="J319" s="57">
        <f t="shared" si="21"/>
        <v>4.4641203703703725E-2</v>
      </c>
      <c r="K319" s="129">
        <f t="shared" si="22"/>
        <v>0.43210648148148151</v>
      </c>
      <c r="L319" s="8"/>
      <c r="M319" s="8"/>
      <c r="N319" s="8"/>
      <c r="O319" s="12"/>
      <c r="P319" s="16">
        <f t="shared" si="20"/>
        <v>1.0889292196007254</v>
      </c>
    </row>
    <row r="320" spans="1:16" ht="14.5">
      <c r="A320" s="142">
        <f t="shared" si="23"/>
        <v>319</v>
      </c>
      <c r="B320" s="142" t="str">
        <f>VLOOKUP(D320,Task!$B:$E,4,0)</f>
        <v>Task</v>
      </c>
      <c r="C320" s="150">
        <v>45756</v>
      </c>
      <c r="D320" s="7" t="s">
        <v>16</v>
      </c>
      <c r="E320" s="7">
        <v>19</v>
      </c>
      <c r="F320" s="8">
        <v>5.5555555555555558E-3</v>
      </c>
      <c r="G320" s="9">
        <v>0.10555555555555556</v>
      </c>
      <c r="H320" s="10">
        <v>0.42813657407407413</v>
      </c>
      <c r="I320" s="10">
        <v>0.57020833333333332</v>
      </c>
      <c r="J320" s="57">
        <f t="shared" si="21"/>
        <v>9.9513888888888735E-2</v>
      </c>
      <c r="K320" s="129">
        <f t="shared" si="22"/>
        <v>0.57625000000000015</v>
      </c>
      <c r="L320" s="8"/>
      <c r="M320" s="8"/>
      <c r="N320" s="8">
        <v>4.2557870370370454E-2</v>
      </c>
      <c r="O320" s="12"/>
      <c r="P320" s="16">
        <f t="shared" si="20"/>
        <v>1.0607117934403365</v>
      </c>
    </row>
    <row r="321" spans="1:16" ht="14.5">
      <c r="A321" s="142">
        <f t="shared" si="23"/>
        <v>320</v>
      </c>
      <c r="B321" s="142" t="str">
        <f>VLOOKUP(D321,Task!$B:$E,4,0)</f>
        <v>report</v>
      </c>
      <c r="C321" s="150">
        <v>45756</v>
      </c>
      <c r="D321" s="7" t="s">
        <v>26</v>
      </c>
      <c r="E321" s="7">
        <v>1</v>
      </c>
      <c r="F321" s="8">
        <v>2.0833333333333332E-2</v>
      </c>
      <c r="G321" s="9">
        <v>2.0833333333333332E-2</v>
      </c>
      <c r="H321" s="10">
        <v>0.48592592592592587</v>
      </c>
      <c r="I321" s="10">
        <v>0.50517361111111114</v>
      </c>
      <c r="J321" s="57">
        <f t="shared" si="21"/>
        <v>1.924768518518527E-2</v>
      </c>
      <c r="K321" s="129">
        <f t="shared" si="22"/>
        <v>0.50675925925925924</v>
      </c>
      <c r="L321" s="8"/>
      <c r="M321" s="8"/>
      <c r="N321" s="8"/>
      <c r="O321" s="12"/>
      <c r="P321" s="16">
        <f t="shared" si="20"/>
        <v>1.0823812387251905</v>
      </c>
    </row>
    <row r="322" spans="1:16" ht="14.5">
      <c r="A322" s="142">
        <f t="shared" si="23"/>
        <v>321</v>
      </c>
      <c r="B322" s="142" t="str">
        <f>VLOOKUP(D322,Task!$B:$E,4,0)</f>
        <v>Task</v>
      </c>
      <c r="C322" s="150">
        <v>45756</v>
      </c>
      <c r="D322" s="7" t="s">
        <v>16</v>
      </c>
      <c r="E322" s="7">
        <v>20</v>
      </c>
      <c r="F322" s="8">
        <v>5.5555555555555558E-3</v>
      </c>
      <c r="G322" s="9">
        <v>0.11111111111111112</v>
      </c>
      <c r="H322" s="10">
        <v>0.57020833333333332</v>
      </c>
      <c r="I322" s="10">
        <v>0.68906250000000002</v>
      </c>
      <c r="J322" s="57">
        <f t="shared" si="21"/>
        <v>0.10510416666666671</v>
      </c>
      <c r="K322" s="129">
        <f t="shared" si="22"/>
        <v>0.69506944444444452</v>
      </c>
      <c r="L322" s="8"/>
      <c r="M322" s="8"/>
      <c r="N322" s="8">
        <v>1.375E-2</v>
      </c>
      <c r="O322" s="12"/>
      <c r="P322" s="16">
        <f t="shared" ref="P322:P385" si="24">IFERROR(G322/J322," ")</f>
        <v>1.0571522960026425</v>
      </c>
    </row>
    <row r="323" spans="1:16" ht="14.5">
      <c r="A323" s="142">
        <f t="shared" si="23"/>
        <v>322</v>
      </c>
      <c r="B323" s="142" t="str">
        <f>VLOOKUP(D323,Task!$B:$E,4,0)</f>
        <v>Task</v>
      </c>
      <c r="C323" s="150">
        <v>45756</v>
      </c>
      <c r="D323" s="7" t="s">
        <v>19</v>
      </c>
      <c r="E323" s="7">
        <v>20</v>
      </c>
      <c r="F323" s="8">
        <v>2.7777777777777779E-3</v>
      </c>
      <c r="G323" s="9">
        <v>5.5555555555555559E-2</v>
      </c>
      <c r="H323" s="10">
        <v>0.68906250000000002</v>
      </c>
      <c r="I323" s="10">
        <v>0.76388888888888884</v>
      </c>
      <c r="J323" s="57">
        <f t="shared" ref="J323:J386" si="25">IF(I323="","", IF(N323=" ",IF(OR(H323=0,I323=0),"",I323-H323),((I323-H323)-N323)))</f>
        <v>5.2534722222222149E-2</v>
      </c>
      <c r="K323" s="129">
        <f t="shared" ref="K323:K386" si="26">IFERROR(IF(N323=" ",(H323+G323),(H323+G323+N323)),"")</f>
        <v>0.76690972222222231</v>
      </c>
      <c r="L323" s="8"/>
      <c r="M323" s="8"/>
      <c r="N323" s="8">
        <v>2.2291666666666668E-2</v>
      </c>
      <c r="O323" s="12"/>
      <c r="P323" s="16">
        <f t="shared" si="24"/>
        <v>1.0575016523463334</v>
      </c>
    </row>
    <row r="324" spans="1:16" ht="14.5">
      <c r="A324" s="142">
        <f t="shared" ref="A324:A387" si="27">A323+1</f>
        <v>323</v>
      </c>
      <c r="B324" s="142" t="str">
        <f>VLOOKUP(D324,Task!$B:$E,4,0)</f>
        <v>Task</v>
      </c>
      <c r="C324" s="150">
        <v>45757</v>
      </c>
      <c r="D324" s="7" t="s">
        <v>27</v>
      </c>
      <c r="E324" s="7">
        <v>41</v>
      </c>
      <c r="F324" s="8">
        <v>1.3888888888888889E-3</v>
      </c>
      <c r="G324" s="9">
        <v>5.6944444444444443E-2</v>
      </c>
      <c r="H324" s="10">
        <v>0.38778935185185182</v>
      </c>
      <c r="I324" s="10">
        <v>0.43996527777777777</v>
      </c>
      <c r="J324" s="57">
        <f t="shared" si="25"/>
        <v>5.2175925925925959E-2</v>
      </c>
      <c r="K324" s="129">
        <f t="shared" si="26"/>
        <v>0.44473379629629628</v>
      </c>
      <c r="L324" s="8"/>
      <c r="M324" s="8"/>
      <c r="N324" s="8"/>
      <c r="O324" s="12"/>
      <c r="P324" s="16">
        <f t="shared" si="24"/>
        <v>1.091393078970718</v>
      </c>
    </row>
    <row r="325" spans="1:16" ht="14.5">
      <c r="A325" s="142">
        <f t="shared" si="27"/>
        <v>324</v>
      </c>
      <c r="B325" s="142" t="str">
        <f>VLOOKUP(D325,Task!$B:$E,4,0)</f>
        <v>Report</v>
      </c>
      <c r="C325" s="150">
        <v>45757</v>
      </c>
      <c r="D325" s="7" t="s">
        <v>18</v>
      </c>
      <c r="E325" s="7">
        <v>1</v>
      </c>
      <c r="F325" s="8">
        <v>4.8611111111111112E-2</v>
      </c>
      <c r="G325" s="9">
        <v>4.8611111111111112E-2</v>
      </c>
      <c r="H325" s="10">
        <v>0.43996527777777777</v>
      </c>
      <c r="I325" s="10">
        <v>0.50768518518518524</v>
      </c>
      <c r="J325" s="57">
        <f t="shared" si="25"/>
        <v>4.451388888888895E-2</v>
      </c>
      <c r="K325" s="129">
        <f t="shared" si="26"/>
        <v>0.51178240740740744</v>
      </c>
      <c r="L325" s="8"/>
      <c r="M325" s="8"/>
      <c r="N325" s="8">
        <v>2.3206018518518518E-2</v>
      </c>
      <c r="O325" s="12"/>
      <c r="P325" s="16">
        <f t="shared" si="24"/>
        <v>1.0920436817472685</v>
      </c>
    </row>
    <row r="326" spans="1:16" ht="14.5">
      <c r="A326" s="142">
        <f t="shared" si="27"/>
        <v>325</v>
      </c>
      <c r="B326" s="142" t="str">
        <f>VLOOKUP(D326,Task!$B:$E,4,0)</f>
        <v>report</v>
      </c>
      <c r="C326" s="150">
        <v>45757</v>
      </c>
      <c r="D326" s="7" t="s">
        <v>17</v>
      </c>
      <c r="E326" s="7">
        <v>1</v>
      </c>
      <c r="F326" s="8">
        <v>2.0833333333333332E-2</v>
      </c>
      <c r="G326" s="9">
        <v>2.0833333333333332E-2</v>
      </c>
      <c r="H326" s="10">
        <v>0.50768518518518524</v>
      </c>
      <c r="I326" s="10">
        <v>0.52667824074074077</v>
      </c>
      <c r="J326" s="57">
        <f t="shared" si="25"/>
        <v>1.8993055555555527E-2</v>
      </c>
      <c r="K326" s="129">
        <f t="shared" si="26"/>
        <v>0.52851851851851861</v>
      </c>
      <c r="L326" s="8"/>
      <c r="M326" s="8"/>
      <c r="N326" s="8"/>
      <c r="O326" s="12"/>
      <c r="P326" s="16">
        <f t="shared" si="24"/>
        <v>1.0968921389396726</v>
      </c>
    </row>
    <row r="327" spans="1:16" ht="14.5">
      <c r="A327" s="142">
        <f t="shared" si="27"/>
        <v>326</v>
      </c>
      <c r="B327" s="142" t="str">
        <f>VLOOKUP(D327,Task!$B:$E,4,0)</f>
        <v>Task</v>
      </c>
      <c r="C327" s="150">
        <v>45757</v>
      </c>
      <c r="D327" s="7" t="s">
        <v>27</v>
      </c>
      <c r="E327" s="7">
        <v>129</v>
      </c>
      <c r="F327" s="8">
        <v>1.3888888888888889E-3</v>
      </c>
      <c r="G327" s="9">
        <v>0.17916666666666667</v>
      </c>
      <c r="H327" s="10">
        <v>0.52667824074074077</v>
      </c>
      <c r="I327" s="10">
        <v>0.72503472222222221</v>
      </c>
      <c r="J327" s="57">
        <f t="shared" si="25"/>
        <v>0.16843749999999996</v>
      </c>
      <c r="K327" s="129">
        <f t="shared" si="26"/>
        <v>0.73576388888888899</v>
      </c>
      <c r="L327" s="8"/>
      <c r="M327" s="8"/>
      <c r="N327" s="8">
        <v>2.991898148148148E-2</v>
      </c>
      <c r="O327" s="12"/>
      <c r="P327" s="16">
        <f t="shared" si="24"/>
        <v>1.0636982065553497</v>
      </c>
    </row>
    <row r="328" spans="1:16" ht="14.5">
      <c r="A328" s="142">
        <f t="shared" si="27"/>
        <v>327</v>
      </c>
      <c r="B328" s="142" t="str">
        <f>VLOOKUP(D328,Task!$B:$E,4,0)</f>
        <v>Task</v>
      </c>
      <c r="C328" s="150">
        <v>45757</v>
      </c>
      <c r="D328" s="7" t="s">
        <v>19</v>
      </c>
      <c r="E328" s="7">
        <v>16</v>
      </c>
      <c r="F328" s="8">
        <v>2.7777777777777779E-3</v>
      </c>
      <c r="G328" s="9">
        <v>4.4444444444444446E-2</v>
      </c>
      <c r="H328" s="10">
        <v>0.72503472222222221</v>
      </c>
      <c r="I328" s="10">
        <v>0.76527091435127659</v>
      </c>
      <c r="J328" s="57">
        <f t="shared" si="25"/>
        <v>4.0236192129054382E-2</v>
      </c>
      <c r="K328" s="129">
        <f t="shared" si="26"/>
        <v>0.7694791666666666</v>
      </c>
      <c r="L328" s="8"/>
      <c r="M328" s="8"/>
      <c r="N328" s="8"/>
      <c r="O328" s="12"/>
      <c r="P328" s="16">
        <f t="shared" si="24"/>
        <v>1.1045887320025818</v>
      </c>
    </row>
    <row r="329" spans="1:16" ht="14.5">
      <c r="A329" s="142">
        <f t="shared" si="27"/>
        <v>328</v>
      </c>
      <c r="B329" s="142" t="str">
        <f>VLOOKUP(D329,Task!$B:$E,4,0)</f>
        <v>Report</v>
      </c>
      <c r="C329" s="150">
        <v>45758</v>
      </c>
      <c r="D329" s="7" t="s">
        <v>18</v>
      </c>
      <c r="E329" s="7">
        <v>1</v>
      </c>
      <c r="F329" s="8">
        <v>4.8611111111111112E-2</v>
      </c>
      <c r="G329" s="9">
        <v>4.8611111111111112E-2</v>
      </c>
      <c r="H329" s="10">
        <v>0.33827546296296296</v>
      </c>
      <c r="I329" s="10">
        <v>0.38221064814814815</v>
      </c>
      <c r="J329" s="57">
        <f t="shared" si="25"/>
        <v>4.3935185185185188E-2</v>
      </c>
      <c r="K329" s="129">
        <f t="shared" si="26"/>
        <v>0.38688657407407406</v>
      </c>
      <c r="L329" s="8"/>
      <c r="M329" s="8"/>
      <c r="N329" s="8"/>
      <c r="O329" s="12"/>
      <c r="P329" s="16">
        <f t="shared" si="24"/>
        <v>1.1064278187565859</v>
      </c>
    </row>
    <row r="330" spans="1:16" ht="14.5">
      <c r="A330" s="142">
        <f t="shared" si="27"/>
        <v>329</v>
      </c>
      <c r="B330" s="142" t="str">
        <f>VLOOKUP(D330,Task!$B:$E,4,0)</f>
        <v>Task</v>
      </c>
      <c r="C330" s="150">
        <v>45758</v>
      </c>
      <c r="D330" s="7" t="s">
        <v>16</v>
      </c>
      <c r="E330" s="7">
        <v>19</v>
      </c>
      <c r="F330" s="8">
        <v>5.5555555555555558E-3</v>
      </c>
      <c r="G330" s="9">
        <v>0.10555555555555556</v>
      </c>
      <c r="H330" s="10">
        <v>0.38221064814814815</v>
      </c>
      <c r="I330" s="10">
        <v>0.52688657407407402</v>
      </c>
      <c r="J330" s="57">
        <f t="shared" si="25"/>
        <v>9.4930555555555504E-2</v>
      </c>
      <c r="K330" s="129">
        <f t="shared" si="26"/>
        <v>0.53751157407407413</v>
      </c>
      <c r="L330" s="8"/>
      <c r="M330" s="8"/>
      <c r="N330" s="8">
        <v>4.974537037037037E-2</v>
      </c>
      <c r="O330" s="12"/>
      <c r="P330" s="16">
        <f t="shared" si="24"/>
        <v>1.1119239209948799</v>
      </c>
    </row>
    <row r="331" spans="1:16" ht="14.5">
      <c r="A331" s="142">
        <f t="shared" si="27"/>
        <v>330</v>
      </c>
      <c r="B331" s="142" t="str">
        <f>VLOOKUP(D331,Task!$B:$E,4,0)</f>
        <v>Task</v>
      </c>
      <c r="C331" s="150">
        <v>45758</v>
      </c>
      <c r="D331" s="7" t="s">
        <v>19</v>
      </c>
      <c r="E331" s="7">
        <v>60</v>
      </c>
      <c r="F331" s="8">
        <v>2.7777777777777779E-3</v>
      </c>
      <c r="G331" s="9">
        <v>0.16666666666666669</v>
      </c>
      <c r="H331" s="10">
        <v>0.52688657407407402</v>
      </c>
      <c r="I331" s="10">
        <v>0.71527777777777779</v>
      </c>
      <c r="J331" s="57">
        <f t="shared" si="25"/>
        <v>0.15222222222222229</v>
      </c>
      <c r="K331" s="129">
        <f t="shared" si="26"/>
        <v>0.72972222222222227</v>
      </c>
      <c r="L331" s="8"/>
      <c r="M331" s="8"/>
      <c r="N331" s="8">
        <v>3.6168981481481483E-2</v>
      </c>
      <c r="O331" s="12"/>
      <c r="P331" s="16">
        <f t="shared" si="24"/>
        <v>1.0948905109489047</v>
      </c>
    </row>
    <row r="332" spans="1:16" ht="14.5">
      <c r="A332" s="142">
        <f t="shared" si="27"/>
        <v>331</v>
      </c>
      <c r="B332" s="142" t="str">
        <f>VLOOKUP(D332,Task!$B:$E,4,0)</f>
        <v>Report</v>
      </c>
      <c r="C332" s="150">
        <v>45761</v>
      </c>
      <c r="D332" s="7" t="s">
        <v>18</v>
      </c>
      <c r="E332" s="7">
        <v>2</v>
      </c>
      <c r="F332" s="8">
        <v>4.8611111111111112E-2</v>
      </c>
      <c r="G332" s="9">
        <v>9.7222222222222224E-2</v>
      </c>
      <c r="H332" s="10">
        <v>0.38716435185185183</v>
      </c>
      <c r="I332" s="10">
        <v>0.49593749999999998</v>
      </c>
      <c r="J332" s="57">
        <f t="shared" si="25"/>
        <v>8.9016203703703695E-2</v>
      </c>
      <c r="K332" s="129">
        <f t="shared" si="26"/>
        <v>0.50414351851851846</v>
      </c>
      <c r="L332" s="8"/>
      <c r="M332" s="8"/>
      <c r="N332" s="8">
        <v>1.9756944444444445E-2</v>
      </c>
      <c r="O332" s="12"/>
      <c r="P332" s="16">
        <f t="shared" si="24"/>
        <v>1.092185671564166</v>
      </c>
    </row>
    <row r="333" spans="1:16" ht="14.5">
      <c r="A333" s="142">
        <f t="shared" si="27"/>
        <v>332</v>
      </c>
      <c r="B333" s="142" t="str">
        <f>VLOOKUP(D333,Task!$B:$E,4,0)</f>
        <v>Task</v>
      </c>
      <c r="C333" s="150">
        <v>45761</v>
      </c>
      <c r="D333" s="7" t="s">
        <v>16</v>
      </c>
      <c r="E333" s="7">
        <v>29</v>
      </c>
      <c r="F333" s="8">
        <v>5.5555555555555558E-3</v>
      </c>
      <c r="G333" s="9">
        <v>0.16111111111111112</v>
      </c>
      <c r="H333" s="10">
        <v>0.49593749999999998</v>
      </c>
      <c r="I333" s="10">
        <v>0.66563657407407406</v>
      </c>
      <c r="J333" s="57">
        <f t="shared" si="25"/>
        <v>0.15395833333333334</v>
      </c>
      <c r="K333" s="129">
        <f t="shared" si="26"/>
        <v>0.67278935185185185</v>
      </c>
      <c r="L333" s="8"/>
      <c r="M333" s="8"/>
      <c r="N333" s="8">
        <v>1.5740740740740739E-2</v>
      </c>
      <c r="O333" s="12"/>
      <c r="P333" s="16">
        <f t="shared" si="24"/>
        <v>1.0464591790708164</v>
      </c>
    </row>
    <row r="334" spans="1:16" ht="14.5">
      <c r="A334" s="142">
        <f t="shared" si="27"/>
        <v>333</v>
      </c>
      <c r="B334" s="142" t="str">
        <f>VLOOKUP(D334,Task!$B:$E,4,0)</f>
        <v>Task</v>
      </c>
      <c r="C334" s="150">
        <v>45761</v>
      </c>
      <c r="D334" s="7" t="s">
        <v>16</v>
      </c>
      <c r="E334" s="7">
        <v>16</v>
      </c>
      <c r="F334" s="8">
        <v>5.5555555555555558E-3</v>
      </c>
      <c r="G334" s="9">
        <v>8.8888888888888892E-2</v>
      </c>
      <c r="H334" s="10">
        <v>0.66563657407407406</v>
      </c>
      <c r="I334" s="10">
        <v>0.77083333333333337</v>
      </c>
      <c r="J334" s="57">
        <f t="shared" si="25"/>
        <v>8.059027777777783E-2</v>
      </c>
      <c r="K334" s="129">
        <f t="shared" si="26"/>
        <v>0.77913194444444445</v>
      </c>
      <c r="L334" s="8"/>
      <c r="M334" s="8"/>
      <c r="N334" s="8">
        <v>2.4606481481481483E-2</v>
      </c>
      <c r="O334" s="12"/>
      <c r="P334" s="16">
        <f t="shared" si="24"/>
        <v>1.1029728565273582</v>
      </c>
    </row>
    <row r="335" spans="1:16" ht="14.5">
      <c r="A335" s="142">
        <f t="shared" si="27"/>
        <v>334</v>
      </c>
      <c r="B335" s="142" t="str">
        <f>VLOOKUP(D335,Task!$B:$E,4,0)</f>
        <v>Report</v>
      </c>
      <c r="C335" s="150">
        <v>45762</v>
      </c>
      <c r="D335" s="7" t="s">
        <v>18</v>
      </c>
      <c r="E335" s="7">
        <v>3</v>
      </c>
      <c r="F335" s="8">
        <v>4.8611111111111112E-2</v>
      </c>
      <c r="G335" s="9">
        <v>0.14583333333333334</v>
      </c>
      <c r="H335" s="10">
        <v>0.375462962962963</v>
      </c>
      <c r="I335" s="10">
        <v>0.6184722222222222</v>
      </c>
      <c r="J335" s="57">
        <f t="shared" si="25"/>
        <v>0.13269675925925922</v>
      </c>
      <c r="K335" s="129">
        <f t="shared" si="26"/>
        <v>0.6316087962962964</v>
      </c>
      <c r="L335" s="8"/>
      <c r="M335" s="8"/>
      <c r="N335" s="8">
        <v>0.11031249999999999</v>
      </c>
      <c r="O335" s="12"/>
      <c r="P335" s="16">
        <f t="shared" si="24"/>
        <v>1.0989969472307024</v>
      </c>
    </row>
    <row r="336" spans="1:16" ht="14.5">
      <c r="A336" s="142">
        <f t="shared" si="27"/>
        <v>335</v>
      </c>
      <c r="B336" s="142" t="str">
        <f>VLOOKUP(D336,Task!$B:$E,4,0)</f>
        <v>Task</v>
      </c>
      <c r="C336" s="150">
        <v>45762</v>
      </c>
      <c r="D336" s="7" t="s">
        <v>19</v>
      </c>
      <c r="E336" s="7">
        <v>40</v>
      </c>
      <c r="F336" s="8">
        <v>2.7777777777777779E-3</v>
      </c>
      <c r="G336" s="9">
        <v>0.11111111111111112</v>
      </c>
      <c r="H336" s="10">
        <v>0.6184722222222222</v>
      </c>
      <c r="I336" s="10">
        <v>0.75400475694914348</v>
      </c>
      <c r="J336" s="57">
        <f t="shared" si="25"/>
        <v>0.10299781250469905</v>
      </c>
      <c r="K336" s="129">
        <f t="shared" si="26"/>
        <v>0.76211805555555556</v>
      </c>
      <c r="L336" s="8"/>
      <c r="M336" s="8"/>
      <c r="N336" s="8">
        <v>3.2534722222222222E-2</v>
      </c>
      <c r="O336" s="12"/>
      <c r="P336" s="16">
        <f t="shared" si="24"/>
        <v>1.0787715623187815</v>
      </c>
    </row>
    <row r="337" spans="1:16" ht="14.5">
      <c r="A337" s="142">
        <f t="shared" si="27"/>
        <v>336</v>
      </c>
      <c r="B337" s="142" t="str">
        <f>VLOOKUP(D337,Task!$B:$E,4,0)</f>
        <v>Report</v>
      </c>
      <c r="C337" s="150">
        <v>45763</v>
      </c>
      <c r="D337" s="7" t="s">
        <v>18</v>
      </c>
      <c r="E337" s="7">
        <v>2</v>
      </c>
      <c r="F337" s="8">
        <v>4.8611111111111112E-2</v>
      </c>
      <c r="G337" s="9">
        <v>9.7222222222222224E-2</v>
      </c>
      <c r="H337" s="10">
        <v>0.37942129629629628</v>
      </c>
      <c r="I337" s="10">
        <v>0.47240740740740739</v>
      </c>
      <c r="J337" s="57">
        <f t="shared" si="25"/>
        <v>8.850694444444443E-2</v>
      </c>
      <c r="K337" s="129">
        <f t="shared" si="26"/>
        <v>0.48112268518518514</v>
      </c>
      <c r="L337" s="8"/>
      <c r="M337" s="8"/>
      <c r="N337" s="8">
        <v>4.4791666666666669E-3</v>
      </c>
      <c r="O337" s="12"/>
      <c r="P337" s="16">
        <f t="shared" si="24"/>
        <v>1.098469988230679</v>
      </c>
    </row>
    <row r="338" spans="1:16" ht="14.5">
      <c r="A338" s="142">
        <f t="shared" si="27"/>
        <v>337</v>
      </c>
      <c r="B338" s="142" t="str">
        <f>VLOOKUP(D338,Task!$B:$E,4,0)</f>
        <v>Task</v>
      </c>
      <c r="C338" s="150">
        <v>45763</v>
      </c>
      <c r="D338" s="7" t="s">
        <v>19</v>
      </c>
      <c r="E338" s="7">
        <v>13</v>
      </c>
      <c r="F338" s="8">
        <v>2.7777777777777779E-3</v>
      </c>
      <c r="G338" s="9">
        <v>3.6111111111111115E-2</v>
      </c>
      <c r="H338" s="10">
        <v>0.47240740740740739</v>
      </c>
      <c r="I338" s="10">
        <v>0.55252314814814818</v>
      </c>
      <c r="J338" s="57">
        <f t="shared" si="25"/>
        <v>3.3946759259259308E-2</v>
      </c>
      <c r="K338" s="129">
        <f t="shared" si="26"/>
        <v>0.5546875</v>
      </c>
      <c r="L338" s="8"/>
      <c r="M338" s="8"/>
      <c r="N338" s="8">
        <v>4.6168981481481484E-2</v>
      </c>
      <c r="O338" s="12"/>
      <c r="P338" s="16">
        <f t="shared" si="24"/>
        <v>1.0637572451414918</v>
      </c>
    </row>
    <row r="339" spans="1:16" ht="14.5">
      <c r="A339" s="142">
        <f t="shared" si="27"/>
        <v>338</v>
      </c>
      <c r="B339" s="142" t="str">
        <f>VLOOKUP(D339,Task!$B:$E,4,0)</f>
        <v>report</v>
      </c>
      <c r="C339" s="150">
        <v>45763</v>
      </c>
      <c r="D339" s="7" t="s">
        <v>17</v>
      </c>
      <c r="E339" s="7">
        <v>1</v>
      </c>
      <c r="F339" s="8">
        <v>2.0833333333333332E-2</v>
      </c>
      <c r="G339" s="9">
        <v>2.0833333333333332E-2</v>
      </c>
      <c r="H339" s="10">
        <v>0.55252314814814818</v>
      </c>
      <c r="I339" s="10">
        <v>0.61938657407407405</v>
      </c>
      <c r="J339" s="57">
        <f t="shared" si="25"/>
        <v>1.9178240740740683E-2</v>
      </c>
      <c r="K339" s="129">
        <f t="shared" si="26"/>
        <v>0.62104166666666671</v>
      </c>
      <c r="L339" s="8"/>
      <c r="M339" s="8"/>
      <c r="N339" s="8">
        <v>4.7685185185185185E-2</v>
      </c>
      <c r="O339" s="12"/>
      <c r="P339" s="16">
        <f t="shared" si="24"/>
        <v>1.0863005431502748</v>
      </c>
    </row>
    <row r="340" spans="1:16" ht="14.5">
      <c r="A340" s="142">
        <f t="shared" si="27"/>
        <v>339</v>
      </c>
      <c r="B340" s="142" t="str">
        <f>VLOOKUP(D340,Task!$B:$E,4,0)</f>
        <v>Task</v>
      </c>
      <c r="C340" s="150">
        <v>45763</v>
      </c>
      <c r="D340" s="7" t="s">
        <v>19</v>
      </c>
      <c r="E340" s="7">
        <v>25</v>
      </c>
      <c r="F340" s="8">
        <v>2.7777777777777779E-3</v>
      </c>
      <c r="G340" s="9">
        <v>6.9444444444444448E-2</v>
      </c>
      <c r="H340" s="10">
        <v>0.61938657407407405</v>
      </c>
      <c r="I340" s="10">
        <v>0.76041666666666663</v>
      </c>
      <c r="J340" s="57">
        <f t="shared" si="25"/>
        <v>6.0335648148148138E-2</v>
      </c>
      <c r="K340" s="129">
        <f t="shared" si="26"/>
        <v>0.76952546296296287</v>
      </c>
      <c r="L340" s="8"/>
      <c r="M340" s="8"/>
      <c r="N340" s="8">
        <v>8.0694444444444444E-2</v>
      </c>
      <c r="O340" s="12" t="s">
        <v>39</v>
      </c>
      <c r="P340" s="16">
        <f t="shared" si="24"/>
        <v>1.1509687320161137</v>
      </c>
    </row>
    <row r="341" spans="1:16" ht="14.5">
      <c r="A341" s="142">
        <f t="shared" si="27"/>
        <v>340</v>
      </c>
      <c r="B341" s="142" t="str">
        <f>VLOOKUP(D341,Task!$B:$E,4,0)</f>
        <v>Report</v>
      </c>
      <c r="C341" s="150">
        <v>45764</v>
      </c>
      <c r="D341" s="7" t="s">
        <v>18</v>
      </c>
      <c r="E341" s="7">
        <v>1</v>
      </c>
      <c r="F341" s="8">
        <v>4.8611111111111112E-2</v>
      </c>
      <c r="G341" s="9">
        <v>4.8611111111111112E-2</v>
      </c>
      <c r="H341" s="10">
        <v>0.38266203703703705</v>
      </c>
      <c r="I341" s="10">
        <v>0.42700231481481482</v>
      </c>
      <c r="J341" s="57">
        <f t="shared" si="25"/>
        <v>4.434027777777777E-2</v>
      </c>
      <c r="K341" s="129">
        <f t="shared" si="26"/>
        <v>0.43127314814814816</v>
      </c>
      <c r="L341" s="8"/>
      <c r="M341" s="8"/>
      <c r="N341" s="8"/>
      <c r="O341" s="12"/>
      <c r="P341" s="16">
        <f t="shared" si="24"/>
        <v>1.0963194988253722</v>
      </c>
    </row>
    <row r="342" spans="1:16" ht="14.5">
      <c r="A342" s="142">
        <f t="shared" si="27"/>
        <v>341</v>
      </c>
      <c r="B342" s="142" t="str">
        <f>VLOOKUP(D342,Task!$B:$E,4,0)</f>
        <v>Task</v>
      </c>
      <c r="C342" s="150">
        <v>45764</v>
      </c>
      <c r="D342" s="7" t="s">
        <v>16</v>
      </c>
      <c r="E342" s="7">
        <v>12</v>
      </c>
      <c r="F342" s="8">
        <v>5.5555555555555558E-3</v>
      </c>
      <c r="G342" s="9">
        <v>6.6666666666666666E-2</v>
      </c>
      <c r="H342" s="10">
        <v>0.42700231481481482</v>
      </c>
      <c r="I342" s="10">
        <v>0.51163194444444449</v>
      </c>
      <c r="J342" s="57">
        <f t="shared" si="25"/>
        <v>6.1273148148148188E-2</v>
      </c>
      <c r="K342" s="129">
        <f t="shared" si="26"/>
        <v>0.51702546296296292</v>
      </c>
      <c r="L342" s="8"/>
      <c r="M342" s="8"/>
      <c r="N342" s="8">
        <v>2.3356481481481482E-2</v>
      </c>
      <c r="O342" s="12"/>
      <c r="P342" s="16">
        <f t="shared" si="24"/>
        <v>1.088024178315073</v>
      </c>
    </row>
    <row r="343" spans="1:16" ht="14.5">
      <c r="A343" s="142">
        <f t="shared" si="27"/>
        <v>342</v>
      </c>
      <c r="B343" s="142" t="str">
        <f>VLOOKUP(D343,Task!$B:$E,4,0)</f>
        <v>Task</v>
      </c>
      <c r="C343" s="150">
        <v>45764</v>
      </c>
      <c r="D343" s="7" t="s">
        <v>34</v>
      </c>
      <c r="E343" s="7">
        <v>28</v>
      </c>
      <c r="F343" s="8">
        <v>8.3333333333333332E-3</v>
      </c>
      <c r="G343" s="9">
        <v>0.23333333333333334</v>
      </c>
      <c r="H343" s="10">
        <v>0.51163194444444449</v>
      </c>
      <c r="I343" s="10">
        <v>0.76041666666666663</v>
      </c>
      <c r="J343" s="57">
        <f t="shared" si="25"/>
        <v>0.21187499999999992</v>
      </c>
      <c r="K343" s="129">
        <f t="shared" si="26"/>
        <v>0.78187499999999999</v>
      </c>
      <c r="L343" s="8"/>
      <c r="M343" s="8"/>
      <c r="N343" s="8">
        <v>3.6909722222222219E-2</v>
      </c>
      <c r="O343" s="12"/>
      <c r="P343" s="16">
        <f t="shared" si="24"/>
        <v>1.1012782694198628</v>
      </c>
    </row>
    <row r="344" spans="1:16" ht="14.5">
      <c r="A344" s="142">
        <f t="shared" si="27"/>
        <v>343</v>
      </c>
      <c r="B344" s="142" t="str">
        <f>VLOOKUP(D344,Task!$B:$E,4,0)</f>
        <v>Task</v>
      </c>
      <c r="C344" s="150">
        <v>45769</v>
      </c>
      <c r="D344" s="7" t="s">
        <v>34</v>
      </c>
      <c r="E344" s="7">
        <v>14</v>
      </c>
      <c r="F344" s="8">
        <v>8.3333333333333332E-3</v>
      </c>
      <c r="G344" s="9">
        <v>0.11666666666666667</v>
      </c>
      <c r="H344" s="10">
        <v>0.34671296296296295</v>
      </c>
      <c r="I344" s="10">
        <v>0.48438657407407409</v>
      </c>
      <c r="J344" s="57">
        <f t="shared" si="25"/>
        <v>0.10557870370370374</v>
      </c>
      <c r="K344" s="129">
        <f t="shared" si="26"/>
        <v>0.49547453703703703</v>
      </c>
      <c r="L344" s="8"/>
      <c r="M344" s="8"/>
      <c r="N344" s="8">
        <v>3.2094907407407405E-2</v>
      </c>
      <c r="O344" s="12"/>
      <c r="P344" s="16">
        <f t="shared" si="24"/>
        <v>1.1050208287656211</v>
      </c>
    </row>
    <row r="345" spans="1:16" ht="14.5">
      <c r="A345" s="142">
        <f t="shared" si="27"/>
        <v>344</v>
      </c>
      <c r="B345" s="142" t="str">
        <f>VLOOKUP(D345,Task!$B:$E,4,0)</f>
        <v>Report</v>
      </c>
      <c r="C345" s="150">
        <v>45769</v>
      </c>
      <c r="D345" s="7" t="s">
        <v>30</v>
      </c>
      <c r="E345" s="7">
        <v>2</v>
      </c>
      <c r="F345" s="8">
        <v>4.8611111111111112E-2</v>
      </c>
      <c r="G345" s="9">
        <v>9.7222222222222224E-2</v>
      </c>
      <c r="H345" s="10">
        <v>0.48438657407407409</v>
      </c>
      <c r="I345" s="10">
        <v>0.57422453703703702</v>
      </c>
      <c r="J345" s="57">
        <f t="shared" si="25"/>
        <v>8.9837962962962925E-2</v>
      </c>
      <c r="K345" s="129">
        <f t="shared" si="26"/>
        <v>0.58160879629629636</v>
      </c>
      <c r="L345" s="8"/>
      <c r="M345" s="8"/>
      <c r="N345" s="8"/>
      <c r="O345" s="12"/>
      <c r="P345" s="16">
        <f t="shared" si="24"/>
        <v>1.0821953104869884</v>
      </c>
    </row>
    <row r="346" spans="1:16" ht="14.5">
      <c r="A346" s="142">
        <f t="shared" si="27"/>
        <v>345</v>
      </c>
      <c r="B346" s="142" t="str">
        <f>VLOOKUP(D346,Task!$B:$E,4,0)</f>
        <v>Task</v>
      </c>
      <c r="C346" s="150">
        <v>45769</v>
      </c>
      <c r="D346" s="7" t="s">
        <v>34</v>
      </c>
      <c r="E346" s="7">
        <v>16</v>
      </c>
      <c r="F346" s="8">
        <v>8.3333333333333332E-3</v>
      </c>
      <c r="G346" s="9">
        <v>0.13333333333333333</v>
      </c>
      <c r="H346" s="10">
        <v>0.57422453703703702</v>
      </c>
      <c r="I346" s="10">
        <v>0.72916666666666663</v>
      </c>
      <c r="J346" s="57">
        <f t="shared" si="25"/>
        <v>0.11848379629629625</v>
      </c>
      <c r="K346" s="129">
        <f t="shared" si="26"/>
        <v>0.74401620370370369</v>
      </c>
      <c r="L346" s="8"/>
      <c r="M346" s="8"/>
      <c r="N346" s="8">
        <v>3.6458333333333356E-2</v>
      </c>
      <c r="O346" s="12"/>
      <c r="P346" s="16">
        <f t="shared" si="24"/>
        <v>1.1253296864315721</v>
      </c>
    </row>
    <row r="347" spans="1:16" ht="14.5">
      <c r="A347" s="142">
        <f t="shared" si="27"/>
        <v>346</v>
      </c>
      <c r="B347" s="142" t="str">
        <f>VLOOKUP(D347,Task!$B:$E,4,0)</f>
        <v>report</v>
      </c>
      <c r="C347" s="150">
        <v>45769</v>
      </c>
      <c r="D347" s="7" t="s">
        <v>40</v>
      </c>
      <c r="E347" s="7">
        <v>1</v>
      </c>
      <c r="F347" s="8">
        <v>1.0416666666666666E-2</v>
      </c>
      <c r="G347" s="9">
        <v>1.0416666666666666E-2</v>
      </c>
      <c r="H347" s="10">
        <v>0.66545138888888888</v>
      </c>
      <c r="I347" s="10">
        <v>0.67508101851851854</v>
      </c>
      <c r="J347" s="57">
        <f t="shared" si="25"/>
        <v>9.6296296296296546E-3</v>
      </c>
      <c r="K347" s="129">
        <f t="shared" si="26"/>
        <v>0.67586805555555551</v>
      </c>
      <c r="L347" s="8"/>
      <c r="M347" s="8"/>
      <c r="N347" s="8"/>
      <c r="O347" s="12"/>
      <c r="P347" s="16">
        <f t="shared" si="24"/>
        <v>1.0817307692307663</v>
      </c>
    </row>
    <row r="348" spans="1:16" ht="14.5">
      <c r="A348" s="142">
        <f t="shared" si="27"/>
        <v>347</v>
      </c>
      <c r="B348" s="142" t="str">
        <f>VLOOKUP(D348,Task!$B:$E,4,0)</f>
        <v>report</v>
      </c>
      <c r="C348" s="150">
        <v>45770</v>
      </c>
      <c r="D348" s="7" t="s">
        <v>26</v>
      </c>
      <c r="E348" s="7">
        <v>1</v>
      </c>
      <c r="F348" s="8">
        <v>2.0833333333333332E-2</v>
      </c>
      <c r="G348" s="9">
        <v>2.0833333333333332E-2</v>
      </c>
      <c r="H348" s="10">
        <v>0.33107638888888891</v>
      </c>
      <c r="I348" s="10">
        <v>0.35013888888888889</v>
      </c>
      <c r="J348" s="57">
        <f t="shared" si="25"/>
        <v>1.9062499999999982E-2</v>
      </c>
      <c r="K348" s="129">
        <f t="shared" si="26"/>
        <v>0.35190972222222222</v>
      </c>
      <c r="L348" s="8"/>
      <c r="M348" s="8"/>
      <c r="N348" s="8"/>
      <c r="O348" s="12"/>
      <c r="P348" s="16">
        <f t="shared" si="24"/>
        <v>1.092896174863389</v>
      </c>
    </row>
    <row r="349" spans="1:16" ht="14.5">
      <c r="A349" s="142">
        <f t="shared" si="27"/>
        <v>348</v>
      </c>
      <c r="B349" s="142" t="str">
        <f>VLOOKUP(D349,Task!$B:$E,4,0)</f>
        <v>Task</v>
      </c>
      <c r="C349" s="150">
        <v>45770</v>
      </c>
      <c r="D349" s="7" t="s">
        <v>34</v>
      </c>
      <c r="E349" s="7">
        <v>27</v>
      </c>
      <c r="F349" s="8">
        <v>8.3333333333333332E-3</v>
      </c>
      <c r="G349" s="9">
        <v>0.22500000000000001</v>
      </c>
      <c r="H349" s="10">
        <v>0.35013888888888889</v>
      </c>
      <c r="I349" s="10">
        <v>0.60422453703703705</v>
      </c>
      <c r="J349" s="57">
        <f t="shared" si="25"/>
        <v>0.20324074074074075</v>
      </c>
      <c r="K349" s="129">
        <f t="shared" si="26"/>
        <v>0.6259837962962963</v>
      </c>
      <c r="L349" s="8"/>
      <c r="M349" s="8"/>
      <c r="N349" s="8">
        <v>5.0844907407407408E-2</v>
      </c>
      <c r="O349" s="12"/>
      <c r="P349" s="16">
        <f t="shared" si="24"/>
        <v>1.1070615034168565</v>
      </c>
    </row>
    <row r="350" spans="1:16" ht="14.5">
      <c r="A350" s="142">
        <f t="shared" si="27"/>
        <v>349</v>
      </c>
      <c r="B350" s="142" t="str">
        <f>VLOOKUP(D350,Task!$B:$E,4,0)</f>
        <v>Report</v>
      </c>
      <c r="C350" s="150">
        <v>45770</v>
      </c>
      <c r="D350" s="7" t="s">
        <v>30</v>
      </c>
      <c r="E350" s="7">
        <v>2</v>
      </c>
      <c r="F350" s="8">
        <v>4.8611111111111112E-2</v>
      </c>
      <c r="G350" s="9">
        <v>9.7222222222222224E-2</v>
      </c>
      <c r="H350" s="10">
        <v>0.60422453703703705</v>
      </c>
      <c r="I350" s="10">
        <v>0.70974537037037033</v>
      </c>
      <c r="J350" s="57">
        <f t="shared" si="25"/>
        <v>9.005787037037033E-2</v>
      </c>
      <c r="K350" s="129">
        <f t="shared" si="26"/>
        <v>0.71690972222222227</v>
      </c>
      <c r="L350" s="8"/>
      <c r="M350" s="8"/>
      <c r="N350" s="8">
        <v>1.5462962962962963E-2</v>
      </c>
      <c r="O350" s="12"/>
      <c r="P350" s="16">
        <f t="shared" si="24"/>
        <v>1.0795527567150758</v>
      </c>
    </row>
    <row r="351" spans="1:16" ht="14.5">
      <c r="A351" s="142">
        <f t="shared" si="27"/>
        <v>350</v>
      </c>
      <c r="B351" s="142" t="str">
        <f>VLOOKUP(D351,Task!$B:$E,4,0)</f>
        <v>Task</v>
      </c>
      <c r="C351" s="150">
        <v>45770</v>
      </c>
      <c r="D351" s="7" t="s">
        <v>27</v>
      </c>
      <c r="E351" s="7">
        <v>10</v>
      </c>
      <c r="F351" s="8">
        <v>1.3888888888888889E-3</v>
      </c>
      <c r="G351" s="9">
        <v>1.388888888888889E-2</v>
      </c>
      <c r="H351" s="10">
        <v>0.70974537037037033</v>
      </c>
      <c r="I351" s="10">
        <v>0.72025631944416091</v>
      </c>
      <c r="J351" s="57">
        <f t="shared" si="25"/>
        <v>1.0510949073790576E-2</v>
      </c>
      <c r="K351" s="129">
        <f t="shared" si="26"/>
        <v>0.72363425925925917</v>
      </c>
      <c r="L351" s="8"/>
      <c r="M351" s="8"/>
      <c r="N351" s="8"/>
      <c r="O351" s="12"/>
      <c r="P351" s="16">
        <f t="shared" si="24"/>
        <v>1.3213734355845492</v>
      </c>
    </row>
    <row r="352" spans="1:16" ht="14.5">
      <c r="A352" s="142">
        <f t="shared" si="27"/>
        <v>351</v>
      </c>
      <c r="B352" s="142" t="str">
        <f>VLOOKUP(D352,Task!$B:$E,4,0)</f>
        <v>Task</v>
      </c>
      <c r="C352" s="150">
        <v>45771</v>
      </c>
      <c r="D352" s="7" t="s">
        <v>16</v>
      </c>
      <c r="E352" s="7">
        <v>24</v>
      </c>
      <c r="F352" s="8">
        <v>5.5555555555555558E-3</v>
      </c>
      <c r="G352" s="9">
        <v>0.13333333333333333</v>
      </c>
      <c r="H352" s="10">
        <v>0.34070601851851856</v>
      </c>
      <c r="I352" s="10">
        <v>0.49144675925925924</v>
      </c>
      <c r="J352" s="57">
        <f t="shared" si="25"/>
        <v>0.12195601851851845</v>
      </c>
      <c r="K352" s="129">
        <f t="shared" si="26"/>
        <v>0.50282407407407403</v>
      </c>
      <c r="L352" s="8"/>
      <c r="M352" s="8"/>
      <c r="N352" s="8">
        <v>2.8784722222222222E-2</v>
      </c>
      <c r="O352" s="12"/>
      <c r="P352" s="16">
        <f t="shared" si="24"/>
        <v>1.0932903103350107</v>
      </c>
    </row>
    <row r="353" spans="1:16" ht="14.5">
      <c r="A353" s="142">
        <f t="shared" si="27"/>
        <v>352</v>
      </c>
      <c r="B353" s="142" t="str">
        <f>VLOOKUP(D353,Task!$B:$E,4,0)</f>
        <v>Task</v>
      </c>
      <c r="C353" s="150">
        <v>45771</v>
      </c>
      <c r="D353" s="7" t="s">
        <v>27</v>
      </c>
      <c r="E353" s="7">
        <v>140</v>
      </c>
      <c r="F353" s="8">
        <v>1.3888888888888889E-3</v>
      </c>
      <c r="G353" s="9">
        <v>0.19444444444444445</v>
      </c>
      <c r="H353" s="10">
        <v>0.49144675925925924</v>
      </c>
      <c r="I353" s="10">
        <v>0.72035659722314449</v>
      </c>
      <c r="J353" s="57">
        <f t="shared" si="25"/>
        <v>0.1751829861120334</v>
      </c>
      <c r="K353" s="129">
        <f t="shared" si="26"/>
        <v>0.7396180555555556</v>
      </c>
      <c r="L353" s="8"/>
      <c r="M353" s="8"/>
      <c r="N353" s="8">
        <v>5.3726851851851852E-2</v>
      </c>
      <c r="O353" s="12"/>
      <c r="P353" s="16">
        <f t="shared" si="24"/>
        <v>1.1099505080938221</v>
      </c>
    </row>
    <row r="354" spans="1:16" ht="14.5">
      <c r="A354" s="142">
        <f t="shared" si="27"/>
        <v>353</v>
      </c>
      <c r="B354" s="142" t="str">
        <f>VLOOKUP(D354,Task!$B:$E,4,0)</f>
        <v>Report</v>
      </c>
      <c r="C354" s="150">
        <v>45772</v>
      </c>
      <c r="D354" s="7" t="s">
        <v>30</v>
      </c>
      <c r="E354" s="7">
        <v>2</v>
      </c>
      <c r="F354" s="8">
        <v>4.8611111111111112E-2</v>
      </c>
      <c r="G354" s="9">
        <v>9.7222222222222224E-2</v>
      </c>
      <c r="H354" s="10">
        <v>0.33568287037037037</v>
      </c>
      <c r="I354" s="10">
        <v>0.45253472222222224</v>
      </c>
      <c r="J354" s="57">
        <f t="shared" si="25"/>
        <v>9.2708333333333351E-2</v>
      </c>
      <c r="K354" s="129">
        <f t="shared" si="26"/>
        <v>0.45704861111111111</v>
      </c>
      <c r="L354" s="8"/>
      <c r="M354" s="8"/>
      <c r="N354" s="8">
        <v>2.4143518518518519E-2</v>
      </c>
      <c r="O354" s="12"/>
      <c r="P354" s="16">
        <f t="shared" si="24"/>
        <v>1.0486891385767789</v>
      </c>
    </row>
    <row r="355" spans="1:16" ht="14.5">
      <c r="A355" s="142">
        <f t="shared" si="27"/>
        <v>354</v>
      </c>
      <c r="B355" s="142" t="str">
        <f>VLOOKUP(D355,Task!$B:$E,4,0)</f>
        <v>Task</v>
      </c>
      <c r="C355" s="150">
        <v>45772</v>
      </c>
      <c r="D355" s="7" t="s">
        <v>16</v>
      </c>
      <c r="E355" s="7">
        <v>22</v>
      </c>
      <c r="F355" s="8">
        <v>5.5555555555555558E-3</v>
      </c>
      <c r="G355" s="9">
        <v>0.12222222222222223</v>
      </c>
      <c r="H355" s="10">
        <v>0.45253472222222224</v>
      </c>
      <c r="I355" s="10">
        <v>0.66771990740740739</v>
      </c>
      <c r="J355" s="57">
        <f t="shared" si="25"/>
        <v>0.10914351851851847</v>
      </c>
      <c r="K355" s="129">
        <f t="shared" si="26"/>
        <v>0.68079861111111117</v>
      </c>
      <c r="L355" s="8"/>
      <c r="M355" s="8"/>
      <c r="N355" s="8">
        <v>0.10604166666666667</v>
      </c>
      <c r="O355" s="12"/>
      <c r="P355" s="16">
        <f t="shared" si="24"/>
        <v>1.1198303287380706</v>
      </c>
    </row>
    <row r="356" spans="1:16" ht="14.5">
      <c r="A356" s="142">
        <f t="shared" si="27"/>
        <v>355</v>
      </c>
      <c r="B356" s="142" t="str">
        <f>VLOOKUP(D356,Task!$B:$E,4,0)</f>
        <v>Task</v>
      </c>
      <c r="C356" s="150">
        <v>45772</v>
      </c>
      <c r="D356" s="7" t="s">
        <v>36</v>
      </c>
      <c r="E356" s="7">
        <v>85</v>
      </c>
      <c r="F356" s="8">
        <v>6.9444444444444447E-4</v>
      </c>
      <c r="G356" s="9">
        <v>5.9027777777777783E-2</v>
      </c>
      <c r="H356" s="10">
        <v>0.66771990740740739</v>
      </c>
      <c r="I356" s="10">
        <v>0.72230627315002494</v>
      </c>
      <c r="J356" s="57">
        <f t="shared" si="25"/>
        <v>5.4586365742617549E-2</v>
      </c>
      <c r="K356" s="129">
        <f t="shared" si="26"/>
        <v>0.72674768518518518</v>
      </c>
      <c r="L356" s="8"/>
      <c r="M356" s="8"/>
      <c r="N356" s="8"/>
      <c r="O356" s="12"/>
      <c r="P356" s="16">
        <f t="shared" si="24"/>
        <v>1.081364860524002</v>
      </c>
    </row>
    <row r="357" spans="1:16" ht="14.5">
      <c r="A357" s="142">
        <f t="shared" si="27"/>
        <v>356</v>
      </c>
      <c r="B357" s="142" t="str">
        <f>VLOOKUP(D357,Task!$B:$E,4,0)</f>
        <v>Report</v>
      </c>
      <c r="C357" s="150">
        <v>45775</v>
      </c>
      <c r="D357" s="7" t="s">
        <v>30</v>
      </c>
      <c r="E357" s="7">
        <v>1</v>
      </c>
      <c r="F357" s="8">
        <v>4.8611111111111112E-2</v>
      </c>
      <c r="G357" s="9">
        <v>4.8611111111111112E-2</v>
      </c>
      <c r="H357" s="10">
        <v>0.34332175925925923</v>
      </c>
      <c r="I357" s="10">
        <v>0.38858796296296294</v>
      </c>
      <c r="J357" s="57">
        <f t="shared" si="25"/>
        <v>4.5266203703703711E-2</v>
      </c>
      <c r="K357" s="129">
        <f t="shared" si="26"/>
        <v>0.39193287037037033</v>
      </c>
      <c r="L357" s="8"/>
      <c r="M357" s="8"/>
      <c r="N357" s="8"/>
      <c r="O357" s="12"/>
      <c r="P357" s="16">
        <f t="shared" si="24"/>
        <v>1.0738941447200203</v>
      </c>
    </row>
    <row r="358" spans="1:16" ht="14.5">
      <c r="A358" s="142">
        <f t="shared" si="27"/>
        <v>357</v>
      </c>
      <c r="B358" s="142" t="str">
        <f>VLOOKUP(D358,Task!$B:$E,4,0)</f>
        <v>Task</v>
      </c>
      <c r="C358" s="150">
        <v>45775</v>
      </c>
      <c r="D358" s="7" t="s">
        <v>27</v>
      </c>
      <c r="E358" s="7">
        <v>50</v>
      </c>
      <c r="F358" s="8">
        <v>1.3888888888888889E-3</v>
      </c>
      <c r="G358" s="9">
        <v>6.9444444444444448E-2</v>
      </c>
      <c r="H358" s="10">
        <v>0.38858796296296294</v>
      </c>
      <c r="I358" s="10">
        <v>0.47366898148148145</v>
      </c>
      <c r="J358" s="57">
        <f t="shared" si="25"/>
        <v>6.3854166666666656E-2</v>
      </c>
      <c r="K358" s="129">
        <f t="shared" si="26"/>
        <v>0.47925925925925922</v>
      </c>
      <c r="L358" s="8"/>
      <c r="M358" s="8"/>
      <c r="N358" s="8">
        <v>2.1226851851851851E-2</v>
      </c>
      <c r="O358" s="12"/>
      <c r="P358" s="16">
        <f t="shared" si="24"/>
        <v>1.0875475802066343</v>
      </c>
    </row>
    <row r="359" spans="1:16" ht="14.5">
      <c r="A359" s="142">
        <f t="shared" si="27"/>
        <v>358</v>
      </c>
      <c r="B359" s="142" t="str">
        <f>VLOOKUP(D359,Task!$B:$E,4,0)</f>
        <v>Report</v>
      </c>
      <c r="C359" s="150">
        <v>45775</v>
      </c>
      <c r="D359" s="7" t="s">
        <v>18</v>
      </c>
      <c r="E359" s="7">
        <v>1</v>
      </c>
      <c r="F359" s="8">
        <v>4.8611111111111112E-2</v>
      </c>
      <c r="G359" s="9">
        <v>4.8611111111111112E-2</v>
      </c>
      <c r="H359" s="10">
        <v>0.47366898148148145</v>
      </c>
      <c r="I359" s="10">
        <v>0.52798611111111116</v>
      </c>
      <c r="J359" s="57">
        <f t="shared" si="25"/>
        <v>4.4826388888888957E-2</v>
      </c>
      <c r="K359" s="129">
        <f t="shared" si="26"/>
        <v>0.5317708333333333</v>
      </c>
      <c r="L359" s="8"/>
      <c r="M359" s="8"/>
      <c r="N359" s="8">
        <v>9.4907407407407406E-3</v>
      </c>
      <c r="O359" s="12"/>
      <c r="P359" s="16">
        <f t="shared" si="24"/>
        <v>1.0844306738962028</v>
      </c>
    </row>
    <row r="360" spans="1:16" ht="14.5">
      <c r="A360" s="142">
        <f t="shared" si="27"/>
        <v>359</v>
      </c>
      <c r="B360" s="142" t="str">
        <f>VLOOKUP(D360,Task!$B:$E,4,0)</f>
        <v>Task</v>
      </c>
      <c r="C360" s="150">
        <v>45775</v>
      </c>
      <c r="D360" s="7" t="s">
        <v>27</v>
      </c>
      <c r="E360" s="7">
        <v>47</v>
      </c>
      <c r="F360" s="8">
        <v>1.3888888888888889E-3</v>
      </c>
      <c r="G360" s="9">
        <v>6.5277777777777782E-2</v>
      </c>
      <c r="H360" s="10">
        <v>0.52798611111111116</v>
      </c>
      <c r="I360" s="10">
        <v>0.58914351851851854</v>
      </c>
      <c r="J360" s="57">
        <f t="shared" si="25"/>
        <v>6.1157407407407383E-2</v>
      </c>
      <c r="K360" s="129">
        <f t="shared" si="26"/>
        <v>0.59326388888888892</v>
      </c>
      <c r="L360" s="8"/>
      <c r="M360" s="8"/>
      <c r="N360" s="8"/>
      <c r="O360" s="12" t="s">
        <v>41</v>
      </c>
      <c r="P360" s="16">
        <f t="shared" si="24"/>
        <v>1.067373202119607</v>
      </c>
    </row>
    <row r="361" spans="1:16" ht="14.5">
      <c r="A361" s="142">
        <f t="shared" si="27"/>
        <v>360</v>
      </c>
      <c r="B361" s="142" t="str">
        <f>VLOOKUP(D361,Task!$B:$E,4,0)</f>
        <v>Task</v>
      </c>
      <c r="C361" s="150">
        <v>45775</v>
      </c>
      <c r="D361" s="7" t="s">
        <v>27</v>
      </c>
      <c r="E361" s="7">
        <v>85</v>
      </c>
      <c r="F361" s="8">
        <v>1.3888888888888889E-3</v>
      </c>
      <c r="G361" s="9">
        <v>0.11805555555555557</v>
      </c>
      <c r="H361" s="10">
        <v>0.58914351851851854</v>
      </c>
      <c r="I361" s="10">
        <v>0.73027120370534249</v>
      </c>
      <c r="J361" s="57">
        <f t="shared" si="25"/>
        <v>0.10653277777941654</v>
      </c>
      <c r="K361" s="129">
        <f t="shared" si="26"/>
        <v>0.74179398148148157</v>
      </c>
      <c r="L361" s="8"/>
      <c r="M361" s="8"/>
      <c r="N361" s="8">
        <v>3.4594907407407408E-2</v>
      </c>
      <c r="O361" s="12"/>
      <c r="P361" s="16">
        <f t="shared" si="24"/>
        <v>1.1081618072514521</v>
      </c>
    </row>
    <row r="362" spans="1:16" ht="14.5">
      <c r="A362" s="142">
        <f t="shared" si="27"/>
        <v>361</v>
      </c>
      <c r="B362" s="142" t="str">
        <f>VLOOKUP(D362,Task!$B:$E,4,0)</f>
        <v>Report</v>
      </c>
      <c r="C362" s="150">
        <v>45776</v>
      </c>
      <c r="D362" s="7" t="s">
        <v>18</v>
      </c>
      <c r="E362" s="7">
        <v>1</v>
      </c>
      <c r="F362" s="8">
        <v>4.8611111111111112E-2</v>
      </c>
      <c r="G362" s="9">
        <v>4.8611111111111112E-2</v>
      </c>
      <c r="H362" s="10">
        <v>0.34165509259259264</v>
      </c>
      <c r="I362" s="10">
        <v>0.38648148148148154</v>
      </c>
      <c r="J362" s="57">
        <f t="shared" si="25"/>
        <v>4.4826388888888902E-2</v>
      </c>
      <c r="K362" s="129">
        <f t="shared" si="26"/>
        <v>0.39026620370370374</v>
      </c>
      <c r="L362" s="8"/>
      <c r="M362" s="8"/>
      <c r="N362" s="8"/>
      <c r="O362" s="12"/>
      <c r="P362" s="16">
        <f t="shared" si="24"/>
        <v>1.0844306738962042</v>
      </c>
    </row>
    <row r="363" spans="1:16" ht="14.5">
      <c r="A363" s="142">
        <f t="shared" si="27"/>
        <v>362</v>
      </c>
      <c r="B363" s="142" t="str">
        <f>VLOOKUP(D363,Task!$B:$E,4,0)</f>
        <v>Task</v>
      </c>
      <c r="C363" s="150">
        <v>45776</v>
      </c>
      <c r="D363" s="7" t="s">
        <v>16</v>
      </c>
      <c r="E363" s="7">
        <v>9</v>
      </c>
      <c r="F363" s="8">
        <v>5.5555555555555558E-3</v>
      </c>
      <c r="G363" s="9">
        <v>0.05</v>
      </c>
      <c r="H363" s="10">
        <v>0.3866087962962963</v>
      </c>
      <c r="I363" s="10">
        <v>0.47265046296296298</v>
      </c>
      <c r="J363" s="57">
        <f t="shared" si="25"/>
        <v>4.5532407407407424E-2</v>
      </c>
      <c r="K363" s="129">
        <f t="shared" si="26"/>
        <v>0.47711805555555553</v>
      </c>
      <c r="L363" s="8"/>
      <c r="M363" s="8"/>
      <c r="N363" s="8">
        <v>4.0509259259259259E-2</v>
      </c>
      <c r="O363" s="12"/>
      <c r="P363" s="16">
        <f t="shared" si="24"/>
        <v>1.0981189628876458</v>
      </c>
    </row>
    <row r="364" spans="1:16" ht="14.5">
      <c r="A364" s="142">
        <f t="shared" si="27"/>
        <v>363</v>
      </c>
      <c r="B364" s="142" t="str">
        <f>VLOOKUP(D364,Task!$B:$E,4,0)</f>
        <v>Task</v>
      </c>
      <c r="C364" s="150">
        <v>45776</v>
      </c>
      <c r="D364" s="7" t="s">
        <v>19</v>
      </c>
      <c r="E364" s="7">
        <v>44</v>
      </c>
      <c r="F364" s="8">
        <v>2.7777777777777779E-3</v>
      </c>
      <c r="G364" s="9">
        <v>0.12222222222222223</v>
      </c>
      <c r="H364" s="10">
        <v>0.47265046296296298</v>
      </c>
      <c r="I364" s="10">
        <v>0.58409722222222227</v>
      </c>
      <c r="J364" s="57">
        <f t="shared" si="25"/>
        <v>0.11144675925925929</v>
      </c>
      <c r="K364" s="129">
        <f t="shared" si="26"/>
        <v>0.59487268518518521</v>
      </c>
      <c r="L364" s="8"/>
      <c r="M364" s="8"/>
      <c r="N364" s="8"/>
      <c r="O364" s="12"/>
      <c r="P364" s="16">
        <f t="shared" si="24"/>
        <v>1.0966870910790318</v>
      </c>
    </row>
    <row r="365" spans="1:16" ht="14.5">
      <c r="A365" s="142">
        <f t="shared" si="27"/>
        <v>364</v>
      </c>
      <c r="B365" s="142" t="str">
        <f>VLOOKUP(D365,Task!$B:$E,4,0)</f>
        <v>Task</v>
      </c>
      <c r="C365" s="150">
        <v>45776</v>
      </c>
      <c r="D365" s="7" t="s">
        <v>36</v>
      </c>
      <c r="E365" s="7">
        <v>49</v>
      </c>
      <c r="F365" s="8">
        <v>6.9444444444444447E-4</v>
      </c>
      <c r="G365" s="9">
        <v>3.4027777777777782E-2</v>
      </c>
      <c r="H365" s="10">
        <v>0.58409722222222227</v>
      </c>
      <c r="I365" s="10">
        <v>0.6207407407407407</v>
      </c>
      <c r="J365" s="57">
        <f t="shared" si="25"/>
        <v>3.1076388888888806E-2</v>
      </c>
      <c r="K365" s="129">
        <f t="shared" si="26"/>
        <v>0.62369212962962961</v>
      </c>
      <c r="L365" s="8"/>
      <c r="M365" s="8"/>
      <c r="N365" s="8">
        <v>5.5671296296296293E-3</v>
      </c>
      <c r="O365" s="12"/>
      <c r="P365" s="16">
        <f t="shared" si="24"/>
        <v>1.0949720670391092</v>
      </c>
    </row>
    <row r="366" spans="1:16" ht="14.5">
      <c r="A366" s="142">
        <f t="shared" si="27"/>
        <v>365</v>
      </c>
      <c r="B366" s="142" t="str">
        <f>VLOOKUP(D366,Task!$B:$E,4,0)</f>
        <v>Task</v>
      </c>
      <c r="C366" s="150">
        <v>45776</v>
      </c>
      <c r="D366" s="7" t="s">
        <v>27</v>
      </c>
      <c r="E366" s="7">
        <v>42</v>
      </c>
      <c r="F366" s="8">
        <v>1.3888888888888889E-3</v>
      </c>
      <c r="G366" s="9">
        <v>5.8333333333333334E-2</v>
      </c>
      <c r="H366" s="10">
        <v>0.6207407407407407</v>
      </c>
      <c r="I366" s="10">
        <v>0.6738182754634181</v>
      </c>
      <c r="J366" s="57">
        <f t="shared" si="25"/>
        <v>4.9940960648603323E-2</v>
      </c>
      <c r="K366" s="129">
        <f t="shared" si="26"/>
        <v>0.68221064814814814</v>
      </c>
      <c r="L366" s="8"/>
      <c r="M366" s="8"/>
      <c r="N366" s="8">
        <v>3.1365740740740742E-3</v>
      </c>
      <c r="O366" s="12"/>
      <c r="P366" s="16">
        <f t="shared" si="24"/>
        <v>1.1680458800899081</v>
      </c>
    </row>
    <row r="367" spans="1:16" ht="14.5">
      <c r="A367" s="142">
        <f t="shared" si="27"/>
        <v>366</v>
      </c>
      <c r="B367" s="142" t="str">
        <f>VLOOKUP(D367,Task!$B:$E,4,0)</f>
        <v>Task</v>
      </c>
      <c r="C367" s="150">
        <v>45776</v>
      </c>
      <c r="D367" s="7" t="s">
        <v>34</v>
      </c>
      <c r="E367" s="7">
        <v>1</v>
      </c>
      <c r="F367" s="8">
        <v>8.3333333333333332E-3</v>
      </c>
      <c r="G367" s="9">
        <v>8.3333333333333332E-3</v>
      </c>
      <c r="H367" s="10">
        <v>0.6738182754634181</v>
      </c>
      <c r="I367" s="10">
        <v>0.72202546296296299</v>
      </c>
      <c r="J367" s="57">
        <f t="shared" si="25"/>
        <v>7.709502314359705E-3</v>
      </c>
      <c r="K367" s="129">
        <f t="shared" si="26"/>
        <v>0.72264929398193656</v>
      </c>
      <c r="L367" s="8"/>
      <c r="M367" s="8">
        <v>1.0347222222222223E-2</v>
      </c>
      <c r="N367" s="8">
        <v>4.0497685185185185E-2</v>
      </c>
      <c r="O367" s="12"/>
      <c r="P367" s="16">
        <f t="shared" si="24"/>
        <v>1.0809171582725492</v>
      </c>
    </row>
    <row r="368" spans="1:16" ht="14.5">
      <c r="A368" s="142">
        <f t="shared" si="27"/>
        <v>367</v>
      </c>
      <c r="B368" s="142" t="str">
        <f>VLOOKUP(D368,Task!$B:$E,4,0)</f>
        <v>Task</v>
      </c>
      <c r="C368" s="150">
        <v>45777</v>
      </c>
      <c r="D368" s="7" t="s">
        <v>34</v>
      </c>
      <c r="E368" s="7">
        <v>6</v>
      </c>
      <c r="F368" s="8">
        <v>8.3333333333333332E-3</v>
      </c>
      <c r="G368" s="9">
        <v>0.05</v>
      </c>
      <c r="H368" s="10">
        <v>0.33843749999999995</v>
      </c>
      <c r="I368" s="10">
        <v>0.40524305555555556</v>
      </c>
      <c r="J368" s="57">
        <f t="shared" si="25"/>
        <v>4.5405092592592677E-2</v>
      </c>
      <c r="K368" s="129">
        <f t="shared" si="26"/>
        <v>0.40983796296296288</v>
      </c>
      <c r="L368" s="8"/>
      <c r="M368" s="8"/>
      <c r="N368" s="8">
        <v>2.1400462962962941E-2</v>
      </c>
      <c r="O368" s="12"/>
      <c r="P368" s="16">
        <f t="shared" si="24"/>
        <v>1.1011980627071098</v>
      </c>
    </row>
    <row r="369" spans="1:16" ht="14.5">
      <c r="A369" s="142">
        <f t="shared" si="27"/>
        <v>368</v>
      </c>
      <c r="B369" s="142" t="str">
        <f>VLOOKUP(D369,Task!$B:$E,4,0)</f>
        <v>Task</v>
      </c>
      <c r="C369" s="150">
        <v>45777</v>
      </c>
      <c r="D369" s="7" t="s">
        <v>36</v>
      </c>
      <c r="E369" s="7">
        <v>34</v>
      </c>
      <c r="F369" s="8">
        <v>6.9444444444444447E-4</v>
      </c>
      <c r="G369" s="9">
        <v>2.361111111111111E-2</v>
      </c>
      <c r="H369" s="10">
        <v>0.38273148148148151</v>
      </c>
      <c r="I369" s="10">
        <v>0.40413194444444445</v>
      </c>
      <c r="J369" s="57">
        <f t="shared" si="25"/>
        <v>2.1400462962962941E-2</v>
      </c>
      <c r="K369" s="129">
        <f t="shared" si="26"/>
        <v>0.40634259259259264</v>
      </c>
      <c r="L369" s="8"/>
      <c r="M369" s="8"/>
      <c r="N369" s="8"/>
      <c r="O369" s="12"/>
      <c r="P369" s="16">
        <f t="shared" si="24"/>
        <v>1.1032990805841005</v>
      </c>
    </row>
    <row r="370" spans="1:16" ht="14.5">
      <c r="A370" s="142">
        <f t="shared" si="27"/>
        <v>369</v>
      </c>
      <c r="B370" s="142" t="str">
        <f>VLOOKUP(D370,Task!$B:$E,4,0)</f>
        <v>Report</v>
      </c>
      <c r="C370" s="150">
        <v>45777</v>
      </c>
      <c r="D370" s="7" t="s">
        <v>18</v>
      </c>
      <c r="E370" s="7">
        <v>1</v>
      </c>
      <c r="F370" s="8">
        <v>4.8611111111111112E-2</v>
      </c>
      <c r="G370" s="9">
        <v>4.8611111111111112E-2</v>
      </c>
      <c r="H370" s="10">
        <v>0.40534722222222225</v>
      </c>
      <c r="I370" s="10">
        <v>0.47908564814814814</v>
      </c>
      <c r="J370" s="57">
        <f t="shared" si="25"/>
        <v>4.4282407407407368E-2</v>
      </c>
      <c r="K370" s="129">
        <f t="shared" si="26"/>
        <v>0.48341435185185189</v>
      </c>
      <c r="L370" s="8"/>
      <c r="M370" s="8"/>
      <c r="N370" s="8">
        <v>2.9456018518518517E-2</v>
      </c>
      <c r="O370" s="12"/>
      <c r="P370" s="16">
        <f t="shared" si="24"/>
        <v>1.097752221641402</v>
      </c>
    </row>
    <row r="371" spans="1:16" ht="14.5">
      <c r="A371" s="142">
        <f t="shared" si="27"/>
        <v>370</v>
      </c>
      <c r="B371" s="142" t="str">
        <f>VLOOKUP(D371,Task!$B:$E,4,0)</f>
        <v>Task</v>
      </c>
      <c r="C371" s="150">
        <v>45777</v>
      </c>
      <c r="D371" s="7" t="s">
        <v>34</v>
      </c>
      <c r="E371" s="7">
        <v>24</v>
      </c>
      <c r="F371" s="8">
        <v>8.3333333333333332E-3</v>
      </c>
      <c r="G371" s="9">
        <v>0.2</v>
      </c>
      <c r="H371" s="10">
        <v>0.47908564814814814</v>
      </c>
      <c r="I371" s="10">
        <v>0.71562704861571547</v>
      </c>
      <c r="J371" s="57">
        <f t="shared" si="25"/>
        <v>0.18280297454164141</v>
      </c>
      <c r="K371" s="129">
        <f t="shared" si="26"/>
        <v>0.73282407407407413</v>
      </c>
      <c r="L371" s="8"/>
      <c r="M371" s="8"/>
      <c r="N371" s="8">
        <v>5.3738425925925926E-2</v>
      </c>
      <c r="O371" s="12"/>
      <c r="P371" s="16">
        <f t="shared" si="24"/>
        <v>1.0940741008261943</v>
      </c>
    </row>
    <row r="372" spans="1:16" ht="14.5">
      <c r="A372" s="142">
        <f t="shared" si="27"/>
        <v>371</v>
      </c>
      <c r="B372" s="142" t="str">
        <f>VLOOKUP(D372,Task!$B:$E,4,0)</f>
        <v>Task</v>
      </c>
      <c r="C372" s="150">
        <v>45810</v>
      </c>
      <c r="D372" s="130" t="s">
        <v>16</v>
      </c>
      <c r="E372" s="130">
        <v>23</v>
      </c>
      <c r="F372" s="57">
        <f>IFERROR(VLOOKUP($D372,Task!$B$1:$G$70,6,0)," ")</f>
        <v>5.5555555555555558E-3</v>
      </c>
      <c r="G372" s="9">
        <f t="shared" ref="G372" si="28">IFERROR(F372*E372," ")</f>
        <v>0.1277777777777778</v>
      </c>
      <c r="H372" s="9">
        <v>0.35318287037037033</v>
      </c>
      <c r="I372" s="59">
        <v>0.5138194444444445</v>
      </c>
      <c r="J372" s="57">
        <f t="shared" si="25"/>
        <v>0.11600694444444454</v>
      </c>
      <c r="K372" s="129">
        <f t="shared" si="26"/>
        <v>0.52559027777777767</v>
      </c>
      <c r="L372" s="57"/>
      <c r="M372" s="57"/>
      <c r="N372" s="57">
        <v>4.462962962962963E-2</v>
      </c>
      <c r="O372" s="130"/>
      <c r="P372" s="16">
        <f t="shared" si="24"/>
        <v>1.1014666267584547</v>
      </c>
    </row>
    <row r="373" spans="1:16" ht="14.5">
      <c r="A373" s="142">
        <f t="shared" si="27"/>
        <v>372</v>
      </c>
      <c r="B373" s="142" t="str">
        <f>VLOOKUP(D373,Task!$B:$E,4,0)</f>
        <v>report</v>
      </c>
      <c r="C373" s="150">
        <v>45810</v>
      </c>
      <c r="D373" s="130" t="s">
        <v>17</v>
      </c>
      <c r="E373" s="130">
        <v>1</v>
      </c>
      <c r="F373" s="57">
        <f>IFERROR(VLOOKUP($D373,Task!$B$1:$G$70,6,0)," ")</f>
        <v>2.0833333333333332E-2</v>
      </c>
      <c r="G373" s="9">
        <f t="shared" ref="G373:G436" si="29">IFERROR(F373*E373," ")</f>
        <v>2.0833333333333332E-2</v>
      </c>
      <c r="H373" s="9">
        <v>0.5138194444444445</v>
      </c>
      <c r="I373" s="59">
        <v>0.53293981481481478</v>
      </c>
      <c r="J373" s="57">
        <f t="shared" si="25"/>
        <v>1.9120370370370288E-2</v>
      </c>
      <c r="K373" s="129">
        <f t="shared" si="26"/>
        <v>0.53465277777777787</v>
      </c>
      <c r="L373" s="8"/>
      <c r="M373" s="8"/>
      <c r="N373" s="57"/>
      <c r="O373" s="12"/>
      <c r="P373" s="16">
        <f t="shared" si="24"/>
        <v>1.0895883777239757</v>
      </c>
    </row>
    <row r="374" spans="1:16" ht="14.5">
      <c r="A374" s="142">
        <f t="shared" si="27"/>
        <v>373</v>
      </c>
      <c r="B374" s="142" t="str">
        <f>VLOOKUP(D374,Task!$B:$E,4,0)</f>
        <v>Report</v>
      </c>
      <c r="C374" s="150">
        <v>45810</v>
      </c>
      <c r="D374" s="130" t="s">
        <v>18</v>
      </c>
      <c r="E374" s="130">
        <v>3</v>
      </c>
      <c r="F374" s="57">
        <f>IFERROR(VLOOKUP($D374,Task!$B$1:$G$70,6,0)," ")</f>
        <v>4.8611111111111112E-2</v>
      </c>
      <c r="G374" s="9">
        <f t="shared" si="29"/>
        <v>0.14583333333333334</v>
      </c>
      <c r="H374" s="9">
        <v>0.53293981481481478</v>
      </c>
      <c r="I374" s="59">
        <v>0.70162037037037039</v>
      </c>
      <c r="J374" s="57">
        <f t="shared" si="25"/>
        <v>0.13314814814814821</v>
      </c>
      <c r="K374" s="129">
        <f t="shared" si="26"/>
        <v>0.71430555555555553</v>
      </c>
      <c r="L374" s="8"/>
      <c r="M374" s="8"/>
      <c r="N374" s="57">
        <v>3.5532407407407408E-2</v>
      </c>
      <c r="O374" s="12"/>
      <c r="P374" s="16">
        <f t="shared" si="24"/>
        <v>1.0952712100139077</v>
      </c>
    </row>
    <row r="375" spans="1:16" ht="14.5">
      <c r="A375" s="142">
        <f t="shared" si="27"/>
        <v>374</v>
      </c>
      <c r="B375" s="142" t="str">
        <f>VLOOKUP(D375,Task!$B:$E,4,0)</f>
        <v>Report</v>
      </c>
      <c r="C375" s="150">
        <v>45811</v>
      </c>
      <c r="D375" s="130" t="s">
        <v>18</v>
      </c>
      <c r="E375" s="130">
        <v>2</v>
      </c>
      <c r="F375" s="57">
        <f>IFERROR(VLOOKUP($D375,Task!$B$1:$G$70,6,0)," ")</f>
        <v>4.8611111111111112E-2</v>
      </c>
      <c r="G375" s="9">
        <f t="shared" si="29"/>
        <v>9.7222222222222224E-2</v>
      </c>
      <c r="H375" s="9">
        <v>0.42399305555555555</v>
      </c>
      <c r="I375" s="59">
        <v>0.52989016204082873</v>
      </c>
      <c r="J375" s="57">
        <f t="shared" si="25"/>
        <v>8.6614699077865759E-2</v>
      </c>
      <c r="K375" s="129">
        <f t="shared" si="26"/>
        <v>0.54049768518518515</v>
      </c>
      <c r="L375" s="8"/>
      <c r="M375" s="8"/>
      <c r="N375" s="57">
        <v>1.9282407407407408E-2</v>
      </c>
      <c r="O375" s="12"/>
      <c r="P375" s="16">
        <f t="shared" si="24"/>
        <v>1.1224679327791742</v>
      </c>
    </row>
    <row r="376" spans="1:16" ht="14.5">
      <c r="A376" s="142">
        <f t="shared" si="27"/>
        <v>375</v>
      </c>
      <c r="B376" s="142" t="str">
        <f>VLOOKUP(D376,Task!$B:$E,4,0)</f>
        <v>report</v>
      </c>
      <c r="C376" s="150">
        <v>45811</v>
      </c>
      <c r="D376" s="130" t="s">
        <v>17</v>
      </c>
      <c r="E376" s="130">
        <v>1</v>
      </c>
      <c r="F376" s="57">
        <f>IFERROR(VLOOKUP($D376,Task!$B$1:$G$70,6,0)," ")</f>
        <v>2.0833333333333332E-2</v>
      </c>
      <c r="G376" s="9">
        <f t="shared" si="29"/>
        <v>2.0833333333333332E-2</v>
      </c>
      <c r="H376" s="9">
        <v>0.52989016204082873</v>
      </c>
      <c r="I376" s="59">
        <v>0.55974537037037042</v>
      </c>
      <c r="J376" s="57">
        <f t="shared" si="25"/>
        <v>2.0121412033245398E-2</v>
      </c>
      <c r="K376" s="129">
        <f t="shared" si="26"/>
        <v>0.56045729167045844</v>
      </c>
      <c r="L376" s="8"/>
      <c r="M376" s="8"/>
      <c r="N376" s="57">
        <v>9.7337962962962959E-3</v>
      </c>
      <c r="O376" s="12"/>
      <c r="P376" s="16">
        <f t="shared" si="24"/>
        <v>1.0353812793511543</v>
      </c>
    </row>
    <row r="377" spans="1:16" ht="14.5">
      <c r="A377" s="142">
        <f t="shared" si="27"/>
        <v>376</v>
      </c>
      <c r="B377" s="142" t="str">
        <f>VLOOKUP(D377,Task!$B:$E,4,0)</f>
        <v>Task</v>
      </c>
      <c r="C377" s="150">
        <v>45811</v>
      </c>
      <c r="D377" s="130" t="s">
        <v>16</v>
      </c>
      <c r="E377" s="130">
        <v>12</v>
      </c>
      <c r="F377" s="57">
        <f>IFERROR(VLOOKUP($D377,Task!$B$1:$G$70,6,0)," ")</f>
        <v>5.5555555555555558E-3</v>
      </c>
      <c r="G377" s="9">
        <f t="shared" si="29"/>
        <v>6.6666666666666666E-2</v>
      </c>
      <c r="H377" s="9">
        <v>0.55974537037037042</v>
      </c>
      <c r="I377" s="59">
        <v>0.62164351851851851</v>
      </c>
      <c r="J377" s="57">
        <f t="shared" si="25"/>
        <v>6.1898148148148091E-2</v>
      </c>
      <c r="K377" s="129">
        <f t="shared" si="26"/>
        <v>0.62641203703703707</v>
      </c>
      <c r="L377" s="8"/>
      <c r="M377" s="8"/>
      <c r="N377" s="57"/>
      <c r="O377" s="12"/>
      <c r="P377" s="16">
        <f t="shared" si="24"/>
        <v>1.0770381451009734</v>
      </c>
    </row>
    <row r="378" spans="1:16" ht="14.5">
      <c r="A378" s="142">
        <f t="shared" si="27"/>
        <v>377</v>
      </c>
      <c r="B378" s="142" t="str">
        <f>VLOOKUP(D378,Task!$B:$E,4,0)</f>
        <v>Task</v>
      </c>
      <c r="C378" s="150">
        <v>45811</v>
      </c>
      <c r="D378" s="130" t="s">
        <v>16</v>
      </c>
      <c r="E378" s="130">
        <f>21-E377</f>
        <v>9</v>
      </c>
      <c r="F378" s="57">
        <f>IFERROR(VLOOKUP($D378,Task!$B$1:$G$70,6,0)," ")</f>
        <v>5.5555555555555558E-3</v>
      </c>
      <c r="G378" s="9">
        <f t="shared" si="29"/>
        <v>0.05</v>
      </c>
      <c r="H378" s="9">
        <v>0.62164351851851851</v>
      </c>
      <c r="I378" s="59">
        <v>0.69668981481481485</v>
      </c>
      <c r="J378" s="57">
        <f t="shared" si="25"/>
        <v>4.6111111111111144E-2</v>
      </c>
      <c r="K378" s="129">
        <f t="shared" si="26"/>
        <v>0.70057870370370379</v>
      </c>
      <c r="L378" s="8"/>
      <c r="M378" s="8"/>
      <c r="N378" s="57">
        <v>2.8935185185185185E-2</v>
      </c>
      <c r="O378" s="12"/>
      <c r="P378" s="16">
        <f t="shared" si="24"/>
        <v>1.0843373493975896</v>
      </c>
    </row>
    <row r="379" spans="1:16" ht="14.5">
      <c r="A379" s="142">
        <f t="shared" si="27"/>
        <v>378</v>
      </c>
      <c r="B379" s="142" t="str">
        <f>VLOOKUP(D379,Task!$B:$E,4,0)</f>
        <v>Task</v>
      </c>
      <c r="C379" s="150">
        <v>45811</v>
      </c>
      <c r="D379" s="130" t="s">
        <v>19</v>
      </c>
      <c r="E379" s="130">
        <v>15</v>
      </c>
      <c r="F379" s="57">
        <f>IFERROR(VLOOKUP($D379,Task!$B$1:$G$70,6,0)," ")</f>
        <v>2.7777777777777779E-3</v>
      </c>
      <c r="G379" s="9">
        <f t="shared" si="29"/>
        <v>4.1666666666666671E-2</v>
      </c>
      <c r="H379" s="9">
        <v>0.69668981481481485</v>
      </c>
      <c r="I379" s="59">
        <v>0.73398148148148146</v>
      </c>
      <c r="J379" s="57">
        <f t="shared" si="25"/>
        <v>3.7291666666666612E-2</v>
      </c>
      <c r="K379" s="129">
        <f t="shared" si="26"/>
        <v>0.73835648148148147</v>
      </c>
      <c r="L379" s="8"/>
      <c r="M379" s="8"/>
      <c r="N379" s="57"/>
      <c r="O379" s="12"/>
      <c r="P379" s="16">
        <f t="shared" si="24"/>
        <v>1.1173184357541917</v>
      </c>
    </row>
    <row r="380" spans="1:16" ht="14.5">
      <c r="A380" s="142">
        <f t="shared" si="27"/>
        <v>379</v>
      </c>
      <c r="B380" s="142" t="str">
        <f>VLOOKUP(D380,Task!$B:$E,4,0)</f>
        <v>Task</v>
      </c>
      <c r="C380" s="150">
        <v>45812</v>
      </c>
      <c r="D380" s="130" t="s">
        <v>16</v>
      </c>
      <c r="E380" s="130">
        <v>7</v>
      </c>
      <c r="F380" s="57">
        <f>IFERROR(VLOOKUP($D380,Task!$B$1:$G$70,6,0)," ")</f>
        <v>5.5555555555555558E-3</v>
      </c>
      <c r="G380" s="9">
        <f t="shared" si="29"/>
        <v>3.888888888888889E-2</v>
      </c>
      <c r="H380" s="9">
        <v>0.36593750000000003</v>
      </c>
      <c r="I380" s="59">
        <v>0.40137731481481481</v>
      </c>
      <c r="J380" s="57">
        <f t="shared" si="25"/>
        <v>3.5439814814814785E-2</v>
      </c>
      <c r="K380" s="129">
        <f t="shared" si="26"/>
        <v>0.40482638888888889</v>
      </c>
      <c r="L380" s="8"/>
      <c r="M380" s="8"/>
      <c r="N380" s="57"/>
      <c r="O380" s="12"/>
      <c r="P380" s="16">
        <f t="shared" si="24"/>
        <v>1.0973220117570226</v>
      </c>
    </row>
    <row r="381" spans="1:16" ht="14.5">
      <c r="A381" s="142">
        <f t="shared" si="27"/>
        <v>380</v>
      </c>
      <c r="B381" s="142" t="str">
        <f>VLOOKUP(D381,Task!$B:$E,4,0)</f>
        <v>Report</v>
      </c>
      <c r="C381" s="150">
        <v>45812</v>
      </c>
      <c r="D381" s="130" t="s">
        <v>18</v>
      </c>
      <c r="E381" s="130">
        <v>1</v>
      </c>
      <c r="F381" s="57">
        <f>IFERROR(VLOOKUP($D381,Task!$B$1:$G$70,6,0)," ")</f>
        <v>4.8611111111111112E-2</v>
      </c>
      <c r="G381" s="9">
        <f t="shared" si="29"/>
        <v>4.8611111111111112E-2</v>
      </c>
      <c r="H381" s="9">
        <v>0.40137731481481481</v>
      </c>
      <c r="I381" s="59">
        <v>0.50587962962962962</v>
      </c>
      <c r="J381" s="57">
        <f t="shared" si="25"/>
        <v>4.4537037037037035E-2</v>
      </c>
      <c r="K381" s="129">
        <f t="shared" si="26"/>
        <v>0.50995370370370374</v>
      </c>
      <c r="L381" s="8"/>
      <c r="M381" s="8"/>
      <c r="N381" s="57">
        <v>5.9965277777777777E-2</v>
      </c>
      <c r="O381" s="12"/>
      <c r="P381" s="16">
        <f t="shared" si="24"/>
        <v>1.0914760914760915</v>
      </c>
    </row>
    <row r="382" spans="1:16" ht="14.5">
      <c r="A382" s="142">
        <f t="shared" si="27"/>
        <v>381</v>
      </c>
      <c r="B382" s="142" t="str">
        <f>VLOOKUP(D382,Task!$B:$E,4,0)</f>
        <v>Task</v>
      </c>
      <c r="C382" s="150">
        <v>45812</v>
      </c>
      <c r="D382" s="130" t="s">
        <v>19</v>
      </c>
      <c r="E382" s="130">
        <v>35</v>
      </c>
      <c r="F382" s="57">
        <f>IFERROR(VLOOKUP($D382,Task!$B$1:$G$70,6,0)," ")</f>
        <v>2.7777777777777779E-3</v>
      </c>
      <c r="G382" s="9">
        <f t="shared" si="29"/>
        <v>9.7222222222222224E-2</v>
      </c>
      <c r="H382" s="9">
        <v>0.50587962962962962</v>
      </c>
      <c r="I382" s="59">
        <v>0.61717592592592596</v>
      </c>
      <c r="J382" s="57">
        <f t="shared" si="25"/>
        <v>8.8379629629629669E-2</v>
      </c>
      <c r="K382" s="129">
        <f t="shared" si="26"/>
        <v>0.62601851851851853</v>
      </c>
      <c r="L382" s="8"/>
      <c r="M382" s="8"/>
      <c r="N382" s="57">
        <v>2.2916666666666665E-2</v>
      </c>
      <c r="O382" s="12"/>
      <c r="P382" s="16">
        <f t="shared" si="24"/>
        <v>1.1000523834468303</v>
      </c>
    </row>
    <row r="383" spans="1:16" ht="14.5">
      <c r="A383" s="142">
        <f t="shared" si="27"/>
        <v>382</v>
      </c>
      <c r="B383" s="142" t="str">
        <f>VLOOKUP(D383,Task!$B:$E,4,0)</f>
        <v>Task</v>
      </c>
      <c r="C383" s="150">
        <v>45812</v>
      </c>
      <c r="D383" s="130" t="s">
        <v>19</v>
      </c>
      <c r="E383" s="130">
        <v>20</v>
      </c>
      <c r="F383" s="57">
        <f>IFERROR(VLOOKUP($D383,Task!$B$1:$G$70,6,0)," ")</f>
        <v>2.7777777777777779E-3</v>
      </c>
      <c r="G383" s="9">
        <f t="shared" si="29"/>
        <v>5.5555555555555559E-2</v>
      </c>
      <c r="H383" s="9">
        <v>0.61717592592592596</v>
      </c>
      <c r="I383" s="59">
        <v>0.68928240740740743</v>
      </c>
      <c r="J383" s="57">
        <f t="shared" si="25"/>
        <v>5.0254629629629614E-2</v>
      </c>
      <c r="K383" s="129">
        <f t="shared" si="26"/>
        <v>0.69458333333333344</v>
      </c>
      <c r="L383" s="8"/>
      <c r="M383" s="8"/>
      <c r="N383" s="57">
        <v>2.1851851851851851E-2</v>
      </c>
      <c r="O383" s="12"/>
      <c r="P383" s="16">
        <f t="shared" si="24"/>
        <v>1.1054813450023036</v>
      </c>
    </row>
    <row r="384" spans="1:16" ht="14.5">
      <c r="A384" s="142">
        <f t="shared" si="27"/>
        <v>383</v>
      </c>
      <c r="B384" s="142" t="str">
        <f>VLOOKUP(D384,Task!$B:$E,4,0)</f>
        <v>report</v>
      </c>
      <c r="C384" s="150">
        <v>45812</v>
      </c>
      <c r="D384" s="130" t="s">
        <v>17</v>
      </c>
      <c r="E384" s="130">
        <v>1</v>
      </c>
      <c r="F384" s="57">
        <f>IFERROR(VLOOKUP($D384,Task!$B$1:$G$70,6,0)," ")</f>
        <v>2.0833333333333332E-2</v>
      </c>
      <c r="G384" s="9">
        <f t="shared" si="29"/>
        <v>2.0833333333333332E-2</v>
      </c>
      <c r="H384" s="9">
        <v>0.68928240740740743</v>
      </c>
      <c r="I384" s="59">
        <v>0.70825231481481477</v>
      </c>
      <c r="J384" s="57">
        <f t="shared" si="25"/>
        <v>1.8969907407407338E-2</v>
      </c>
      <c r="K384" s="129">
        <f t="shared" si="26"/>
        <v>0.7101157407407408</v>
      </c>
      <c r="L384" s="8"/>
      <c r="M384" s="8"/>
      <c r="N384" s="57"/>
      <c r="O384" s="12"/>
      <c r="P384" s="16">
        <f t="shared" si="24"/>
        <v>1.0982306284319747</v>
      </c>
    </row>
    <row r="385" spans="1:16" ht="14.5">
      <c r="A385" s="142">
        <f t="shared" si="27"/>
        <v>384</v>
      </c>
      <c r="B385" s="142" t="str">
        <f>VLOOKUP(D385,Task!$B:$E,4,0)</f>
        <v>Report</v>
      </c>
      <c r="C385" s="150">
        <v>45813</v>
      </c>
      <c r="D385" s="130" t="s">
        <v>18</v>
      </c>
      <c r="E385" s="130">
        <v>1</v>
      </c>
      <c r="F385" s="57">
        <f>IFERROR(VLOOKUP($D385,Task!$B$1:$G$70,6,0)," ")</f>
        <v>4.8611111111111112E-2</v>
      </c>
      <c r="G385" s="9">
        <f t="shared" si="29"/>
        <v>4.8611111111111112E-2</v>
      </c>
      <c r="H385" s="9">
        <v>0.38018518518518518</v>
      </c>
      <c r="I385" s="59">
        <v>0.4259027777777778</v>
      </c>
      <c r="J385" s="57">
        <f t="shared" si="25"/>
        <v>4.5717592592592615E-2</v>
      </c>
      <c r="K385" s="129">
        <f t="shared" si="26"/>
        <v>0.42879629629629629</v>
      </c>
      <c r="L385" s="8"/>
      <c r="M385" s="8"/>
      <c r="N385" s="57"/>
      <c r="O385" s="12"/>
      <c r="P385" s="16">
        <f t="shared" si="24"/>
        <v>1.0632911392405058</v>
      </c>
    </row>
    <row r="386" spans="1:16" ht="14.5">
      <c r="A386" s="142">
        <f t="shared" si="27"/>
        <v>385</v>
      </c>
      <c r="B386" s="142" t="str">
        <f>VLOOKUP(D386,Task!$B:$E,4,0)</f>
        <v>Task</v>
      </c>
      <c r="C386" s="150">
        <v>45813</v>
      </c>
      <c r="D386" s="130" t="s">
        <v>16</v>
      </c>
      <c r="E386" s="130">
        <v>8</v>
      </c>
      <c r="F386" s="57">
        <f>IFERROR(VLOOKUP($D386,Task!$B$1:$G$70,6,0)," ")</f>
        <v>5.5555555555555558E-3</v>
      </c>
      <c r="G386" s="9">
        <f t="shared" si="29"/>
        <v>4.4444444444444446E-2</v>
      </c>
      <c r="H386" s="9">
        <v>0.4259027777777778</v>
      </c>
      <c r="I386" s="59">
        <v>0.46783564814814815</v>
      </c>
      <c r="J386" s="57">
        <f t="shared" si="25"/>
        <v>4.1932870370370356E-2</v>
      </c>
      <c r="K386" s="129">
        <f t="shared" si="26"/>
        <v>0.47034722222222225</v>
      </c>
      <c r="L386" s="8"/>
      <c r="M386" s="8"/>
      <c r="N386" s="57"/>
      <c r="O386" s="12"/>
      <c r="P386" s="16">
        <f t="shared" ref="P386:P439" si="30">IFERROR(G386/J386," ")</f>
        <v>1.0598951145459568</v>
      </c>
    </row>
    <row r="387" spans="1:16" ht="14.5">
      <c r="A387" s="142">
        <f t="shared" si="27"/>
        <v>386</v>
      </c>
      <c r="B387" s="142" t="str">
        <f>VLOOKUP(D387,Task!$B:$E,4,0)</f>
        <v>Report</v>
      </c>
      <c r="C387" s="150">
        <v>45813</v>
      </c>
      <c r="D387" s="130" t="s">
        <v>18</v>
      </c>
      <c r="E387" s="130">
        <v>1</v>
      </c>
      <c r="F387" s="57">
        <f>IFERROR(VLOOKUP($D387,Task!$B$1:$G$70,6,0)," ")</f>
        <v>4.8611111111111112E-2</v>
      </c>
      <c r="G387" s="9">
        <f t="shared" si="29"/>
        <v>4.8611111111111112E-2</v>
      </c>
      <c r="H387" s="9">
        <v>0.46783564814814815</v>
      </c>
      <c r="I387" s="59">
        <v>0.53450231481481481</v>
      </c>
      <c r="J387" s="57">
        <f t="shared" ref="J387:J439" si="31">IF(I387="","", IF(N387=" ",IF(OR(H387=0,I387=0),"",I387-H387),((I387-H387)-N387)))</f>
        <v>4.373842592592591E-2</v>
      </c>
      <c r="K387" s="129">
        <f t="shared" ref="K387:K439" si="32">IFERROR(IF(N387=" ",(H387+G387),(H387+G387+N387)),"")</f>
        <v>0.53937500000000005</v>
      </c>
      <c r="L387" s="8"/>
      <c r="M387" s="8"/>
      <c r="N387" s="57">
        <v>2.2928240740740742E-2</v>
      </c>
      <c r="O387" s="12"/>
      <c r="P387" s="16">
        <f t="shared" si="30"/>
        <v>1.1114051336332367</v>
      </c>
    </row>
    <row r="388" spans="1:16" ht="14.5">
      <c r="A388" s="142">
        <f t="shared" ref="A388:A439" si="33">A387+1</f>
        <v>387</v>
      </c>
      <c r="B388" s="142" t="str">
        <f>VLOOKUP(D388,Task!$B:$E,4,0)</f>
        <v>Task</v>
      </c>
      <c r="C388" s="150">
        <v>45813</v>
      </c>
      <c r="D388" s="130" t="s">
        <v>16</v>
      </c>
      <c r="E388" s="130">
        <v>22</v>
      </c>
      <c r="F388" s="57">
        <f>IFERROR(VLOOKUP($D388,Task!$B$1:$G$70,6,0)," ")</f>
        <v>5.5555555555555558E-3</v>
      </c>
      <c r="G388" s="9">
        <f t="shared" si="29"/>
        <v>0.12222222222222223</v>
      </c>
      <c r="H388" s="9">
        <v>0.53450231481481481</v>
      </c>
      <c r="I388" s="59">
        <v>0.6658680555555555</v>
      </c>
      <c r="J388" s="57">
        <f t="shared" si="31"/>
        <v>0.10954861111111107</v>
      </c>
      <c r="K388" s="129">
        <f t="shared" si="32"/>
        <v>0.67854166666666671</v>
      </c>
      <c r="L388" s="8"/>
      <c r="M388" s="8"/>
      <c r="N388" s="57">
        <v>2.1817129629629631E-2</v>
      </c>
      <c r="O388" s="12"/>
      <c r="P388" s="16">
        <f t="shared" si="30"/>
        <v>1.1156893819334395</v>
      </c>
    </row>
    <row r="389" spans="1:16" ht="14.5">
      <c r="A389" s="142">
        <f t="shared" si="33"/>
        <v>388</v>
      </c>
      <c r="B389" s="142" t="str">
        <f>VLOOKUP(D389,Task!$B:$E,4,0)</f>
        <v>report</v>
      </c>
      <c r="C389" s="150">
        <v>45813</v>
      </c>
      <c r="D389" s="130" t="s">
        <v>17</v>
      </c>
      <c r="E389" s="130">
        <v>1</v>
      </c>
      <c r="F389" s="57">
        <f>IFERROR(VLOOKUP($D389,Task!$B$1:$G$70,6,0)," ")</f>
        <v>2.0833333333333332E-2</v>
      </c>
      <c r="G389" s="9">
        <f t="shared" si="29"/>
        <v>2.0833333333333332E-2</v>
      </c>
      <c r="H389" s="9">
        <v>0.6658680555555555</v>
      </c>
      <c r="I389" s="59">
        <v>0.69567129629629632</v>
      </c>
      <c r="J389" s="57">
        <f t="shared" si="31"/>
        <v>1.8888888888888958E-2</v>
      </c>
      <c r="K389" s="129">
        <f t="shared" si="32"/>
        <v>0.69761574074074073</v>
      </c>
      <c r="L389" s="8"/>
      <c r="M389" s="8"/>
      <c r="N389" s="57">
        <v>1.0914351851851852E-2</v>
      </c>
      <c r="O389" s="12"/>
      <c r="P389" s="16">
        <f t="shared" si="30"/>
        <v>1.1029411764705841</v>
      </c>
    </row>
    <row r="390" spans="1:16" ht="14.5">
      <c r="A390" s="142">
        <f t="shared" si="33"/>
        <v>389</v>
      </c>
      <c r="B390" s="142" t="str">
        <f>VLOOKUP(D390,Task!$B:$E,4,0)</f>
        <v>Task</v>
      </c>
      <c r="C390" s="150">
        <v>45813</v>
      </c>
      <c r="D390" s="130" t="s">
        <v>20</v>
      </c>
      <c r="E390" s="130">
        <v>15</v>
      </c>
      <c r="F390" s="57">
        <f>IFERROR(VLOOKUP($D390,Task!$B$1:$G$70,6,0)," ")</f>
        <v>2.0833333333333333E-3</v>
      </c>
      <c r="G390" s="9">
        <f t="shared" si="29"/>
        <v>3.125E-2</v>
      </c>
      <c r="H390" s="9">
        <v>0.69567129629629632</v>
      </c>
      <c r="I390" s="59">
        <v>0.72340277777777773</v>
      </c>
      <c r="J390" s="57">
        <f t="shared" si="31"/>
        <v>2.7731481481481413E-2</v>
      </c>
      <c r="K390" s="129">
        <f t="shared" si="32"/>
        <v>0.72692129629629632</v>
      </c>
      <c r="L390" s="8"/>
      <c r="M390" s="8"/>
      <c r="N390" s="57"/>
      <c r="O390" s="12"/>
      <c r="P390" s="16">
        <f t="shared" si="30"/>
        <v>1.1268781302170312</v>
      </c>
    </row>
    <row r="391" spans="1:16" ht="14.5">
      <c r="A391" s="142">
        <f t="shared" si="33"/>
        <v>390</v>
      </c>
      <c r="B391" s="142" t="str">
        <f>VLOOKUP(D391,Task!$B:$E,4,0)</f>
        <v>Task</v>
      </c>
      <c r="C391" s="150">
        <v>45813</v>
      </c>
      <c r="D391" s="130" t="s">
        <v>20</v>
      </c>
      <c r="E391" s="130">
        <v>4</v>
      </c>
      <c r="F391" s="57">
        <f>IFERROR(VLOOKUP($D391,Task!$B$1:$G$70,6,0)," ")</f>
        <v>2.0833333333333333E-3</v>
      </c>
      <c r="G391" s="9">
        <f t="shared" si="29"/>
        <v>8.3333333333333332E-3</v>
      </c>
      <c r="H391" s="9">
        <v>0.72340277777777773</v>
      </c>
      <c r="I391" s="59">
        <v>0.74201388888888886</v>
      </c>
      <c r="J391" s="57">
        <f t="shared" si="31"/>
        <v>7.5462962962963183E-3</v>
      </c>
      <c r="K391" s="129">
        <f t="shared" si="32"/>
        <v>0.74280092592592584</v>
      </c>
      <c r="L391" s="8"/>
      <c r="M391" s="8"/>
      <c r="N391" s="57">
        <v>1.1064814814814816E-2</v>
      </c>
      <c r="O391" s="12"/>
      <c r="P391" s="16">
        <f t="shared" si="30"/>
        <v>1.1042944785276041</v>
      </c>
    </row>
    <row r="392" spans="1:16" ht="14.5">
      <c r="A392" s="142">
        <f t="shared" si="33"/>
        <v>391</v>
      </c>
      <c r="B392" s="142" t="str">
        <f>VLOOKUP(D392,Task!$B:$E,4,0)</f>
        <v>Report</v>
      </c>
      <c r="C392" s="150">
        <v>45819</v>
      </c>
      <c r="D392" s="130" t="s">
        <v>18</v>
      </c>
      <c r="E392" s="130">
        <v>1</v>
      </c>
      <c r="F392" s="57">
        <f>IFERROR(VLOOKUP($D392,Task!$B$1:$G$70,6,0)," ")</f>
        <v>4.8611111111111112E-2</v>
      </c>
      <c r="G392" s="9">
        <f t="shared" si="29"/>
        <v>4.8611111111111112E-2</v>
      </c>
      <c r="H392" s="9">
        <v>0.3721875</v>
      </c>
      <c r="I392" s="59">
        <v>0.41615740740740742</v>
      </c>
      <c r="J392" s="57">
        <f t="shared" si="31"/>
        <v>4.3969907407407416E-2</v>
      </c>
      <c r="K392" s="129">
        <f t="shared" si="32"/>
        <v>0.42079861111111111</v>
      </c>
      <c r="L392" s="8"/>
      <c r="M392" s="8"/>
      <c r="N392" s="57"/>
      <c r="O392" s="12"/>
      <c r="P392" s="16">
        <f t="shared" si="30"/>
        <v>1.1055540931824162</v>
      </c>
    </row>
    <row r="393" spans="1:16" ht="14.5">
      <c r="A393" s="142">
        <f t="shared" si="33"/>
        <v>392</v>
      </c>
      <c r="B393" s="142" t="str">
        <f>VLOOKUP(D393,Task!$B:$E,4,0)</f>
        <v>Task</v>
      </c>
      <c r="C393" s="150">
        <v>45819</v>
      </c>
      <c r="D393" s="130" t="s">
        <v>19</v>
      </c>
      <c r="E393" s="130">
        <v>24</v>
      </c>
      <c r="F393" s="57">
        <f>IFERROR(VLOOKUP($D393,Task!$B$1:$G$70,6,0)," ")</f>
        <v>2.7777777777777779E-3</v>
      </c>
      <c r="G393" s="9">
        <f t="shared" si="29"/>
        <v>6.6666666666666666E-2</v>
      </c>
      <c r="H393" s="9">
        <v>0.41615740740740742</v>
      </c>
      <c r="I393" s="59">
        <v>0.49802083333333336</v>
      </c>
      <c r="J393" s="57">
        <f t="shared" si="31"/>
        <v>5.9872685185185195E-2</v>
      </c>
      <c r="K393" s="129">
        <f t="shared" si="32"/>
        <v>0.50481481481481483</v>
      </c>
      <c r="L393" s="8"/>
      <c r="M393" s="8"/>
      <c r="N393" s="57">
        <v>2.1990740740740741E-2</v>
      </c>
      <c r="O393" s="12"/>
      <c r="P393" s="16">
        <f t="shared" si="30"/>
        <v>1.1134738063019523</v>
      </c>
    </row>
    <row r="394" spans="1:16" ht="14.5">
      <c r="A394" s="142">
        <f t="shared" si="33"/>
        <v>393</v>
      </c>
      <c r="B394" s="142" t="str">
        <f>VLOOKUP(D394,Task!$B:$E,4,0)</f>
        <v>report</v>
      </c>
      <c r="C394" s="150">
        <v>45819</v>
      </c>
      <c r="D394" s="130" t="s">
        <v>17</v>
      </c>
      <c r="E394" s="130">
        <v>1</v>
      </c>
      <c r="F394" s="57">
        <f>IFERROR(VLOOKUP($D394,Task!$B$1:$G$70,6,0)," ")</f>
        <v>2.0833333333333332E-2</v>
      </c>
      <c r="G394" s="9">
        <f t="shared" si="29"/>
        <v>2.0833333333333332E-2</v>
      </c>
      <c r="H394" s="9">
        <v>0.49802083333333336</v>
      </c>
      <c r="I394" s="59">
        <v>0.52861111111111114</v>
      </c>
      <c r="J394" s="57">
        <f t="shared" si="31"/>
        <v>1.9189814814814823E-2</v>
      </c>
      <c r="K394" s="129">
        <f t="shared" si="32"/>
        <v>0.53025462962962966</v>
      </c>
      <c r="L394" s="8"/>
      <c r="M394" s="8"/>
      <c r="N394" s="57">
        <v>1.1400462962962963E-2</v>
      </c>
      <c r="O394" s="12"/>
      <c r="P394" s="16">
        <f t="shared" si="30"/>
        <v>1.0856453558504218</v>
      </c>
    </row>
    <row r="395" spans="1:16" ht="14.5">
      <c r="A395" s="142">
        <f t="shared" si="33"/>
        <v>394</v>
      </c>
      <c r="B395" s="142" t="str">
        <f>VLOOKUP(D395,Task!$B:$E,4,0)</f>
        <v>Task</v>
      </c>
      <c r="C395" s="150">
        <v>45819</v>
      </c>
      <c r="D395" s="130" t="s">
        <v>19</v>
      </c>
      <c r="E395" s="130">
        <v>22</v>
      </c>
      <c r="F395" s="57">
        <f>IFERROR(VLOOKUP($D395,Task!$B$1:$G$70,6,0)," ")</f>
        <v>2.7777777777777779E-3</v>
      </c>
      <c r="G395" s="9">
        <f t="shared" si="29"/>
        <v>6.1111111111111116E-2</v>
      </c>
      <c r="H395" s="9">
        <v>0.52861111111111114</v>
      </c>
      <c r="I395" s="59">
        <v>0.58589120370370373</v>
      </c>
      <c r="J395" s="57">
        <f t="shared" si="31"/>
        <v>5.7280092592592591E-2</v>
      </c>
      <c r="K395" s="129">
        <f t="shared" si="32"/>
        <v>0.58972222222222226</v>
      </c>
      <c r="L395" s="8"/>
      <c r="M395" s="8"/>
      <c r="N395" s="57"/>
      <c r="O395" s="12"/>
      <c r="P395" s="16">
        <f t="shared" si="30"/>
        <v>1.0668821984239241</v>
      </c>
    </row>
    <row r="396" spans="1:16" ht="14.5">
      <c r="A396" s="142">
        <f t="shared" si="33"/>
        <v>395</v>
      </c>
      <c r="B396" s="142" t="str">
        <f>VLOOKUP(D396,Task!$B:$E,4,0)</f>
        <v>Task</v>
      </c>
      <c r="C396" s="150">
        <v>45819</v>
      </c>
      <c r="D396" s="130" t="s">
        <v>19</v>
      </c>
      <c r="E396" s="130">
        <v>32</v>
      </c>
      <c r="F396" s="57">
        <f>IFERROR(VLOOKUP($D396,Task!$B$1:$G$70,6,0)," ")</f>
        <v>2.7777777777777779E-3</v>
      </c>
      <c r="G396" s="9">
        <f t="shared" si="29"/>
        <v>8.8888888888888892E-2</v>
      </c>
      <c r="H396" s="9">
        <v>0.58589120370370373</v>
      </c>
      <c r="I396" s="59">
        <v>0.68699074074074074</v>
      </c>
      <c r="J396" s="57">
        <f t="shared" si="31"/>
        <v>7.9976851851851813E-2</v>
      </c>
      <c r="K396" s="129">
        <f t="shared" si="32"/>
        <v>0.69590277777777787</v>
      </c>
      <c r="L396" s="8"/>
      <c r="M396" s="8"/>
      <c r="N396" s="57">
        <v>2.1122685185185185E-2</v>
      </c>
      <c r="O396" s="12"/>
      <c r="P396" s="16">
        <f t="shared" si="30"/>
        <v>1.1114327062228659</v>
      </c>
    </row>
    <row r="397" spans="1:16" ht="14.5">
      <c r="A397" s="142">
        <f t="shared" si="33"/>
        <v>396</v>
      </c>
      <c r="B397" s="142" t="str">
        <f>VLOOKUP(D397,Task!$B:$E,4,0)</f>
        <v>Task</v>
      </c>
      <c r="C397" s="150">
        <v>45819</v>
      </c>
      <c r="D397" s="130" t="s">
        <v>19</v>
      </c>
      <c r="E397" s="130">
        <v>6</v>
      </c>
      <c r="F397" s="57">
        <f>IFERROR(VLOOKUP($D397,Task!$B$1:$G$70,6,0)," ")</f>
        <v>2.7777777777777779E-3</v>
      </c>
      <c r="G397" s="9">
        <f t="shared" si="29"/>
        <v>1.6666666666666666E-2</v>
      </c>
      <c r="H397" s="9">
        <v>0.68699074074074074</v>
      </c>
      <c r="I397" s="59">
        <v>0.70942129629629624</v>
      </c>
      <c r="J397" s="57">
        <f t="shared" si="31"/>
        <v>1.5439814814814767E-2</v>
      </c>
      <c r="K397" s="129">
        <f t="shared" si="32"/>
        <v>0.71064814814814814</v>
      </c>
      <c r="L397" s="8"/>
      <c r="M397" s="8"/>
      <c r="N397" s="57">
        <v>6.9907407407407409E-3</v>
      </c>
      <c r="O397" s="12"/>
      <c r="P397" s="16">
        <f t="shared" si="30"/>
        <v>1.0794602698650708</v>
      </c>
    </row>
    <row r="398" spans="1:16" ht="14.5">
      <c r="A398" s="142">
        <f t="shared" si="33"/>
        <v>397</v>
      </c>
      <c r="B398" s="142" t="str">
        <f>VLOOKUP(D398,Task!$B:$E,4,0)</f>
        <v>Task</v>
      </c>
      <c r="C398" s="150">
        <v>45819</v>
      </c>
      <c r="D398" s="130" t="s">
        <v>19</v>
      </c>
      <c r="E398" s="130">
        <v>16</v>
      </c>
      <c r="F398" s="57">
        <f>IFERROR(VLOOKUP($D398,Task!$B$1:$G$70,6,0)," ")</f>
        <v>2.7777777777777779E-3</v>
      </c>
      <c r="G398" s="9">
        <f t="shared" si="29"/>
        <v>4.4444444444444446E-2</v>
      </c>
      <c r="H398" s="9">
        <v>0.70942129629629624</v>
      </c>
      <c r="I398" s="59">
        <v>0.75080431712558493</v>
      </c>
      <c r="J398" s="57">
        <f t="shared" si="31"/>
        <v>4.1383020829288686E-2</v>
      </c>
      <c r="K398" s="129">
        <f t="shared" si="32"/>
        <v>0.75386574074074064</v>
      </c>
      <c r="L398" s="8"/>
      <c r="M398" s="8"/>
      <c r="N398" s="57"/>
      <c r="O398" s="12"/>
      <c r="P398" s="16">
        <f t="shared" si="30"/>
        <v>1.0739777704432116</v>
      </c>
    </row>
    <row r="399" spans="1:16" ht="14.5">
      <c r="A399" s="142">
        <f t="shared" si="33"/>
        <v>398</v>
      </c>
      <c r="B399" s="142" t="str">
        <f>VLOOKUP(D399,Task!$B:$E,4,0)</f>
        <v>Task</v>
      </c>
      <c r="C399" s="150">
        <v>45820</v>
      </c>
      <c r="D399" s="130" t="s">
        <v>19</v>
      </c>
      <c r="E399" s="130">
        <v>18</v>
      </c>
      <c r="F399" s="57">
        <f>IFERROR(VLOOKUP($D399,Task!$B$1:$G$70,6,0)," ")</f>
        <v>2.7777777777777779E-3</v>
      </c>
      <c r="G399" s="9">
        <f t="shared" si="29"/>
        <v>0.05</v>
      </c>
      <c r="H399" s="9">
        <v>0.35504629629629625</v>
      </c>
      <c r="I399" s="59">
        <v>0.45251157407407405</v>
      </c>
      <c r="J399" s="57">
        <f t="shared" si="31"/>
        <v>4.5960648148148174E-2</v>
      </c>
      <c r="K399" s="129">
        <f t="shared" si="32"/>
        <v>0.45655092592592589</v>
      </c>
      <c r="L399" s="8"/>
      <c r="M399" s="8"/>
      <c r="N399" s="57">
        <v>5.1504629629629629E-2</v>
      </c>
      <c r="O399" s="12"/>
      <c r="P399" s="16">
        <f t="shared" si="30"/>
        <v>1.0878871820700069</v>
      </c>
    </row>
    <row r="400" spans="1:16" ht="14.5">
      <c r="A400" s="142">
        <f t="shared" si="33"/>
        <v>399</v>
      </c>
      <c r="B400" s="142" t="str">
        <f>VLOOKUP(D400,Task!$B:$E,4,0)</f>
        <v>Report</v>
      </c>
      <c r="C400" s="150">
        <v>45820</v>
      </c>
      <c r="D400" s="130" t="s">
        <v>18</v>
      </c>
      <c r="E400" s="130">
        <v>1</v>
      </c>
      <c r="F400" s="57">
        <f>IFERROR(VLOOKUP($D400,Task!$B$1:$G$70,6,0)," ")</f>
        <v>4.8611111111111112E-2</v>
      </c>
      <c r="G400" s="9">
        <f t="shared" si="29"/>
        <v>4.8611111111111112E-2</v>
      </c>
      <c r="H400" s="9">
        <v>0.45251157407407405</v>
      </c>
      <c r="I400" s="59">
        <v>0.52017361111111116</v>
      </c>
      <c r="J400" s="57">
        <f t="shared" si="31"/>
        <v>4.4108796296296368E-2</v>
      </c>
      <c r="K400" s="129">
        <f t="shared" si="32"/>
        <v>0.52467592592592593</v>
      </c>
      <c r="L400" s="8"/>
      <c r="M400" s="8"/>
      <c r="N400" s="57">
        <v>2.3553240740740739E-2</v>
      </c>
      <c r="O400" s="12"/>
      <c r="P400" s="16">
        <f t="shared" si="30"/>
        <v>1.1020729467331392</v>
      </c>
    </row>
    <row r="401" spans="1:16" ht="14.5">
      <c r="A401" s="142">
        <f t="shared" si="33"/>
        <v>400</v>
      </c>
      <c r="B401" s="142" t="str">
        <f>VLOOKUP(D401,Task!$B:$E,4,0)</f>
        <v>Task</v>
      </c>
      <c r="C401" s="150">
        <v>45820</v>
      </c>
      <c r="D401" s="130" t="s">
        <v>16</v>
      </c>
      <c r="E401" s="130">
        <v>24</v>
      </c>
      <c r="F401" s="57">
        <f>IFERROR(VLOOKUP($D401,Task!$B$1:$G$70,6,0)," ")</f>
        <v>5.5555555555555558E-3</v>
      </c>
      <c r="G401" s="9">
        <f t="shared" si="29"/>
        <v>0.13333333333333333</v>
      </c>
      <c r="H401" s="9">
        <v>0.52017361111111116</v>
      </c>
      <c r="I401" s="59">
        <v>0.64217592592592587</v>
      </c>
      <c r="J401" s="57">
        <f t="shared" si="31"/>
        <v>0.12200231481481472</v>
      </c>
      <c r="K401" s="129">
        <f t="shared" si="32"/>
        <v>0.65350694444444446</v>
      </c>
      <c r="L401" s="8"/>
      <c r="M401" s="8"/>
      <c r="N401" s="57"/>
      <c r="O401" s="12"/>
      <c r="P401" s="16">
        <f t="shared" si="30"/>
        <v>1.0928754387629265</v>
      </c>
    </row>
    <row r="402" spans="1:16" ht="14.5">
      <c r="A402" s="142">
        <f t="shared" si="33"/>
        <v>401</v>
      </c>
      <c r="B402" s="142" t="str">
        <f>VLOOKUP(D402,Task!$B:$E,4,0)</f>
        <v>Report</v>
      </c>
      <c r="C402" s="150">
        <v>45820</v>
      </c>
      <c r="D402" s="130" t="s">
        <v>18</v>
      </c>
      <c r="E402" s="130">
        <v>1</v>
      </c>
      <c r="F402" s="57">
        <f>IFERROR(VLOOKUP($D402,Task!$B$1:$G$70,6,0)," ")</f>
        <v>4.8611111111111112E-2</v>
      </c>
      <c r="G402" s="9">
        <f t="shared" si="29"/>
        <v>4.8611111111111112E-2</v>
      </c>
      <c r="H402" s="9">
        <v>0.64217592592592587</v>
      </c>
      <c r="I402" s="59">
        <v>0.69354166666666661</v>
      </c>
      <c r="J402" s="57">
        <f t="shared" si="31"/>
        <v>5.136574074074074E-2</v>
      </c>
      <c r="K402" s="129">
        <f t="shared" si="32"/>
        <v>0.69078703703703703</v>
      </c>
      <c r="L402" s="8"/>
      <c r="M402" s="8"/>
      <c r="N402" s="57"/>
      <c r="O402" s="12"/>
      <c r="P402" s="16">
        <f t="shared" si="30"/>
        <v>0.94637223974763407</v>
      </c>
    </row>
    <row r="403" spans="1:16" ht="14.5">
      <c r="A403" s="142">
        <f t="shared" si="33"/>
        <v>402</v>
      </c>
      <c r="B403" s="142" t="str">
        <f>VLOOKUP(D403,Task!$B:$E,4,0)</f>
        <v>Task</v>
      </c>
      <c r="C403" s="150">
        <v>45820</v>
      </c>
      <c r="D403" s="130" t="s">
        <v>16</v>
      </c>
      <c r="E403" s="130">
        <v>5</v>
      </c>
      <c r="F403" s="57">
        <f>IFERROR(VLOOKUP($D403,Task!$B$1:$G$70,6,0)," ")</f>
        <v>5.5555555555555558E-3</v>
      </c>
      <c r="G403" s="9">
        <f t="shared" si="29"/>
        <v>2.777777777777778E-2</v>
      </c>
      <c r="H403" s="9">
        <v>0.69354166666666661</v>
      </c>
      <c r="I403" s="59">
        <v>0.73263888888888884</v>
      </c>
      <c r="J403" s="57">
        <f t="shared" si="31"/>
        <v>2.2037037037037042E-2</v>
      </c>
      <c r="K403" s="129">
        <f t="shared" si="32"/>
        <v>0.73837962962962955</v>
      </c>
      <c r="L403" s="8"/>
      <c r="M403" s="8"/>
      <c r="N403" s="57">
        <v>1.7060185185185185E-2</v>
      </c>
      <c r="O403" s="12"/>
      <c r="P403" s="16">
        <f t="shared" si="30"/>
        <v>1.260504201680672</v>
      </c>
    </row>
    <row r="404" spans="1:16" ht="14.5">
      <c r="A404" s="142">
        <f t="shared" si="33"/>
        <v>403</v>
      </c>
      <c r="B404" s="142" t="str">
        <f>VLOOKUP(D404,Task!$B:$E,4,0)</f>
        <v>Report</v>
      </c>
      <c r="C404" s="150">
        <v>45821</v>
      </c>
      <c r="D404" s="130" t="s">
        <v>18</v>
      </c>
      <c r="E404" s="130">
        <v>1</v>
      </c>
      <c r="F404" s="57">
        <f>IFERROR(VLOOKUP($D404,Task!$B$1:$G$70,6,0)," ")</f>
        <v>4.8611111111111112E-2</v>
      </c>
      <c r="G404" s="9">
        <f t="shared" si="29"/>
        <v>4.8611111111111112E-2</v>
      </c>
      <c r="H404" s="9">
        <v>0.37593749999999998</v>
      </c>
      <c r="I404" s="59">
        <v>0.4597222222222222</v>
      </c>
      <c r="J404" s="57">
        <f t="shared" si="31"/>
        <v>4.3761574074074071E-2</v>
      </c>
      <c r="K404" s="129">
        <f t="shared" si="32"/>
        <v>0.46457175925925925</v>
      </c>
      <c r="L404" s="8"/>
      <c r="M404" s="8"/>
      <c r="N404" s="57">
        <v>4.0023148148148148E-2</v>
      </c>
      <c r="O404" s="12"/>
      <c r="P404" s="16">
        <f t="shared" si="30"/>
        <v>1.1108172441153135</v>
      </c>
    </row>
    <row r="405" spans="1:16" ht="14.5">
      <c r="A405" s="142">
        <f t="shared" si="33"/>
        <v>404</v>
      </c>
      <c r="B405" s="142" t="str">
        <f>VLOOKUP(D405,Task!$B:$E,4,0)</f>
        <v>Report</v>
      </c>
      <c r="C405" s="150">
        <v>45821</v>
      </c>
      <c r="D405" s="130" t="s">
        <v>18</v>
      </c>
      <c r="E405" s="130">
        <v>1</v>
      </c>
      <c r="F405" s="57">
        <f>IFERROR(VLOOKUP($D405,Task!$B$1:$G$70,6,0)," ")</f>
        <v>4.8611111111111112E-2</v>
      </c>
      <c r="G405" s="9">
        <f t="shared" si="29"/>
        <v>4.8611111111111112E-2</v>
      </c>
      <c r="H405" s="9">
        <v>0.4597222222222222</v>
      </c>
      <c r="I405" s="59">
        <v>0.50343749999999998</v>
      </c>
      <c r="J405" s="57">
        <f t="shared" si="31"/>
        <v>4.3715277777777783E-2</v>
      </c>
      <c r="K405" s="129">
        <f t="shared" si="32"/>
        <v>0.5083333333333333</v>
      </c>
      <c r="L405" s="8"/>
      <c r="M405" s="8"/>
      <c r="N405" s="57"/>
      <c r="O405" s="12"/>
      <c r="P405" s="16">
        <f t="shared" si="30"/>
        <v>1.1119936457505957</v>
      </c>
    </row>
    <row r="406" spans="1:16" ht="14.5">
      <c r="A406" s="142">
        <f t="shared" si="33"/>
        <v>405</v>
      </c>
      <c r="B406" s="142" t="str">
        <f>VLOOKUP(D406,Task!$B:$E,4,0)</f>
        <v>report</v>
      </c>
      <c r="C406" s="150">
        <v>45821</v>
      </c>
      <c r="D406" s="130" t="s">
        <v>17</v>
      </c>
      <c r="E406" s="130">
        <v>2</v>
      </c>
      <c r="F406" s="57">
        <f>IFERROR(VLOOKUP($D406,Task!$B$1:$G$70,6,0)," ")</f>
        <v>2.0833333333333332E-2</v>
      </c>
      <c r="G406" s="9">
        <f t="shared" si="29"/>
        <v>4.1666666666666664E-2</v>
      </c>
      <c r="H406" s="9">
        <v>0.50343749999999998</v>
      </c>
      <c r="I406" s="59">
        <v>0.54351851851851851</v>
      </c>
      <c r="J406" s="57">
        <f t="shared" si="31"/>
        <v>4.008101851851853E-2</v>
      </c>
      <c r="K406" s="129">
        <f t="shared" si="32"/>
        <v>0.54510416666666661</v>
      </c>
      <c r="L406" s="8"/>
      <c r="M406" s="8"/>
      <c r="N406" s="57"/>
      <c r="O406" s="12"/>
      <c r="P406" s="16">
        <f t="shared" si="30"/>
        <v>1.0395610742131096</v>
      </c>
    </row>
    <row r="407" spans="1:16" ht="14.5">
      <c r="A407" s="142">
        <f t="shared" si="33"/>
        <v>406</v>
      </c>
      <c r="B407" s="142" t="str">
        <f>VLOOKUP(D407,Task!$B:$E,4,0)</f>
        <v>Task</v>
      </c>
      <c r="C407" s="150">
        <v>45821</v>
      </c>
      <c r="D407" s="130" t="s">
        <v>16</v>
      </c>
      <c r="E407" s="130">
        <v>17</v>
      </c>
      <c r="F407" s="57">
        <f>IFERROR(VLOOKUP($D407,Task!$B$1:$G$70,6,0)," ")</f>
        <v>5.5555555555555558E-3</v>
      </c>
      <c r="G407" s="9">
        <f t="shared" si="29"/>
        <v>9.4444444444444442E-2</v>
      </c>
      <c r="H407" s="9">
        <v>0.54351851851851851</v>
      </c>
      <c r="I407" s="59">
        <v>0.65164351851851854</v>
      </c>
      <c r="J407" s="57">
        <f t="shared" si="31"/>
        <v>8.5185185185185211E-2</v>
      </c>
      <c r="K407" s="129">
        <f t="shared" si="32"/>
        <v>0.66090277777777773</v>
      </c>
      <c r="L407" s="8"/>
      <c r="M407" s="8"/>
      <c r="N407" s="57">
        <v>2.2939814814814816E-2</v>
      </c>
      <c r="O407" s="12"/>
      <c r="P407" s="16">
        <f t="shared" si="30"/>
        <v>1.1086956521739126</v>
      </c>
    </row>
    <row r="408" spans="1:16" ht="14.5">
      <c r="A408" s="142">
        <f t="shared" si="33"/>
        <v>407</v>
      </c>
      <c r="B408" s="142" t="str">
        <f>VLOOKUP(D408,Task!$B:$E,4,0)</f>
        <v>Task</v>
      </c>
      <c r="C408" s="150">
        <v>45821</v>
      </c>
      <c r="D408" s="130" t="s">
        <v>19</v>
      </c>
      <c r="E408" s="23">
        <v>20</v>
      </c>
      <c r="F408" s="57">
        <f>IFERROR(VLOOKUP($D408,Task!$B$1:$G$70,6,0)," ")</f>
        <v>2.7777777777777779E-3</v>
      </c>
      <c r="G408" s="9">
        <f t="shared" si="29"/>
        <v>5.5555555555555559E-2</v>
      </c>
      <c r="H408" s="9">
        <v>0.65164351851851854</v>
      </c>
      <c r="I408" s="59">
        <v>0.7018402777777778</v>
      </c>
      <c r="J408" s="57">
        <f t="shared" si="31"/>
        <v>5.019675925925926E-2</v>
      </c>
      <c r="K408" s="129">
        <f t="shared" si="32"/>
        <v>0.70719907407407412</v>
      </c>
      <c r="L408" s="8"/>
      <c r="M408" s="8"/>
      <c r="N408" s="57"/>
      <c r="O408" s="12"/>
      <c r="P408" s="16">
        <f t="shared" si="30"/>
        <v>1.1067558219967719</v>
      </c>
    </row>
    <row r="409" spans="1:16" ht="14.5">
      <c r="A409" s="142">
        <f t="shared" si="33"/>
        <v>408</v>
      </c>
      <c r="B409" s="142" t="str">
        <f>VLOOKUP(D409,Task!$B:$E,4,0)</f>
        <v>Task</v>
      </c>
      <c r="C409" s="150">
        <v>45821</v>
      </c>
      <c r="D409" s="130" t="s">
        <v>16</v>
      </c>
      <c r="E409" s="130">
        <v>10</v>
      </c>
      <c r="F409" s="57">
        <f>IFERROR(VLOOKUP($D409,Task!$B$1:$G$70,6,0)," ")</f>
        <v>5.5555555555555558E-3</v>
      </c>
      <c r="G409" s="9">
        <f t="shared" si="29"/>
        <v>5.5555555555555559E-2</v>
      </c>
      <c r="H409" s="9">
        <v>0.7018402777777778</v>
      </c>
      <c r="I409" s="59">
        <v>0.75347222222222221</v>
      </c>
      <c r="J409" s="57">
        <f t="shared" si="31"/>
        <v>5.1631944444444411E-2</v>
      </c>
      <c r="K409" s="129">
        <f t="shared" si="32"/>
        <v>0.75739583333333338</v>
      </c>
      <c r="L409" s="8"/>
      <c r="M409" s="8"/>
      <c r="N409" s="57"/>
      <c r="O409" s="12"/>
      <c r="P409" s="16">
        <f t="shared" si="30"/>
        <v>1.0759919300605254</v>
      </c>
    </row>
    <row r="410" spans="1:16" ht="14.5">
      <c r="A410" s="142">
        <f t="shared" si="33"/>
        <v>409</v>
      </c>
      <c r="B410" s="142" t="str">
        <f>VLOOKUP(D410,Task!$B:$E,4,0)</f>
        <v>Task</v>
      </c>
      <c r="C410" s="150">
        <v>45824</v>
      </c>
      <c r="D410" s="130" t="s">
        <v>16</v>
      </c>
      <c r="E410" s="130">
        <f>12-E409</f>
        <v>2</v>
      </c>
      <c r="F410" s="57">
        <f>IFERROR(VLOOKUP($D410,Task!$B$1:$G$70,6,0)," ")</f>
        <v>5.5555555555555558E-3</v>
      </c>
      <c r="G410" s="9">
        <f t="shared" si="29"/>
        <v>1.1111111111111112E-2</v>
      </c>
      <c r="H410" s="9">
        <v>0.391087962962963</v>
      </c>
      <c r="I410" s="59">
        <v>0.40119212962962963</v>
      </c>
      <c r="J410" s="57">
        <f t="shared" si="31"/>
        <v>1.0104166666666636E-2</v>
      </c>
      <c r="K410" s="129">
        <f t="shared" si="32"/>
        <v>0.40219907407407413</v>
      </c>
      <c r="L410" s="8"/>
      <c r="M410" s="8"/>
      <c r="N410" s="57"/>
      <c r="O410" s="12"/>
      <c r="P410" s="16">
        <f t="shared" si="30"/>
        <v>1.0996563573883196</v>
      </c>
    </row>
    <row r="411" spans="1:16" ht="14.5">
      <c r="A411" s="142">
        <f t="shared" si="33"/>
        <v>410</v>
      </c>
      <c r="B411" s="142" t="str">
        <f>VLOOKUP(D411,Task!$B:$E,4,0)</f>
        <v>report</v>
      </c>
      <c r="C411" s="150">
        <v>45824</v>
      </c>
      <c r="D411" s="130" t="s">
        <v>17</v>
      </c>
      <c r="E411" s="130">
        <v>1</v>
      </c>
      <c r="F411" s="57">
        <f>IFERROR(VLOOKUP($D411,Task!$B$1:$G$70,6,0)," ")</f>
        <v>2.0833333333333332E-2</v>
      </c>
      <c r="G411" s="9">
        <f t="shared" si="29"/>
        <v>2.0833333333333332E-2</v>
      </c>
      <c r="H411" s="9">
        <v>0.40119212962962963</v>
      </c>
      <c r="I411" s="59">
        <v>0.43659722222222225</v>
      </c>
      <c r="J411" s="57">
        <f t="shared" si="31"/>
        <v>1.8946759259259281E-2</v>
      </c>
      <c r="K411" s="129">
        <f t="shared" si="32"/>
        <v>0.4384837962962963</v>
      </c>
      <c r="L411" s="8"/>
      <c r="M411" s="8"/>
      <c r="N411" s="57">
        <v>1.6458333333333332E-2</v>
      </c>
      <c r="O411" s="12"/>
      <c r="P411" s="16">
        <f t="shared" si="30"/>
        <v>1.0995723885155759</v>
      </c>
    </row>
    <row r="412" spans="1:16" ht="14.5">
      <c r="A412" s="142">
        <f t="shared" si="33"/>
        <v>411</v>
      </c>
      <c r="B412" s="142" t="str">
        <f>VLOOKUP(D412,Task!$B:$E,4,0)</f>
        <v>Report</v>
      </c>
      <c r="C412" s="150">
        <v>45824</v>
      </c>
      <c r="D412" s="130" t="s">
        <v>18</v>
      </c>
      <c r="E412" s="130">
        <v>1</v>
      </c>
      <c r="F412" s="57">
        <f>IFERROR(VLOOKUP($D412,Task!$B$1:$G$70,6,0)," ")</f>
        <v>4.8611111111111112E-2</v>
      </c>
      <c r="G412" s="9">
        <f t="shared" si="29"/>
        <v>4.8611111111111112E-2</v>
      </c>
      <c r="H412" s="9">
        <v>0.43659722222222225</v>
      </c>
      <c r="I412" s="59">
        <v>0.50019675925925922</v>
      </c>
      <c r="J412" s="57">
        <f t="shared" si="31"/>
        <v>4.3761574074074008E-2</v>
      </c>
      <c r="K412" s="129">
        <f t="shared" si="32"/>
        <v>0.50504629629629627</v>
      </c>
      <c r="L412" s="8"/>
      <c r="M412" s="8"/>
      <c r="N412" s="57">
        <v>1.9837962962962963E-2</v>
      </c>
      <c r="O412" s="12"/>
      <c r="P412" s="16">
        <f t="shared" si="30"/>
        <v>1.110817244115315</v>
      </c>
    </row>
    <row r="413" spans="1:16" ht="14.5">
      <c r="A413" s="142">
        <f t="shared" si="33"/>
        <v>412</v>
      </c>
      <c r="B413" s="142" t="str">
        <f>VLOOKUP(D413,Task!$B:$E,4,0)</f>
        <v>Task</v>
      </c>
      <c r="C413" s="150">
        <v>45824</v>
      </c>
      <c r="D413" s="130" t="s">
        <v>19</v>
      </c>
      <c r="E413" s="130">
        <v>38</v>
      </c>
      <c r="F413" s="57">
        <f>IFERROR(VLOOKUP($D413,Task!$B$1:$G$70,6,0)," ")</f>
        <v>2.7777777777777779E-3</v>
      </c>
      <c r="G413" s="9">
        <f t="shared" si="29"/>
        <v>0.10555555555555556</v>
      </c>
      <c r="H413" s="9">
        <v>0.50019675925925922</v>
      </c>
      <c r="I413" s="59">
        <v>0.59619212962962964</v>
      </c>
      <c r="J413" s="57">
        <f t="shared" si="31"/>
        <v>9.5995370370370425E-2</v>
      </c>
      <c r="K413" s="129">
        <f t="shared" si="32"/>
        <v>0.60575231481481473</v>
      </c>
      <c r="L413" s="8"/>
      <c r="M413" s="8"/>
      <c r="N413" s="57"/>
      <c r="O413" s="12"/>
      <c r="P413" s="16">
        <f t="shared" si="30"/>
        <v>1.0995900651073058</v>
      </c>
    </row>
    <row r="414" spans="1:16" ht="14.5">
      <c r="A414" s="142">
        <f t="shared" si="33"/>
        <v>413</v>
      </c>
      <c r="B414" s="142" t="str">
        <f>VLOOKUP(D414,Task!$B:$E,4,0)</f>
        <v>Task</v>
      </c>
      <c r="C414" s="150">
        <v>45824</v>
      </c>
      <c r="D414" s="130" t="s">
        <v>19</v>
      </c>
      <c r="E414" s="130">
        <f>64-E413</f>
        <v>26</v>
      </c>
      <c r="F414" s="57">
        <f>IFERROR(VLOOKUP($D414,Task!$B$1:$G$70,6,0)," ")</f>
        <v>2.7777777777777779E-3</v>
      </c>
      <c r="G414" s="9">
        <f t="shared" si="29"/>
        <v>7.2222222222222229E-2</v>
      </c>
      <c r="H414" s="9">
        <v>0.59619212962962964</v>
      </c>
      <c r="I414" s="59">
        <v>0.67327546296296292</v>
      </c>
      <c r="J414" s="57">
        <f t="shared" si="31"/>
        <v>6.5636574074074028E-2</v>
      </c>
      <c r="K414" s="129">
        <f t="shared" si="32"/>
        <v>0.67986111111111114</v>
      </c>
      <c r="L414" s="8"/>
      <c r="M414" s="8"/>
      <c r="N414" s="57">
        <v>1.1446759259259259E-2</v>
      </c>
      <c r="O414" s="12"/>
      <c r="P414" s="16">
        <f t="shared" si="30"/>
        <v>1.1003350379121857</v>
      </c>
    </row>
    <row r="415" spans="1:16" ht="14.5">
      <c r="A415" s="142">
        <f t="shared" si="33"/>
        <v>414</v>
      </c>
      <c r="B415" s="142" t="str">
        <f>VLOOKUP(D415,Task!$B:$E,4,0)</f>
        <v>report</v>
      </c>
      <c r="C415" s="150">
        <v>45824</v>
      </c>
      <c r="D415" s="130" t="s">
        <v>26</v>
      </c>
      <c r="E415" s="130">
        <v>1</v>
      </c>
      <c r="F415" s="57">
        <f>IFERROR(VLOOKUP($D415,Task!$B$1:$G$70,6,0)," ")</f>
        <v>2.0833333333333332E-2</v>
      </c>
      <c r="G415" s="9">
        <f t="shared" si="29"/>
        <v>2.0833333333333332E-2</v>
      </c>
      <c r="H415" s="9">
        <v>0.67327546296296292</v>
      </c>
      <c r="I415" s="59">
        <v>0.71643518518518523</v>
      </c>
      <c r="J415" s="57">
        <f t="shared" si="31"/>
        <v>1.9097222222222307E-2</v>
      </c>
      <c r="K415" s="129">
        <f t="shared" si="32"/>
        <v>0.71817129629629628</v>
      </c>
      <c r="L415" s="8"/>
      <c r="M415" s="8"/>
      <c r="N415" s="57">
        <v>2.4062500000000001E-2</v>
      </c>
      <c r="O415" s="12"/>
      <c r="P415" s="16">
        <f t="shared" si="30"/>
        <v>1.0909090909090859</v>
      </c>
    </row>
    <row r="416" spans="1:16" ht="14.5">
      <c r="A416" s="142">
        <f t="shared" si="33"/>
        <v>415</v>
      </c>
      <c r="B416" s="142" t="str">
        <f>VLOOKUP(D416,Task!$B:$E,4,0)</f>
        <v>Task</v>
      </c>
      <c r="C416" s="150">
        <v>45824</v>
      </c>
      <c r="D416" s="130" t="s">
        <v>27</v>
      </c>
      <c r="E416" s="130">
        <v>26</v>
      </c>
      <c r="F416" s="57">
        <f>IFERROR(VLOOKUP($D416,Task!$B$1:$G$70,6,0)," ")</f>
        <v>1.3888888888888889E-3</v>
      </c>
      <c r="G416" s="9">
        <f t="shared" si="29"/>
        <v>3.6111111111111115E-2</v>
      </c>
      <c r="H416" s="9">
        <v>0.71643518518518523</v>
      </c>
      <c r="I416" s="59">
        <v>0.75002314814814819</v>
      </c>
      <c r="J416" s="57">
        <f t="shared" si="31"/>
        <v>3.3587962962962958E-2</v>
      </c>
      <c r="K416" s="129">
        <f t="shared" si="32"/>
        <v>0.75254629629629632</v>
      </c>
      <c r="L416" s="8"/>
      <c r="M416" s="8"/>
      <c r="N416" s="57"/>
      <c r="O416" s="12"/>
      <c r="P416" s="16">
        <f t="shared" si="30"/>
        <v>1.075120606478291</v>
      </c>
    </row>
    <row r="417" spans="1:16" ht="14.5">
      <c r="A417" s="142">
        <f t="shared" si="33"/>
        <v>416</v>
      </c>
      <c r="B417" s="142" t="str">
        <f>VLOOKUP(D417,Task!$B:$E,4,0)</f>
        <v>Task</v>
      </c>
      <c r="C417" s="150">
        <v>45824</v>
      </c>
      <c r="D417" s="130" t="s">
        <v>27</v>
      </c>
      <c r="E417" s="130">
        <v>15</v>
      </c>
      <c r="F417" s="57">
        <f>IFERROR(VLOOKUP($D417,Task!$B$1:$G$70,6,0)," ")</f>
        <v>1.3888888888888889E-3</v>
      </c>
      <c r="G417" s="9">
        <f t="shared" si="29"/>
        <v>2.0833333333333336E-2</v>
      </c>
      <c r="H417" s="9">
        <v>0.75002314814814819</v>
      </c>
      <c r="I417" s="59">
        <v>0.76875000000000004</v>
      </c>
      <c r="J417" s="57">
        <f t="shared" si="31"/>
        <v>1.8726851851851856E-2</v>
      </c>
      <c r="K417" s="129">
        <f t="shared" si="32"/>
        <v>0.77085648148148156</v>
      </c>
      <c r="L417" s="8"/>
      <c r="M417" s="8"/>
      <c r="N417" s="57"/>
      <c r="O417" s="12"/>
      <c r="P417" s="16">
        <f t="shared" si="30"/>
        <v>1.1124845488257107</v>
      </c>
    </row>
    <row r="418" spans="1:16" ht="14.5">
      <c r="A418" s="142">
        <f t="shared" si="33"/>
        <v>417</v>
      </c>
      <c r="B418" s="142" t="str">
        <f>VLOOKUP(D418,Task!$B:$E,4,0)</f>
        <v>Task</v>
      </c>
      <c r="C418" s="150">
        <v>45825</v>
      </c>
      <c r="D418" s="130" t="s">
        <v>27</v>
      </c>
      <c r="E418" s="130">
        <v>51</v>
      </c>
      <c r="F418" s="57">
        <f>IFERROR(VLOOKUP($D418,Task!$B$1:$G$70,6,0)," ")</f>
        <v>1.3888888888888889E-3</v>
      </c>
      <c r="G418" s="9">
        <f t="shared" si="29"/>
        <v>7.0833333333333331E-2</v>
      </c>
      <c r="H418" s="9">
        <v>0.37870370370370371</v>
      </c>
      <c r="I418" s="59">
        <v>0.44299768518518517</v>
      </c>
      <c r="J418" s="57">
        <f t="shared" si="31"/>
        <v>6.4293981481481466E-2</v>
      </c>
      <c r="K418" s="129">
        <f t="shared" si="32"/>
        <v>0.44953703703703707</v>
      </c>
      <c r="L418" s="8"/>
      <c r="M418" s="8"/>
      <c r="N418" s="57"/>
      <c r="O418" s="12"/>
      <c r="P418" s="16">
        <f t="shared" si="30"/>
        <v>1.101710171017102</v>
      </c>
    </row>
    <row r="419" spans="1:16" ht="14.5">
      <c r="A419" s="142">
        <f t="shared" si="33"/>
        <v>418</v>
      </c>
      <c r="B419" s="142" t="str">
        <f>VLOOKUP(D419,Task!$B:$E,4,0)</f>
        <v>Report</v>
      </c>
      <c r="C419" s="150">
        <v>45825</v>
      </c>
      <c r="D419" s="130" t="s">
        <v>18</v>
      </c>
      <c r="E419" s="130">
        <v>1</v>
      </c>
      <c r="F419" s="57">
        <f>IFERROR(VLOOKUP($D419,Task!$B$1:$G$70,6,0)," ")</f>
        <v>4.8611111111111112E-2</v>
      </c>
      <c r="G419" s="9">
        <f t="shared" si="29"/>
        <v>4.8611111111111112E-2</v>
      </c>
      <c r="H419" s="9">
        <v>0.44299768518518517</v>
      </c>
      <c r="I419" s="59">
        <v>0.51443287037037033</v>
      </c>
      <c r="J419" s="57">
        <f t="shared" si="31"/>
        <v>4.3449074074074043E-2</v>
      </c>
      <c r="K419" s="129">
        <f t="shared" si="32"/>
        <v>0.51959490740740744</v>
      </c>
      <c r="L419" s="8"/>
      <c r="M419" s="8"/>
      <c r="N419" s="57">
        <v>2.7986111111111111E-2</v>
      </c>
      <c r="O419" s="12"/>
      <c r="P419" s="16">
        <f t="shared" si="30"/>
        <v>1.1188066062866284</v>
      </c>
    </row>
    <row r="420" spans="1:16" ht="14.5">
      <c r="A420" s="142">
        <f t="shared" si="33"/>
        <v>419</v>
      </c>
      <c r="B420" s="142" t="str">
        <f>VLOOKUP(D420,Task!$B:$E,4,0)</f>
        <v>Task</v>
      </c>
      <c r="C420" s="150">
        <v>45825</v>
      </c>
      <c r="D420" s="130" t="s">
        <v>16</v>
      </c>
      <c r="E420" s="130">
        <v>20</v>
      </c>
      <c r="F420" s="57">
        <f>IFERROR(VLOOKUP($D420,Task!$B$1:$G$70,6,0)," ")</f>
        <v>5.5555555555555558E-3</v>
      </c>
      <c r="G420" s="9">
        <f t="shared" si="29"/>
        <v>0.11111111111111112</v>
      </c>
      <c r="H420" s="9">
        <v>0.51443287037037033</v>
      </c>
      <c r="I420" s="59">
        <v>0.65295138888888893</v>
      </c>
      <c r="J420" s="57">
        <f t="shared" si="31"/>
        <v>0.10099537037037046</v>
      </c>
      <c r="K420" s="129">
        <f t="shared" si="32"/>
        <v>0.66306712962962966</v>
      </c>
      <c r="L420" s="8"/>
      <c r="M420" s="8"/>
      <c r="N420" s="57">
        <v>3.7523148148148146E-2</v>
      </c>
      <c r="O420" s="12"/>
      <c r="P420" s="16">
        <f t="shared" si="30"/>
        <v>1.1001604400641751</v>
      </c>
    </row>
    <row r="421" spans="1:16" ht="14.5">
      <c r="A421" s="142">
        <f t="shared" si="33"/>
        <v>420</v>
      </c>
      <c r="B421" s="142" t="str">
        <f>VLOOKUP(D421,Task!$B:$E,4,0)</f>
        <v>Report</v>
      </c>
      <c r="C421" s="150">
        <v>45825</v>
      </c>
      <c r="D421" s="130" t="s">
        <v>18</v>
      </c>
      <c r="E421" s="130">
        <v>1</v>
      </c>
      <c r="F421" s="57">
        <f>IFERROR(VLOOKUP($D421,Task!$B$1:$G$70,6,0)," ")</f>
        <v>4.8611111111111112E-2</v>
      </c>
      <c r="G421" s="9">
        <f t="shared" si="29"/>
        <v>4.8611111111111112E-2</v>
      </c>
      <c r="H421" s="9">
        <v>0.65295138888888893</v>
      </c>
      <c r="I421" s="59">
        <v>0.71128472222222228</v>
      </c>
      <c r="J421" s="57">
        <f t="shared" si="31"/>
        <v>4.416666666666668E-2</v>
      </c>
      <c r="K421" s="129">
        <f t="shared" si="32"/>
        <v>0.71572916666666675</v>
      </c>
      <c r="L421" s="8"/>
      <c r="M421" s="8"/>
      <c r="N421" s="57">
        <v>1.4166666666666666E-2</v>
      </c>
      <c r="O421" s="12"/>
      <c r="P421" s="16">
        <f t="shared" si="30"/>
        <v>1.1006289308176098</v>
      </c>
    </row>
    <row r="422" spans="1:16" ht="14.5">
      <c r="A422" s="142">
        <f t="shared" si="33"/>
        <v>421</v>
      </c>
      <c r="B422" s="142" t="str">
        <f>VLOOKUP(D422,Task!$B:$E,4,0)</f>
        <v>Task</v>
      </c>
      <c r="C422" s="150">
        <v>45825</v>
      </c>
      <c r="D422" s="130" t="s">
        <v>27</v>
      </c>
      <c r="E422" s="130">
        <v>36</v>
      </c>
      <c r="F422" s="57">
        <f>IFERROR(VLOOKUP($D422,Task!$B$1:$G$70,6,0)," ")</f>
        <v>1.3888888888888889E-3</v>
      </c>
      <c r="G422" s="9">
        <f t="shared" si="29"/>
        <v>0.05</v>
      </c>
      <c r="H422" s="9">
        <v>0.71128472222222228</v>
      </c>
      <c r="I422" s="59">
        <v>0.75694444444444442</v>
      </c>
      <c r="J422" s="57">
        <f t="shared" si="31"/>
        <v>4.5659722222222143E-2</v>
      </c>
      <c r="K422" s="129">
        <f t="shared" si="32"/>
        <v>0.76128472222222232</v>
      </c>
      <c r="L422" s="8"/>
      <c r="M422" s="8"/>
      <c r="N422" s="57"/>
      <c r="O422" s="12"/>
      <c r="P422" s="16">
        <f t="shared" si="30"/>
        <v>1.0950570342205344</v>
      </c>
    </row>
    <row r="423" spans="1:16" ht="14.5">
      <c r="A423" s="142">
        <f t="shared" si="33"/>
        <v>422</v>
      </c>
      <c r="B423" s="142" t="str">
        <f>VLOOKUP(D423,Task!$B:$E,4,0)</f>
        <v>Report</v>
      </c>
      <c r="C423" s="150">
        <v>45827</v>
      </c>
      <c r="D423" s="130" t="s">
        <v>18</v>
      </c>
      <c r="E423" s="130">
        <v>1</v>
      </c>
      <c r="F423" s="57">
        <f>IFERROR(VLOOKUP($D423,Task!$B$1:$G$70,6,0)," ")</f>
        <v>4.8611111111111112E-2</v>
      </c>
      <c r="G423" s="9">
        <f t="shared" si="29"/>
        <v>4.8611111111111112E-2</v>
      </c>
      <c r="H423" s="9">
        <v>0.36989583333333331</v>
      </c>
      <c r="I423" s="59">
        <v>0.41365740740740742</v>
      </c>
      <c r="J423" s="57">
        <f t="shared" si="31"/>
        <v>4.3761574074074105E-2</v>
      </c>
      <c r="K423" s="129">
        <f t="shared" si="32"/>
        <v>0.41850694444444442</v>
      </c>
      <c r="L423" s="8"/>
      <c r="M423" s="8"/>
      <c r="N423" s="57"/>
      <c r="O423" s="12"/>
      <c r="P423" s="16">
        <f t="shared" si="30"/>
        <v>1.1108172441153126</v>
      </c>
    </row>
    <row r="424" spans="1:16" ht="14.5">
      <c r="A424" s="142">
        <f t="shared" si="33"/>
        <v>423</v>
      </c>
      <c r="B424" s="142" t="str">
        <f>VLOOKUP(D424,Task!$B:$E,4,0)</f>
        <v>Task</v>
      </c>
      <c r="C424" s="150">
        <v>45827</v>
      </c>
      <c r="D424" s="130" t="s">
        <v>27</v>
      </c>
      <c r="E424" s="130">
        <v>115</v>
      </c>
      <c r="F424" s="57">
        <f>IFERROR(VLOOKUP($D424,Task!$B$1:$G$70,6,0)," ")</f>
        <v>1.3888888888888889E-3</v>
      </c>
      <c r="G424" s="9">
        <f t="shared" si="29"/>
        <v>0.15972222222222224</v>
      </c>
      <c r="H424" s="9">
        <v>0.41365740740740742</v>
      </c>
      <c r="I424" s="59">
        <v>0.61484953703703704</v>
      </c>
      <c r="J424" s="57">
        <f t="shared" si="31"/>
        <v>0.14520833333333333</v>
      </c>
      <c r="K424" s="129">
        <f t="shared" si="32"/>
        <v>0.62936342592592598</v>
      </c>
      <c r="L424" s="8"/>
      <c r="M424" s="8"/>
      <c r="N424" s="57">
        <v>5.5983796296296295E-2</v>
      </c>
      <c r="O424" s="12"/>
      <c r="P424" s="16">
        <f t="shared" si="30"/>
        <v>1.0999521759923483</v>
      </c>
    </row>
    <row r="425" spans="1:16" ht="14.5">
      <c r="A425" s="142">
        <f t="shared" si="33"/>
        <v>424</v>
      </c>
      <c r="B425" s="142" t="str">
        <f>VLOOKUP(D425,Task!$B:$E,4,0)</f>
        <v>report</v>
      </c>
      <c r="C425" s="150">
        <v>45827</v>
      </c>
      <c r="D425" s="130" t="s">
        <v>17</v>
      </c>
      <c r="E425" s="130">
        <v>1</v>
      </c>
      <c r="F425" s="57">
        <f>IFERROR(VLOOKUP($D425,Task!$B$1:$G$70,6,0)," ")</f>
        <v>2.0833333333333332E-2</v>
      </c>
      <c r="G425" s="9">
        <f t="shared" si="29"/>
        <v>2.0833333333333332E-2</v>
      </c>
      <c r="H425" s="9">
        <v>0.61484953703703704</v>
      </c>
      <c r="I425" s="59">
        <v>0.63378256944270106</v>
      </c>
      <c r="J425" s="57">
        <f t="shared" si="31"/>
        <v>1.8933032405664019E-2</v>
      </c>
      <c r="K425" s="129">
        <f t="shared" si="32"/>
        <v>0.63568287037037041</v>
      </c>
      <c r="L425" s="8"/>
      <c r="M425" s="8"/>
      <c r="N425" s="57"/>
      <c r="O425" s="12"/>
      <c r="P425" s="16">
        <f t="shared" si="30"/>
        <v>1.100369602024281</v>
      </c>
    </row>
    <row r="426" spans="1:16" ht="14.5">
      <c r="A426" s="142">
        <f t="shared" si="33"/>
        <v>425</v>
      </c>
      <c r="B426" s="142" t="str">
        <f>VLOOKUP(D426,Task!$B:$E,4,0)</f>
        <v>Task</v>
      </c>
      <c r="C426" s="150">
        <v>45827</v>
      </c>
      <c r="D426" s="130" t="s">
        <v>28</v>
      </c>
      <c r="E426" s="130">
        <v>15</v>
      </c>
      <c r="F426" s="57">
        <f>IFERROR(VLOOKUP($D426,Task!$B$1:$G$70,6,0)," ")</f>
        <v>1.3888888888888889E-3</v>
      </c>
      <c r="G426" s="9">
        <f t="shared" si="29"/>
        <v>2.0833333333333336E-2</v>
      </c>
      <c r="H426" s="9">
        <v>0.63378256944270106</v>
      </c>
      <c r="I426" s="59">
        <v>0.65307870370370369</v>
      </c>
      <c r="J426" s="57">
        <f t="shared" si="31"/>
        <v>1.9296134261002629E-2</v>
      </c>
      <c r="K426" s="129">
        <f t="shared" si="32"/>
        <v>0.65461590277603443</v>
      </c>
      <c r="L426" s="8"/>
      <c r="M426" s="8"/>
      <c r="N426" s="57"/>
      <c r="O426" s="12"/>
      <c r="P426" s="16">
        <f t="shared" si="30"/>
        <v>1.0796635767319145</v>
      </c>
    </row>
    <row r="427" spans="1:16" ht="14.5">
      <c r="A427" s="142">
        <f t="shared" si="33"/>
        <v>426</v>
      </c>
      <c r="B427" s="142" t="str">
        <f>VLOOKUP(D427,Task!$B:$E,4,0)</f>
        <v>Task</v>
      </c>
      <c r="C427" s="150">
        <v>45827</v>
      </c>
      <c r="D427" s="130" t="s">
        <v>29</v>
      </c>
      <c r="E427" s="130">
        <v>23</v>
      </c>
      <c r="F427" s="57">
        <f>IFERROR(VLOOKUP($D427,Task!$B$1:$G$70,6,0)," ")</f>
        <v>2.0833333333333333E-3</v>
      </c>
      <c r="G427" s="9">
        <f t="shared" si="29"/>
        <v>4.7916666666666663E-2</v>
      </c>
      <c r="H427" s="9">
        <v>0.65307870370370369</v>
      </c>
      <c r="I427" s="59">
        <v>0.70155092592592594</v>
      </c>
      <c r="J427" s="57">
        <f t="shared" si="31"/>
        <v>4.4502314814814842E-2</v>
      </c>
      <c r="K427" s="129">
        <f t="shared" si="32"/>
        <v>0.70496527777777784</v>
      </c>
      <c r="L427" s="8"/>
      <c r="M427" s="8"/>
      <c r="N427" s="57">
        <v>3.9699074074074072E-3</v>
      </c>
      <c r="O427" s="12"/>
      <c r="P427" s="16">
        <f t="shared" si="30"/>
        <v>1.0767230169050708</v>
      </c>
    </row>
    <row r="428" spans="1:16" ht="14.5">
      <c r="A428" s="142">
        <f t="shared" si="33"/>
        <v>427</v>
      </c>
      <c r="B428" s="142" t="str">
        <f>VLOOKUP(D428,Task!$B:$E,4,0)</f>
        <v>Task</v>
      </c>
      <c r="C428" s="150">
        <v>45827</v>
      </c>
      <c r="D428" s="130" t="s">
        <v>29</v>
      </c>
      <c r="E428" s="130">
        <v>14</v>
      </c>
      <c r="F428" s="57">
        <f>IFERROR(VLOOKUP($D428,Task!$B$1:$G$70,6,0)," ")</f>
        <v>2.0833333333333333E-3</v>
      </c>
      <c r="G428" s="9">
        <f t="shared" si="29"/>
        <v>2.9166666666666667E-2</v>
      </c>
      <c r="H428" s="9">
        <v>0.70155092592592594</v>
      </c>
      <c r="I428" s="59">
        <v>0.72763888888888884</v>
      </c>
      <c r="J428" s="57">
        <f t="shared" si="31"/>
        <v>2.6087962962962896E-2</v>
      </c>
      <c r="K428" s="129">
        <f t="shared" si="32"/>
        <v>0.73071759259259261</v>
      </c>
      <c r="L428" s="8"/>
      <c r="M428" s="8"/>
      <c r="N428" s="57"/>
      <c r="O428" s="12"/>
      <c r="P428" s="16">
        <f t="shared" si="30"/>
        <v>1.1180124223602512</v>
      </c>
    </row>
    <row r="429" spans="1:16" ht="14.5">
      <c r="A429" s="142">
        <f t="shared" si="33"/>
        <v>428</v>
      </c>
      <c r="B429" s="142" t="str">
        <f>VLOOKUP(D429,Task!$B:$E,4,0)</f>
        <v>Task</v>
      </c>
      <c r="C429" s="150">
        <v>45827</v>
      </c>
      <c r="D429" s="130" t="s">
        <v>29</v>
      </c>
      <c r="E429" s="130">
        <v>11</v>
      </c>
      <c r="F429" s="57">
        <f>IFERROR(VLOOKUP($D429,Task!$B$1:$G$70,6,0)," ")</f>
        <v>2.0833333333333333E-3</v>
      </c>
      <c r="G429" s="9">
        <f t="shared" si="29"/>
        <v>2.2916666666666665E-2</v>
      </c>
      <c r="H429" s="9">
        <v>0.72763888888888884</v>
      </c>
      <c r="I429" s="59">
        <v>0.75</v>
      </c>
      <c r="J429" s="57">
        <f t="shared" si="31"/>
        <v>2.2361111111111165E-2</v>
      </c>
      <c r="K429" s="129">
        <f t="shared" si="32"/>
        <v>0.75055555555555553</v>
      </c>
      <c r="L429" s="8"/>
      <c r="M429" s="8"/>
      <c r="N429" s="57"/>
      <c r="O429" s="12"/>
      <c r="P429" s="16">
        <f t="shared" si="30"/>
        <v>1.0248447204968918</v>
      </c>
    </row>
    <row r="430" spans="1:16" ht="14.5">
      <c r="A430" s="142">
        <f t="shared" si="33"/>
        <v>429</v>
      </c>
      <c r="B430" s="142" t="str">
        <f>VLOOKUP(D430,Task!$B:$E,4,0)</f>
        <v>Report</v>
      </c>
      <c r="C430" s="150">
        <v>45828</v>
      </c>
      <c r="D430" s="130" t="s">
        <v>18</v>
      </c>
      <c r="E430" s="130">
        <v>1</v>
      </c>
      <c r="F430" s="57">
        <f>IFERROR(VLOOKUP($D430,Task!$B$1:$G$70,6,0)," ")</f>
        <v>4.8611111111111112E-2</v>
      </c>
      <c r="G430" s="9">
        <f t="shared" si="29"/>
        <v>4.8611111111111112E-2</v>
      </c>
      <c r="H430" s="9">
        <v>0.38001157407407404</v>
      </c>
      <c r="I430" s="59">
        <v>0.47233796296296299</v>
      </c>
      <c r="J430" s="57">
        <f t="shared" si="31"/>
        <v>4.4178240740740796E-2</v>
      </c>
      <c r="K430" s="129">
        <f t="shared" si="32"/>
        <v>0.47677083333333331</v>
      </c>
      <c r="L430" s="8"/>
      <c r="M430" s="8"/>
      <c r="N430" s="57">
        <v>4.8148148148148148E-2</v>
      </c>
      <c r="O430" s="12"/>
      <c r="P430" s="16">
        <f t="shared" si="30"/>
        <v>1.1003405816085918</v>
      </c>
    </row>
    <row r="431" spans="1:16" ht="14.5">
      <c r="A431" s="142">
        <f t="shared" si="33"/>
        <v>430</v>
      </c>
      <c r="B431" s="142" t="str">
        <f>VLOOKUP(D431,Task!$B:$E,4,0)</f>
        <v>Report</v>
      </c>
      <c r="C431" s="150">
        <v>45828</v>
      </c>
      <c r="D431" s="130" t="s">
        <v>18</v>
      </c>
      <c r="E431" s="130">
        <v>1</v>
      </c>
      <c r="F431" s="57">
        <f>IFERROR(VLOOKUP($D431,Task!$B$1:$G$70,6,0)," ")</f>
        <v>4.8611111111111112E-2</v>
      </c>
      <c r="G431" s="9">
        <f t="shared" si="29"/>
        <v>4.8611111111111112E-2</v>
      </c>
      <c r="H431" s="9">
        <v>0.47233796296296299</v>
      </c>
      <c r="I431" s="59">
        <v>0.51652777777777781</v>
      </c>
      <c r="J431" s="57">
        <f t="shared" si="31"/>
        <v>4.4189814814814821E-2</v>
      </c>
      <c r="K431" s="129">
        <f t="shared" si="32"/>
        <v>0.52094907407407409</v>
      </c>
      <c r="L431" s="8"/>
      <c r="M431" s="8"/>
      <c r="N431" s="57"/>
      <c r="O431" s="12"/>
      <c r="P431" s="16">
        <f t="shared" si="30"/>
        <v>1.1000523834468308</v>
      </c>
    </row>
    <row r="432" spans="1:16" ht="14.5">
      <c r="A432" s="142">
        <f t="shared" si="33"/>
        <v>431</v>
      </c>
      <c r="B432" s="142" t="str">
        <f>VLOOKUP(D432,Task!$B:$E,4,0)</f>
        <v>report</v>
      </c>
      <c r="C432" s="150">
        <v>45828</v>
      </c>
      <c r="D432" s="130" t="s">
        <v>17</v>
      </c>
      <c r="E432" s="130">
        <v>1</v>
      </c>
      <c r="F432" s="57">
        <f>IFERROR(VLOOKUP($D432,Task!$B$1:$G$70,6,0)," ")</f>
        <v>2.0833333333333332E-2</v>
      </c>
      <c r="G432" s="9">
        <f t="shared" si="29"/>
        <v>2.0833333333333332E-2</v>
      </c>
      <c r="H432" s="9">
        <v>0.51652777777777781</v>
      </c>
      <c r="I432" s="59">
        <v>0.53546296296296292</v>
      </c>
      <c r="J432" s="57">
        <f t="shared" si="31"/>
        <v>1.8935185185185111E-2</v>
      </c>
      <c r="K432" s="129">
        <f t="shared" si="32"/>
        <v>0.53736111111111118</v>
      </c>
      <c r="L432" s="8"/>
      <c r="M432" s="8"/>
      <c r="N432" s="57"/>
      <c r="O432" s="12"/>
      <c r="P432" s="16">
        <f t="shared" si="30"/>
        <v>1.1002444987775104</v>
      </c>
    </row>
    <row r="433" spans="1:16" ht="14.5">
      <c r="A433" s="142">
        <f t="shared" si="33"/>
        <v>432</v>
      </c>
      <c r="B433" s="142" t="str">
        <f>VLOOKUP(D433,Task!$B:$E,4,0)</f>
        <v>Task</v>
      </c>
      <c r="C433" s="150">
        <v>45828</v>
      </c>
      <c r="D433" s="130" t="s">
        <v>29</v>
      </c>
      <c r="E433" s="130">
        <v>31</v>
      </c>
      <c r="F433" s="57">
        <f>IFERROR(VLOOKUP($D433,Task!$B$1:$G$70,6,0)," ")</f>
        <v>2.0833333333333333E-3</v>
      </c>
      <c r="G433" s="9">
        <f t="shared" si="29"/>
        <v>6.4583333333333326E-2</v>
      </c>
      <c r="H433" s="9">
        <v>0.53546296296296292</v>
      </c>
      <c r="I433" s="59">
        <v>0.59415509259259258</v>
      </c>
      <c r="J433" s="57">
        <f t="shared" si="31"/>
        <v>5.8692129629629664E-2</v>
      </c>
      <c r="K433" s="129">
        <f t="shared" si="32"/>
        <v>0.60004629629629624</v>
      </c>
      <c r="L433" s="8"/>
      <c r="M433" s="8"/>
      <c r="N433" s="57"/>
      <c r="O433" s="12"/>
      <c r="P433" s="16">
        <f t="shared" si="30"/>
        <v>1.1003746795503837</v>
      </c>
    </row>
    <row r="434" spans="1:16" ht="14.5">
      <c r="A434" s="142">
        <f t="shared" si="33"/>
        <v>433</v>
      </c>
      <c r="B434" s="142" t="str">
        <f>VLOOKUP(D434,Task!$B:$E,4,0)</f>
        <v>Task</v>
      </c>
      <c r="C434" s="150">
        <v>45828</v>
      </c>
      <c r="D434" s="130" t="s">
        <v>29</v>
      </c>
      <c r="E434" s="130">
        <v>43</v>
      </c>
      <c r="F434" s="57">
        <f>IFERROR(VLOOKUP($D434,Task!$B$1:$G$70,6,0)," ")</f>
        <v>2.0833333333333333E-3</v>
      </c>
      <c r="G434" s="9">
        <f t="shared" si="29"/>
        <v>8.9583333333333334E-2</v>
      </c>
      <c r="H434" s="9">
        <v>0.59415509259259258</v>
      </c>
      <c r="I434" s="59">
        <v>0.67847222222222225</v>
      </c>
      <c r="J434" s="57">
        <f t="shared" si="31"/>
        <v>8.4317129629629672E-2</v>
      </c>
      <c r="K434" s="129">
        <f t="shared" si="32"/>
        <v>0.68373842592592593</v>
      </c>
      <c r="L434" s="8"/>
      <c r="M434" s="8"/>
      <c r="N434" s="57"/>
      <c r="O434" s="12"/>
      <c r="P434" s="16">
        <f t="shared" si="30"/>
        <v>1.0624571036376109</v>
      </c>
    </row>
    <row r="435" spans="1:16" ht="14.5">
      <c r="A435" s="142">
        <f t="shared" si="33"/>
        <v>434</v>
      </c>
      <c r="B435" s="142" t="str">
        <f>VLOOKUP(D435,Task!$B:$E,4,0)</f>
        <v>Report</v>
      </c>
      <c r="C435" s="150">
        <v>45831</v>
      </c>
      <c r="D435" s="130" t="s">
        <v>30</v>
      </c>
      <c r="E435" s="130">
        <v>2</v>
      </c>
      <c r="F435" s="57">
        <f>IFERROR(VLOOKUP($D435,Task!$B$1:$G$70,6,0)," ")</f>
        <v>4.8611111111111112E-2</v>
      </c>
      <c r="G435" s="9">
        <f t="shared" si="29"/>
        <v>9.7222222222222224E-2</v>
      </c>
      <c r="H435" s="9">
        <v>0.37700231481481483</v>
      </c>
      <c r="I435" s="59">
        <v>0.4917361111111111</v>
      </c>
      <c r="J435" s="57">
        <f t="shared" si="31"/>
        <v>8.8518518518518483E-2</v>
      </c>
      <c r="K435" s="129">
        <f t="shared" si="32"/>
        <v>0.50043981481481481</v>
      </c>
      <c r="L435" s="8"/>
      <c r="M435" s="8"/>
      <c r="N435" s="57">
        <v>2.6215277777777778E-2</v>
      </c>
      <c r="O435" s="12"/>
      <c r="P435" s="16">
        <f t="shared" si="30"/>
        <v>1.0983263598326365</v>
      </c>
    </row>
    <row r="436" spans="1:16" ht="14.5">
      <c r="A436" s="142">
        <f t="shared" si="33"/>
        <v>435</v>
      </c>
      <c r="B436" s="142" t="str">
        <f>VLOOKUP(D436,Task!$B:$E,4,0)</f>
        <v>Task</v>
      </c>
      <c r="C436" s="150">
        <v>45831</v>
      </c>
      <c r="D436" s="130" t="s">
        <v>29</v>
      </c>
      <c r="E436" s="130">
        <v>53</v>
      </c>
      <c r="F436" s="57">
        <f>IFERROR(VLOOKUP($D436,Task!$B$1:$G$70,6,0)," ")</f>
        <v>2.0833333333333333E-3</v>
      </c>
      <c r="G436" s="9">
        <f t="shared" si="29"/>
        <v>0.11041666666666666</v>
      </c>
      <c r="H436" s="9">
        <v>0.4917361111111111</v>
      </c>
      <c r="I436" s="59">
        <v>0.59179398148148143</v>
      </c>
      <c r="J436" s="57">
        <f t="shared" si="31"/>
        <v>0.10005787037037034</v>
      </c>
      <c r="K436" s="129">
        <f t="shared" si="32"/>
        <v>0.60215277777777776</v>
      </c>
      <c r="L436" s="8"/>
      <c r="M436" s="8"/>
      <c r="N436" s="57"/>
      <c r="O436" s="12"/>
      <c r="P436" s="16">
        <f t="shared" si="30"/>
        <v>1.1035280508964722</v>
      </c>
    </row>
    <row r="437" spans="1:16" ht="14.5">
      <c r="A437" s="142">
        <f t="shared" si="33"/>
        <v>436</v>
      </c>
      <c r="B437" s="142" t="str">
        <f>VLOOKUP(D437,Task!$B:$E,4,0)</f>
        <v>Task</v>
      </c>
      <c r="C437" s="150">
        <v>45831</v>
      </c>
      <c r="D437" s="130" t="s">
        <v>19</v>
      </c>
      <c r="E437" s="130">
        <v>20</v>
      </c>
      <c r="F437" s="57">
        <f>IFERROR(VLOOKUP($D437,Task!$B$1:$G$70,6,0)," ")</f>
        <v>2.7777777777777779E-3</v>
      </c>
      <c r="G437" s="9">
        <f t="shared" ref="G437:G439" si="34">IFERROR(F437*E437," ")</f>
        <v>5.5555555555555559E-2</v>
      </c>
      <c r="H437" s="9">
        <v>0.59179398148148143</v>
      </c>
      <c r="I437" s="59">
        <v>0.64725694444444448</v>
      </c>
      <c r="J437" s="57">
        <f t="shared" si="31"/>
        <v>5.049768518518527E-2</v>
      </c>
      <c r="K437" s="129">
        <f t="shared" si="32"/>
        <v>0.65231481481481479</v>
      </c>
      <c r="L437" s="8"/>
      <c r="M437" s="8"/>
      <c r="N437" s="57">
        <v>4.9652777777777777E-3</v>
      </c>
      <c r="O437" s="12"/>
      <c r="P437" s="16">
        <f t="shared" si="30"/>
        <v>1.1001604400641742</v>
      </c>
    </row>
    <row r="438" spans="1:16" ht="14.5">
      <c r="A438" s="142">
        <f t="shared" si="33"/>
        <v>437</v>
      </c>
      <c r="B438" s="142" t="str">
        <f>VLOOKUP(D438,Task!$B:$E,4,0)</f>
        <v>Task</v>
      </c>
      <c r="C438" s="150">
        <v>45831</v>
      </c>
      <c r="D438" s="130" t="s">
        <v>19</v>
      </c>
      <c r="E438" s="130">
        <v>30</v>
      </c>
      <c r="F438" s="57">
        <f>IFERROR(VLOOKUP($D438,Task!$B$1:$G$70,6,0)," ")</f>
        <v>2.7777777777777779E-3</v>
      </c>
      <c r="G438" s="9">
        <f t="shared" si="34"/>
        <v>8.3333333333333343E-2</v>
      </c>
      <c r="H438" s="9">
        <v>0.64725694444444448</v>
      </c>
      <c r="I438" s="59">
        <v>0.7365856481481482</v>
      </c>
      <c r="J438" s="57">
        <f t="shared" si="31"/>
        <v>7.4386574074074091E-2</v>
      </c>
      <c r="K438" s="129">
        <f t="shared" si="32"/>
        <v>0.74553240740740745</v>
      </c>
      <c r="L438" s="8"/>
      <c r="M438" s="8"/>
      <c r="N438" s="57">
        <v>1.494212962962963E-2</v>
      </c>
      <c r="O438" s="12"/>
      <c r="P438" s="16">
        <f t="shared" si="30"/>
        <v>1.1202738447175975</v>
      </c>
    </row>
    <row r="439" spans="1:16" ht="14.5">
      <c r="A439" s="142">
        <f t="shared" si="33"/>
        <v>438</v>
      </c>
      <c r="B439" s="142" t="str">
        <f>VLOOKUP(D439,Task!$B:$E,4,0)</f>
        <v>Task</v>
      </c>
      <c r="C439" s="150">
        <v>45831</v>
      </c>
      <c r="D439" s="130" t="s">
        <v>19</v>
      </c>
      <c r="E439" s="130">
        <v>9</v>
      </c>
      <c r="F439" s="57">
        <f>IFERROR(VLOOKUP($D439,Task!$B$1:$G$70,6,0)," ")</f>
        <v>2.7777777777777779E-3</v>
      </c>
      <c r="G439" s="9">
        <f t="shared" si="34"/>
        <v>2.5000000000000001E-2</v>
      </c>
      <c r="H439" s="59">
        <v>0.7365856481481482</v>
      </c>
      <c r="I439" s="59">
        <v>0.75842475694662426</v>
      </c>
      <c r="J439" s="57">
        <f t="shared" si="31"/>
        <v>2.1839108798476059E-2</v>
      </c>
      <c r="K439" s="129">
        <f t="shared" si="32"/>
        <v>0.76158564814814822</v>
      </c>
      <c r="L439" s="8"/>
      <c r="M439" s="8"/>
      <c r="N439" s="57"/>
      <c r="O439" s="12"/>
      <c r="P439" s="16">
        <f t="shared" si="30"/>
        <v>1.1447353566801457</v>
      </c>
    </row>
  </sheetData>
  <autoFilter ref="A1:X439" xr:uid="{271F3AE1-86B2-462A-AA31-BA57912EE457}"/>
  <conditionalFormatting sqref="P2:P439">
    <cfRule type="expression" dxfId="6" priority="1">
      <formula>C2=TODAY()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90E5A572-2766-497A-9488-88AF15966593}">
          <x14:formula1>
            <xm:f>Task!$B$2:$B$70</xm:f>
          </x14:formula1>
          <xm:sqref>D372:D439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244D-7302-42B9-BE50-FF1B7D992D72}">
  <dimension ref="A3:D30"/>
  <sheetViews>
    <sheetView workbookViewId="0">
      <selection activeCell="A3" sqref="A3"/>
    </sheetView>
  </sheetViews>
  <sheetFormatPr defaultRowHeight="12.5"/>
  <cols>
    <col min="1" max="1" width="37.90625" bestFit="1" customWidth="1"/>
    <col min="2" max="2" width="13.7265625" bestFit="1" customWidth="1"/>
    <col min="3" max="3" width="21.54296875" bestFit="1" customWidth="1"/>
    <col min="4" max="4" width="19.453125" bestFit="1" customWidth="1"/>
  </cols>
  <sheetData>
    <row r="3" spans="1:4">
      <c r="A3" s="152" t="s">
        <v>280</v>
      </c>
      <c r="B3" s="151" t="s">
        <v>282</v>
      </c>
      <c r="C3" s="160" t="s">
        <v>283</v>
      </c>
      <c r="D3" s="156" t="s">
        <v>284</v>
      </c>
    </row>
    <row r="4" spans="1:4">
      <c r="A4" s="153" t="s">
        <v>28</v>
      </c>
      <c r="B4" s="157">
        <v>459</v>
      </c>
      <c r="C4" s="161">
        <v>0.6168287037037038</v>
      </c>
      <c r="D4" s="164">
        <v>1.0293946924569317</v>
      </c>
    </row>
    <row r="5" spans="1:4">
      <c r="A5" s="154" t="s">
        <v>19</v>
      </c>
      <c r="B5" s="159">
        <v>144</v>
      </c>
      <c r="C5" s="162">
        <v>0.39688657407407407</v>
      </c>
      <c r="D5" s="165">
        <v>1.0389271611076336</v>
      </c>
    </row>
    <row r="6" spans="1:4">
      <c r="A6" s="154" t="s">
        <v>36</v>
      </c>
      <c r="B6" s="159">
        <v>123</v>
      </c>
      <c r="C6" s="162">
        <v>8.1030092592592598E-2</v>
      </c>
      <c r="D6" s="165">
        <v>1.0629938314021277</v>
      </c>
    </row>
    <row r="7" spans="1:4">
      <c r="A7" s="154" t="s">
        <v>49</v>
      </c>
      <c r="B7" s="159">
        <v>12</v>
      </c>
      <c r="C7" s="162">
        <v>4.2465277777777775E-2</v>
      </c>
      <c r="D7" s="165">
        <v>0.98119378577269056</v>
      </c>
    </row>
    <row r="8" spans="1:4">
      <c r="A8" s="154" t="s">
        <v>46</v>
      </c>
      <c r="B8" s="159">
        <v>206</v>
      </c>
      <c r="C8" s="162">
        <v>0.64719907407407407</v>
      </c>
      <c r="D8" s="165">
        <v>1.1058569221384129</v>
      </c>
    </row>
    <row r="9" spans="1:4">
      <c r="A9" s="154" t="s">
        <v>38</v>
      </c>
      <c r="B9" s="159">
        <v>426</v>
      </c>
      <c r="C9" s="162">
        <v>1.0783796296296295</v>
      </c>
      <c r="D9" s="165">
        <v>1.0834722392647935</v>
      </c>
    </row>
    <row r="10" spans="1:4">
      <c r="A10" s="154" t="s">
        <v>52</v>
      </c>
      <c r="B10" s="159">
        <v>9</v>
      </c>
      <c r="C10" s="162">
        <v>8.4247685185185189E-2</v>
      </c>
      <c r="D10" s="165">
        <v>1.1097527842272925</v>
      </c>
    </row>
    <row r="11" spans="1:4">
      <c r="A11" s="154" t="s">
        <v>51</v>
      </c>
      <c r="B11" s="159">
        <v>9</v>
      </c>
      <c r="C11" s="162">
        <v>8.4421296296296286E-2</v>
      </c>
      <c r="D11" s="165">
        <v>1.1095509377005581</v>
      </c>
    </row>
    <row r="12" spans="1:4">
      <c r="A12" s="154" t="s">
        <v>53</v>
      </c>
      <c r="B12" s="159">
        <v>9</v>
      </c>
      <c r="C12" s="162">
        <v>8.5532407407407418E-2</v>
      </c>
      <c r="D12" s="165">
        <v>1.0931647742408992</v>
      </c>
    </row>
    <row r="13" spans="1:4">
      <c r="A13" s="154" t="s">
        <v>50</v>
      </c>
      <c r="B13" s="159">
        <v>9</v>
      </c>
      <c r="C13" s="162">
        <v>8.5486111111111096E-2</v>
      </c>
      <c r="D13" s="165">
        <v>1.1015941195743542</v>
      </c>
    </row>
    <row r="14" spans="1:4">
      <c r="A14" s="154" t="s">
        <v>57</v>
      </c>
      <c r="B14" s="159">
        <v>7</v>
      </c>
      <c r="C14" s="162">
        <v>1.7314814814814814E-2</v>
      </c>
      <c r="D14" s="165">
        <v>1.1229946524064192</v>
      </c>
    </row>
    <row r="15" spans="1:4">
      <c r="A15" s="154" t="s">
        <v>67</v>
      </c>
      <c r="B15" s="159">
        <v>330</v>
      </c>
      <c r="C15" s="162">
        <v>0.43277777777777771</v>
      </c>
      <c r="D15" s="165">
        <v>1.0627565707662083</v>
      </c>
    </row>
    <row r="16" spans="1:4">
      <c r="A16" s="154" t="s">
        <v>18</v>
      </c>
      <c r="B16" s="159">
        <v>34</v>
      </c>
      <c r="C16" s="162">
        <v>1.5222222222222219</v>
      </c>
      <c r="D16" s="165">
        <v>1.0865938537774316</v>
      </c>
    </row>
    <row r="17" spans="1:4">
      <c r="A17" s="154" t="s">
        <v>16</v>
      </c>
      <c r="B17" s="159">
        <v>368</v>
      </c>
      <c r="C17" s="162">
        <v>1.929791666666667</v>
      </c>
      <c r="D17" s="165">
        <v>1.0625898638962084</v>
      </c>
    </row>
    <row r="18" spans="1:4">
      <c r="A18" s="154" t="s">
        <v>30</v>
      </c>
      <c r="B18" s="159">
        <v>12</v>
      </c>
      <c r="C18" s="162">
        <v>0.55288194444444438</v>
      </c>
      <c r="D18" s="165">
        <v>1.057974923165711</v>
      </c>
    </row>
    <row r="19" spans="1:4">
      <c r="A19" s="154" t="s">
        <v>65</v>
      </c>
      <c r="B19" s="159">
        <v>3</v>
      </c>
      <c r="C19" s="162">
        <v>5.631944444444445E-2</v>
      </c>
      <c r="D19" s="165">
        <v>1.1099103422727155</v>
      </c>
    </row>
    <row r="20" spans="1:4">
      <c r="A20" s="154" t="s">
        <v>63</v>
      </c>
      <c r="B20" s="159">
        <v>2</v>
      </c>
      <c r="C20" s="162">
        <v>8.369212962962963E-2</v>
      </c>
      <c r="D20" s="165">
        <v>1.0799287177887069</v>
      </c>
    </row>
    <row r="21" spans="1:4">
      <c r="A21" s="154" t="s">
        <v>48</v>
      </c>
      <c r="B21" s="159">
        <v>259</v>
      </c>
      <c r="C21" s="162">
        <v>0.42247685185185185</v>
      </c>
      <c r="D21" s="165">
        <v>1.060634809428292</v>
      </c>
    </row>
    <row r="22" spans="1:4">
      <c r="A22" s="154" t="s">
        <v>37</v>
      </c>
      <c r="B22" s="159">
        <v>268</v>
      </c>
      <c r="C22" s="162">
        <v>0.34957175925925926</v>
      </c>
      <c r="D22" s="165">
        <v>1.0633984143132458</v>
      </c>
    </row>
    <row r="23" spans="1:4">
      <c r="A23" s="154" t="s">
        <v>20</v>
      </c>
      <c r="B23" s="159">
        <v>576</v>
      </c>
      <c r="C23" s="162">
        <v>1.1082060185185185</v>
      </c>
      <c r="D23" s="165">
        <v>1.0832333285789251</v>
      </c>
    </row>
    <row r="24" spans="1:4">
      <c r="A24" s="154" t="s">
        <v>44</v>
      </c>
      <c r="B24" s="159">
        <v>75</v>
      </c>
      <c r="C24" s="162">
        <v>0.22744212962962962</v>
      </c>
      <c r="D24" s="165">
        <v>1.1449798992417688</v>
      </c>
    </row>
    <row r="25" spans="1:4">
      <c r="A25" s="154" t="s">
        <v>42</v>
      </c>
      <c r="B25" s="159">
        <v>16</v>
      </c>
      <c r="C25" s="162">
        <v>0.10347222222222223</v>
      </c>
      <c r="D25" s="165">
        <v>1.074321474737693</v>
      </c>
    </row>
    <row r="26" spans="1:4">
      <c r="A26" s="154" t="s">
        <v>54</v>
      </c>
      <c r="B26" s="159">
        <v>1</v>
      </c>
      <c r="C26" s="162">
        <v>1.8576388888888889E-2</v>
      </c>
      <c r="D26" s="165">
        <v>1.1214953271028094</v>
      </c>
    </row>
    <row r="27" spans="1:4">
      <c r="A27" s="154" t="s">
        <v>56</v>
      </c>
      <c r="B27" s="159">
        <v>1</v>
      </c>
      <c r="C27" s="162">
        <v>3.8078703703703705E-2</v>
      </c>
      <c r="D27" s="165">
        <v>1.0942249240121582</v>
      </c>
    </row>
    <row r="28" spans="1:4">
      <c r="A28" s="154" t="s">
        <v>43</v>
      </c>
      <c r="B28" s="159">
        <v>16</v>
      </c>
      <c r="C28" s="162">
        <v>0.50981481481481483</v>
      </c>
      <c r="D28" s="165">
        <v>1.0923387848720729</v>
      </c>
    </row>
    <row r="29" spans="1:4">
      <c r="A29" s="154" t="s">
        <v>27</v>
      </c>
      <c r="B29" s="159">
        <v>218</v>
      </c>
      <c r="C29" s="162">
        <v>0.27449074074074076</v>
      </c>
      <c r="D29" s="165">
        <v>1.0885530632903524</v>
      </c>
    </row>
    <row r="30" spans="1:4">
      <c r="A30" s="155" t="s">
        <v>281</v>
      </c>
      <c r="B30" s="158">
        <v>3592</v>
      </c>
      <c r="C30" s="163">
        <v>10.84960648148148</v>
      </c>
      <c r="D30" s="166">
        <v>1.0798145669745658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FFE7-DEAE-4C03-96AE-ED0BE78F66B2}">
  <dimension ref="A1:N88"/>
  <sheetViews>
    <sheetView tabSelected="1" workbookViewId="0">
      <selection activeCell="A4" sqref="A4"/>
    </sheetView>
  </sheetViews>
  <sheetFormatPr defaultRowHeight="12.5"/>
  <cols>
    <col min="1" max="1" width="9.26953125" bestFit="1" customWidth="1"/>
    <col min="2" max="2" width="10.453125" bestFit="1" customWidth="1"/>
    <col min="3" max="3" width="11.26953125" bestFit="1" customWidth="1"/>
    <col min="4" max="4" width="17.54296875" bestFit="1" customWidth="1"/>
    <col min="5" max="5" width="21.26953125" bestFit="1" customWidth="1"/>
    <col min="6" max="6" width="14.54296875" bestFit="1" customWidth="1"/>
    <col min="7" max="7" width="12.453125" bestFit="1" customWidth="1"/>
    <col min="9" max="9" width="6.7265625" bestFit="1" customWidth="1"/>
    <col min="10" max="10" width="9.90625" bestFit="1" customWidth="1"/>
    <col min="11" max="11" width="11.1796875" bestFit="1" customWidth="1"/>
    <col min="12" max="12" width="13.453125" customWidth="1"/>
    <col min="13" max="13" width="11.1796875" bestFit="1" customWidth="1"/>
    <col min="14" max="14" width="13.81640625" bestFit="1" customWidth="1"/>
  </cols>
  <sheetData>
    <row r="1" spans="1:14">
      <c r="B1" s="147" t="s">
        <v>272</v>
      </c>
      <c r="C1" s="146"/>
      <c r="D1" s="146"/>
      <c r="E1" s="146"/>
      <c r="F1" s="146"/>
      <c r="G1" s="146"/>
      <c r="H1" s="139">
        <v>0.3263888888888889</v>
      </c>
    </row>
    <row r="2" spans="1:14" ht="13.5" thickBot="1">
      <c r="A2" s="141" t="s">
        <v>273</v>
      </c>
      <c r="B2" s="1" t="s">
        <v>0</v>
      </c>
      <c r="C2" s="141" t="s">
        <v>166</v>
      </c>
      <c r="D2" s="141" t="s">
        <v>270</v>
      </c>
      <c r="E2" s="141" t="s">
        <v>271</v>
      </c>
      <c r="F2" s="141" t="s">
        <v>13</v>
      </c>
      <c r="G2" s="141" t="s">
        <v>269</v>
      </c>
      <c r="I2" s="180" t="s">
        <v>285</v>
      </c>
      <c r="J2" s="182"/>
      <c r="K2" s="182"/>
      <c r="L2" s="182"/>
      <c r="M2" s="182"/>
      <c r="N2" s="182"/>
    </row>
    <row r="3" spans="1:14" ht="14.5">
      <c r="A3" s="142">
        <v>1</v>
      </c>
      <c r="B3" s="149">
        <v>45659</v>
      </c>
      <c r="C3" s="142">
        <f>SUMIF('2025'!$C:$C,Sheet1!$B3,'2025'!$E:$E)</f>
        <v>78</v>
      </c>
      <c r="D3" s="143">
        <f>SUMIF('2025'!$C:$C,Sheet1!$B3,'2025'!$J:$J)</f>
        <v>0.30892361111111105</v>
      </c>
      <c r="E3" s="143">
        <f>IF($H$1&gt;D3,$H$1-D3,0)</f>
        <v>1.7465277777777843E-2</v>
      </c>
      <c r="F3" s="144">
        <f>D3/$H$1</f>
        <v>0.9464893617021275</v>
      </c>
      <c r="G3" s="145">
        <f>AVERAGEIF('2025'!$C:$C,Sheet1!$B3,'2025'!$P:$P)</f>
        <v>1.1119442456365989</v>
      </c>
      <c r="I3" s="170"/>
      <c r="J3" s="171" t="s">
        <v>166</v>
      </c>
      <c r="K3" s="171" t="s">
        <v>13</v>
      </c>
      <c r="L3" s="171" t="s">
        <v>269</v>
      </c>
      <c r="M3" s="171" t="s">
        <v>278</v>
      </c>
      <c r="N3" s="172" t="s">
        <v>279</v>
      </c>
    </row>
    <row r="4" spans="1:14" ht="14.5">
      <c r="A4" s="142">
        <f>A3+1</f>
        <v>2</v>
      </c>
      <c r="B4" s="150">
        <v>45660</v>
      </c>
      <c r="C4" s="142">
        <f>SUMIF('2025'!$C:$C,Sheet1!$B4,'2025'!$E:$E)</f>
        <v>89</v>
      </c>
      <c r="D4" s="143">
        <f>SUMIF('2025'!$C:$C,Sheet1!$B4,'2025'!$J:$J)</f>
        <v>0.3217054629585645</v>
      </c>
      <c r="E4" s="143">
        <f t="shared" ref="E4:E67" si="0">IF($H$1&gt;D4,$H$1-D4,0)</f>
        <v>4.6834259303243919E-3</v>
      </c>
      <c r="F4" s="144">
        <f t="shared" ref="F4:F67" si="1">D4/$H$1</f>
        <v>0.98565078012836782</v>
      </c>
      <c r="G4" s="145">
        <f>AVERAGEIF('2025'!$C:$C,Sheet1!$B4,'2025'!$P:$P)</f>
        <v>1.1012522247673595</v>
      </c>
      <c r="I4" s="173" t="s">
        <v>276</v>
      </c>
      <c r="J4" s="167">
        <f>MAX($C$3:$C$88)</f>
        <v>192</v>
      </c>
      <c r="K4" s="168">
        <f>MAX($F$3:$F$88)</f>
        <v>1.0517483333303057</v>
      </c>
      <c r="L4" s="168">
        <f>MAX($G$3:$G$88)</f>
        <v>1.1502209676449677</v>
      </c>
      <c r="M4" s="169">
        <f>MAX($D$3:$D$88)</f>
        <v>0.34327896990641926</v>
      </c>
      <c r="N4" s="174">
        <f>MAX($E$3:$E$88)</f>
        <v>0.28309027777777784</v>
      </c>
    </row>
    <row r="5" spans="1:14" ht="15" thickBot="1">
      <c r="A5" s="142">
        <f t="shared" ref="A5:A68" si="2">A4+1</f>
        <v>3</v>
      </c>
      <c r="B5" s="150">
        <v>45663</v>
      </c>
      <c r="C5" s="142">
        <f>SUMIF('2025'!$C:$C,Sheet1!$B5,'2025'!$E:$E)</f>
        <v>157</v>
      </c>
      <c r="D5" s="143">
        <f>SUMIF('2025'!$C:$C,Sheet1!$B5,'2025'!$J:$J)</f>
        <v>0.29184027777777777</v>
      </c>
      <c r="E5" s="143">
        <f t="shared" si="0"/>
        <v>3.4548611111111127E-2</v>
      </c>
      <c r="F5" s="144">
        <f t="shared" si="1"/>
        <v>0.89414893617021274</v>
      </c>
      <c r="G5" s="145">
        <f>AVERAGEIF('2025'!$C:$C,Sheet1!$B5,'2025'!$P:$P)</f>
        <v>1.0538161550888792</v>
      </c>
      <c r="I5" s="175" t="s">
        <v>277</v>
      </c>
      <c r="J5" s="176">
        <f>MIN($C$3:$C$88)</f>
        <v>1</v>
      </c>
      <c r="K5" s="177">
        <f>MIN($F$3:$F$88)</f>
        <v>0.13265957446808491</v>
      </c>
      <c r="L5" s="177">
        <f>MIN($G$3:$G$88)</f>
        <v>1.0206922568803092</v>
      </c>
      <c r="M5" s="178">
        <f>MIN($D$3:$D$88)</f>
        <v>4.3298611111111045E-2</v>
      </c>
      <c r="N5" s="179">
        <f>MIN($E$3:$E$88)</f>
        <v>0</v>
      </c>
    </row>
    <row r="6" spans="1:14" ht="14.5">
      <c r="A6" s="142">
        <f t="shared" si="2"/>
        <v>4</v>
      </c>
      <c r="B6" s="150">
        <v>45664</v>
      </c>
      <c r="C6" s="142">
        <f>SUMIF('2025'!$C:$C,Sheet1!$B6,'2025'!$E:$E)</f>
        <v>121</v>
      </c>
      <c r="D6" s="143">
        <f>SUMIF('2025'!$C:$C,Sheet1!$B6,'2025'!$J:$J)</f>
        <v>0.28886443286573643</v>
      </c>
      <c r="E6" s="143">
        <f t="shared" si="0"/>
        <v>3.7524456023152464E-2</v>
      </c>
      <c r="F6" s="144">
        <f t="shared" si="1"/>
        <v>0.88503145388651161</v>
      </c>
      <c r="G6" s="145">
        <f>AVERAGEIF('2025'!$C:$C,Sheet1!$B6,'2025'!$P:$P)</f>
        <v>1.0657392886123862</v>
      </c>
    </row>
    <row r="7" spans="1:14" ht="15" thickBot="1">
      <c r="A7" s="142">
        <f t="shared" si="2"/>
        <v>5</v>
      </c>
      <c r="B7" s="150">
        <v>45665</v>
      </c>
      <c r="C7" s="142">
        <f>SUMIF('2025'!$C:$C,Sheet1!$B7,'2025'!$E:$E)</f>
        <v>175</v>
      </c>
      <c r="D7" s="143">
        <f>SUMIF('2025'!$C:$C,Sheet1!$B7,'2025'!$J:$J)</f>
        <v>0.3142361111111111</v>
      </c>
      <c r="E7" s="143">
        <f t="shared" si="0"/>
        <v>1.215277777777779E-2</v>
      </c>
      <c r="F7" s="144">
        <f t="shared" si="1"/>
        <v>0.96276595744680848</v>
      </c>
      <c r="G7" s="145">
        <f>AVERAGEIF('2025'!$C:$C,Sheet1!$B7,'2025'!$P:$P)</f>
        <v>1.0961630042282673</v>
      </c>
      <c r="I7" s="180" t="s">
        <v>286</v>
      </c>
      <c r="J7" s="182"/>
      <c r="K7" s="182"/>
      <c r="L7" s="182"/>
      <c r="M7" s="182"/>
      <c r="N7" s="182"/>
    </row>
    <row r="8" spans="1:14" ht="14.5">
      <c r="A8" s="142">
        <f t="shared" si="2"/>
        <v>6</v>
      </c>
      <c r="B8" s="150">
        <v>45666</v>
      </c>
      <c r="C8" s="142">
        <f>SUMIF('2025'!$C:$C,Sheet1!$B8,'2025'!$E:$E)</f>
        <v>49</v>
      </c>
      <c r="D8" s="143">
        <f>SUMIF('2025'!$C:$C,Sheet1!$B8,'2025'!$J:$J)</f>
        <v>0.28035879629629629</v>
      </c>
      <c r="E8" s="143">
        <f t="shared" si="0"/>
        <v>4.6030092592592609E-2</v>
      </c>
      <c r="F8" s="144">
        <f t="shared" si="1"/>
        <v>0.85897163120567366</v>
      </c>
      <c r="G8" s="145">
        <f>AVERAGEIF('2025'!$C:$C,Sheet1!$B8,'2025'!$P:$P)</f>
        <v>1.0883233580289871</v>
      </c>
      <c r="I8" s="170"/>
      <c r="J8" s="171" t="s">
        <v>166</v>
      </c>
      <c r="K8" s="171" t="s">
        <v>270</v>
      </c>
      <c r="L8" s="172" t="s">
        <v>271</v>
      </c>
      <c r="M8" s="171" t="s">
        <v>13</v>
      </c>
      <c r="N8" s="171" t="s">
        <v>269</v>
      </c>
    </row>
    <row r="9" spans="1:14" ht="14.5">
      <c r="A9" s="142">
        <f t="shared" si="2"/>
        <v>7</v>
      </c>
      <c r="B9" s="150">
        <v>45667</v>
      </c>
      <c r="C9" s="142">
        <f>SUMIF('2025'!$C:$C,Sheet1!$B9,'2025'!$E:$E)</f>
        <v>71</v>
      </c>
      <c r="D9" s="143">
        <f>SUMIF('2025'!$C:$C,Sheet1!$B9,'2025'!$J:$J)</f>
        <v>0.29127314814814803</v>
      </c>
      <c r="E9" s="143">
        <f t="shared" si="0"/>
        <v>3.5115740740740864E-2</v>
      </c>
      <c r="F9" s="144">
        <f t="shared" si="1"/>
        <v>0.8924113475177301</v>
      </c>
      <c r="G9" s="145">
        <f>AVERAGEIF('2025'!$C:$C,Sheet1!$B9,'2025'!$P:$P)</f>
        <v>1.0206922568803092</v>
      </c>
      <c r="I9" s="173" t="s">
        <v>276</v>
      </c>
      <c r="J9" s="167">
        <f>INDEX($B$3:$G$88,MATCH(MAX(C$3:C$88),C$3:C$88,0),MATCH(J$8,$B$2:$G$2,0))</f>
        <v>192</v>
      </c>
      <c r="K9" s="169">
        <f t="shared" ref="K9:N9" si="3">INDEX($B$3:$G$88,MATCH(MAX(D$3:D$88),D$3:D$88,0),MATCH(K$8,$B$2:$G$2,0))</f>
        <v>0.34327896990641926</v>
      </c>
      <c r="L9" s="169">
        <f t="shared" si="3"/>
        <v>0.28309027777777784</v>
      </c>
      <c r="M9" s="181">
        <f t="shared" si="3"/>
        <v>1.0517483333303057</v>
      </c>
      <c r="N9" s="181">
        <f t="shared" si="3"/>
        <v>1.1502209676449677</v>
      </c>
    </row>
    <row r="10" spans="1:14" ht="15" thickBot="1">
      <c r="A10" s="142">
        <f t="shared" si="2"/>
        <v>8</v>
      </c>
      <c r="B10" s="150">
        <v>45670</v>
      </c>
      <c r="C10" s="142">
        <f>SUMIF('2025'!$C:$C,Sheet1!$B10,'2025'!$E:$E)</f>
        <v>29</v>
      </c>
      <c r="D10" s="143">
        <f>SUMIF('2025'!$C:$C,Sheet1!$B10,'2025'!$J:$J)</f>
        <v>0.31266203703703699</v>
      </c>
      <c r="E10" s="143">
        <f t="shared" si="0"/>
        <v>1.3726851851851907E-2</v>
      </c>
      <c r="F10" s="144">
        <f t="shared" si="1"/>
        <v>0.95794326241134731</v>
      </c>
      <c r="G10" s="145">
        <f>AVERAGEIF('2025'!$C:$C,Sheet1!$B10,'2025'!$P:$P)</f>
        <v>1.0907161977250992</v>
      </c>
      <c r="I10" s="175" t="s">
        <v>277</v>
      </c>
      <c r="J10" s="167">
        <f>INDEX($B$3:$G$88,MATCH(MIN(C$3:C$88),C$3:C$88,0),MATCH(J$8,$B$2:$G$2,0))</f>
        <v>1</v>
      </c>
      <c r="K10" s="169">
        <f t="shared" ref="K10:N10" si="4">INDEX($B$3:$G$88,MATCH(MIN(D$3:D$88),D$3:D$88,0),MATCH(K$8,$B$2:$G$2,0))</f>
        <v>4.3298611111111045E-2</v>
      </c>
      <c r="L10" s="169">
        <f t="shared" si="4"/>
        <v>0</v>
      </c>
      <c r="M10" s="181">
        <f t="shared" si="4"/>
        <v>0.13265957446808491</v>
      </c>
      <c r="N10" s="181">
        <f t="shared" si="4"/>
        <v>1.0206922568803092</v>
      </c>
    </row>
    <row r="11" spans="1:14" ht="14.5">
      <c r="A11" s="142">
        <f t="shared" si="2"/>
        <v>9</v>
      </c>
      <c r="B11" s="150">
        <v>45671</v>
      </c>
      <c r="C11" s="142">
        <f>SUMIF('2025'!$C:$C,Sheet1!$B11,'2025'!$E:$E)</f>
        <v>87</v>
      </c>
      <c r="D11" s="143">
        <f>SUMIF('2025'!$C:$C,Sheet1!$B11,'2025'!$J:$J)</f>
        <v>0.29510416666666661</v>
      </c>
      <c r="E11" s="143">
        <f t="shared" si="0"/>
        <v>3.1284722222222283E-2</v>
      </c>
      <c r="F11" s="144">
        <f t="shared" si="1"/>
        <v>0.90414893617021264</v>
      </c>
      <c r="G11" s="145">
        <f>AVERAGEIF('2025'!$C:$C,Sheet1!$B11,'2025'!$P:$P)</f>
        <v>1.0908615229661107</v>
      </c>
      <c r="I11" s="148"/>
    </row>
    <row r="12" spans="1:14" ht="15" thickBot="1">
      <c r="A12" s="142">
        <f t="shared" si="2"/>
        <v>10</v>
      </c>
      <c r="B12" s="150">
        <v>45672</v>
      </c>
      <c r="C12" s="142">
        <f>SUMIF('2025'!$C:$C,Sheet1!$B12,'2025'!$E:$E)</f>
        <v>94</v>
      </c>
      <c r="D12" s="143">
        <f>SUMIF('2025'!$C:$C,Sheet1!$B12,'2025'!$J:$J)</f>
        <v>0.32134259259259257</v>
      </c>
      <c r="E12" s="143">
        <f t="shared" si="0"/>
        <v>5.0462962962963265E-3</v>
      </c>
      <c r="F12" s="144">
        <f t="shared" si="1"/>
        <v>0.98453900709219844</v>
      </c>
      <c r="G12" s="145">
        <f>AVERAGEIF('2025'!$C:$C,Sheet1!$B12,'2025'!$P:$P)</f>
        <v>1.1089729065389242</v>
      </c>
      <c r="I12" s="180" t="s">
        <v>287</v>
      </c>
      <c r="J12" s="182"/>
      <c r="K12" s="182"/>
      <c r="L12" s="182"/>
      <c r="M12" s="182"/>
      <c r="N12" s="182"/>
    </row>
    <row r="13" spans="1:14" ht="14.5">
      <c r="A13" s="142">
        <f t="shared" si="2"/>
        <v>11</v>
      </c>
      <c r="B13" s="150">
        <v>45673</v>
      </c>
      <c r="C13" s="142">
        <f>SUMIF('2025'!$C:$C,Sheet1!$B13,'2025'!$E:$E)</f>
        <v>73</v>
      </c>
      <c r="D13" s="143">
        <f>SUMIF('2025'!$C:$C,Sheet1!$B13,'2025'!$J:$J)</f>
        <v>0.32837962962962952</v>
      </c>
      <c r="E13" s="143">
        <f t="shared" si="0"/>
        <v>0</v>
      </c>
      <c r="F13" s="144">
        <f t="shared" si="1"/>
        <v>1.0060992907801416</v>
      </c>
      <c r="G13" s="145">
        <f>AVERAGEIF('2025'!$C:$C,Sheet1!$B13,'2025'!$P:$P)</f>
        <v>1.1027697055195802</v>
      </c>
      <c r="I13" s="170"/>
      <c r="J13" s="171" t="s">
        <v>166</v>
      </c>
      <c r="K13" s="171" t="s">
        <v>270</v>
      </c>
      <c r="L13" s="172" t="s">
        <v>271</v>
      </c>
      <c r="M13" s="171" t="s">
        <v>13</v>
      </c>
      <c r="N13" s="171" t="s">
        <v>269</v>
      </c>
    </row>
    <row r="14" spans="1:14" ht="14.5">
      <c r="A14" s="142">
        <f t="shared" si="2"/>
        <v>12</v>
      </c>
      <c r="B14" s="150">
        <v>45674</v>
      </c>
      <c r="C14" s="142">
        <f>SUMIF('2025'!$C:$C,Sheet1!$B14,'2025'!$E:$E)</f>
        <v>106</v>
      </c>
      <c r="D14" s="143">
        <f>SUMIF('2025'!$C:$C,Sheet1!$B14,'2025'!$J:$J)</f>
        <v>0.28652777777777777</v>
      </c>
      <c r="E14" s="143">
        <f t="shared" si="0"/>
        <v>3.9861111111111125E-2</v>
      </c>
      <c r="F14" s="144">
        <f t="shared" si="1"/>
        <v>0.87787234042553186</v>
      </c>
      <c r="G14" s="145">
        <f>AVERAGEIF('2025'!$C:$C,Sheet1!$B14,'2025'!$P:$P)</f>
        <v>1.1104706816827206</v>
      </c>
      <c r="I14" s="173" t="s">
        <v>276</v>
      </c>
      <c r="J14" s="183">
        <f>INDEX($B$3:$G$88,MATCH(MAX(C$3:C$88),C$3:C$88,0),1)</f>
        <v>45695</v>
      </c>
      <c r="K14" s="183">
        <f t="shared" ref="K14:N14" si="5">INDEX($B$3:$G$88,MATCH(MAX(D$3:D$88),D$3:D$88,0),1)</f>
        <v>45720</v>
      </c>
      <c r="L14" s="183">
        <f t="shared" si="5"/>
        <v>45716</v>
      </c>
      <c r="M14" s="183">
        <f t="shared" si="5"/>
        <v>45720</v>
      </c>
      <c r="N14" s="183">
        <f t="shared" si="5"/>
        <v>45770</v>
      </c>
    </row>
    <row r="15" spans="1:14" ht="15" thickBot="1">
      <c r="A15" s="142">
        <f t="shared" si="2"/>
        <v>13</v>
      </c>
      <c r="B15" s="150">
        <v>45677</v>
      </c>
      <c r="C15" s="142">
        <f>SUMIF('2025'!$C:$C,Sheet1!$B15,'2025'!$E:$E)</f>
        <v>159</v>
      </c>
      <c r="D15" s="143">
        <f>SUMIF('2025'!$C:$C,Sheet1!$B15,'2025'!$J:$J)</f>
        <v>0.32086805555555553</v>
      </c>
      <c r="E15" s="143">
        <f t="shared" si="0"/>
        <v>5.5208333333333637E-3</v>
      </c>
      <c r="F15" s="144">
        <f t="shared" si="1"/>
        <v>0.98308510638297864</v>
      </c>
      <c r="G15" s="145">
        <f>AVERAGEIF('2025'!$C:$C,Sheet1!$B15,'2025'!$P:$P)</f>
        <v>1.080534367251154</v>
      </c>
      <c r="I15" s="175" t="s">
        <v>277</v>
      </c>
      <c r="J15" s="183">
        <f>INDEX($B$3:$G$88,MATCH(MIN(C$3:C$88),C$3:C$88,0),1)</f>
        <v>45716</v>
      </c>
      <c r="K15" s="183">
        <f t="shared" ref="K15:N15" si="6">INDEX($B$3:$G$88,MATCH(MIN(D$3:D$88),D$3:D$88,0),1)</f>
        <v>45716</v>
      </c>
      <c r="L15" s="183">
        <f t="shared" si="6"/>
        <v>45673</v>
      </c>
      <c r="M15" s="183">
        <f t="shared" si="6"/>
        <v>45716</v>
      </c>
      <c r="N15" s="183">
        <f t="shared" si="6"/>
        <v>45667</v>
      </c>
    </row>
    <row r="16" spans="1:14" ht="14.5">
      <c r="A16" s="142">
        <f t="shared" si="2"/>
        <v>14</v>
      </c>
      <c r="B16" s="150">
        <v>45678</v>
      </c>
      <c r="C16" s="142">
        <f>SUMIF('2025'!$C:$C,Sheet1!$B16,'2025'!$E:$E)</f>
        <v>67</v>
      </c>
      <c r="D16" s="143">
        <f>SUMIF('2025'!$C:$C,Sheet1!$B16,'2025'!$J:$J)</f>
        <v>0.30196759259259259</v>
      </c>
      <c r="E16" s="143">
        <f t="shared" si="0"/>
        <v>2.4421296296296302E-2</v>
      </c>
      <c r="F16" s="144">
        <f t="shared" si="1"/>
        <v>0.92517730496453898</v>
      </c>
      <c r="G16" s="145">
        <f>AVERAGEIF('2025'!$C:$C,Sheet1!$B16,'2025'!$P:$P)</f>
        <v>1.0769273640488177</v>
      </c>
      <c r="I16" s="148"/>
      <c r="J16" s="140"/>
    </row>
    <row r="17" spans="1:14" ht="14.5">
      <c r="A17" s="142">
        <f t="shared" si="2"/>
        <v>15</v>
      </c>
      <c r="B17" s="150">
        <v>45679</v>
      </c>
      <c r="C17" s="142">
        <f>SUMIF('2025'!$C:$C,Sheet1!$B17,'2025'!$E:$E)</f>
        <v>168</v>
      </c>
      <c r="D17" s="143">
        <f>SUMIF('2025'!$C:$C,Sheet1!$B17,'2025'!$J:$J)</f>
        <v>0.33585648148148139</v>
      </c>
      <c r="E17" s="143">
        <f t="shared" si="0"/>
        <v>0</v>
      </c>
      <c r="F17" s="144">
        <f t="shared" si="1"/>
        <v>1.0290070921985812</v>
      </c>
      <c r="G17" s="145">
        <f>AVERAGEIF('2025'!$C:$C,Sheet1!$B17,'2025'!$P:$P)</f>
        <v>1.077286923408648</v>
      </c>
      <c r="I17" s="148"/>
      <c r="J17" s="186" t="s">
        <v>288</v>
      </c>
      <c r="K17" s="184"/>
      <c r="L17" s="184"/>
      <c r="M17" s="184"/>
      <c r="N17" s="185"/>
    </row>
    <row r="18" spans="1:14" ht="14.5">
      <c r="A18" s="142">
        <f t="shared" si="2"/>
        <v>16</v>
      </c>
      <c r="B18" s="150">
        <v>45680</v>
      </c>
      <c r="C18" s="142">
        <f>SUMIF('2025'!$C:$C,Sheet1!$B18,'2025'!$E:$E)</f>
        <v>103</v>
      </c>
      <c r="D18" s="143">
        <f>SUMIF('2025'!$C:$C,Sheet1!$B18,'2025'!$J:$J)</f>
        <v>0.25931712962962949</v>
      </c>
      <c r="E18" s="143">
        <f t="shared" si="0"/>
        <v>6.70717592592594E-2</v>
      </c>
      <c r="F18" s="144">
        <f t="shared" si="1"/>
        <v>0.7945035460992903</v>
      </c>
      <c r="G18" s="145">
        <f>AVERAGEIF('2025'!$C:$C,Sheet1!$B18,'2025'!$P:$P)</f>
        <v>1.0854153743148907</v>
      </c>
      <c r="J18" s="167">
        <f>VLOOKUP(J$14,$B$2:$G$88,MATCH(J$13,$B$2:$G$2,0),0)</f>
        <v>192</v>
      </c>
      <c r="K18" s="169">
        <f t="shared" ref="K17:N19" si="7">VLOOKUP(K$14,$B$2:$G$88,MATCH(K$13,$B$2:$G$2,0),0)</f>
        <v>0.34327896990641926</v>
      </c>
      <c r="L18" s="169">
        <f t="shared" si="7"/>
        <v>0.28309027777777784</v>
      </c>
      <c r="M18" s="181">
        <f t="shared" si="7"/>
        <v>1.0517483333303057</v>
      </c>
      <c r="N18" s="181">
        <f t="shared" si="7"/>
        <v>1.1502209676449677</v>
      </c>
    </row>
    <row r="19" spans="1:14" ht="14.5">
      <c r="A19" s="142">
        <f t="shared" si="2"/>
        <v>17</v>
      </c>
      <c r="B19" s="150">
        <v>45686</v>
      </c>
      <c r="C19" s="142">
        <f>SUMIF('2025'!$C:$C,Sheet1!$B19,'2025'!$E:$E)</f>
        <v>60</v>
      </c>
      <c r="D19" s="143">
        <f>SUMIF('2025'!$C:$C,Sheet1!$B19,'2025'!$J:$J)</f>
        <v>0.27457175925925925</v>
      </c>
      <c r="E19" s="143">
        <f t="shared" si="0"/>
        <v>5.1817129629629644E-2</v>
      </c>
      <c r="F19" s="144">
        <f t="shared" si="1"/>
        <v>0.84124113475177298</v>
      </c>
      <c r="G19" s="145">
        <f>AVERAGEIF('2025'!$C:$C,Sheet1!$B19,'2025'!$P:$P)</f>
        <v>1.0836807240918653</v>
      </c>
      <c r="I19" s="148"/>
      <c r="J19" s="167">
        <f>VLOOKUP(J$15,$B$2:$G$88,MATCH(J$13,$B$2:$G$2,0),0)</f>
        <v>1</v>
      </c>
      <c r="K19" s="169">
        <f t="shared" ref="K19:N19" si="8">VLOOKUP(K$15,$B$2:$G$88,MATCH(K$13,$B$2:$G$2,0),0)</f>
        <v>4.3298611111111045E-2</v>
      </c>
      <c r="L19" s="169">
        <f t="shared" si="8"/>
        <v>0</v>
      </c>
      <c r="M19" s="181">
        <f t="shared" si="8"/>
        <v>0.13265957446808491</v>
      </c>
      <c r="N19" s="181">
        <f t="shared" si="8"/>
        <v>1.0206922568803092</v>
      </c>
    </row>
    <row r="20" spans="1:14" ht="14.5">
      <c r="A20" s="142">
        <f t="shared" si="2"/>
        <v>18</v>
      </c>
      <c r="B20" s="150">
        <v>45687</v>
      </c>
      <c r="C20" s="142">
        <f>SUMIF('2025'!$C:$C,Sheet1!$B20,'2025'!$E:$E)</f>
        <v>138</v>
      </c>
      <c r="D20" s="143">
        <f>SUMIF('2025'!$C:$C,Sheet1!$B20,'2025'!$J:$J)</f>
        <v>0.31325231481481469</v>
      </c>
      <c r="E20" s="143">
        <f t="shared" si="0"/>
        <v>1.3136574074074203E-2</v>
      </c>
      <c r="F20" s="144">
        <f t="shared" si="1"/>
        <v>0.95975177304964499</v>
      </c>
      <c r="G20" s="145">
        <f>AVERAGEIF('2025'!$C:$C,Sheet1!$B20,'2025'!$P:$P)</f>
        <v>1.1134525232404269</v>
      </c>
      <c r="I20" s="148"/>
      <c r="J20" s="140"/>
    </row>
    <row r="21" spans="1:14" ht="14.5">
      <c r="A21" s="142">
        <f t="shared" si="2"/>
        <v>19</v>
      </c>
      <c r="B21" s="150">
        <v>45691</v>
      </c>
      <c r="C21" s="142">
        <f>SUMIF('2025'!$C:$C,Sheet1!$B21,'2025'!$E:$E)</f>
        <v>163</v>
      </c>
      <c r="D21" s="143">
        <f>SUMIF('2025'!$C:$C,Sheet1!$B21,'2025'!$J:$J)</f>
        <v>0.32901620370370366</v>
      </c>
      <c r="E21" s="143">
        <f t="shared" si="0"/>
        <v>0</v>
      </c>
      <c r="F21" s="144">
        <f t="shared" si="1"/>
        <v>1.0080496453900707</v>
      </c>
      <c r="G21" s="145">
        <f>AVERAGEIF('2025'!$C:$C,Sheet1!$B21,'2025'!$P:$P)</f>
        <v>1.0644296143897294</v>
      </c>
      <c r="I21" s="148"/>
      <c r="J21" s="140"/>
    </row>
    <row r="22" spans="1:14" ht="14.5">
      <c r="A22" s="142">
        <f t="shared" si="2"/>
        <v>20</v>
      </c>
      <c r="B22" s="150">
        <v>45692</v>
      </c>
      <c r="C22" s="142">
        <f>SUMIF('2025'!$C:$C,Sheet1!$B22,'2025'!$E:$E)</f>
        <v>167</v>
      </c>
      <c r="D22" s="143">
        <f>SUMIF('2025'!$C:$C,Sheet1!$B22,'2025'!$J:$J)</f>
        <v>0.31247363426102781</v>
      </c>
      <c r="E22" s="143">
        <f t="shared" si="0"/>
        <v>1.3915254627861084E-2</v>
      </c>
      <c r="F22" s="144">
        <f t="shared" si="1"/>
        <v>0.95736602837421281</v>
      </c>
      <c r="G22" s="145">
        <f>AVERAGEIF('2025'!$C:$C,Sheet1!$B22,'2025'!$P:$P)</f>
        <v>1.0557760020003668</v>
      </c>
    </row>
    <row r="23" spans="1:14" ht="14.5">
      <c r="A23" s="142">
        <f t="shared" si="2"/>
        <v>21</v>
      </c>
      <c r="B23" s="150">
        <v>45693</v>
      </c>
      <c r="C23" s="142">
        <f>SUMIF('2025'!$C:$C,Sheet1!$B23,'2025'!$E:$E)</f>
        <v>153</v>
      </c>
      <c r="D23" s="143">
        <f>SUMIF('2025'!$C:$C,Sheet1!$B23,'2025'!$J:$J)</f>
        <v>0.33048611111111098</v>
      </c>
      <c r="E23" s="143">
        <f t="shared" si="0"/>
        <v>0</v>
      </c>
      <c r="F23" s="144">
        <f t="shared" si="1"/>
        <v>1.0125531914893613</v>
      </c>
      <c r="G23" s="145">
        <f>AVERAGEIF('2025'!$C:$C,Sheet1!$B23,'2025'!$P:$P)</f>
        <v>1.0793417663513825</v>
      </c>
    </row>
    <row r="24" spans="1:14" ht="14.5">
      <c r="A24" s="142">
        <f t="shared" si="2"/>
        <v>22</v>
      </c>
      <c r="B24" s="150">
        <v>45694</v>
      </c>
      <c r="C24" s="142">
        <f>SUMIF('2025'!$C:$C,Sheet1!$B24,'2025'!$E:$E)</f>
        <v>86</v>
      </c>
      <c r="D24" s="143">
        <f>SUMIF('2025'!$C:$C,Sheet1!$B24,'2025'!$J:$J)</f>
        <v>0.30510416666666651</v>
      </c>
      <c r="E24" s="143">
        <f t="shared" si="0"/>
        <v>2.1284722222222385E-2</v>
      </c>
      <c r="F24" s="144">
        <f t="shared" si="1"/>
        <v>0.93478723404255271</v>
      </c>
      <c r="G24" s="145">
        <f>AVERAGEIF('2025'!$C:$C,Sheet1!$B24,'2025'!$P:$P)</f>
        <v>1.0427248061650971</v>
      </c>
    </row>
    <row r="25" spans="1:14" ht="14.5">
      <c r="A25" s="142">
        <f t="shared" si="2"/>
        <v>23</v>
      </c>
      <c r="B25" s="150">
        <v>45695</v>
      </c>
      <c r="C25" s="142">
        <f>SUMIF('2025'!$C:$C,Sheet1!$B25,'2025'!$E:$E)</f>
        <v>192</v>
      </c>
      <c r="D25" s="143">
        <f>SUMIF('2025'!$C:$C,Sheet1!$B25,'2025'!$J:$J)</f>
        <v>0.3098263888888888</v>
      </c>
      <c r="E25" s="143">
        <f t="shared" si="0"/>
        <v>1.6562500000000091E-2</v>
      </c>
      <c r="F25" s="144">
        <f t="shared" si="1"/>
        <v>0.94925531914893591</v>
      </c>
      <c r="G25" s="145">
        <f>AVERAGEIF('2025'!$C:$C,Sheet1!$B25,'2025'!$P:$P)</f>
        <v>1.054896326548185</v>
      </c>
    </row>
    <row r="26" spans="1:14" ht="14.5">
      <c r="A26" s="142">
        <f t="shared" si="2"/>
        <v>24</v>
      </c>
      <c r="B26" s="150">
        <v>45698</v>
      </c>
      <c r="C26" s="142">
        <f>SUMIF('2025'!$C:$C,Sheet1!$B26,'2025'!$E:$E)</f>
        <v>65</v>
      </c>
      <c r="D26" s="143">
        <f>SUMIF('2025'!$C:$C,Sheet1!$B26,'2025'!$J:$J)</f>
        <v>0.30366898148148141</v>
      </c>
      <c r="E26" s="143">
        <f t="shared" si="0"/>
        <v>2.271990740740748E-2</v>
      </c>
      <c r="F26" s="144">
        <f t="shared" si="1"/>
        <v>0.93039007092198556</v>
      </c>
      <c r="G26" s="145">
        <f>AVERAGEIF('2025'!$C:$C,Sheet1!$B26,'2025'!$P:$P)</f>
        <v>1.0754124597893904</v>
      </c>
    </row>
    <row r="27" spans="1:14" ht="14.5">
      <c r="A27" s="142">
        <f t="shared" si="2"/>
        <v>25</v>
      </c>
      <c r="B27" s="150">
        <v>45699</v>
      </c>
      <c r="C27" s="142">
        <f>SUMIF('2025'!$C:$C,Sheet1!$B27,'2025'!$E:$E)</f>
        <v>90</v>
      </c>
      <c r="D27" s="143">
        <f>SUMIF('2025'!$C:$C,Sheet1!$B27,'2025'!$J:$J)</f>
        <v>0.28773696759436496</v>
      </c>
      <c r="E27" s="143">
        <f t="shared" si="0"/>
        <v>3.8651921294523939E-2</v>
      </c>
      <c r="F27" s="144">
        <f t="shared" si="1"/>
        <v>0.88157709220401181</v>
      </c>
      <c r="G27" s="145">
        <f>AVERAGEIF('2025'!$C:$C,Sheet1!$B27,'2025'!$P:$P)</f>
        <v>1.0253634355877874</v>
      </c>
    </row>
    <row r="28" spans="1:14" ht="14.5">
      <c r="A28" s="142">
        <f t="shared" si="2"/>
        <v>26</v>
      </c>
      <c r="B28" s="150">
        <v>45701</v>
      </c>
      <c r="C28" s="142">
        <f>SUMIF('2025'!$C:$C,Sheet1!$B28,'2025'!$E:$E)</f>
        <v>43</v>
      </c>
      <c r="D28" s="143">
        <f>SUMIF('2025'!$C:$C,Sheet1!$B28,'2025'!$J:$J)</f>
        <v>0.30419656250470628</v>
      </c>
      <c r="E28" s="143">
        <f t="shared" si="0"/>
        <v>2.2192326384182615E-2</v>
      </c>
      <c r="F28" s="144">
        <f t="shared" si="1"/>
        <v>0.93200648937612141</v>
      </c>
      <c r="G28" s="145">
        <f>AVERAGEIF('2025'!$C:$C,Sheet1!$B28,'2025'!$P:$P)</f>
        <v>1.0853730559905856</v>
      </c>
    </row>
    <row r="29" spans="1:14" ht="14.5">
      <c r="A29" s="142">
        <f t="shared" si="2"/>
        <v>27</v>
      </c>
      <c r="B29" s="150">
        <v>45702</v>
      </c>
      <c r="C29" s="142">
        <f>SUMIF('2025'!$C:$C,Sheet1!$B29,'2025'!$E:$E)</f>
        <v>107</v>
      </c>
      <c r="D29" s="143">
        <f>SUMIF('2025'!$C:$C,Sheet1!$B29,'2025'!$J:$J)</f>
        <v>0.30382186342800388</v>
      </c>
      <c r="E29" s="143">
        <f t="shared" si="0"/>
        <v>2.2567025460885015E-2</v>
      </c>
      <c r="F29" s="144">
        <f t="shared" si="1"/>
        <v>0.93085847518367149</v>
      </c>
      <c r="G29" s="145">
        <f>AVERAGEIF('2025'!$C:$C,Sheet1!$B29,'2025'!$P:$P)</f>
        <v>1.0531727708290854</v>
      </c>
    </row>
    <row r="30" spans="1:14" ht="14.5">
      <c r="A30" s="142">
        <f t="shared" si="2"/>
        <v>28</v>
      </c>
      <c r="B30" s="150">
        <v>45705</v>
      </c>
      <c r="C30" s="142">
        <f>SUMIF('2025'!$C:$C,Sheet1!$B30,'2025'!$E:$E)</f>
        <v>51</v>
      </c>
      <c r="D30" s="143">
        <f>SUMIF('2025'!$C:$C,Sheet1!$B30,'2025'!$J:$J)</f>
        <v>0.31865740740740744</v>
      </c>
      <c r="E30" s="143">
        <f t="shared" si="0"/>
        <v>7.7314814814814503E-3</v>
      </c>
      <c r="F30" s="144">
        <f t="shared" si="1"/>
        <v>0.9763120567375887</v>
      </c>
      <c r="G30" s="145">
        <f>AVERAGEIF('2025'!$C:$C,Sheet1!$B30,'2025'!$P:$P)</f>
        <v>1.0888167944244496</v>
      </c>
    </row>
    <row r="31" spans="1:14" ht="14.5">
      <c r="A31" s="142">
        <f t="shared" si="2"/>
        <v>29</v>
      </c>
      <c r="B31" s="150">
        <v>45706</v>
      </c>
      <c r="C31" s="142">
        <f>SUMIF('2025'!$C:$C,Sheet1!$B31,'2025'!$E:$E)</f>
        <v>59</v>
      </c>
      <c r="D31" s="143">
        <f>SUMIF('2025'!$C:$C,Sheet1!$B31,'2025'!$J:$J)</f>
        <v>0.30130748843002408</v>
      </c>
      <c r="E31" s="143">
        <f t="shared" si="0"/>
        <v>2.5081400458864811E-2</v>
      </c>
      <c r="F31" s="144">
        <f t="shared" si="1"/>
        <v>0.92315485816858445</v>
      </c>
      <c r="G31" s="145">
        <f>AVERAGEIF('2025'!$C:$C,Sheet1!$B31,'2025'!$P:$P)</f>
        <v>1.0625952523796371</v>
      </c>
    </row>
    <row r="32" spans="1:14" ht="14.5">
      <c r="A32" s="142">
        <f t="shared" si="2"/>
        <v>30</v>
      </c>
      <c r="B32" s="150">
        <v>45707</v>
      </c>
      <c r="C32" s="142">
        <f>SUMIF('2025'!$C:$C,Sheet1!$B32,'2025'!$E:$E)</f>
        <v>69</v>
      </c>
      <c r="D32" s="143">
        <f>SUMIF('2025'!$C:$C,Sheet1!$B32,'2025'!$J:$J)</f>
        <v>0.1829513888888889</v>
      </c>
      <c r="E32" s="143">
        <f t="shared" si="0"/>
        <v>0.1434375</v>
      </c>
      <c r="F32" s="144">
        <f t="shared" si="1"/>
        <v>0.56053191489361709</v>
      </c>
      <c r="G32" s="145">
        <f>AVERAGEIF('2025'!$C:$C,Sheet1!$B32,'2025'!$P:$P)</f>
        <v>1.0724313659528559</v>
      </c>
    </row>
    <row r="33" spans="1:7" ht="14.5">
      <c r="A33" s="142">
        <f t="shared" si="2"/>
        <v>31</v>
      </c>
      <c r="B33" s="150">
        <v>45708</v>
      </c>
      <c r="C33" s="142">
        <f>SUMIF('2025'!$C:$C,Sheet1!$B33,'2025'!$E:$E)</f>
        <v>74</v>
      </c>
      <c r="D33" s="143">
        <f>SUMIF('2025'!$C:$C,Sheet1!$B33,'2025'!$J:$J)</f>
        <v>0.23662037037037034</v>
      </c>
      <c r="E33" s="143">
        <f t="shared" si="0"/>
        <v>8.9768518518518553E-2</v>
      </c>
      <c r="F33" s="144">
        <f t="shared" si="1"/>
        <v>0.72496453900709212</v>
      </c>
      <c r="G33" s="145">
        <f>AVERAGEIF('2025'!$C:$C,Sheet1!$B33,'2025'!$P:$P)</f>
        <v>1.075153472226456</v>
      </c>
    </row>
    <row r="34" spans="1:7" ht="14.5">
      <c r="A34" s="142">
        <f t="shared" si="2"/>
        <v>32</v>
      </c>
      <c r="B34" s="150">
        <v>45709</v>
      </c>
      <c r="C34" s="142">
        <f>SUMIF('2025'!$C:$C,Sheet1!$B34,'2025'!$E:$E)</f>
        <v>55</v>
      </c>
      <c r="D34" s="143">
        <f>SUMIF('2025'!$C:$C,Sheet1!$B34,'2025'!$J:$J)</f>
        <v>0.31555555555555548</v>
      </c>
      <c r="E34" s="143">
        <f t="shared" si="0"/>
        <v>1.0833333333333417E-2</v>
      </c>
      <c r="F34" s="144">
        <f t="shared" si="1"/>
        <v>0.96680851063829765</v>
      </c>
      <c r="G34" s="145">
        <f>AVERAGEIF('2025'!$C:$C,Sheet1!$B34,'2025'!$P:$P)</f>
        <v>1.0921114306072925</v>
      </c>
    </row>
    <row r="35" spans="1:7" ht="14.5">
      <c r="A35" s="142">
        <f t="shared" si="2"/>
        <v>33</v>
      </c>
      <c r="B35" s="150">
        <v>45712</v>
      </c>
      <c r="C35" s="142">
        <f>SUMIF('2025'!$C:$C,Sheet1!$B35,'2025'!$E:$E)</f>
        <v>43</v>
      </c>
      <c r="D35" s="143">
        <f>SUMIF('2025'!$C:$C,Sheet1!$B35,'2025'!$J:$J)</f>
        <v>0.32798797453335415</v>
      </c>
      <c r="E35" s="143">
        <f t="shared" si="0"/>
        <v>0</v>
      </c>
      <c r="F35" s="144">
        <f t="shared" si="1"/>
        <v>1.0048993262298509</v>
      </c>
      <c r="G35" s="145">
        <f>AVERAGEIF('2025'!$C:$C,Sheet1!$B35,'2025'!$P:$P)</f>
        <v>1.0748907038393951</v>
      </c>
    </row>
    <row r="36" spans="1:7" ht="14.5">
      <c r="A36" s="142">
        <f t="shared" si="2"/>
        <v>34</v>
      </c>
      <c r="B36" s="150">
        <v>45713</v>
      </c>
      <c r="C36" s="142">
        <f>SUMIF('2025'!$C:$C,Sheet1!$B36,'2025'!$E:$E)</f>
        <v>109</v>
      </c>
      <c r="D36" s="143">
        <f>SUMIF('2025'!$C:$C,Sheet1!$B36,'2025'!$J:$J)</f>
        <v>0.31785879629629621</v>
      </c>
      <c r="E36" s="143">
        <f t="shared" si="0"/>
        <v>8.5300925925926863E-3</v>
      </c>
      <c r="F36" s="144">
        <f t="shared" si="1"/>
        <v>0.97386524822695009</v>
      </c>
      <c r="G36" s="145">
        <f>AVERAGEIF('2025'!$C:$C,Sheet1!$B36,'2025'!$P:$P)</f>
        <v>1.0745648217511612</v>
      </c>
    </row>
    <row r="37" spans="1:7" ht="14.5">
      <c r="A37" s="142">
        <f t="shared" si="2"/>
        <v>35</v>
      </c>
      <c r="B37" s="150">
        <v>45714</v>
      </c>
      <c r="C37" s="142">
        <f>SUMIF('2025'!$C:$C,Sheet1!$B37,'2025'!$E:$E)</f>
        <v>164</v>
      </c>
      <c r="D37" s="143">
        <f>SUMIF('2025'!$C:$C,Sheet1!$B37,'2025'!$J:$J)</f>
        <v>0.29908564814814809</v>
      </c>
      <c r="E37" s="143">
        <f t="shared" si="0"/>
        <v>2.7303240740740808E-2</v>
      </c>
      <c r="F37" s="144">
        <f t="shared" si="1"/>
        <v>0.91634751773049627</v>
      </c>
      <c r="G37" s="145">
        <f>AVERAGEIF('2025'!$C:$C,Sheet1!$B37,'2025'!$P:$P)</f>
        <v>1.0760694038519227</v>
      </c>
    </row>
    <row r="38" spans="1:7" ht="14.5">
      <c r="A38" s="142">
        <f t="shared" si="2"/>
        <v>36</v>
      </c>
      <c r="B38" s="150">
        <v>45715</v>
      </c>
      <c r="C38" s="142">
        <f>SUMIF('2025'!$C:$C,Sheet1!$B38,'2025'!$E:$E)</f>
        <v>77</v>
      </c>
      <c r="D38" s="143">
        <f>SUMIF('2025'!$C:$C,Sheet1!$B38,'2025'!$J:$J)</f>
        <v>0.27290509259259255</v>
      </c>
      <c r="E38" s="143">
        <f t="shared" si="0"/>
        <v>5.3483796296296349E-2</v>
      </c>
      <c r="F38" s="144">
        <f t="shared" si="1"/>
        <v>0.83613475177304952</v>
      </c>
      <c r="G38" s="145">
        <f>AVERAGEIF('2025'!$C:$C,Sheet1!$B38,'2025'!$P:$P)</f>
        <v>1.080371117616139</v>
      </c>
    </row>
    <row r="39" spans="1:7" ht="14.5">
      <c r="A39" s="142">
        <f t="shared" si="2"/>
        <v>37</v>
      </c>
      <c r="B39" s="150">
        <v>45716</v>
      </c>
      <c r="C39" s="142">
        <f>SUMIF('2025'!$C:$C,Sheet1!$B39,'2025'!$E:$E)</f>
        <v>1</v>
      </c>
      <c r="D39" s="143">
        <f>SUMIF('2025'!$C:$C,Sheet1!$B39,'2025'!$J:$J)</f>
        <v>4.3298611111111045E-2</v>
      </c>
      <c r="E39" s="143">
        <f t="shared" si="0"/>
        <v>0.28309027777777784</v>
      </c>
      <c r="F39" s="144">
        <f t="shared" si="1"/>
        <v>0.13265957446808491</v>
      </c>
      <c r="G39" s="145">
        <f>AVERAGEIF('2025'!$C:$C,Sheet1!$B39,'2025'!$P:$P)</f>
        <v>1.12269446672013</v>
      </c>
    </row>
    <row r="40" spans="1:7" ht="14.5">
      <c r="A40" s="142">
        <f t="shared" si="2"/>
        <v>38</v>
      </c>
      <c r="B40" s="150">
        <v>45719</v>
      </c>
      <c r="C40" s="142">
        <f>SUMIF('2025'!$C:$C,Sheet1!$B40,'2025'!$E:$E)</f>
        <v>127</v>
      </c>
      <c r="D40" s="143">
        <f>SUMIF('2025'!$C:$C,Sheet1!$B40,'2025'!$J:$J)</f>
        <v>0.31276620370370378</v>
      </c>
      <c r="E40" s="143">
        <f t="shared" si="0"/>
        <v>1.3622685185185113E-2</v>
      </c>
      <c r="F40" s="144">
        <f t="shared" si="1"/>
        <v>0.95826241134751799</v>
      </c>
      <c r="G40" s="145">
        <f>AVERAGEIF('2025'!$C:$C,Sheet1!$B40,'2025'!$P:$P)</f>
        <v>1.0714575269706936</v>
      </c>
    </row>
    <row r="41" spans="1:7" ht="14.5">
      <c r="A41" s="142">
        <f t="shared" si="2"/>
        <v>39</v>
      </c>
      <c r="B41" s="150">
        <v>45720</v>
      </c>
      <c r="C41" s="142">
        <f>SUMIF('2025'!$C:$C,Sheet1!$B41,'2025'!$E:$E)</f>
        <v>145</v>
      </c>
      <c r="D41" s="143">
        <f>SUMIF('2025'!$C:$C,Sheet1!$B41,'2025'!$J:$J)</f>
        <v>0.34327896990641926</v>
      </c>
      <c r="E41" s="143">
        <f t="shared" si="0"/>
        <v>0</v>
      </c>
      <c r="F41" s="144">
        <f t="shared" si="1"/>
        <v>1.0517483333303057</v>
      </c>
      <c r="G41" s="145">
        <f>AVERAGEIF('2025'!$C:$C,Sheet1!$B41,'2025'!$P:$P)</f>
        <v>1.0714799174923411</v>
      </c>
    </row>
    <row r="42" spans="1:7" ht="14.5">
      <c r="A42" s="142">
        <f t="shared" si="2"/>
        <v>40</v>
      </c>
      <c r="B42" s="150">
        <v>45721</v>
      </c>
      <c r="C42" s="142">
        <f>SUMIF('2025'!$C:$C,Sheet1!$B42,'2025'!$E:$E)</f>
        <v>109</v>
      </c>
      <c r="D42" s="143">
        <f>SUMIF('2025'!$C:$C,Sheet1!$B42,'2025'!$J:$J)</f>
        <v>0.2709953703703703</v>
      </c>
      <c r="E42" s="143">
        <f t="shared" si="0"/>
        <v>5.5393518518518592E-2</v>
      </c>
      <c r="F42" s="144">
        <f t="shared" si="1"/>
        <v>0.83028368794326224</v>
      </c>
      <c r="G42" s="145">
        <f>AVERAGEIF('2025'!$C:$C,Sheet1!$B42,'2025'!$P:$P)</f>
        <v>1.0625164849650557</v>
      </c>
    </row>
    <row r="43" spans="1:7" ht="14.5">
      <c r="A43" s="142">
        <f t="shared" si="2"/>
        <v>41</v>
      </c>
      <c r="B43" s="150">
        <v>45722</v>
      </c>
      <c r="C43" s="142">
        <f>SUMIF('2025'!$C:$C,Sheet1!$B43,'2025'!$E:$E)</f>
        <v>112</v>
      </c>
      <c r="D43" s="143">
        <f>SUMIF('2025'!$C:$C,Sheet1!$B43,'2025'!$J:$J)</f>
        <v>0.29451388888888885</v>
      </c>
      <c r="E43" s="143">
        <f t="shared" si="0"/>
        <v>3.1875000000000042E-2</v>
      </c>
      <c r="F43" s="144">
        <f t="shared" si="1"/>
        <v>0.90234042553191474</v>
      </c>
      <c r="G43" s="145">
        <f>AVERAGEIF('2025'!$C:$C,Sheet1!$B43,'2025'!$P:$P)</f>
        <v>1.071268726984469</v>
      </c>
    </row>
    <row r="44" spans="1:7" ht="14.5">
      <c r="A44" s="142">
        <f t="shared" si="2"/>
        <v>42</v>
      </c>
      <c r="B44" s="150">
        <v>45726</v>
      </c>
      <c r="C44" s="142">
        <f>SUMIF('2025'!$C:$C,Sheet1!$B44,'2025'!$E:$E)</f>
        <v>109</v>
      </c>
      <c r="D44" s="143">
        <f>SUMIF('2025'!$C:$C,Sheet1!$B44,'2025'!$J:$J)</f>
        <v>0.3239467592592592</v>
      </c>
      <c r="E44" s="143">
        <f t="shared" si="0"/>
        <v>2.4421296296296968E-3</v>
      </c>
      <c r="F44" s="144">
        <f t="shared" si="1"/>
        <v>0.99251773049645364</v>
      </c>
      <c r="G44" s="145">
        <f>AVERAGEIF('2025'!$C:$C,Sheet1!$B44,'2025'!$P:$P)</f>
        <v>1.0738970122126734</v>
      </c>
    </row>
    <row r="45" spans="1:7" ht="14.5">
      <c r="A45" s="142">
        <f t="shared" si="2"/>
        <v>43</v>
      </c>
      <c r="B45" s="150">
        <v>45727</v>
      </c>
      <c r="C45" s="142">
        <f>SUMIF('2025'!$C:$C,Sheet1!$B45,'2025'!$E:$E)</f>
        <v>70</v>
      </c>
      <c r="D45" s="143">
        <f>SUMIF('2025'!$C:$C,Sheet1!$B45,'2025'!$J:$J)</f>
        <v>0.3119097222222223</v>
      </c>
      <c r="E45" s="143">
        <f t="shared" si="0"/>
        <v>1.4479166666666599E-2</v>
      </c>
      <c r="F45" s="144">
        <f t="shared" si="1"/>
        <v>0.95563829787234067</v>
      </c>
      <c r="G45" s="145">
        <f>AVERAGEIF('2025'!$C:$C,Sheet1!$B45,'2025'!$P:$P)</f>
        <v>1.0815909521612574</v>
      </c>
    </row>
    <row r="46" spans="1:7" ht="14.5">
      <c r="A46" s="142">
        <f t="shared" si="2"/>
        <v>44</v>
      </c>
      <c r="B46" s="150">
        <v>45728</v>
      </c>
      <c r="C46" s="142">
        <f>SUMIF('2025'!$C:$C,Sheet1!$B46,'2025'!$E:$E)</f>
        <v>52</v>
      </c>
      <c r="D46" s="143">
        <f>SUMIF('2025'!$C:$C,Sheet1!$B46,'2025'!$J:$J)</f>
        <v>0.30501157407407403</v>
      </c>
      <c r="E46" s="143">
        <f t="shared" si="0"/>
        <v>2.1377314814814863E-2</v>
      </c>
      <c r="F46" s="144">
        <f t="shared" si="1"/>
        <v>0.93450354609929065</v>
      </c>
      <c r="G46" s="145">
        <f>AVERAGEIF('2025'!$C:$C,Sheet1!$B46,'2025'!$P:$P)</f>
        <v>1.0854446317948709</v>
      </c>
    </row>
    <row r="47" spans="1:7" ht="14.5">
      <c r="A47" s="142">
        <f t="shared" si="2"/>
        <v>45</v>
      </c>
      <c r="B47" s="150">
        <v>45729</v>
      </c>
      <c r="C47" s="142">
        <f>SUMIF('2025'!$C:$C,Sheet1!$B47,'2025'!$E:$E)</f>
        <v>47</v>
      </c>
      <c r="D47" s="143">
        <f>SUMIF('2025'!$C:$C,Sheet1!$B47,'2025'!$J:$J)</f>
        <v>0.30657407407407411</v>
      </c>
      <c r="E47" s="143">
        <f t="shared" si="0"/>
        <v>1.9814814814814785E-2</v>
      </c>
      <c r="F47" s="144">
        <f t="shared" si="1"/>
        <v>0.93929078014184408</v>
      </c>
      <c r="G47" s="145">
        <f>AVERAGEIF('2025'!$C:$C,Sheet1!$B47,'2025'!$P:$P)</f>
        <v>1.0910216925467773</v>
      </c>
    </row>
    <row r="48" spans="1:7" ht="14.5">
      <c r="A48" s="142">
        <f t="shared" si="2"/>
        <v>46</v>
      </c>
      <c r="B48" s="150">
        <v>45730</v>
      </c>
      <c r="C48" s="142">
        <f>SUMIF('2025'!$C:$C,Sheet1!$B48,'2025'!$E:$E)</f>
        <v>156</v>
      </c>
      <c r="D48" s="143">
        <f>SUMIF('2025'!$C:$C,Sheet1!$B48,'2025'!$J:$J)</f>
        <v>0.30512731481481481</v>
      </c>
      <c r="E48" s="143">
        <f t="shared" si="0"/>
        <v>2.1261574074074086E-2</v>
      </c>
      <c r="F48" s="144">
        <f t="shared" si="1"/>
        <v>0.93485815602836875</v>
      </c>
      <c r="G48" s="145">
        <f>AVERAGEIF('2025'!$C:$C,Sheet1!$B48,'2025'!$P:$P)</f>
        <v>1.0838206556321706</v>
      </c>
    </row>
    <row r="49" spans="1:7" ht="14.5">
      <c r="A49" s="142">
        <f t="shared" si="2"/>
        <v>47</v>
      </c>
      <c r="B49" s="150">
        <v>45733</v>
      </c>
      <c r="C49" s="142">
        <f>SUMIF('2025'!$C:$C,Sheet1!$B49,'2025'!$E:$E)</f>
        <v>118</v>
      </c>
      <c r="D49" s="143">
        <f>SUMIF('2025'!$C:$C,Sheet1!$B49,'2025'!$J:$J)</f>
        <v>0.30549768518518522</v>
      </c>
      <c r="E49" s="143">
        <f t="shared" si="0"/>
        <v>2.0891203703703676E-2</v>
      </c>
      <c r="F49" s="144">
        <f t="shared" si="1"/>
        <v>0.93599290780141853</v>
      </c>
      <c r="G49" s="145">
        <f>AVERAGEIF('2025'!$C:$C,Sheet1!$B49,'2025'!$P:$P)</f>
        <v>1.0902257165421345</v>
      </c>
    </row>
    <row r="50" spans="1:7" ht="14.5">
      <c r="A50" s="142">
        <f t="shared" si="2"/>
        <v>48</v>
      </c>
      <c r="B50" s="150">
        <v>45734</v>
      </c>
      <c r="C50" s="142">
        <f>SUMIF('2025'!$C:$C,Sheet1!$B50,'2025'!$E:$E)</f>
        <v>65</v>
      </c>
      <c r="D50" s="143">
        <f>SUMIF('2025'!$C:$C,Sheet1!$B50,'2025'!$J:$J)</f>
        <v>0.29756944444444439</v>
      </c>
      <c r="E50" s="143">
        <f t="shared" si="0"/>
        <v>2.8819444444444509E-2</v>
      </c>
      <c r="F50" s="144">
        <f t="shared" si="1"/>
        <v>0.91170212765957426</v>
      </c>
      <c r="G50" s="145">
        <f>AVERAGEIF('2025'!$C:$C,Sheet1!$B50,'2025'!$P:$P)</f>
        <v>1.1130824619649609</v>
      </c>
    </row>
    <row r="51" spans="1:7" ht="14.5">
      <c r="A51" s="142">
        <f t="shared" si="2"/>
        <v>49</v>
      </c>
      <c r="B51" s="150">
        <v>45735</v>
      </c>
      <c r="C51" s="142">
        <f>SUMIF('2025'!$C:$C,Sheet1!$B51,'2025'!$E:$E)</f>
        <v>55</v>
      </c>
      <c r="D51" s="143">
        <f>SUMIF('2025'!$C:$C,Sheet1!$B51,'2025'!$J:$J)</f>
        <v>0.2929166666666666</v>
      </c>
      <c r="E51" s="143">
        <f t="shared" si="0"/>
        <v>3.3472222222222292E-2</v>
      </c>
      <c r="F51" s="144">
        <f t="shared" si="1"/>
        <v>0.89744680851063807</v>
      </c>
      <c r="G51" s="145">
        <f>AVERAGEIF('2025'!$C:$C,Sheet1!$B51,'2025'!$P:$P)</f>
        <v>1.1243204322665237</v>
      </c>
    </row>
    <row r="52" spans="1:7" ht="14.5">
      <c r="A52" s="142">
        <f t="shared" si="2"/>
        <v>50</v>
      </c>
      <c r="B52" s="150">
        <v>45736</v>
      </c>
      <c r="C52" s="142">
        <f>SUMIF('2025'!$C:$C,Sheet1!$B52,'2025'!$E:$E)</f>
        <v>41</v>
      </c>
      <c r="D52" s="143">
        <f>SUMIF('2025'!$C:$C,Sheet1!$B52,'2025'!$J:$J)</f>
        <v>0.27071681713107626</v>
      </c>
      <c r="E52" s="143">
        <f t="shared" si="0"/>
        <v>5.5672071757812636E-2</v>
      </c>
      <c r="F52" s="144">
        <f t="shared" si="1"/>
        <v>0.82943024823138256</v>
      </c>
      <c r="G52" s="145">
        <f>AVERAGEIF('2025'!$C:$C,Sheet1!$B52,'2025'!$P:$P)</f>
        <v>1.1038927789675725</v>
      </c>
    </row>
    <row r="53" spans="1:7" ht="14.5">
      <c r="A53" s="142">
        <f t="shared" si="2"/>
        <v>51</v>
      </c>
      <c r="B53" s="150">
        <v>45740</v>
      </c>
      <c r="C53" s="142">
        <f>SUMIF('2025'!$C:$C,Sheet1!$B53,'2025'!$E:$E)</f>
        <v>119</v>
      </c>
      <c r="D53" s="143">
        <f>SUMIF('2025'!$C:$C,Sheet1!$B53,'2025'!$J:$J)</f>
        <v>0.28163689814966064</v>
      </c>
      <c r="E53" s="143">
        <f t="shared" si="0"/>
        <v>4.4751990739228253E-2</v>
      </c>
      <c r="F53" s="144">
        <f t="shared" si="1"/>
        <v>0.8628875177351305</v>
      </c>
      <c r="G53" s="145">
        <f>AVERAGEIF('2025'!$C:$C,Sheet1!$B53,'2025'!$P:$P)</f>
        <v>1.1088078770502243</v>
      </c>
    </row>
    <row r="54" spans="1:7" ht="14.5">
      <c r="A54" s="142">
        <f t="shared" si="2"/>
        <v>52</v>
      </c>
      <c r="B54" s="150">
        <v>45741</v>
      </c>
      <c r="C54" s="142">
        <f>SUMIF('2025'!$C:$C,Sheet1!$B54,'2025'!$E:$E)</f>
        <v>28</v>
      </c>
      <c r="D54" s="143">
        <f>SUMIF('2025'!$C:$C,Sheet1!$B54,'2025'!$J:$J)</f>
        <v>0.31216435185185182</v>
      </c>
      <c r="E54" s="143">
        <f t="shared" si="0"/>
        <v>1.4224537037037077E-2</v>
      </c>
      <c r="F54" s="144">
        <f t="shared" si="1"/>
        <v>0.95641843971631191</v>
      </c>
      <c r="G54" s="145">
        <f>AVERAGEIF('2025'!$C:$C,Sheet1!$B54,'2025'!$P:$P)</f>
        <v>1.1284496987363173</v>
      </c>
    </row>
    <row r="55" spans="1:7" ht="14.5">
      <c r="A55" s="142">
        <f t="shared" si="2"/>
        <v>53</v>
      </c>
      <c r="B55" s="150">
        <v>45742</v>
      </c>
      <c r="C55" s="142">
        <f>SUMIF('2025'!$C:$C,Sheet1!$B55,'2025'!$E:$E)</f>
        <v>117</v>
      </c>
      <c r="D55" s="143">
        <f>SUMIF('2025'!$C:$C,Sheet1!$B55,'2025'!$J:$J)</f>
        <v>0.27681712962962962</v>
      </c>
      <c r="E55" s="143">
        <f t="shared" si="0"/>
        <v>4.9571759259259274E-2</v>
      </c>
      <c r="F55" s="144">
        <f t="shared" si="1"/>
        <v>0.84812056737588648</v>
      </c>
      <c r="G55" s="145">
        <f>AVERAGEIF('2025'!$C:$C,Sheet1!$B55,'2025'!$P:$P)</f>
        <v>1.1245923866980607</v>
      </c>
    </row>
    <row r="56" spans="1:7" ht="14.5">
      <c r="A56" s="142">
        <f t="shared" si="2"/>
        <v>54</v>
      </c>
      <c r="B56" s="150">
        <v>45743</v>
      </c>
      <c r="C56" s="142">
        <f>SUMIF('2025'!$C:$C,Sheet1!$B56,'2025'!$E:$E)</f>
        <v>44</v>
      </c>
      <c r="D56" s="143">
        <f>SUMIF('2025'!$C:$C,Sheet1!$B56,'2025'!$J:$J)</f>
        <v>0.31484953703703705</v>
      </c>
      <c r="E56" s="143">
        <f t="shared" si="0"/>
        <v>1.1539351851851842E-2</v>
      </c>
      <c r="F56" s="144">
        <f t="shared" si="1"/>
        <v>0.96464539007092198</v>
      </c>
      <c r="G56" s="145">
        <f>AVERAGEIF('2025'!$C:$C,Sheet1!$B56,'2025'!$P:$P)</f>
        <v>1.1090796472215589</v>
      </c>
    </row>
    <row r="57" spans="1:7" ht="14.5">
      <c r="A57" s="142">
        <f t="shared" si="2"/>
        <v>55</v>
      </c>
      <c r="B57" s="150">
        <v>45748</v>
      </c>
      <c r="C57" s="142">
        <f>SUMIF('2025'!$C:$C,Sheet1!$B57,'2025'!$E:$E)</f>
        <v>54</v>
      </c>
      <c r="D57" s="143">
        <f>SUMIF('2025'!$C:$C,Sheet1!$B57,'2025'!$J:$J)</f>
        <v>0.32754629629629628</v>
      </c>
      <c r="E57" s="143">
        <f t="shared" si="0"/>
        <v>0</v>
      </c>
      <c r="F57" s="144">
        <f t="shared" si="1"/>
        <v>1.0035460992907801</v>
      </c>
      <c r="G57" s="145">
        <f>AVERAGEIF('2025'!$C:$C,Sheet1!$B57,'2025'!$P:$P)</f>
        <v>1.0946437166411167</v>
      </c>
    </row>
    <row r="58" spans="1:7" ht="14.5">
      <c r="A58" s="142">
        <f t="shared" si="2"/>
        <v>56</v>
      </c>
      <c r="B58" s="150">
        <v>45749</v>
      </c>
      <c r="C58" s="142">
        <f>SUMIF('2025'!$C:$C,Sheet1!$B58,'2025'!$E:$E)</f>
        <v>114</v>
      </c>
      <c r="D58" s="143">
        <f>SUMIF('2025'!$C:$C,Sheet1!$B58,'2025'!$J:$J)</f>
        <v>0.31303240740740729</v>
      </c>
      <c r="E58" s="143">
        <f t="shared" si="0"/>
        <v>1.3356481481481608E-2</v>
      </c>
      <c r="F58" s="144">
        <f t="shared" si="1"/>
        <v>0.95907801418439675</v>
      </c>
      <c r="G58" s="145">
        <f>AVERAGEIF('2025'!$C:$C,Sheet1!$B58,'2025'!$P:$P)</f>
        <v>1.0969027554966384</v>
      </c>
    </row>
    <row r="59" spans="1:7" ht="14.5">
      <c r="A59" s="142">
        <f t="shared" si="2"/>
        <v>57</v>
      </c>
      <c r="B59" s="150">
        <v>45750</v>
      </c>
      <c r="C59" s="142">
        <f>SUMIF('2025'!$C:$C,Sheet1!$B59,'2025'!$E:$E)</f>
        <v>85</v>
      </c>
      <c r="D59" s="143">
        <f>SUMIF('2025'!$C:$C,Sheet1!$B59,'2025'!$J:$J)</f>
        <v>0.28545138888888888</v>
      </c>
      <c r="E59" s="143">
        <f t="shared" si="0"/>
        <v>4.0937500000000016E-2</v>
      </c>
      <c r="F59" s="144">
        <f t="shared" si="1"/>
        <v>0.8745744680851063</v>
      </c>
      <c r="G59" s="145">
        <f>AVERAGEIF('2025'!$C:$C,Sheet1!$B59,'2025'!$P:$P)</f>
        <v>1.0854799568064721</v>
      </c>
    </row>
    <row r="60" spans="1:7" ht="14.5">
      <c r="A60" s="142">
        <f t="shared" si="2"/>
        <v>58</v>
      </c>
      <c r="B60" s="150">
        <v>45751</v>
      </c>
      <c r="C60" s="142">
        <f>SUMIF('2025'!$C:$C,Sheet1!$B60,'2025'!$E:$E)</f>
        <v>43</v>
      </c>
      <c r="D60" s="143">
        <f>SUMIF('2025'!$C:$C,Sheet1!$B60,'2025'!$J:$J)</f>
        <v>0.27211805555555546</v>
      </c>
      <c r="E60" s="143">
        <f t="shared" si="0"/>
        <v>5.4270833333333435E-2</v>
      </c>
      <c r="F60" s="144">
        <f t="shared" si="1"/>
        <v>0.83372340425531888</v>
      </c>
      <c r="G60" s="145">
        <f>AVERAGEIF('2025'!$C:$C,Sheet1!$B60,'2025'!$P:$P)</f>
        <v>1.0976166282873867</v>
      </c>
    </row>
    <row r="61" spans="1:7" ht="14.5">
      <c r="A61" s="142">
        <f t="shared" si="2"/>
        <v>59</v>
      </c>
      <c r="B61" s="150">
        <v>45754</v>
      </c>
      <c r="C61" s="142">
        <f>SUMIF('2025'!$C:$C,Sheet1!$B61,'2025'!$E:$E)</f>
        <v>105</v>
      </c>
      <c r="D61" s="143">
        <f>SUMIF('2025'!$C:$C,Sheet1!$B61,'2025'!$J:$J)</f>
        <v>0.32188657407407412</v>
      </c>
      <c r="E61" s="143">
        <f t="shared" si="0"/>
        <v>4.5023148148147785E-3</v>
      </c>
      <c r="F61" s="144">
        <f t="shared" si="1"/>
        <v>0.98620567375886536</v>
      </c>
      <c r="G61" s="145">
        <f>AVERAGEIF('2025'!$C:$C,Sheet1!$B61,'2025'!$P:$P)</f>
        <v>1.0874698834604626</v>
      </c>
    </row>
    <row r="62" spans="1:7" ht="14.5">
      <c r="A62" s="142">
        <f t="shared" si="2"/>
        <v>60</v>
      </c>
      <c r="B62" s="150">
        <v>45755</v>
      </c>
      <c r="C62" s="142">
        <f>SUMIF('2025'!$C:$C,Sheet1!$B62,'2025'!$E:$E)</f>
        <v>109</v>
      </c>
      <c r="D62" s="143">
        <f>SUMIF('2025'!$C:$C,Sheet1!$B62,'2025'!$J:$J)</f>
        <v>0.31559045139297032</v>
      </c>
      <c r="E62" s="143">
        <f t="shared" si="0"/>
        <v>1.0798437495918578E-2</v>
      </c>
      <c r="F62" s="144">
        <f t="shared" si="1"/>
        <v>0.96691542554441967</v>
      </c>
      <c r="G62" s="145">
        <f>AVERAGEIF('2025'!$C:$C,Sheet1!$B62,'2025'!$P:$P)</f>
        <v>1.0767588362762224</v>
      </c>
    </row>
    <row r="63" spans="1:7" ht="14.5">
      <c r="A63" s="142">
        <f t="shared" si="2"/>
        <v>61</v>
      </c>
      <c r="B63" s="150">
        <v>45756</v>
      </c>
      <c r="C63" s="142">
        <f>SUMIF('2025'!$C:$C,Sheet1!$B63,'2025'!$E:$E)</f>
        <v>61</v>
      </c>
      <c r="D63" s="143">
        <f>SUMIF('2025'!$C:$C,Sheet1!$B63,'2025'!$J:$J)</f>
        <v>0.32104166666666661</v>
      </c>
      <c r="E63" s="143">
        <f t="shared" si="0"/>
        <v>5.3472222222222809E-3</v>
      </c>
      <c r="F63" s="144">
        <f t="shared" si="1"/>
        <v>0.98361702127659556</v>
      </c>
      <c r="G63" s="145">
        <f>AVERAGEIF('2025'!$C:$C,Sheet1!$B63,'2025'!$P:$P)</f>
        <v>1.0693352400230458</v>
      </c>
    </row>
    <row r="64" spans="1:7" ht="14.5">
      <c r="A64" s="142">
        <f t="shared" si="2"/>
        <v>62</v>
      </c>
      <c r="B64" s="150">
        <v>45757</v>
      </c>
      <c r="C64" s="142">
        <f>SUMIF('2025'!$C:$C,Sheet1!$B64,'2025'!$E:$E)</f>
        <v>188</v>
      </c>
      <c r="D64" s="143">
        <f>SUMIF('2025'!$C:$C,Sheet1!$B64,'2025'!$J:$J)</f>
        <v>0.32435656249942479</v>
      </c>
      <c r="E64" s="143">
        <f t="shared" si="0"/>
        <v>2.0323263894641008E-3</v>
      </c>
      <c r="F64" s="144">
        <f t="shared" si="1"/>
        <v>0.99377329787057811</v>
      </c>
      <c r="G64" s="145">
        <f>AVERAGEIF('2025'!$C:$C,Sheet1!$B64,'2025'!$P:$P)</f>
        <v>1.0897231676431181</v>
      </c>
    </row>
    <row r="65" spans="1:7" ht="14.5">
      <c r="A65" s="142">
        <f t="shared" si="2"/>
        <v>63</v>
      </c>
      <c r="B65" s="150">
        <v>45758</v>
      </c>
      <c r="C65" s="142">
        <f>SUMIF('2025'!$C:$C,Sheet1!$B65,'2025'!$E:$E)</f>
        <v>80</v>
      </c>
      <c r="D65" s="143">
        <f>SUMIF('2025'!$C:$C,Sheet1!$B65,'2025'!$J:$J)</f>
        <v>0.29108796296296302</v>
      </c>
      <c r="E65" s="143">
        <f t="shared" si="0"/>
        <v>3.5300925925925875E-2</v>
      </c>
      <c r="F65" s="144">
        <f t="shared" si="1"/>
        <v>0.89184397163120588</v>
      </c>
      <c r="G65" s="145">
        <f>AVERAGEIF('2025'!$C:$C,Sheet1!$B65,'2025'!$P:$P)</f>
        <v>1.1044140835667902</v>
      </c>
    </row>
    <row r="66" spans="1:7" ht="14.5">
      <c r="A66" s="142">
        <f t="shared" si="2"/>
        <v>64</v>
      </c>
      <c r="B66" s="150">
        <v>45761</v>
      </c>
      <c r="C66" s="142">
        <f>SUMIF('2025'!$C:$C,Sheet1!$B66,'2025'!$E:$E)</f>
        <v>47</v>
      </c>
      <c r="D66" s="143">
        <f>SUMIF('2025'!$C:$C,Sheet1!$B66,'2025'!$J:$J)</f>
        <v>0.32356481481481486</v>
      </c>
      <c r="E66" s="143">
        <f t="shared" si="0"/>
        <v>2.8240740740740344E-3</v>
      </c>
      <c r="F66" s="144">
        <f t="shared" si="1"/>
        <v>0.99134751773049656</v>
      </c>
      <c r="G66" s="145">
        <f>AVERAGEIF('2025'!$C:$C,Sheet1!$B66,'2025'!$P:$P)</f>
        <v>1.0805392357207801</v>
      </c>
    </row>
    <row r="67" spans="1:7" ht="14.5">
      <c r="A67" s="142">
        <f t="shared" si="2"/>
        <v>65</v>
      </c>
      <c r="B67" s="150">
        <v>45762</v>
      </c>
      <c r="C67" s="142">
        <f>SUMIF('2025'!$C:$C,Sheet1!$B67,'2025'!$E:$E)</f>
        <v>43</v>
      </c>
      <c r="D67" s="143">
        <f>SUMIF('2025'!$C:$C,Sheet1!$B67,'2025'!$J:$J)</f>
        <v>0.23569457176395828</v>
      </c>
      <c r="E67" s="143">
        <f t="shared" si="0"/>
        <v>9.0694317124930618E-2</v>
      </c>
      <c r="F67" s="144">
        <f t="shared" si="1"/>
        <v>0.72212804965978705</v>
      </c>
      <c r="G67" s="145">
        <f>AVERAGEIF('2025'!$C:$C,Sheet1!$B67,'2025'!$P:$P)</f>
        <v>1.0888842547747419</v>
      </c>
    </row>
    <row r="68" spans="1:7" ht="14.5">
      <c r="A68" s="142">
        <f t="shared" si="2"/>
        <v>66</v>
      </c>
      <c r="B68" s="150">
        <v>45763</v>
      </c>
      <c r="C68" s="142">
        <f>SUMIF('2025'!$C:$C,Sheet1!$B68,'2025'!$E:$E)</f>
        <v>41</v>
      </c>
      <c r="D68" s="143">
        <f>SUMIF('2025'!$C:$C,Sheet1!$B68,'2025'!$J:$J)</f>
        <v>0.20196759259259256</v>
      </c>
      <c r="E68" s="143">
        <f t="shared" ref="E68:E88" si="9">IF($H$1&gt;D68,$H$1-D68,0)</f>
        <v>0.12442129629629634</v>
      </c>
      <c r="F68" s="144">
        <f t="shared" ref="F68:F88" si="10">D68/$H$1</f>
        <v>0.61879432624113462</v>
      </c>
      <c r="G68" s="145">
        <f>AVERAGEIF('2025'!$C:$C,Sheet1!$B68,'2025'!$P:$P)</f>
        <v>1.0998741271346399</v>
      </c>
    </row>
    <row r="69" spans="1:7" ht="14.5">
      <c r="A69" s="142">
        <f t="shared" ref="A69:A88" si="11">A68+1</f>
        <v>67</v>
      </c>
      <c r="B69" s="150">
        <v>45764</v>
      </c>
      <c r="C69" s="142">
        <f>SUMIF('2025'!$C:$C,Sheet1!$B69,'2025'!$E:$E)</f>
        <v>41</v>
      </c>
      <c r="D69" s="143">
        <f>SUMIF('2025'!$C:$C,Sheet1!$B69,'2025'!$J:$J)</f>
        <v>0.31748842592592585</v>
      </c>
      <c r="E69" s="143">
        <f t="shared" si="9"/>
        <v>8.9004629629630405E-3</v>
      </c>
      <c r="F69" s="144">
        <f t="shared" si="10"/>
        <v>0.97273049645390042</v>
      </c>
      <c r="G69" s="145">
        <f>AVERAGEIF('2025'!$C:$C,Sheet1!$B69,'2025'!$P:$P)</f>
        <v>1.0952073155201028</v>
      </c>
    </row>
    <row r="70" spans="1:7" ht="14.5">
      <c r="A70" s="142">
        <f t="shared" si="11"/>
        <v>68</v>
      </c>
      <c r="B70" s="150">
        <v>45769</v>
      </c>
      <c r="C70" s="142">
        <f>SUMIF('2025'!$C:$C,Sheet1!$B70,'2025'!$E:$E)</f>
        <v>33</v>
      </c>
      <c r="D70" s="143">
        <f>SUMIF('2025'!$C:$C,Sheet1!$B70,'2025'!$J:$J)</f>
        <v>0.32353009259259258</v>
      </c>
      <c r="E70" s="143">
        <f t="shared" si="9"/>
        <v>2.8587962962963176E-3</v>
      </c>
      <c r="F70" s="144">
        <f t="shared" si="10"/>
        <v>0.991241134751773</v>
      </c>
      <c r="G70" s="145">
        <f>AVERAGEIF('2025'!$C:$C,Sheet1!$B70,'2025'!$P:$P)</f>
        <v>1.098569148728737</v>
      </c>
    </row>
    <row r="71" spans="1:7" ht="14.5">
      <c r="A71" s="142">
        <f t="shared" si="11"/>
        <v>69</v>
      </c>
      <c r="B71" s="150">
        <v>45770</v>
      </c>
      <c r="C71" s="142">
        <f>SUMIF('2025'!$C:$C,Sheet1!$B71,'2025'!$E:$E)</f>
        <v>40</v>
      </c>
      <c r="D71" s="143">
        <f>SUMIF('2025'!$C:$C,Sheet1!$B71,'2025'!$J:$J)</f>
        <v>0.32287206018490167</v>
      </c>
      <c r="E71" s="143">
        <f t="shared" si="9"/>
        <v>3.5168287039872292E-3</v>
      </c>
      <c r="F71" s="144">
        <f t="shared" si="10"/>
        <v>0.98922503546012419</v>
      </c>
      <c r="G71" s="145">
        <f>AVERAGEIF('2025'!$C:$C,Sheet1!$B71,'2025'!$P:$P)</f>
        <v>1.1502209676449677</v>
      </c>
    </row>
    <row r="72" spans="1:7" ht="14.5">
      <c r="A72" s="142">
        <f t="shared" si="11"/>
        <v>70</v>
      </c>
      <c r="B72" s="150">
        <v>45771</v>
      </c>
      <c r="C72" s="142">
        <f>SUMIF('2025'!$C:$C,Sheet1!$B72,'2025'!$E:$E)</f>
        <v>164</v>
      </c>
      <c r="D72" s="143">
        <f>SUMIF('2025'!$C:$C,Sheet1!$B72,'2025'!$J:$J)</f>
        <v>0.29713900463055187</v>
      </c>
      <c r="E72" s="143">
        <f t="shared" si="9"/>
        <v>2.9249884258337022E-2</v>
      </c>
      <c r="F72" s="144">
        <f t="shared" si="10"/>
        <v>0.91038333333615895</v>
      </c>
      <c r="G72" s="145">
        <f>AVERAGEIF('2025'!$C:$C,Sheet1!$B72,'2025'!$P:$P)</f>
        <v>1.1016204092144164</v>
      </c>
    </row>
    <row r="73" spans="1:7" ht="14.5">
      <c r="A73" s="142">
        <f t="shared" si="11"/>
        <v>71</v>
      </c>
      <c r="B73" s="150">
        <v>45772</v>
      </c>
      <c r="C73" s="142">
        <f>SUMIF('2025'!$C:$C,Sheet1!$B73,'2025'!$E:$E)</f>
        <v>109</v>
      </c>
      <c r="D73" s="143">
        <f>SUMIF('2025'!$C:$C,Sheet1!$B73,'2025'!$J:$J)</f>
        <v>0.25643821759446939</v>
      </c>
      <c r="E73" s="143">
        <f t="shared" si="9"/>
        <v>6.9950671294419509E-2</v>
      </c>
      <c r="F73" s="144">
        <f t="shared" si="10"/>
        <v>0.78568304965114022</v>
      </c>
      <c r="G73" s="145">
        <f>AVERAGEIF('2025'!$C:$C,Sheet1!$B73,'2025'!$P:$P)</f>
        <v>1.0832947759462839</v>
      </c>
    </row>
    <row r="74" spans="1:7" ht="14.5">
      <c r="A74" s="142">
        <f t="shared" si="11"/>
        <v>72</v>
      </c>
      <c r="B74" s="150">
        <v>45775</v>
      </c>
      <c r="C74" s="142">
        <f>SUMIF('2025'!$C:$C,Sheet1!$B74,'2025'!$E:$E)</f>
        <v>184</v>
      </c>
      <c r="D74" s="143">
        <f>SUMIF('2025'!$C:$C,Sheet1!$B74,'2025'!$J:$J)</f>
        <v>0.32163694444608326</v>
      </c>
      <c r="E74" s="143">
        <f t="shared" si="9"/>
        <v>4.7519444428056334E-3</v>
      </c>
      <c r="F74" s="144">
        <f t="shared" si="10"/>
        <v>0.98544085106885082</v>
      </c>
      <c r="G74" s="145">
        <f>AVERAGEIF('2025'!$C:$C,Sheet1!$B74,'2025'!$P:$P)</f>
        <v>1.0842814816387834</v>
      </c>
    </row>
    <row r="75" spans="1:7" ht="14.5">
      <c r="A75" s="142">
        <f t="shared" si="11"/>
        <v>73</v>
      </c>
      <c r="B75" s="150">
        <v>45776</v>
      </c>
      <c r="C75" s="142">
        <f>SUMIF('2025'!$C:$C,Sheet1!$B75,'2025'!$E:$E)</f>
        <v>146</v>
      </c>
      <c r="D75" s="143">
        <f>SUMIF('2025'!$C:$C,Sheet1!$B75,'2025'!$J:$J)</f>
        <v>0.29053240740740743</v>
      </c>
      <c r="E75" s="143">
        <f t="shared" si="9"/>
        <v>3.5856481481481461E-2</v>
      </c>
      <c r="F75" s="144">
        <f t="shared" si="10"/>
        <v>0.89014184397163132</v>
      </c>
      <c r="G75" s="145">
        <f>AVERAGEIF('2025'!$C:$C,Sheet1!$B75,'2025'!$P:$P)</f>
        <v>1.1038619722107412</v>
      </c>
    </row>
    <row r="76" spans="1:7" ht="14.5">
      <c r="A76" s="142">
        <f t="shared" si="11"/>
        <v>74</v>
      </c>
      <c r="B76" s="150">
        <v>45777</v>
      </c>
      <c r="C76" s="142">
        <f>SUMIF('2025'!$C:$C,Sheet1!$B76,'2025'!$E:$E)</f>
        <v>65</v>
      </c>
      <c r="D76" s="143">
        <f>SUMIF('2025'!$C:$C,Sheet1!$B76,'2025'!$J:$J)</f>
        <v>0.29389093750460438</v>
      </c>
      <c r="E76" s="143">
        <f t="shared" si="9"/>
        <v>3.2497951384284518E-2</v>
      </c>
      <c r="F76" s="144">
        <f t="shared" si="10"/>
        <v>0.90043180852474536</v>
      </c>
      <c r="G76" s="145">
        <f>AVERAGEIF('2025'!$C:$C,Sheet1!$B76,'2025'!$P:$P)</f>
        <v>1.0990808664397016</v>
      </c>
    </row>
    <row r="77" spans="1:7" ht="14.5">
      <c r="A77" s="142">
        <f t="shared" si="11"/>
        <v>75</v>
      </c>
      <c r="B77" s="150">
        <v>45810</v>
      </c>
      <c r="C77" s="142">
        <f>SUMIF('2025'!$C:$C,Sheet1!$B77,'2025'!$E:$E)</f>
        <v>27</v>
      </c>
      <c r="D77" s="143">
        <f>SUMIF('2025'!$C:$C,Sheet1!$B77,'2025'!$J:$J)</f>
        <v>0.26827546296296301</v>
      </c>
      <c r="E77" s="143">
        <f t="shared" si="9"/>
        <v>5.8113425925925888E-2</v>
      </c>
      <c r="F77" s="144">
        <f t="shared" si="10"/>
        <v>0.82195035460992916</v>
      </c>
      <c r="G77" s="145">
        <f>AVERAGEIF('2025'!$C:$C,Sheet1!$B77,'2025'!$P:$P)</f>
        <v>1.0954420714987794</v>
      </c>
    </row>
    <row r="78" spans="1:7" ht="14.5">
      <c r="A78" s="142">
        <f t="shared" si="11"/>
        <v>76</v>
      </c>
      <c r="B78" s="150">
        <v>45811</v>
      </c>
      <c r="C78" s="142">
        <f>SUMIF('2025'!$C:$C,Sheet1!$B78,'2025'!$E:$E)</f>
        <v>39</v>
      </c>
      <c r="D78" s="143">
        <f>SUMIF('2025'!$C:$C,Sheet1!$B78,'2025'!$J:$J)</f>
        <v>0.252037037037037</v>
      </c>
      <c r="E78" s="143">
        <f t="shared" si="9"/>
        <v>7.4351851851851891E-2</v>
      </c>
      <c r="F78" s="145">
        <f t="shared" si="10"/>
        <v>0.77219858156028354</v>
      </c>
      <c r="G78" s="145">
        <f>AVERAGEIF('2025'!$C:$C,Sheet1!$B78,'2025'!$P:$P)</f>
        <v>1.0873086284766167</v>
      </c>
    </row>
    <row r="79" spans="1:7" ht="14.5">
      <c r="A79" s="142">
        <f t="shared" si="11"/>
        <v>77</v>
      </c>
      <c r="B79" s="150">
        <v>45812</v>
      </c>
      <c r="C79" s="142">
        <f>SUMIF('2025'!$C:$C,Sheet1!$B79,'2025'!$E:$E)</f>
        <v>64</v>
      </c>
      <c r="D79" s="143">
        <f>SUMIF('2025'!$C:$C,Sheet1!$B79,'2025'!$J:$J)</f>
        <v>0.23758101851851846</v>
      </c>
      <c r="E79" s="143">
        <f t="shared" si="9"/>
        <v>8.880787037037044E-2</v>
      </c>
      <c r="F79" s="144">
        <f t="shared" si="10"/>
        <v>0.72790780141843947</v>
      </c>
      <c r="G79" s="145">
        <f>AVERAGEIF('2025'!$C:$C,Sheet1!$B79,'2025'!$P:$P)</f>
        <v>1.0985124920228446</v>
      </c>
    </row>
    <row r="80" spans="1:7" ht="14.5">
      <c r="A80" s="142">
        <f t="shared" si="11"/>
        <v>78</v>
      </c>
      <c r="B80" s="150">
        <v>45813</v>
      </c>
      <c r="C80" s="142">
        <f>SUMIF('2025'!$C:$C,Sheet1!$B80,'2025'!$E:$E)</f>
        <v>52</v>
      </c>
      <c r="D80" s="143">
        <f>SUMIF('2025'!$C:$C,Sheet1!$B80,'2025'!$J:$J)</f>
        <v>0.29510416666666667</v>
      </c>
      <c r="E80" s="143">
        <f t="shared" si="9"/>
        <v>3.1284722222222228E-2</v>
      </c>
      <c r="F80" s="144">
        <f t="shared" si="10"/>
        <v>0.90414893617021275</v>
      </c>
      <c r="G80" s="145">
        <f>AVERAGEIF('2025'!$C:$C,Sheet1!$B80,'2025'!$P:$P)</f>
        <v>1.0977706506526226</v>
      </c>
    </row>
    <row r="81" spans="1:7" ht="14.5">
      <c r="A81" s="142">
        <f t="shared" si="11"/>
        <v>79</v>
      </c>
      <c r="B81" s="150">
        <v>45819</v>
      </c>
      <c r="C81" s="142">
        <f>SUMIF('2025'!$C:$C,Sheet1!$B81,'2025'!$E:$E)</f>
        <v>102</v>
      </c>
      <c r="D81" s="143">
        <f>SUMIF('2025'!$C:$C,Sheet1!$B81,'2025'!$J:$J)</f>
        <v>0.31711218749595532</v>
      </c>
      <c r="E81" s="143">
        <f t="shared" si="9"/>
        <v>9.2767013929335729E-3</v>
      </c>
      <c r="F81" s="144">
        <f t="shared" si="10"/>
        <v>0.97157776594505463</v>
      </c>
      <c r="G81" s="145">
        <f>AVERAGEIF('2025'!$C:$C,Sheet1!$B81,'2025'!$P:$P)</f>
        <v>1.0909180286128375</v>
      </c>
    </row>
    <row r="82" spans="1:7" ht="14.5">
      <c r="A82" s="142">
        <f t="shared" si="11"/>
        <v>80</v>
      </c>
      <c r="B82" s="150">
        <v>45820</v>
      </c>
      <c r="C82" s="142">
        <f>SUMIF('2025'!$C:$C,Sheet1!$B82,'2025'!$E:$E)</f>
        <v>49</v>
      </c>
      <c r="D82" s="143">
        <f>SUMIF('2025'!$C:$C,Sheet1!$B82,'2025'!$J:$J)</f>
        <v>0.28547453703703701</v>
      </c>
      <c r="E82" s="143">
        <f t="shared" si="9"/>
        <v>4.0914351851851882E-2</v>
      </c>
      <c r="F82" s="144">
        <f t="shared" si="10"/>
        <v>0.8746453900709219</v>
      </c>
      <c r="G82" s="145">
        <f>AVERAGEIF('2025'!$C:$C,Sheet1!$B82,'2025'!$P:$P)</f>
        <v>1.0979424017988759</v>
      </c>
    </row>
    <row r="83" spans="1:7" ht="14.5">
      <c r="A83" s="142">
        <f t="shared" si="11"/>
        <v>81</v>
      </c>
      <c r="B83" s="150">
        <v>45821</v>
      </c>
      <c r="C83" s="142">
        <f>SUMIF('2025'!$C:$C,Sheet1!$B83,'2025'!$E:$E)</f>
        <v>51</v>
      </c>
      <c r="D83" s="143">
        <f>SUMIF('2025'!$C:$C,Sheet1!$B83,'2025'!$J:$J)</f>
        <v>0.31457175925925929</v>
      </c>
      <c r="E83" s="143">
        <f t="shared" si="9"/>
        <v>1.1817129629629608E-2</v>
      </c>
      <c r="F83" s="144">
        <f t="shared" si="10"/>
        <v>0.96379432624113481</v>
      </c>
      <c r="G83" s="145">
        <f>AVERAGEIF('2025'!$C:$C,Sheet1!$B83,'2025'!$P:$P)</f>
        <v>1.0923025613850381</v>
      </c>
    </row>
    <row r="84" spans="1:7" ht="14.5">
      <c r="A84" s="142">
        <f t="shared" si="11"/>
        <v>82</v>
      </c>
      <c r="B84" s="150">
        <v>45824</v>
      </c>
      <c r="C84" s="142">
        <f>SUMIF('2025'!$C:$C,Sheet1!$B84,'2025'!$E:$E)</f>
        <v>110</v>
      </c>
      <c r="D84" s="143">
        <f>SUMIF('2025'!$C:$C,Sheet1!$B84,'2025'!$J:$J)</f>
        <v>0.30585648148148148</v>
      </c>
      <c r="E84" s="143">
        <f t="shared" si="9"/>
        <v>2.0532407407407416E-2</v>
      </c>
      <c r="F84" s="144">
        <f t="shared" si="10"/>
        <v>0.93709219858156023</v>
      </c>
      <c r="G84" s="145">
        <f>AVERAGEIF('2025'!$C:$C,Sheet1!$B84,'2025'!$P:$P)</f>
        <v>1.0985606674064738</v>
      </c>
    </row>
    <row r="85" spans="1:7" ht="14.5">
      <c r="A85" s="142">
        <f t="shared" si="11"/>
        <v>83</v>
      </c>
      <c r="B85" s="150">
        <v>45825</v>
      </c>
      <c r="C85" s="142">
        <f>SUMIF('2025'!$C:$C,Sheet1!$B85,'2025'!$E:$E)</f>
        <v>109</v>
      </c>
      <c r="D85" s="143">
        <f>SUMIF('2025'!$C:$C,Sheet1!$B85,'2025'!$J:$J)</f>
        <v>0.29856481481481478</v>
      </c>
      <c r="E85" s="143">
        <f t="shared" si="9"/>
        <v>2.7824074074074112E-2</v>
      </c>
      <c r="F85" s="144">
        <f t="shared" si="10"/>
        <v>0.91475177304964528</v>
      </c>
      <c r="G85" s="145">
        <f>AVERAGEIF('2025'!$C:$C,Sheet1!$B85,'2025'!$P:$P)</f>
        <v>1.10327263648121</v>
      </c>
    </row>
    <row r="86" spans="1:7" ht="14.5">
      <c r="A86" s="142">
        <f t="shared" si="11"/>
        <v>84</v>
      </c>
      <c r="B86" s="150">
        <v>45827</v>
      </c>
      <c r="C86" s="142">
        <f>SUMIF('2025'!$C:$C,Sheet1!$B86,'2025'!$E:$E)</f>
        <v>180</v>
      </c>
      <c r="D86" s="143">
        <f>SUMIF('2025'!$C:$C,Sheet1!$B86,'2025'!$J:$J)</f>
        <v>0.32015046296296301</v>
      </c>
      <c r="E86" s="143">
        <f t="shared" si="9"/>
        <v>6.2384259259258834E-3</v>
      </c>
      <c r="F86" s="144">
        <f t="shared" si="10"/>
        <v>0.98088652482269512</v>
      </c>
      <c r="G86" s="145">
        <f>AVERAGEIF('2025'!$C:$C,Sheet1!$B86,'2025'!$P:$P)</f>
        <v>1.0871975369465814</v>
      </c>
    </row>
    <row r="87" spans="1:7" ht="14.5">
      <c r="A87" s="142">
        <f t="shared" si="11"/>
        <v>85</v>
      </c>
      <c r="B87" s="150">
        <v>45828</v>
      </c>
      <c r="C87" s="142">
        <f>SUMIF('2025'!$C:$C,Sheet1!$B87,'2025'!$E:$E)</f>
        <v>77</v>
      </c>
      <c r="D87" s="143">
        <f>SUMIF('2025'!$C:$C,Sheet1!$B87,'2025'!$J:$J)</f>
        <v>0.25031250000000005</v>
      </c>
      <c r="E87" s="143">
        <f t="shared" si="9"/>
        <v>7.6076388888888846E-2</v>
      </c>
      <c r="F87" s="145">
        <f t="shared" si="10"/>
        <v>0.76691489361702136</v>
      </c>
      <c r="G87" s="145">
        <f>AVERAGEIF('2025'!$C:$C,Sheet1!$B87,'2025'!$P:$P)</f>
        <v>1.0926938494041853</v>
      </c>
    </row>
    <row r="88" spans="1:7" ht="14.5">
      <c r="A88" s="142">
        <f t="shared" si="11"/>
        <v>86</v>
      </c>
      <c r="B88" s="150">
        <v>45831</v>
      </c>
      <c r="C88" s="142">
        <f>SUMIF('2025'!$C:$C,Sheet1!$B88,'2025'!$E:$E)</f>
        <v>114</v>
      </c>
      <c r="D88" s="143">
        <f>SUMIF('2025'!$C:$C,Sheet1!$B88,'2025'!$J:$J)</f>
        <v>0.33529975694662428</v>
      </c>
      <c r="E88" s="143">
        <f t="shared" si="9"/>
        <v>0</v>
      </c>
      <c r="F88" s="144">
        <f t="shared" si="10"/>
        <v>1.0273013829854021</v>
      </c>
      <c r="G88" s="145">
        <f>AVERAGEIF('2025'!$C:$C,Sheet1!$B88,'2025'!$P:$P)</f>
        <v>1.1134048104382051</v>
      </c>
    </row>
  </sheetData>
  <autoFilter ref="A2:G88" xr:uid="{D48A9F90-284D-4E1F-B0D4-08F5E5C03E01}"/>
  <mergeCells count="5">
    <mergeCell ref="B1:G1"/>
    <mergeCell ref="I7:N7"/>
    <mergeCell ref="I2:N2"/>
    <mergeCell ref="I12:N12"/>
    <mergeCell ref="J17:N17"/>
  </mergeCells>
  <conditionalFormatting sqref="G3:G88">
    <cfRule type="cellIs" dxfId="5" priority="6" operator="lessThan">
      <formula>0.9701</formula>
    </cfRule>
    <cfRule type="cellIs" dxfId="4" priority="5" operator="between">
      <formula>0.9701</formula>
      <formula>1.08</formula>
    </cfRule>
    <cfRule type="cellIs" dxfId="3" priority="4" operator="greaterThan">
      <formula>1.0801</formula>
    </cfRule>
  </conditionalFormatting>
  <conditionalFormatting sqref="F3:F88">
    <cfRule type="cellIs" dxfId="2" priority="3" operator="lessThan">
      <formula>0.7501</formula>
    </cfRule>
    <cfRule type="cellIs" dxfId="0" priority="2" stopIfTrue="1" operator="between">
      <formula>0.7501</formula>
      <formula>0.98</formula>
    </cfRule>
    <cfRule type="cellIs" dxfId="1" priority="1" operator="greaterThan">
      <formula>0.98</formula>
    </cfRule>
  </conditionalFormatting>
  <pageMargins left="0.7" right="0.7" top="0.75" bottom="0.75" header="0.3" footer="0.3"/>
  <pageSetup paperSize="9" orientation="portrait" r:id="rId1"/>
  <ignoredErrors>
    <ignoredError sqref="D3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101"/>
  <sheetViews>
    <sheetView workbookViewId="0"/>
  </sheetViews>
  <sheetFormatPr defaultColWidth="12.6328125" defaultRowHeight="15.75" customHeight="1"/>
  <cols>
    <col min="2" max="2" width="20.36328125" customWidth="1"/>
    <col min="8" max="8" width="14.7265625" customWidth="1"/>
    <col min="9" max="9" width="13.26953125" customWidth="1"/>
    <col min="10" max="10" width="13.6328125" customWidth="1"/>
    <col min="11" max="11" width="12.90625" customWidth="1"/>
    <col min="12" max="12" width="13.36328125" customWidth="1"/>
    <col min="13" max="13" width="8.453125" customWidth="1"/>
    <col min="14" max="14" width="10.26953125" customWidth="1"/>
  </cols>
  <sheetData>
    <row r="1" spans="1:21" ht="15.75" customHeight="1">
      <c r="A1" s="4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P1" s="5" t="s">
        <v>0</v>
      </c>
      <c r="Q1" s="5" t="s">
        <v>4</v>
      </c>
      <c r="R1" s="5" t="s">
        <v>14</v>
      </c>
      <c r="S1" s="5" t="s">
        <v>15</v>
      </c>
      <c r="T1" s="5" t="s">
        <v>13</v>
      </c>
      <c r="U1" s="4">
        <v>0.33333333333333331</v>
      </c>
    </row>
    <row r="2" spans="1:21" ht="15.75" customHeight="1">
      <c r="A2" s="6">
        <v>45329</v>
      </c>
      <c r="B2" s="7" t="s">
        <v>99</v>
      </c>
      <c r="C2" s="7">
        <v>1</v>
      </c>
      <c r="D2" s="100">
        <f>IFERROR(VLOOKUP($B2,Task!$B$1:$G$49,6,0)," ")</f>
        <v>5.2083333333333336E-2</v>
      </c>
      <c r="E2" s="100">
        <f t="shared" ref="E2:E101" si="0">IFERROR(D2*C2," ")</f>
        <v>5.2083333333333336E-2</v>
      </c>
      <c r="F2" s="100">
        <v>0.41666666666666669</v>
      </c>
      <c r="G2" s="100">
        <v>0.64583333333333337</v>
      </c>
      <c r="H2" s="100">
        <f t="shared" ref="H2:H101" si="1">IF(L2=" ",IF(F2=0," ",G2-F2),((G2-F2)-L2))</f>
        <v>0.22916666666666669</v>
      </c>
      <c r="I2" s="52">
        <f t="shared" ref="I2:I101" si="2">IFERROR(IF(L2=" ",(F2+E2),(F2+E2+L2)),"")</f>
        <v>0.46875</v>
      </c>
      <c r="J2" s="100"/>
      <c r="K2" s="100"/>
      <c r="L2" s="100" t="str">
        <f t="shared" ref="L2:L101" si="3">IF(OR(J2=0,K2=0)," ",K2-J2)</f>
        <v xml:space="preserve"> </v>
      </c>
      <c r="M2" s="51"/>
      <c r="N2" s="16">
        <f t="shared" ref="N2:N101" si="4">IFERROR(E2/H2," ")</f>
        <v>0.22727272727272727</v>
      </c>
      <c r="P2" s="14">
        <f ca="1">IFERROR(__xludf.DUMMYFUNCTION("UNIQUE($A$2:$A$1000)"),45329)</f>
        <v>45329</v>
      </c>
      <c r="Q2" s="15">
        <f t="shared" ref="Q2:Q4" ca="1" si="5">SUMIF($A:$A,$P2,$E:$E)</f>
        <v>0.1673611111111111</v>
      </c>
      <c r="R2" s="15">
        <f t="shared" ref="R2:R4" ca="1" si="6">SUMIF($A:$A,$P2,$H:$H)</f>
        <v>0.34410383102069053</v>
      </c>
      <c r="S2" s="15">
        <f t="shared" ref="S2:S7" ca="1" si="7">IF(R2=0," ",$U$1-R2)</f>
        <v>-1.0770497687357217E-2</v>
      </c>
      <c r="T2" s="16">
        <f t="shared" ref="T2:T4" ca="1" si="8">AVERAGEIF($A:$A,$P2,$N:$N)</f>
        <v>0.7918528791623265</v>
      </c>
    </row>
    <row r="3" spans="1:21" ht="15.75" customHeight="1">
      <c r="A3" s="32">
        <v>45329</v>
      </c>
      <c r="B3" s="7" t="s">
        <v>44</v>
      </c>
      <c r="C3" s="7">
        <v>2</v>
      </c>
      <c r="D3" s="100">
        <f>IFERROR(VLOOKUP($B3,Task!$B$1:$G$49,6,0)," ")</f>
        <v>3.472222222222222E-3</v>
      </c>
      <c r="E3" s="100">
        <f t="shared" si="0"/>
        <v>6.9444444444444441E-3</v>
      </c>
      <c r="F3" s="100">
        <v>0.42321368055127095</v>
      </c>
      <c r="G3" s="54">
        <v>0.43094907407407407</v>
      </c>
      <c r="H3" s="100">
        <f t="shared" si="1"/>
        <v>7.7353935228031134E-3</v>
      </c>
      <c r="I3" s="52">
        <f t="shared" si="2"/>
        <v>0.43015812499571537</v>
      </c>
      <c r="J3" s="51"/>
      <c r="K3" s="51"/>
      <c r="L3" s="51" t="str">
        <f t="shared" si="3"/>
        <v xml:space="preserve"> </v>
      </c>
      <c r="M3" s="51"/>
      <c r="N3" s="16">
        <f t="shared" si="4"/>
        <v>0.89774934190134792</v>
      </c>
      <c r="P3" s="20">
        <f ca="1">IFERROR(__xludf.DUMMYFUNCTION("""COMPUTED_VALUE"""),45330)</f>
        <v>45330</v>
      </c>
      <c r="Q3" s="15">
        <f t="shared" ca="1" si="5"/>
        <v>6.9444444444444441E-3</v>
      </c>
      <c r="R3" s="15">
        <f t="shared" ca="1" si="6"/>
        <v>7.6134733795651888E-2</v>
      </c>
      <c r="S3" s="15">
        <f t="shared" ca="1" si="7"/>
        <v>0.25719859953768143</v>
      </c>
      <c r="T3" s="16">
        <f t="shared" ca="1" si="8"/>
        <v>1.0263305090114101</v>
      </c>
    </row>
    <row r="4" spans="1:21" ht="15.75" customHeight="1">
      <c r="A4" s="32">
        <v>45329</v>
      </c>
      <c r="B4" s="7" t="s">
        <v>29</v>
      </c>
      <c r="C4" s="7">
        <v>17</v>
      </c>
      <c r="D4" s="100">
        <f>IFERROR(VLOOKUP($B4,Task!$B$1:$G$49,6,0)," ")</f>
        <v>2.0833333333333333E-3</v>
      </c>
      <c r="E4" s="100">
        <f t="shared" si="0"/>
        <v>3.5416666666666666E-2</v>
      </c>
      <c r="F4" s="100">
        <v>0.43119212962962961</v>
      </c>
      <c r="G4" s="54">
        <v>0.46492554397991626</v>
      </c>
      <c r="H4" s="100">
        <f t="shared" si="1"/>
        <v>3.373341435028665E-2</v>
      </c>
      <c r="I4" s="52">
        <f t="shared" si="2"/>
        <v>0.46660879629629626</v>
      </c>
      <c r="J4" s="51"/>
      <c r="K4" s="51"/>
      <c r="L4" s="51" t="str">
        <f t="shared" si="3"/>
        <v xml:space="preserve"> </v>
      </c>
      <c r="M4" s="51"/>
      <c r="N4" s="16">
        <f t="shared" si="4"/>
        <v>1.0498986642413715</v>
      </c>
      <c r="P4" s="20">
        <f ca="1">IFERROR(__xludf.DUMMYFUNCTION("""COMPUTED_VALUE"""),45331)</f>
        <v>45331</v>
      </c>
      <c r="Q4" s="15">
        <f t="shared" ca="1" si="5"/>
        <v>0.15277777777777779</v>
      </c>
      <c r="R4" s="15">
        <f t="shared" ca="1" si="6"/>
        <v>0.14350950231625814</v>
      </c>
      <c r="S4" s="15">
        <f t="shared" ca="1" si="7"/>
        <v>0.18982383101707517</v>
      </c>
      <c r="T4" s="16">
        <f t="shared" ca="1" si="8"/>
        <v>1.0387169561341296</v>
      </c>
    </row>
    <row r="5" spans="1:21" ht="15.75" customHeight="1">
      <c r="A5" s="32">
        <v>45329</v>
      </c>
      <c r="B5" s="7" t="s">
        <v>105</v>
      </c>
      <c r="C5" s="7">
        <v>42</v>
      </c>
      <c r="D5" s="100">
        <f>IFERROR(VLOOKUP($B5,Task!$B$1:$G$49,6,0)," ")</f>
        <v>1.736111111111111E-3</v>
      </c>
      <c r="E5" s="100">
        <f t="shared" si="0"/>
        <v>7.2916666666666657E-2</v>
      </c>
      <c r="F5" s="100">
        <v>0.50442129629629628</v>
      </c>
      <c r="G5" s="54">
        <v>0.57788965277723037</v>
      </c>
      <c r="H5" s="100">
        <f t="shared" si="1"/>
        <v>7.3468356480934083E-2</v>
      </c>
      <c r="I5" s="52">
        <f t="shared" si="2"/>
        <v>0.57733796296296291</v>
      </c>
      <c r="J5" s="51"/>
      <c r="K5" s="51"/>
      <c r="L5" s="51" t="str">
        <f t="shared" si="3"/>
        <v xml:space="preserve"> </v>
      </c>
      <c r="M5" s="51"/>
      <c r="N5" s="16">
        <f t="shared" si="4"/>
        <v>0.99249078323385942</v>
      </c>
      <c r="P5" s="125"/>
      <c r="Q5" s="125"/>
      <c r="R5" s="125"/>
      <c r="S5" s="15" t="str">
        <f t="shared" si="7"/>
        <v xml:space="preserve"> </v>
      </c>
      <c r="T5" s="16"/>
    </row>
    <row r="6" spans="1:21" ht="15.75" customHeight="1">
      <c r="A6" s="32">
        <v>45330</v>
      </c>
      <c r="B6" s="7" t="s">
        <v>96</v>
      </c>
      <c r="C6" s="7">
        <v>1</v>
      </c>
      <c r="D6" s="100" t="str">
        <f>IFERROR(VLOOKUP($B6,Task!$B$1:$G$49,6,0)," ")</f>
        <v xml:space="preserve"> </v>
      </c>
      <c r="E6" s="100" t="str">
        <f t="shared" si="0"/>
        <v xml:space="preserve"> </v>
      </c>
      <c r="F6" s="100">
        <v>0.32465277777777779</v>
      </c>
      <c r="G6" s="54">
        <v>0.39402122684987262</v>
      </c>
      <c r="H6" s="100">
        <f t="shared" si="1"/>
        <v>6.9368449072094829E-2</v>
      </c>
      <c r="I6" s="52" t="str">
        <f t="shared" si="2"/>
        <v/>
      </c>
      <c r="J6" s="51"/>
      <c r="K6" s="51"/>
      <c r="L6" s="51" t="str">
        <f t="shared" si="3"/>
        <v xml:space="preserve"> </v>
      </c>
      <c r="M6" s="51"/>
      <c r="N6" s="16" t="str">
        <f t="shared" si="4"/>
        <v xml:space="preserve"> </v>
      </c>
      <c r="P6" s="125"/>
      <c r="Q6" s="125"/>
      <c r="R6" s="125"/>
      <c r="S6" s="15" t="str">
        <f t="shared" si="7"/>
        <v xml:space="preserve"> </v>
      </c>
      <c r="T6" s="16"/>
    </row>
    <row r="7" spans="1:21" ht="15.75" customHeight="1">
      <c r="A7" s="32">
        <v>45330</v>
      </c>
      <c r="B7" s="7" t="s">
        <v>42</v>
      </c>
      <c r="C7" s="7">
        <v>1</v>
      </c>
      <c r="D7" s="100">
        <f>IFERROR(VLOOKUP($B7,Task!$B$1:$G$49,6,0)," ")</f>
        <v>6.9444444444444441E-3</v>
      </c>
      <c r="E7" s="100">
        <f t="shared" si="0"/>
        <v>6.9444444444444441E-3</v>
      </c>
      <c r="F7" s="126">
        <v>0.39412037037037034</v>
      </c>
      <c r="G7" s="54">
        <v>0.4008866550939274</v>
      </c>
      <c r="H7" s="100">
        <f t="shared" si="1"/>
        <v>6.7662847235570589E-3</v>
      </c>
      <c r="I7" s="52">
        <f t="shared" si="2"/>
        <v>0.40106481481481476</v>
      </c>
      <c r="J7" s="51"/>
      <c r="K7" s="51"/>
      <c r="L7" s="51" t="str">
        <f t="shared" si="3"/>
        <v xml:space="preserve"> </v>
      </c>
      <c r="M7" s="51"/>
      <c r="N7" s="16">
        <f t="shared" si="4"/>
        <v>1.0263305090114101</v>
      </c>
      <c r="P7" s="125"/>
      <c r="Q7" s="125"/>
      <c r="R7" s="125"/>
      <c r="S7" s="15" t="str">
        <f t="shared" si="7"/>
        <v xml:space="preserve"> </v>
      </c>
      <c r="T7" s="16"/>
    </row>
    <row r="8" spans="1:21" ht="15.75" customHeight="1">
      <c r="A8" s="32">
        <v>45331</v>
      </c>
      <c r="B8" s="7" t="s">
        <v>44</v>
      </c>
      <c r="C8" s="7">
        <v>4</v>
      </c>
      <c r="D8" s="100">
        <f>IFERROR(VLOOKUP($B8,Task!$B$1:$G$49,6,0)," ")</f>
        <v>3.472222222222222E-3</v>
      </c>
      <c r="E8" s="100">
        <f t="shared" si="0"/>
        <v>1.3888888888888888E-2</v>
      </c>
      <c r="F8" s="100">
        <v>0.40675901620124932</v>
      </c>
      <c r="G8" s="54">
        <v>0.42055555555555557</v>
      </c>
      <c r="H8" s="100">
        <f t="shared" si="1"/>
        <v>1.3796539354306248E-2</v>
      </c>
      <c r="I8" s="52">
        <f t="shared" si="2"/>
        <v>0.42064790509013822</v>
      </c>
      <c r="J8" s="51"/>
      <c r="K8" s="51"/>
      <c r="L8" s="51" t="str">
        <f t="shared" si="3"/>
        <v xml:space="preserve"> </v>
      </c>
      <c r="M8" s="51"/>
      <c r="N8" s="16">
        <f t="shared" si="4"/>
        <v>1.0066936738417533</v>
      </c>
    </row>
    <row r="9" spans="1:21" ht="15.75" customHeight="1">
      <c r="A9" s="32">
        <v>45331</v>
      </c>
      <c r="B9" s="7" t="s">
        <v>38</v>
      </c>
      <c r="C9" s="7">
        <v>50</v>
      </c>
      <c r="D9" s="100">
        <f>IFERROR(VLOOKUP($B9,Task!$B$1:$G$49,6,0)," ")</f>
        <v>2.7777777777777779E-3</v>
      </c>
      <c r="E9" s="100">
        <f t="shared" si="0"/>
        <v>0.1388888888888889</v>
      </c>
      <c r="F9" s="100">
        <v>0.52905820601881715</v>
      </c>
      <c r="G9" s="54">
        <v>0.7292939814814815</v>
      </c>
      <c r="H9" s="100">
        <f t="shared" si="1"/>
        <v>0.12971296296195189</v>
      </c>
      <c r="I9" s="52">
        <f t="shared" si="2"/>
        <v>0.73846990740841845</v>
      </c>
      <c r="J9" s="54">
        <v>0.56546211805834901</v>
      </c>
      <c r="K9" s="54">
        <v>0.63598493055906147</v>
      </c>
      <c r="L9" s="127">
        <f t="shared" si="3"/>
        <v>7.0522812500712462E-2</v>
      </c>
      <c r="M9" s="51"/>
      <c r="N9" s="16">
        <f t="shared" si="4"/>
        <v>1.0707402384265059</v>
      </c>
    </row>
    <row r="10" spans="1:21" ht="15.75" customHeight="1">
      <c r="A10" s="128"/>
      <c r="B10" s="51"/>
      <c r="C10" s="51"/>
      <c r="D10" s="100" t="str">
        <f>IFERROR(VLOOKUP($B10,Task!$B$1:$G$49,6,0)," ")</f>
        <v xml:space="preserve"> </v>
      </c>
      <c r="E10" s="100" t="str">
        <f t="shared" si="0"/>
        <v xml:space="preserve"> </v>
      </c>
      <c r="F10" s="100"/>
      <c r="G10" s="51"/>
      <c r="H10" s="100" t="str">
        <f t="shared" si="1"/>
        <v xml:space="preserve"> </v>
      </c>
      <c r="I10" s="52" t="str">
        <f t="shared" si="2"/>
        <v/>
      </c>
      <c r="J10" s="51"/>
      <c r="K10" s="51"/>
      <c r="L10" s="51" t="str">
        <f t="shared" si="3"/>
        <v xml:space="preserve"> </v>
      </c>
      <c r="M10" s="51"/>
      <c r="N10" s="16" t="str">
        <f t="shared" si="4"/>
        <v xml:space="preserve"> </v>
      </c>
    </row>
    <row r="11" spans="1:21" ht="15.75" customHeight="1">
      <c r="A11" s="128"/>
      <c r="B11" s="51"/>
      <c r="C11" s="51"/>
      <c r="D11" s="100" t="str">
        <f>IFERROR(VLOOKUP($B11,Task!$B$1:$G$49,6,0)," ")</f>
        <v xml:space="preserve"> </v>
      </c>
      <c r="E11" s="100" t="str">
        <f t="shared" si="0"/>
        <v xml:space="preserve"> </v>
      </c>
      <c r="F11" s="100"/>
      <c r="G11" s="51"/>
      <c r="H11" s="100" t="str">
        <f t="shared" si="1"/>
        <v xml:space="preserve"> </v>
      </c>
      <c r="I11" s="52" t="str">
        <f t="shared" si="2"/>
        <v/>
      </c>
      <c r="J11" s="51"/>
      <c r="K11" s="51"/>
      <c r="L11" s="51" t="str">
        <f t="shared" si="3"/>
        <v xml:space="preserve"> </v>
      </c>
      <c r="M11" s="51"/>
      <c r="N11" s="16" t="str">
        <f t="shared" si="4"/>
        <v xml:space="preserve"> </v>
      </c>
      <c r="O11" s="4">
        <v>3.1985069443601077E-2</v>
      </c>
    </row>
    <row r="12" spans="1:21" ht="15.75" customHeight="1">
      <c r="A12" s="128"/>
      <c r="B12" s="51"/>
      <c r="C12" s="51"/>
      <c r="D12" s="100" t="str">
        <f>IFERROR(VLOOKUP($B12,Task!$B$1:$G$49,6,0)," ")</f>
        <v xml:space="preserve"> </v>
      </c>
      <c r="E12" s="100" t="str">
        <f t="shared" si="0"/>
        <v xml:space="preserve"> </v>
      </c>
      <c r="F12" s="100"/>
      <c r="G12" s="51"/>
      <c r="H12" s="100" t="str">
        <f t="shared" si="1"/>
        <v xml:space="preserve"> </v>
      </c>
      <c r="I12" s="52" t="str">
        <f t="shared" si="2"/>
        <v/>
      </c>
      <c r="J12" s="51"/>
      <c r="K12" s="51"/>
      <c r="L12" s="51" t="str">
        <f t="shared" si="3"/>
        <v xml:space="preserve"> </v>
      </c>
      <c r="M12" s="51"/>
      <c r="N12" s="16" t="str">
        <f t="shared" si="4"/>
        <v xml:space="preserve"> </v>
      </c>
    </row>
    <row r="13" spans="1:21" ht="15.75" customHeight="1">
      <c r="A13" s="128"/>
      <c r="B13" s="51"/>
      <c r="C13" s="51"/>
      <c r="D13" s="100" t="str">
        <f>IFERROR(VLOOKUP($B13,Task!$B$1:$G$49,6,0)," ")</f>
        <v xml:space="preserve"> </v>
      </c>
      <c r="E13" s="100" t="str">
        <f t="shared" si="0"/>
        <v xml:space="preserve"> </v>
      </c>
      <c r="F13" s="100"/>
      <c r="G13" s="51"/>
      <c r="H13" s="100" t="str">
        <f t="shared" si="1"/>
        <v xml:space="preserve"> </v>
      </c>
      <c r="I13" s="52" t="str">
        <f t="shared" si="2"/>
        <v/>
      </c>
      <c r="J13" s="51"/>
      <c r="K13" s="51"/>
      <c r="L13" s="51" t="str">
        <f t="shared" si="3"/>
        <v xml:space="preserve"> </v>
      </c>
      <c r="M13" s="51"/>
      <c r="N13" s="16" t="str">
        <f t="shared" si="4"/>
        <v xml:space="preserve"> </v>
      </c>
    </row>
    <row r="14" spans="1:21" ht="15.75" customHeight="1">
      <c r="A14" s="128"/>
      <c r="B14" s="51"/>
      <c r="C14" s="51"/>
      <c r="D14" s="100" t="str">
        <f>IFERROR(VLOOKUP($B14,Task!$B$1:$G$49,6,0)," ")</f>
        <v xml:space="preserve"> </v>
      </c>
      <c r="E14" s="100" t="str">
        <f t="shared" si="0"/>
        <v xml:space="preserve"> </v>
      </c>
      <c r="F14" s="100"/>
      <c r="G14" s="51"/>
      <c r="H14" s="100" t="str">
        <f t="shared" si="1"/>
        <v xml:space="preserve"> </v>
      </c>
      <c r="I14" s="52" t="str">
        <f t="shared" si="2"/>
        <v/>
      </c>
      <c r="J14" s="51"/>
      <c r="K14" s="51"/>
      <c r="L14" s="51" t="str">
        <f t="shared" si="3"/>
        <v xml:space="preserve"> </v>
      </c>
      <c r="M14" s="51"/>
      <c r="N14" s="16" t="str">
        <f t="shared" si="4"/>
        <v xml:space="preserve"> </v>
      </c>
    </row>
    <row r="15" spans="1:21" ht="15.75" customHeight="1">
      <c r="A15" s="128"/>
      <c r="B15" s="51"/>
      <c r="C15" s="51"/>
      <c r="D15" s="100" t="str">
        <f>IFERROR(VLOOKUP($B15,Task!$B$1:$G$49,6,0)," ")</f>
        <v xml:space="preserve"> </v>
      </c>
      <c r="E15" s="100" t="str">
        <f t="shared" si="0"/>
        <v xml:space="preserve"> </v>
      </c>
      <c r="F15" s="100"/>
      <c r="G15" s="51"/>
      <c r="H15" s="100" t="str">
        <f t="shared" si="1"/>
        <v xml:space="preserve"> </v>
      </c>
      <c r="I15" s="52" t="str">
        <f t="shared" si="2"/>
        <v/>
      </c>
      <c r="J15" s="51"/>
      <c r="K15" s="51"/>
      <c r="L15" s="51" t="str">
        <f t="shared" si="3"/>
        <v xml:space="preserve"> </v>
      </c>
      <c r="M15" s="51"/>
      <c r="N15" s="16" t="str">
        <f t="shared" si="4"/>
        <v xml:space="preserve"> </v>
      </c>
    </row>
    <row r="16" spans="1:21" ht="15.75" customHeight="1">
      <c r="A16" s="128"/>
      <c r="B16" s="51"/>
      <c r="C16" s="51"/>
      <c r="D16" s="100" t="str">
        <f>IFERROR(VLOOKUP($B16,Task!$B$1:$G$49,6,0)," ")</f>
        <v xml:space="preserve"> </v>
      </c>
      <c r="E16" s="100" t="str">
        <f t="shared" si="0"/>
        <v xml:space="preserve"> </v>
      </c>
      <c r="F16" s="100"/>
      <c r="G16" s="51"/>
      <c r="H16" s="100" t="str">
        <f t="shared" si="1"/>
        <v xml:space="preserve"> </v>
      </c>
      <c r="I16" s="52" t="str">
        <f t="shared" si="2"/>
        <v/>
      </c>
      <c r="J16" s="51"/>
      <c r="K16" s="51"/>
      <c r="L16" s="51" t="str">
        <f t="shared" si="3"/>
        <v xml:space="preserve"> </v>
      </c>
      <c r="M16" s="51"/>
      <c r="N16" s="16" t="str">
        <f t="shared" si="4"/>
        <v xml:space="preserve"> </v>
      </c>
    </row>
    <row r="17" spans="1:14" ht="15.75" customHeight="1">
      <c r="A17" s="128"/>
      <c r="B17" s="51"/>
      <c r="C17" s="51"/>
      <c r="D17" s="100" t="str">
        <f>IFERROR(VLOOKUP($B17,Task!$B$1:$G$49,6,0)," ")</f>
        <v xml:space="preserve"> </v>
      </c>
      <c r="E17" s="100" t="str">
        <f t="shared" si="0"/>
        <v xml:space="preserve"> </v>
      </c>
      <c r="F17" s="100"/>
      <c r="G17" s="51"/>
      <c r="H17" s="100" t="str">
        <f t="shared" si="1"/>
        <v xml:space="preserve"> </v>
      </c>
      <c r="I17" s="52" t="str">
        <f t="shared" si="2"/>
        <v/>
      </c>
      <c r="J17" s="51"/>
      <c r="K17" s="51"/>
      <c r="L17" s="51" t="str">
        <f t="shared" si="3"/>
        <v xml:space="preserve"> </v>
      </c>
      <c r="M17" s="51"/>
      <c r="N17" s="16" t="str">
        <f t="shared" si="4"/>
        <v xml:space="preserve"> </v>
      </c>
    </row>
    <row r="18" spans="1:14" ht="15.75" customHeight="1">
      <c r="A18" s="128"/>
      <c r="B18" s="51"/>
      <c r="C18" s="51"/>
      <c r="D18" s="100" t="str">
        <f>IFERROR(VLOOKUP($B18,Task!$B$1:$G$49,6,0)," ")</f>
        <v xml:space="preserve"> </v>
      </c>
      <c r="E18" s="100" t="str">
        <f t="shared" si="0"/>
        <v xml:space="preserve"> </v>
      </c>
      <c r="F18" s="100"/>
      <c r="G18" s="51"/>
      <c r="H18" s="100" t="str">
        <f t="shared" si="1"/>
        <v xml:space="preserve"> </v>
      </c>
      <c r="I18" s="52" t="str">
        <f t="shared" si="2"/>
        <v/>
      </c>
      <c r="J18" s="51"/>
      <c r="K18" s="51"/>
      <c r="L18" s="51" t="str">
        <f t="shared" si="3"/>
        <v xml:space="preserve"> </v>
      </c>
      <c r="M18" s="51"/>
      <c r="N18" s="16" t="str">
        <f t="shared" si="4"/>
        <v xml:space="preserve"> </v>
      </c>
    </row>
    <row r="19" spans="1:14" ht="15.75" customHeight="1">
      <c r="A19" s="128"/>
      <c r="B19" s="51"/>
      <c r="C19" s="51"/>
      <c r="D19" s="100" t="str">
        <f>IFERROR(VLOOKUP($B19,Task!$B$1:$G$49,6,0)," ")</f>
        <v xml:space="preserve"> </v>
      </c>
      <c r="E19" s="100" t="str">
        <f t="shared" si="0"/>
        <v xml:space="preserve"> </v>
      </c>
      <c r="F19" s="100"/>
      <c r="G19" s="51"/>
      <c r="H19" s="100" t="str">
        <f t="shared" si="1"/>
        <v xml:space="preserve"> </v>
      </c>
      <c r="I19" s="52" t="str">
        <f t="shared" si="2"/>
        <v/>
      </c>
      <c r="J19" s="51"/>
      <c r="K19" s="51"/>
      <c r="L19" s="51" t="str">
        <f t="shared" si="3"/>
        <v xml:space="preserve"> </v>
      </c>
      <c r="M19" s="51"/>
      <c r="N19" s="16" t="str">
        <f t="shared" si="4"/>
        <v xml:space="preserve"> </v>
      </c>
    </row>
    <row r="20" spans="1:14" ht="15.75" customHeight="1">
      <c r="A20" s="128"/>
      <c r="B20" s="51"/>
      <c r="C20" s="51"/>
      <c r="D20" s="100" t="str">
        <f>IFERROR(VLOOKUP($B20,Task!$B$1:$G$49,6,0)," ")</f>
        <v xml:space="preserve"> </v>
      </c>
      <c r="E20" s="100" t="str">
        <f t="shared" si="0"/>
        <v xml:space="preserve"> </v>
      </c>
      <c r="F20" s="100"/>
      <c r="G20" s="51"/>
      <c r="H20" s="100" t="str">
        <f t="shared" si="1"/>
        <v xml:space="preserve"> </v>
      </c>
      <c r="I20" s="52" t="str">
        <f t="shared" si="2"/>
        <v/>
      </c>
      <c r="J20" s="51"/>
      <c r="K20" s="51"/>
      <c r="L20" s="51" t="str">
        <f t="shared" si="3"/>
        <v xml:space="preserve"> </v>
      </c>
      <c r="M20" s="51"/>
      <c r="N20" s="16" t="str">
        <f t="shared" si="4"/>
        <v xml:space="preserve"> </v>
      </c>
    </row>
    <row r="21" spans="1:14" ht="14.5">
      <c r="A21" s="128"/>
      <c r="B21" s="51"/>
      <c r="C21" s="51"/>
      <c r="D21" s="100" t="str">
        <f>IFERROR(VLOOKUP($B21,Task!$B$1:$G$49,6,0)," ")</f>
        <v xml:space="preserve"> </v>
      </c>
      <c r="E21" s="100" t="str">
        <f t="shared" si="0"/>
        <v xml:space="preserve"> </v>
      </c>
      <c r="F21" s="100"/>
      <c r="G21" s="51"/>
      <c r="H21" s="100" t="str">
        <f t="shared" si="1"/>
        <v xml:space="preserve"> </v>
      </c>
      <c r="I21" s="52" t="str">
        <f t="shared" si="2"/>
        <v/>
      </c>
      <c r="J21" s="51"/>
      <c r="K21" s="51"/>
      <c r="L21" s="51" t="str">
        <f t="shared" si="3"/>
        <v xml:space="preserve"> </v>
      </c>
      <c r="M21" s="51"/>
      <c r="N21" s="16" t="str">
        <f t="shared" si="4"/>
        <v xml:space="preserve"> </v>
      </c>
    </row>
    <row r="22" spans="1:14" ht="14.5">
      <c r="A22" s="128"/>
      <c r="B22" s="51"/>
      <c r="C22" s="51"/>
      <c r="D22" s="100" t="str">
        <f>IFERROR(VLOOKUP($B22,Task!$B$1:$G$49,6,0)," ")</f>
        <v xml:space="preserve"> </v>
      </c>
      <c r="E22" s="100" t="str">
        <f t="shared" si="0"/>
        <v xml:space="preserve"> </v>
      </c>
      <c r="F22" s="100"/>
      <c r="G22" s="51"/>
      <c r="H22" s="100" t="str">
        <f t="shared" si="1"/>
        <v xml:space="preserve"> </v>
      </c>
      <c r="I22" s="52" t="str">
        <f t="shared" si="2"/>
        <v/>
      </c>
      <c r="J22" s="51"/>
      <c r="K22" s="51"/>
      <c r="L22" s="51" t="str">
        <f t="shared" si="3"/>
        <v xml:space="preserve"> </v>
      </c>
      <c r="M22" s="51"/>
      <c r="N22" s="16" t="str">
        <f t="shared" si="4"/>
        <v xml:space="preserve"> </v>
      </c>
    </row>
    <row r="23" spans="1:14" ht="14.5">
      <c r="A23" s="128"/>
      <c r="B23" s="51"/>
      <c r="C23" s="51"/>
      <c r="D23" s="100" t="str">
        <f>IFERROR(VLOOKUP($B23,Task!$B$1:$G$49,6,0)," ")</f>
        <v xml:space="preserve"> </v>
      </c>
      <c r="E23" s="100" t="str">
        <f t="shared" si="0"/>
        <v xml:space="preserve"> </v>
      </c>
      <c r="F23" s="100"/>
      <c r="G23" s="51"/>
      <c r="H23" s="100" t="str">
        <f t="shared" si="1"/>
        <v xml:space="preserve"> </v>
      </c>
      <c r="I23" s="52" t="str">
        <f t="shared" si="2"/>
        <v/>
      </c>
      <c r="J23" s="51"/>
      <c r="K23" s="51"/>
      <c r="L23" s="51" t="str">
        <f t="shared" si="3"/>
        <v xml:space="preserve"> </v>
      </c>
      <c r="M23" s="51"/>
      <c r="N23" s="16" t="str">
        <f t="shared" si="4"/>
        <v xml:space="preserve"> </v>
      </c>
    </row>
    <row r="24" spans="1:14" ht="14.5">
      <c r="A24" s="128"/>
      <c r="B24" s="51"/>
      <c r="C24" s="51"/>
      <c r="D24" s="100" t="str">
        <f>IFERROR(VLOOKUP($B24,Task!$B$1:$G$49,6,0)," ")</f>
        <v xml:space="preserve"> </v>
      </c>
      <c r="E24" s="100" t="str">
        <f t="shared" si="0"/>
        <v xml:space="preserve"> </v>
      </c>
      <c r="F24" s="100"/>
      <c r="G24" s="51"/>
      <c r="H24" s="100" t="str">
        <f t="shared" si="1"/>
        <v xml:space="preserve"> </v>
      </c>
      <c r="I24" s="52" t="str">
        <f t="shared" si="2"/>
        <v/>
      </c>
      <c r="J24" s="51"/>
      <c r="K24" s="51"/>
      <c r="L24" s="51" t="str">
        <f t="shared" si="3"/>
        <v xml:space="preserve"> </v>
      </c>
      <c r="M24" s="51"/>
      <c r="N24" s="16" t="str">
        <f t="shared" si="4"/>
        <v xml:space="preserve"> </v>
      </c>
    </row>
    <row r="25" spans="1:14" ht="14.5">
      <c r="A25" s="128"/>
      <c r="B25" s="51"/>
      <c r="C25" s="51"/>
      <c r="D25" s="100" t="str">
        <f>IFERROR(VLOOKUP($B25,Task!$B$1:$G$49,6,0)," ")</f>
        <v xml:space="preserve"> </v>
      </c>
      <c r="E25" s="100" t="str">
        <f t="shared" si="0"/>
        <v xml:space="preserve"> </v>
      </c>
      <c r="F25" s="100"/>
      <c r="G25" s="51"/>
      <c r="H25" s="100" t="str">
        <f t="shared" si="1"/>
        <v xml:space="preserve"> </v>
      </c>
      <c r="I25" s="52" t="str">
        <f t="shared" si="2"/>
        <v/>
      </c>
      <c r="J25" s="51"/>
      <c r="K25" s="51"/>
      <c r="L25" s="51" t="str">
        <f t="shared" si="3"/>
        <v xml:space="preserve"> </v>
      </c>
      <c r="M25" s="51"/>
      <c r="N25" s="16" t="str">
        <f t="shared" si="4"/>
        <v xml:space="preserve"> </v>
      </c>
    </row>
    <row r="26" spans="1:14" ht="14.5">
      <c r="A26" s="128"/>
      <c r="B26" s="51"/>
      <c r="C26" s="51"/>
      <c r="D26" s="100" t="str">
        <f>IFERROR(VLOOKUP($B26,Task!$B$1:$G$49,6,0)," ")</f>
        <v xml:space="preserve"> </v>
      </c>
      <c r="E26" s="100" t="str">
        <f t="shared" si="0"/>
        <v xml:space="preserve"> </v>
      </c>
      <c r="F26" s="100"/>
      <c r="G26" s="51"/>
      <c r="H26" s="100" t="str">
        <f t="shared" si="1"/>
        <v xml:space="preserve"> </v>
      </c>
      <c r="I26" s="52" t="str">
        <f t="shared" si="2"/>
        <v/>
      </c>
      <c r="J26" s="51"/>
      <c r="K26" s="51"/>
      <c r="L26" s="51" t="str">
        <f t="shared" si="3"/>
        <v xml:space="preserve"> </v>
      </c>
      <c r="M26" s="51"/>
      <c r="N26" s="16" t="str">
        <f t="shared" si="4"/>
        <v xml:space="preserve"> </v>
      </c>
    </row>
    <row r="27" spans="1:14" ht="14.5">
      <c r="A27" s="128"/>
      <c r="B27" s="51"/>
      <c r="C27" s="51"/>
      <c r="D27" s="100" t="str">
        <f>IFERROR(VLOOKUP($B27,Task!$B$1:$G$49,6,0)," ")</f>
        <v xml:space="preserve"> </v>
      </c>
      <c r="E27" s="100" t="str">
        <f t="shared" si="0"/>
        <v xml:space="preserve"> </v>
      </c>
      <c r="F27" s="100"/>
      <c r="G27" s="51"/>
      <c r="H27" s="100" t="str">
        <f t="shared" si="1"/>
        <v xml:space="preserve"> </v>
      </c>
      <c r="I27" s="52" t="str">
        <f t="shared" si="2"/>
        <v/>
      </c>
      <c r="J27" s="51"/>
      <c r="K27" s="51"/>
      <c r="L27" s="51" t="str">
        <f t="shared" si="3"/>
        <v xml:space="preserve"> </v>
      </c>
      <c r="M27" s="51"/>
      <c r="N27" s="16" t="str">
        <f t="shared" si="4"/>
        <v xml:space="preserve"> </v>
      </c>
    </row>
    <row r="28" spans="1:14" ht="14.5">
      <c r="A28" s="128"/>
      <c r="B28" s="51"/>
      <c r="C28" s="51"/>
      <c r="D28" s="100" t="str">
        <f>IFERROR(VLOOKUP($B28,Task!$B$1:$G$49,6,0)," ")</f>
        <v xml:space="preserve"> </v>
      </c>
      <c r="E28" s="100" t="str">
        <f t="shared" si="0"/>
        <v xml:space="preserve"> </v>
      </c>
      <c r="F28" s="100"/>
      <c r="G28" s="51"/>
      <c r="H28" s="100" t="str">
        <f t="shared" si="1"/>
        <v xml:space="preserve"> </v>
      </c>
      <c r="I28" s="52" t="str">
        <f t="shared" si="2"/>
        <v/>
      </c>
      <c r="J28" s="51"/>
      <c r="K28" s="51"/>
      <c r="L28" s="51" t="str">
        <f t="shared" si="3"/>
        <v xml:space="preserve"> </v>
      </c>
      <c r="M28" s="51"/>
      <c r="N28" s="16" t="str">
        <f t="shared" si="4"/>
        <v xml:space="preserve"> </v>
      </c>
    </row>
    <row r="29" spans="1:14" ht="14.5">
      <c r="A29" s="128"/>
      <c r="B29" s="51"/>
      <c r="C29" s="51"/>
      <c r="D29" s="100" t="str">
        <f>IFERROR(VLOOKUP($B29,Task!$B$1:$G$49,6,0)," ")</f>
        <v xml:space="preserve"> </v>
      </c>
      <c r="E29" s="100" t="str">
        <f t="shared" si="0"/>
        <v xml:space="preserve"> </v>
      </c>
      <c r="F29" s="100"/>
      <c r="G29" s="51"/>
      <c r="H29" s="100" t="str">
        <f t="shared" si="1"/>
        <v xml:space="preserve"> </v>
      </c>
      <c r="I29" s="52" t="str">
        <f t="shared" si="2"/>
        <v/>
      </c>
      <c r="J29" s="51"/>
      <c r="K29" s="51"/>
      <c r="L29" s="51" t="str">
        <f t="shared" si="3"/>
        <v xml:space="preserve"> </v>
      </c>
      <c r="M29" s="51"/>
      <c r="N29" s="16" t="str">
        <f t="shared" si="4"/>
        <v xml:space="preserve"> </v>
      </c>
    </row>
    <row r="30" spans="1:14" ht="14.5">
      <c r="A30" s="128"/>
      <c r="B30" s="51"/>
      <c r="C30" s="51"/>
      <c r="D30" s="100" t="str">
        <f>IFERROR(VLOOKUP($B30,Task!$B$1:$G$49,6,0)," ")</f>
        <v xml:space="preserve"> </v>
      </c>
      <c r="E30" s="100" t="str">
        <f t="shared" si="0"/>
        <v xml:space="preserve"> </v>
      </c>
      <c r="F30" s="100"/>
      <c r="G30" s="51"/>
      <c r="H30" s="100" t="str">
        <f t="shared" si="1"/>
        <v xml:space="preserve"> </v>
      </c>
      <c r="I30" s="52" t="str">
        <f t="shared" si="2"/>
        <v/>
      </c>
      <c r="J30" s="51"/>
      <c r="K30" s="51"/>
      <c r="L30" s="51" t="str">
        <f t="shared" si="3"/>
        <v xml:space="preserve"> </v>
      </c>
      <c r="M30" s="51"/>
      <c r="N30" s="16" t="str">
        <f t="shared" si="4"/>
        <v xml:space="preserve"> </v>
      </c>
    </row>
    <row r="31" spans="1:14" ht="14.5">
      <c r="A31" s="128"/>
      <c r="B31" s="51"/>
      <c r="C31" s="51"/>
      <c r="D31" s="100" t="str">
        <f>IFERROR(VLOOKUP($B31,Task!$B$1:$G$49,6,0)," ")</f>
        <v xml:space="preserve"> </v>
      </c>
      <c r="E31" s="100" t="str">
        <f t="shared" si="0"/>
        <v xml:space="preserve"> </v>
      </c>
      <c r="F31" s="100"/>
      <c r="G31" s="51"/>
      <c r="H31" s="100" t="str">
        <f t="shared" si="1"/>
        <v xml:space="preserve"> </v>
      </c>
      <c r="I31" s="52" t="str">
        <f t="shared" si="2"/>
        <v/>
      </c>
      <c r="J31" s="51"/>
      <c r="K31" s="51"/>
      <c r="L31" s="51" t="str">
        <f t="shared" si="3"/>
        <v xml:space="preserve"> </v>
      </c>
      <c r="M31" s="51"/>
      <c r="N31" s="16" t="str">
        <f t="shared" si="4"/>
        <v xml:space="preserve"> </v>
      </c>
    </row>
    <row r="32" spans="1:14" ht="14.5">
      <c r="A32" s="128"/>
      <c r="B32" s="51"/>
      <c r="C32" s="51"/>
      <c r="D32" s="100" t="str">
        <f>IFERROR(VLOOKUP($B32,Task!$B$1:$G$49,6,0)," ")</f>
        <v xml:space="preserve"> </v>
      </c>
      <c r="E32" s="100" t="str">
        <f t="shared" si="0"/>
        <v xml:space="preserve"> </v>
      </c>
      <c r="F32" s="100"/>
      <c r="G32" s="51"/>
      <c r="H32" s="100" t="str">
        <f t="shared" si="1"/>
        <v xml:space="preserve"> </v>
      </c>
      <c r="I32" s="52" t="str">
        <f t="shared" si="2"/>
        <v/>
      </c>
      <c r="J32" s="51"/>
      <c r="K32" s="51"/>
      <c r="L32" s="51" t="str">
        <f t="shared" si="3"/>
        <v xml:space="preserve"> </v>
      </c>
      <c r="M32" s="51"/>
      <c r="N32" s="16" t="str">
        <f t="shared" si="4"/>
        <v xml:space="preserve"> </v>
      </c>
    </row>
    <row r="33" spans="1:14" ht="14.5">
      <c r="A33" s="128"/>
      <c r="B33" s="51"/>
      <c r="C33" s="51"/>
      <c r="D33" s="100" t="str">
        <f>IFERROR(VLOOKUP($B33,Task!$B$1:$G$49,6,0)," ")</f>
        <v xml:space="preserve"> </v>
      </c>
      <c r="E33" s="100" t="str">
        <f t="shared" si="0"/>
        <v xml:space="preserve"> </v>
      </c>
      <c r="F33" s="100"/>
      <c r="G33" s="51"/>
      <c r="H33" s="100" t="str">
        <f t="shared" si="1"/>
        <v xml:space="preserve"> </v>
      </c>
      <c r="I33" s="52" t="str">
        <f t="shared" si="2"/>
        <v/>
      </c>
      <c r="J33" s="51"/>
      <c r="K33" s="51"/>
      <c r="L33" s="51" t="str">
        <f t="shared" si="3"/>
        <v xml:space="preserve"> </v>
      </c>
      <c r="M33" s="51"/>
      <c r="N33" s="16" t="str">
        <f t="shared" si="4"/>
        <v xml:space="preserve"> </v>
      </c>
    </row>
    <row r="34" spans="1:14" ht="14.5">
      <c r="A34" s="128"/>
      <c r="B34" s="51"/>
      <c r="C34" s="51"/>
      <c r="D34" s="100" t="str">
        <f>IFERROR(VLOOKUP($B34,Task!$B$1:$G$49,6,0)," ")</f>
        <v xml:space="preserve"> </v>
      </c>
      <c r="E34" s="100" t="str">
        <f t="shared" si="0"/>
        <v xml:space="preserve"> </v>
      </c>
      <c r="F34" s="100"/>
      <c r="G34" s="51"/>
      <c r="H34" s="100" t="str">
        <f t="shared" si="1"/>
        <v xml:space="preserve"> </v>
      </c>
      <c r="I34" s="52" t="str">
        <f t="shared" si="2"/>
        <v/>
      </c>
      <c r="J34" s="51"/>
      <c r="K34" s="51"/>
      <c r="L34" s="51" t="str">
        <f t="shared" si="3"/>
        <v xml:space="preserve"> </v>
      </c>
      <c r="M34" s="51"/>
      <c r="N34" s="16" t="str">
        <f t="shared" si="4"/>
        <v xml:space="preserve"> </v>
      </c>
    </row>
    <row r="35" spans="1:14" ht="14.5">
      <c r="A35" s="128"/>
      <c r="B35" s="51"/>
      <c r="C35" s="51"/>
      <c r="D35" s="100" t="str">
        <f>IFERROR(VLOOKUP($B35,Task!$B$1:$G$49,6,0)," ")</f>
        <v xml:space="preserve"> </v>
      </c>
      <c r="E35" s="100" t="str">
        <f t="shared" si="0"/>
        <v xml:space="preserve"> </v>
      </c>
      <c r="F35" s="100"/>
      <c r="G35" s="51"/>
      <c r="H35" s="100" t="str">
        <f t="shared" si="1"/>
        <v xml:space="preserve"> </v>
      </c>
      <c r="I35" s="52" t="str">
        <f t="shared" si="2"/>
        <v/>
      </c>
      <c r="J35" s="51"/>
      <c r="K35" s="51"/>
      <c r="L35" s="51" t="str">
        <f t="shared" si="3"/>
        <v xml:space="preserve"> </v>
      </c>
      <c r="M35" s="51"/>
      <c r="N35" s="16" t="str">
        <f t="shared" si="4"/>
        <v xml:space="preserve"> </v>
      </c>
    </row>
    <row r="36" spans="1:14" ht="14.5">
      <c r="A36" s="128"/>
      <c r="B36" s="51"/>
      <c r="C36" s="51"/>
      <c r="D36" s="100" t="str">
        <f>IFERROR(VLOOKUP($B36,Task!$B$1:$G$49,6,0)," ")</f>
        <v xml:space="preserve"> </v>
      </c>
      <c r="E36" s="100" t="str">
        <f t="shared" si="0"/>
        <v xml:space="preserve"> </v>
      </c>
      <c r="F36" s="100"/>
      <c r="G36" s="51"/>
      <c r="H36" s="100" t="str">
        <f t="shared" si="1"/>
        <v xml:space="preserve"> </v>
      </c>
      <c r="I36" s="52" t="str">
        <f t="shared" si="2"/>
        <v/>
      </c>
      <c r="J36" s="51"/>
      <c r="K36" s="51"/>
      <c r="L36" s="51" t="str">
        <f t="shared" si="3"/>
        <v xml:space="preserve"> </v>
      </c>
      <c r="M36" s="51"/>
      <c r="N36" s="16" t="str">
        <f t="shared" si="4"/>
        <v xml:space="preserve"> </v>
      </c>
    </row>
    <row r="37" spans="1:14" ht="14.5">
      <c r="A37" s="128"/>
      <c r="B37" s="51"/>
      <c r="C37" s="51"/>
      <c r="D37" s="100" t="str">
        <f>IFERROR(VLOOKUP($B37,Task!$B$1:$G$49,6,0)," ")</f>
        <v xml:space="preserve"> </v>
      </c>
      <c r="E37" s="100" t="str">
        <f t="shared" si="0"/>
        <v xml:space="preserve"> </v>
      </c>
      <c r="F37" s="100"/>
      <c r="G37" s="51"/>
      <c r="H37" s="100" t="str">
        <f t="shared" si="1"/>
        <v xml:space="preserve"> </v>
      </c>
      <c r="I37" s="52" t="str">
        <f t="shared" si="2"/>
        <v/>
      </c>
      <c r="J37" s="51"/>
      <c r="K37" s="51"/>
      <c r="L37" s="51" t="str">
        <f t="shared" si="3"/>
        <v xml:space="preserve"> </v>
      </c>
      <c r="M37" s="51"/>
      <c r="N37" s="16" t="str">
        <f t="shared" si="4"/>
        <v xml:space="preserve"> </v>
      </c>
    </row>
    <row r="38" spans="1:14" ht="14.5">
      <c r="A38" s="128"/>
      <c r="B38" s="51"/>
      <c r="C38" s="51"/>
      <c r="D38" s="100" t="str">
        <f>IFERROR(VLOOKUP($B38,Task!$B$1:$G$49,6,0)," ")</f>
        <v xml:space="preserve"> </v>
      </c>
      <c r="E38" s="100" t="str">
        <f t="shared" si="0"/>
        <v xml:space="preserve"> </v>
      </c>
      <c r="F38" s="100"/>
      <c r="G38" s="51"/>
      <c r="H38" s="100" t="str">
        <f t="shared" si="1"/>
        <v xml:space="preserve"> </v>
      </c>
      <c r="I38" s="52" t="str">
        <f t="shared" si="2"/>
        <v/>
      </c>
      <c r="J38" s="51"/>
      <c r="K38" s="51"/>
      <c r="L38" s="51" t="str">
        <f t="shared" si="3"/>
        <v xml:space="preserve"> </v>
      </c>
      <c r="M38" s="51"/>
      <c r="N38" s="16" t="str">
        <f t="shared" si="4"/>
        <v xml:space="preserve"> </v>
      </c>
    </row>
    <row r="39" spans="1:14" ht="14.5">
      <c r="A39" s="128"/>
      <c r="B39" s="51"/>
      <c r="C39" s="51"/>
      <c r="D39" s="100" t="str">
        <f>IFERROR(VLOOKUP($B39,Task!$B$1:$G$49,6,0)," ")</f>
        <v xml:space="preserve"> </v>
      </c>
      <c r="E39" s="100" t="str">
        <f t="shared" si="0"/>
        <v xml:space="preserve"> </v>
      </c>
      <c r="F39" s="100"/>
      <c r="G39" s="51"/>
      <c r="H39" s="100" t="str">
        <f t="shared" si="1"/>
        <v xml:space="preserve"> </v>
      </c>
      <c r="I39" s="52" t="str">
        <f t="shared" si="2"/>
        <v/>
      </c>
      <c r="J39" s="51"/>
      <c r="K39" s="51"/>
      <c r="L39" s="51" t="str">
        <f t="shared" si="3"/>
        <v xml:space="preserve"> </v>
      </c>
      <c r="M39" s="51"/>
      <c r="N39" s="16" t="str">
        <f t="shared" si="4"/>
        <v xml:space="preserve"> </v>
      </c>
    </row>
    <row r="40" spans="1:14" ht="14.5">
      <c r="A40" s="128"/>
      <c r="B40" s="51"/>
      <c r="C40" s="51"/>
      <c r="D40" s="100" t="str">
        <f>IFERROR(VLOOKUP($B40,Task!$B$1:$G$49,6,0)," ")</f>
        <v xml:space="preserve"> </v>
      </c>
      <c r="E40" s="100" t="str">
        <f t="shared" si="0"/>
        <v xml:space="preserve"> </v>
      </c>
      <c r="F40" s="100"/>
      <c r="G40" s="51"/>
      <c r="H40" s="100" t="str">
        <f t="shared" si="1"/>
        <v xml:space="preserve"> </v>
      </c>
      <c r="I40" s="52" t="str">
        <f t="shared" si="2"/>
        <v/>
      </c>
      <c r="J40" s="51"/>
      <c r="K40" s="51"/>
      <c r="L40" s="51" t="str">
        <f t="shared" si="3"/>
        <v xml:space="preserve"> </v>
      </c>
      <c r="M40" s="51"/>
      <c r="N40" s="16" t="str">
        <f t="shared" si="4"/>
        <v xml:space="preserve"> </v>
      </c>
    </row>
    <row r="41" spans="1:14" ht="14.5">
      <c r="A41" s="128"/>
      <c r="B41" s="51"/>
      <c r="C41" s="51"/>
      <c r="D41" s="100" t="str">
        <f>IFERROR(VLOOKUP($B41,Task!$B$1:$G$49,6,0)," ")</f>
        <v xml:space="preserve"> </v>
      </c>
      <c r="E41" s="100" t="str">
        <f t="shared" si="0"/>
        <v xml:space="preserve"> </v>
      </c>
      <c r="F41" s="100"/>
      <c r="G41" s="51"/>
      <c r="H41" s="100" t="str">
        <f t="shared" si="1"/>
        <v xml:space="preserve"> </v>
      </c>
      <c r="I41" s="52" t="str">
        <f t="shared" si="2"/>
        <v/>
      </c>
      <c r="J41" s="51"/>
      <c r="K41" s="51"/>
      <c r="L41" s="51" t="str">
        <f t="shared" si="3"/>
        <v xml:space="preserve"> </v>
      </c>
      <c r="M41" s="51"/>
      <c r="N41" s="16" t="str">
        <f t="shared" si="4"/>
        <v xml:space="preserve"> </v>
      </c>
    </row>
    <row r="42" spans="1:14" ht="14.5">
      <c r="A42" s="128"/>
      <c r="B42" s="51"/>
      <c r="C42" s="51"/>
      <c r="D42" s="100" t="str">
        <f>IFERROR(VLOOKUP($B42,Task!$B$1:$G$49,6,0)," ")</f>
        <v xml:space="preserve"> </v>
      </c>
      <c r="E42" s="100" t="str">
        <f t="shared" si="0"/>
        <v xml:space="preserve"> </v>
      </c>
      <c r="F42" s="100"/>
      <c r="G42" s="51"/>
      <c r="H42" s="100" t="str">
        <f t="shared" si="1"/>
        <v xml:space="preserve"> </v>
      </c>
      <c r="I42" s="52" t="str">
        <f t="shared" si="2"/>
        <v/>
      </c>
      <c r="J42" s="51"/>
      <c r="K42" s="51"/>
      <c r="L42" s="51" t="str">
        <f t="shared" si="3"/>
        <v xml:space="preserve"> </v>
      </c>
      <c r="M42" s="51"/>
      <c r="N42" s="16" t="str">
        <f t="shared" si="4"/>
        <v xml:space="preserve"> </v>
      </c>
    </row>
    <row r="43" spans="1:14" ht="14.5">
      <c r="A43" s="128"/>
      <c r="B43" s="51"/>
      <c r="C43" s="51"/>
      <c r="D43" s="100" t="str">
        <f>IFERROR(VLOOKUP($B43,Task!$B$1:$G$49,6,0)," ")</f>
        <v xml:space="preserve"> </v>
      </c>
      <c r="E43" s="100" t="str">
        <f t="shared" si="0"/>
        <v xml:space="preserve"> </v>
      </c>
      <c r="F43" s="100"/>
      <c r="G43" s="51"/>
      <c r="H43" s="100" t="str">
        <f t="shared" si="1"/>
        <v xml:space="preserve"> </v>
      </c>
      <c r="I43" s="52" t="str">
        <f t="shared" si="2"/>
        <v/>
      </c>
      <c r="J43" s="51"/>
      <c r="K43" s="51"/>
      <c r="L43" s="51" t="str">
        <f t="shared" si="3"/>
        <v xml:space="preserve"> </v>
      </c>
      <c r="M43" s="51"/>
      <c r="N43" s="16" t="str">
        <f t="shared" si="4"/>
        <v xml:space="preserve"> </v>
      </c>
    </row>
    <row r="44" spans="1:14" ht="14.5">
      <c r="A44" s="128"/>
      <c r="B44" s="51"/>
      <c r="C44" s="51"/>
      <c r="D44" s="100" t="str">
        <f>IFERROR(VLOOKUP($B44,Task!$B$1:$G$49,6,0)," ")</f>
        <v xml:space="preserve"> </v>
      </c>
      <c r="E44" s="100" t="str">
        <f t="shared" si="0"/>
        <v xml:space="preserve"> </v>
      </c>
      <c r="F44" s="100"/>
      <c r="G44" s="51"/>
      <c r="H44" s="100" t="str">
        <f t="shared" si="1"/>
        <v xml:space="preserve"> </v>
      </c>
      <c r="I44" s="52" t="str">
        <f t="shared" si="2"/>
        <v/>
      </c>
      <c r="J44" s="51"/>
      <c r="K44" s="51"/>
      <c r="L44" s="51" t="str">
        <f t="shared" si="3"/>
        <v xml:space="preserve"> </v>
      </c>
      <c r="M44" s="51"/>
      <c r="N44" s="16" t="str">
        <f t="shared" si="4"/>
        <v xml:space="preserve"> </v>
      </c>
    </row>
    <row r="45" spans="1:14" ht="14.5">
      <c r="A45" s="128"/>
      <c r="B45" s="51"/>
      <c r="C45" s="51"/>
      <c r="D45" s="100" t="str">
        <f>IFERROR(VLOOKUP($B45,Task!$B$1:$G$49,6,0)," ")</f>
        <v xml:space="preserve"> </v>
      </c>
      <c r="E45" s="100" t="str">
        <f t="shared" si="0"/>
        <v xml:space="preserve"> </v>
      </c>
      <c r="F45" s="100"/>
      <c r="G45" s="51"/>
      <c r="H45" s="100" t="str">
        <f t="shared" si="1"/>
        <v xml:space="preserve"> </v>
      </c>
      <c r="I45" s="52" t="str">
        <f t="shared" si="2"/>
        <v/>
      </c>
      <c r="J45" s="51"/>
      <c r="K45" s="51"/>
      <c r="L45" s="51" t="str">
        <f t="shared" si="3"/>
        <v xml:space="preserve"> </v>
      </c>
      <c r="M45" s="51"/>
      <c r="N45" s="16" t="str">
        <f t="shared" si="4"/>
        <v xml:space="preserve"> </v>
      </c>
    </row>
    <row r="46" spans="1:14" ht="14.5">
      <c r="A46" s="128"/>
      <c r="B46" s="51"/>
      <c r="C46" s="51"/>
      <c r="D46" s="100" t="str">
        <f>IFERROR(VLOOKUP($B46,Task!$B$1:$G$49,6,0)," ")</f>
        <v xml:space="preserve"> </v>
      </c>
      <c r="E46" s="100" t="str">
        <f t="shared" si="0"/>
        <v xml:space="preserve"> </v>
      </c>
      <c r="F46" s="100"/>
      <c r="G46" s="51"/>
      <c r="H46" s="100" t="str">
        <f t="shared" si="1"/>
        <v xml:space="preserve"> </v>
      </c>
      <c r="I46" s="52" t="str">
        <f t="shared" si="2"/>
        <v/>
      </c>
      <c r="J46" s="51"/>
      <c r="K46" s="51"/>
      <c r="L46" s="51" t="str">
        <f t="shared" si="3"/>
        <v xml:space="preserve"> </v>
      </c>
      <c r="M46" s="51"/>
      <c r="N46" s="16" t="str">
        <f t="shared" si="4"/>
        <v xml:space="preserve"> </v>
      </c>
    </row>
    <row r="47" spans="1:14" ht="14.5">
      <c r="A47" s="128"/>
      <c r="B47" s="51"/>
      <c r="C47" s="51"/>
      <c r="D47" s="100" t="str">
        <f>IFERROR(VLOOKUP($B47,Task!$B$1:$G$49,6,0)," ")</f>
        <v xml:space="preserve"> </v>
      </c>
      <c r="E47" s="100" t="str">
        <f t="shared" si="0"/>
        <v xml:space="preserve"> </v>
      </c>
      <c r="F47" s="100"/>
      <c r="G47" s="51"/>
      <c r="H47" s="100" t="str">
        <f t="shared" si="1"/>
        <v xml:space="preserve"> </v>
      </c>
      <c r="I47" s="52" t="str">
        <f t="shared" si="2"/>
        <v/>
      </c>
      <c r="J47" s="51"/>
      <c r="K47" s="51"/>
      <c r="L47" s="51" t="str">
        <f t="shared" si="3"/>
        <v xml:space="preserve"> </v>
      </c>
      <c r="M47" s="51"/>
      <c r="N47" s="16" t="str">
        <f t="shared" si="4"/>
        <v xml:space="preserve"> </v>
      </c>
    </row>
    <row r="48" spans="1:14" ht="14.5">
      <c r="A48" s="128"/>
      <c r="B48" s="51"/>
      <c r="C48" s="51"/>
      <c r="D48" s="100" t="str">
        <f>IFERROR(VLOOKUP($B48,Task!$B$1:$G$49,6,0)," ")</f>
        <v xml:space="preserve"> </v>
      </c>
      <c r="E48" s="100" t="str">
        <f t="shared" si="0"/>
        <v xml:space="preserve"> </v>
      </c>
      <c r="F48" s="100"/>
      <c r="G48" s="51"/>
      <c r="H48" s="100" t="str">
        <f t="shared" si="1"/>
        <v xml:space="preserve"> </v>
      </c>
      <c r="I48" s="52" t="str">
        <f t="shared" si="2"/>
        <v/>
      </c>
      <c r="J48" s="51"/>
      <c r="K48" s="51"/>
      <c r="L48" s="51" t="str">
        <f t="shared" si="3"/>
        <v xml:space="preserve"> </v>
      </c>
      <c r="M48" s="51"/>
      <c r="N48" s="16" t="str">
        <f t="shared" si="4"/>
        <v xml:space="preserve"> </v>
      </c>
    </row>
    <row r="49" spans="1:14" ht="14.5">
      <c r="A49" s="128"/>
      <c r="B49" s="51"/>
      <c r="C49" s="51"/>
      <c r="D49" s="100" t="str">
        <f>IFERROR(VLOOKUP($B49,Task!$B$1:$G$49,6,0)," ")</f>
        <v xml:space="preserve"> </v>
      </c>
      <c r="E49" s="100" t="str">
        <f t="shared" si="0"/>
        <v xml:space="preserve"> </v>
      </c>
      <c r="F49" s="100"/>
      <c r="G49" s="51"/>
      <c r="H49" s="100" t="str">
        <f t="shared" si="1"/>
        <v xml:space="preserve"> </v>
      </c>
      <c r="I49" s="52" t="str">
        <f t="shared" si="2"/>
        <v/>
      </c>
      <c r="J49" s="51"/>
      <c r="K49" s="51"/>
      <c r="L49" s="51" t="str">
        <f t="shared" si="3"/>
        <v xml:space="preserve"> </v>
      </c>
      <c r="M49" s="51"/>
      <c r="N49" s="16" t="str">
        <f t="shared" si="4"/>
        <v xml:space="preserve"> </v>
      </c>
    </row>
    <row r="50" spans="1:14" ht="14.5">
      <c r="A50" s="128"/>
      <c r="B50" s="51"/>
      <c r="C50" s="51"/>
      <c r="D50" s="100" t="str">
        <f>IFERROR(VLOOKUP($B50,Task!$B$1:$G$49,6,0)," ")</f>
        <v xml:space="preserve"> </v>
      </c>
      <c r="E50" s="100" t="str">
        <f t="shared" si="0"/>
        <v xml:space="preserve"> </v>
      </c>
      <c r="F50" s="100"/>
      <c r="G50" s="51"/>
      <c r="H50" s="100" t="str">
        <f t="shared" si="1"/>
        <v xml:space="preserve"> </v>
      </c>
      <c r="I50" s="52" t="str">
        <f t="shared" si="2"/>
        <v/>
      </c>
      <c r="J50" s="51"/>
      <c r="K50" s="51"/>
      <c r="L50" s="51" t="str">
        <f t="shared" si="3"/>
        <v xml:space="preserve"> </v>
      </c>
      <c r="M50" s="51"/>
      <c r="N50" s="16" t="str">
        <f t="shared" si="4"/>
        <v xml:space="preserve"> </v>
      </c>
    </row>
    <row r="51" spans="1:14" ht="14.5">
      <c r="A51" s="128"/>
      <c r="B51" s="51"/>
      <c r="C51" s="51"/>
      <c r="D51" s="100" t="str">
        <f>IFERROR(VLOOKUP($B51,Task!$B$1:$G$49,6,0)," ")</f>
        <v xml:space="preserve"> </v>
      </c>
      <c r="E51" s="100" t="str">
        <f t="shared" si="0"/>
        <v xml:space="preserve"> </v>
      </c>
      <c r="F51" s="100"/>
      <c r="G51" s="51"/>
      <c r="H51" s="100" t="str">
        <f t="shared" si="1"/>
        <v xml:space="preserve"> </v>
      </c>
      <c r="I51" s="52" t="str">
        <f t="shared" si="2"/>
        <v/>
      </c>
      <c r="J51" s="51"/>
      <c r="K51" s="51"/>
      <c r="L51" s="51" t="str">
        <f t="shared" si="3"/>
        <v xml:space="preserve"> </v>
      </c>
      <c r="M51" s="51"/>
      <c r="N51" s="16" t="str">
        <f t="shared" si="4"/>
        <v xml:space="preserve"> </v>
      </c>
    </row>
    <row r="52" spans="1:14" ht="14.5">
      <c r="A52" s="128"/>
      <c r="B52" s="51"/>
      <c r="C52" s="51"/>
      <c r="D52" s="100" t="str">
        <f>IFERROR(VLOOKUP($B52,Task!$B$1:$G$49,6,0)," ")</f>
        <v xml:space="preserve"> </v>
      </c>
      <c r="E52" s="100" t="str">
        <f t="shared" si="0"/>
        <v xml:space="preserve"> </v>
      </c>
      <c r="F52" s="100"/>
      <c r="G52" s="51"/>
      <c r="H52" s="100" t="str">
        <f t="shared" si="1"/>
        <v xml:space="preserve"> </v>
      </c>
      <c r="I52" s="52" t="str">
        <f t="shared" si="2"/>
        <v/>
      </c>
      <c r="J52" s="51"/>
      <c r="K52" s="51"/>
      <c r="L52" s="51" t="str">
        <f t="shared" si="3"/>
        <v xml:space="preserve"> </v>
      </c>
      <c r="M52" s="51"/>
      <c r="N52" s="16" t="str">
        <f t="shared" si="4"/>
        <v xml:space="preserve"> </v>
      </c>
    </row>
    <row r="53" spans="1:14" ht="14.5">
      <c r="A53" s="128"/>
      <c r="B53" s="51"/>
      <c r="C53" s="51"/>
      <c r="D53" s="100" t="str">
        <f>IFERROR(VLOOKUP($B53,Task!$B$1:$G$49,6,0)," ")</f>
        <v xml:space="preserve"> </v>
      </c>
      <c r="E53" s="100" t="str">
        <f t="shared" si="0"/>
        <v xml:space="preserve"> </v>
      </c>
      <c r="F53" s="100"/>
      <c r="G53" s="51"/>
      <c r="H53" s="100" t="str">
        <f t="shared" si="1"/>
        <v xml:space="preserve"> </v>
      </c>
      <c r="I53" s="52" t="str">
        <f t="shared" si="2"/>
        <v/>
      </c>
      <c r="J53" s="51"/>
      <c r="K53" s="51"/>
      <c r="L53" s="51" t="str">
        <f t="shared" si="3"/>
        <v xml:space="preserve"> </v>
      </c>
      <c r="M53" s="51"/>
      <c r="N53" s="16" t="str">
        <f t="shared" si="4"/>
        <v xml:space="preserve"> </v>
      </c>
    </row>
    <row r="54" spans="1:14" ht="14.5">
      <c r="A54" s="128"/>
      <c r="B54" s="51"/>
      <c r="C54" s="51"/>
      <c r="D54" s="100" t="str">
        <f>IFERROR(VLOOKUP($B54,Task!$B$1:$G$49,6,0)," ")</f>
        <v xml:space="preserve"> </v>
      </c>
      <c r="E54" s="100" t="str">
        <f t="shared" si="0"/>
        <v xml:space="preserve"> </v>
      </c>
      <c r="F54" s="100"/>
      <c r="G54" s="51"/>
      <c r="H54" s="100" t="str">
        <f t="shared" si="1"/>
        <v xml:space="preserve"> </v>
      </c>
      <c r="I54" s="52" t="str">
        <f t="shared" si="2"/>
        <v/>
      </c>
      <c r="J54" s="51"/>
      <c r="K54" s="51"/>
      <c r="L54" s="51" t="str">
        <f t="shared" si="3"/>
        <v xml:space="preserve"> </v>
      </c>
      <c r="M54" s="51"/>
      <c r="N54" s="16" t="str">
        <f t="shared" si="4"/>
        <v xml:space="preserve"> </v>
      </c>
    </row>
    <row r="55" spans="1:14" ht="14.5">
      <c r="A55" s="128"/>
      <c r="B55" s="51"/>
      <c r="C55" s="51"/>
      <c r="D55" s="100" t="str">
        <f>IFERROR(VLOOKUP($B55,Task!$B$1:$G$49,6,0)," ")</f>
        <v xml:space="preserve"> </v>
      </c>
      <c r="E55" s="100" t="str">
        <f t="shared" si="0"/>
        <v xml:space="preserve"> </v>
      </c>
      <c r="F55" s="100"/>
      <c r="G55" s="51"/>
      <c r="H55" s="100" t="str">
        <f t="shared" si="1"/>
        <v xml:space="preserve"> </v>
      </c>
      <c r="I55" s="52" t="str">
        <f t="shared" si="2"/>
        <v/>
      </c>
      <c r="J55" s="51"/>
      <c r="K55" s="51"/>
      <c r="L55" s="51" t="str">
        <f t="shared" si="3"/>
        <v xml:space="preserve"> </v>
      </c>
      <c r="M55" s="51"/>
      <c r="N55" s="16" t="str">
        <f t="shared" si="4"/>
        <v xml:space="preserve"> </v>
      </c>
    </row>
    <row r="56" spans="1:14" ht="14.5">
      <c r="A56" s="128"/>
      <c r="B56" s="51"/>
      <c r="C56" s="51"/>
      <c r="D56" s="100" t="str">
        <f>IFERROR(VLOOKUP($B56,Task!$B$1:$G$49,6,0)," ")</f>
        <v xml:space="preserve"> </v>
      </c>
      <c r="E56" s="100" t="str">
        <f t="shared" si="0"/>
        <v xml:space="preserve"> </v>
      </c>
      <c r="F56" s="100"/>
      <c r="G56" s="51"/>
      <c r="H56" s="100" t="str">
        <f t="shared" si="1"/>
        <v xml:space="preserve"> </v>
      </c>
      <c r="I56" s="52" t="str">
        <f t="shared" si="2"/>
        <v/>
      </c>
      <c r="J56" s="51"/>
      <c r="K56" s="51"/>
      <c r="L56" s="51" t="str">
        <f t="shared" si="3"/>
        <v xml:space="preserve"> </v>
      </c>
      <c r="M56" s="51"/>
      <c r="N56" s="16" t="str">
        <f t="shared" si="4"/>
        <v xml:space="preserve"> </v>
      </c>
    </row>
    <row r="57" spans="1:14" ht="14.5">
      <c r="A57" s="128"/>
      <c r="B57" s="51"/>
      <c r="C57" s="51"/>
      <c r="D57" s="100" t="str">
        <f>IFERROR(VLOOKUP($B57,Task!$B$1:$G$49,6,0)," ")</f>
        <v xml:space="preserve"> </v>
      </c>
      <c r="E57" s="100" t="str">
        <f t="shared" si="0"/>
        <v xml:space="preserve"> </v>
      </c>
      <c r="F57" s="100"/>
      <c r="G57" s="51"/>
      <c r="H57" s="100" t="str">
        <f t="shared" si="1"/>
        <v xml:space="preserve"> </v>
      </c>
      <c r="I57" s="52" t="str">
        <f t="shared" si="2"/>
        <v/>
      </c>
      <c r="J57" s="51"/>
      <c r="K57" s="51"/>
      <c r="L57" s="51" t="str">
        <f t="shared" si="3"/>
        <v xml:space="preserve"> </v>
      </c>
      <c r="M57" s="51"/>
      <c r="N57" s="16" t="str">
        <f t="shared" si="4"/>
        <v xml:space="preserve"> </v>
      </c>
    </row>
    <row r="58" spans="1:14" ht="14.5">
      <c r="A58" s="128"/>
      <c r="B58" s="51"/>
      <c r="C58" s="51"/>
      <c r="D58" s="100" t="str">
        <f>IFERROR(VLOOKUP($B58,Task!$B$1:$G$49,6,0)," ")</f>
        <v xml:space="preserve"> </v>
      </c>
      <c r="E58" s="100" t="str">
        <f t="shared" si="0"/>
        <v xml:space="preserve"> </v>
      </c>
      <c r="F58" s="100"/>
      <c r="G58" s="51"/>
      <c r="H58" s="100" t="str">
        <f t="shared" si="1"/>
        <v xml:space="preserve"> </v>
      </c>
      <c r="I58" s="52" t="str">
        <f t="shared" si="2"/>
        <v/>
      </c>
      <c r="J58" s="51"/>
      <c r="K58" s="51"/>
      <c r="L58" s="51" t="str">
        <f t="shared" si="3"/>
        <v xml:space="preserve"> </v>
      </c>
      <c r="M58" s="51"/>
      <c r="N58" s="16" t="str">
        <f t="shared" si="4"/>
        <v xml:space="preserve"> </v>
      </c>
    </row>
    <row r="59" spans="1:14" ht="14.5">
      <c r="A59" s="128"/>
      <c r="B59" s="51"/>
      <c r="C59" s="51"/>
      <c r="D59" s="100" t="str">
        <f>IFERROR(VLOOKUP($B59,Task!$B$1:$G$49,6,0)," ")</f>
        <v xml:space="preserve"> </v>
      </c>
      <c r="E59" s="100" t="str">
        <f t="shared" si="0"/>
        <v xml:space="preserve"> </v>
      </c>
      <c r="F59" s="100"/>
      <c r="G59" s="51"/>
      <c r="H59" s="100" t="str">
        <f t="shared" si="1"/>
        <v xml:space="preserve"> </v>
      </c>
      <c r="I59" s="52" t="str">
        <f t="shared" si="2"/>
        <v/>
      </c>
      <c r="J59" s="51"/>
      <c r="K59" s="51"/>
      <c r="L59" s="51" t="str">
        <f t="shared" si="3"/>
        <v xml:space="preserve"> </v>
      </c>
      <c r="M59" s="51"/>
      <c r="N59" s="16" t="str">
        <f t="shared" si="4"/>
        <v xml:space="preserve"> </v>
      </c>
    </row>
    <row r="60" spans="1:14" ht="14.5">
      <c r="A60" s="128"/>
      <c r="B60" s="51"/>
      <c r="C60" s="51"/>
      <c r="D60" s="100" t="str">
        <f>IFERROR(VLOOKUP($B60,Task!$B$1:$G$49,6,0)," ")</f>
        <v xml:space="preserve"> </v>
      </c>
      <c r="E60" s="100" t="str">
        <f t="shared" si="0"/>
        <v xml:space="preserve"> </v>
      </c>
      <c r="F60" s="100"/>
      <c r="G60" s="51"/>
      <c r="H60" s="100" t="str">
        <f t="shared" si="1"/>
        <v xml:space="preserve"> </v>
      </c>
      <c r="I60" s="52" t="str">
        <f t="shared" si="2"/>
        <v/>
      </c>
      <c r="J60" s="51"/>
      <c r="K60" s="51"/>
      <c r="L60" s="51" t="str">
        <f t="shared" si="3"/>
        <v xml:space="preserve"> </v>
      </c>
      <c r="M60" s="51"/>
      <c r="N60" s="16" t="str">
        <f t="shared" si="4"/>
        <v xml:space="preserve"> </v>
      </c>
    </row>
    <row r="61" spans="1:14" ht="14.5">
      <c r="A61" s="128"/>
      <c r="B61" s="51"/>
      <c r="C61" s="51"/>
      <c r="D61" s="100" t="str">
        <f>IFERROR(VLOOKUP($B61,Task!$B$1:$G$49,6,0)," ")</f>
        <v xml:space="preserve"> </v>
      </c>
      <c r="E61" s="100" t="str">
        <f t="shared" si="0"/>
        <v xml:space="preserve"> </v>
      </c>
      <c r="F61" s="100"/>
      <c r="G61" s="51"/>
      <c r="H61" s="100" t="str">
        <f t="shared" si="1"/>
        <v xml:space="preserve"> </v>
      </c>
      <c r="I61" s="52" t="str">
        <f t="shared" si="2"/>
        <v/>
      </c>
      <c r="J61" s="51"/>
      <c r="K61" s="51"/>
      <c r="L61" s="51" t="str">
        <f t="shared" si="3"/>
        <v xml:space="preserve"> </v>
      </c>
      <c r="M61" s="51"/>
      <c r="N61" s="16" t="str">
        <f t="shared" si="4"/>
        <v xml:space="preserve"> </v>
      </c>
    </row>
    <row r="62" spans="1:14" ht="14.5">
      <c r="A62" s="128"/>
      <c r="B62" s="51"/>
      <c r="C62" s="51"/>
      <c r="D62" s="100" t="str">
        <f>IFERROR(VLOOKUP($B62,Task!$B$1:$G$49,6,0)," ")</f>
        <v xml:space="preserve"> </v>
      </c>
      <c r="E62" s="100" t="str">
        <f t="shared" si="0"/>
        <v xml:space="preserve"> </v>
      </c>
      <c r="F62" s="100"/>
      <c r="G62" s="51"/>
      <c r="H62" s="100" t="str">
        <f t="shared" si="1"/>
        <v xml:space="preserve"> </v>
      </c>
      <c r="I62" s="52" t="str">
        <f t="shared" si="2"/>
        <v/>
      </c>
      <c r="J62" s="51"/>
      <c r="K62" s="51"/>
      <c r="L62" s="51" t="str">
        <f t="shared" si="3"/>
        <v xml:space="preserve"> </v>
      </c>
      <c r="M62" s="51"/>
      <c r="N62" s="16" t="str">
        <f t="shared" si="4"/>
        <v xml:space="preserve"> </v>
      </c>
    </row>
    <row r="63" spans="1:14" ht="14.5">
      <c r="A63" s="128"/>
      <c r="B63" s="51"/>
      <c r="C63" s="51"/>
      <c r="D63" s="100" t="str">
        <f>IFERROR(VLOOKUP($B63,Task!$B$1:$G$49,6,0)," ")</f>
        <v xml:space="preserve"> </v>
      </c>
      <c r="E63" s="100" t="str">
        <f t="shared" si="0"/>
        <v xml:space="preserve"> </v>
      </c>
      <c r="F63" s="100"/>
      <c r="G63" s="51"/>
      <c r="H63" s="100" t="str">
        <f t="shared" si="1"/>
        <v xml:space="preserve"> </v>
      </c>
      <c r="I63" s="52" t="str">
        <f t="shared" si="2"/>
        <v/>
      </c>
      <c r="J63" s="51"/>
      <c r="K63" s="51"/>
      <c r="L63" s="51" t="str">
        <f t="shared" si="3"/>
        <v xml:space="preserve"> </v>
      </c>
      <c r="M63" s="51"/>
      <c r="N63" s="16" t="str">
        <f t="shared" si="4"/>
        <v xml:space="preserve"> </v>
      </c>
    </row>
    <row r="64" spans="1:14" ht="14.5">
      <c r="A64" s="128"/>
      <c r="B64" s="51"/>
      <c r="C64" s="51"/>
      <c r="D64" s="100" t="str">
        <f>IFERROR(VLOOKUP($B64,Task!$B$1:$G$49,6,0)," ")</f>
        <v xml:space="preserve"> </v>
      </c>
      <c r="E64" s="100" t="str">
        <f t="shared" si="0"/>
        <v xml:space="preserve"> </v>
      </c>
      <c r="F64" s="100"/>
      <c r="G64" s="51"/>
      <c r="H64" s="100" t="str">
        <f t="shared" si="1"/>
        <v xml:space="preserve"> </v>
      </c>
      <c r="I64" s="52" t="str">
        <f t="shared" si="2"/>
        <v/>
      </c>
      <c r="J64" s="51"/>
      <c r="K64" s="51"/>
      <c r="L64" s="51" t="str">
        <f t="shared" si="3"/>
        <v xml:space="preserve"> </v>
      </c>
      <c r="M64" s="51"/>
      <c r="N64" s="16" t="str">
        <f t="shared" si="4"/>
        <v xml:space="preserve"> </v>
      </c>
    </row>
    <row r="65" spans="1:14" ht="14.5">
      <c r="A65" s="128"/>
      <c r="B65" s="51"/>
      <c r="C65" s="51"/>
      <c r="D65" s="100" t="str">
        <f>IFERROR(VLOOKUP($B65,Task!$B$1:$G$49,6,0)," ")</f>
        <v xml:space="preserve"> </v>
      </c>
      <c r="E65" s="100" t="str">
        <f t="shared" si="0"/>
        <v xml:space="preserve"> </v>
      </c>
      <c r="F65" s="100"/>
      <c r="G65" s="51"/>
      <c r="H65" s="100" t="str">
        <f t="shared" si="1"/>
        <v xml:space="preserve"> </v>
      </c>
      <c r="I65" s="52" t="str">
        <f t="shared" si="2"/>
        <v/>
      </c>
      <c r="J65" s="51"/>
      <c r="K65" s="51"/>
      <c r="L65" s="51" t="str">
        <f t="shared" si="3"/>
        <v xml:space="preserve"> </v>
      </c>
      <c r="M65" s="51"/>
      <c r="N65" s="16" t="str">
        <f t="shared" si="4"/>
        <v xml:space="preserve"> </v>
      </c>
    </row>
    <row r="66" spans="1:14" ht="14.5">
      <c r="A66" s="128"/>
      <c r="B66" s="51"/>
      <c r="C66" s="51"/>
      <c r="D66" s="100" t="str">
        <f>IFERROR(VLOOKUP($B66,Task!$B$1:$G$49,6,0)," ")</f>
        <v xml:space="preserve"> </v>
      </c>
      <c r="E66" s="100" t="str">
        <f t="shared" si="0"/>
        <v xml:space="preserve"> </v>
      </c>
      <c r="F66" s="100"/>
      <c r="G66" s="51"/>
      <c r="H66" s="100" t="str">
        <f t="shared" si="1"/>
        <v xml:space="preserve"> </v>
      </c>
      <c r="I66" s="52" t="str">
        <f t="shared" si="2"/>
        <v/>
      </c>
      <c r="J66" s="51"/>
      <c r="K66" s="51"/>
      <c r="L66" s="51" t="str">
        <f t="shared" si="3"/>
        <v xml:space="preserve"> </v>
      </c>
      <c r="M66" s="51"/>
      <c r="N66" s="16" t="str">
        <f t="shared" si="4"/>
        <v xml:space="preserve"> </v>
      </c>
    </row>
    <row r="67" spans="1:14" ht="14.5">
      <c r="A67" s="128"/>
      <c r="B67" s="51"/>
      <c r="C67" s="51"/>
      <c r="D67" s="100" t="str">
        <f>IFERROR(VLOOKUP($B67,Task!$B$1:$G$49,6,0)," ")</f>
        <v xml:space="preserve"> </v>
      </c>
      <c r="E67" s="100" t="str">
        <f t="shared" si="0"/>
        <v xml:space="preserve"> </v>
      </c>
      <c r="F67" s="100"/>
      <c r="G67" s="51"/>
      <c r="H67" s="100" t="str">
        <f t="shared" si="1"/>
        <v xml:space="preserve"> </v>
      </c>
      <c r="I67" s="52" t="str">
        <f t="shared" si="2"/>
        <v/>
      </c>
      <c r="J67" s="51"/>
      <c r="K67" s="51"/>
      <c r="L67" s="51" t="str">
        <f t="shared" si="3"/>
        <v xml:space="preserve"> </v>
      </c>
      <c r="M67" s="51"/>
      <c r="N67" s="16" t="str">
        <f t="shared" si="4"/>
        <v xml:space="preserve"> </v>
      </c>
    </row>
    <row r="68" spans="1:14" ht="14.5">
      <c r="A68" s="128"/>
      <c r="B68" s="51"/>
      <c r="C68" s="51"/>
      <c r="D68" s="100" t="str">
        <f>IFERROR(VLOOKUP($B68,Task!$B$1:$G$49,6,0)," ")</f>
        <v xml:space="preserve"> </v>
      </c>
      <c r="E68" s="100" t="str">
        <f t="shared" si="0"/>
        <v xml:space="preserve"> </v>
      </c>
      <c r="F68" s="100"/>
      <c r="G68" s="51"/>
      <c r="H68" s="100" t="str">
        <f t="shared" si="1"/>
        <v xml:space="preserve"> </v>
      </c>
      <c r="I68" s="52" t="str">
        <f t="shared" si="2"/>
        <v/>
      </c>
      <c r="J68" s="51"/>
      <c r="K68" s="51"/>
      <c r="L68" s="51" t="str">
        <f t="shared" si="3"/>
        <v xml:space="preserve"> </v>
      </c>
      <c r="M68" s="51"/>
      <c r="N68" s="16" t="str">
        <f t="shared" si="4"/>
        <v xml:space="preserve"> </v>
      </c>
    </row>
    <row r="69" spans="1:14" ht="14.5">
      <c r="A69" s="128"/>
      <c r="B69" s="51"/>
      <c r="C69" s="51"/>
      <c r="D69" s="100" t="str">
        <f>IFERROR(VLOOKUP($B69,Task!$B$1:$G$49,6,0)," ")</f>
        <v xml:space="preserve"> </v>
      </c>
      <c r="E69" s="100" t="str">
        <f t="shared" si="0"/>
        <v xml:space="preserve"> </v>
      </c>
      <c r="F69" s="100"/>
      <c r="G69" s="51"/>
      <c r="H69" s="100" t="str">
        <f t="shared" si="1"/>
        <v xml:space="preserve"> </v>
      </c>
      <c r="I69" s="52" t="str">
        <f t="shared" si="2"/>
        <v/>
      </c>
      <c r="J69" s="51"/>
      <c r="K69" s="51"/>
      <c r="L69" s="51" t="str">
        <f t="shared" si="3"/>
        <v xml:space="preserve"> </v>
      </c>
      <c r="M69" s="51"/>
      <c r="N69" s="16" t="str">
        <f t="shared" si="4"/>
        <v xml:space="preserve"> </v>
      </c>
    </row>
    <row r="70" spans="1:14" ht="14.5">
      <c r="A70" s="128"/>
      <c r="B70" s="51"/>
      <c r="C70" s="51"/>
      <c r="D70" s="100" t="str">
        <f>IFERROR(VLOOKUP($B70,Task!$B$1:$G$49,6,0)," ")</f>
        <v xml:space="preserve"> </v>
      </c>
      <c r="E70" s="100" t="str">
        <f t="shared" si="0"/>
        <v xml:space="preserve"> </v>
      </c>
      <c r="F70" s="100"/>
      <c r="G70" s="51"/>
      <c r="H70" s="100" t="str">
        <f t="shared" si="1"/>
        <v xml:space="preserve"> </v>
      </c>
      <c r="I70" s="52" t="str">
        <f t="shared" si="2"/>
        <v/>
      </c>
      <c r="J70" s="51"/>
      <c r="K70" s="51"/>
      <c r="L70" s="51" t="str">
        <f t="shared" si="3"/>
        <v xml:space="preserve"> </v>
      </c>
      <c r="M70" s="51"/>
      <c r="N70" s="16" t="str">
        <f t="shared" si="4"/>
        <v xml:space="preserve"> </v>
      </c>
    </row>
    <row r="71" spans="1:14" ht="14.5">
      <c r="A71" s="128"/>
      <c r="B71" s="51"/>
      <c r="C71" s="51"/>
      <c r="D71" s="100" t="str">
        <f>IFERROR(VLOOKUP($B71,Task!$B$1:$G$49,6,0)," ")</f>
        <v xml:space="preserve"> </v>
      </c>
      <c r="E71" s="100" t="str">
        <f t="shared" si="0"/>
        <v xml:space="preserve"> </v>
      </c>
      <c r="F71" s="100"/>
      <c r="G71" s="51"/>
      <c r="H71" s="100" t="str">
        <f t="shared" si="1"/>
        <v xml:space="preserve"> </v>
      </c>
      <c r="I71" s="52" t="str">
        <f t="shared" si="2"/>
        <v/>
      </c>
      <c r="J71" s="51"/>
      <c r="K71" s="51"/>
      <c r="L71" s="51" t="str">
        <f t="shared" si="3"/>
        <v xml:space="preserve"> </v>
      </c>
      <c r="M71" s="51"/>
      <c r="N71" s="16" t="str">
        <f t="shared" si="4"/>
        <v xml:space="preserve"> </v>
      </c>
    </row>
    <row r="72" spans="1:14" ht="14.5">
      <c r="A72" s="128"/>
      <c r="B72" s="51"/>
      <c r="C72" s="51"/>
      <c r="D72" s="100" t="str">
        <f>IFERROR(VLOOKUP($B72,Task!$B$1:$G$49,6,0)," ")</f>
        <v xml:space="preserve"> </v>
      </c>
      <c r="E72" s="100" t="str">
        <f t="shared" si="0"/>
        <v xml:space="preserve"> </v>
      </c>
      <c r="F72" s="100"/>
      <c r="G72" s="51"/>
      <c r="H72" s="100" t="str">
        <f t="shared" si="1"/>
        <v xml:space="preserve"> </v>
      </c>
      <c r="I72" s="52" t="str">
        <f t="shared" si="2"/>
        <v/>
      </c>
      <c r="J72" s="51"/>
      <c r="K72" s="51"/>
      <c r="L72" s="51" t="str">
        <f t="shared" si="3"/>
        <v xml:space="preserve"> </v>
      </c>
      <c r="M72" s="51"/>
      <c r="N72" s="16" t="str">
        <f t="shared" si="4"/>
        <v xml:space="preserve"> </v>
      </c>
    </row>
    <row r="73" spans="1:14" ht="14.5">
      <c r="A73" s="128"/>
      <c r="B73" s="51"/>
      <c r="C73" s="51"/>
      <c r="D73" s="100" t="str">
        <f>IFERROR(VLOOKUP($B73,Task!$B$1:$G$49,6,0)," ")</f>
        <v xml:space="preserve"> </v>
      </c>
      <c r="E73" s="100" t="str">
        <f t="shared" si="0"/>
        <v xml:space="preserve"> </v>
      </c>
      <c r="F73" s="100"/>
      <c r="G73" s="51"/>
      <c r="H73" s="100" t="str">
        <f t="shared" si="1"/>
        <v xml:space="preserve"> </v>
      </c>
      <c r="I73" s="52" t="str">
        <f t="shared" si="2"/>
        <v/>
      </c>
      <c r="J73" s="51"/>
      <c r="K73" s="51"/>
      <c r="L73" s="51" t="str">
        <f t="shared" si="3"/>
        <v xml:space="preserve"> </v>
      </c>
      <c r="M73" s="51"/>
      <c r="N73" s="16" t="str">
        <f t="shared" si="4"/>
        <v xml:space="preserve"> </v>
      </c>
    </row>
    <row r="74" spans="1:14" ht="14.5">
      <c r="A74" s="128"/>
      <c r="B74" s="51"/>
      <c r="C74" s="51"/>
      <c r="D74" s="100" t="str">
        <f>IFERROR(VLOOKUP($B74,Task!$B$1:$G$49,6,0)," ")</f>
        <v xml:space="preserve"> </v>
      </c>
      <c r="E74" s="100" t="str">
        <f t="shared" si="0"/>
        <v xml:space="preserve"> </v>
      </c>
      <c r="F74" s="100"/>
      <c r="G74" s="51"/>
      <c r="H74" s="100" t="str">
        <f t="shared" si="1"/>
        <v xml:space="preserve"> </v>
      </c>
      <c r="I74" s="52" t="str">
        <f t="shared" si="2"/>
        <v/>
      </c>
      <c r="J74" s="51"/>
      <c r="K74" s="51"/>
      <c r="L74" s="51" t="str">
        <f t="shared" si="3"/>
        <v xml:space="preserve"> </v>
      </c>
      <c r="M74" s="51"/>
      <c r="N74" s="16" t="str">
        <f t="shared" si="4"/>
        <v xml:space="preserve"> </v>
      </c>
    </row>
    <row r="75" spans="1:14" ht="14.5">
      <c r="A75" s="128"/>
      <c r="B75" s="51"/>
      <c r="C75" s="51"/>
      <c r="D75" s="100" t="str">
        <f>IFERROR(VLOOKUP($B75,Task!$B$1:$G$49,6,0)," ")</f>
        <v xml:space="preserve"> </v>
      </c>
      <c r="E75" s="100" t="str">
        <f t="shared" si="0"/>
        <v xml:space="preserve"> </v>
      </c>
      <c r="F75" s="100"/>
      <c r="G75" s="51"/>
      <c r="H75" s="100" t="str">
        <f t="shared" si="1"/>
        <v xml:space="preserve"> </v>
      </c>
      <c r="I75" s="52" t="str">
        <f t="shared" si="2"/>
        <v/>
      </c>
      <c r="J75" s="51"/>
      <c r="K75" s="51"/>
      <c r="L75" s="51" t="str">
        <f t="shared" si="3"/>
        <v xml:space="preserve"> </v>
      </c>
      <c r="M75" s="51"/>
      <c r="N75" s="16" t="str">
        <f t="shared" si="4"/>
        <v xml:space="preserve"> </v>
      </c>
    </row>
    <row r="76" spans="1:14" ht="14.5">
      <c r="A76" s="128"/>
      <c r="B76" s="51"/>
      <c r="C76" s="51"/>
      <c r="D76" s="100" t="str">
        <f>IFERROR(VLOOKUP($B76,Task!$B$1:$G$49,6,0)," ")</f>
        <v xml:space="preserve"> </v>
      </c>
      <c r="E76" s="100" t="str">
        <f t="shared" si="0"/>
        <v xml:space="preserve"> </v>
      </c>
      <c r="F76" s="100"/>
      <c r="G76" s="51"/>
      <c r="H76" s="100" t="str">
        <f t="shared" si="1"/>
        <v xml:space="preserve"> </v>
      </c>
      <c r="I76" s="52" t="str">
        <f t="shared" si="2"/>
        <v/>
      </c>
      <c r="J76" s="51"/>
      <c r="K76" s="51"/>
      <c r="L76" s="51" t="str">
        <f t="shared" si="3"/>
        <v xml:space="preserve"> </v>
      </c>
      <c r="M76" s="51"/>
      <c r="N76" s="16" t="str">
        <f t="shared" si="4"/>
        <v xml:space="preserve"> </v>
      </c>
    </row>
    <row r="77" spans="1:14" ht="14.5">
      <c r="A77" s="128"/>
      <c r="B77" s="51"/>
      <c r="C77" s="51"/>
      <c r="D77" s="100" t="str">
        <f>IFERROR(VLOOKUP($B77,Task!$B$1:$G$49,6,0)," ")</f>
        <v xml:space="preserve"> </v>
      </c>
      <c r="E77" s="100" t="str">
        <f t="shared" si="0"/>
        <v xml:space="preserve"> </v>
      </c>
      <c r="F77" s="100"/>
      <c r="G77" s="51"/>
      <c r="H77" s="100" t="str">
        <f t="shared" si="1"/>
        <v xml:space="preserve"> </v>
      </c>
      <c r="I77" s="52" t="str">
        <f t="shared" si="2"/>
        <v/>
      </c>
      <c r="J77" s="51"/>
      <c r="K77" s="51"/>
      <c r="L77" s="51" t="str">
        <f t="shared" si="3"/>
        <v xml:space="preserve"> </v>
      </c>
      <c r="M77" s="51"/>
      <c r="N77" s="16" t="str">
        <f t="shared" si="4"/>
        <v xml:space="preserve"> </v>
      </c>
    </row>
    <row r="78" spans="1:14" ht="14.5">
      <c r="A78" s="128"/>
      <c r="B78" s="51"/>
      <c r="C78" s="51"/>
      <c r="D78" s="100" t="str">
        <f>IFERROR(VLOOKUP($B78,Task!$B$1:$G$49,6,0)," ")</f>
        <v xml:space="preserve"> </v>
      </c>
      <c r="E78" s="100" t="str">
        <f t="shared" si="0"/>
        <v xml:space="preserve"> </v>
      </c>
      <c r="F78" s="100"/>
      <c r="G78" s="51"/>
      <c r="H78" s="100" t="str">
        <f t="shared" si="1"/>
        <v xml:space="preserve"> </v>
      </c>
      <c r="I78" s="52" t="str">
        <f t="shared" si="2"/>
        <v/>
      </c>
      <c r="J78" s="51"/>
      <c r="K78" s="51"/>
      <c r="L78" s="51" t="str">
        <f t="shared" si="3"/>
        <v xml:space="preserve"> </v>
      </c>
      <c r="M78" s="51"/>
      <c r="N78" s="16" t="str">
        <f t="shared" si="4"/>
        <v xml:space="preserve"> </v>
      </c>
    </row>
    <row r="79" spans="1:14" ht="14.5">
      <c r="A79" s="128"/>
      <c r="B79" s="51"/>
      <c r="C79" s="51"/>
      <c r="D79" s="100" t="str">
        <f>IFERROR(VLOOKUP($B79,Task!$B$1:$G$49,6,0)," ")</f>
        <v xml:space="preserve"> </v>
      </c>
      <c r="E79" s="100" t="str">
        <f t="shared" si="0"/>
        <v xml:space="preserve"> </v>
      </c>
      <c r="F79" s="100"/>
      <c r="G79" s="51"/>
      <c r="H79" s="100" t="str">
        <f t="shared" si="1"/>
        <v xml:space="preserve"> </v>
      </c>
      <c r="I79" s="52" t="str">
        <f t="shared" si="2"/>
        <v/>
      </c>
      <c r="J79" s="51"/>
      <c r="K79" s="51"/>
      <c r="L79" s="51" t="str">
        <f t="shared" si="3"/>
        <v xml:space="preserve"> </v>
      </c>
      <c r="M79" s="51"/>
      <c r="N79" s="16" t="str">
        <f t="shared" si="4"/>
        <v xml:space="preserve"> </v>
      </c>
    </row>
    <row r="80" spans="1:14" ht="14.5">
      <c r="A80" s="128"/>
      <c r="B80" s="51"/>
      <c r="C80" s="51"/>
      <c r="D80" s="100" t="str">
        <f>IFERROR(VLOOKUP($B80,Task!$B$1:$G$49,6,0)," ")</f>
        <v xml:space="preserve"> </v>
      </c>
      <c r="E80" s="100" t="str">
        <f t="shared" si="0"/>
        <v xml:space="preserve"> </v>
      </c>
      <c r="F80" s="100"/>
      <c r="G80" s="51"/>
      <c r="H80" s="100" t="str">
        <f t="shared" si="1"/>
        <v xml:space="preserve"> </v>
      </c>
      <c r="I80" s="52" t="str">
        <f t="shared" si="2"/>
        <v/>
      </c>
      <c r="J80" s="51"/>
      <c r="K80" s="51"/>
      <c r="L80" s="51" t="str">
        <f t="shared" si="3"/>
        <v xml:space="preserve"> </v>
      </c>
      <c r="M80" s="51"/>
      <c r="N80" s="16" t="str">
        <f t="shared" si="4"/>
        <v xml:space="preserve"> </v>
      </c>
    </row>
    <row r="81" spans="1:14" ht="14.5">
      <c r="A81" s="128"/>
      <c r="B81" s="51"/>
      <c r="C81" s="51"/>
      <c r="D81" s="100" t="str">
        <f>IFERROR(VLOOKUP($B81,Task!$B$1:$G$49,6,0)," ")</f>
        <v xml:space="preserve"> </v>
      </c>
      <c r="E81" s="100" t="str">
        <f t="shared" si="0"/>
        <v xml:space="preserve"> </v>
      </c>
      <c r="F81" s="100"/>
      <c r="G81" s="51"/>
      <c r="H81" s="100" t="str">
        <f t="shared" si="1"/>
        <v xml:space="preserve"> </v>
      </c>
      <c r="I81" s="52" t="str">
        <f t="shared" si="2"/>
        <v/>
      </c>
      <c r="J81" s="51"/>
      <c r="K81" s="51"/>
      <c r="L81" s="51" t="str">
        <f t="shared" si="3"/>
        <v xml:space="preserve"> </v>
      </c>
      <c r="M81" s="51"/>
      <c r="N81" s="16" t="str">
        <f t="shared" si="4"/>
        <v xml:space="preserve"> </v>
      </c>
    </row>
    <row r="82" spans="1:14" ht="14.5">
      <c r="A82" s="128"/>
      <c r="B82" s="51"/>
      <c r="C82" s="51"/>
      <c r="D82" s="100" t="str">
        <f>IFERROR(VLOOKUP($B82,Task!$B$1:$G$49,6,0)," ")</f>
        <v xml:space="preserve"> </v>
      </c>
      <c r="E82" s="100" t="str">
        <f t="shared" si="0"/>
        <v xml:space="preserve"> </v>
      </c>
      <c r="F82" s="100"/>
      <c r="G82" s="51"/>
      <c r="H82" s="100" t="str">
        <f t="shared" si="1"/>
        <v xml:space="preserve"> </v>
      </c>
      <c r="I82" s="52" t="str">
        <f t="shared" si="2"/>
        <v/>
      </c>
      <c r="J82" s="51"/>
      <c r="K82" s="51"/>
      <c r="L82" s="51" t="str">
        <f t="shared" si="3"/>
        <v xml:space="preserve"> </v>
      </c>
      <c r="M82" s="51"/>
      <c r="N82" s="16" t="str">
        <f t="shared" si="4"/>
        <v xml:space="preserve"> </v>
      </c>
    </row>
    <row r="83" spans="1:14" ht="14.5">
      <c r="A83" s="128"/>
      <c r="B83" s="51"/>
      <c r="C83" s="51"/>
      <c r="D83" s="100" t="str">
        <f>IFERROR(VLOOKUP($B83,Task!$B$1:$G$49,6,0)," ")</f>
        <v xml:space="preserve"> </v>
      </c>
      <c r="E83" s="100" t="str">
        <f t="shared" si="0"/>
        <v xml:space="preserve"> </v>
      </c>
      <c r="F83" s="100"/>
      <c r="G83" s="51"/>
      <c r="H83" s="100" t="str">
        <f t="shared" si="1"/>
        <v xml:space="preserve"> </v>
      </c>
      <c r="I83" s="52" t="str">
        <f t="shared" si="2"/>
        <v/>
      </c>
      <c r="J83" s="51"/>
      <c r="K83" s="51"/>
      <c r="L83" s="51" t="str">
        <f t="shared" si="3"/>
        <v xml:space="preserve"> </v>
      </c>
      <c r="M83" s="51"/>
      <c r="N83" s="16" t="str">
        <f t="shared" si="4"/>
        <v xml:space="preserve"> </v>
      </c>
    </row>
    <row r="84" spans="1:14" ht="14.5">
      <c r="A84" s="128"/>
      <c r="B84" s="51"/>
      <c r="C84" s="51"/>
      <c r="D84" s="100" t="str">
        <f>IFERROR(VLOOKUP($B84,Task!$B$1:$G$49,6,0)," ")</f>
        <v xml:space="preserve"> </v>
      </c>
      <c r="E84" s="100" t="str">
        <f t="shared" si="0"/>
        <v xml:space="preserve"> </v>
      </c>
      <c r="F84" s="100"/>
      <c r="G84" s="51"/>
      <c r="H84" s="100" t="str">
        <f t="shared" si="1"/>
        <v xml:space="preserve"> </v>
      </c>
      <c r="I84" s="52" t="str">
        <f t="shared" si="2"/>
        <v/>
      </c>
      <c r="J84" s="51"/>
      <c r="K84" s="51"/>
      <c r="L84" s="51" t="str">
        <f t="shared" si="3"/>
        <v xml:space="preserve"> </v>
      </c>
      <c r="M84" s="51"/>
      <c r="N84" s="16" t="str">
        <f t="shared" si="4"/>
        <v xml:space="preserve"> </v>
      </c>
    </row>
    <row r="85" spans="1:14" ht="14.5">
      <c r="A85" s="128"/>
      <c r="B85" s="51"/>
      <c r="C85" s="51"/>
      <c r="D85" s="100" t="str">
        <f>IFERROR(VLOOKUP($B85,Task!$B$1:$G$49,6,0)," ")</f>
        <v xml:space="preserve"> </v>
      </c>
      <c r="E85" s="100" t="str">
        <f t="shared" si="0"/>
        <v xml:space="preserve"> </v>
      </c>
      <c r="F85" s="100"/>
      <c r="G85" s="51"/>
      <c r="H85" s="100" t="str">
        <f t="shared" si="1"/>
        <v xml:space="preserve"> </v>
      </c>
      <c r="I85" s="52" t="str">
        <f t="shared" si="2"/>
        <v/>
      </c>
      <c r="J85" s="51"/>
      <c r="K85" s="51"/>
      <c r="L85" s="51" t="str">
        <f t="shared" si="3"/>
        <v xml:space="preserve"> </v>
      </c>
      <c r="M85" s="51"/>
      <c r="N85" s="16" t="str">
        <f t="shared" si="4"/>
        <v xml:space="preserve"> </v>
      </c>
    </row>
    <row r="86" spans="1:14" ht="14.5">
      <c r="A86" s="128"/>
      <c r="B86" s="51"/>
      <c r="C86" s="51"/>
      <c r="D86" s="100" t="str">
        <f>IFERROR(VLOOKUP($B86,Task!$B$1:$G$49,6,0)," ")</f>
        <v xml:space="preserve"> </v>
      </c>
      <c r="E86" s="100" t="str">
        <f t="shared" si="0"/>
        <v xml:space="preserve"> </v>
      </c>
      <c r="F86" s="100"/>
      <c r="G86" s="51"/>
      <c r="H86" s="100" t="str">
        <f t="shared" si="1"/>
        <v xml:space="preserve"> </v>
      </c>
      <c r="I86" s="52" t="str">
        <f t="shared" si="2"/>
        <v/>
      </c>
      <c r="J86" s="51"/>
      <c r="K86" s="51"/>
      <c r="L86" s="51" t="str">
        <f t="shared" si="3"/>
        <v xml:space="preserve"> </v>
      </c>
      <c r="M86" s="51"/>
      <c r="N86" s="16" t="str">
        <f t="shared" si="4"/>
        <v xml:space="preserve"> </v>
      </c>
    </row>
    <row r="87" spans="1:14" ht="14.5">
      <c r="A87" s="128"/>
      <c r="B87" s="51"/>
      <c r="C87" s="51"/>
      <c r="D87" s="100" t="str">
        <f>IFERROR(VLOOKUP($B87,Task!$B$1:$G$49,6,0)," ")</f>
        <v xml:space="preserve"> </v>
      </c>
      <c r="E87" s="100" t="str">
        <f t="shared" si="0"/>
        <v xml:space="preserve"> </v>
      </c>
      <c r="F87" s="100"/>
      <c r="G87" s="51"/>
      <c r="H87" s="100" t="str">
        <f t="shared" si="1"/>
        <v xml:space="preserve"> </v>
      </c>
      <c r="I87" s="52" t="str">
        <f t="shared" si="2"/>
        <v/>
      </c>
      <c r="J87" s="51"/>
      <c r="K87" s="51"/>
      <c r="L87" s="51" t="str">
        <f t="shared" si="3"/>
        <v xml:space="preserve"> </v>
      </c>
      <c r="M87" s="51"/>
      <c r="N87" s="16" t="str">
        <f t="shared" si="4"/>
        <v xml:space="preserve"> </v>
      </c>
    </row>
    <row r="88" spans="1:14" ht="14.5">
      <c r="A88" s="128"/>
      <c r="B88" s="51"/>
      <c r="C88" s="51"/>
      <c r="D88" s="100" t="str">
        <f>IFERROR(VLOOKUP($B88,Task!$B$1:$G$49,6,0)," ")</f>
        <v xml:space="preserve"> </v>
      </c>
      <c r="E88" s="100" t="str">
        <f t="shared" si="0"/>
        <v xml:space="preserve"> </v>
      </c>
      <c r="F88" s="100"/>
      <c r="G88" s="51"/>
      <c r="H88" s="100" t="str">
        <f t="shared" si="1"/>
        <v xml:space="preserve"> </v>
      </c>
      <c r="I88" s="52" t="str">
        <f t="shared" si="2"/>
        <v/>
      </c>
      <c r="J88" s="51"/>
      <c r="K88" s="51"/>
      <c r="L88" s="51" t="str">
        <f t="shared" si="3"/>
        <v xml:space="preserve"> </v>
      </c>
      <c r="M88" s="51"/>
      <c r="N88" s="16" t="str">
        <f t="shared" si="4"/>
        <v xml:space="preserve"> </v>
      </c>
    </row>
    <row r="89" spans="1:14" ht="14.5">
      <c r="A89" s="128"/>
      <c r="B89" s="51"/>
      <c r="C89" s="51"/>
      <c r="D89" s="100" t="str">
        <f>IFERROR(VLOOKUP($B89,Task!$B$1:$G$49,6,0)," ")</f>
        <v xml:space="preserve"> </v>
      </c>
      <c r="E89" s="100" t="str">
        <f t="shared" si="0"/>
        <v xml:space="preserve"> </v>
      </c>
      <c r="F89" s="100"/>
      <c r="G89" s="51"/>
      <c r="H89" s="100" t="str">
        <f t="shared" si="1"/>
        <v xml:space="preserve"> </v>
      </c>
      <c r="I89" s="52" t="str">
        <f t="shared" si="2"/>
        <v/>
      </c>
      <c r="J89" s="51"/>
      <c r="K89" s="51"/>
      <c r="L89" s="51" t="str">
        <f t="shared" si="3"/>
        <v xml:space="preserve"> </v>
      </c>
      <c r="M89" s="51"/>
      <c r="N89" s="16" t="str">
        <f t="shared" si="4"/>
        <v xml:space="preserve"> </v>
      </c>
    </row>
    <row r="90" spans="1:14" ht="14.5">
      <c r="A90" s="128"/>
      <c r="B90" s="51"/>
      <c r="C90" s="51"/>
      <c r="D90" s="100" t="str">
        <f>IFERROR(VLOOKUP($B90,Task!$B$1:$G$49,6,0)," ")</f>
        <v xml:space="preserve"> </v>
      </c>
      <c r="E90" s="100" t="str">
        <f t="shared" si="0"/>
        <v xml:space="preserve"> </v>
      </c>
      <c r="F90" s="100"/>
      <c r="G90" s="51"/>
      <c r="H90" s="100" t="str">
        <f t="shared" si="1"/>
        <v xml:space="preserve"> </v>
      </c>
      <c r="I90" s="52" t="str">
        <f t="shared" si="2"/>
        <v/>
      </c>
      <c r="J90" s="51"/>
      <c r="K90" s="51"/>
      <c r="L90" s="51" t="str">
        <f t="shared" si="3"/>
        <v xml:space="preserve"> </v>
      </c>
      <c r="M90" s="51"/>
      <c r="N90" s="16" t="str">
        <f t="shared" si="4"/>
        <v xml:space="preserve"> </v>
      </c>
    </row>
    <row r="91" spans="1:14" ht="14.5">
      <c r="A91" s="128"/>
      <c r="B91" s="51"/>
      <c r="C91" s="51"/>
      <c r="D91" s="100" t="str">
        <f>IFERROR(VLOOKUP($B91,Task!$B$1:$G$49,6,0)," ")</f>
        <v xml:space="preserve"> </v>
      </c>
      <c r="E91" s="100" t="str">
        <f t="shared" si="0"/>
        <v xml:space="preserve"> </v>
      </c>
      <c r="F91" s="100"/>
      <c r="G91" s="51"/>
      <c r="H91" s="100" t="str">
        <f t="shared" si="1"/>
        <v xml:space="preserve"> </v>
      </c>
      <c r="I91" s="52" t="str">
        <f t="shared" si="2"/>
        <v/>
      </c>
      <c r="J91" s="51"/>
      <c r="K91" s="51"/>
      <c r="L91" s="51" t="str">
        <f t="shared" si="3"/>
        <v xml:space="preserve"> </v>
      </c>
      <c r="M91" s="51"/>
      <c r="N91" s="16" t="str">
        <f t="shared" si="4"/>
        <v xml:space="preserve"> </v>
      </c>
    </row>
    <row r="92" spans="1:14" ht="14.5">
      <c r="A92" s="128"/>
      <c r="B92" s="51"/>
      <c r="C92" s="51"/>
      <c r="D92" s="100" t="str">
        <f>IFERROR(VLOOKUP($B92,Task!$B$1:$G$49,6,0)," ")</f>
        <v xml:space="preserve"> </v>
      </c>
      <c r="E92" s="100" t="str">
        <f t="shared" si="0"/>
        <v xml:space="preserve"> </v>
      </c>
      <c r="F92" s="100"/>
      <c r="G92" s="51"/>
      <c r="H92" s="100" t="str">
        <f t="shared" si="1"/>
        <v xml:space="preserve"> </v>
      </c>
      <c r="I92" s="52" t="str">
        <f t="shared" si="2"/>
        <v/>
      </c>
      <c r="J92" s="51"/>
      <c r="K92" s="51"/>
      <c r="L92" s="51" t="str">
        <f t="shared" si="3"/>
        <v xml:space="preserve"> </v>
      </c>
      <c r="M92" s="51"/>
      <c r="N92" s="16" t="str">
        <f t="shared" si="4"/>
        <v xml:space="preserve"> </v>
      </c>
    </row>
    <row r="93" spans="1:14" ht="14.5">
      <c r="A93" s="128"/>
      <c r="B93" s="51"/>
      <c r="C93" s="51"/>
      <c r="D93" s="100" t="str">
        <f>IFERROR(VLOOKUP($B93,Task!$B$1:$G$49,6,0)," ")</f>
        <v xml:space="preserve"> </v>
      </c>
      <c r="E93" s="100" t="str">
        <f t="shared" si="0"/>
        <v xml:space="preserve"> </v>
      </c>
      <c r="F93" s="100"/>
      <c r="G93" s="51"/>
      <c r="H93" s="100" t="str">
        <f t="shared" si="1"/>
        <v xml:space="preserve"> </v>
      </c>
      <c r="I93" s="52" t="str">
        <f t="shared" si="2"/>
        <v/>
      </c>
      <c r="J93" s="51"/>
      <c r="K93" s="51"/>
      <c r="L93" s="51" t="str">
        <f t="shared" si="3"/>
        <v xml:space="preserve"> </v>
      </c>
      <c r="M93" s="51"/>
      <c r="N93" s="16" t="str">
        <f t="shared" si="4"/>
        <v xml:space="preserve"> </v>
      </c>
    </row>
    <row r="94" spans="1:14" ht="14.5">
      <c r="A94" s="128"/>
      <c r="B94" s="51"/>
      <c r="C94" s="51"/>
      <c r="D94" s="100" t="str">
        <f>IFERROR(VLOOKUP($B94,Task!$B$1:$G$49,6,0)," ")</f>
        <v xml:space="preserve"> </v>
      </c>
      <c r="E94" s="100" t="str">
        <f t="shared" si="0"/>
        <v xml:space="preserve"> </v>
      </c>
      <c r="F94" s="100"/>
      <c r="G94" s="51"/>
      <c r="H94" s="100" t="str">
        <f t="shared" si="1"/>
        <v xml:space="preserve"> </v>
      </c>
      <c r="I94" s="52" t="str">
        <f t="shared" si="2"/>
        <v/>
      </c>
      <c r="J94" s="51"/>
      <c r="K94" s="51"/>
      <c r="L94" s="51" t="str">
        <f t="shared" si="3"/>
        <v xml:space="preserve"> </v>
      </c>
      <c r="M94" s="51"/>
      <c r="N94" s="16" t="str">
        <f t="shared" si="4"/>
        <v xml:space="preserve"> </v>
      </c>
    </row>
    <row r="95" spans="1:14" ht="14.5">
      <c r="A95" s="128"/>
      <c r="B95" s="51"/>
      <c r="C95" s="51"/>
      <c r="D95" s="100" t="str">
        <f>IFERROR(VLOOKUP($B95,Task!$B$1:$G$49,6,0)," ")</f>
        <v xml:space="preserve"> </v>
      </c>
      <c r="E95" s="100" t="str">
        <f t="shared" si="0"/>
        <v xml:space="preserve"> </v>
      </c>
      <c r="F95" s="100"/>
      <c r="G95" s="51"/>
      <c r="H95" s="100" t="str">
        <f t="shared" si="1"/>
        <v xml:space="preserve"> </v>
      </c>
      <c r="I95" s="52" t="str">
        <f t="shared" si="2"/>
        <v/>
      </c>
      <c r="J95" s="51"/>
      <c r="K95" s="51"/>
      <c r="L95" s="51" t="str">
        <f t="shared" si="3"/>
        <v xml:space="preserve"> </v>
      </c>
      <c r="M95" s="51"/>
      <c r="N95" s="16" t="str">
        <f t="shared" si="4"/>
        <v xml:space="preserve"> </v>
      </c>
    </row>
    <row r="96" spans="1:14" ht="14.5">
      <c r="A96" s="128"/>
      <c r="B96" s="51"/>
      <c r="C96" s="51"/>
      <c r="D96" s="100" t="str">
        <f>IFERROR(VLOOKUP($B96,Task!$B$1:$G$49,6,0)," ")</f>
        <v xml:space="preserve"> </v>
      </c>
      <c r="E96" s="100" t="str">
        <f t="shared" si="0"/>
        <v xml:space="preserve"> </v>
      </c>
      <c r="F96" s="100"/>
      <c r="G96" s="51"/>
      <c r="H96" s="100" t="str">
        <f t="shared" si="1"/>
        <v xml:space="preserve"> </v>
      </c>
      <c r="I96" s="52" t="str">
        <f t="shared" si="2"/>
        <v/>
      </c>
      <c r="J96" s="51"/>
      <c r="K96" s="51"/>
      <c r="L96" s="51" t="str">
        <f t="shared" si="3"/>
        <v xml:space="preserve"> </v>
      </c>
      <c r="M96" s="51"/>
      <c r="N96" s="16" t="str">
        <f t="shared" si="4"/>
        <v xml:space="preserve"> </v>
      </c>
    </row>
    <row r="97" spans="1:14" ht="14.5">
      <c r="A97" s="128"/>
      <c r="B97" s="51"/>
      <c r="C97" s="51"/>
      <c r="D97" s="100" t="str">
        <f>IFERROR(VLOOKUP($B97,Task!$B$1:$G$49,6,0)," ")</f>
        <v xml:space="preserve"> </v>
      </c>
      <c r="E97" s="100" t="str">
        <f t="shared" si="0"/>
        <v xml:space="preserve"> </v>
      </c>
      <c r="F97" s="100"/>
      <c r="G97" s="51"/>
      <c r="H97" s="100" t="str">
        <f t="shared" si="1"/>
        <v xml:space="preserve"> </v>
      </c>
      <c r="I97" s="52" t="str">
        <f t="shared" si="2"/>
        <v/>
      </c>
      <c r="J97" s="51"/>
      <c r="K97" s="51"/>
      <c r="L97" s="51" t="str">
        <f t="shared" si="3"/>
        <v xml:space="preserve"> </v>
      </c>
      <c r="M97" s="51"/>
      <c r="N97" s="16" t="str">
        <f t="shared" si="4"/>
        <v xml:space="preserve"> </v>
      </c>
    </row>
    <row r="98" spans="1:14" ht="14.5">
      <c r="A98" s="128"/>
      <c r="B98" s="51"/>
      <c r="C98" s="51"/>
      <c r="D98" s="100" t="str">
        <f>IFERROR(VLOOKUP($B98,Task!$B$1:$G$49,6,0)," ")</f>
        <v xml:space="preserve"> </v>
      </c>
      <c r="E98" s="100" t="str">
        <f t="shared" si="0"/>
        <v xml:space="preserve"> </v>
      </c>
      <c r="F98" s="100"/>
      <c r="G98" s="51"/>
      <c r="H98" s="100" t="str">
        <f t="shared" si="1"/>
        <v xml:space="preserve"> </v>
      </c>
      <c r="I98" s="52" t="str">
        <f t="shared" si="2"/>
        <v/>
      </c>
      <c r="J98" s="51"/>
      <c r="K98" s="51"/>
      <c r="L98" s="51" t="str">
        <f t="shared" si="3"/>
        <v xml:space="preserve"> </v>
      </c>
      <c r="M98" s="51"/>
      <c r="N98" s="16" t="str">
        <f t="shared" si="4"/>
        <v xml:space="preserve"> </v>
      </c>
    </row>
    <row r="99" spans="1:14" ht="14.5">
      <c r="A99" s="128"/>
      <c r="B99" s="51"/>
      <c r="C99" s="51"/>
      <c r="D99" s="100" t="str">
        <f>IFERROR(VLOOKUP($B99,Task!$B$1:$G$49,6,0)," ")</f>
        <v xml:space="preserve"> </v>
      </c>
      <c r="E99" s="100" t="str">
        <f t="shared" si="0"/>
        <v xml:space="preserve"> </v>
      </c>
      <c r="F99" s="100"/>
      <c r="G99" s="51"/>
      <c r="H99" s="100" t="str">
        <f t="shared" si="1"/>
        <v xml:space="preserve"> </v>
      </c>
      <c r="I99" s="52" t="str">
        <f t="shared" si="2"/>
        <v/>
      </c>
      <c r="J99" s="51"/>
      <c r="K99" s="51"/>
      <c r="L99" s="51" t="str">
        <f t="shared" si="3"/>
        <v xml:space="preserve"> </v>
      </c>
      <c r="M99" s="51"/>
      <c r="N99" s="16" t="str">
        <f t="shared" si="4"/>
        <v xml:space="preserve"> </v>
      </c>
    </row>
    <row r="100" spans="1:14" ht="14.5">
      <c r="A100" s="128"/>
      <c r="B100" s="51"/>
      <c r="C100" s="51"/>
      <c r="D100" s="100" t="str">
        <f>IFERROR(VLOOKUP($B100,Task!$B$1:$G$49,6,0)," ")</f>
        <v xml:space="preserve"> </v>
      </c>
      <c r="E100" s="100" t="str">
        <f t="shared" si="0"/>
        <v xml:space="preserve"> </v>
      </c>
      <c r="F100" s="100"/>
      <c r="G100" s="51"/>
      <c r="H100" s="100" t="str">
        <f t="shared" si="1"/>
        <v xml:space="preserve"> </v>
      </c>
      <c r="I100" s="52" t="str">
        <f t="shared" si="2"/>
        <v/>
      </c>
      <c r="J100" s="51"/>
      <c r="K100" s="51"/>
      <c r="L100" s="51" t="str">
        <f t="shared" si="3"/>
        <v xml:space="preserve"> </v>
      </c>
      <c r="M100" s="51"/>
      <c r="N100" s="16" t="str">
        <f t="shared" si="4"/>
        <v xml:space="preserve"> </v>
      </c>
    </row>
    <row r="101" spans="1:14" ht="14.5">
      <c r="A101" s="128"/>
      <c r="B101" s="51"/>
      <c r="C101" s="51"/>
      <c r="D101" s="100" t="str">
        <f>IFERROR(VLOOKUP($B101,Task!$B$1:$G$49,6,0)," ")</f>
        <v xml:space="preserve"> </v>
      </c>
      <c r="E101" s="100" t="str">
        <f t="shared" si="0"/>
        <v xml:space="preserve"> </v>
      </c>
      <c r="F101" s="100"/>
      <c r="G101" s="51"/>
      <c r="H101" s="100" t="str">
        <f t="shared" si="1"/>
        <v xml:space="preserve"> </v>
      </c>
      <c r="I101" s="52" t="str">
        <f t="shared" si="2"/>
        <v/>
      </c>
      <c r="J101" s="51"/>
      <c r="K101" s="51"/>
      <c r="L101" s="51" t="str">
        <f t="shared" si="3"/>
        <v xml:space="preserve"> </v>
      </c>
      <c r="M101" s="51"/>
      <c r="N101" s="16" t="str">
        <f t="shared" si="4"/>
        <v xml:space="preserve"> 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0000000}">
          <x14:formula1>
            <xm:f>Task!$B$2:$B$49</xm:f>
          </x14:formula1>
          <xm:sqref>B2:B101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June 25</vt:lpstr>
      <vt:lpstr>May 25</vt:lpstr>
      <vt:lpstr>April 25</vt:lpstr>
      <vt:lpstr>March 25</vt:lpstr>
      <vt:lpstr>Feb 25</vt:lpstr>
      <vt:lpstr>Jan 25</vt:lpstr>
      <vt:lpstr>Dec 24</vt:lpstr>
      <vt:lpstr>Nov 24</vt:lpstr>
      <vt:lpstr>Oct 24</vt:lpstr>
      <vt:lpstr>2024</vt:lpstr>
      <vt:lpstr>7</vt:lpstr>
      <vt:lpstr>Task</vt:lpstr>
      <vt:lpstr>2025</vt:lpstr>
      <vt:lpstr>Pivot</vt:lpstr>
      <vt:lpstr>Sheet1</vt:lpstr>
      <vt:lpstr>Copy of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Chabru, Mubarak</cp:lastModifiedBy>
  <dcterms:modified xsi:type="dcterms:W3CDTF">2025-06-24T17:10:33Z</dcterms:modified>
</cp:coreProperties>
</file>